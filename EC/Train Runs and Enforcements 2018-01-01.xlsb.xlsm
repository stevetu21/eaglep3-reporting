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Runs'!$A$12:$AG$548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1" i="1" l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98" i="1"/>
  <c r="X199" i="1"/>
  <c r="X200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P156" i="1"/>
  <c r="X149" i="1"/>
  <c r="X150" i="1"/>
  <c r="K149" i="1"/>
  <c r="L149" i="1"/>
  <c r="M149" i="1"/>
  <c r="N149" i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X143" i="1"/>
  <c r="X144" i="1"/>
  <c r="K142" i="1"/>
  <c r="L142" i="1"/>
  <c r="M142" i="1"/>
  <c r="N142" i="1" s="1"/>
  <c r="V142" i="1"/>
  <c r="AA142" i="1"/>
  <c r="AB142" i="1"/>
  <c r="AC142" i="1"/>
  <c r="AD142" i="1"/>
  <c r="T142" i="1" s="1"/>
  <c r="AE142" i="1"/>
  <c r="AF142" i="1"/>
  <c r="AH142" i="1"/>
  <c r="AM142" i="1"/>
  <c r="AN142" i="1"/>
  <c r="AO142" i="1"/>
  <c r="X134" i="1"/>
  <c r="X135" i="1"/>
  <c r="X136" i="1"/>
  <c r="K133" i="1"/>
  <c r="L133" i="1"/>
  <c r="M133" i="1"/>
  <c r="N133" i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X121" i="1"/>
  <c r="K120" i="1"/>
  <c r="L120" i="1"/>
  <c r="M120" i="1"/>
  <c r="N120" i="1" s="1"/>
  <c r="T120" i="1"/>
  <c r="V120" i="1"/>
  <c r="AA120" i="1"/>
  <c r="AB120" i="1"/>
  <c r="AC120" i="1"/>
  <c r="AD120" i="1"/>
  <c r="X120" i="1" s="1"/>
  <c r="AE120" i="1"/>
  <c r="AF120" i="1"/>
  <c r="AH120" i="1"/>
  <c r="AM120" i="1"/>
  <c r="AN120" i="1"/>
  <c r="AO120" i="1"/>
  <c r="P106" i="1"/>
  <c r="P34" i="1"/>
  <c r="P31" i="1"/>
  <c r="P24" i="1"/>
  <c r="AG159" i="1"/>
  <c r="AG149" i="1"/>
  <c r="AG142" i="1"/>
  <c r="AG133" i="1"/>
  <c r="AG120" i="1"/>
  <c r="AI159" i="1" l="1"/>
  <c r="U159" i="1"/>
  <c r="S159" i="1" s="1"/>
  <c r="W159" i="1"/>
  <c r="AI149" i="1"/>
  <c r="U149" i="1"/>
  <c r="S149" i="1" s="1"/>
  <c r="W149" i="1"/>
  <c r="AI142" i="1"/>
  <c r="U142" i="1"/>
  <c r="S142" i="1" s="1"/>
  <c r="W142" i="1"/>
  <c r="X142" i="1"/>
  <c r="AI133" i="1"/>
  <c r="U133" i="1"/>
  <c r="S133" i="1" s="1"/>
  <c r="W133" i="1"/>
  <c r="X133" i="1"/>
  <c r="AI120" i="1"/>
  <c r="U120" i="1"/>
  <c r="S120" i="1" s="1"/>
  <c r="W12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V34" i="1"/>
  <c r="S8" i="3" s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AO53" i="1"/>
  <c r="K54" i="1"/>
  <c r="L54" i="1"/>
  <c r="M54" i="1"/>
  <c r="N54" i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T55" i="1"/>
  <c r="V55" i="1"/>
  <c r="Y55" i="1"/>
  <c r="Z55" i="1"/>
  <c r="AA55" i="1" s="1"/>
  <c r="AB55" i="1"/>
  <c r="AC55" i="1"/>
  <c r="AD55" i="1"/>
  <c r="X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T57" i="1"/>
  <c r="V57" i="1"/>
  <c r="Y57" i="1"/>
  <c r="Z57" i="1"/>
  <c r="AA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X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AA67" i="1" s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A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/>
  <c r="V84" i="1"/>
  <c r="Y84" i="1"/>
  <c r="AA84" i="1" s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AA85" i="1" s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A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/>
  <c r="V89" i="1"/>
  <c r="Y89" i="1"/>
  <c r="Z89" i="1"/>
  <c r="AA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S7" i="3" s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160" i="1"/>
  <c r="L160" i="1"/>
  <c r="M160" i="1"/>
  <c r="N160" i="1" s="1"/>
  <c r="V160" i="1"/>
  <c r="AB160" i="1"/>
  <c r="AC160" i="1"/>
  <c r="AD160" i="1"/>
  <c r="AE160" i="1"/>
  <c r="AF160" i="1"/>
  <c r="AH95" i="1"/>
  <c r="AM95" i="1"/>
  <c r="AN95" i="1"/>
  <c r="AO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97" i="1"/>
  <c r="AM97" i="1"/>
  <c r="AN97" i="1"/>
  <c r="AO97" i="1"/>
  <c r="K163" i="1"/>
  <c r="L163" i="1"/>
  <c r="M163" i="1"/>
  <c r="N163" i="1"/>
  <c r="V163" i="1"/>
  <c r="Y163" i="1"/>
  <c r="AA163" i="1" s="1"/>
  <c r="Z163" i="1"/>
  <c r="AB163" i="1"/>
  <c r="AC163" i="1"/>
  <c r="AD163" i="1"/>
  <c r="AE163" i="1"/>
  <c r="AF163" i="1"/>
  <c r="AH98" i="1"/>
  <c r="AM98" i="1"/>
  <c r="AN98" i="1"/>
  <c r="AO9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9" i="1"/>
  <c r="AM99" i="1"/>
  <c r="AN99" i="1"/>
  <c r="AO99" i="1"/>
  <c r="K165" i="1"/>
  <c r="L165" i="1"/>
  <c r="M165" i="1"/>
  <c r="N165" i="1"/>
  <c r="V165" i="1"/>
  <c r="Y165" i="1"/>
  <c r="AA165" i="1" s="1"/>
  <c r="Z165" i="1"/>
  <c r="AB165" i="1"/>
  <c r="AC165" i="1"/>
  <c r="AD165" i="1"/>
  <c r="AE165" i="1"/>
  <c r="AF165" i="1"/>
  <c r="AH100" i="1"/>
  <c r="AM100" i="1"/>
  <c r="AN100" i="1"/>
  <c r="AO100" i="1"/>
  <c r="K166" i="1"/>
  <c r="L166" i="1"/>
  <c r="M166" i="1"/>
  <c r="N166" i="1"/>
  <c r="V166" i="1"/>
  <c r="Y166" i="1"/>
  <c r="AA166" i="1" s="1"/>
  <c r="Z166" i="1"/>
  <c r="AB166" i="1"/>
  <c r="AC166" i="1"/>
  <c r="AD166" i="1"/>
  <c r="AE166" i="1"/>
  <c r="AF166" i="1"/>
  <c r="AH101" i="1"/>
  <c r="AM101" i="1"/>
  <c r="AN101" i="1"/>
  <c r="AO101" i="1"/>
  <c r="K167" i="1"/>
  <c r="L167" i="1"/>
  <c r="M167" i="1"/>
  <c r="N167" i="1"/>
  <c r="V167" i="1"/>
  <c r="Y167" i="1"/>
  <c r="Z167" i="1"/>
  <c r="AA167" i="1"/>
  <c r="AB167" i="1"/>
  <c r="AC167" i="1"/>
  <c r="AD167" i="1"/>
  <c r="AE167" i="1"/>
  <c r="AF167" i="1"/>
  <c r="AH102" i="1"/>
  <c r="AM102" i="1"/>
  <c r="AN102" i="1"/>
  <c r="AO102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95" i="1"/>
  <c r="L95" i="1"/>
  <c r="M95" i="1"/>
  <c r="N95" i="1"/>
  <c r="V95" i="1"/>
  <c r="Y95" i="1"/>
  <c r="Z95" i="1"/>
  <c r="AA95" i="1"/>
  <c r="AB95" i="1"/>
  <c r="AC95" i="1"/>
  <c r="AD95" i="1"/>
  <c r="AE95" i="1"/>
  <c r="AF95" i="1"/>
  <c r="AH105" i="1"/>
  <c r="AM105" i="1"/>
  <c r="AN105" i="1"/>
  <c r="AO105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06" i="1"/>
  <c r="AM106" i="1"/>
  <c r="AN106" i="1"/>
  <c r="AO106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07" i="1"/>
  <c r="AM107" i="1"/>
  <c r="AN107" i="1"/>
  <c r="AO107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08" i="1"/>
  <c r="AM108" i="1"/>
  <c r="AN108" i="1"/>
  <c r="AO108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09" i="1"/>
  <c r="AM109" i="1"/>
  <c r="AN109" i="1"/>
  <c r="AO109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10" i="1"/>
  <c r="AM110" i="1"/>
  <c r="AN110" i="1"/>
  <c r="AO110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11" i="1"/>
  <c r="AM111" i="1"/>
  <c r="AN111" i="1"/>
  <c r="AO111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12" i="1"/>
  <c r="AM112" i="1"/>
  <c r="AN112" i="1"/>
  <c r="AO112" i="1"/>
  <c r="K177" i="1"/>
  <c r="L177" i="1"/>
  <c r="M177" i="1"/>
  <c r="V177" i="1"/>
  <c r="S20" i="3" s="1"/>
  <c r="Y177" i="1"/>
  <c r="Z177" i="1"/>
  <c r="AA177" i="1" s="1"/>
  <c r="AB177" i="1"/>
  <c r="AC177" i="1"/>
  <c r="AD177" i="1"/>
  <c r="AE177" i="1"/>
  <c r="R20" i="3" s="1"/>
  <c r="AF177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6" i="1"/>
  <c r="AM116" i="1"/>
  <c r="AN116" i="1"/>
  <c r="AO116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117" i="1"/>
  <c r="AM117" i="1"/>
  <c r="AN117" i="1"/>
  <c r="AO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AM118" i="1"/>
  <c r="AN118" i="1"/>
  <c r="AO118" i="1"/>
  <c r="K182" i="1"/>
  <c r="L182" i="1"/>
  <c r="M182" i="1"/>
  <c r="N182" i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AO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AN122" i="1"/>
  <c r="AO122" i="1"/>
  <c r="K185" i="1"/>
  <c r="L185" i="1"/>
  <c r="M185" i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AO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AO12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5" i="1"/>
  <c r="AM125" i="1"/>
  <c r="AN125" i="1"/>
  <c r="AO12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6" i="1"/>
  <c r="AM126" i="1"/>
  <c r="AN126" i="1"/>
  <c r="AO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AM127" i="1"/>
  <c r="AN127" i="1"/>
  <c r="AO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AO128" i="1"/>
  <c r="K191" i="1"/>
  <c r="L191" i="1"/>
  <c r="M191" i="1"/>
  <c r="N191" i="1" s="1"/>
  <c r="V191" i="1"/>
  <c r="Y191" i="1"/>
  <c r="Z191" i="1"/>
  <c r="AA191" i="1"/>
  <c r="AB191" i="1"/>
  <c r="AC191" i="1"/>
  <c r="AD191" i="1"/>
  <c r="T191" i="1" s="1"/>
  <c r="AE191" i="1"/>
  <c r="AF191" i="1"/>
  <c r="AH129" i="1"/>
  <c r="AM129" i="1"/>
  <c r="AN129" i="1"/>
  <c r="AO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N130" i="1"/>
  <c r="AO130" i="1"/>
  <c r="K192" i="1"/>
  <c r="L192" i="1"/>
  <c r="M192" i="1"/>
  <c r="N192" i="1" s="1"/>
  <c r="T192" i="1"/>
  <c r="V192" i="1"/>
  <c r="Y192" i="1"/>
  <c r="AA192" i="1" s="1"/>
  <c r="Z192" i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2" i="1"/>
  <c r="AM132" i="1"/>
  <c r="AN132" i="1"/>
  <c r="AO132" i="1"/>
  <c r="K194" i="1"/>
  <c r="L194" i="1"/>
  <c r="M194" i="1"/>
  <c r="V194" i="1"/>
  <c r="Y194" i="1"/>
  <c r="Z194" i="1"/>
  <c r="AA194" i="1" s="1"/>
  <c r="AB194" i="1"/>
  <c r="AC194" i="1"/>
  <c r="AD194" i="1"/>
  <c r="T194" i="1" s="1"/>
  <c r="AE194" i="1"/>
  <c r="AF194" i="1"/>
  <c r="AH134" i="1"/>
  <c r="AM134" i="1"/>
  <c r="AN134" i="1"/>
  <c r="AO134" i="1"/>
  <c r="K195" i="1"/>
  <c r="L195" i="1"/>
  <c r="M195" i="1"/>
  <c r="N195" i="1" s="1"/>
  <c r="V195" i="1"/>
  <c r="S22" i="3" s="1"/>
  <c r="Y195" i="1"/>
  <c r="Z195" i="1"/>
  <c r="AB195" i="1"/>
  <c r="AC195" i="1"/>
  <c r="AD195" i="1"/>
  <c r="T195" i="1" s="1"/>
  <c r="AE195" i="1"/>
  <c r="R22" i="3" s="1"/>
  <c r="AF195" i="1"/>
  <c r="AH135" i="1"/>
  <c r="AM135" i="1"/>
  <c r="AN135" i="1"/>
  <c r="AO135" i="1"/>
  <c r="K196" i="1"/>
  <c r="L196" i="1"/>
  <c r="M196" i="1"/>
  <c r="N196" i="1" s="1"/>
  <c r="V196" i="1"/>
  <c r="Y196" i="1"/>
  <c r="AA196" i="1" s="1"/>
  <c r="Z196" i="1"/>
  <c r="AB196" i="1"/>
  <c r="AC196" i="1"/>
  <c r="AD196" i="1"/>
  <c r="T196" i="1" s="1"/>
  <c r="AE196" i="1"/>
  <c r="AF196" i="1"/>
  <c r="AH136" i="1"/>
  <c r="AM136" i="1"/>
  <c r="AN136" i="1"/>
  <c r="AO136" i="1"/>
  <c r="K197" i="1"/>
  <c r="L197" i="1"/>
  <c r="M197" i="1"/>
  <c r="N197" i="1" s="1"/>
  <c r="V197" i="1"/>
  <c r="S21" i="3" s="1"/>
  <c r="Y197" i="1"/>
  <c r="Z197" i="1"/>
  <c r="AB197" i="1"/>
  <c r="AC197" i="1"/>
  <c r="AD197" i="1"/>
  <c r="T197" i="1" s="1"/>
  <c r="AE197" i="1"/>
  <c r="R21" i="3" s="1"/>
  <c r="AF197" i="1"/>
  <c r="AH137" i="1"/>
  <c r="AM137" i="1"/>
  <c r="AN137" i="1"/>
  <c r="AO13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138" i="1"/>
  <c r="AM138" i="1"/>
  <c r="AN138" i="1"/>
  <c r="AO138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9" i="1"/>
  <c r="AM139" i="1"/>
  <c r="AN139" i="1"/>
  <c r="AO139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140" i="1"/>
  <c r="AM140" i="1"/>
  <c r="AN140" i="1"/>
  <c r="AO140" i="1"/>
  <c r="K100" i="1"/>
  <c r="L100" i="1"/>
  <c r="M100" i="1"/>
  <c r="N100" i="1" s="1"/>
  <c r="V100" i="1"/>
  <c r="S12" i="3" s="1"/>
  <c r="Y100" i="1"/>
  <c r="Z100" i="1"/>
  <c r="AA100" i="1" s="1"/>
  <c r="AB100" i="1"/>
  <c r="AC100" i="1"/>
  <c r="AD100" i="1"/>
  <c r="T100" i="1" s="1"/>
  <c r="AE100" i="1"/>
  <c r="R12" i="3" s="1"/>
  <c r="AF100" i="1"/>
  <c r="AH141" i="1"/>
  <c r="AM141" i="1"/>
  <c r="AN141" i="1"/>
  <c r="AO141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43" i="1"/>
  <c r="AM143" i="1"/>
  <c r="AN143" i="1"/>
  <c r="AO143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44" i="1"/>
  <c r="AM144" i="1"/>
  <c r="AN144" i="1"/>
  <c r="AO144" i="1"/>
  <c r="K103" i="1"/>
  <c r="L103" i="1"/>
  <c r="M103" i="1"/>
  <c r="N103" i="1" s="1"/>
  <c r="V103" i="1"/>
  <c r="S16" i="3" s="1"/>
  <c r="Y103" i="1"/>
  <c r="Z103" i="1"/>
  <c r="AB103" i="1"/>
  <c r="AC103" i="1"/>
  <c r="AD103" i="1"/>
  <c r="T103" i="1" s="1"/>
  <c r="AE103" i="1"/>
  <c r="R16" i="3" s="1"/>
  <c r="AF103" i="1"/>
  <c r="AH145" i="1"/>
  <c r="AM145" i="1"/>
  <c r="AN145" i="1"/>
  <c r="AO145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6" i="1"/>
  <c r="AM146" i="1"/>
  <c r="AN146" i="1"/>
  <c r="AO146" i="1"/>
  <c r="K210" i="1"/>
  <c r="L210" i="1"/>
  <c r="M210" i="1"/>
  <c r="N210" i="1"/>
  <c r="V210" i="1"/>
  <c r="Y210" i="1"/>
  <c r="Z210" i="1"/>
  <c r="AA210" i="1"/>
  <c r="AB210" i="1"/>
  <c r="AC210" i="1"/>
  <c r="AD210" i="1"/>
  <c r="T210" i="1" s="1"/>
  <c r="AE210" i="1"/>
  <c r="AF210" i="1"/>
  <c r="AH147" i="1"/>
  <c r="AM147" i="1"/>
  <c r="AN147" i="1"/>
  <c r="AO147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48" i="1"/>
  <c r="AM148" i="1"/>
  <c r="AN148" i="1"/>
  <c r="AO148" i="1"/>
  <c r="K105" i="1"/>
  <c r="L105" i="1"/>
  <c r="M105" i="1"/>
  <c r="N105" i="1"/>
  <c r="V105" i="1"/>
  <c r="Y105" i="1"/>
  <c r="AA105" i="1" s="1"/>
  <c r="Z105" i="1"/>
  <c r="AB105" i="1"/>
  <c r="AC105" i="1"/>
  <c r="AD105" i="1"/>
  <c r="T105" i="1" s="1"/>
  <c r="AE105" i="1"/>
  <c r="AF105" i="1"/>
  <c r="AH150" i="1"/>
  <c r="AM150" i="1"/>
  <c r="AN150" i="1"/>
  <c r="AO150" i="1"/>
  <c r="K106" i="1"/>
  <c r="L106" i="1"/>
  <c r="M106" i="1"/>
  <c r="V106" i="1"/>
  <c r="S10" i="3" s="1"/>
  <c r="Y106" i="1"/>
  <c r="Z106" i="1"/>
  <c r="AB106" i="1"/>
  <c r="AC106" i="1"/>
  <c r="AD106" i="1"/>
  <c r="T106" i="1" s="1"/>
  <c r="AE106" i="1"/>
  <c r="R10" i="3" s="1"/>
  <c r="AF106" i="1"/>
  <c r="AH151" i="1"/>
  <c r="AM151" i="1"/>
  <c r="AN151" i="1"/>
  <c r="AO151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52" i="1"/>
  <c r="AM152" i="1"/>
  <c r="AN152" i="1"/>
  <c r="AO15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53" i="1"/>
  <c r="AM153" i="1"/>
  <c r="AN153" i="1"/>
  <c r="AO153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54" i="1"/>
  <c r="AM154" i="1"/>
  <c r="AN154" i="1"/>
  <c r="AO15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R17" i="3" s="1"/>
  <c r="AF110" i="1"/>
  <c r="AH155" i="1"/>
  <c r="AM155" i="1"/>
  <c r="AN155" i="1"/>
  <c r="AO155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56" i="1"/>
  <c r="AM156" i="1"/>
  <c r="AN156" i="1"/>
  <c r="AO15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7" i="1"/>
  <c r="AM157" i="1"/>
  <c r="AN157" i="1"/>
  <c r="AO157" i="1"/>
  <c r="K113" i="1"/>
  <c r="L113" i="1"/>
  <c r="M113" i="1"/>
  <c r="N113" i="1" s="1"/>
  <c r="V113" i="1"/>
  <c r="Y113" i="1"/>
  <c r="AA113" i="1" s="1"/>
  <c r="Z113" i="1"/>
  <c r="AB113" i="1"/>
  <c r="AC113" i="1"/>
  <c r="AD113" i="1"/>
  <c r="T113" i="1" s="1"/>
  <c r="AE113" i="1"/>
  <c r="AF113" i="1"/>
  <c r="AH158" i="1"/>
  <c r="AM158" i="1"/>
  <c r="AN158" i="1"/>
  <c r="AO158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60" i="1"/>
  <c r="AM160" i="1"/>
  <c r="AN160" i="1"/>
  <c r="AO160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61" i="1"/>
  <c r="AM161" i="1"/>
  <c r="AN161" i="1"/>
  <c r="AO161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62" i="1"/>
  <c r="AM162" i="1"/>
  <c r="AN162" i="1"/>
  <c r="AO16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63" i="1"/>
  <c r="AM163" i="1"/>
  <c r="AN163" i="1"/>
  <c r="AO16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64" i="1"/>
  <c r="AM164" i="1"/>
  <c r="AN164" i="1"/>
  <c r="AO164" i="1"/>
  <c r="K119" i="1"/>
  <c r="L119" i="1"/>
  <c r="M119" i="1"/>
  <c r="N119" i="1"/>
  <c r="V119" i="1"/>
  <c r="Y119" i="1"/>
  <c r="Z119" i="1"/>
  <c r="AA119" i="1"/>
  <c r="AB119" i="1"/>
  <c r="AC119" i="1"/>
  <c r="AD119" i="1"/>
  <c r="AE119" i="1"/>
  <c r="AF119" i="1"/>
  <c r="AH165" i="1"/>
  <c r="AM165" i="1"/>
  <c r="AN165" i="1"/>
  <c r="AO165" i="1"/>
  <c r="K121" i="1"/>
  <c r="L121" i="1"/>
  <c r="M121" i="1"/>
  <c r="N121" i="1" s="1"/>
  <c r="V121" i="1"/>
  <c r="S18" i="3" s="1"/>
  <c r="Y121" i="1"/>
  <c r="Z121" i="1"/>
  <c r="AB121" i="1"/>
  <c r="AC121" i="1"/>
  <c r="AD121" i="1"/>
  <c r="AE121" i="1"/>
  <c r="R18" i="3" s="1"/>
  <c r="AF121" i="1"/>
  <c r="AH166" i="1"/>
  <c r="AM166" i="1"/>
  <c r="AN166" i="1"/>
  <c r="AO166" i="1"/>
  <c r="K122" i="1"/>
  <c r="L122" i="1"/>
  <c r="M122" i="1"/>
  <c r="N122" i="1"/>
  <c r="V122" i="1"/>
  <c r="Y122" i="1"/>
  <c r="AA122" i="1" s="1"/>
  <c r="Z122" i="1"/>
  <c r="AB122" i="1"/>
  <c r="AC122" i="1"/>
  <c r="AD122" i="1"/>
  <c r="AE122" i="1"/>
  <c r="AF122" i="1"/>
  <c r="AH167" i="1"/>
  <c r="AM167" i="1"/>
  <c r="AN167" i="1"/>
  <c r="AO16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8" i="1"/>
  <c r="AM168" i="1"/>
  <c r="AN168" i="1"/>
  <c r="AO168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9" i="1"/>
  <c r="AM169" i="1"/>
  <c r="AN169" i="1"/>
  <c r="AO169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70" i="1"/>
  <c r="AM170" i="1"/>
  <c r="AN170" i="1"/>
  <c r="AO170" i="1"/>
  <c r="K126" i="1"/>
  <c r="L126" i="1"/>
  <c r="M126" i="1"/>
  <c r="N126" i="1" s="1"/>
  <c r="V126" i="1"/>
  <c r="Y126" i="1"/>
  <c r="AA126" i="1" s="1"/>
  <c r="Z126" i="1"/>
  <c r="AB126" i="1"/>
  <c r="AC126" i="1"/>
  <c r="AD126" i="1"/>
  <c r="AE126" i="1"/>
  <c r="AF126" i="1"/>
  <c r="AH171" i="1"/>
  <c r="AM171" i="1"/>
  <c r="AN171" i="1"/>
  <c r="AO17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72" i="1"/>
  <c r="AM172" i="1"/>
  <c r="AN172" i="1"/>
  <c r="AO172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73" i="1"/>
  <c r="AM173" i="1"/>
  <c r="AN173" i="1"/>
  <c r="AO173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74" i="1"/>
  <c r="AM174" i="1"/>
  <c r="AN174" i="1"/>
  <c r="AO174" i="1"/>
  <c r="K130" i="1"/>
  <c r="L130" i="1"/>
  <c r="M130" i="1"/>
  <c r="N130" i="1" s="1"/>
  <c r="V130" i="1"/>
  <c r="Y130" i="1"/>
  <c r="AA130" i="1" s="1"/>
  <c r="Z130" i="1"/>
  <c r="AB130" i="1"/>
  <c r="AC130" i="1"/>
  <c r="AD130" i="1"/>
  <c r="AE130" i="1"/>
  <c r="AF130" i="1"/>
  <c r="AH175" i="1"/>
  <c r="AM175" i="1"/>
  <c r="AN175" i="1"/>
  <c r="AO175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76" i="1"/>
  <c r="AM176" i="1"/>
  <c r="AN176" i="1"/>
  <c r="AO176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77" i="1"/>
  <c r="AM177" i="1"/>
  <c r="AN177" i="1"/>
  <c r="AO177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8" i="1"/>
  <c r="AM178" i="1"/>
  <c r="AN178" i="1"/>
  <c r="AO17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9" i="1"/>
  <c r="AM179" i="1"/>
  <c r="AN179" i="1"/>
  <c r="AO17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80" i="1"/>
  <c r="AM180" i="1"/>
  <c r="AN180" i="1"/>
  <c r="AO180" i="1"/>
  <c r="K137" i="1"/>
  <c r="L137" i="1"/>
  <c r="M137" i="1"/>
  <c r="N137" i="1"/>
  <c r="V137" i="1"/>
  <c r="Y137" i="1"/>
  <c r="Z137" i="1"/>
  <c r="AA137" i="1"/>
  <c r="AB137" i="1"/>
  <c r="AC137" i="1"/>
  <c r="AD137" i="1"/>
  <c r="AE137" i="1"/>
  <c r="AF137" i="1"/>
  <c r="AH181" i="1"/>
  <c r="AM181" i="1"/>
  <c r="AN181" i="1"/>
  <c r="AO181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82" i="1"/>
  <c r="AM182" i="1"/>
  <c r="AN182" i="1"/>
  <c r="AO182" i="1"/>
  <c r="K139" i="1"/>
  <c r="L139" i="1"/>
  <c r="M139" i="1"/>
  <c r="N139" i="1"/>
  <c r="V139" i="1"/>
  <c r="Y139" i="1"/>
  <c r="AA139" i="1" s="1"/>
  <c r="Z139" i="1"/>
  <c r="AB139" i="1"/>
  <c r="AC139" i="1"/>
  <c r="AD139" i="1"/>
  <c r="AE139" i="1"/>
  <c r="AF139" i="1"/>
  <c r="AH183" i="1"/>
  <c r="AM183" i="1"/>
  <c r="AN183" i="1"/>
  <c r="AO183" i="1"/>
  <c r="K140" i="1"/>
  <c r="L140" i="1"/>
  <c r="M140" i="1"/>
  <c r="N140" i="1" s="1"/>
  <c r="V140" i="1"/>
  <c r="S9" i="3" s="1"/>
  <c r="Y140" i="1"/>
  <c r="Z140" i="1"/>
  <c r="AB140" i="1"/>
  <c r="AC140" i="1"/>
  <c r="AD140" i="1"/>
  <c r="AE140" i="1"/>
  <c r="R9" i="3" s="1"/>
  <c r="AF140" i="1"/>
  <c r="AH184" i="1"/>
  <c r="AM184" i="1"/>
  <c r="AN184" i="1"/>
  <c r="AO184" i="1"/>
  <c r="K141" i="1"/>
  <c r="L141" i="1"/>
  <c r="M141" i="1"/>
  <c r="N141" i="1" s="1"/>
  <c r="V141" i="1"/>
  <c r="S13" i="3" s="1"/>
  <c r="Y141" i="1"/>
  <c r="Z141" i="1"/>
  <c r="AA141" i="1" s="1"/>
  <c r="AB141" i="1"/>
  <c r="AC141" i="1"/>
  <c r="AD141" i="1"/>
  <c r="AE141" i="1"/>
  <c r="R13" i="3" s="1"/>
  <c r="AF141" i="1"/>
  <c r="AH185" i="1"/>
  <c r="AM185" i="1"/>
  <c r="AN185" i="1"/>
  <c r="AO185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6" i="1"/>
  <c r="AM186" i="1"/>
  <c r="AN186" i="1"/>
  <c r="AO186" i="1"/>
  <c r="K144" i="1"/>
  <c r="L144" i="1"/>
  <c r="M144" i="1"/>
  <c r="N144" i="1" s="1"/>
  <c r="V144" i="1"/>
  <c r="Y144" i="1"/>
  <c r="AA144" i="1" s="1"/>
  <c r="Z144" i="1"/>
  <c r="AB144" i="1"/>
  <c r="AC144" i="1"/>
  <c r="AD144" i="1"/>
  <c r="AE144" i="1"/>
  <c r="AF144" i="1"/>
  <c r="AH187" i="1"/>
  <c r="AM187" i="1"/>
  <c r="AN187" i="1"/>
  <c r="AO187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8" i="1"/>
  <c r="AM188" i="1"/>
  <c r="AN188" i="1"/>
  <c r="AO188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89" i="1"/>
  <c r="AM189" i="1"/>
  <c r="AN189" i="1"/>
  <c r="AO189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90" i="1"/>
  <c r="AM190" i="1"/>
  <c r="AN190" i="1"/>
  <c r="AO190" i="1"/>
  <c r="K148" i="1"/>
  <c r="L148" i="1"/>
  <c r="M148" i="1"/>
  <c r="N148" i="1" s="1"/>
  <c r="V148" i="1"/>
  <c r="Y148" i="1"/>
  <c r="AA148" i="1" s="1"/>
  <c r="Z148" i="1"/>
  <c r="AB148" i="1"/>
  <c r="AC148" i="1"/>
  <c r="AD148" i="1"/>
  <c r="AE148" i="1"/>
  <c r="AF148" i="1"/>
  <c r="AH191" i="1"/>
  <c r="AM191" i="1"/>
  <c r="AN191" i="1"/>
  <c r="AO191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92" i="1"/>
  <c r="AM192" i="1"/>
  <c r="AN192" i="1"/>
  <c r="AO192" i="1"/>
  <c r="K151" i="1"/>
  <c r="L151" i="1"/>
  <c r="M151" i="1"/>
  <c r="V151" i="1"/>
  <c r="Y151" i="1"/>
  <c r="Z151" i="1"/>
  <c r="AA151" i="1" s="1"/>
  <c r="AB151" i="1"/>
  <c r="AC151" i="1"/>
  <c r="AD151" i="1"/>
  <c r="AE151" i="1"/>
  <c r="AF151" i="1"/>
  <c r="AH193" i="1"/>
  <c r="AM193" i="1"/>
  <c r="AN193" i="1"/>
  <c r="AO193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94" i="1"/>
  <c r="AM194" i="1"/>
  <c r="AN194" i="1"/>
  <c r="AO194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5" i="1"/>
  <c r="AM195" i="1"/>
  <c r="AN195" i="1"/>
  <c r="AO195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6" i="1"/>
  <c r="AM196" i="1"/>
  <c r="AN196" i="1"/>
  <c r="AO196" i="1"/>
  <c r="K155" i="1"/>
  <c r="L155" i="1"/>
  <c r="M155" i="1"/>
  <c r="N155" i="1"/>
  <c r="V155" i="1"/>
  <c r="Y155" i="1"/>
  <c r="Z155" i="1"/>
  <c r="AA155" i="1"/>
  <c r="AB155" i="1"/>
  <c r="AC155" i="1"/>
  <c r="AD155" i="1"/>
  <c r="AE155" i="1"/>
  <c r="AF155" i="1"/>
  <c r="AH197" i="1"/>
  <c r="AM197" i="1"/>
  <c r="AN197" i="1"/>
  <c r="AO197" i="1"/>
  <c r="K156" i="1"/>
  <c r="L156" i="1"/>
  <c r="M156" i="1"/>
  <c r="V156" i="1"/>
  <c r="Y156" i="1"/>
  <c r="Z156" i="1"/>
  <c r="AB156" i="1"/>
  <c r="AC156" i="1"/>
  <c r="AD156" i="1"/>
  <c r="AE156" i="1"/>
  <c r="AF156" i="1"/>
  <c r="AH198" i="1"/>
  <c r="AM198" i="1"/>
  <c r="AN198" i="1"/>
  <c r="AO198" i="1"/>
  <c r="K157" i="1"/>
  <c r="L157" i="1"/>
  <c r="M157" i="1"/>
  <c r="N157" i="1"/>
  <c r="V157" i="1"/>
  <c r="Y157" i="1"/>
  <c r="AA157" i="1" s="1"/>
  <c r="Z157" i="1"/>
  <c r="AB157" i="1"/>
  <c r="AC157" i="1"/>
  <c r="AD157" i="1"/>
  <c r="AE157" i="1"/>
  <c r="AF157" i="1"/>
  <c r="AH199" i="1"/>
  <c r="AM199" i="1"/>
  <c r="AN199" i="1"/>
  <c r="AO199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0" i="1"/>
  <c r="AM200" i="1"/>
  <c r="AN200" i="1"/>
  <c r="AO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X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/>
  <c r="V204" i="1"/>
  <c r="Y204" i="1"/>
  <c r="Z204" i="1"/>
  <c r="AB204" i="1"/>
  <c r="AC204" i="1"/>
  <c r="AD204" i="1"/>
  <c r="X204" i="1" s="1"/>
  <c r="AE204" i="1"/>
  <c r="AF204" i="1"/>
  <c r="AH206" i="1"/>
  <c r="AM206" i="1"/>
  <c r="AN206" i="1"/>
  <c r="AO206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/>
  <c r="V206" i="1"/>
  <c r="X206" i="1"/>
  <c r="Y206" i="1"/>
  <c r="Z206" i="1"/>
  <c r="AA206" i="1" s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X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 s="1"/>
  <c r="V222" i="1"/>
  <c r="S23" i="3" s="1"/>
  <c r="Y222" i="1"/>
  <c r="Z222" i="1"/>
  <c r="AB222" i="1"/>
  <c r="AC222" i="1"/>
  <c r="AD222" i="1"/>
  <c r="T222" i="1" s="1"/>
  <c r="AE222" i="1"/>
  <c r="R23" i="3" s="1"/>
  <c r="AF222" i="1"/>
  <c r="AH222" i="1"/>
  <c r="AM222" i="1"/>
  <c r="AN222" i="1"/>
  <c r="AO222" i="1"/>
  <c r="M11" i="3"/>
  <c r="R11" i="3"/>
  <c r="S11" i="3"/>
  <c r="U11" i="3"/>
  <c r="T11" i="3" s="1"/>
  <c r="V11" i="3"/>
  <c r="X11" i="3"/>
  <c r="M8" i="3"/>
  <c r="R8" i="3"/>
  <c r="U8" i="3"/>
  <c r="V8" i="3"/>
  <c r="X8" i="3"/>
  <c r="M20" i="3"/>
  <c r="U20" i="3"/>
  <c r="T20" i="3" s="1"/>
  <c r="V20" i="3"/>
  <c r="X20" i="3"/>
  <c r="M7" i="3"/>
  <c r="R7" i="3"/>
  <c r="U7" i="3"/>
  <c r="T7" i="3" s="1"/>
  <c r="V7" i="3"/>
  <c r="X7" i="3"/>
  <c r="M16" i="3"/>
  <c r="U16" i="3"/>
  <c r="V16" i="3"/>
  <c r="X16" i="3"/>
  <c r="M12" i="3"/>
  <c r="U12" i="3"/>
  <c r="V12" i="3"/>
  <c r="X12" i="3"/>
  <c r="M10" i="3"/>
  <c r="U10" i="3"/>
  <c r="T10" i="3" s="1"/>
  <c r="V10" i="3"/>
  <c r="X10" i="3"/>
  <c r="M17" i="3"/>
  <c r="S17" i="3"/>
  <c r="U17" i="3"/>
  <c r="V17" i="3"/>
  <c r="X17" i="3"/>
  <c r="M18" i="3"/>
  <c r="U18" i="3"/>
  <c r="AD18" i="3" s="1"/>
  <c r="V18" i="3"/>
  <c r="X18" i="3"/>
  <c r="M23" i="3"/>
  <c r="U23" i="3"/>
  <c r="T23" i="3" s="1"/>
  <c r="V23" i="3"/>
  <c r="X23" i="3"/>
  <c r="M13" i="3"/>
  <c r="U13" i="3"/>
  <c r="V13" i="3"/>
  <c r="X13" i="3"/>
  <c r="M9" i="3"/>
  <c r="U9" i="3"/>
  <c r="V9" i="3"/>
  <c r="X9" i="3"/>
  <c r="M14" i="3"/>
  <c r="R14" i="3"/>
  <c r="S14" i="3"/>
  <c r="U14" i="3"/>
  <c r="T14" i="3" s="1"/>
  <c r="V14" i="3"/>
  <c r="X14" i="3"/>
  <c r="M22" i="3"/>
  <c r="U22" i="3"/>
  <c r="T22" i="3" s="1"/>
  <c r="V22" i="3"/>
  <c r="X22" i="3"/>
  <c r="M21" i="3"/>
  <c r="U21" i="3"/>
  <c r="AD21" i="3" s="1"/>
  <c r="V21" i="3"/>
  <c r="X21" i="3"/>
  <c r="M19" i="3"/>
  <c r="R19" i="3"/>
  <c r="S19" i="3"/>
  <c r="U19" i="3"/>
  <c r="V19" i="3"/>
  <c r="X19" i="3"/>
  <c r="AG24" i="1"/>
  <c r="AG32" i="1"/>
  <c r="AG39" i="1"/>
  <c r="AG47" i="1"/>
  <c r="AG20" i="1"/>
  <c r="AG29" i="1"/>
  <c r="AG38" i="1"/>
  <c r="AG46" i="1"/>
  <c r="AG53" i="1"/>
  <c r="AG57" i="1"/>
  <c r="AG61" i="1"/>
  <c r="AG65" i="1"/>
  <c r="AG69" i="1"/>
  <c r="AG70" i="1"/>
  <c r="AG74" i="1"/>
  <c r="AG78" i="1"/>
  <c r="AG82" i="1"/>
  <c r="AG86" i="1"/>
  <c r="AG90" i="1"/>
  <c r="AG94" i="1"/>
  <c r="AG163" i="1"/>
  <c r="AG167" i="1"/>
  <c r="AG170" i="1"/>
  <c r="AG178" i="1"/>
  <c r="AG175" i="1"/>
  <c r="AG181" i="1"/>
  <c r="AG185" i="1"/>
  <c r="AG189" i="1"/>
  <c r="AG192" i="1"/>
  <c r="AG196" i="1"/>
  <c r="AG99" i="1"/>
  <c r="AG103" i="1"/>
  <c r="AG105" i="1"/>
  <c r="AG109" i="1"/>
  <c r="AG113" i="1"/>
  <c r="AG117" i="1"/>
  <c r="AG122" i="1"/>
  <c r="AG126" i="1"/>
  <c r="AG130" i="1"/>
  <c r="AG135" i="1"/>
  <c r="AG139" i="1"/>
  <c r="AG144" i="1"/>
  <c r="AG148" i="1"/>
  <c r="AG153" i="1"/>
  <c r="AG157" i="1"/>
  <c r="AG201" i="1"/>
  <c r="AG205" i="1"/>
  <c r="AG209" i="1"/>
  <c r="AG215" i="1"/>
  <c r="AG219" i="1"/>
  <c r="AG15" i="1"/>
  <c r="AG14" i="1"/>
  <c r="AG26" i="1"/>
  <c r="AG34" i="1"/>
  <c r="AG41" i="1"/>
  <c r="AG49" i="1"/>
  <c r="AG23" i="1"/>
  <c r="AG31" i="1"/>
  <c r="AG40" i="1"/>
  <c r="AG48" i="1"/>
  <c r="AG54" i="1"/>
  <c r="AG58" i="1"/>
  <c r="AG62" i="1"/>
  <c r="AG66" i="1"/>
  <c r="AG17" i="1"/>
  <c r="AG71" i="1"/>
  <c r="AG75" i="1"/>
  <c r="AG79" i="1"/>
  <c r="AG83" i="1"/>
  <c r="AG87" i="1"/>
  <c r="AG91" i="1"/>
  <c r="AG160" i="1"/>
  <c r="AG164" i="1"/>
  <c r="AG168" i="1"/>
  <c r="AG172" i="1"/>
  <c r="AG180" i="1"/>
  <c r="AG177" i="1"/>
  <c r="AG182" i="1"/>
  <c r="AG186" i="1"/>
  <c r="AG190" i="1"/>
  <c r="AG193" i="1"/>
  <c r="AG197" i="1"/>
  <c r="AG100" i="1"/>
  <c r="AG104" i="1"/>
  <c r="AG106" i="1"/>
  <c r="AG110" i="1"/>
  <c r="AG114" i="1"/>
  <c r="AG118" i="1"/>
  <c r="AG123" i="1"/>
  <c r="AG127" i="1"/>
  <c r="AG136" i="1"/>
  <c r="AG140" i="1"/>
  <c r="AG145" i="1"/>
  <c r="AG150" i="1"/>
  <c r="AG154" i="1"/>
  <c r="AG158" i="1"/>
  <c r="AG202" i="1"/>
  <c r="AG206" i="1"/>
  <c r="AG212" i="1"/>
  <c r="AG216" i="1"/>
  <c r="AG220" i="1"/>
  <c r="AG42" i="1"/>
  <c r="AG63" i="1"/>
  <c r="AG21" i="1"/>
  <c r="AG76" i="1"/>
  <c r="AG84" i="1"/>
  <c r="AG92" i="1"/>
  <c r="AG165" i="1"/>
  <c r="AG174" i="1"/>
  <c r="AG179" i="1"/>
  <c r="AG187" i="1"/>
  <c r="AG198" i="1"/>
  <c r="AG210" i="1"/>
  <c r="AG111" i="1"/>
  <c r="AG119" i="1"/>
  <c r="AG128" i="1"/>
  <c r="AG137" i="1"/>
  <c r="AG146" i="1"/>
  <c r="AG155" i="1"/>
  <c r="AG131" i="1"/>
  <c r="AG18" i="1"/>
  <c r="AG28" i="1"/>
  <c r="AG35" i="1"/>
  <c r="AG43" i="1"/>
  <c r="AG51" i="1"/>
  <c r="AG25" i="1"/>
  <c r="AG33" i="1"/>
  <c r="AG50" i="1"/>
  <c r="AG55" i="1"/>
  <c r="AG59" i="1"/>
  <c r="AG67" i="1"/>
  <c r="AG72" i="1"/>
  <c r="AG80" i="1"/>
  <c r="AG88" i="1"/>
  <c r="AG161" i="1"/>
  <c r="AG169" i="1"/>
  <c r="AG171" i="1"/>
  <c r="AG183" i="1"/>
  <c r="AG191" i="1"/>
  <c r="AG194" i="1"/>
  <c r="AG101" i="1"/>
  <c r="AG107" i="1"/>
  <c r="AG115" i="1"/>
  <c r="AG124" i="1"/>
  <c r="AG132" i="1"/>
  <c r="AG141" i="1"/>
  <c r="AG151" i="1"/>
  <c r="AG199" i="1"/>
  <c r="AG176" i="1"/>
  <c r="AG152" i="1"/>
  <c r="AG214" i="1"/>
  <c r="AG22" i="1"/>
  <c r="AG16" i="1"/>
  <c r="AG52" i="1"/>
  <c r="AG68" i="1"/>
  <c r="AG81" i="1"/>
  <c r="AG162" i="1"/>
  <c r="AG173" i="1"/>
  <c r="AG97" i="1"/>
  <c r="AG211" i="1"/>
  <c r="AG121" i="1"/>
  <c r="AG138" i="1"/>
  <c r="AG156" i="1"/>
  <c r="AG207" i="1"/>
  <c r="AG217" i="1"/>
  <c r="AG37" i="1"/>
  <c r="AG36" i="1"/>
  <c r="AG60" i="1"/>
  <c r="AG73" i="1"/>
  <c r="AG89" i="1"/>
  <c r="AG95" i="1"/>
  <c r="AG184" i="1"/>
  <c r="AG98" i="1"/>
  <c r="AG112" i="1"/>
  <c r="AG129" i="1"/>
  <c r="AG147" i="1"/>
  <c r="AG203" i="1"/>
  <c r="AG213" i="1"/>
  <c r="AG221" i="1"/>
  <c r="AG45" i="1"/>
  <c r="AG44" i="1"/>
  <c r="AG64" i="1"/>
  <c r="AG77" i="1"/>
  <c r="AG93" i="1"/>
  <c r="AG188" i="1"/>
  <c r="AG102" i="1"/>
  <c r="AG116" i="1"/>
  <c r="AG134" i="1"/>
  <c r="AG204" i="1"/>
  <c r="AG222" i="1"/>
  <c r="AG30" i="1"/>
  <c r="AG27" i="1"/>
  <c r="AG56" i="1"/>
  <c r="AG19" i="1"/>
  <c r="AG85" i="1"/>
  <c r="AG166" i="1"/>
  <c r="AG96" i="1"/>
  <c r="AG195" i="1"/>
  <c r="AG108" i="1"/>
  <c r="AG125" i="1"/>
  <c r="AG143" i="1"/>
  <c r="AG200" i="1"/>
  <c r="AG208" i="1"/>
  <c r="AG218" i="1"/>
  <c r="W16" i="3"/>
  <c r="W20" i="3"/>
  <c r="W7" i="3"/>
  <c r="W17" i="3"/>
  <c r="W18" i="3"/>
  <c r="W12" i="3"/>
  <c r="W22" i="3"/>
  <c r="W13" i="3"/>
  <c r="W9" i="3"/>
  <c r="W23" i="3"/>
  <c r="W11" i="3"/>
  <c r="W21" i="3"/>
  <c r="W8" i="3"/>
  <c r="W19" i="3"/>
  <c r="W14" i="3"/>
  <c r="W10" i="3"/>
  <c r="AC11" i="3" l="1"/>
  <c r="AD20" i="3"/>
  <c r="AD11" i="3"/>
  <c r="AC10" i="3"/>
  <c r="AA209" i="1"/>
  <c r="AA147" i="1"/>
  <c r="AA145" i="1"/>
  <c r="AA129" i="1"/>
  <c r="AA127" i="1"/>
  <c r="AA112" i="1"/>
  <c r="AA110" i="1"/>
  <c r="AA98" i="1"/>
  <c r="AA197" i="1"/>
  <c r="AA188" i="1"/>
  <c r="AA184" i="1"/>
  <c r="AA180" i="1"/>
  <c r="AA160" i="1"/>
  <c r="AA45" i="1"/>
  <c r="AA36" i="1"/>
  <c r="AA161" i="1"/>
  <c r="AA80" i="1"/>
  <c r="AA69" i="1"/>
  <c r="X67" i="1"/>
  <c r="X63" i="1"/>
  <c r="AA46" i="1"/>
  <c r="AA37" i="1"/>
  <c r="AA213" i="1"/>
  <c r="AA207" i="1"/>
  <c r="AA203" i="1"/>
  <c r="AA156" i="1"/>
  <c r="AA154" i="1"/>
  <c r="AA153" i="1"/>
  <c r="AA138" i="1"/>
  <c r="AA136" i="1"/>
  <c r="AA135" i="1"/>
  <c r="AA121" i="1"/>
  <c r="AA118" i="1"/>
  <c r="AA117" i="1"/>
  <c r="AA211" i="1"/>
  <c r="AA104" i="1"/>
  <c r="AA103" i="1"/>
  <c r="AA97" i="1"/>
  <c r="X191" i="1"/>
  <c r="AA178" i="1"/>
  <c r="AA92" i="1"/>
  <c r="AA50" i="1"/>
  <c r="AA222" i="1"/>
  <c r="AA218" i="1"/>
  <c r="X217" i="1"/>
  <c r="X216" i="1"/>
  <c r="AA208" i="1"/>
  <c r="AA201" i="1"/>
  <c r="AA200" i="1"/>
  <c r="AA158" i="1"/>
  <c r="AA143" i="1"/>
  <c r="AA140" i="1"/>
  <c r="AA125" i="1"/>
  <c r="AA123" i="1"/>
  <c r="AA108" i="1"/>
  <c r="AA106" i="1"/>
  <c r="AA195" i="1"/>
  <c r="AA193" i="1"/>
  <c r="AA187" i="1"/>
  <c r="AA179" i="1"/>
  <c r="AA169" i="1"/>
  <c r="AA164" i="1"/>
  <c r="AA88" i="1"/>
  <c r="AA83" i="1"/>
  <c r="AA62" i="1"/>
  <c r="AA61" i="1"/>
  <c r="X61" i="1"/>
  <c r="X54" i="1"/>
  <c r="AA53" i="1"/>
  <c r="AA52" i="1"/>
  <c r="AA42" i="1"/>
  <c r="AA35" i="1"/>
  <c r="AA23" i="1"/>
  <c r="AA212" i="1"/>
  <c r="X221" i="1"/>
  <c r="X220" i="1"/>
  <c r="T218" i="1"/>
  <c r="X218" i="1"/>
  <c r="X222" i="1"/>
  <c r="X213" i="1"/>
  <c r="X212" i="1"/>
  <c r="T208" i="1"/>
  <c r="X208" i="1"/>
  <c r="AA220" i="1"/>
  <c r="AA183" i="1"/>
  <c r="T69" i="1"/>
  <c r="T63" i="1"/>
  <c r="T53" i="1"/>
  <c r="AA190" i="1"/>
  <c r="AA189" i="1"/>
  <c r="AA182" i="1"/>
  <c r="AA181" i="1"/>
  <c r="AA66" i="1"/>
  <c r="AA60" i="1"/>
  <c r="T54" i="1"/>
  <c r="AA47" i="1"/>
  <c r="AA39" i="1"/>
  <c r="AA21" i="1"/>
  <c r="AA17" i="1"/>
  <c r="AA215" i="1"/>
  <c r="AA214" i="1"/>
  <c r="AA205" i="1"/>
  <c r="AA204" i="1"/>
  <c r="X202" i="1"/>
  <c r="AA186" i="1"/>
  <c r="AA185" i="1"/>
  <c r="AA74" i="1"/>
  <c r="AA73" i="1"/>
  <c r="AA72" i="1"/>
  <c r="AA71" i="1"/>
  <c r="AA70" i="1"/>
  <c r="AA64" i="1"/>
  <c r="AA51" i="1"/>
  <c r="AA43" i="1"/>
  <c r="AA19" i="1"/>
  <c r="AA15" i="1"/>
  <c r="AI15" i="1"/>
  <c r="U15" i="1"/>
  <c r="S15" i="1" s="1"/>
  <c r="U222" i="1"/>
  <c r="S222" i="1" s="1"/>
  <c r="AI222" i="1"/>
  <c r="AI221" i="1"/>
  <c r="U220" i="1"/>
  <c r="S220" i="1" s="1"/>
  <c r="AI220" i="1"/>
  <c r="U219" i="1"/>
  <c r="S219" i="1" s="1"/>
  <c r="AI219" i="1"/>
  <c r="U218" i="1"/>
  <c r="S218" i="1" s="1"/>
  <c r="AI218" i="1"/>
  <c r="AI217" i="1"/>
  <c r="U216" i="1"/>
  <c r="S216" i="1" s="1"/>
  <c r="AI216" i="1"/>
  <c r="U215" i="1"/>
  <c r="S215" i="1" s="1"/>
  <c r="AI215" i="1"/>
  <c r="U214" i="1"/>
  <c r="S214" i="1" s="1"/>
  <c r="AI214" i="1"/>
  <c r="AI213" i="1"/>
  <c r="U212" i="1"/>
  <c r="S212" i="1" s="1"/>
  <c r="AI212" i="1"/>
  <c r="U209" i="1"/>
  <c r="S209" i="1" s="1"/>
  <c r="AI211" i="1"/>
  <c r="U208" i="1"/>
  <c r="S208" i="1" s="1"/>
  <c r="AI210" i="1"/>
  <c r="AI209" i="1"/>
  <c r="U206" i="1"/>
  <c r="S206" i="1" s="1"/>
  <c r="AI208" i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U114" i="1"/>
  <c r="S114" i="1" s="1"/>
  <c r="AI160" i="1"/>
  <c r="U113" i="1"/>
  <c r="S113" i="1" s="1"/>
  <c r="AI158" i="1"/>
  <c r="U112" i="1"/>
  <c r="S112" i="1" s="1"/>
  <c r="AI157" i="1"/>
  <c r="U111" i="1"/>
  <c r="S111" i="1" s="1"/>
  <c r="AI156" i="1"/>
  <c r="U110" i="1"/>
  <c r="S110" i="1" s="1"/>
  <c r="AI155" i="1"/>
  <c r="U109" i="1"/>
  <c r="S109" i="1" s="1"/>
  <c r="AI154" i="1"/>
  <c r="U108" i="1"/>
  <c r="S108" i="1" s="1"/>
  <c r="AI153" i="1"/>
  <c r="W108" i="1"/>
  <c r="U107" i="1"/>
  <c r="S107" i="1" s="1"/>
  <c r="AI152" i="1"/>
  <c r="W107" i="1"/>
  <c r="U106" i="1"/>
  <c r="S106" i="1" s="1"/>
  <c r="AI151" i="1"/>
  <c r="W106" i="1"/>
  <c r="U105" i="1"/>
  <c r="S105" i="1" s="1"/>
  <c r="AI150" i="1"/>
  <c r="W105" i="1"/>
  <c r="U211" i="1"/>
  <c r="S211" i="1" s="1"/>
  <c r="AI148" i="1"/>
  <c r="W211" i="1"/>
  <c r="U210" i="1"/>
  <c r="S210" i="1" s="1"/>
  <c r="AI147" i="1"/>
  <c r="W210" i="1"/>
  <c r="U104" i="1"/>
  <c r="S104" i="1" s="1"/>
  <c r="AI146" i="1"/>
  <c r="W104" i="1"/>
  <c r="U103" i="1"/>
  <c r="S103" i="1" s="1"/>
  <c r="AI145" i="1"/>
  <c r="W103" i="1"/>
  <c r="U102" i="1"/>
  <c r="S102" i="1" s="1"/>
  <c r="AI144" i="1"/>
  <c r="W102" i="1"/>
  <c r="U101" i="1"/>
  <c r="S101" i="1" s="1"/>
  <c r="AI143" i="1"/>
  <c r="W101" i="1"/>
  <c r="U100" i="1"/>
  <c r="S100" i="1" s="1"/>
  <c r="AI141" i="1"/>
  <c r="W100" i="1"/>
  <c r="U99" i="1"/>
  <c r="S99" i="1" s="1"/>
  <c r="AI140" i="1"/>
  <c r="W99" i="1"/>
  <c r="U98" i="1"/>
  <c r="S98" i="1" s="1"/>
  <c r="AI139" i="1"/>
  <c r="W98" i="1"/>
  <c r="U198" i="1"/>
  <c r="S198" i="1" s="1"/>
  <c r="AI138" i="1"/>
  <c r="W198" i="1"/>
  <c r="U197" i="1"/>
  <c r="S197" i="1" s="1"/>
  <c r="AI137" i="1"/>
  <c r="W197" i="1"/>
  <c r="U196" i="1"/>
  <c r="S196" i="1" s="1"/>
  <c r="AI136" i="1"/>
  <c r="W196" i="1"/>
  <c r="U195" i="1"/>
  <c r="S195" i="1" s="1"/>
  <c r="AI135" i="1"/>
  <c r="W195" i="1"/>
  <c r="U194" i="1"/>
  <c r="AI134" i="1"/>
  <c r="W194" i="1"/>
  <c r="AI132" i="1"/>
  <c r="U192" i="1"/>
  <c r="S192" i="1" s="1"/>
  <c r="AI131" i="1"/>
  <c r="AI130" i="1"/>
  <c r="U191" i="1"/>
  <c r="S191" i="1" s="1"/>
  <c r="AI129" i="1"/>
  <c r="AI128" i="1"/>
  <c r="AI127" i="1"/>
  <c r="U189" i="1"/>
  <c r="S189" i="1" s="1"/>
  <c r="AI126" i="1"/>
  <c r="AI125" i="1"/>
  <c r="U187" i="1"/>
  <c r="S187" i="1" s="1"/>
  <c r="AI124" i="1"/>
  <c r="AI123" i="1"/>
  <c r="U185" i="1"/>
  <c r="AI122" i="1"/>
  <c r="AI121" i="1"/>
  <c r="U183" i="1"/>
  <c r="S183" i="1" s="1"/>
  <c r="AI119" i="1"/>
  <c r="AI118" i="1"/>
  <c r="U181" i="1"/>
  <c r="S181" i="1" s="1"/>
  <c r="AI117" i="1"/>
  <c r="AI115" i="1"/>
  <c r="AI113" i="1"/>
  <c r="AI111" i="1"/>
  <c r="AI109" i="1"/>
  <c r="AI107" i="1"/>
  <c r="AI116" i="1"/>
  <c r="W180" i="1"/>
  <c r="AI114" i="1"/>
  <c r="W178" i="1"/>
  <c r="AI112" i="1"/>
  <c r="W176" i="1"/>
  <c r="AI110" i="1"/>
  <c r="W174" i="1"/>
  <c r="AI108" i="1"/>
  <c r="W172" i="1"/>
  <c r="AI106" i="1"/>
  <c r="W170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19" i="1"/>
  <c r="U19" i="1"/>
  <c r="S19" i="1" s="1"/>
  <c r="AI21" i="1"/>
  <c r="U21" i="1"/>
  <c r="S21" i="1" s="1"/>
  <c r="AI17" i="1"/>
  <c r="U17" i="1"/>
  <c r="S17" i="1" s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U55" i="1"/>
  <c r="S55" i="1" s="1"/>
  <c r="AI55" i="1"/>
  <c r="U54" i="1"/>
  <c r="S54" i="1" s="1"/>
  <c r="AI54" i="1"/>
  <c r="AI53" i="1"/>
  <c r="U53" i="1"/>
  <c r="S53" i="1" s="1"/>
  <c r="AI52" i="1"/>
  <c r="W52" i="1"/>
  <c r="AI50" i="1"/>
  <c r="W50" i="1"/>
  <c r="AI48" i="1"/>
  <c r="W48" i="1"/>
  <c r="AI46" i="1"/>
  <c r="W46" i="1"/>
  <c r="AI44" i="1"/>
  <c r="W44" i="1"/>
  <c r="AI42" i="1"/>
  <c r="W42" i="1"/>
  <c r="AI40" i="1"/>
  <c r="W40" i="1"/>
  <c r="AI38" i="1"/>
  <c r="W38" i="1"/>
  <c r="AI36" i="1"/>
  <c r="W36" i="1"/>
  <c r="AI33" i="1"/>
  <c r="AI31" i="1"/>
  <c r="AI29" i="1"/>
  <c r="AI27" i="1"/>
  <c r="AI25" i="1"/>
  <c r="AI23" i="1"/>
  <c r="AI20" i="1"/>
  <c r="U20" i="1"/>
  <c r="AI16" i="1"/>
  <c r="U16" i="1"/>
  <c r="S16" i="1" s="1"/>
  <c r="AI51" i="1"/>
  <c r="AI49" i="1"/>
  <c r="AI47" i="1"/>
  <c r="AI45" i="1"/>
  <c r="AI43" i="1"/>
  <c r="AI41" i="1"/>
  <c r="AI39" i="1"/>
  <c r="AI37" i="1"/>
  <c r="AI35" i="1"/>
  <c r="AI34" i="1"/>
  <c r="AI32" i="1"/>
  <c r="AI30" i="1"/>
  <c r="AI28" i="1"/>
  <c r="AI26" i="1"/>
  <c r="AI24" i="1"/>
  <c r="AI22" i="1"/>
  <c r="U22" i="1"/>
  <c r="S22" i="1" s="1"/>
  <c r="AI18" i="1"/>
  <c r="U18" i="1"/>
  <c r="S18" i="1" s="1"/>
  <c r="AI14" i="1"/>
  <c r="U14" i="1"/>
  <c r="S14" i="1" s="1"/>
  <c r="W222" i="1"/>
  <c r="W221" i="1"/>
  <c r="W220" i="1"/>
  <c r="W213" i="1"/>
  <c r="W212" i="1"/>
  <c r="W157" i="1"/>
  <c r="W153" i="1"/>
  <c r="W148" i="1"/>
  <c r="W144" i="1"/>
  <c r="W139" i="1"/>
  <c r="W135" i="1"/>
  <c r="W130" i="1"/>
  <c r="W126" i="1"/>
  <c r="W122" i="1"/>
  <c r="W117" i="1"/>
  <c r="W113" i="1"/>
  <c r="W109" i="1"/>
  <c r="W216" i="1"/>
  <c r="W215" i="1"/>
  <c r="W214" i="1"/>
  <c r="W219" i="1"/>
  <c r="W218" i="1"/>
  <c r="W209" i="1"/>
  <c r="W208" i="1"/>
  <c r="W156" i="1"/>
  <c r="W152" i="1"/>
  <c r="W147" i="1"/>
  <c r="W143" i="1"/>
  <c r="W138" i="1"/>
  <c r="W134" i="1"/>
  <c r="W129" i="1"/>
  <c r="W125" i="1"/>
  <c r="W121" i="1"/>
  <c r="W116" i="1"/>
  <c r="W112" i="1"/>
  <c r="W217" i="1"/>
  <c r="W207" i="1"/>
  <c r="W206" i="1"/>
  <c r="W202" i="1"/>
  <c r="W200" i="1"/>
  <c r="W199" i="1"/>
  <c r="W155" i="1"/>
  <c r="W151" i="1"/>
  <c r="W146" i="1"/>
  <c r="W141" i="1"/>
  <c r="W137" i="1"/>
  <c r="W132" i="1"/>
  <c r="W128" i="1"/>
  <c r="W124" i="1"/>
  <c r="W119" i="1"/>
  <c r="W115" i="1"/>
  <c r="W111" i="1"/>
  <c r="W205" i="1"/>
  <c r="W204" i="1"/>
  <c r="W203" i="1"/>
  <c r="W201" i="1"/>
  <c r="W158" i="1"/>
  <c r="W154" i="1"/>
  <c r="W150" i="1"/>
  <c r="W145" i="1"/>
  <c r="W140" i="1"/>
  <c r="W136" i="1"/>
  <c r="W131" i="1"/>
  <c r="W127" i="1"/>
  <c r="W123" i="1"/>
  <c r="W118" i="1"/>
  <c r="W114" i="1"/>
  <c r="W110" i="1"/>
  <c r="X219" i="1"/>
  <c r="X215" i="1"/>
  <c r="X209" i="1"/>
  <c r="X205" i="1"/>
  <c r="T204" i="1"/>
  <c r="U204" i="1" s="1"/>
  <c r="S204" i="1" s="1"/>
  <c r="T202" i="1"/>
  <c r="U202" i="1" s="1"/>
  <c r="S202" i="1" s="1"/>
  <c r="T200" i="1"/>
  <c r="U200" i="1" s="1"/>
  <c r="S200" i="1" s="1"/>
  <c r="X184" i="1"/>
  <c r="T184" i="1"/>
  <c r="U184" i="1" s="1"/>
  <c r="S184" i="1" s="1"/>
  <c r="X185" i="1"/>
  <c r="X56" i="1"/>
  <c r="T56" i="1"/>
  <c r="U56" i="1" s="1"/>
  <c r="S56" i="1" s="1"/>
  <c r="X57" i="1"/>
  <c r="T51" i="1"/>
  <c r="U51" i="1" s="1"/>
  <c r="S51" i="1" s="1"/>
  <c r="X51" i="1"/>
  <c r="T221" i="1"/>
  <c r="U221" i="1" s="1"/>
  <c r="S221" i="1" s="1"/>
  <c r="T217" i="1"/>
  <c r="U217" i="1" s="1"/>
  <c r="S217" i="1" s="1"/>
  <c r="T213" i="1"/>
  <c r="U213" i="1" s="1"/>
  <c r="S213" i="1" s="1"/>
  <c r="T207" i="1"/>
  <c r="U207" i="1" s="1"/>
  <c r="S207" i="1" s="1"/>
  <c r="X97" i="1"/>
  <c r="T97" i="1"/>
  <c r="U97" i="1" s="1"/>
  <c r="S97" i="1" s="1"/>
  <c r="X192" i="1"/>
  <c r="X193" i="1"/>
  <c r="T193" i="1"/>
  <c r="U193" i="1" s="1"/>
  <c r="S193" i="1" s="1"/>
  <c r="X194" i="1"/>
  <c r="W97" i="1"/>
  <c r="W191" i="1"/>
  <c r="X186" i="1"/>
  <c r="T186" i="1"/>
  <c r="U186" i="1" s="1"/>
  <c r="S186" i="1" s="1"/>
  <c r="X187" i="1"/>
  <c r="X190" i="1"/>
  <c r="T190" i="1"/>
  <c r="U190" i="1" s="1"/>
  <c r="S190" i="1" s="1"/>
  <c r="X182" i="1"/>
  <c r="T182" i="1"/>
  <c r="U182" i="1" s="1"/>
  <c r="S182" i="1" s="1"/>
  <c r="X183" i="1"/>
  <c r="W96" i="1"/>
  <c r="W179" i="1"/>
  <c r="W177" i="1"/>
  <c r="W175" i="1"/>
  <c r="W173" i="1"/>
  <c r="W171" i="1"/>
  <c r="T199" i="1"/>
  <c r="U199" i="1" s="1"/>
  <c r="S199" i="1" s="1"/>
  <c r="T158" i="1"/>
  <c r="U158" i="1" s="1"/>
  <c r="S158" i="1" s="1"/>
  <c r="T157" i="1"/>
  <c r="U157" i="1" s="1"/>
  <c r="S157" i="1" s="1"/>
  <c r="T156" i="1"/>
  <c r="U156" i="1" s="1"/>
  <c r="S156" i="1" s="1"/>
  <c r="T155" i="1"/>
  <c r="U155" i="1" s="1"/>
  <c r="S155" i="1" s="1"/>
  <c r="T154" i="1"/>
  <c r="U154" i="1" s="1"/>
  <c r="S154" i="1" s="1"/>
  <c r="T153" i="1"/>
  <c r="U153" i="1" s="1"/>
  <c r="S153" i="1" s="1"/>
  <c r="T152" i="1"/>
  <c r="U152" i="1" s="1"/>
  <c r="S152" i="1" s="1"/>
  <c r="T151" i="1"/>
  <c r="U151" i="1" s="1"/>
  <c r="T150" i="1"/>
  <c r="U150" i="1" s="1"/>
  <c r="S150" i="1" s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T143" i="1"/>
  <c r="U143" i="1" s="1"/>
  <c r="S143" i="1" s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T135" i="1"/>
  <c r="U135" i="1" s="1"/>
  <c r="S135" i="1" s="1"/>
  <c r="T134" i="1"/>
  <c r="U134" i="1" s="1"/>
  <c r="S134" i="1" s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W193" i="1"/>
  <c r="W192" i="1"/>
  <c r="X188" i="1"/>
  <c r="T188" i="1"/>
  <c r="U188" i="1" s="1"/>
  <c r="S188" i="1" s="1"/>
  <c r="X189" i="1"/>
  <c r="T96" i="1"/>
  <c r="U96" i="1" s="1"/>
  <c r="S96" i="1" s="1"/>
  <c r="X96" i="1"/>
  <c r="X181" i="1"/>
  <c r="T179" i="1"/>
  <c r="U179" i="1" s="1"/>
  <c r="S179" i="1" s="1"/>
  <c r="X179" i="1"/>
  <c r="T177" i="1"/>
  <c r="U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W169" i="1"/>
  <c r="W165" i="1"/>
  <c r="W161" i="1"/>
  <c r="W92" i="1"/>
  <c r="W88" i="1"/>
  <c r="W84" i="1"/>
  <c r="W80" i="1"/>
  <c r="W76" i="1"/>
  <c r="W75" i="1"/>
  <c r="W74" i="1"/>
  <c r="W73" i="1"/>
  <c r="W72" i="1"/>
  <c r="W71" i="1"/>
  <c r="W70" i="1"/>
  <c r="W69" i="1"/>
  <c r="X114" i="1"/>
  <c r="X113" i="1"/>
  <c r="X112" i="1"/>
  <c r="X111" i="1"/>
  <c r="X110" i="1"/>
  <c r="X109" i="1"/>
  <c r="X108" i="1"/>
  <c r="X107" i="1"/>
  <c r="X106" i="1"/>
  <c r="X105" i="1"/>
  <c r="X211" i="1"/>
  <c r="X210" i="1"/>
  <c r="X104" i="1"/>
  <c r="X103" i="1"/>
  <c r="X102" i="1"/>
  <c r="X101" i="1"/>
  <c r="X100" i="1"/>
  <c r="X99" i="1"/>
  <c r="X98" i="1"/>
  <c r="X197" i="1"/>
  <c r="X196" i="1"/>
  <c r="X195" i="1"/>
  <c r="W190" i="1"/>
  <c r="W188" i="1"/>
  <c r="W186" i="1"/>
  <c r="W184" i="1"/>
  <c r="W182" i="1"/>
  <c r="W95" i="1"/>
  <c r="W166" i="1"/>
  <c r="W162" i="1"/>
  <c r="W93" i="1"/>
  <c r="W89" i="1"/>
  <c r="W85" i="1"/>
  <c r="W81" i="1"/>
  <c r="W77" i="1"/>
  <c r="X64" i="1"/>
  <c r="T64" i="1"/>
  <c r="U64" i="1" s="1"/>
  <c r="S64" i="1" s="1"/>
  <c r="X65" i="1"/>
  <c r="W189" i="1"/>
  <c r="W187" i="1"/>
  <c r="W185" i="1"/>
  <c r="W183" i="1"/>
  <c r="W181" i="1"/>
  <c r="W168" i="1"/>
  <c r="W164" i="1"/>
  <c r="W160" i="1"/>
  <c r="W91" i="1"/>
  <c r="W87" i="1"/>
  <c r="W83" i="1"/>
  <c r="W79" i="1"/>
  <c r="W62" i="1"/>
  <c r="W61" i="1"/>
  <c r="T28" i="1"/>
  <c r="U28" i="1" s="1"/>
  <c r="S28" i="1" s="1"/>
  <c r="X28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W167" i="1"/>
  <c r="W163" i="1"/>
  <c r="W94" i="1"/>
  <c r="W90" i="1"/>
  <c r="W86" i="1"/>
  <c r="W82" i="1"/>
  <c r="W78" i="1"/>
  <c r="X66" i="1"/>
  <c r="T66" i="1"/>
  <c r="U66" i="1" s="1"/>
  <c r="S66" i="1" s="1"/>
  <c r="W64" i="1"/>
  <c r="W63" i="1"/>
  <c r="X58" i="1"/>
  <c r="T58" i="1"/>
  <c r="U58" i="1" s="1"/>
  <c r="S58" i="1" s="1"/>
  <c r="W56" i="1"/>
  <c r="W55" i="1"/>
  <c r="W45" i="1"/>
  <c r="T95" i="1"/>
  <c r="U95" i="1" s="1"/>
  <c r="S95" i="1" s="1"/>
  <c r="X95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T162" i="1"/>
  <c r="U162" i="1" s="1"/>
  <c r="S162" i="1" s="1"/>
  <c r="T161" i="1"/>
  <c r="U161" i="1" s="1"/>
  <c r="S161" i="1" s="1"/>
  <c r="T160" i="1"/>
  <c r="U160" i="1" s="1"/>
  <c r="S160" i="1" s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X70" i="1"/>
  <c r="T70" i="1"/>
  <c r="U70" i="1" s="1"/>
  <c r="S70" i="1" s="1"/>
  <c r="W68" i="1"/>
  <c r="W67" i="1"/>
  <c r="X62" i="1"/>
  <c r="T62" i="1"/>
  <c r="U62" i="1" s="1"/>
  <c r="S62" i="1" s="1"/>
  <c r="W60" i="1"/>
  <c r="W59" i="1"/>
  <c r="W37" i="1"/>
  <c r="X68" i="1"/>
  <c r="T68" i="1"/>
  <c r="U68" i="1" s="1"/>
  <c r="S68" i="1" s="1"/>
  <c r="W66" i="1"/>
  <c r="W65" i="1"/>
  <c r="X60" i="1"/>
  <c r="T60" i="1"/>
  <c r="U60" i="1" s="1"/>
  <c r="S60" i="1" s="1"/>
  <c r="W58" i="1"/>
  <c r="W57" i="1"/>
  <c r="T43" i="1"/>
  <c r="U43" i="1" s="1"/>
  <c r="S43" i="1" s="1"/>
  <c r="X43" i="1"/>
  <c r="W21" i="1"/>
  <c r="W54" i="1"/>
  <c r="W51" i="1"/>
  <c r="T49" i="1"/>
  <c r="U49" i="1" s="1"/>
  <c r="S49" i="1" s="1"/>
  <c r="X49" i="1"/>
  <c r="W43" i="1"/>
  <c r="T41" i="1"/>
  <c r="U41" i="1" s="1"/>
  <c r="S41" i="1" s="1"/>
  <c r="X41" i="1"/>
  <c r="T35" i="1"/>
  <c r="U35" i="1" s="1"/>
  <c r="S35" i="1" s="1"/>
  <c r="X35" i="1"/>
  <c r="T34" i="1"/>
  <c r="U34" i="1" s="1"/>
  <c r="S34" i="1" s="1"/>
  <c r="X34" i="1"/>
  <c r="T26" i="1"/>
  <c r="U26" i="1" s="1"/>
  <c r="S26" i="1" s="1"/>
  <c r="X26" i="1"/>
  <c r="W47" i="1"/>
  <c r="T45" i="1"/>
  <c r="U45" i="1" s="1"/>
  <c r="S45" i="1" s="1"/>
  <c r="X45" i="1"/>
  <c r="W39" i="1"/>
  <c r="T37" i="1"/>
  <c r="U37" i="1" s="1"/>
  <c r="S37" i="1" s="1"/>
  <c r="X37" i="1"/>
  <c r="T30" i="1"/>
  <c r="U30" i="1" s="1"/>
  <c r="S30" i="1" s="1"/>
  <c r="X30" i="1"/>
  <c r="W53" i="1"/>
  <c r="W49" i="1"/>
  <c r="T47" i="1"/>
  <c r="U47" i="1" s="1"/>
  <c r="S47" i="1" s="1"/>
  <c r="X47" i="1"/>
  <c r="W41" i="1"/>
  <c r="T39" i="1"/>
  <c r="U39" i="1" s="1"/>
  <c r="S39" i="1" s="1"/>
  <c r="X39" i="1"/>
  <c r="W35" i="1"/>
  <c r="T32" i="1"/>
  <c r="U32" i="1" s="1"/>
  <c r="S32" i="1" s="1"/>
  <c r="X32" i="1"/>
  <c r="T24" i="1"/>
  <c r="U24" i="1" s="1"/>
  <c r="S24" i="1" s="1"/>
  <c r="X24" i="1"/>
  <c r="W17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X25" i="1"/>
  <c r="T23" i="1"/>
  <c r="U23" i="1" s="1"/>
  <c r="S23" i="1" s="1"/>
  <c r="X23" i="1"/>
  <c r="W19" i="1"/>
  <c r="W15" i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8" i="1"/>
  <c r="W18" i="1" s="1"/>
  <c r="AA14" i="1"/>
  <c r="W14" i="1" s="1"/>
  <c r="AA33" i="1"/>
  <c r="W33" i="1" s="1"/>
  <c r="AA31" i="1"/>
  <c r="W31" i="1" s="1"/>
  <c r="AA29" i="1"/>
  <c r="W29" i="1" s="1"/>
  <c r="AA27" i="1"/>
  <c r="W27" i="1" s="1"/>
  <c r="AA25" i="1"/>
  <c r="W25" i="1" s="1"/>
  <c r="W23" i="1"/>
  <c r="AA20" i="1"/>
  <c r="W20" i="1" s="1"/>
  <c r="AA16" i="1"/>
  <c r="W16" i="1" s="1"/>
  <c r="X22" i="1"/>
  <c r="X21" i="1"/>
  <c r="X20" i="1"/>
  <c r="X19" i="1"/>
  <c r="X18" i="1"/>
  <c r="X17" i="1"/>
  <c r="X16" i="1"/>
  <c r="X15" i="1"/>
  <c r="AD16" i="3"/>
  <c r="AC21" i="3"/>
  <c r="AE21" i="3"/>
  <c r="AE18" i="3"/>
  <c r="AD22" i="3"/>
  <c r="AD23" i="3"/>
  <c r="AD19" i="3"/>
  <c r="AD17" i="3"/>
  <c r="AE14" i="3"/>
  <c r="AC20" i="3"/>
  <c r="AD14" i="3"/>
  <c r="AD13" i="3"/>
  <c r="AD10" i="3"/>
  <c r="AE10" i="3"/>
  <c r="AD9" i="3"/>
  <c r="AC12" i="3"/>
  <c r="T12" i="3"/>
  <c r="AC23" i="3"/>
  <c r="AC17" i="3"/>
  <c r="AC7" i="3"/>
  <c r="AC22" i="3"/>
  <c r="AC14" i="3"/>
  <c r="AC13" i="3"/>
  <c r="Y10" i="3"/>
  <c r="Y21" i="3"/>
  <c r="Y13" i="3"/>
  <c r="Y17" i="3"/>
  <c r="Y11" i="3"/>
  <c r="Y22" i="3"/>
  <c r="Y7" i="3"/>
  <c r="Y14" i="3"/>
  <c r="Y23" i="3"/>
  <c r="Y12" i="3"/>
  <c r="Y20" i="3"/>
  <c r="Y19" i="3"/>
  <c r="Y9" i="3"/>
  <c r="Y18" i="3"/>
  <c r="Y16" i="3"/>
  <c r="Y8" i="3"/>
  <c r="AE23" i="3"/>
  <c r="AE20" i="3"/>
  <c r="T9" i="3"/>
  <c r="AE17" i="3"/>
  <c r="T18" i="3"/>
  <c r="AE13" i="3"/>
  <c r="T16" i="3"/>
  <c r="AE9" i="3"/>
  <c r="T8" i="3"/>
  <c r="T21" i="3"/>
  <c r="T13" i="3"/>
  <c r="AE16" i="3"/>
  <c r="T17" i="3"/>
  <c r="AC19" i="3"/>
  <c r="AE22" i="3"/>
  <c r="AC9" i="3"/>
  <c r="AE19" i="3"/>
  <c r="AC18" i="3"/>
  <c r="AC16" i="3"/>
  <c r="AD12" i="3"/>
  <c r="AE11" i="3"/>
  <c r="AC8" i="3"/>
  <c r="AD8" i="3"/>
  <c r="T19" i="3"/>
  <c r="AE12" i="3"/>
  <c r="AE8" i="3"/>
  <c r="S15" i="3"/>
  <c r="R15" i="3"/>
  <c r="M15" i="3"/>
  <c r="U15" i="3"/>
  <c r="V15" i="3"/>
  <c r="X15" i="3"/>
  <c r="AE15" i="3" l="1"/>
  <c r="T15" i="3"/>
  <c r="AD15" i="3"/>
  <c r="W15" i="3"/>
  <c r="AC15" i="3" l="1"/>
  <c r="Y15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D3" i="6" s="1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11" i="3" s="1"/>
  <c r="G36" i="4"/>
  <c r="G37" i="4"/>
  <c r="G38" i="4"/>
  <c r="G39" i="4"/>
  <c r="G40" i="4"/>
  <c r="G41" i="4"/>
  <c r="G42" i="4"/>
  <c r="N8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5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20" i="3" s="1"/>
  <c r="G112" i="4"/>
  <c r="G113" i="4"/>
  <c r="G114" i="4"/>
  <c r="G115" i="4"/>
  <c r="G116" i="4"/>
  <c r="G117" i="4"/>
  <c r="G118" i="4"/>
  <c r="G119" i="4"/>
  <c r="N7" i="3" s="1"/>
  <c r="G120" i="4"/>
  <c r="G121" i="4"/>
  <c r="G122" i="4"/>
  <c r="G123" i="4"/>
  <c r="G124" i="4"/>
  <c r="G125" i="4"/>
  <c r="G126" i="4"/>
  <c r="G127" i="4"/>
  <c r="G128" i="4"/>
  <c r="N16" i="3" s="1"/>
  <c r="G129" i="4"/>
  <c r="G130" i="4"/>
  <c r="N12" i="3" s="1"/>
  <c r="G131" i="4"/>
  <c r="G132" i="4"/>
  <c r="G133" i="4"/>
  <c r="G134" i="4"/>
  <c r="G135" i="4"/>
  <c r="G136" i="4"/>
  <c r="G137" i="4"/>
  <c r="G138" i="4"/>
  <c r="G139" i="4"/>
  <c r="N10" i="3" s="1"/>
  <c r="G140" i="4"/>
  <c r="G141" i="4"/>
  <c r="G142" i="4"/>
  <c r="G143" i="4"/>
  <c r="G144" i="4"/>
  <c r="G145" i="4"/>
  <c r="N17" i="3" s="1"/>
  <c r="G146" i="4"/>
  <c r="G147" i="4"/>
  <c r="G148" i="4"/>
  <c r="G149" i="4"/>
  <c r="G150" i="4"/>
  <c r="G151" i="4"/>
  <c r="G152" i="4"/>
  <c r="G153" i="4"/>
  <c r="G154" i="4"/>
  <c r="G155" i="4"/>
  <c r="G156" i="4"/>
  <c r="N18" i="3" s="1"/>
  <c r="G157" i="4"/>
  <c r="G158" i="4"/>
  <c r="G159" i="4"/>
  <c r="G160" i="4"/>
  <c r="G161" i="4"/>
  <c r="G162" i="4"/>
  <c r="G163" i="4"/>
  <c r="G164" i="4"/>
  <c r="G165" i="4"/>
  <c r="G166" i="4"/>
  <c r="G167" i="4"/>
  <c r="N23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13" i="3" s="1"/>
  <c r="G192" i="4"/>
  <c r="G193" i="4"/>
  <c r="G194" i="4"/>
  <c r="G195" i="4"/>
  <c r="N9" i="3" s="1"/>
  <c r="G196" i="4"/>
  <c r="G197" i="4"/>
  <c r="G198" i="4"/>
  <c r="G199" i="4"/>
  <c r="N22" i="3" s="1"/>
  <c r="G200" i="4"/>
  <c r="N14" i="3" s="1"/>
  <c r="G201" i="4"/>
  <c r="G202" i="4"/>
  <c r="G203" i="4"/>
  <c r="G204" i="4"/>
  <c r="N19" i="3" s="1"/>
  <c r="G205" i="4"/>
  <c r="G206" i="4"/>
  <c r="N21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<sst xmlns="http://schemas.openxmlformats.org/spreadsheetml/2006/main" count="2675" uniqueCount="1065">
  <si>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</si>
  <si>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</si>
  <si>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</si>
  <si>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</si>
  <si>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</si>
  <si>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</si>
  <si>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</si>
  <si>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</si>
  <si>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</si>
  <si>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</si>
  <si>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</si>
  <si>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</si>
  <si>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</si>
  <si>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</si>
  <si>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</si>
  <si>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</si>
  <si>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</si>
  <si>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</si>
  <si>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</si>
  <si>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</si>
  <si>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</si>
  <si>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</si>
  <si>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</si>
  <si>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</si>
  <si>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</si>
  <si>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</si>
  <si>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</si>
  <si>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</si>
  <si>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</si>
  <si>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</si>
  <si>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</si>
  <si>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</si>
  <si>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</si>
  <si>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</si>
  <si>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</si>
  <si>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</si>
  <si>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</si>
  <si>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</si>
  <si>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</si>
  <si>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</si>
  <si>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</si>
  <si>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</si>
  <si>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</si>
  <si>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</si>
  <si>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</si>
  <si>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</si>
  <si>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</si>
  <si>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</si>
  <si>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</si>
  <si>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</si>
  <si>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</si>
  <si>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</si>
  <si>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</si>
  <si>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</si>
  <si>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</si>
  <si>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</si>
  <si>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</si>
  <si>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</si>
  <si>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</si>
  <si>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</si>
  <si>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</si>
  <si>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</si>
  <si>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</si>
  <si>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</si>
  <si>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</si>
  <si>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</si>
  <si>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</si>
  <si>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</si>
  <si>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</si>
  <si>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</si>
  <si>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</si>
  <si>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</si>
  <si>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</si>
  <si>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</si>
  <si>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</si>
  <si>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</si>
  <si>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</si>
  <si>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</si>
  <si>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</si>
  <si>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</si>
  <si>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</si>
  <si>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</si>
  <si>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</si>
  <si>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</si>
  <si>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</si>
  <si>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</si>
  <si>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</si>
  <si>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</si>
  <si>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</si>
  <si>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</si>
  <si>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</si>
  <si>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</si>
  <si>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</si>
  <si>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</si>
  <si>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</si>
  <si>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</si>
  <si>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</si>
  <si>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</si>
  <si>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</si>
  <si>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</si>
  <si>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</si>
  <si>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</si>
  <si>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</si>
  <si>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</si>
  <si>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</si>
  <si>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</si>
  <si>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</si>
  <si>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</si>
  <si>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</si>
  <si>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</si>
  <si>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</si>
  <si>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</si>
  <si>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</si>
  <si>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</si>
  <si>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</si>
  <si>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</si>
  <si>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</si>
  <si>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</si>
  <si>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</si>
  <si>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</si>
  <si>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</si>
  <si>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</si>
  <si>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</si>
  <si>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</si>
  <si>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</si>
  <si>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</si>
  <si>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</si>
  <si>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</si>
  <si>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</si>
  <si>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</si>
  <si>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</si>
  <si>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</si>
  <si>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</si>
  <si>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</si>
  <si>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</si>
  <si>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</si>
  <si>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</si>
  <si>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</si>
  <si>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</si>
  <si>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</si>
  <si>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</si>
  <si>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</si>
  <si>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</si>
  <si>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</si>
  <si>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</si>
  <si>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</si>
  <si>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</si>
  <si>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</si>
  <si>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</si>
  <si>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</si>
  <si>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</si>
  <si>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</si>
  <si>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</si>
  <si>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</si>
  <si>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</si>
  <si>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</si>
  <si>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</si>
  <si>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</si>
  <si>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</si>
  <si>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</si>
  <si>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</si>
  <si>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</si>
  <si>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</si>
  <si>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</si>
  <si>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</si>
  <si>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</si>
  <si>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</si>
  <si>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</si>
  <si>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</si>
  <si>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</si>
  <si>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</si>
  <si>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</si>
  <si>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</si>
  <si>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</si>
  <si>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</si>
  <si>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</si>
  <si>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</si>
  <si>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</si>
  <si>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</si>
  <si>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</si>
  <si>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</si>
  <si>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</si>
  <si>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</si>
  <si>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</si>
  <si>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</si>
  <si>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</si>
  <si>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</si>
  <si>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</si>
  <si>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</si>
  <si>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</si>
  <si>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</si>
  <si>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</si>
  <si>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</si>
  <si>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</si>
  <si>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</si>
  <si>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</si>
  <si>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</si>
  <si>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</si>
  <si>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</si>
  <si>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</si>
  <si>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</si>
  <si>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</si>
  <si>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</si>
  <si>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</si>
  <si>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</si>
  <si>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</si>
  <si>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</si>
  <si>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</si>
  <si>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</si>
  <si>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</si>
  <si>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</si>
  <si>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</si>
  <si>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</si>
  <si>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</si>
  <si>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</si>
  <si>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</si>
  <si>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</si>
  <si>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</si>
  <si>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</si>
  <si>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</si>
  <si>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</si>
  <si>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</si>
  <si>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</si>
  <si>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</si>
  <si>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</si>
  <si>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</si>
  <si>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</si>
  <si>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</si>
  <si>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</si>
  <si>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</si>
  <si>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</si>
  <si>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</si>
  <si>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</si>
  <si>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</si>
  <si>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</si>
  <si>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</si>
  <si>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</si>
  <si>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</si>
  <si>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</si>
  <si>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</si>
  <si>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</si>
  <si>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</si>
  <si>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</si>
  <si>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</si>
  <si>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</si>
  <si>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</si>
  <si>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</si>
  <si>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</si>
  <si>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</si>
  <si>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</si>
  <si>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</si>
  <si>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</si>
  <si>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</si>
  <si>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</si>
  <si>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</si>
  <si>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</si>
  <si>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</si>
  <si>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</si>
  <si>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</si>
  <si>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</si>
  <si>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</si>
  <si>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</si>
  <si>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</si>
  <si>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</si>
  <si>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</si>
  <si>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</si>
  <si>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</si>
  <si>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</si>
  <si>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</si>
  <si>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</si>
  <si>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</si>
  <si>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</si>
  <si>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</si>
  <si>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</si>
  <si>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</si>
  <si>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</si>
  <si>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</si>
  <si>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</si>
  <si>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</si>
  <si>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</si>
  <si>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</si>
  <si>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</si>
  <si>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</si>
  <si>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</si>
  <si>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</si>
  <si>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</si>
  <si>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</si>
  <si>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</si>
  <si>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</si>
  <si>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</si>
  <si>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</si>
  <si>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</si>
  <si>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</si>
  <si>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</si>
  <si>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</si>
  <si>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</si>
  <si>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</si>
  <si>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</si>
  <si>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</si>
  <si>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</si>
  <si>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</si>
  <si>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</si>
  <si>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</si>
  <si>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</si>
  <si>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</si>
  <si>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</si>
  <si>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</si>
  <si>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</si>
  <si>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</si>
  <si>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</si>
  <si>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</si>
  <si>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</si>
  <si>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</si>
  <si>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</si>
  <si>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</si>
  <si>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</si>
  <si>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</si>
  <si>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</si>
  <si>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</si>
  <si>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</si>
  <si>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</si>
  <si>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</si>
  <si>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</si>
  <si>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</si>
  <si>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</si>
  <si>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</si>
  <si>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</si>
  <si>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</si>
  <si>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</si>
  <si>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</si>
  <si>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</si>
  <si>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</si>
  <si>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</si>
  <si>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</si>
  <si>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</si>
  <si>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</si>
  <si>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</si>
  <si>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</si>
  <si>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</si>
  <si>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</si>
  <si>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</si>
  <si>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</si>
  <si>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</si>
  <si>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</si>
  <si>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</si>
  <si>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</si>
  <si>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</si>
  <si>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</si>
  <si>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</si>
  <si>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</si>
  <si>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</si>
  <si>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</si>
  <si>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</si>
  <si>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</si>
  <si>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</si>
  <si>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</si>
  <si>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</si>
  <si>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</si>
  <si>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</si>
  <si>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</si>
  <si>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</si>
  <si>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</si>
  <si>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</si>
  <si>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</si>
  <si>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</si>
  <si>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</si>
  <si>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</si>
  <si>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</si>
  <si>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</si>
  <si>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</si>
  <si>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</si>
  <si>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</si>
  <si>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</si>
  <si>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</si>
  <si>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</si>
  <si>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</si>
  <si>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</si>
  <si>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</si>
  <si>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</si>
  <si>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</si>
  <si>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</si>
  <si>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</si>
  <si>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</si>
  <si>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</si>
  <si>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</si>
  <si>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</si>
  <si>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</si>
  <si>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</si>
  <si>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</si>
  <si>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</si>
  <si>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</si>
  <si>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</si>
  <si>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</si>
  <si>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</si>
  <si>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</si>
  <si>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</si>
  <si>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</si>
  <si>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</si>
  <si>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</si>
  <si>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</si>
  <si>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</si>
  <si>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</si>
  <si>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</si>
  <si>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</si>
  <si>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</si>
  <si>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</si>
  <si>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</si>
  <si>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</si>
  <si>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</si>
  <si>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</si>
  <si>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</si>
  <si>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</si>
  <si>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</si>
  <si>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</si>
  <si>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</si>
  <si>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</si>
  <si>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</si>
  <si>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</si>
  <si>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</si>
  <si>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</si>
  <si>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</si>
  <si>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</si>
  <si>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</si>
  <si>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</si>
  <si>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</si>
  <si>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</si>
  <si>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</si>
  <si>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</si>
  <si>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</si>
  <si>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</si>
  <si>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</si>
  <si>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</si>
  <si>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</si>
  <si>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</si>
  <si>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</si>
  <si>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</si>
  <si>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</si>
  <si>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</si>
  <si>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</si>
  <si>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</si>
  <si>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</si>
  <si>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</si>
  <si>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</si>
  <si>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</si>
  <si>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</si>
  <si>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</si>
  <si>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</si>
  <si>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</si>
  <si>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</si>
  <si>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</si>
  <si>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</si>
  <si>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</si>
  <si>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</si>
  <si>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</si>
  <si>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</si>
  <si>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</si>
  <si>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</si>
  <si>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</si>
  <si>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</si>
  <si>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</si>
  <si>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</si>
  <si>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</si>
  <si>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</si>
  <si>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</si>
  <si>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</si>
  <si>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</si>
  <si>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</si>
  <si>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</si>
  <si>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</si>
  <si>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</si>
  <si>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</si>
  <si>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</si>
  <si>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</si>
  <si>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</si>
  <si>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</si>
  <si>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</si>
  <si>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</si>
  <si>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</si>
  <si>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</si>
  <si>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</si>
  <si>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</si>
  <si>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</si>
  <si>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</si>
  <si>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MAELZER</t>
  </si>
  <si>
    <t>KURT</t>
  </si>
  <si>
    <t>DONTE</t>
  </si>
  <si>
    <t>ANDERS</t>
  </si>
  <si>
    <t>STEVEN</t>
  </si>
  <si>
    <t>rtdc.l.rtdc.4009:itc</t>
  </si>
  <si>
    <t>204:233297</t>
  </si>
  <si>
    <t>204:201</t>
  </si>
  <si>
    <t>204:185</t>
  </si>
  <si>
    <t>rtdc.l.rtdc.4044:itc</t>
  </si>
  <si>
    <t>rtdc.l.rtdc.4043:itc</t>
  </si>
  <si>
    <t>204:205</t>
  </si>
  <si>
    <t>204:232978</t>
  </si>
  <si>
    <t>204:466</t>
  </si>
  <si>
    <t>204:149</t>
  </si>
  <si>
    <t>204:194</t>
  </si>
  <si>
    <t>Early Arrival</t>
  </si>
  <si>
    <t>204:517</t>
  </si>
  <si>
    <t>204:464</t>
  </si>
  <si>
    <t>partly-cloudy-night</t>
  </si>
  <si>
    <t>Partly Cloudy</t>
  </si>
  <si>
    <t>204:158</t>
  </si>
  <si>
    <t>204:233295</t>
  </si>
  <si>
    <t>204:156</t>
  </si>
  <si>
    <t>204:192</t>
  </si>
  <si>
    <t>204:478</t>
  </si>
  <si>
    <t>204:160</t>
  </si>
  <si>
    <t>DAVID</t>
  </si>
  <si>
    <t>204:233266</t>
  </si>
  <si>
    <t>204:522</t>
  </si>
  <si>
    <t>204:497</t>
  </si>
  <si>
    <t>204:200</t>
  </si>
  <si>
    <t>204:233278</t>
  </si>
  <si>
    <t>204:169</t>
  </si>
  <si>
    <t>SPECTOR</t>
  </si>
  <si>
    <t>rtdc.l.rtdc.4019:itc</t>
  </si>
  <si>
    <t>rtdc.l.rtdc.4020:itc</t>
  </si>
  <si>
    <t>MACDONALD</t>
  </si>
  <si>
    <t>THOMAS</t>
  </si>
  <si>
    <t>DAVIDSON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</si>
  <si>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</si>
  <si>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</si>
  <si>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</si>
  <si>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</si>
  <si>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</si>
  <si>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</si>
  <si>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</si>
  <si>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</si>
  <si>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</si>
  <si>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</si>
  <si>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</si>
  <si>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</si>
  <si>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204:232998</t>
  </si>
  <si>
    <t>204:232977</t>
  </si>
  <si>
    <t>204:489</t>
  </si>
  <si>
    <t>204:233312</t>
  </si>
  <si>
    <t>204:163</t>
  </si>
  <si>
    <t>204:453</t>
  </si>
  <si>
    <t>204:232982</t>
  </si>
  <si>
    <t>204:214</t>
  </si>
  <si>
    <t>204:519</t>
  </si>
  <si>
    <t>204:176</t>
  </si>
  <si>
    <t>SWITCH UNKNOWN</t>
  </si>
  <si>
    <t>Track device (7)</t>
  </si>
  <si>
    <t>rtdc.l.rtdc.4014:itc</t>
  </si>
  <si>
    <t>rtdc.l.rtdc.4057:itc</t>
  </si>
  <si>
    <t>rtdc.l.rtdc.4021:itc</t>
  </si>
  <si>
    <t>LAMAR</t>
  </si>
  <si>
    <t>NEKESHA</t>
  </si>
  <si>
    <t>Mostly Cloudy</t>
  </si>
  <si>
    <t>204:209</t>
  </si>
  <si>
    <t>204:233302</t>
  </si>
  <si>
    <t>204:232927</t>
  </si>
  <si>
    <t>204:480</t>
  </si>
  <si>
    <t>204:508</t>
  </si>
  <si>
    <t>204:232961</t>
  </si>
  <si>
    <t>204:500</t>
  </si>
  <si>
    <t>204:233310</t>
  </si>
  <si>
    <t>204:233000</t>
  </si>
  <si>
    <t>204:471</t>
  </si>
  <si>
    <t>204:535</t>
  </si>
  <si>
    <t>204:256</t>
  </si>
  <si>
    <t>300:23304</t>
  </si>
  <si>
    <t>rtdc.l.rtdc.4041:itc</t>
  </si>
  <si>
    <t>rtdc.l.rtdc.4033:itc</t>
  </si>
  <si>
    <t>rtdc.l.rtdc.4064:itc</t>
  </si>
  <si>
    <t>rtdc.l.rtdc.4054:itc</t>
  </si>
  <si>
    <t>rtdc.l.rtdc.4004:itc</t>
  </si>
  <si>
    <t>DELGADO</t>
  </si>
  <si>
    <t>DIANAH</t>
  </si>
  <si>
    <t>DAVIS</t>
  </si>
  <si>
    <t>cloudy</t>
  </si>
  <si>
    <t>Overcast</t>
  </si>
  <si>
    <t>partly-cloudy-day</t>
  </si>
  <si>
    <t>204:232994</t>
  </si>
  <si>
    <t>204:154</t>
  </si>
  <si>
    <t>204:529</t>
  </si>
  <si>
    <t>204:515</t>
  </si>
  <si>
    <t>204:502</t>
  </si>
  <si>
    <t>204:458</t>
  </si>
  <si>
    <t>204:233303</t>
  </si>
  <si>
    <t>204:150</t>
  </si>
  <si>
    <t>204:183</t>
  </si>
  <si>
    <t>204:491</t>
  </si>
  <si>
    <t>204:232981</t>
  </si>
  <si>
    <t>204:233293</t>
  </si>
  <si>
    <t>204:232973</t>
  </si>
  <si>
    <t>204:484</t>
  </si>
  <si>
    <t>204:509</t>
  </si>
  <si>
    <t>204:233316</t>
  </si>
  <si>
    <t>204:167</t>
  </si>
  <si>
    <t>204:178</t>
  </si>
  <si>
    <t>204:475</t>
  </si>
  <si>
    <t>204:233261</t>
  </si>
  <si>
    <t>204:258</t>
  </si>
  <si>
    <t>204:243</t>
  </si>
  <si>
    <t>204:233257</t>
  </si>
  <si>
    <t>Observed unhealthy xing banner at Chambers due to station stop</t>
  </si>
  <si>
    <t>TEMPORARY SPEED RESTRICTION</t>
  </si>
  <si>
    <t>rtdc.l.rtdc.4026:itc</t>
  </si>
  <si>
    <t>rtdc.l.rtdc.4025:itc</t>
  </si>
  <si>
    <t>rtdc.l.rtdc.4039:itc</t>
  </si>
  <si>
    <t>STEWART</t>
  </si>
  <si>
    <t>BIRENBAUM</t>
  </si>
  <si>
    <t>rtdc.l.rtdc.4058:itc</t>
  </si>
  <si>
    <t>1899-31</t>
  </si>
  <si>
    <t>1902-31</t>
  </si>
  <si>
    <t>300-01</t>
  </si>
  <si>
    <t>204:233299</t>
  </si>
  <si>
    <t>204:233334</t>
  </si>
  <si>
    <t>204:233019</t>
  </si>
  <si>
    <t>204:232976</t>
  </si>
  <si>
    <t>204:498</t>
  </si>
  <si>
    <t>204:232980</t>
  </si>
  <si>
    <t>204:172</t>
  </si>
  <si>
    <t>204:232887</t>
  </si>
  <si>
    <t>204:467</t>
  </si>
  <si>
    <t>204:232989</t>
  </si>
  <si>
    <t>204:233274</t>
  </si>
  <si>
    <t>204:232953</t>
  </si>
  <si>
    <t>204:147</t>
  </si>
  <si>
    <t>204:233241</t>
  </si>
  <si>
    <t>204:477</t>
  </si>
  <si>
    <t>204:232949</t>
  </si>
  <si>
    <t>204:211</t>
  </si>
  <si>
    <t>204:451</t>
  </si>
  <si>
    <t>204:232963</t>
  </si>
  <si>
    <t>204:469</t>
  </si>
  <si>
    <t>204:462</t>
  </si>
  <si>
    <t>204:1165</t>
  </si>
  <si>
    <t>204:233270</t>
  </si>
  <si>
    <t>204:233281</t>
  </si>
  <si>
    <t>204:232957</t>
  </si>
  <si>
    <t>204:233002</t>
  </si>
  <si>
    <t>204:252</t>
  </si>
  <si>
    <t>204:233304</t>
  </si>
  <si>
    <t>204:203</t>
  </si>
  <si>
    <t>300:58926</t>
  </si>
  <si>
    <t>300:58606</t>
  </si>
  <si>
    <t>300:58920</t>
  </si>
  <si>
    <t>204:120</t>
  </si>
  <si>
    <t>204:119</t>
  </si>
  <si>
    <t>204:122</t>
  </si>
  <si>
    <t>300:58928</t>
  </si>
  <si>
    <t>204:174</t>
  </si>
  <si>
    <t>204:233311</t>
  </si>
  <si>
    <t>204:233301</t>
  </si>
  <si>
    <t>204:232936</t>
  </si>
  <si>
    <t>204:233253</t>
  </si>
  <si>
    <t>204:218</t>
  </si>
  <si>
    <t>300:23301</t>
  </si>
  <si>
    <t>204:145</t>
  </si>
  <si>
    <t>300:23302</t>
  </si>
  <si>
    <t>Poor GPS at DUS</t>
  </si>
  <si>
    <t>111-01</t>
  </si>
  <si>
    <t>rtdc.l.rtdc.4063:itc</t>
  </si>
  <si>
    <t>112-01</t>
  </si>
  <si>
    <t>120-01</t>
  </si>
  <si>
    <t>rtdc.l.rtdc.4056:itc</t>
  </si>
  <si>
    <t>1817-01</t>
  </si>
  <si>
    <t>176-01</t>
  </si>
  <si>
    <t>1818-01</t>
  </si>
  <si>
    <t>189-01</t>
  </si>
  <si>
    <t>186-01</t>
  </si>
  <si>
    <t>192-01</t>
  </si>
  <si>
    <t>196-01</t>
  </si>
  <si>
    <t>207-01</t>
  </si>
  <si>
    <t>88-01</t>
  </si>
  <si>
    <t>rtdc.l.rtdc.4013:itc</t>
  </si>
  <si>
    <t>208-01</t>
  </si>
  <si>
    <t>227-01</t>
  </si>
  <si>
    <t>226-01</t>
  </si>
  <si>
    <t>228-01</t>
  </si>
  <si>
    <t>1832-01</t>
  </si>
  <si>
    <t>1834-01</t>
  </si>
  <si>
    <t>235-01</t>
  </si>
  <si>
    <t>51-01</t>
  </si>
  <si>
    <t>HELVIE</t>
  </si>
  <si>
    <t>ADAM</t>
  </si>
  <si>
    <t>101-01</t>
  </si>
  <si>
    <t>52-01</t>
  </si>
  <si>
    <t>302-01</t>
  </si>
  <si>
    <t>LONG</t>
  </si>
  <si>
    <t>FULLER</t>
  </si>
  <si>
    <t>103-01</t>
  </si>
  <si>
    <t>304-01</t>
  </si>
  <si>
    <t>105-01</t>
  </si>
  <si>
    <t>306-01</t>
  </si>
  <si>
    <t>102-01</t>
  </si>
  <si>
    <t>308-01</t>
  </si>
  <si>
    <t>107-01</t>
  </si>
  <si>
    <t>104-01</t>
  </si>
  <si>
    <t>109-01</t>
  </si>
  <si>
    <t>310-01</t>
  </si>
  <si>
    <t>106-01</t>
  </si>
  <si>
    <t>113-01</t>
  </si>
  <si>
    <t>108-01</t>
  </si>
  <si>
    <t>1901-01</t>
  </si>
  <si>
    <t>YANAI</t>
  </si>
  <si>
    <t>IAN</t>
  </si>
  <si>
    <t>115-01</t>
  </si>
  <si>
    <t>312-01</t>
  </si>
  <si>
    <t>110-01</t>
  </si>
  <si>
    <t>1800-01</t>
  </si>
  <si>
    <t>117-01</t>
  </si>
  <si>
    <t>119-01</t>
  </si>
  <si>
    <t>1801-01</t>
  </si>
  <si>
    <t>114-01</t>
  </si>
  <si>
    <t>121-01</t>
  </si>
  <si>
    <t>116-01</t>
  </si>
  <si>
    <t>1802-01</t>
  </si>
  <si>
    <t>123-01</t>
  </si>
  <si>
    <t>118-01</t>
  </si>
  <si>
    <t>125-01</t>
  </si>
  <si>
    <t>122-01</t>
  </si>
  <si>
    <t>127-01</t>
  </si>
  <si>
    <t>1803-01</t>
  </si>
  <si>
    <t>129-01</t>
  </si>
  <si>
    <t>124-01</t>
  </si>
  <si>
    <t>1804-01</t>
  </si>
  <si>
    <t>131-01</t>
  </si>
  <si>
    <t>126-01</t>
  </si>
  <si>
    <t>133-01</t>
  </si>
  <si>
    <t>128-01</t>
  </si>
  <si>
    <t>135-01</t>
  </si>
  <si>
    <t>130-01</t>
  </si>
  <si>
    <t>1805-01</t>
  </si>
  <si>
    <t>137-01</t>
  </si>
  <si>
    <t>134-01</t>
  </si>
  <si>
    <t>1806-01</t>
  </si>
  <si>
    <t>132-01</t>
  </si>
  <si>
    <t>139-01</t>
  </si>
  <si>
    <t>LANGERAK</t>
  </si>
  <si>
    <t>WILLIAM</t>
  </si>
  <si>
    <t>136-01</t>
  </si>
  <si>
    <t>141-01</t>
  </si>
  <si>
    <t>143-01</t>
  </si>
  <si>
    <t>1807-01</t>
  </si>
  <si>
    <t>138-01</t>
  </si>
  <si>
    <t>145-01</t>
  </si>
  <si>
    <t>140-01</t>
  </si>
  <si>
    <t>1808-01</t>
  </si>
  <si>
    <t>142-01</t>
  </si>
  <si>
    <t>147-01</t>
  </si>
  <si>
    <t>149-01</t>
  </si>
  <si>
    <t>144-01</t>
  </si>
  <si>
    <t>151-01</t>
  </si>
  <si>
    <t>1809-01</t>
  </si>
  <si>
    <t>BEAM</t>
  </si>
  <si>
    <t>ROSS</t>
  </si>
  <si>
    <t>148-01</t>
  </si>
  <si>
    <t>146-01</t>
  </si>
  <si>
    <t>153-01</t>
  </si>
  <si>
    <t>STARKS</t>
  </si>
  <si>
    <t>ANGELINA</t>
  </si>
  <si>
    <t>150-01</t>
  </si>
  <si>
    <t>1810-01</t>
  </si>
  <si>
    <t>155-01</t>
  </si>
  <si>
    <t>53-01</t>
  </si>
  <si>
    <t>157-01</t>
  </si>
  <si>
    <t>STRICKLAND</t>
  </si>
  <si>
    <t>EVAN</t>
  </si>
  <si>
    <t>152-01</t>
  </si>
  <si>
    <t>54-01</t>
  </si>
  <si>
    <t>1811-01</t>
  </si>
  <si>
    <t>159-01</t>
  </si>
  <si>
    <t>154-01</t>
  </si>
  <si>
    <t>161-01</t>
  </si>
  <si>
    <t>156-01</t>
  </si>
  <si>
    <t>158-01</t>
  </si>
  <si>
    <t>1812-01</t>
  </si>
  <si>
    <t>163-01</t>
  </si>
  <si>
    <t>165-01</t>
  </si>
  <si>
    <t>LEVERE</t>
  </si>
  <si>
    <t>CRAIG</t>
  </si>
  <si>
    <t>160-01</t>
  </si>
  <si>
    <t>167-01</t>
  </si>
  <si>
    <t>1813-01</t>
  </si>
  <si>
    <t>162-01</t>
  </si>
  <si>
    <t>169-01</t>
  </si>
  <si>
    <t>164-01</t>
  </si>
  <si>
    <t>1814-01</t>
  </si>
  <si>
    <t>171-01</t>
  </si>
  <si>
    <t>166-01</t>
  </si>
  <si>
    <t>168-01</t>
  </si>
  <si>
    <t>173-01</t>
  </si>
  <si>
    <t>170-01</t>
  </si>
  <si>
    <t>175-01</t>
  </si>
  <si>
    <t>1815-01</t>
  </si>
  <si>
    <t>172-01</t>
  </si>
  <si>
    <t>177-01</t>
  </si>
  <si>
    <t>179-01</t>
  </si>
  <si>
    <t>1816-01</t>
  </si>
  <si>
    <t>174-01</t>
  </si>
  <si>
    <t>181-01</t>
  </si>
  <si>
    <t>183-01</t>
  </si>
  <si>
    <t>178-01</t>
  </si>
  <si>
    <t>185-01</t>
  </si>
  <si>
    <t>180-01</t>
  </si>
  <si>
    <t>187-01</t>
  </si>
  <si>
    <t>182-01</t>
  </si>
  <si>
    <t>184-01</t>
  </si>
  <si>
    <t>191-01</t>
  </si>
  <si>
    <t>1819-01</t>
  </si>
  <si>
    <t>193-01</t>
  </si>
  <si>
    <t>188-01</t>
  </si>
  <si>
    <t>195-01</t>
  </si>
  <si>
    <t>BARTLETT</t>
  </si>
  <si>
    <t>KIANDRA</t>
  </si>
  <si>
    <t>1820-01</t>
  </si>
  <si>
    <t>190-01</t>
  </si>
  <si>
    <t>197-01</t>
  </si>
  <si>
    <t>199-01</t>
  </si>
  <si>
    <t>194-01</t>
  </si>
  <si>
    <t>75-01</t>
  </si>
  <si>
    <t>1821-01</t>
  </si>
  <si>
    <t>201-01</t>
  </si>
  <si>
    <t>68-01</t>
  </si>
  <si>
    <t>ROBINSON</t>
  </si>
  <si>
    <t>KADDIBA</t>
  </si>
  <si>
    <t>198-01</t>
  </si>
  <si>
    <t>1822-01</t>
  </si>
  <si>
    <t>203-01</t>
  </si>
  <si>
    <t>205-01</t>
  </si>
  <si>
    <t>200-01</t>
  </si>
  <si>
    <t>1823-01</t>
  </si>
  <si>
    <t>202-01</t>
  </si>
  <si>
    <t>209-01</t>
  </si>
  <si>
    <t>1824-01</t>
  </si>
  <si>
    <t>204-01</t>
  </si>
  <si>
    <t>211-01</t>
  </si>
  <si>
    <t>206-01</t>
  </si>
  <si>
    <t>213-01</t>
  </si>
  <si>
    <t>215-01</t>
  </si>
  <si>
    <t>1825-01</t>
  </si>
  <si>
    <t>210-01</t>
  </si>
  <si>
    <t>212-01</t>
  </si>
  <si>
    <t>217-01</t>
  </si>
  <si>
    <t>1826-01</t>
  </si>
  <si>
    <t>214-01</t>
  </si>
  <si>
    <t>LORI</t>
  </si>
  <si>
    <t>SANTOS</t>
  </si>
  <si>
    <t>219-01</t>
  </si>
  <si>
    <t>301-01</t>
  </si>
  <si>
    <t>216-01</t>
  </si>
  <si>
    <t>221-01</t>
  </si>
  <si>
    <t>1827-01</t>
  </si>
  <si>
    <t>218-01</t>
  </si>
  <si>
    <t>303-01</t>
  </si>
  <si>
    <t>220-01</t>
  </si>
  <si>
    <t>223-01</t>
  </si>
  <si>
    <t>1828-01</t>
  </si>
  <si>
    <t>222-01</t>
  </si>
  <si>
    <t>305-01</t>
  </si>
  <si>
    <t>225-01</t>
  </si>
  <si>
    <t>1829-01</t>
  </si>
  <si>
    <t>224-01</t>
  </si>
  <si>
    <t>1830-01</t>
  </si>
  <si>
    <t>229-01</t>
  </si>
  <si>
    <t>1831-01</t>
  </si>
  <si>
    <t>231-01</t>
  </si>
  <si>
    <t>230-01</t>
  </si>
  <si>
    <t>233-01</t>
  </si>
  <si>
    <t>1833-01</t>
  </si>
  <si>
    <t>232-01</t>
  </si>
  <si>
    <t>237-01</t>
  </si>
  <si>
    <t>234-01</t>
  </si>
  <si>
    <t>1835-01</t>
  </si>
  <si>
    <t>239-01</t>
  </si>
  <si>
    <t>236-01</t>
  </si>
  <si>
    <t>1902-01</t>
  </si>
  <si>
    <t>238-01</t>
  </si>
  <si>
    <t>241-01</t>
  </si>
  <si>
    <t>240-01</t>
  </si>
  <si>
    <t>243-01</t>
  </si>
  <si>
    <t>242-01</t>
  </si>
  <si>
    <t>307-01</t>
  </si>
  <si>
    <t>244-01</t>
  </si>
  <si>
    <t>309-01</t>
  </si>
  <si>
    <t>311-01</t>
  </si>
  <si>
    <t>clear-day</t>
  </si>
  <si>
    <t>Clear</t>
  </si>
  <si>
    <t>clear-night</t>
  </si>
  <si>
    <t>204:763</t>
  </si>
  <si>
    <t>204:233305</t>
  </si>
  <si>
    <t>204:136</t>
  </si>
  <si>
    <t>204:232991</t>
  </si>
  <si>
    <t>204:242</t>
  </si>
  <si>
    <t>204:233289</t>
  </si>
  <si>
    <t>204:232993</t>
  </si>
  <si>
    <t>204:138</t>
  </si>
  <si>
    <t>204:233291</t>
  </si>
  <si>
    <t>204:19123</t>
  </si>
  <si>
    <t>204:233331</t>
  </si>
  <si>
    <t>204:444</t>
  </si>
  <si>
    <t>204:2798</t>
  </si>
  <si>
    <t>204:233011</t>
  </si>
  <si>
    <t>204:232</t>
  </si>
  <si>
    <t>204:548</t>
  </si>
  <si>
    <t>204:232974</t>
  </si>
  <si>
    <t>204:233268</t>
  </si>
  <si>
    <t>204:132</t>
  </si>
  <si>
    <t>204:447</t>
  </si>
  <si>
    <t>204:233324</t>
  </si>
  <si>
    <t>204:232962</t>
  </si>
  <si>
    <t>204:232971</t>
  </si>
  <si>
    <t>204:233206</t>
  </si>
  <si>
    <t>204:233272</t>
  </si>
  <si>
    <t>204:232955</t>
  </si>
  <si>
    <t>204:939</t>
  </si>
  <si>
    <t>204:233306</t>
  </si>
  <si>
    <t>204:233263</t>
  </si>
  <si>
    <t>204:227</t>
  </si>
  <si>
    <t>204:233247</t>
  </si>
  <si>
    <t>204:233285</t>
  </si>
  <si>
    <t>204:232970</t>
  </si>
  <si>
    <t>204:216</t>
  </si>
  <si>
    <t>204:233298</t>
  </si>
  <si>
    <t>204:238</t>
  </si>
  <si>
    <t>204:233353</t>
  </si>
  <si>
    <t>204:233032</t>
  </si>
  <si>
    <t>204:524</t>
  </si>
  <si>
    <t>204:506</t>
  </si>
  <si>
    <t>204:232945</t>
  </si>
  <si>
    <t>204:233193</t>
  </si>
  <si>
    <t>204:232873</t>
  </si>
  <si>
    <t>204:520</t>
  </si>
  <si>
    <t>204:531</t>
  </si>
  <si>
    <t>204:240</t>
  </si>
  <si>
    <t>300:58611</t>
  </si>
  <si>
    <t>300:58519</t>
  </si>
  <si>
    <t>204:377</t>
  </si>
  <si>
    <t>300:58933</t>
  </si>
  <si>
    <t>300:58619</t>
  </si>
  <si>
    <t>204:95</t>
  </si>
  <si>
    <t>204:397</t>
  </si>
  <si>
    <t>300:58609</t>
  </si>
  <si>
    <t>204:439</t>
  </si>
  <si>
    <t>204:90</t>
  </si>
  <si>
    <t>204:392</t>
  </si>
  <si>
    <t>300:58941</t>
  </si>
  <si>
    <t>300:58626</t>
  </si>
  <si>
    <t>204:102</t>
  </si>
  <si>
    <t>204:383</t>
  </si>
  <si>
    <t>204:233351</t>
  </si>
  <si>
    <t>300:58617</t>
  </si>
  <si>
    <t>204:110</t>
  </si>
  <si>
    <t>204:432</t>
  </si>
  <si>
    <t>300:58931</t>
  </si>
  <si>
    <t>204:417</t>
  </si>
  <si>
    <t>300:58615</t>
  </si>
  <si>
    <t>204:126</t>
  </si>
  <si>
    <t>204:419</t>
  </si>
  <si>
    <t>300:58924</t>
  </si>
  <si>
    <t>300:58608</t>
  </si>
  <si>
    <t>204:359</t>
  </si>
  <si>
    <t>204:66</t>
  </si>
  <si>
    <t>204:365</t>
  </si>
  <si>
    <t>204:233023</t>
  </si>
  <si>
    <t>204:148</t>
  </si>
  <si>
    <t>204:421</t>
  </si>
  <si>
    <t>204:430</t>
  </si>
  <si>
    <t>300:58602</t>
  </si>
  <si>
    <t>300:58536</t>
  </si>
  <si>
    <t>204:401</t>
  </si>
  <si>
    <t>300:58939</t>
  </si>
  <si>
    <t>204:129</t>
  </si>
  <si>
    <t>300:58935</t>
  </si>
  <si>
    <t>204:495</t>
  </si>
  <si>
    <t>300:58630</t>
  </si>
  <si>
    <t>300:58621</t>
  </si>
  <si>
    <t>204:133</t>
  </si>
  <si>
    <t>204:459</t>
  </si>
  <si>
    <t>300:58624</t>
  </si>
  <si>
    <t>204:441</t>
  </si>
  <si>
    <t>204:233223</t>
  </si>
  <si>
    <t>204:232906</t>
  </si>
  <si>
    <t>204:511</t>
  </si>
  <si>
    <t>204:223</t>
  </si>
  <si>
    <t>300:29704</t>
  </si>
  <si>
    <t>300:28774</t>
  </si>
  <si>
    <t>204:232983</t>
  </si>
  <si>
    <t>204:45669</t>
  </si>
  <si>
    <t>204:540</t>
  </si>
  <si>
    <t>204:233264</t>
  </si>
  <si>
    <t>204:232944</t>
  </si>
  <si>
    <t>204:245</t>
  </si>
  <si>
    <t>204:233308</t>
  </si>
  <si>
    <t>204:221</t>
  </si>
  <si>
    <t>204:582</t>
  </si>
  <si>
    <t>204:233205</t>
  </si>
  <si>
    <t>204:232879</t>
  </si>
  <si>
    <t>204:537</t>
  </si>
  <si>
    <t>204:220</t>
  </si>
  <si>
    <t>204:233240</t>
  </si>
  <si>
    <t>204:882</t>
  </si>
  <si>
    <t>204:232975</t>
  </si>
  <si>
    <t>204:564</t>
  </si>
  <si>
    <t>204:233212</t>
  </si>
  <si>
    <t>204:232892</t>
  </si>
  <si>
    <t>204:273</t>
  </si>
  <si>
    <t>204:233249</t>
  </si>
  <si>
    <t>204:232938</t>
  </si>
  <si>
    <t>204:233320</t>
  </si>
  <si>
    <t>204:232988</t>
  </si>
  <si>
    <t>204:232923</t>
  </si>
  <si>
    <t>204:233234</t>
  </si>
  <si>
    <t>204:233346</t>
  </si>
  <si>
    <t>204:233030</t>
  </si>
  <si>
    <t>204:551</t>
  </si>
  <si>
    <t>204:557</t>
  </si>
  <si>
    <t>204:232959</t>
  </si>
  <si>
    <t>204:282</t>
  </si>
  <si>
    <t>204:232942</t>
  </si>
  <si>
    <t>204:579</t>
  </si>
  <si>
    <t>300:23064</t>
  </si>
  <si>
    <t>204:573</t>
  </si>
  <si>
    <t>204:129806</t>
  </si>
  <si>
    <t>204:1181</t>
  </si>
  <si>
    <t>300:23571</t>
  </si>
  <si>
    <t>300:23295</t>
  </si>
  <si>
    <t>300:19735</t>
  </si>
  <si>
    <t>300:23297</t>
  </si>
  <si>
    <t>300:22034</t>
  </si>
  <si>
    <t>204:562</t>
  </si>
  <si>
    <t>300:19714</t>
  </si>
  <si>
    <t>300:22866</t>
  </si>
  <si>
    <t>300:22236</t>
  </si>
  <si>
    <t>204:3483</t>
  </si>
  <si>
    <t>204:1479</t>
  </si>
  <si>
    <t>204:3395</t>
  </si>
  <si>
    <t>204:3075</t>
  </si>
  <si>
    <t>204:3155</t>
  </si>
  <si>
    <t>204:1152</t>
  </si>
  <si>
    <t>204:1236</t>
  </si>
  <si>
    <t>300:22155</t>
  </si>
  <si>
    <t>204:1160</t>
  </si>
  <si>
    <t>204:1143</t>
  </si>
  <si>
    <t>204:4052</t>
  </si>
  <si>
    <t>204:3747</t>
  </si>
  <si>
    <t>300:23285</t>
  </si>
  <si>
    <t>204:1471</t>
  </si>
  <si>
    <t>300:23346</t>
  </si>
  <si>
    <t>300:23400</t>
  </si>
  <si>
    <t>204:1812</t>
  </si>
  <si>
    <t>start /low /b %USERPROFILE%\Documents\GitHub\eaglep3\Utilities\DownloadLogsFromS3.py --loco 4057 --day 2018-01-01</t>
  </si>
  <si>
    <t>start /low /b %USERPROFILE%\Documents\GitHub\eaglep3\Utilities\DownloadLogsFromS3.py --loco 4064 --day 2018-01-01</t>
  </si>
  <si>
    <t>start /low /b %USERPROFILE%\Documents\GitHub\eaglep3\Utilities\DownloadLogsFromS3.py --loco 4064 --day 2018-01-02</t>
  </si>
  <si>
    <t>start /low /b %USERPROFILE%\Documents\GitHub\eaglep3\Utilities\DownloadLogsFromS3.py --loco 4042 --day 2018-01-02</t>
  </si>
  <si>
    <t>start /low /b %USERPROFILE%\Documents\GitHub\eaglep3\Utilities\DownloadLogsFromS3.py --loco 4055 --day 2018-01-01</t>
  </si>
  <si>
    <t>start /low /b %USERPROFILE%\Documents\GitHub\eaglep3\Utilities\DownloadLogsFromS3.py --loco 4056 --day 2018-01-01</t>
  </si>
  <si>
    <t>start /low /b %USERPROFILE%\Documents\GitHub\eaglep3\Utilities\DownloadLogsFromS3.py --loco 4041 --day 2018-01-01</t>
  </si>
  <si>
    <t>start /low /b %USERPROFILE%\Documents\GitHub\eaglep3\Utilities\DownloadLogsFromS3.py --loco 4041 --day 2018-01-02</t>
  </si>
  <si>
    <t>start /low /b %USERPROFILE%\Documents\GitHub\eaglep3\Utilities\DownloadLogsFromS3.py --loco 4063 --day 2018-01-01</t>
  </si>
  <si>
    <t>start /low /b %USERPROFILE%\Documents\GitHub\eaglep3\Utilities\DownloadLogsFromS3.py --loco 4019 --day 2018-01-01</t>
  </si>
  <si>
    <t>start /low /b %USERPROFILE%\Documents\GitHub\eaglep3\Utilities\DownloadLogsFromS3.py --loco 4050 --day 2018-01-02</t>
  </si>
  <si>
    <t>start /low /b %USERPROFILE%\Documents\GitHub\eaglep3\Utilities\DownloadLogsFromS3.py --loco 4049 --day 2018-01-02</t>
  </si>
  <si>
    <t>start /low /b %USERPROFILE%\Documents\GitHub\eaglep3\Utilities\DownloadLogsFromS3.py --loco 4042 --day 2018-01-01</t>
  </si>
  <si>
    <t>start /low /b %USERPROFILE%\Documents\GitHub\eaglep3\Utilities\DownloadLogsFromS3.py --loco 4014 --day 2018-01-02</t>
  </si>
  <si>
    <t>start /low /b %USERPROFILE%\Documents\GitHub\eaglep3\Utilities\DownloadLogsFromS3.py --loco 4055 --day 2018-01-02</t>
  </si>
  <si>
    <t>Wheel tach slip/slide</t>
  </si>
  <si>
    <t>Minor onboard en 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</si>
</sst>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3"/>
  <sheetViews>
    <sheetView topLeftCell="A147" zoomScaleNormal="100" workbookViewId="0">
      <selection activeCell="R164" sqref="R164"/>
    </sheetView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COUNTIFS($N$13:$N$9596,"&gt;0",$AG$13:$AG$9596,I1)</f>
        <v>139</v>
      </c>
      <c r="K5" s="39"/>
      <c r="L5" s="171"/>
      <c r="M5" s="40">
        <f>AVERAGEIFS($N$13:$N$9596,$AG$13:$AG$9596,I1)</f>
        <v>36.955275780231553</v>
      </c>
      <c r="N5" s="38">
        <f t="array" ref="N5">MIN(IF($AG$13:$AG$9596=I1,IF(ISNUMBER($N$13:$N$9596),IF($N$13:$N$9596&gt;0,$N$13:$N$9596))))</f>
        <v>33.616666666930541</v>
      </c>
      <c r="O5" s="3">
        <f t="array" ref="O5">MAX(IF($AG$13:$AG$9596=I1,IF(ISNUMBER($N$13:$N$9596),IF($N$13:$N$9596&gt;0,$N$13:$N$9596))))</f>
        <v>41.23333333292976</v>
      </c>
      <c r="P5" s="2"/>
      <c r="R5" s="162" t="s">
        <v>17</v>
      </c>
      <c r="S5" s="206">
        <f>COUNTIFS($N$13:$N$9596,"&gt;0",$AG$13:$AG$9596,R1)</f>
        <v>36</v>
      </c>
      <c r="T5" s="171"/>
      <c r="U5" s="194"/>
      <c r="V5" s="210">
        <f>AVERAGEIFS($N$13:$N$9596,$AG$13:$AG$9596,R1)</f>
        <v>12.944907407218125</v>
      </c>
      <c r="W5" s="211">
        <f t="array" ref="W5">MIN(IF($AG$13:$AG$9596=R1,IF(ISNUMBER($N$13:$N$9596),IF($N$13:$N$9596&gt;0,$N$13:$N$9596))))</f>
        <v>11.233333329437301</v>
      </c>
      <c r="X5" s="199">
        <f t="array" ref="X5">MAX(IF($AG$13:$AG$9596=R1,IF(ISNUMBER($N$13:$N$9596),IF($N$13:$N$9596&gt;0,$N$13:$N$9596))))</f>
        <v>15.816666665486991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COUNT($O$13:$O$354)</f>
        <v>0</v>
      </c>
      <c r="K6" s="39"/>
      <c r="L6" s="171"/>
      <c r="M6" s="40">
        <f>IFERROR(AVERAGE($O$13:$O$354),0)</f>
        <v>0</v>
      </c>
      <c r="N6" s="38">
        <f>MIN($O$13:$O$354)</f>
        <v>0</v>
      </c>
      <c r="O6" s="3">
        <f>MAX($O$13:$O$354)</f>
        <v>0</v>
      </c>
      <c r="P6" s="2"/>
      <c r="R6" s="163" t="s">
        <v>43</v>
      </c>
      <c r="S6" s="206">
        <f>COUNT($O$13:$O$354)</f>
        <v>0</v>
      </c>
      <c r="T6" s="171"/>
      <c r="U6" s="194"/>
      <c r="V6" s="210">
        <f>IFERROR(AVERAGE($O$13:$O$354),0)</f>
        <v>0</v>
      </c>
      <c r="W6" s="211">
        <f>MIN($O$13:$O$354)</f>
        <v>0</v>
      </c>
      <c r="X6" s="199">
        <f>MAX($O$13:$O$354)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COUNTIFS($P$13:$P$9596,"&gt;0",$AG$13:$AG$9596,I1)</f>
        <v>5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COUNTIFS($P$13:$P$9596,"&gt;0",$AG$13:$AG$9596,R1)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1"/>
      <c r="M8" s="40">
        <f>M5</f>
        <v>36.955275780231553</v>
      </c>
      <c r="N8" s="38">
        <f>N5</f>
        <v>33.616666666930541</v>
      </c>
      <c r="O8" s="3">
        <f>O5</f>
        <v>41.23333333292976</v>
      </c>
      <c r="P8" s="2"/>
      <c r="R8" s="162" t="s">
        <v>16</v>
      </c>
      <c r="S8" s="206">
        <f>S5</f>
        <v>36</v>
      </c>
      <c r="T8" s="171"/>
      <c r="U8" s="194"/>
      <c r="V8" s="210">
        <f>V5</f>
        <v>12.944907407218125</v>
      </c>
      <c r="W8" s="211">
        <f>W5</f>
        <v>11.233333329437301</v>
      </c>
      <c r="X8" s="199">
        <f>X5</f>
        <v>15.816666665486991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- 2018-01-01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AVERAGE(S13:S134)</f>
        <v>0.99722222222222223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682</v>
      </c>
      <c r="B13" s="7">
        <v>4064</v>
      </c>
      <c r="C13" s="21" t="s">
        <v>192</v>
      </c>
      <c r="D13" s="21" t="s">
        <v>886</v>
      </c>
      <c r="E13" s="13">
        <v>43101.128240740742</v>
      </c>
      <c r="F13" s="13">
        <v>43101.135613425926</v>
      </c>
      <c r="G13" s="7">
        <v>74</v>
      </c>
      <c r="H13" s="21" t="s">
        <v>887</v>
      </c>
      <c r="I13" s="13">
        <v>43101.16138888889</v>
      </c>
      <c r="J13" s="7">
        <v>0</v>
      </c>
      <c r="K13" s="89" t="str">
        <f>IF(ISEVEN(B13),(B13-1)&amp;"/"&amp;B13,B13&amp;"/"&amp;(B13+1))</f>
        <v>4063/4064</v>
      </c>
      <c r="L13" s="184" t="str">
        <f>VLOOKUP(A13,'Trips&amp;Operators'!$C$1:$G$99911,5,FALSE)</f>
        <v>SPECTOR MICHAEL</v>
      </c>
      <c r="M13" s="6">
        <f>I13-F13</f>
        <v>2.5775462963792961E-2</v>
      </c>
      <c r="N13" s="7">
        <f>24*60*SUM($M13:$M13)</f>
        <v>37.116666667861864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-01T02:04:40-0700',mode:absolute,to:'2018-01-01T04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7.6300000000000007E-2</v>
      </c>
      <c r="Z13" s="203">
        <f>RIGHT(H13,LEN(H13)-4)/10000</f>
        <v>23.330500000000001</v>
      </c>
      <c r="AA13" s="203">
        <f>ABS(Z13-Y13)</f>
        <v>23.254200000000001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/stypes="app*4064*20180101*"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4064 --swversion DE.1.0.9.0 --startMP 204:763 --initTime 2018-01-01T03:04:40 --startdatetime 2018-01-01T03:15:17 --delay 74 --endMP 204:233305 --enddatetime 2018-01-01T03:52:24 --enforcementcount 0 &gt;&gt;%USERPROFILE%\Documents\GitHub\eaglep3-reporting\EC\2018-01-01-refined-times.txt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{"issue":{"subject":"","project_id":79,"tracker_id":40,"status_id":1,"priority_id":2,"assigned_to_id":338,"start_date":"2018-01-01","description":"","custom_fields":[{"id":1,"name":"Subdivision","value":"EC"},{"id":4,"name":"Milepost","value":"23.3305"},{"id":17,"name":"Train ID","value":"101-01"},{"id":16,"name":"Locomotive ID","value":"4064"},{"id":130,"name":"Impact","value":""},{"id":150,"name":"Time of Event (Mountain Time)","value":"03:52:24"},{"id":151,"name":"Denver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4064 --day 2018-01-01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-01T02:04:40-0700',mode:absolute,to:'2018-01-01T04:52:24-0700'))&amp;_a=(columns:!('Message%20ID',Summary),filters:!(),index:'emp_*',interval:auto,query:(query_string:(analyze_wildcard:!t,query:'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691</v>
      </c>
      <c r="B14" s="225">
        <v>4063</v>
      </c>
      <c r="C14" s="227" t="s">
        <v>192</v>
      </c>
      <c r="D14" s="227" t="s">
        <v>495</v>
      </c>
      <c r="E14" s="226">
        <v>43101.169050925928</v>
      </c>
      <c r="F14" s="226">
        <v>43101.175266203703</v>
      </c>
      <c r="G14" s="225">
        <v>75</v>
      </c>
      <c r="H14" s="227" t="s">
        <v>888</v>
      </c>
      <c r="I14" s="226">
        <v>43101.201874999999</v>
      </c>
      <c r="J14" s="225">
        <v>0</v>
      </c>
      <c r="K14" s="237" t="str">
        <f>IF(ISEVEN(B14),(B14-1)&amp;"/"&amp;B14,B14&amp;"/"&amp;(B14+1))</f>
        <v>4063/4064</v>
      </c>
      <c r="L14" s="245" t="str">
        <f>VLOOKUP(A14,'Trips&amp;Operators'!$C$1:$G$99911,5,FALSE)</f>
        <v>SPECTOR MICHAEL</v>
      </c>
      <c r="M14" s="224">
        <f>I14-F14</f>
        <v>2.6608796295477077E-2</v>
      </c>
      <c r="N14" s="225">
        <f>24*60*SUM($M14:$M14)</f>
        <v>38.316666665486991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-01T03:03:26-0700',mode:absolute,to:'2018-01-01T05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23.297799999999999</v>
      </c>
      <c r="Z14" s="247">
        <f>RIGHT(H14,LEN(H14)-4)/10000</f>
        <v>1.3599999999999999E-2</v>
      </c>
      <c r="AA14" s="247">
        <f>ABS(Z14-Y14)</f>
        <v>23.284199999999998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/stypes="app*4063*20180101*"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4063 --swversion DE.1.0.9.0 --startMP 204:232978 --initTime 2018-01-01T04:03:26 --startdatetime 2018-01-01T04:12:23 --delay 75 --endMP 204:136 --enddatetime 2018-01-01T04:50:42 --enforcementcount 0 &gt;&gt;%USERPROFILE%\Documents\GitHub\eaglep3-reporting\EC\2018-01-01-refined-times.txt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{"issue":{"subject":"","project_id":79,"tracker_id":40,"status_id":1,"priority_id":2,"assigned_to_id":338,"start_date":"2018-01-01","description":"","custom_fields":[{"id":1,"name":"Subdivision","value":"EC"},{"id":4,"name":"Milepost","value":"0.0136"},{"id":17,"name":"Train ID","value":"102-01"},{"id":16,"name":"Locomotive ID","value":"4063"},{"id":130,"name":"Impact","value":""},{"id":150,"name":"Time of Event (Mountain Time)","value":"04:50:42"},{"id":151,"name":"Denver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4063 --day 2018-01-01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-01T03:03:26-0700',mode:absolute,to:'2018-01-01T05:50:42-0700'))&amp;_a=(columns:!('Message%20ID',Summary),filters:!(),index:'emp_*',interval:auto,query:(query_string:(analyze_wildcard:!t,query:'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687</v>
      </c>
      <c r="B15" s="225">
        <v>4020</v>
      </c>
      <c r="C15" s="227" t="s">
        <v>192</v>
      </c>
      <c r="D15" s="227" t="s">
        <v>586</v>
      </c>
      <c r="E15" s="226">
        <v>43101.151458333334</v>
      </c>
      <c r="F15" s="226">
        <v>43101.156458333331</v>
      </c>
      <c r="G15" s="225">
        <v>76</v>
      </c>
      <c r="H15" s="227" t="s">
        <v>554</v>
      </c>
      <c r="I15" s="226">
        <v>43101.181886574072</v>
      </c>
      <c r="J15" s="225">
        <v>0</v>
      </c>
      <c r="K15" s="237" t="str">
        <f>IF(ISEVEN(B15),(B15-1)&amp;"/"&amp;B15,B15&amp;"/"&amp;(B15+1))</f>
        <v>4019/4020</v>
      </c>
      <c r="L15" s="245" t="str">
        <f>VLOOKUP(A15,'Trips&amp;Operators'!$C$1:$G$99911,5,FALSE)</f>
        <v>LONG FULLER</v>
      </c>
      <c r="M15" s="224">
        <f>I15-F15</f>
        <v>2.5428240740438923E-2</v>
      </c>
      <c r="N15" s="225">
        <f>24*60*SUM($M15:$M15)</f>
        <v>36.616666666232049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-01T02:38:06-0700',mode:absolute,to:'2018-01-01T05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4.9099999999999998E-2</v>
      </c>
      <c r="Z15" s="247">
        <f>RIGHT(H15,LEN(H15)-4)/10000</f>
        <v>23.330200000000001</v>
      </c>
      <c r="AA15" s="247">
        <f>ABS(Z15-Y15)</f>
        <v>23.281100000000002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/stypes="app*4020*20180101*"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103-01 --locoid 4020 --swversion DE.1.0.9.0 --startMP 204:491 --initTime 2018-01-01T03:38:06 --startdatetime 2018-01-01T03:45:18 --delay 76 --endMP 204:233302 --enddatetime 2018-01-01T04:21:55 --enforcementcount 0 &gt;&gt;%USERPROFILE%\Documents\GitHub\eaglep3-reporting\EC\2018-01-01-refined-times.txt</v>
      </c>
      <c r="AI1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{"issue":{"subject":"","project_id":79,"tracker_id":40,"status_id":1,"priority_id":2,"assigned_to_id":338,"start_date":"2018-01-01","description":"","custom_fields":[{"id":1,"name":"Subdivision","value":"EC"},{"id":4,"name":"Milepost","value":"23.3302"},{"id":17,"name":"Train ID","value":"103-01"},{"id":16,"name":"Locomotive ID","value":"4020"},{"id":130,"name":"Impact","value":""},{"id":150,"name":"Time of Event (Mountain Time)","value":"04:21:55"},{"id":151,"name":"Denver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4020 --day 2018-01-01</v>
      </c>
      <c r="AN1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-01T02:38:06-0700',mode:absolute,to:'2018-01-01T05:21:55-0700'))&amp;_a=(columns:!('Message%20ID',Summary),filters:!(),index:'emp_*',interval:auto,query:(query_string:(analyze_wildcard:!t,query:'%22rtdc.l.rtdc.4020%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694</v>
      </c>
      <c r="B16" s="225">
        <v>4019</v>
      </c>
      <c r="C16" s="227" t="s">
        <v>192</v>
      </c>
      <c r="D16" s="227" t="s">
        <v>889</v>
      </c>
      <c r="E16" s="226">
        <v>43101.18891203704</v>
      </c>
      <c r="F16" s="226">
        <v>43101.196006944447</v>
      </c>
      <c r="G16" s="225">
        <v>66</v>
      </c>
      <c r="H16" s="227" t="s">
        <v>890</v>
      </c>
      <c r="I16" s="226">
        <v>43101.221932870372</v>
      </c>
      <c r="J16" s="225">
        <v>0</v>
      </c>
      <c r="K16" s="237" t="str">
        <f>IF(ISEVEN(B16),(B16-1)&amp;"/"&amp;B16,B16&amp;"/"&amp;(B16+1))</f>
        <v>4019/4020</v>
      </c>
      <c r="L16" s="245" t="str">
        <f>VLOOKUP(A16,'Trips&amp;Operators'!$C$1:$G$99911,5,FALSE)</f>
        <v>LONG FULLER</v>
      </c>
      <c r="M16" s="224">
        <f>I16-F16</f>
        <v>2.5925925925548654E-2</v>
      </c>
      <c r="N16" s="225">
        <f>24*60*SUM($M16:$M16)</f>
        <v>37.333333332790062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-01T03:32:02-0700',mode:absolute,to:'2018-01-01T06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23.299099999999999</v>
      </c>
      <c r="Z16" s="247">
        <f>RIGHT(H16,LEN(H16)-4)/10000</f>
        <v>2.4199999999999999E-2</v>
      </c>
      <c r="AA16" s="247">
        <f>ABS(Z16-Y16)</f>
        <v>23.274899999999999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/stypes="app*4019*20180101*"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104-01 --locoid 4019 --swversion DE.1.0.9.0 --startMP 204:232991 --initTime 2018-01-01T04:32:02 --startdatetime 2018-01-01T04:42:15 --delay 66 --endMP 204:242 --enddatetime 2018-01-01T05:19:35 --enforcementcount 0 &gt;&gt;%USERPROFILE%\Documents\GitHub\eaglep3-reporting\EC\2018-01-01-refined-times.txt</v>
      </c>
      <c r="AI1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{"issue":{"subject":"","project_id":79,"tracker_id":40,"status_id":1,"priority_id":2,"assigned_to_id":338,"start_date":"2018-01-01","description":"","custom_fields":[{"id":1,"name":"Subdivision","value":"EC"},{"id":4,"name":"Milepost","value":"0.0242"},{"id":17,"name":"Train ID","value":"104-01"},{"id":16,"name":"Locomotive ID","value":"4019"},{"id":130,"name":"Impact","value":""},{"id":150,"name":"Time of Event (Mountain Time)","value":"05:19:35"},{"id":151,"name":"Denver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4019 --day 2018-01-01</v>
      </c>
      <c r="AN1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-01T03:32:02-0700',mode:absolute,to:'2018-01-01T06:19:35-0700'))&amp;_a=(columns:!('Message%20ID',Summary),filters:!(),index:'emp_*',interval:auto,query:(query_string:(analyze_wildcard:!t,query:'%22rtdc.l.rtdc.4019%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689</v>
      </c>
      <c r="B17" s="225">
        <v>4042</v>
      </c>
      <c r="C17" s="227" t="s">
        <v>192</v>
      </c>
      <c r="D17" s="227" t="s">
        <v>628</v>
      </c>
      <c r="E17" s="226">
        <v>43101.162187499998</v>
      </c>
      <c r="F17" s="226">
        <v>43101.177291666667</v>
      </c>
      <c r="G17" s="225">
        <v>70</v>
      </c>
      <c r="H17" s="227" t="s">
        <v>891</v>
      </c>
      <c r="I17" s="226">
        <v>43101.200891203705</v>
      </c>
      <c r="J17" s="225">
        <v>0</v>
      </c>
      <c r="K17" s="237" t="str">
        <f>IF(ISEVEN(B17),(B17-1)&amp;"/"&amp;B17,B17&amp;"/"&amp;(B17+1))</f>
        <v>4041/4042</v>
      </c>
      <c r="L17" s="245" t="str">
        <f>VLOOKUP(A17,'Trips&amp;Operators'!$C$1:$G$99911,5,FALSE)</f>
        <v>YORK EDGAR</v>
      </c>
      <c r="M17" s="224">
        <f>I17-F17</f>
        <v>2.3599537038535345E-2</v>
      </c>
      <c r="N17" s="225">
        <f>24*60*SUM($M17:$M17)</f>
        <v>33.983333335490897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-01T02:53:33-0700',mode:absolute,to:'2018-01-01T05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4.5100000000000001E-2</v>
      </c>
      <c r="Z17" s="247">
        <f>RIGHT(H17,LEN(H17)-4)/10000</f>
        <v>23.328900000000001</v>
      </c>
      <c r="AA17" s="247">
        <f>ABS(Z17-Y17)</f>
        <v>23.283799999999999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/stypes="app*4042*20180101*"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105-01 --locoid 4042 --swversion DE.1.0.9.0 --startMP 204:451 --initTime 2018-01-01T03:53:33 --startdatetime 2018-01-01T04:15:18 --delay 70 --endMP 204:233289 --enddatetime 2018-01-01T04:49:17 --enforcementcount 0 &gt;&gt;%USERPROFILE%\Documents\GitHub\eaglep3-reporting\EC\2018-01-01-refined-times.txt</v>
      </c>
      <c r="AI1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{"issue":{"subject":"","project_id":79,"tracker_id":40,"status_id":1,"priority_id":2,"assigned_to_id":338,"start_date":"2018-01-01","description":"","custom_fields":[{"id":1,"name":"Subdivision","value":"EC"},{"id":4,"name":"Milepost","value":"23.3289"},{"id":17,"name":"Train ID","value":"105-01"},{"id":16,"name":"Locomotive ID","value":"4042"},{"id":130,"name":"Impact","value":""},{"id":150,"name":"Time of Event (Mountain Time)","value":"04:49:17"},{"id":151,"name":"Denver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4042 --day 2018-01-01</v>
      </c>
      <c r="AN1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-01T02:53:33-0700',mode:absolute,to:'2018-01-01T05:49:17-0700'))&amp;_a=(columns:!('Message%20ID',Summary),filters:!(),index:'emp_*',interval:auto,query:(query_string:(analyze_wildcard:!t,query:'%22rtdc.l.rtdc.4042%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697</v>
      </c>
      <c r="B18" s="225">
        <v>4041</v>
      </c>
      <c r="C18" s="227" t="s">
        <v>192</v>
      </c>
      <c r="D18" s="227" t="s">
        <v>629</v>
      </c>
      <c r="E18" s="226">
        <v>43101.201736111114</v>
      </c>
      <c r="F18" s="226">
        <v>43101.216851851852</v>
      </c>
      <c r="G18" s="225">
        <v>57</v>
      </c>
      <c r="H18" s="227" t="s">
        <v>506</v>
      </c>
      <c r="I18" s="226">
        <v>43101.24181712963</v>
      </c>
      <c r="J18" s="225">
        <v>0</v>
      </c>
      <c r="K18" s="237" t="str">
        <f>IF(ISEVEN(B18),(B18-1)&amp;"/"&amp;B18,B18&amp;"/"&amp;(B18+1))</f>
        <v>4041/4042</v>
      </c>
      <c r="L18" s="245" t="str">
        <f>VLOOKUP(A18,'Trips&amp;Operators'!$C$1:$G$99911,5,FALSE)</f>
        <v>YORK EDGAR</v>
      </c>
      <c r="M18" s="224">
        <f>I18-F18</f>
        <v>2.4965277778392192E-2</v>
      </c>
      <c r="N18" s="225">
        <f>24*60*SUM($M18:$M18)</f>
        <v>35.950000000884756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-01T03:50:30-0700',mode:absolute,to:'2018-01-01T06:48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23.296299999999999</v>
      </c>
      <c r="Z18" s="247">
        <f>RIGHT(H18,LEN(H18)-4)/10000</f>
        <v>1.5599999999999999E-2</v>
      </c>
      <c r="AA18" s="247">
        <f>ABS(Z18-Y18)</f>
        <v>23.2807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/stypes="app*4041*20180101*"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106-01 --locoid 4041 --swversion DE.1.0.9.0 --startMP 204:232963 --initTime 2018-01-01T04:50:30 --startdatetime 2018-01-01T05:12:16 --delay 57 --endMP 204:156 --enddatetime 2018-01-01T05:48:13 --enforcementcount 0 &gt;&gt;%USERPROFILE%\Documents\GitHub\eaglep3-reporting\EC\2018-01-01-refined-times.txt</v>
      </c>
      <c r="AI18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{"issue":{"subject":"","project_id":79,"tracker_id":40,"status_id":1,"priority_id":2,"assigned_to_id":338,"start_date":"2018-01-01","description":"","custom_fields":[{"id":1,"name":"Subdivision","value":"EC"},{"id":4,"name":"Milepost","value":"0.0156"},{"id":17,"name":"Train ID","value":"106-01"},{"id":16,"name":"Locomotive ID","value":"4041"},{"id":130,"name":"Impact","value":""},{"id":150,"name":"Time of Event (Mountain Time)","value":"05:48:13"},{"id":151,"name":"Denver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4041 --day 2018-01-01</v>
      </c>
      <c r="AN18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12:48:13"},{"id":29,"name":"Sharepoint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-01T03:50:30-0700',mode:absolute,to:'2018-01-01T06:48:13-0700'))&amp;_a=(columns:!('Message%20ID',Summary),filters:!(),index:'emp_*',interval:auto,query:(query_string:(analyze_wildcard:!t,query:'%22rtdc.l.rtdc.4041%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693</v>
      </c>
      <c r="B19" s="225">
        <v>4058</v>
      </c>
      <c r="C19" s="227" t="s">
        <v>192</v>
      </c>
      <c r="D19" s="227" t="s">
        <v>582</v>
      </c>
      <c r="E19" s="226">
        <v>43101.182129629633</v>
      </c>
      <c r="F19" s="226">
        <v>43101.187743055554</v>
      </c>
      <c r="G19" s="225">
        <v>122</v>
      </c>
      <c r="H19" s="227" t="s">
        <v>560</v>
      </c>
      <c r="I19" s="226">
        <v>43101.211678240739</v>
      </c>
      <c r="J19" s="225">
        <v>0</v>
      </c>
      <c r="K19" s="237" t="str">
        <f>IF(ISEVEN(B19),(B19-1)&amp;"/"&amp;B19,B19&amp;"/"&amp;(B19+1))</f>
        <v>4057/4058</v>
      </c>
      <c r="L19" s="245" t="str">
        <f>VLOOKUP(A19,'Trips&amp;Operators'!$C$1:$G$99911,5,FALSE)</f>
        <v>DELGADO DIANAH</v>
      </c>
      <c r="M19" s="224">
        <f>I19-F19</f>
        <v>2.3935185185109731E-2</v>
      </c>
      <c r="N19" s="225">
        <f>24*60*SUM($M19:$M19)</f>
        <v>34.466666666558012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-01T03:22:16-0700',mode:absolute,to:'2018-01-01T06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4.58E-2</v>
      </c>
      <c r="Z19" s="247">
        <f>RIGHT(H19,LEN(H19)-4)/10000</f>
        <v>23.331</v>
      </c>
      <c r="AA19" s="247">
        <f>ABS(Z19-Y19)</f>
        <v>23.2852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/stypes="app*4058*20180101*"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107-01 --locoid 4058 --swversion DE.1.0.9.0 --startMP 204:458 --initTime 2018-01-01T04:22:16 --startdatetime 2018-01-01T04:30:21 --delay 122 --endMP 204:233310 --enddatetime 2018-01-01T05:04:49 --enforcementcount 0 &gt;&gt;%USERPROFILE%\Documents\GitHub\eaglep3-reporting\EC\2018-01-01-refined-times.txt</v>
      </c>
      <c r="AI19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{"issue":{"subject":"","project_id":79,"tracker_id":40,"status_id":1,"priority_id":2,"assigned_to_id":338,"start_date":"2018-01-01","description":"","custom_fields":[{"id":1,"name":"Subdivision","value":"EC"},{"id":4,"name":"Milepost","value":"23.331"},{"id":17,"name":"Train ID","value":"107-01"},{"id":16,"name":"Locomotive ID","value":"4058"},{"id":130,"name":"Impact","value":""},{"id":150,"name":"Time of Event (Mountain Time)","value":"05:04:49"},{"id":151,"name":"Denver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4058 --day 2018-01-01</v>
      </c>
      <c r="AN19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-01T03:22:16-0700',mode:absolute,to:'2018-01-01T06:04:49-0700'))&amp;_a=(columns:!('Message%20ID',Summary),filters:!(),index:'emp_*',interval:auto,query:(query_string:(analyze_wildcard:!t,query:'%22rtdc.l.rtdc.4058%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699</v>
      </c>
      <c r="B20" s="225">
        <v>4057</v>
      </c>
      <c r="C20" s="227" t="s">
        <v>192</v>
      </c>
      <c r="D20" s="227" t="s">
        <v>636</v>
      </c>
      <c r="E20" s="226">
        <v>43101.212893518517</v>
      </c>
      <c r="F20" s="226">
        <v>43101.227268518516</v>
      </c>
      <c r="G20" s="225">
        <v>67</v>
      </c>
      <c r="H20" s="227" t="s">
        <v>892</v>
      </c>
      <c r="I20" s="226">
        <v>43101.25240740741</v>
      </c>
      <c r="J20" s="225">
        <v>0</v>
      </c>
      <c r="K20" s="237" t="str">
        <f>IF(ISEVEN(B20),(B20-1)&amp;"/"&amp;B20,B20&amp;"/"&amp;(B20+1))</f>
        <v>4057/4058</v>
      </c>
      <c r="L20" s="245" t="str">
        <f>VLOOKUP(A20,'Trips&amp;Operators'!$C$1:$G$99911,5,FALSE)</f>
        <v>DELGADO DIANAH</v>
      </c>
      <c r="M20" s="224">
        <f>I20-F20</f>
        <v>2.513888889370719E-2</v>
      </c>
      <c r="N20" s="225"/>
      <c r="O20" s="225"/>
      <c r="P20" s="225"/>
      <c r="Q20" s="228"/>
      <c r="R20" s="242"/>
      <c r="S20" s="249"/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-01T04:06:34-0700',mode:absolute,to:'2018-01-01T07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" s="247" t="str">
        <f>IF(AA20&lt;VLOOKUP(AG20,Variables!$AC$3:$AD$8,2,FALSE),"Y","N")</f>
        <v>Y</v>
      </c>
      <c r="X20" s="247">
        <f>VALUE(LEFT(AD20,4))-VALUE(LEFT(AD19,4))</f>
        <v>1</v>
      </c>
      <c r="Y20" s="247">
        <f>RIGHT(D20,LEN(D20)-4)/10000</f>
        <v>23.3002</v>
      </c>
      <c r="Z20" s="247">
        <f>RIGHT(H20,LEN(H20)-4)/10000</f>
        <v>23.299299999999999</v>
      </c>
      <c r="AA20" s="247">
        <f>ABS(Z20-Y20)</f>
        <v>9.0000000000145519E-4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/stypes="app*4057*20180101*"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108-01 --locoid 4057 --swversion DE.1.0.9.0 --startMP 204:233002 --initTime 2018-01-01T05:06:34 --startdatetime 2018-01-01T05:27:16 --delay 67 --endMP 204:232993 --enddatetime 2018-01-01T06:03:28 --enforcementcount 0 &gt;&gt;%USERPROFILE%\Documents\GitHub\eaglep3-reporting\EC\2018-01-01-refined-times.txt</v>
      </c>
      <c r="AI20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{"issue":{"subject":"","project_id":79,"tracker_id":40,"status_id":1,"priority_id":2,"assigned_to_id":338,"start_date":"2018-01-01","description":"","custom_fields":[{"id":1,"name":"Subdivision","value":"EC"},{"id":4,"name":"Milepost","value":"23.2993"},{"id":17,"name":"Train ID","value":"108-01"},{"id":16,"name":"Locomotive ID","value":"4057"},{"id":130,"name":"Impact","value":""},{"id":150,"name":"Time of Event (Mountain Time)","value":"06:03:28"},{"id":151,"name":"Denver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4057 --day 2018-01-01</v>
      </c>
      <c r="AN20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-01T04:06:34-0700',mode:absolute,to:'2018-01-01T07:03:28-0700'))&amp;_a=(columns:!('Message%20ID',Summary),filters:!(),index:'emp_*',interval:auto,query:(query_string:(analyze_wildcard:!t,query:'%22rtdc.l.rtdc.4057%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699</v>
      </c>
      <c r="B21" s="225">
        <v>4057</v>
      </c>
      <c r="C21" s="227" t="s">
        <v>192</v>
      </c>
      <c r="D21" s="227" t="s">
        <v>535</v>
      </c>
      <c r="E21" s="226">
        <v>43101.225428240738</v>
      </c>
      <c r="F21" s="226">
        <v>43101.227268518516</v>
      </c>
      <c r="G21" s="225">
        <v>50</v>
      </c>
      <c r="H21" s="227" t="s">
        <v>893</v>
      </c>
      <c r="I21" s="226">
        <v>43101.25240740741</v>
      </c>
      <c r="J21" s="225">
        <v>0</v>
      </c>
      <c r="K21" s="237" t="str">
        <f>IF(ISEVEN(B21),(B21-1)&amp;"/"&amp;B21,B21&amp;"/"&amp;(B21+1))</f>
        <v>4057/4058</v>
      </c>
      <c r="L21" s="245" t="str">
        <f>VLOOKUP(A21,'Trips&amp;Operators'!$C$1:$G$99911,5,FALSE)</f>
        <v>DELGADO DIANAH</v>
      </c>
      <c r="M21" s="224">
        <f>I21-F21</f>
        <v>2.513888889370719E-2</v>
      </c>
      <c r="N21" s="225">
        <f>24*60*SUM($M21:$M21)</f>
        <v>36.200000006938353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-01T04:24:37-0700',mode:absolute,to:'2018-01-01T07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0</v>
      </c>
      <c r="Y21" s="247">
        <f>RIGHT(D21,LEN(D21)-4)/10000</f>
        <v>23.299800000000001</v>
      </c>
      <c r="Z21" s="247">
        <f>RIGHT(H21,LEN(H21)-4)/10000</f>
        <v>1.38E-2</v>
      </c>
      <c r="AA21" s="247">
        <f>ABS(Z21-Y21)</f>
        <v>23.286000000000001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108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/stypes="app*4057*20180101*" /stext=" 13:.+((SYSTEM_STATE.+slice.+state.+changed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108-01 --locoid 4057 --swversion DE.1.0.9.0 --startMP 204:232998 --initTime 2018-01-01T05:24:37 --startdatetime 2018-01-01T05:27:16 --delay 50 --endMP 204:138 --enddatetime 2018-01-01T06:03:28 --enforcementcount 0 &gt;&gt;%USERPROFILE%\Documents\GitHub\eaglep3-reporting\EC\2018-01-01-refined-times.txt</v>
      </c>
      <c r="AI21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{"issue":{"subject":"","project_id":79,"tracker_id":40,"status_id":1,"priority_id":2,"assigned_to_id":338,"start_date":"2018-01-01","description":"","custom_fields":[{"id":1,"name":"Subdivision","value":"EC"},{"id":4,"name":"Milepost","value":"0.0138"},{"id":17,"name":"Train ID","value":"108-01"},{"id":16,"name":"Locomotive ID","value":"4057"},{"id":130,"name":"Impact","value":""},{"id":150,"name":"Time of Event (Mountain Time)","value":"06:03:28"},{"id":151,"name":"Denver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4057 --day 2018-01-01</v>
      </c>
      <c r="AN21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-01T04:24:37-0700',mode:absolute,to:'2018-01-01T07:03:28-0700'))&amp;_a=(columns:!('Message%20ID',Summary),filters:!(),index:'emp_*',interval:auto,query:(query_string:(analyze_wildcard:!t,query:'%22rtdc.l.rtdc.4057%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695</v>
      </c>
      <c r="B22" s="225">
        <v>4014</v>
      </c>
      <c r="C22" s="227" t="s">
        <v>192</v>
      </c>
      <c r="D22" s="227" t="s">
        <v>595</v>
      </c>
      <c r="E22" s="226">
        <v>43101.192303240743</v>
      </c>
      <c r="F22" s="226">
        <v>43101.198148148149</v>
      </c>
      <c r="G22" s="225">
        <v>60</v>
      </c>
      <c r="H22" s="227" t="s">
        <v>894</v>
      </c>
      <c r="I22" s="226">
        <v>43101.223391203705</v>
      </c>
      <c r="J22" s="225">
        <v>0</v>
      </c>
      <c r="K22" s="237" t="str">
        <f>IF(ISEVEN(B22),(B22-1)&amp;"/"&amp;B22,B22&amp;"/"&amp;(B22+1))</f>
        <v>4013/4014</v>
      </c>
      <c r="L22" s="245" t="str">
        <f>VLOOKUP(A22,'Trips&amp;Operators'!$C$1:$G$99911,5,FALSE)</f>
        <v>MAELZER KURT</v>
      </c>
      <c r="M22" s="224">
        <f>I22-F22</f>
        <v>2.5243055555620231E-2</v>
      </c>
      <c r="N22" s="225">
        <f>24*60*SUM($M22:$M22)</f>
        <v>36.350000000093132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-01T03:36:55-0700',mode:absolute,to:'2018-01-01T06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4.7500000000000001E-2</v>
      </c>
      <c r="Z22" s="247">
        <f>RIGHT(H22,LEN(H22)-4)/10000</f>
        <v>23.3291</v>
      </c>
      <c r="AA22" s="247">
        <f>ABS(Z22-Y22)</f>
        <v>23.281600000000001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109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/stypes="app*4014*20180101*" /stext=" 12:.+((SYSTEM_STATE.+slice.+state.+changed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109-01 --locoid 4014 --swversion DE.1.0.9.0 --startMP 204:475 --initTime 2018-01-01T04:36:55 --startdatetime 2018-01-01T04:45:20 --delay 60 --endMP 204:233291 --enddatetime 2018-01-01T05:21:41 --enforcementcount 0 &gt;&gt;%USERPROFILE%\Documents\GitHub\eaglep3-reporting\EC\2018-01-01-refined-times.txt</v>
      </c>
      <c r="AI2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ID","value":"109-01"},{"id":16,"name":"Locomotive ID","value":"4014"},{"id":130,"name":"Impact","value":""},{"id":150,"name":"Time of Event (Mountain Time)","value":"05:21:41"},{"id":151,"name":"Denver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4014 --day 2018-01-01</v>
      </c>
      <c r="AN22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-01T03:36:55-0700',mode:absolute,to:'2018-01-01T06:21:41-0700'))&amp;_a=(columns:!('Message%20ID',Summary),filters:!(),index:'emp_*',interval:auto,query:(query_string:(analyze_wildcard:!t,query:'%22rtdc.l.rtdc.4014%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705</v>
      </c>
      <c r="B23" s="225">
        <v>4013</v>
      </c>
      <c r="C23" s="227" t="s">
        <v>192</v>
      </c>
      <c r="D23" s="227" t="s">
        <v>616</v>
      </c>
      <c r="E23" s="226">
        <v>43101.225266203706</v>
      </c>
      <c r="F23" s="226">
        <v>43101.237662037034</v>
      </c>
      <c r="G23" s="225">
        <v>59</v>
      </c>
      <c r="H23" s="227" t="s">
        <v>594</v>
      </c>
      <c r="I23" s="226">
        <v>43101.263090277775</v>
      </c>
      <c r="J23" s="225">
        <v>0</v>
      </c>
      <c r="K23" s="237" t="str">
        <f>IF(ISEVEN(B23),(B23-1)&amp;"/"&amp;B23,B23&amp;"/"&amp;(B23+1))</f>
        <v>4013/4014</v>
      </c>
      <c r="L23" s="245" t="str">
        <f>VLOOKUP(A23,'Trips&amp;Operators'!$C$1:$G$99911,5,FALSE)</f>
        <v>MAELZER KURT</v>
      </c>
      <c r="M23" s="224">
        <f>I23-F23</f>
        <v>2.5428240740438923E-2</v>
      </c>
      <c r="N23" s="225">
        <f>24*60*SUM($M23:$M23)</f>
        <v>36.616666666232049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-01T04:24:23-0700',mode:absolute,to:'2018-01-01T07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23.297999999999998</v>
      </c>
      <c r="Z23" s="247">
        <f>RIGHT(H23,LEN(H23)-4)/10000</f>
        <v>1.78E-2</v>
      </c>
      <c r="AA23" s="247">
        <f>ABS(Z23-Y23)</f>
        <v>23.280199999999997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110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/stypes="app*4013*20180101*" /stext=" 13:.+((SYSTEM_STATE.+slice.+state.+changed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110-01 --locoid 4013 --swversion DE.1.0.9.0 --startMP 204:232980 --initTime 2018-01-01T05:24:23 --startdatetime 2018-01-01T05:42:14 --delay 59 --endMP 204:178 --enddatetime 2018-01-01T06:18:51 --enforcementcount 0 &gt;&gt;%USERPROFILE%\Documents\GitHub\eaglep3-reporting\EC\2018-01-01-refined-times.txt</v>
      </c>
      <c r="AI2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{"issue":{"subject":"","project_id":79,"tracker_id":40,"status_id":1,"priority_id":2,"assigned_to_id":338,"start_date":"2018-01-01","description":"","custom_fields":[{"id":1,"name":"Subdivision","value":"EC"},{"id":4,"name":"Milepost","value":"0.0178"},{"id":17,"name":"Train ID","value":"110-01"},{"id":16,"name":"Locomotive ID","value":"4013"},{"id":130,"name":"Impact","value":""},{"id":150,"name":"Time of Event (Mountain Time)","value":"06:18:51"},{"id":151,"name":"Denver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4013 --day 2018-01-01</v>
      </c>
      <c r="AN23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-01T04:24:23-0700',mode:absolute,to:'2018-01-01T07:18:51-0700'))&amp;_a=(columns:!('Message%20ID',Summary),filters:!(),index:'emp_*',interval:auto,query:(query_string:(analyze_wildcard:!t,query:'%22rtdc.l.rtdc.4013%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657</v>
      </c>
      <c r="B24" s="225">
        <v>4064</v>
      </c>
      <c r="C24" s="227" t="s">
        <v>192</v>
      </c>
      <c r="D24" s="227" t="s">
        <v>895</v>
      </c>
      <c r="E24" s="226">
        <v>43101.21565972222</v>
      </c>
      <c r="F24" s="226">
        <v>43101.216817129629</v>
      </c>
      <c r="G24" s="225">
        <v>43</v>
      </c>
      <c r="H24" s="227" t="s">
        <v>896</v>
      </c>
      <c r="I24" s="226">
        <v>43101.241944444446</v>
      </c>
      <c r="J24" s="225">
        <v>0</v>
      </c>
      <c r="K24" s="237" t="str">
        <f>IF(ISEVEN(B24),(B24-1)&amp;"/"&amp;B24,B24&amp;"/"&amp;(B24+1))</f>
        <v>4063/4064</v>
      </c>
      <c r="L24" s="245" t="str">
        <f>VLOOKUP(A24,'Trips&amp;Operators'!$C$1:$G$99911,5,FALSE)</f>
        <v>SPECTOR MICHAEL</v>
      </c>
      <c r="M24" s="224">
        <f>I24-F24</f>
        <v>2.5127314816927537E-2</v>
      </c>
      <c r="N24" s="225"/>
      <c r="O24" s="225"/>
      <c r="P24" s="225">
        <f>24*60*SUM($M24:$M24)</f>
        <v>36.183333336375654</v>
      </c>
      <c r="Q24" s="228"/>
      <c r="R24" s="242" t="s">
        <v>656</v>
      </c>
      <c r="S24" s="249">
        <f>1/IF(AG24="EC",12,1)*SUM(U24:U24)</f>
        <v>1</v>
      </c>
      <c r="T24" s="242" t="str">
        <f>IF(ISEVEN(LEFT(AD24,4)),"Southbound","NorthBound")</f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-01T04:10:33-0700',mode:absolute,to:'2018-01-01T06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" s="247" t="str">
        <f>IF(AA24&lt;VLOOKUP(AG24,Variables!$AC$3:$AD$8,2,FALSE),"Y","N")</f>
        <v>Y</v>
      </c>
      <c r="X24" s="247">
        <f>VALUE(LEFT(AD24,4))-VALUE(LEFT(AD23,4))</f>
        <v>1</v>
      </c>
      <c r="Y24" s="247">
        <f>RIGHT(D24,LEN(D24)-4)/10000</f>
        <v>1.9123000000000001</v>
      </c>
      <c r="Z24" s="247">
        <f>RIGHT(H24,LEN(H24)-4)/10000</f>
        <v>23.333100000000002</v>
      </c>
      <c r="AA24" s="247">
        <f>ABS(Z24-Y24)</f>
        <v>21.4208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111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/stypes="app*4064*20180101*" /stext=" 12:.+((SYSTEM_STATE.+slice.+state.+changed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111-01 --locoid 4064 --swversion DE.1.0.9.0 --startMP 204:19123 --initTime 2018-01-01T05:10:33 --startdatetime 2018-01-01T05:12:13 --delay 43 --endMP 204:233331 --enddatetime 2018-01-01T05:48:24 --enforcementcount 0 &gt;&gt;%USERPROFILE%\Documents\GitHub\eaglep3-reporting\EC\2018-01-01-refined-times.txt</v>
      </c>
      <c r="AI24" s="238" t="str">
        <f t="shared" si="6"/>
        <v>echo {"issue":{"subject":"Poor GPS at DUS","project_id":79,"tracker_id":40,"status_id":1,"priority_id":2,"assigned_to_id":338,"start_date":"2018-01-01","description":"","custom_fields":[{"id":1,"name":"Subdivision","value":"EC"},{"id":4,"name":"Milepost","value":"23.3331"},{"id":17,"name":"Train ID","value":"111-01"},{"id":16,"name":"Locomotive ID","value":"4064"},{"id":130,"name":"Impact","value":""},{"id":150,"name":"Time of Event (Mountain Time)","value":"05:48:24"},{"id":151,"name":"Denver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4064 --day 2018-01-01</v>
      </c>
      <c r="AN24" s="241" t="str">
        <f t="shared" si="8"/>
        <v>echo {"issue":{"subject":"Poor GPS at DUS","project_id":30,"tracker_id":4,"status_id":1,"priority_id":1,"assigned_to_id":10,"start_date":"2018-01-01","description":"","custom_fields":[{"id":30,"name":"Category","value":"Issue"},{"id":3,"name":"Functional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-01T04:10:33-0700',mode:absolute,to:'2018-01-01T06:48:24-0700'))&amp;_a=(columns:!('Message%20ID',Summary),filters:!(),index:'emp_*',interval:auto,query:(query_string:(analyze_wildcard:!t,query:'%22rtdc.l.rtdc.4064%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657</v>
      </c>
      <c r="B25" s="225">
        <v>4064</v>
      </c>
      <c r="C25" s="227" t="s">
        <v>192</v>
      </c>
      <c r="D25" s="227" t="s">
        <v>897</v>
      </c>
      <c r="E25" s="226">
        <v>43101.20548611111</v>
      </c>
      <c r="F25" s="226">
        <v>43101.216817129629</v>
      </c>
      <c r="G25" s="225">
        <v>58</v>
      </c>
      <c r="H25" s="227" t="s">
        <v>898</v>
      </c>
      <c r="I25" s="226">
        <v>43101.241944444446</v>
      </c>
      <c r="J25" s="225">
        <v>0</v>
      </c>
      <c r="K25" s="237" t="str">
        <f>IF(ISEVEN(B25),(B25-1)&amp;"/"&amp;B25,B25&amp;"/"&amp;(B25+1))</f>
        <v>4063/4064</v>
      </c>
      <c r="L25" s="245" t="str">
        <f>VLOOKUP(A25,'Trips&amp;Operators'!$C$1:$G$99911,5,FALSE)</f>
        <v>SPECTOR MICHAEL</v>
      </c>
      <c r="M25" s="224">
        <f>I25-F25</f>
        <v>2.5127314816927537E-2</v>
      </c>
      <c r="N25" s="225"/>
      <c r="O25" s="225"/>
      <c r="P25" s="225"/>
      <c r="Q25" s="228"/>
      <c r="R25" s="242"/>
      <c r="S25" s="249"/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-01T03:55:54-0700',mode:absolute,to:'2018-01-01T06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247" t="str">
        <f>IF(AA25&lt;VLOOKUP(AG25,Variables!$AC$3:$AD$8,2,FALSE),"Y","N")</f>
        <v>Y</v>
      </c>
      <c r="X25" s="247">
        <f>VALUE(LEFT(AD25,4))-VALUE(LEFT(AD24,4))</f>
        <v>0</v>
      </c>
      <c r="Y25" s="247">
        <f>RIGHT(D25,LEN(D25)-4)/10000</f>
        <v>4.4400000000000002E-2</v>
      </c>
      <c r="Z25" s="247">
        <f>RIGHT(H25,LEN(H25)-4)/10000</f>
        <v>0.27979999999999999</v>
      </c>
      <c r="AA25" s="247">
        <f>ABS(Z25-Y25)</f>
        <v>0.2354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111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/stypes="app*4064*20180101*"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111-01 --locoid 4064 --swversion DE.1.0.9.0 --startMP 204:444 --initTime 2018-01-01T04:55:54 --startdatetime 2018-01-01T05:12:13 --delay 58 --endMP 204:2798 --enddatetime 2018-01-01T05:48:24 --enforcementcount 0 &gt;&gt;%USERPROFILE%\Documents\GitHub\eaglep3-reporting\EC\2018-01-01-refined-times.txt</v>
      </c>
      <c r="AI2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{"issue":{"subject":"","project_id":79,"tracker_id":40,"status_id":1,"priority_id":2,"assigned_to_id":338,"start_date":"2018-01-01","description":"","custom_fields":[{"id":1,"name":"Subdivision","value":"EC"},{"id":4,"name":"Milepost","value":"0.2798"},{"id":17,"name":"Train ID","value":"111-01"},{"id":16,"name":"Locomotive ID","value":"4064"},{"id":130,"name":"Impact","value":""},{"id":150,"name":"Time of Event (Mountain Time)","value":"05:48:24"},{"id":151,"name":"Denver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4064 --day 2018-01-01</v>
      </c>
      <c r="AN2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-01T03:55:54-0700',mode:absolute,to:'2018-01-01T06:48:24-0700'))&amp;_a=(columns:!('Message%20ID',Summary),filters:!(),index:'emp_*',interval:auto,query:(query_string:(analyze_wildcard:!t,query:'%22rtdc.l.rtdc.4064%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659</v>
      </c>
      <c r="B26" s="225">
        <v>4063</v>
      </c>
      <c r="C26" s="227" t="s">
        <v>192</v>
      </c>
      <c r="D26" s="227" t="s">
        <v>899</v>
      </c>
      <c r="E26" s="226">
        <v>43101.245474537034</v>
      </c>
      <c r="F26" s="226">
        <v>43101.248298611114</v>
      </c>
      <c r="G26" s="225">
        <v>134</v>
      </c>
      <c r="H26" s="227" t="s">
        <v>623</v>
      </c>
      <c r="I26" s="226">
        <v>43101.276909722219</v>
      </c>
      <c r="J26" s="225">
        <v>0</v>
      </c>
      <c r="K26" s="237" t="str">
        <f>IF(ISEVEN(B26),(B26-1)&amp;"/"&amp;B26,B26&amp;"/"&amp;(B26+1))</f>
        <v>4063/4064</v>
      </c>
      <c r="L26" s="245" t="str">
        <f>VLOOKUP(A26,'Trips&amp;Operators'!$C$1:$G$99911,5,FALSE)</f>
        <v>SPECTOR MICHAEL</v>
      </c>
      <c r="M26" s="224">
        <f>I26-F26</f>
        <v>2.8611111105419695E-2</v>
      </c>
      <c r="N26" s="225">
        <f>24*60*SUM($M26:$M26)</f>
        <v>41.199999991804361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-01T04:53:29-0700',mode:absolute,to:'2018-01-01T07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23.301100000000002</v>
      </c>
      <c r="Z26" s="247">
        <f>RIGHT(H26,LEN(H26)-4)/10000</f>
        <v>1.47E-2</v>
      </c>
      <c r="AA26" s="247">
        <f>ABS(Z26-Y26)</f>
        <v>23.2864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112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/stypes="app*4063*20180101*"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112-01 --locoid 4063 --swversion DE.1.0.9.0 --startMP 204:233011 --initTime 2018-01-01T05:53:29 --startdatetime 2018-01-01T05:57:33 --delay 134 --endMP 204:147 --enddatetime 2018-01-01T06:38:45 --enforcementcount 0 &gt;&gt;%USERPROFILE%\Documents\GitHub\eaglep3-reporting\EC\2018-01-01-refined-times.txt</v>
      </c>
      <c r="AI2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{"issue":{"subject":"","project_id":79,"tracker_id":40,"status_id":1,"priority_id":2,"assigned_to_id":338,"start_date":"2018-01-01","description":"","custom_fields":[{"id":1,"name":"Subdivision","value":"EC"},{"id":4,"name":"Milepost","value":"0.0147"},{"id":17,"name":"Train ID","value":"112-01"},{"id":16,"name":"Locomotive ID","value":"4063"},{"id":130,"name":"Impact","value":""},{"id":150,"name":"Time of Event (Mountain Time)","value":"06:38:45"},{"id":151,"name":"Denver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4063 --day 2018-01-01</v>
      </c>
      <c r="AN2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-01T04:53:29-0700',mode:absolute,to:'2018-01-01T07:38:45-0700'))&amp;_a=(columns:!('Message%20ID',Summary),filters:!(),index:'emp_*',interval:auto,query:(query_string:(analyze_wildcard:!t,query:'%22rtdc.l.rtdc.4063%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698</v>
      </c>
      <c r="B27" s="225">
        <v>4012</v>
      </c>
      <c r="C27" s="227" t="s">
        <v>192</v>
      </c>
      <c r="D27" s="227" t="s">
        <v>500</v>
      </c>
      <c r="E27" s="226">
        <v>43101.209756944445</v>
      </c>
      <c r="F27" s="226">
        <v>43101.219004629631</v>
      </c>
      <c r="G27" s="225">
        <v>93</v>
      </c>
      <c r="H27" s="227" t="s">
        <v>515</v>
      </c>
      <c r="I27" s="226">
        <v>43101.244791666664</v>
      </c>
      <c r="J27" s="225">
        <v>0</v>
      </c>
      <c r="K27" s="237" t="str">
        <f>IF(ISEVEN(B27),(B27-1)&amp;"/"&amp;B27,B27&amp;"/"&amp;(B27+1))</f>
        <v>4011/4012</v>
      </c>
      <c r="L27" s="245" t="str">
        <f>VLOOKUP(A27,'Trips&amp;Operators'!$C$1:$G$99911,5,FALSE)</f>
        <v>DAVIDSON DAVID</v>
      </c>
      <c r="M27" s="224">
        <f>I27-F27</f>
        <v>2.5787037033296656E-2</v>
      </c>
      <c r="N27" s="225">
        <f>24*60*SUM($M27:$M27)</f>
        <v>37.133333327947184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-01T04:02:03-0700',mode:absolute,to:'2018-01-01T06:52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5.1700000000000003E-2</v>
      </c>
      <c r="Z27" s="247">
        <f>RIGHT(H27,LEN(H27)-4)/10000</f>
        <v>23.3278</v>
      </c>
      <c r="AA27" s="247">
        <f>ABS(Z27-Y27)</f>
        <v>23.2761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113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/stypes="app*4012*20180101*" /stext=" 12:.+((SYSTEM_STATE.+slice.+state.+changed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113-01 --locoid 4012 --swversion DE.1.0.9.0 --startMP 204:517 --initTime 2018-01-01T05:02:03 --startdatetime 2018-01-01T05:15:22 --delay 93 --endMP 204:233278 --enddatetime 2018-01-01T05:52:30 --enforcementcount 0 &gt;&gt;%USERPROFILE%\Documents\GitHub\eaglep3-reporting\EC\2018-01-01-refined-times.txt</v>
      </c>
      <c r="AI2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{"issue":{"subject":"","project_id":79,"tracker_id":40,"status_id":1,"priority_id":2,"assigned_to_id":338,"start_date":"2018-01-01","description":"","custom_fields":[{"id":1,"name":"Subdivision","value":"EC"},{"id":4,"name":"Milepost","value":"23.3278"},{"id":17,"name":"Train ID","value":"113-01"},{"id":16,"name":"Locomotive ID","value":"4012"},{"id":130,"name":"Impact","value":""},{"id":150,"name":"Time of Event (Mountain Time)","value":"05:52:30"},{"id":151,"name":"Denver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4012 --day 2018-01-01</v>
      </c>
      <c r="AN2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-01T04:02:03-0700',mode:absolute,to:'2018-01-01T06:52:30-0700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710</v>
      </c>
      <c r="B28" s="225">
        <v>4011</v>
      </c>
      <c r="C28" s="227" t="s">
        <v>192</v>
      </c>
      <c r="D28" s="227" t="s">
        <v>558</v>
      </c>
      <c r="E28" s="226">
        <v>43101.24728009259</v>
      </c>
      <c r="F28" s="226">
        <v>43101.258564814816</v>
      </c>
      <c r="G28" s="225">
        <v>77</v>
      </c>
      <c r="H28" s="227" t="s">
        <v>900</v>
      </c>
      <c r="I28" s="226">
        <v>43101.286134259259</v>
      </c>
      <c r="J28" s="225">
        <v>0</v>
      </c>
      <c r="K28" s="237" t="str">
        <f>IF(ISEVEN(B28),(B28-1)&amp;"/"&amp;B28,B28&amp;"/"&amp;(B28+1))</f>
        <v>4011/4012</v>
      </c>
      <c r="L28" s="245" t="str">
        <f>VLOOKUP(A28,'Trips&amp;Operators'!$C$1:$G$99911,5,FALSE)</f>
        <v>DAVIDSON DAVID</v>
      </c>
      <c r="M28" s="224">
        <f>I28-F28</f>
        <v>2.7569444442633539E-2</v>
      </c>
      <c r="N28" s="225">
        <f>24*60*SUM($M28:$M28)</f>
        <v>39.699999997392297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-01T04:56:05-0700',mode:absolute,to:'2018-01-01T07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23.296099999999999</v>
      </c>
      <c r="Z28" s="247">
        <f>RIGHT(H28,LEN(H28)-4)/10000</f>
        <v>2.3199999999999998E-2</v>
      </c>
      <c r="AA28" s="247">
        <f>ABS(Z28-Y28)</f>
        <v>23.2729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114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/stypes="app*4011*20180101*" /stext=" 13:.+((SYSTEM_STATE.+slice.+state.+changed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114-01 --locoid 4011 --swversion DE.1.0.9.0 --startMP 204:232961 --initTime 2018-01-01T05:56:05 --startdatetime 2018-01-01T06:12:20 --delay 77 --endMP 204:232 --enddatetime 2018-01-01T06:52:02 --enforcementcount 0 &gt;&gt;%USERPROFILE%\Documents\GitHub\eaglep3-reporting\EC\2018-01-01-refined-times.txt</v>
      </c>
      <c r="AI28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{"issue":{"subject":"","project_id":79,"tracker_id":40,"status_id":1,"priority_id":2,"assigned_to_id":338,"start_date":"2018-01-01","description":"","custom_fields":[{"id":1,"name":"Subdivision","value":"EC"},{"id":4,"name":"Milepost","value":"0.0232"},{"id":17,"name":"Train ID","value":"114-01"},{"id":16,"name":"Locomotive ID","value":"4011"},{"id":130,"name":"Impact","value":""},{"id":150,"name":"Time of Event (Mountain Time)","value":"06:52:02"},{"id":151,"name":"Denver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4011 --day 2018-01-01</v>
      </c>
      <c r="AN28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-01T04:56:05-0700',mode:absolute,to:'2018-01-01T07:52:02-0700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703</v>
      </c>
      <c r="B29" s="225">
        <v>4020</v>
      </c>
      <c r="C29" s="227" t="s">
        <v>192</v>
      </c>
      <c r="D29" s="227" t="s">
        <v>901</v>
      </c>
      <c r="E29" s="226">
        <v>43101.22384259259</v>
      </c>
      <c r="F29" s="226">
        <v>43101.22934027778</v>
      </c>
      <c r="G29" s="225">
        <v>60</v>
      </c>
      <c r="H29" s="227" t="s">
        <v>633</v>
      </c>
      <c r="I29" s="226">
        <v>43101.255243055559</v>
      </c>
      <c r="J29" s="225">
        <v>0</v>
      </c>
      <c r="K29" s="237" t="str">
        <f>IF(ISEVEN(B29),(B29-1)&amp;"/"&amp;B29,B29&amp;"/"&amp;(B29+1))</f>
        <v>4019/4020</v>
      </c>
      <c r="L29" s="245" t="str">
        <f>VLOOKUP(A29,'Trips&amp;Operators'!$C$1:$G$99911,5,FALSE)</f>
        <v>LONG FULLER</v>
      </c>
      <c r="M29" s="224">
        <f>I29-F29</f>
        <v>2.5902777779265307E-2</v>
      </c>
      <c r="N29" s="225">
        <f>24*60*SUM($M29:$M29)</f>
        <v>37.300000002142042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-01T04:22:20-0700',mode:absolute,to:'2018-01-01T07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5.4800000000000001E-2</v>
      </c>
      <c r="Z29" s="247">
        <f>RIGHT(H29,LEN(H29)-4)/10000</f>
        <v>23.327000000000002</v>
      </c>
      <c r="AA29" s="247">
        <f>ABS(Z29-Y29)</f>
        <v>23.272200000000002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115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/stypes="app*4020*20180101*"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115-01 --locoid 4020 --swversion DE.1.0.9.0 --startMP 204:548 --initTime 2018-01-01T05:22:20 --startdatetime 2018-01-01T05:30:15 --delay 60 --endMP 204:233270 --enddatetime 2018-01-01T06:07:33 --enforcementcount 0 &gt;&gt;%USERPROFILE%\Documents\GitHub\eaglep3-reporting\EC\2018-01-01-refined-times.txt</v>
      </c>
      <c r="AI29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{"issue":{"subject":"","project_id":79,"tracker_id":40,"status_id":1,"priority_id":2,"assigned_to_id":338,"start_date":"2018-01-01","description":"","custom_fields":[{"id":1,"name":"Subdivision","value":"EC"},{"id":4,"name":"Milepost","value":"23.327"},{"id":17,"name":"Train ID","value":"115-01"},{"id":16,"name":"Locomotive ID","value":"4020"},{"id":130,"name":"Impact","value":""},{"id":150,"name":"Time of Event (Mountain Time)","value":"06:07:33"},{"id":151,"name":"Denver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4020 --day 2018-01-01</v>
      </c>
      <c r="AN29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-01T04:22:20-0700',mode:absolute,to:'2018-01-01T07:07:33-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712</v>
      </c>
      <c r="B30" s="225">
        <v>4019</v>
      </c>
      <c r="C30" s="227" t="s">
        <v>192</v>
      </c>
      <c r="D30" s="227" t="s">
        <v>902</v>
      </c>
      <c r="E30" s="226">
        <v>43101.263680555552</v>
      </c>
      <c r="F30" s="226">
        <v>43101.269016203703</v>
      </c>
      <c r="G30" s="225">
        <v>112</v>
      </c>
      <c r="H30" s="227" t="s">
        <v>469</v>
      </c>
      <c r="I30" s="226">
        <v>43101.294768518521</v>
      </c>
      <c r="J30" s="225">
        <v>0</v>
      </c>
      <c r="K30" s="237" t="str">
        <f>IF(ISEVEN(B30),(B30-1)&amp;"/"&amp;B30,B30&amp;"/"&amp;(B30+1))</f>
        <v>4019/4020</v>
      </c>
      <c r="L30" s="245" t="str">
        <f>VLOOKUP(A30,'Trips&amp;Operators'!$C$1:$G$99911,5,FALSE)</f>
        <v>LONG FULLER</v>
      </c>
      <c r="M30" s="224">
        <f>I30-F30</f>
        <v>2.5752314817509614E-2</v>
      </c>
      <c r="N30" s="225">
        <f>24*60*SUM($M30:$M30)</f>
        <v>37.083333337213844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-01T05:19:42-0700',mode:absolute,to:'2018-01-01T08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23.2974</v>
      </c>
      <c r="Z30" s="247">
        <f>RIGHT(H30,LEN(H30)-4)/10000</f>
        <v>2.2499999999999999E-2</v>
      </c>
      <c r="AA30" s="247">
        <f>ABS(Z30-Y30)</f>
        <v>23.274899999999999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116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/stypes="app*4019*20180101*"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116-01 --locoid 4019 --swversion DE.1.0.9.0 --startMP 204:232974 --initTime 2018-01-01T06:19:42 --startdatetime 2018-01-01T06:27:23 --delay 112 --endMP 204:225 --enddatetime 2018-01-01T07:04:28 --enforcementcount 0 &gt;&gt;%USERPROFILE%\Documents\GitHub\eaglep3-reporting\EC\2018-01-01-refined-times.txt</v>
      </c>
      <c r="AI30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{"issue":{"subject":"","project_id":79,"tracker_id":40,"status_id":1,"priority_id":2,"assigned_to_id":338,"start_date":"2018-01-01","description":"","custom_fields":[{"id":1,"name":"Subdivision","value":"EC"},{"id":4,"name":"Milepost","value":"0.0225"},{"id":17,"name":"Train ID","value":"116-01"},{"id":16,"name":"Locomotive ID","value":"4019"},{"id":130,"name":"Impact","value":""},{"id":150,"name":"Time of Event (Mountain Time)","value":"07:04:28"},{"id":151,"name":"Denver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4019 --day 2018-01-01</v>
      </c>
      <c r="AN30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-01T05:19:42-0700',mode:absolute,to:'2018-01-01T08:04:28-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707</v>
      </c>
      <c r="B31" s="225">
        <v>4010</v>
      </c>
      <c r="C31" s="227" t="s">
        <v>192</v>
      </c>
      <c r="D31" s="227" t="s">
        <v>556</v>
      </c>
      <c r="E31" s="226">
        <v>43101.235254629632</v>
      </c>
      <c r="F31" s="226">
        <v>43101.239768518521</v>
      </c>
      <c r="G31" s="225">
        <v>69</v>
      </c>
      <c r="H31" s="227" t="s">
        <v>588</v>
      </c>
      <c r="I31" s="226">
        <v>43101.256585648145</v>
      </c>
      <c r="J31" s="225">
        <v>0</v>
      </c>
      <c r="K31" s="237" t="str">
        <f>IF(ISEVEN(B31),(B31-1)&amp;"/"&amp;B31,B31&amp;"/"&amp;(B31+1))</f>
        <v>4009/4010</v>
      </c>
      <c r="L31" s="245" t="str">
        <f>VLOOKUP(A31,'Trips&amp;Operators'!$C$1:$G$99911,5,FALSE)</f>
        <v>LAMAR NEKESHA</v>
      </c>
      <c r="M31" s="224">
        <f>I31-F31</f>
        <v>1.6817129624541849E-2</v>
      </c>
      <c r="N31" s="225"/>
      <c r="O31" s="225"/>
      <c r="P31" s="225">
        <f>24*60*SUM($M31:$M31)</f>
        <v>24.216666659340262</v>
      </c>
      <c r="Q31" s="228"/>
      <c r="R31" s="242" t="s">
        <v>1063</v>
      </c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-01T04:38:46-0700',mode:absolute,to:'2018-01-01T07:09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4.8000000000000001E-2</v>
      </c>
      <c r="Z31" s="247">
        <f>RIGHT(H31,LEN(H31)-4)/10000</f>
        <v>23.3293</v>
      </c>
      <c r="AA31" s="247">
        <f>ABS(Z31-Y31)</f>
        <v>23.281300000000002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117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/stypes="app*4010*20180101*"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117-01 --locoid 4010 --swversion DE.1.0.9.0 --startMP 204:480 --initTime 2018-01-01T05:38:46 --startdatetime 2018-01-01T05:45:16 --delay 69 --endMP 204:233293 --enddatetime 2018-01-01T06:09:29 --enforcementcount 0 &gt;&gt;%USERPROFILE%\Documents\GitHub\eaglep3-reporting\EC\2018-01-01-refined-times.txt</v>
      </c>
      <c r="AI31" s="238" t="str">
        <f t="shared" si="6"/>
        <v>echo {"issue":{"subject":"Wheel tach slip/slide","project_id":79,"tracker_id":40,"status_id":1,"priority_id":2,"assigned_to_id":338,"start_date":"2018-01-01","description":"","custom_fields":[{"id":1,"name":"Subdivision","value":"EC"},{"id":4,"name":"Milepost","value":"23.3293"},{"id":17,"name":"Train ID","value":"117-01"},{"id":16,"name":"Locomotive ID","value":"4010"},{"id":130,"name":"Impact","value":""},{"id":150,"name":"Time of Event (Mountain Time)","value":"06:09:29"},{"id":151,"name":"Denver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4010 --day 2018-01-01</v>
      </c>
      <c r="AN31" s="241" t="str">
        <f t="shared" si="8"/>
        <v>echo {"issue":{"subject":"Wheel tach slip/slide","project_id":30,"tracker_id":4,"status_id":1,"priority_id":1,"assigned_to_id":10,"start_date":"2018-01-01","description":"","custom_fields":[{"id":30,"name":"Category","value":"Issue"},{"id":3,"name":"Functional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-01T04:38:46-0700',mode:absolute,to:'2018-01-01T07:09:29-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715</v>
      </c>
      <c r="B32" s="225">
        <v>4009</v>
      </c>
      <c r="C32" s="227" t="s">
        <v>192</v>
      </c>
      <c r="D32" s="227" t="s">
        <v>616</v>
      </c>
      <c r="E32" s="226">
        <v>43101.277777777781</v>
      </c>
      <c r="F32" s="226">
        <v>43101.279502314814</v>
      </c>
      <c r="G32" s="225">
        <v>56</v>
      </c>
      <c r="H32" s="227" t="s">
        <v>539</v>
      </c>
      <c r="I32" s="226">
        <v>43101.305173611108</v>
      </c>
      <c r="J32" s="225">
        <v>0</v>
      </c>
      <c r="K32" s="237" t="str">
        <f>IF(ISEVEN(B32),(B32-1)&amp;"/"&amp;B32,B32&amp;"/"&amp;(B32+1))</f>
        <v>4009/4010</v>
      </c>
      <c r="L32" s="245" t="str">
        <f>VLOOKUP(A32,'Trips&amp;Operators'!$C$1:$G$99911,5,FALSE)</f>
        <v>LAMAR NEKESHA</v>
      </c>
      <c r="M32" s="224">
        <f>I32-F32</f>
        <v>2.5671296294603962E-2</v>
      </c>
      <c r="N32" s="225">
        <f>24*60*SUM($M32:$M32)</f>
        <v>36.966666664229706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-01T05:40:00-0700',mode:absolute,to:'2018-01-01T08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23.297999999999998</v>
      </c>
      <c r="Z32" s="247">
        <f>RIGHT(H32,LEN(H32)-4)/10000</f>
        <v>1.6299999999999999E-2</v>
      </c>
      <c r="AA32" s="247">
        <f>ABS(Z32-Y32)</f>
        <v>23.281699999999997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118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/stypes="app*4009*20180101*"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118-01 --locoid 4009 --swversion DE.1.0.9.0 --startMP 204:232980 --initTime 2018-01-01T06:40:00 --startdatetime 2018-01-01T06:42:29 --delay 56 --endMP 204:163 --enddatetime 2018-01-01T07:19:27 --enforcementcount 0 &gt;&gt;%USERPROFILE%\Documents\GitHub\eaglep3-reporting\EC\2018-01-01-refined-times.txt</v>
      </c>
      <c r="AI3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{"issue":{"subject":"","project_id":79,"tracker_id":40,"status_id":1,"priority_id":2,"assigned_to_id":338,"start_date":"2018-01-01","description":"","custom_fields":[{"id":1,"name":"Subdivision","value":"EC"},{"id":4,"name":"Milepost","value":"0.0163"},{"id":17,"name":"Train ID","value":"118-01"},{"id":16,"name":"Locomotive ID","value":"4009"},{"id":130,"name":"Impact","value":""},{"id":150,"name":"Time of Event (Mountain Time)","value":"07:19:27"},{"id":151,"name":"Denver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4009 --day 2018-01-01</v>
      </c>
      <c r="AN32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-01T05:40:00-0700',mode:absolute,to:'2018-01-01T08:19:27-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708</v>
      </c>
      <c r="B33" s="225">
        <v>4042</v>
      </c>
      <c r="C33" s="227" t="s">
        <v>192</v>
      </c>
      <c r="D33" s="227" t="s">
        <v>501</v>
      </c>
      <c r="E33" s="226">
        <v>43101.242719907408</v>
      </c>
      <c r="F33" s="226">
        <v>43101.250393518516</v>
      </c>
      <c r="G33" s="225">
        <v>43</v>
      </c>
      <c r="H33" s="227" t="s">
        <v>903</v>
      </c>
      <c r="I33" s="226">
        <v>43101.274745370371</v>
      </c>
      <c r="J33" s="225">
        <v>0</v>
      </c>
      <c r="K33" s="237" t="str">
        <f>IF(ISEVEN(B33),(B33-1)&amp;"/"&amp;B33,B33&amp;"/"&amp;(B33+1))</f>
        <v>4041/4042</v>
      </c>
      <c r="L33" s="245" t="str">
        <f>VLOOKUP(A33,'Trips&amp;Operators'!$C$1:$G$99911,5,FALSE)</f>
        <v>YORK EDGAR</v>
      </c>
      <c r="M33" s="224">
        <f>I33-F33</f>
        <v>2.4351851854589768E-2</v>
      </c>
      <c r="N33" s="225">
        <f>24*60*SUM($M33:$M33)</f>
        <v>35.066666670609266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-01T04:49:31-0700',mode:absolute,to:'2018-01-01T07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4.6399999999999997E-2</v>
      </c>
      <c r="Z33" s="247">
        <f>RIGHT(H33,LEN(H33)-4)/10000</f>
        <v>23.326799999999999</v>
      </c>
      <c r="AA33" s="247">
        <f>ABS(Z33-Y33)</f>
        <v>23.2804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119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/stypes="app*4042*20180101*"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119-01 --locoid 4042 --swversion DE.1.0.9.0 --startMP 204:464 --initTime 2018-01-01T05:49:31 --startdatetime 2018-01-01T06:00:34 --delay 43 --endMP 204:233268 --enddatetime 2018-01-01T06:35:38 --enforcementcount 0 &gt;&gt;%USERPROFILE%\Documents\GitHub\eaglep3-reporting\EC\2018-01-01-refined-times.txt</v>
      </c>
      <c r="AI3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{"issue":{"subject":"","project_id":79,"tracker_id":40,"status_id":1,"priority_id":2,"assigned_to_id":338,"start_date":"2018-01-01","description":"","custom_fields":[{"id":1,"name":"Subdivision","value":"EC"},{"id":4,"name":"Milepost","value":"23.3268"},{"id":17,"name":"Train ID","value":"119-01"},{"id":16,"name":"Locomotive ID","value":"4042"},{"id":130,"name":"Impact","value":""},{"id":150,"name":"Time of Event (Mountain Time)","value":"06:35:38"},{"id":151,"name":"Denver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4042 --day 2018-01-01</v>
      </c>
      <c r="AN33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-01T04:49:31-0700',mode:absolute,to:'2018-01-01T07:35:38-0700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660</v>
      </c>
      <c r="B34" s="225">
        <v>4041</v>
      </c>
      <c r="C34" s="227" t="s">
        <v>192</v>
      </c>
      <c r="D34" s="227" t="s">
        <v>626</v>
      </c>
      <c r="E34" s="226">
        <v>43101.276331018518</v>
      </c>
      <c r="F34" s="226">
        <v>43101.290081018517</v>
      </c>
      <c r="G34" s="225">
        <v>54</v>
      </c>
      <c r="H34" s="227" t="s">
        <v>593</v>
      </c>
      <c r="I34" s="226">
        <v>43101.304722222223</v>
      </c>
      <c r="J34" s="225">
        <v>0</v>
      </c>
      <c r="K34" s="237" t="str">
        <f>IF(ISEVEN(B34),(B34-1)&amp;"/"&amp;B34,B34&amp;"/"&amp;(B34+1))</f>
        <v>4041/4042</v>
      </c>
      <c r="L34" s="245" t="str">
        <f>VLOOKUP(A34,'Trips&amp;Operators'!$C$1:$G$99911,5,FALSE)</f>
        <v>YORK EDGAR</v>
      </c>
      <c r="M34" s="224">
        <f>I34-F34</f>
        <v>1.4641203706560191E-2</v>
      </c>
      <c r="N34" s="225"/>
      <c r="O34" s="225"/>
      <c r="P34" s="225">
        <f>24*60*SUM($M34:$M34)</f>
        <v>21.083333337446675</v>
      </c>
      <c r="Q34" s="228"/>
      <c r="R34" s="242" t="s">
        <v>1063</v>
      </c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-01T05:37:55-0700',mode:absolute,to:'2018-01-01T08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23.294899999999998</v>
      </c>
      <c r="Z34" s="247">
        <f>RIGHT(H34,LEN(H34)-4)/10000</f>
        <v>1.67E-2</v>
      </c>
      <c r="AA34" s="247">
        <f>ABS(Z34-Y34)</f>
        <v>23.278199999999998</v>
      </c>
      <c r="AB34" s="233" t="str">
        <f>VLOOKUP(A34,Enforcements!$C$7:$K$9,8,0)</f>
        <v>Bulletin (2)</v>
      </c>
      <c r="AC34" s="232" t="str">
        <f>VLOOKUP(A34,Enforcements!$C$7:$E$9,3,0)</f>
        <v>GRADE CROSSING</v>
      </c>
      <c r="AD34" s="243">
        <f>VALUE(LEFT(A34,LEN(A34)-3))</f>
        <v>120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/stypes="app*4041*20180101*"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120-01 --locoid 4041 --swversion DE.1.0.9.0 --startMP 204:232949 --initTime 2018-01-01T06:37:55 --startdatetime 2018-01-01T06:57:43 --delay 54 --endMP 204:167 --enddatetime 2018-01-01T07:18:48 --enforcementcount 0 &gt;&gt;%USERPROFILE%\Documents\GitHub\eaglep3-reporting\EC\2018-01-01-refined-times.txt</v>
      </c>
      <c r="AI34" s="238" t="str">
        <f t="shared" si="6"/>
        <v>echo {"issue":{"subject":"Wheel tach slip/slide","project_id":79,"tracker_id":40,"status_id":1,"priority_id":2,"assigned_to_id":338,"start_date":"2018-01-01","description":"","custom_fields":[{"id":1,"name":"Subdivision","value":"EC"},{"id":4,"name":"Milepost","value":"0.0167"},{"id":17,"name":"Train ID","value":"120-01"},{"id":16,"name":"Locomotive ID","value":"4041"},{"id":130,"name":"Impact","value":""},{"id":150,"name":"Time of Event (Mountain Time)","value":"07:18:48"},{"id":151,"name":"Denver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4041 --day 2018-01-01</v>
      </c>
      <c r="AN34" s="241" t="str">
        <f t="shared" si="8"/>
        <v>echo {"issue":{"subject":"Wheel tach slip/slide","project_id":30,"tracker_id":4,"status_id":1,"priority_id":1,"assigned_to_id":10,"start_date":"2018-01-01","description":"","custom_fields":[{"id":30,"name":"Category","value":"Issue"},{"id":3,"name":"Functional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-01T05:37:55-0700',mode:absolute,to:'2018-01-01T08:18:48-0700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711</v>
      </c>
      <c r="B35" s="225">
        <v>4058</v>
      </c>
      <c r="C35" s="227" t="s">
        <v>192</v>
      </c>
      <c r="D35" s="227" t="s">
        <v>631</v>
      </c>
      <c r="E35" s="226">
        <v>43101.255219907405</v>
      </c>
      <c r="F35" s="226">
        <v>43101.260601851849</v>
      </c>
      <c r="G35" s="225">
        <v>73</v>
      </c>
      <c r="H35" s="227" t="s">
        <v>583</v>
      </c>
      <c r="I35" s="226">
        <v>43101.284444444442</v>
      </c>
      <c r="J35" s="225">
        <v>0</v>
      </c>
      <c r="K35" s="237" t="str">
        <f>IF(ISEVEN(B35),(B35-1)&amp;"/"&amp;B35,B35&amp;"/"&amp;(B35+1))</f>
        <v>4057/4058</v>
      </c>
      <c r="L35" s="245" t="str">
        <f>VLOOKUP(A35,'Trips&amp;Operators'!$C$1:$G$99911,5,FALSE)</f>
        <v>DELGADO DIANAH</v>
      </c>
      <c r="M35" s="224">
        <f>I35-F35</f>
        <v>2.3842592592700385E-2</v>
      </c>
      <c r="N35" s="225">
        <f>24*60*SUM($M35:$M35)</f>
        <v>34.333333333488554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-01T05:07:31-0700',mode:absolute,to:'2018-01-01T07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4.6199999999999998E-2</v>
      </c>
      <c r="Z35" s="247">
        <f>RIGHT(H35,LEN(H35)-4)/10000</f>
        <v>23.330300000000001</v>
      </c>
      <c r="AA35" s="247">
        <f>ABS(Z35-Y35)</f>
        <v>23.284100000000002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121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/stypes="app*4058*20180101*" /stext=" 13:.+((SYSTEM_STATE.+slice.+state.+changed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121-01 --locoid 4058 --swversion DE.1.0.9.0 --startMP 204:462 --initTime 2018-01-01T06:07:31 --startdatetime 2018-01-01T06:15:16 --delay 73 --endMP 204:233303 --enddatetime 2018-01-01T06:49:36 --enforcementcount 0 &gt;&gt;%USERPROFILE%\Documents\GitHub\eaglep3-reporting\EC\2018-01-01-refined-times.txt</v>
      </c>
      <c r="AI3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{"issue":{"subject":"","project_id":79,"tracker_id":40,"status_id":1,"priority_id":2,"assigned_to_id":338,"start_date":"2018-01-01","description":"","custom_fields":[{"id":1,"name":"Subdivision","value":"EC"},{"id":4,"name":"Milepost","value":"23.3303"},{"id":17,"name":"Train ID","value":"121-01"},{"id":16,"name":"Locomotive ID","value":"4058"},{"id":130,"name":"Impact","value":""},{"id":150,"name":"Time of Event (Mountain Time)","value":"06:49:36"},{"id":151,"name":"Denver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4058 --day 2018-01-01</v>
      </c>
      <c r="AN3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-01T05:07:31-0700',mode:absolute,to:'2018-01-01T07:49:36-0700'))&amp;_a=(columns:!('Message%20ID',Summary),filters:!(),index:'emp_*',interval:auto,query:(query_string:(analyze_wildcard:!t,query:'%22rtdc.l.rtdc.4058%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717</v>
      </c>
      <c r="B36" s="225">
        <v>4057</v>
      </c>
      <c r="C36" s="227" t="s">
        <v>192</v>
      </c>
      <c r="D36" s="227" t="s">
        <v>616</v>
      </c>
      <c r="E36" s="226">
        <v>43101.285914351851</v>
      </c>
      <c r="F36" s="226">
        <v>43101.300185185188</v>
      </c>
      <c r="G36" s="225">
        <v>1055</v>
      </c>
      <c r="H36" s="227" t="s">
        <v>904</v>
      </c>
      <c r="I36" s="226">
        <v>43101.325590277775</v>
      </c>
      <c r="J36" s="225">
        <v>0</v>
      </c>
      <c r="K36" s="237" t="str">
        <f>IF(ISEVEN(B36),(B36-1)&amp;"/"&amp;B36,B36&amp;"/"&amp;(B36+1))</f>
        <v>4057/4058</v>
      </c>
      <c r="L36" s="245" t="str">
        <f>VLOOKUP(A36,'Trips&amp;Operators'!$C$1:$G$99911,5,FALSE)</f>
        <v>DELGADO DIANAH</v>
      </c>
      <c r="M36" s="224">
        <f>I36-F36</f>
        <v>2.5405092586879618E-2</v>
      </c>
      <c r="N36" s="225">
        <f>24*60*SUM($M36:$M36)</f>
        <v>36.583333325106651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-01T05:51:43-0700',mode:absolute,to:'2018-01-01T08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23.297999999999998</v>
      </c>
      <c r="Z36" s="247">
        <f>RIGHT(H36,LEN(H36)-4)/10000</f>
        <v>1.32E-2</v>
      </c>
      <c r="AA36" s="247">
        <f>ABS(Z36-Y36)</f>
        <v>23.284799999999997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122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/stypes="app*4057*20180101*"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122-01 --locoid 4057 --swversion DE.1.0.9.0 --startMP 204:232980 --initTime 2018-01-01T06:51:43 --startdatetime 2018-01-01T07:12:16 --delay 1055 --endMP 204:132 --enddatetime 2018-01-01T07:48:51 --enforcementcount 0 &gt;&gt;%USERPROFILE%\Documents\GitHub\eaglep3-reporting\EC\2018-01-01-refined-times.txt</v>
      </c>
      <c r="AI3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{"issue":{"subject":"","project_id":79,"tracker_id":40,"status_id":1,"priority_id":2,"assigned_to_id":338,"start_date":"2018-01-01","description":"","custom_fields":[{"id":1,"name":"Subdivision","value":"EC"},{"id":4,"name":"Milepost","value":"0.0132"},{"id":17,"name":"Train ID","value":"122-01"},{"id":16,"name":"Locomotive ID","value":"4057"},{"id":130,"name":"Impact","value":""},{"id":150,"name":"Time of Event (Mountain Time)","value":"07:48:51"},{"id":151,"name":"Denver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4057 --day 2018-01-01</v>
      </c>
      <c r="AN3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-01T05:51:43-0700',mode:absolute,to:'2018-01-01T08:48:51-0700'))&amp;_a=(columns:!('Message%20ID',Summary),filters:!(),index:'emp_*',interval:auto,query:(query_string:(analyze_wildcard:!t,query:'%22rtdc.l.rtdc.4057%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714</v>
      </c>
      <c r="B37" s="225">
        <v>4014</v>
      </c>
      <c r="C37" s="227" t="s">
        <v>192</v>
      </c>
      <c r="D37" s="227" t="s">
        <v>595</v>
      </c>
      <c r="E37" s="226">
        <v>43101.26703703704</v>
      </c>
      <c r="F37" s="226">
        <v>43101.271064814813</v>
      </c>
      <c r="G37" s="225">
        <v>57</v>
      </c>
      <c r="H37" s="227" t="s">
        <v>638</v>
      </c>
      <c r="I37" s="226">
        <v>43101.296701388892</v>
      </c>
      <c r="J37" s="225">
        <v>0</v>
      </c>
      <c r="K37" s="237" t="str">
        <f>IF(ISEVEN(B37),(B37-1)&amp;"/"&amp;B37,B37&amp;"/"&amp;(B37+1))</f>
        <v>4013/4014</v>
      </c>
      <c r="L37" s="245" t="str">
        <f>VLOOKUP(A37,'Trips&amp;Operators'!$C$1:$G$99911,5,FALSE)</f>
        <v>MAELZER KURT</v>
      </c>
      <c r="M37" s="224">
        <f>I37-F37</f>
        <v>2.5636574078816921E-2</v>
      </c>
      <c r="N37" s="225">
        <f>24*60*SUM($M37:$M37)</f>
        <v>36.916666673496366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-01T05:24:32-0700',mode:absolute,to:'2018-01-01T08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4.7500000000000001E-2</v>
      </c>
      <c r="Z37" s="247">
        <f>RIGHT(H37,LEN(H37)-4)/10000</f>
        <v>23.330400000000001</v>
      </c>
      <c r="AA37" s="247">
        <f>ABS(Z37-Y37)</f>
        <v>23.282900000000001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123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/stypes="app*4014*20180101*"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123-01 --locoid 4014 --swversion DE.1.0.9.0 --startMP 204:475 --initTime 2018-01-01T06:24:32 --startdatetime 2018-01-01T06:30:20 --delay 57 --endMP 204:233304 --enddatetime 2018-01-01T07:07:15 --enforcementcount 0 &gt;&gt;%USERPROFILE%\Documents\GitHub\eaglep3-reporting\EC\2018-01-01-refined-times.txt</v>
      </c>
      <c r="AI3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{"issue":{"subject":"","project_id":79,"tracker_id":40,"status_id":1,"priority_id":2,"assigned_to_id":338,"start_date":"2018-01-01","description":"","custom_fields":[{"id":1,"name":"Subdivision","value":"EC"},{"id":4,"name":"Milepost","value":"23.3304"},{"id":17,"name":"Train ID","value":"123-01"},{"id":16,"name":"Locomotive ID","value":"4014"},{"id":130,"name":"Impact","value":""},{"id":150,"name":"Time of Event (Mountain Time)","value":"07:07:15"},{"id":151,"name":"Denver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4014 --day 2018-01-01</v>
      </c>
      <c r="AN3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-01T05:24:32-0700',mode:absolute,to:'2018-01-01T08:07:15-0700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721</v>
      </c>
      <c r="B38" s="225">
        <v>4013</v>
      </c>
      <c r="C38" s="227" t="s">
        <v>192</v>
      </c>
      <c r="D38" s="227" t="s">
        <v>535</v>
      </c>
      <c r="E38" s="226">
        <v>43101.304305555554</v>
      </c>
      <c r="F38" s="226">
        <v>43101.310694444444</v>
      </c>
      <c r="G38" s="225">
        <v>44</v>
      </c>
      <c r="H38" s="227" t="s">
        <v>490</v>
      </c>
      <c r="I38" s="226">
        <v>43101.336458333331</v>
      </c>
      <c r="J38" s="225">
        <v>0</v>
      </c>
      <c r="K38" s="237" t="str">
        <f>IF(ISEVEN(B38),(B38-1)&amp;"/"&amp;B38,B38&amp;"/"&amp;(B38+1))</f>
        <v>4013/4014</v>
      </c>
      <c r="L38" s="245" t="str">
        <f>VLOOKUP(A38,'Trips&amp;Operators'!$C$1:$G$99911,5,FALSE)</f>
        <v>MAELZER KURT</v>
      </c>
      <c r="M38" s="224">
        <f>I38-F38</f>
        <v>2.5763888887013309E-2</v>
      </c>
      <c r="N38" s="225">
        <f>24*60*SUM($M38:$M38)</f>
        <v>37.099999997299165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-01T06:18:12-0700',mode:absolute,to:'2018-01-01T09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23.299800000000001</v>
      </c>
      <c r="Z38" s="247">
        <f>RIGHT(H38,LEN(H38)-4)/10000</f>
        <v>2.01E-2</v>
      </c>
      <c r="AA38" s="247">
        <f>ABS(Z38-Y38)</f>
        <v>23.279700000000002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124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/stypes="app*4013*20180101*"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124-01 --locoid 4013 --swversion DE.1.0.9.0 --startMP 204:232998 --initTime 2018-01-01T07:18:12 --startdatetime 2018-01-01T07:27:24 --delay 44 --endMP 204:201 --enddatetime 2018-01-01T08:04:30 --enforcementcount 0 &gt;&gt;%USERPROFILE%\Documents\GitHub\eaglep3-reporting\EC\2018-01-01-refined-times.txt</v>
      </c>
      <c r="AI38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{"issue":{"subject":"","project_id":79,"tracker_id":40,"status_id":1,"priority_id":2,"assigned_to_id":338,"start_date":"2018-01-01","description":"","custom_fields":[{"id":1,"name":"Subdivision","value":"EC"},{"id":4,"name":"Milepost","value":"0.0201"},{"id":17,"name":"Train ID","value":"124-01"},{"id":16,"name":"Locomotive ID","value":"4013"},{"id":130,"name":"Impact","value":""},{"id":150,"name":"Time of Event (Mountain Time)","value":"08:04:30"},{"id":151,"name":"Denver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4013 --day 2018-01-01</v>
      </c>
      <c r="AN38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-01T06:18:12-0700',mode:absolute,to:'2018-01-01T09:04:30-0700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716</v>
      </c>
      <c r="B39" s="225">
        <v>4064</v>
      </c>
      <c r="C39" s="227" t="s">
        <v>192</v>
      </c>
      <c r="D39" s="227" t="s">
        <v>905</v>
      </c>
      <c r="E39" s="226">
        <v>43101.278634259259</v>
      </c>
      <c r="F39" s="226">
        <v>43101.281435185185</v>
      </c>
      <c r="G39" s="225">
        <v>64</v>
      </c>
      <c r="H39" s="227" t="s">
        <v>906</v>
      </c>
      <c r="I39" s="226">
        <v>43101.306203703702</v>
      </c>
      <c r="J39" s="225">
        <v>0</v>
      </c>
      <c r="K39" s="237" t="str">
        <f>IF(ISEVEN(B39),(B39-1)&amp;"/"&amp;B39,B39&amp;"/"&amp;(B39+1))</f>
        <v>4063/4064</v>
      </c>
      <c r="L39" s="245" t="str">
        <f>VLOOKUP(A39,'Trips&amp;Operators'!$C$1:$G$99911,5,FALSE)</f>
        <v>SPECTOR MICHAEL</v>
      </c>
      <c r="M39" s="224">
        <f>I39-F39</f>
        <v>2.4768518516793847E-2</v>
      </c>
      <c r="N39" s="225">
        <f>24*60*SUM($M39:$M39)</f>
        <v>35.66666666418314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-01T05:41:14-0700',mode:absolute,to:'2018-01-01T08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4.4699999999999997E-2</v>
      </c>
      <c r="Z39" s="247">
        <f>RIGHT(H39,LEN(H39)-4)/10000</f>
        <v>23.3324</v>
      </c>
      <c r="AA39" s="247">
        <f>ABS(Z39-Y39)</f>
        <v>23.287700000000001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125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/stypes="app*4064*20180101*"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125-01 --locoid 4064 --swversion DE.1.0.9.0 --startMP 204:447 --initTime 2018-01-01T06:41:14 --startdatetime 2018-01-01T06:45:16 --delay 64 --endMP 204:233324 --enddatetime 2018-01-01T07:20:56 --enforcementcount 0 &gt;&gt;%USERPROFILE%\Documents\GitHub\eaglep3-reporting\EC\2018-01-01-refined-times.txt</v>
      </c>
      <c r="AI39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{"issue":{"subject":"","project_id":79,"tracker_id":40,"status_id":1,"priority_id":2,"assigned_to_id":338,"start_date":"2018-01-01","description":"","custom_fields":[{"id":1,"name":"Subdivision","value":"EC"},{"id":4,"name":"Milepost","value":"23.3324"},{"id":17,"name":"Train ID","value":"125-01"},{"id":16,"name":"Locomotive ID","value":"4064"},{"id":130,"name":"Impact","value":""},{"id":150,"name":"Time of Event (Mountain Time)","value":"07:20:56"},{"id":151,"name":"Denver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4064 --day 2018-01-01</v>
      </c>
      <c r="AN39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-01T05:41:14-0700',mode:absolute,to:'2018-01-01T08:20:56-0700'))&amp;_a=(columns:!('Message%20ID',Summary),filters:!(),index:'emp_*',interval:auto,query:(query_string:(analyze_wildcard:!t,query:'%22rtdc.l.rtdc.4064%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724</v>
      </c>
      <c r="B40" s="225">
        <v>4063</v>
      </c>
      <c r="C40" s="227" t="s">
        <v>192</v>
      </c>
      <c r="D40" s="227" t="s">
        <v>535</v>
      </c>
      <c r="E40" s="226">
        <v>43101.314652777779</v>
      </c>
      <c r="F40" s="226">
        <v>43101.321018518516</v>
      </c>
      <c r="G40" s="225">
        <v>59</v>
      </c>
      <c r="H40" s="227" t="s">
        <v>578</v>
      </c>
      <c r="I40" s="226">
        <v>43101.347766203704</v>
      </c>
      <c r="J40" s="225">
        <v>0</v>
      </c>
      <c r="K40" s="237" t="str">
        <f>IF(ISEVEN(B40),(B40-1)&amp;"/"&amp;B40,B40&amp;"/"&amp;(B40+1))</f>
        <v>4063/4064</v>
      </c>
      <c r="L40" s="245" t="str">
        <f>VLOOKUP(A40,'Trips&amp;Operators'!$C$1:$G$99911,5,FALSE)</f>
        <v>SPECTOR MICHAEL</v>
      </c>
      <c r="M40" s="224">
        <f>I40-F40</f>
        <v>2.6747685187729076E-2</v>
      </c>
      <c r="N40" s="225">
        <f>24*60*SUM($M40:$M40)</f>
        <v>38.516666670329869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-01T06:33:06-0700',mode:absolute,to:'2018-01-01T09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23.299800000000001</v>
      </c>
      <c r="Z40" s="247">
        <f>RIGHT(H40,LEN(H40)-4)/10000</f>
        <v>1.54E-2</v>
      </c>
      <c r="AA40" s="247">
        <f>ABS(Z40-Y40)</f>
        <v>23.284400000000002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126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/stypes="app*4063*20180101*"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126-01 --locoid 4063 --swversion DE.1.0.9.0 --startMP 204:232998 --initTime 2018-01-01T07:33:06 --startdatetime 2018-01-01T07:42:16 --delay 59 --endMP 204:154 --enddatetime 2018-01-01T08:20:47 --enforcementcount 0 &gt;&gt;%USERPROFILE%\Documents\GitHub\eaglep3-reporting\EC\2018-01-01-refined-times.txt</v>
      </c>
      <c r="AI40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{"issue":{"subject":"","project_id":79,"tracker_id":40,"status_id":1,"priority_id":2,"assigned_to_id":338,"start_date":"2018-01-01","description":"","custom_fields":[{"id":1,"name":"Subdivision","value":"EC"},{"id":4,"name":"Milepost","value":"0.0154"},{"id":17,"name":"Train ID","value":"126-01"},{"id":16,"name":"Locomotive ID","value":"4063"},{"id":130,"name":"Impact","value":""},{"id":150,"name":"Time of Event (Mountain Time)","value":"08:20:47"},{"id":151,"name":"Denver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4063 --day 2018-01-01</v>
      </c>
      <c r="AN40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-01T06:33:06-0700',mode:absolute,to:'2018-01-01T09:20:47-0700'))&amp;_a=(columns:!('Message%20ID',Summary),filters:!(),index:'emp_*',interval:auto,query:(query_string:(analyze_wildcard:!t,query:'%22rtdc.l.rtdc.4063%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718</v>
      </c>
      <c r="B41" s="225">
        <v>4012</v>
      </c>
      <c r="C41" s="227" t="s">
        <v>192</v>
      </c>
      <c r="D41" s="227" t="s">
        <v>512</v>
      </c>
      <c r="E41" s="226">
        <v>43101.287372685183</v>
      </c>
      <c r="F41" s="226">
        <v>43101.291898148149</v>
      </c>
      <c r="G41" s="225">
        <v>54</v>
      </c>
      <c r="H41" s="227" t="s">
        <v>489</v>
      </c>
      <c r="I41" s="226">
        <v>43101.317071759258</v>
      </c>
      <c r="J41" s="225">
        <v>0</v>
      </c>
      <c r="K41" s="237" t="str">
        <f>IF(ISEVEN(B41),(B41-1)&amp;"/"&amp;B41,B41&amp;"/"&amp;(B41+1))</f>
        <v>4011/4012</v>
      </c>
      <c r="L41" s="245" t="str">
        <f>VLOOKUP(A41,'Trips&amp;Operators'!$C$1:$G$99911,5,FALSE)</f>
        <v>DAVIDSON DAVID</v>
      </c>
      <c r="M41" s="224">
        <f>I41-F41</f>
        <v>2.5173611109494232E-2</v>
      </c>
      <c r="N41" s="225">
        <f>24*60*SUM($M41:$M41)</f>
        <v>36.249999997671694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-01T05:53:49-0700',mode:absolute,to:'2018-01-01T08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5.2200000000000003E-2</v>
      </c>
      <c r="Z41" s="247">
        <f>RIGHT(H41,LEN(H41)-4)/10000</f>
        <v>23.329699999999999</v>
      </c>
      <c r="AA41" s="247">
        <f>ABS(Z41-Y41)</f>
        <v>23.2775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127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/stypes="app*4012*20180101*"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127-01 --locoid 4012 --swversion DE.1.0.9.0 --startMP 204:522 --initTime 2018-01-01T06:53:49 --startdatetime 2018-01-01T07:00:20 --delay 54 --endMP 204:233297 --enddatetime 2018-01-01T07:36:35 --enforcementcount 0 &gt;&gt;%USERPROFILE%\Documents\GitHub\eaglep3-reporting\EC\2018-01-01-refined-times.txt</v>
      </c>
      <c r="AI41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{"issue":{"subject":"","project_id":79,"tracker_id":40,"status_id":1,"priority_id":2,"assigned_to_id":338,"start_date":"2018-01-01","description":"","custom_fields":[{"id":1,"name":"Subdivision","value":"EC"},{"id":4,"name":"Milepost","value":"23.3297"},{"id":17,"name":"Train ID","value":"127-01"},{"id":16,"name":"Locomotive ID","value":"4012"},{"id":130,"name":"Impact","value":""},{"id":150,"name":"Time of Event (Mountain Time)","value":"07:36:35"},{"id":151,"name":"Denver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4012 --day 2018-01-01</v>
      </c>
      <c r="AN41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-01T05:53:49-0700',mode:absolute,to:'2018-01-01T08:36:35-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726</v>
      </c>
      <c r="B42" s="225">
        <v>4011</v>
      </c>
      <c r="C42" s="227" t="s">
        <v>192</v>
      </c>
      <c r="D42" s="227" t="s">
        <v>907</v>
      </c>
      <c r="E42" s="226">
        <v>43101.32435185185</v>
      </c>
      <c r="F42" s="226">
        <v>43101.331550925926</v>
      </c>
      <c r="G42" s="225">
        <v>50</v>
      </c>
      <c r="H42" s="227" t="s">
        <v>900</v>
      </c>
      <c r="I42" s="226">
        <v>43101.357638888891</v>
      </c>
      <c r="J42" s="225">
        <v>0</v>
      </c>
      <c r="K42" s="237" t="str">
        <f>IF(ISEVEN(B42),(B42-1)&amp;"/"&amp;B42,B42&amp;"/"&amp;(B42+1))</f>
        <v>4011/4012</v>
      </c>
      <c r="L42" s="245" t="str">
        <f>VLOOKUP(A42,'Trips&amp;Operators'!$C$1:$G$99911,5,FALSE)</f>
        <v>DAVIDSON DAVID</v>
      </c>
      <c r="M42" s="224">
        <f>I42-F42</f>
        <v>2.6087962964083999E-2</v>
      </c>
      <c r="N42" s="225">
        <f>24*60*SUM($M42:$M42)</f>
        <v>37.566666668280959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-01T06:47:04-0700',mode:absolute,to:'2018-01-01T09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23.296199999999999</v>
      </c>
      <c r="Z42" s="247">
        <f>RIGHT(H42,LEN(H42)-4)/10000</f>
        <v>2.3199999999999998E-2</v>
      </c>
      <c r="AA42" s="247">
        <f>ABS(Z42-Y42)</f>
        <v>23.273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128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/stypes="app*4011*20180101*"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128-01 --locoid 4011 --swversion DE.1.0.9.0 --startMP 204:232962 --initTime 2018-01-01T07:47:04 --startdatetime 2018-01-01T07:57:26 --delay 50 --endMP 204:232 --enddatetime 2018-01-01T08:35:00 --enforcementcount 0 &gt;&gt;%USERPROFILE%\Documents\GitHub\eaglep3-reporting\EC\2018-01-01-refined-times.txt</v>
      </c>
      <c r="AI4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{"issue":{"subject":"","project_id":79,"tracker_id":40,"status_id":1,"priority_id":2,"assigned_to_id":338,"start_date":"2018-01-01","description":"","custom_fields":[{"id":1,"name":"Subdivision","value":"EC"},{"id":4,"name":"Milepost","value":"0.0232"},{"id":17,"name":"Train ID","value":"128-01"},{"id":16,"name":"Locomotive ID","value":"4011"},{"id":130,"name":"Impact","value":""},{"id":150,"name":"Time of Event (Mountain Time)","value":"08:35:00"},{"id":151,"name":"Denver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4011 --day 2018-01-01</v>
      </c>
      <c r="AN42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-01T06:47:04-0700',mode:absolute,to:'2018-01-01T09:35:00-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720</v>
      </c>
      <c r="B43" s="225">
        <v>4020</v>
      </c>
      <c r="C43" s="227" t="s">
        <v>192</v>
      </c>
      <c r="D43" s="227" t="s">
        <v>580</v>
      </c>
      <c r="E43" s="226">
        <v>43101.296539351853</v>
      </c>
      <c r="F43" s="226">
        <v>43101.30265046296</v>
      </c>
      <c r="G43" s="225">
        <v>56</v>
      </c>
      <c r="H43" s="227" t="s">
        <v>515</v>
      </c>
      <c r="I43" s="226">
        <v>43101.32744212963</v>
      </c>
      <c r="J43" s="225">
        <v>0</v>
      </c>
      <c r="K43" s="237" t="str">
        <f>IF(ISEVEN(B43),(B43-1)&amp;"/"&amp;B43,B43&amp;"/"&amp;(B43+1))</f>
        <v>4019/4020</v>
      </c>
      <c r="L43" s="245" t="str">
        <f>VLOOKUP(A43,'Trips&amp;Operators'!$C$1:$G$99911,5,FALSE)</f>
        <v>LONG FULLER</v>
      </c>
      <c r="M43" s="224">
        <f>I43-F43</f>
        <v>2.4791666670353152E-2</v>
      </c>
      <c r="N43" s="225">
        <f>24*60*SUM($M43:$M43)</f>
        <v>35.700000005308539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-01T06:07:01-0700',mode:absolute,to:'2018-01-01T08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5.1499999999999997E-2</v>
      </c>
      <c r="Z43" s="247">
        <f>RIGHT(H43,LEN(H43)-4)/10000</f>
        <v>23.3278</v>
      </c>
      <c r="AA43" s="247">
        <f>ABS(Z43-Y43)</f>
        <v>23.276299999999999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129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/stypes="app*4020*20180101*" /stext=" 14:.+((SYSTEM_STATE.+slice.+state.+changed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129-01 --locoid 4020 --swversion DE.1.0.9.0 --startMP 204:515 --initTime 2018-01-01T07:07:01 --startdatetime 2018-01-01T07:15:49 --delay 56 --endMP 204:233278 --enddatetime 2018-01-01T07:51:31 --enforcementcount 0 &gt;&gt;%USERPROFILE%\Documents\GitHub\eaglep3-reporting\EC\2018-01-01-refined-times.txt</v>
      </c>
      <c r="AI4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{"issue":{"subject":"","project_id":79,"tracker_id":40,"status_id":1,"priority_id":2,"assigned_to_id":338,"start_date":"2018-01-01","description":"","custom_fields":[{"id":1,"name":"Subdivision","value":"EC"},{"id":4,"name":"Milepost","value":"23.3278"},{"id":17,"name":"Train ID","value":"129-01"},{"id":16,"name":"Locomotive ID","value":"4020"},{"id":130,"name":"Impact","value":""},{"id":150,"name":"Time of Event (Mountain Time)","value":"07:51:31"},{"id":151,"name":"Denver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4020 --day 2018-01-01</v>
      </c>
      <c r="AN43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-01T06:07:01-0700',mode:absolute,to:'2018-01-01T08:51:31-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728</v>
      </c>
      <c r="B44" s="225">
        <v>4019</v>
      </c>
      <c r="C44" s="227" t="s">
        <v>192</v>
      </c>
      <c r="D44" s="227" t="s">
        <v>908</v>
      </c>
      <c r="E44" s="226">
        <v>43101.33321759259</v>
      </c>
      <c r="F44" s="226">
        <v>43101.341851851852</v>
      </c>
      <c r="G44" s="225">
        <v>83</v>
      </c>
      <c r="H44" s="227" t="s">
        <v>544</v>
      </c>
      <c r="I44" s="226">
        <v>43101.368275462963</v>
      </c>
      <c r="J44" s="225">
        <v>0</v>
      </c>
      <c r="K44" s="237" t="str">
        <f>IF(ISEVEN(B44),(B44-1)&amp;"/"&amp;B44,B44&amp;"/"&amp;(B44+1))</f>
        <v>4019/4020</v>
      </c>
      <c r="L44" s="245" t="str">
        <f>VLOOKUP(A44,'Trips&amp;Operators'!$C$1:$G$99911,5,FALSE)</f>
        <v>LONG FULLER</v>
      </c>
      <c r="M44" s="224">
        <f>I44-F44</f>
        <v>2.6423611110658385E-2</v>
      </c>
      <c r="N44" s="225">
        <f>24*60*SUM($M44:$M44)</f>
        <v>38.049999999348074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-01T06:59:50-0700',mode:absolute,to:'2018-01-01T09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23.2971</v>
      </c>
      <c r="Z44" s="247">
        <f>RIGHT(H44,LEN(H44)-4)/10000</f>
        <v>1.7600000000000001E-2</v>
      </c>
      <c r="AA44" s="247">
        <f>ABS(Z44-Y44)</f>
        <v>23.279499999999999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130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/stypes="app*4019*20180101*"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130-01 --locoid 4019 --swversion DE.1.0.9.0 --startMP 204:232971 --initTime 2018-01-01T07:59:50 --startdatetime 2018-01-01T08:12:16 --delay 83 --endMP 204:176 --enddatetime 2018-01-01T08:50:19 --enforcementcount 0 &gt;&gt;%USERPROFILE%\Documents\GitHub\eaglep3-reporting\EC\2018-01-01-refined-times.txt</v>
      </c>
      <c r="AI44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{"issue":{"subject":"","project_id":79,"tracker_id":40,"status_id":1,"priority_id":2,"assigned_to_id":338,"start_date":"2018-01-01","description":"","custom_fields":[{"id":1,"name":"Subdivision","value":"EC"},{"id":4,"name":"Milepost","value":"0.0176"},{"id":17,"name":"Train ID","value":"130-01"},{"id":16,"name":"Locomotive ID","value":"4019"},{"id":130,"name":"Impact","value":""},{"id":150,"name":"Time of Event (Mountain Time)","value":"08:50:19"},{"id":151,"name":"Denver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4019 --day 2018-01-01</v>
      </c>
      <c r="AN44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-01T06:59:50-0700',mode:absolute,to:'2018-01-01T09:50:19-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723</v>
      </c>
      <c r="B45" s="225">
        <v>4010</v>
      </c>
      <c r="C45" s="227" t="s">
        <v>192</v>
      </c>
      <c r="D45" s="227" t="s">
        <v>590</v>
      </c>
      <c r="E45" s="226">
        <v>43101.307500000003</v>
      </c>
      <c r="F45" s="226">
        <v>43101.312835648147</v>
      </c>
      <c r="G45" s="225">
        <v>100</v>
      </c>
      <c r="H45" s="227" t="s">
        <v>909</v>
      </c>
      <c r="I45" s="226">
        <v>43101.337719907409</v>
      </c>
      <c r="J45" s="225">
        <v>0</v>
      </c>
      <c r="K45" s="237" t="str">
        <f>IF(ISEVEN(B45),(B45-1)&amp;"/"&amp;B45,B45&amp;"/"&amp;(B45+1))</f>
        <v>4009/4010</v>
      </c>
      <c r="L45" s="245" t="str">
        <f>VLOOKUP(A45,'Trips&amp;Operators'!$C$1:$G$99911,5,FALSE)</f>
        <v>MACDONALD THOMAS</v>
      </c>
      <c r="M45" s="224">
        <f>I45-F45</f>
        <v>2.4884259262762498E-2</v>
      </c>
      <c r="N45" s="225">
        <f>24*60*SUM($M45:$M45)</f>
        <v>35.833333338377997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-01T06:22:48-0700',mode:absolute,to:'2018-01-01T09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4.8399999999999999E-2</v>
      </c>
      <c r="Z45" s="247">
        <f>RIGHT(H45,LEN(H45)-4)/10000</f>
        <v>23.320599999999999</v>
      </c>
      <c r="AA45" s="247">
        <f>ABS(Z45-Y45)</f>
        <v>23.272199999999998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131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/stypes="app*4010*20180101*"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131-01 --locoid 4010 --swversion DE.1.0.9.0 --startMP 204:484 --initTime 2018-01-01T07:22:48 --startdatetime 2018-01-01T07:30:29 --delay 100 --endMP 204:233206 --enddatetime 2018-01-01T08:06:19 --enforcementcount 0 &gt;&gt;%USERPROFILE%\Documents\GitHub\eaglep3-reporting\EC\2018-01-01-refined-times.txt</v>
      </c>
      <c r="AI4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{"issue":{"subject":"","project_id":79,"tracker_id":40,"status_id":1,"priority_id":2,"assigned_to_id":338,"start_date":"2018-01-01","description":"","custom_fields":[{"id":1,"name":"Subdivision","value":"EC"},{"id":4,"name":"Milepost","value":"23.3206"},{"id":17,"name":"Train ID","value":"131-01"},{"id":16,"name":"Locomotive ID","value":"4010"},{"id":130,"name":"Impact","value":""},{"id":150,"name":"Time of Event (Mountain Time)","value":"08:06:19"},{"id":151,"name":"Denver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4010 --day 2018-01-01</v>
      </c>
      <c r="AN4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-01T06:22:48-0700',mode:absolute,to:'2018-01-01T09:06:19-0700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733</v>
      </c>
      <c r="B46" s="225">
        <v>4009</v>
      </c>
      <c r="C46" s="227" t="s">
        <v>192</v>
      </c>
      <c r="D46" s="227" t="s">
        <v>618</v>
      </c>
      <c r="E46" s="226">
        <v>43101.349872685183</v>
      </c>
      <c r="F46" s="226">
        <v>43101.35229166667</v>
      </c>
      <c r="G46" s="225">
        <v>61</v>
      </c>
      <c r="H46" s="227" t="s">
        <v>498</v>
      </c>
      <c r="I46" s="226">
        <v>43101.377557870372</v>
      </c>
      <c r="J46" s="225">
        <v>0</v>
      </c>
      <c r="K46" s="237" t="str">
        <f>IF(ISEVEN(B46),(B46-1)&amp;"/"&amp;B46,B46&amp;"/"&amp;(B46+1))</f>
        <v>4009/4010</v>
      </c>
      <c r="L46" s="245" t="str">
        <f>VLOOKUP(A46,'Trips&amp;Operators'!$C$1:$G$99911,5,FALSE)</f>
        <v>MACDONALD THOMAS</v>
      </c>
      <c r="M46" s="224">
        <f>I46-F46</f>
        <v>2.5266203701903578E-2</v>
      </c>
      <c r="N46" s="225">
        <f>24*60*SUM($M46:$M46)</f>
        <v>36.383333330741152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-01T07:23:49-0700',mode:absolute,to:'2018-01-01T10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23.288699999999999</v>
      </c>
      <c r="Z46" s="247">
        <f>RIGHT(H46,LEN(H46)-4)/10000</f>
        <v>1.9400000000000001E-2</v>
      </c>
      <c r="AA46" s="247">
        <f>ABS(Z46-Y46)</f>
        <v>23.269299999999998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132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/stypes="app*4009*20180101*"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132-01 --locoid 4009 --swversion DE.1.0.9.0 --startMP 204:232887 --initTime 2018-01-01T08:23:49 --startdatetime 2018-01-01T08:27:18 --delay 61 --endMP 204:194 --enddatetime 2018-01-01T09:03:41 --enforcementcount 0 &gt;&gt;%USERPROFILE%\Documents\GitHub\eaglep3-reporting\EC\2018-01-01-refined-times.txt</v>
      </c>
      <c r="AI4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{"issue":{"subject":"","project_id":79,"tracker_id":40,"status_id":1,"priority_id":2,"assigned_to_id":338,"start_date":"2018-01-01","description":"","custom_fields":[{"id":1,"name":"Subdivision","value":"EC"},{"id":4,"name":"Milepost","value":"0.0194"},{"id":17,"name":"Train ID","value":"132-01"},{"id":16,"name":"Locomotive ID","value":"4009"},{"id":130,"name":"Impact","value":""},{"id":150,"name":"Time of Event (Mountain Time)","value":"09:03:41"},{"id":151,"name":"Denver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4009 --day 2018-01-01</v>
      </c>
      <c r="AN4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-01T07:23:49-0700',mode:absolute,to:'2018-01-01T10:03:41-0700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725</v>
      </c>
      <c r="B47" s="225">
        <v>4042</v>
      </c>
      <c r="C47" s="227" t="s">
        <v>192</v>
      </c>
      <c r="D47" s="227" t="s">
        <v>625</v>
      </c>
      <c r="E47" s="226">
        <v>43101.317766203705</v>
      </c>
      <c r="F47" s="226">
        <v>43101.32335648148</v>
      </c>
      <c r="G47" s="225">
        <v>54</v>
      </c>
      <c r="H47" s="227" t="s">
        <v>910</v>
      </c>
      <c r="I47" s="226">
        <v>43101.346701388888</v>
      </c>
      <c r="J47" s="225">
        <v>0</v>
      </c>
      <c r="K47" s="237" t="str">
        <f>IF(ISEVEN(B47),(B47-1)&amp;"/"&amp;B47,B47&amp;"/"&amp;(B47+1))</f>
        <v>4041/4042</v>
      </c>
      <c r="L47" s="245" t="str">
        <f>VLOOKUP(A47,'Trips&amp;Operators'!$C$1:$G$99911,5,FALSE)</f>
        <v>YORK EDGAR</v>
      </c>
      <c r="M47" s="224">
        <f>I47-F47</f>
        <v>2.3344907407590654E-2</v>
      </c>
      <c r="N47" s="225">
        <f>24*60*SUM($M47:$M47)</f>
        <v>33.616666666930541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-01T06:37:35-0700',mode:absolute,to:'2018-01-01T09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4.7699999999999999E-2</v>
      </c>
      <c r="Z47" s="247">
        <f>RIGHT(H47,LEN(H47)-4)/10000</f>
        <v>23.327200000000001</v>
      </c>
      <c r="AA47" s="247">
        <f>ABS(Z47-Y47)</f>
        <v>23.279500000000002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133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/stypes="app*4042*20180101*"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133-01 --locoid 4042 --swversion DE.1.0.9.0 --startMP 204:477 --initTime 2018-01-01T07:37:35 --startdatetime 2018-01-01T07:45:38 --delay 54 --endMP 204:233272 --enddatetime 2018-01-01T08:19:15 --enforcementcount 0 &gt;&gt;%USERPROFILE%\Documents\GitHub\eaglep3-reporting\EC\2018-01-01-refined-times.txt</v>
      </c>
      <c r="AI4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{"issue":{"subject":"","project_id":79,"tracker_id":40,"status_id":1,"priority_id":2,"assigned_to_id":338,"start_date":"2018-01-01","description":"","custom_fields":[{"id":1,"name":"Subdivision","value":"EC"},{"id":4,"name":"Milepost","value":"23.3272"},{"id":17,"name":"Train ID","value":"133-01"},{"id":16,"name":"Locomotive ID","value":"4042"},{"id":130,"name":"Impact","value":""},{"id":150,"name":"Time of Event (Mountain Time)","value":"08:19:15"},{"id":151,"name":"Denver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4042 --day 2018-01-01</v>
      </c>
      <c r="AN4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-01T06:37:35-0700',mode:absolute,to:'2018-01-01T09:19:15-0700'))&amp;_a=(columns:!('Message%20ID',Summary),filters:!(),index:'emp_*',interval:auto,query:(query_string:(analyze_wildcard:!t,query:'%22rtdc.l.rtdc.4042%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731</v>
      </c>
      <c r="B48" s="225">
        <v>4041</v>
      </c>
      <c r="C48" s="227" t="s">
        <v>192</v>
      </c>
      <c r="D48" s="227" t="s">
        <v>911</v>
      </c>
      <c r="E48" s="226">
        <v>43101.347754629627</v>
      </c>
      <c r="F48" s="226">
        <v>43101.36273148148</v>
      </c>
      <c r="G48" s="225">
        <v>60</v>
      </c>
      <c r="H48" s="227" t="s">
        <v>506</v>
      </c>
      <c r="I48" s="226">
        <v>43101.387962962966</v>
      </c>
      <c r="J48" s="225">
        <v>0</v>
      </c>
      <c r="K48" s="237" t="str">
        <f>IF(ISEVEN(B48),(B48-1)&amp;"/"&amp;B48,B48&amp;"/"&amp;(B48+1))</f>
        <v>4041/4042</v>
      </c>
      <c r="L48" s="245" t="str">
        <f>VLOOKUP(A48,'Trips&amp;Operators'!$C$1:$G$99911,5,FALSE)</f>
        <v>YORK EDGAR</v>
      </c>
      <c r="M48" s="224">
        <f>I48-F48</f>
        <v>2.5231481486116536E-2</v>
      </c>
      <c r="N48" s="225">
        <f>24*60*SUM($M48:$M48)</f>
        <v>36.333333340007812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-01T07:20:46-0700',mode:absolute,to:'2018-01-01T10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23.295500000000001</v>
      </c>
      <c r="Z48" s="247">
        <f>RIGHT(H48,LEN(H48)-4)/10000</f>
        <v>1.5599999999999999E-2</v>
      </c>
      <c r="AA48" s="247">
        <f>ABS(Z48-Y48)</f>
        <v>23.279900000000001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134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/stypes="app*4041*20180101*"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134-01 --locoid 4041 --swversion DE.1.0.9.0 --startMP 204:232955 --initTime 2018-01-01T08:20:46 --startdatetime 2018-01-01T08:42:20 --delay 60 --endMP 204:156 --enddatetime 2018-01-01T09:18:40 --enforcementcount 0 &gt;&gt;%USERPROFILE%\Documents\GitHub\eaglep3-reporting\EC\2018-01-01-refined-times.txt</v>
      </c>
      <c r="AI48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{"issue":{"subject":"","project_id":79,"tracker_id":40,"status_id":1,"priority_id":2,"assigned_to_id":338,"start_date":"2018-01-01","description":"","custom_fields":[{"id":1,"name":"Subdivision","value":"EC"},{"id":4,"name":"Milepost","value":"0.0156"},{"id":17,"name":"Train ID","value":"134-01"},{"id":16,"name":"Locomotive ID","value":"4041"},{"id":130,"name":"Impact","value":""},{"id":150,"name":"Time of Event (Mountain Time)","value":"09:18:40"},{"id":151,"name":"Denver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4041 --day 2018-01-01</v>
      </c>
      <c r="AN48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-01T07:20:46-0700',mode:absolute,to:'2018-01-01T10:18:40-0700'))&amp;_a=(columns:!('Message%20ID',Summary),filters:!(),index:'emp_*',interval:auto,query:(query_string:(analyze_wildcard:!t,query:'%22rtdc.l.rtdc.4041%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727</v>
      </c>
      <c r="B49" s="225">
        <v>4058</v>
      </c>
      <c r="C49" s="227" t="s">
        <v>192</v>
      </c>
      <c r="D49" s="227" t="s">
        <v>625</v>
      </c>
      <c r="E49" s="226">
        <v>43101.33053240741</v>
      </c>
      <c r="F49" s="226">
        <v>43101.333518518521</v>
      </c>
      <c r="G49" s="225">
        <v>55</v>
      </c>
      <c r="H49" s="227" t="s">
        <v>489</v>
      </c>
      <c r="I49" s="226">
        <v>43101.357951388891</v>
      </c>
      <c r="J49" s="225">
        <v>0</v>
      </c>
      <c r="K49" s="237" t="str">
        <f>IF(ISEVEN(B49),(B49-1)&amp;"/"&amp;B49,B49&amp;"/"&amp;(B49+1))</f>
        <v>4057/4058</v>
      </c>
      <c r="L49" s="245" t="str">
        <f>VLOOKUP(A49,'Trips&amp;Operators'!$C$1:$G$99911,5,FALSE)</f>
        <v>DELGADO DIANAH</v>
      </c>
      <c r="M49" s="224">
        <f>I49-F49</f>
        <v>2.4432870370219462E-2</v>
      </c>
      <c r="N49" s="225">
        <f>24*60*SUM($M49:$M49)</f>
        <v>35.183333333116025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-01T06:55:58-0700',mode:absolute,to:'2018-01-01T09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4.7699999999999999E-2</v>
      </c>
      <c r="Z49" s="247">
        <f>RIGHT(H49,LEN(H49)-4)/10000</f>
        <v>23.329699999999999</v>
      </c>
      <c r="AA49" s="247">
        <f>ABS(Z49-Y49)</f>
        <v>23.282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135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/stypes="app*4058*20180101*"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135-01 --locoid 4058 --swversion DE.1.0.9.0 --startMP 204:477 --initTime 2018-01-01T07:55:58 --startdatetime 2018-01-01T08:00:16 --delay 55 --endMP 204:233297 --enddatetime 2018-01-01T08:35:27 --enforcementcount 0 &gt;&gt;%USERPROFILE%\Documents\GitHub\eaglep3-reporting\EC\2018-01-01-refined-times.txt</v>
      </c>
      <c r="AI49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{"issue":{"subject":"","project_id":79,"tracker_id":40,"status_id":1,"priority_id":2,"assigned_to_id":338,"start_date":"2018-01-01","description":"","custom_fields":[{"id":1,"name":"Subdivision","value":"EC"},{"id":4,"name":"Milepost","value":"23.3297"},{"id":17,"name":"Train ID","value":"135-01"},{"id":16,"name":"Locomotive ID","value":"4058"},{"id":130,"name":"Impact","value":""},{"id":150,"name":"Time of Event (Mountain Time)","value":"08:35:27"},{"id":151,"name":"Denver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4058 --day 2018-01-01</v>
      </c>
      <c r="AN49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-01T06:55:58-0700',mode:absolute,to:'2018-01-01T09:35:27-0700'))&amp;_a=(columns:!('Message%20ID',Summary),filters:!(),index:'emp_*',interval:auto,query:(query_string:(analyze_wildcard:!t,query:'%22rtdc.l.rtdc.4058%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737</v>
      </c>
      <c r="B50" s="225">
        <v>4057</v>
      </c>
      <c r="C50" s="227" t="s">
        <v>192</v>
      </c>
      <c r="D50" s="227" t="s">
        <v>577</v>
      </c>
      <c r="E50" s="226">
        <v>43101.359988425924</v>
      </c>
      <c r="F50" s="226">
        <v>43101.373148148145</v>
      </c>
      <c r="G50" s="225">
        <v>52</v>
      </c>
      <c r="H50" s="227" t="s">
        <v>623</v>
      </c>
      <c r="I50" s="226">
        <v>43101.398159722223</v>
      </c>
      <c r="J50" s="225">
        <v>0</v>
      </c>
      <c r="K50" s="237" t="str">
        <f>IF(ISEVEN(B50),(B50-1)&amp;"/"&amp;B50,B50&amp;"/"&amp;(B50+1))</f>
        <v>4057/4058</v>
      </c>
      <c r="L50" s="245" t="str">
        <f>VLOOKUP(A50,'Trips&amp;Operators'!$C$1:$G$99911,5,FALSE)</f>
        <v>DELGADO DIANAH</v>
      </c>
      <c r="M50" s="224">
        <f>I50-F50</f>
        <v>2.5011574078234844E-2</v>
      </c>
      <c r="N50" s="225">
        <f>24*60*SUM($M50:$M50)</f>
        <v>36.016666672658175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-01T07:38:23-0700',mode:absolute,to:'2018-01-01T10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23.299399999999999</v>
      </c>
      <c r="Z50" s="247">
        <f>RIGHT(H50,LEN(H50)-4)/10000</f>
        <v>1.47E-2</v>
      </c>
      <c r="AA50" s="247">
        <f>ABS(Z50-Y50)</f>
        <v>23.284699999999997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136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/stypes="app*4057*20180101*"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136-01 --locoid 4057 --swversion DE.1.0.9.0 --startMP 204:232994 --initTime 2018-01-01T08:38:23 --startdatetime 2018-01-01T08:57:20 --delay 52 --endMP 204:147 --enddatetime 2018-01-01T09:33:21 --enforcementcount 0 &gt;&gt;%USERPROFILE%\Documents\GitHub\eaglep3-reporting\EC\2018-01-01-refined-times.txt</v>
      </c>
      <c r="AI50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{"issue":{"subject":"","project_id":79,"tracker_id":40,"status_id":1,"priority_id":2,"assigned_to_id":338,"start_date":"2018-01-01","description":"","custom_fields":[{"id":1,"name":"Subdivision","value":"EC"},{"id":4,"name":"Milepost","value":"0.0147"},{"id":17,"name":"Train ID","value":"136-01"},{"id":16,"name":"Locomotive ID","value":"4057"},{"id":130,"name":"Impact","value":""},{"id":150,"name":"Time of Event (Mountain Time)","value":"09:33:21"},{"id":151,"name":"Denver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4057 --day 2018-01-01</v>
      </c>
      <c r="AN50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-01T07:38:23-0700',mode:absolute,to:'2018-01-01T10:33:21-0700'))&amp;_a=(columns:!('Message%20ID',Summary),filters:!(),index:'emp_*',interval:auto,query:(query_string:(analyze_wildcard:!t,query:'%22rtdc.l.rtdc.4057%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730</v>
      </c>
      <c r="B51" s="225">
        <v>4014</v>
      </c>
      <c r="C51" s="227" t="s">
        <v>192</v>
      </c>
      <c r="D51" s="227" t="s">
        <v>562</v>
      </c>
      <c r="E51" s="226">
        <v>43101.339039351849</v>
      </c>
      <c r="F51" s="226">
        <v>43101.343958333331</v>
      </c>
      <c r="G51" s="225">
        <v>44</v>
      </c>
      <c r="H51" s="227" t="s">
        <v>648</v>
      </c>
      <c r="I51" s="226">
        <v>43101.368159722224</v>
      </c>
      <c r="J51" s="225">
        <v>0</v>
      </c>
      <c r="K51" s="237" t="str">
        <f>IF(ISEVEN(B51),(B51-1)&amp;"/"&amp;B51,B51&amp;"/"&amp;(B51+1))</f>
        <v>4013/4014</v>
      </c>
      <c r="L51" s="245" t="str">
        <f>VLOOKUP(A51,'Trips&amp;Operators'!$C$1:$G$99911,5,FALSE)</f>
        <v>MAELZER KURT</v>
      </c>
      <c r="M51" s="224">
        <f>I51-F51</f>
        <v>2.4201388892834075E-2</v>
      </c>
      <c r="N51" s="225">
        <f>24*60*SUM($M51:$M51)</f>
        <v>34.850000005681068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-01T07:08:13-0700',mode:absolute,to:'2018-01-01T09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4.7100000000000003E-2</v>
      </c>
      <c r="Z51" s="247">
        <f>RIGHT(H51,LEN(H51)-4)/10000</f>
        <v>23.331099999999999</v>
      </c>
      <c r="AA51" s="247">
        <f>ABS(Z51-Y51)</f>
        <v>23.283999999999999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137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/stypes="app*4014*20180101*" /stext=" 15:.+((SYSTEM_STATE.+slice.+state.+changed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137-01 --locoid 4014 --swversion DE.1.0.9.0 --startMP 204:471 --initTime 2018-01-01T08:08:13 --startdatetime 2018-01-01T08:15:18 --delay 44 --endMP 204:233311 --enddatetime 2018-01-01T08:50:09 --enforcementcount 0 &gt;&gt;%USERPROFILE%\Documents\GitHub\eaglep3-reporting\EC\2018-01-01-refined-times.txt</v>
      </c>
      <c r="AI51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{"issue":{"subject":"","project_id":79,"tracker_id":40,"status_id":1,"priority_id":2,"assigned_to_id":338,"start_date":"2018-01-01","description":"","custom_fields":[{"id":1,"name":"Subdivision","value":"EC"},{"id":4,"name":"Milepost","value":"23.3311"},{"id":17,"name":"Train ID","value":"137-01"},{"id":16,"name":"Locomotive ID","value":"4014"},{"id":130,"name":"Impact","value":""},{"id":150,"name":"Time of Event (Mountain Time)","value":"08:50:09"},{"id":151,"name":"Denver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4014 --day 2018-01-01</v>
      </c>
      <c r="AN51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-01T07:08:13-0700',mode:absolute,to:'2018-01-01T09:50:09-0700'))&amp;_a=(columns:!('Message%20ID',Summary),filters:!(),index:'emp_*',interval:auto,query:(query_string:(analyze_wildcard:!t,query:'%22rtdc.l.rtdc.4014%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741</v>
      </c>
      <c r="B52" s="225">
        <v>4013</v>
      </c>
      <c r="C52" s="227" t="s">
        <v>192</v>
      </c>
      <c r="D52" s="227" t="s">
        <v>541</v>
      </c>
      <c r="E52" s="226">
        <v>43101.37296296296</v>
      </c>
      <c r="F52" s="226">
        <v>43101.38349537037</v>
      </c>
      <c r="G52" s="225">
        <v>49</v>
      </c>
      <c r="H52" s="227" t="s">
        <v>585</v>
      </c>
      <c r="I52" s="226">
        <v>43101.409074074072</v>
      </c>
      <c r="J52" s="225">
        <v>0</v>
      </c>
      <c r="K52" s="237" t="str">
        <f>IF(ISEVEN(B52),(B52-1)&amp;"/"&amp;B52,B52&amp;"/"&amp;(B52+1))</f>
        <v>4013/4014</v>
      </c>
      <c r="L52" s="245" t="str">
        <f>VLOOKUP(A52,'Trips&amp;Operators'!$C$1:$G$99911,5,FALSE)</f>
        <v>MAELZER KURT</v>
      </c>
      <c r="M52" s="224">
        <f>I52-F52</f>
        <v>2.5578703702194616E-2</v>
      </c>
      <c r="N52" s="225">
        <f>24*60*SUM($M52:$M52)</f>
        <v>36.833333331160247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-01T07:57:04-0700',mode:absolute,to:'2018-01-01T10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23.298200000000001</v>
      </c>
      <c r="Z52" s="247">
        <f>RIGHT(H52,LEN(H52)-4)/10000</f>
        <v>1.83E-2</v>
      </c>
      <c r="AA52" s="247">
        <f>ABS(Z52-Y52)</f>
        <v>23.279900000000001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138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/stypes="app*4013*20180101*"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138-01 --locoid 4013 --swversion DE.1.0.9.0 --startMP 204:232982 --initTime 2018-01-01T08:57:04 --startdatetime 2018-01-01T09:12:14 --delay 49 --endMP 204:183 --enddatetime 2018-01-01T09:49:04 --enforcementcount 0 &gt;&gt;%USERPROFILE%\Documents\GitHub\eaglep3-reporting\EC\2018-01-01-refined-times.txt</v>
      </c>
      <c r="AI5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{"issue":{"subject":"","project_id":79,"tracker_id":40,"status_id":1,"priority_id":2,"assigned_to_id":338,"start_date":"2018-01-01","description":"","custom_fields":[{"id":1,"name":"Subdivision","value":"EC"},{"id":4,"name":"Milepost","value":"0.0183"},{"id":17,"name":"Train ID","value":"138-01"},{"id":16,"name":"Locomotive ID","value":"4013"},{"id":130,"name":"Impact","value":""},{"id":150,"name":"Time of Event (Mountain Time)","value":"09:49:04"},{"id":151,"name":"Denver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4013 --day 2018-01-01</v>
      </c>
      <c r="AN52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-01T07:57:04-0700',mode:absolute,to:'2018-01-01T10:49:04-0700'))&amp;_a=(columns:!('Message%20ID',Summary),filters:!(),index:'emp_*',interval:auto,query:(query_string:(analyze_wildcard:!t,query:'%22rtdc.l.rtdc.4013%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734</v>
      </c>
      <c r="B53" s="225">
        <v>4064</v>
      </c>
      <c r="C53" s="227" t="s">
        <v>192</v>
      </c>
      <c r="D53" s="227" t="s">
        <v>590</v>
      </c>
      <c r="E53" s="226">
        <v>43101.34983796296</v>
      </c>
      <c r="F53" s="226">
        <v>43101.354363425926</v>
      </c>
      <c r="G53" s="225">
        <v>67</v>
      </c>
      <c r="H53" s="227" t="s">
        <v>538</v>
      </c>
      <c r="I53" s="226">
        <v>43101.379953703705</v>
      </c>
      <c r="J53" s="225">
        <v>0</v>
      </c>
      <c r="K53" s="237" t="str">
        <f>IF(ISEVEN(B53),(B53-1)&amp;"/"&amp;B53,B53&amp;"/"&amp;(B53+1))</f>
        <v>4063/4064</v>
      </c>
      <c r="L53" s="245" t="str">
        <f>VLOOKUP(A53,'Trips&amp;Operators'!$C$1:$G$99911,5,FALSE)</f>
        <v>LANGERAK WILLIAM</v>
      </c>
      <c r="M53" s="224">
        <f>I53-F53</f>
        <v>2.5590277778974269E-2</v>
      </c>
      <c r="N53" s="225">
        <f>24*60*SUM($M53:$M53)</f>
        <v>36.850000001722947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-01T07:23:46-0700',mode:absolute,to:'2018-01-01T10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4.8399999999999999E-2</v>
      </c>
      <c r="Z53" s="247">
        <f>RIGHT(H53,LEN(H53)-4)/10000</f>
        <v>23.331199999999999</v>
      </c>
      <c r="AA53" s="247">
        <f>ABS(Z53-Y53)</f>
        <v>23.282799999999998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139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/stypes="app*4064*20180101*"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139-01 --locoid 4064 --swversion DE.1.0.9.0 --startMP 204:484 --initTime 2018-01-01T08:23:46 --startdatetime 2018-01-01T08:30:17 --delay 67 --endMP 204:233312 --enddatetime 2018-01-01T09:07:08 --enforcementcount 0 &gt;&gt;%USERPROFILE%\Documents\GitHub\eaglep3-reporting\EC\2018-01-01-refined-times.txt</v>
      </c>
      <c r="AI5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{"issue":{"subject":"","project_id":79,"tracker_id":40,"status_id":1,"priority_id":2,"assigned_to_id":338,"start_date":"2018-01-01","description":"","custom_fields":[{"id":1,"name":"Subdivision","value":"EC"},{"id":4,"name":"Milepost","value":"23.3312"},{"id":17,"name":"Train ID","value":"139-01"},{"id":16,"name":"Locomotive ID","value":"4064"},{"id":130,"name":"Impact","value":""},{"id":150,"name":"Time of Event (Mountain Time)","value":"09:07:08"},{"id":151,"name":"Denver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4064 --day 2018-01-01</v>
      </c>
      <c r="AN53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-01T07:23:46-0700',mode:absolute,to:'2018-01-01T10:07:08-0700'))&amp;_a=(columns:!('Message%20ID',Summary),filters:!(),index:'emp_*',interval:auto,query:(query_string:(analyze_wildcard:!t,query:'%22rtdc.l.rtdc.4064%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743</v>
      </c>
      <c r="B54" s="225">
        <v>4063</v>
      </c>
      <c r="C54" s="227" t="s">
        <v>192</v>
      </c>
      <c r="D54" s="227" t="s">
        <v>561</v>
      </c>
      <c r="E54" s="226">
        <v>43101.381423611114</v>
      </c>
      <c r="F54" s="226">
        <v>43101.393946759257</v>
      </c>
      <c r="G54" s="225">
        <v>85</v>
      </c>
      <c r="H54" s="227" t="s">
        <v>504</v>
      </c>
      <c r="I54" s="226">
        <v>43101.420231481483</v>
      </c>
      <c r="J54" s="225">
        <v>0</v>
      </c>
      <c r="K54" s="237" t="str">
        <f>IF(ISEVEN(B54),(B54-1)&amp;"/"&amp;B54,B54&amp;"/"&amp;(B54+1))</f>
        <v>4063/4064</v>
      </c>
      <c r="L54" s="245" t="str">
        <f>VLOOKUP(A54,'Trips&amp;Operators'!$C$1:$G$99911,5,FALSE)</f>
        <v>LANGERAK WILLIAM</v>
      </c>
      <c r="M54" s="224">
        <f>I54-F54</f>
        <v>2.6284722225682344E-2</v>
      </c>
      <c r="N54" s="225">
        <f>24*60*SUM($M54:$M54)</f>
        <v>37.850000004982576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-01T08:09:15-0700',mode:absolute,to:'2018-01-01T11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23.3</v>
      </c>
      <c r="Z54" s="247">
        <f>RIGHT(H54,LEN(H54)-4)/10000</f>
        <v>1.5800000000000002E-2</v>
      </c>
      <c r="AA54" s="247">
        <f>ABS(Z54-Y54)</f>
        <v>23.284200000000002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140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/stypes="app*4063*20180101*"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140-01 --locoid 4063 --swversion DE.1.0.9.0 --startMP 204:233000 --initTime 2018-01-01T09:09:15 --startdatetime 2018-01-01T09:27:17 --delay 85 --endMP 204:158 --enddatetime 2018-01-01T10:05:08 --enforcementcount 0 &gt;&gt;%USERPROFILE%\Documents\GitHub\eaglep3-reporting\EC\2018-01-01-refined-times.txt</v>
      </c>
      <c r="AI54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{"issue":{"subject":"","project_id":79,"tracker_id":40,"status_id":1,"priority_id":2,"assigned_to_id":338,"start_date":"2018-01-01","description":"","custom_fields":[{"id":1,"name":"Subdivision","value":"EC"},{"id":4,"name":"Milepost","value":"0.0158"},{"id":17,"name":"Train ID","value":"140-01"},{"id":16,"name":"Locomotive ID","value":"4063"},{"id":130,"name":"Impact","value":""},{"id":150,"name":"Time of Event (Mountain Time)","value":"10:05:08"},{"id":151,"name":"Denver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4063 --day 2018-01-01</v>
      </c>
      <c r="AN54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-01T08:09:15-0700',mode:absolute,to:'2018-01-01T11:05:08-0700'))&amp;_a=(columns:!('Message%20ID',Summary),filters:!(),index:'emp_*',interval:auto,query:(query_string:(analyze_wildcard:!t,query:'%22rtdc.l.rtdc.4063%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738</v>
      </c>
      <c r="B55" s="225">
        <v>4012</v>
      </c>
      <c r="C55" s="227" t="s">
        <v>192</v>
      </c>
      <c r="D55" s="227" t="s">
        <v>579</v>
      </c>
      <c r="E55" s="226">
        <v>43101.360081018516</v>
      </c>
      <c r="F55" s="226">
        <v>43101.364803240744</v>
      </c>
      <c r="G55" s="225">
        <v>76</v>
      </c>
      <c r="H55" s="227" t="s">
        <v>588</v>
      </c>
      <c r="I55" s="226">
        <v>43101.389745370368</v>
      </c>
      <c r="J55" s="225">
        <v>0</v>
      </c>
      <c r="K55" s="237" t="str">
        <f>IF(ISEVEN(B55),(B55-1)&amp;"/"&amp;B55,B55&amp;"/"&amp;(B55+1))</f>
        <v>4011/4012</v>
      </c>
      <c r="L55" s="245" t="str">
        <f>VLOOKUP(A55,'Trips&amp;Operators'!$C$1:$G$99911,5,FALSE)</f>
        <v>DAVIDSON DAVID</v>
      </c>
      <c r="M55" s="224">
        <f>I55-F55</f>
        <v>2.4942129624832887E-2</v>
      </c>
      <c r="N55" s="225">
        <f>24*60*SUM($M55:$M55)</f>
        <v>35.916666659759358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-01T07:38:31-0700',mode:absolute,to:'2018-01-01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5.2900000000000003E-2</v>
      </c>
      <c r="Z55" s="247">
        <f>RIGHT(H55,LEN(H55)-4)/10000</f>
        <v>23.3293</v>
      </c>
      <c r="AA55" s="247">
        <f>ABS(Z55-Y55)</f>
        <v>23.276399999999999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141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/stypes="app*4012*20180101*"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141-01 --locoid 4012 --swversion DE.1.0.9.0 --startMP 204:529 --initTime 2018-01-01T08:38:31 --startdatetime 2018-01-01T08:45:19 --delay 76 --endMP 204:233293 --enddatetime 2018-01-01T09:21:14 --enforcementcount 0 &gt;&gt;%USERPROFILE%\Documents\GitHub\eaglep3-reporting\EC\2018-01-01-refined-times.txt</v>
      </c>
      <c r="AI5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{"issue":{"subject":"","project_id":79,"tracker_id":40,"status_id":1,"priority_id":2,"assigned_to_id":338,"start_date":"2018-01-01","description":"","custom_fields":[{"id":1,"name":"Subdivision","value":"EC"},{"id":4,"name":"Milepost","value":"23.3293"},{"id":17,"name":"Train ID","value":"141-01"},{"id":16,"name":"Locomotive ID","value":"4012"},{"id":130,"name":"Impact","value":""},{"id":150,"name":"Time of Event (Mountain Time)","value":"09:21:14"},{"id":151,"name":"Denver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4012 --day 2018-01-01</v>
      </c>
      <c r="AN5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-01T07:38:31-0700',mode:absolute,to:'2018-01-01T10:21:14-0700'))&amp;_a=(columns:!('Message%20ID',Summary),filters:!(),index:'emp_*',interval:auto,query:(query_string:(analyze_wildcard:!t,query:'%22rtdc.l.rtdc.4012%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745</v>
      </c>
      <c r="B56" s="225">
        <v>4011</v>
      </c>
      <c r="C56" s="227" t="s">
        <v>192</v>
      </c>
      <c r="D56" s="227" t="s">
        <v>536</v>
      </c>
      <c r="E56" s="226">
        <v>43101.392025462963</v>
      </c>
      <c r="F56" s="226">
        <v>43101.404398148145</v>
      </c>
      <c r="G56" s="225">
        <v>64</v>
      </c>
      <c r="H56" s="227" t="s">
        <v>912</v>
      </c>
      <c r="I56" s="226">
        <v>43101.431018518517</v>
      </c>
      <c r="J56" s="225">
        <v>0</v>
      </c>
      <c r="K56" s="237" t="str">
        <f>IF(ISEVEN(B56),(B56-1)&amp;"/"&amp;B56,B56&amp;"/"&amp;(B56+1))</f>
        <v>4011/4012</v>
      </c>
      <c r="L56" s="245" t="str">
        <f>VLOOKUP(A56,'Trips&amp;Operators'!$C$1:$G$99911,5,FALSE)</f>
        <v>DAVIDSON DAVID</v>
      </c>
      <c r="M56" s="224">
        <f>I56-F56</f>
        <v>2.662037037225673E-2</v>
      </c>
      <c r="N56" s="225">
        <f>24*60*SUM($M56:$M56)</f>
        <v>38.333333336049691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-01T08:24:31-0700',mode:absolute,to:'2018-01-01T11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23.297699999999999</v>
      </c>
      <c r="Z56" s="247">
        <f>RIGHT(H56,LEN(H56)-4)/10000</f>
        <v>9.3899999999999997E-2</v>
      </c>
      <c r="AA56" s="247">
        <f>ABS(Z56-Y56)</f>
        <v>23.203799999999998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142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/stypes="app*4011*20180101*"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142-01 --locoid 4011 --swversion DE.1.0.9.0 --startMP 204:232977 --initTime 2018-01-01T09:24:31 --startdatetime 2018-01-01T09:42:20 --delay 64 --endMP 204:939 --enddatetime 2018-01-01T10:20:40 --enforcementcount 0 &gt;&gt;%USERPROFILE%\Documents\GitHub\eaglep3-reporting\EC\2018-01-01-refined-times.txt</v>
      </c>
      <c r="AI5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{"issue":{"subject":"","project_id":79,"tracker_id":40,"status_id":1,"priority_id":2,"assigned_to_id":338,"start_date":"2018-01-01","description":"","custom_fields":[{"id":1,"name":"Subdivision","value":"EC"},{"id":4,"name":"Milepost","value":"0.0939"},{"id":17,"name":"Train ID","value":"142-01"},{"id":16,"name":"Locomotive ID","value":"4011"},{"id":130,"name":"Impact","value":""},{"id":150,"name":"Time of Event (Mountain Time)","value":"10:20:40"},{"id":151,"name":"Denver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4011 --day 2018-01-01</v>
      </c>
      <c r="AN5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-01T08:24:31-0700',mode:absolute,to:'2018-01-01T11:20:40-0700'))&amp;_a=(columns:!('Message%20ID',Summary),filters:!(),index:'emp_*',interval:auto,query:(query_string:(analyze_wildcard:!t,query:'%22rtdc.l.rtdc.4011%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739</v>
      </c>
      <c r="B57" s="225">
        <v>4020</v>
      </c>
      <c r="C57" s="227" t="s">
        <v>192</v>
      </c>
      <c r="D57" s="227" t="s">
        <v>557</v>
      </c>
      <c r="E57" s="226">
        <v>43101.36996527778</v>
      </c>
      <c r="F57" s="226">
        <v>43101.375173611108</v>
      </c>
      <c r="G57" s="225">
        <v>53</v>
      </c>
      <c r="H57" s="227" t="s">
        <v>894</v>
      </c>
      <c r="I57" s="226">
        <v>43101.400185185186</v>
      </c>
      <c r="J57" s="225">
        <v>0</v>
      </c>
      <c r="K57" s="237" t="str">
        <f>IF(ISEVEN(B57),(B57-1)&amp;"/"&amp;B57,B57&amp;"/"&amp;(B57+1))</f>
        <v>4019/4020</v>
      </c>
      <c r="L57" s="245" t="str">
        <f>VLOOKUP(A57,'Trips&amp;Operators'!$C$1:$G$99911,5,FALSE)</f>
        <v>LONG FULLER</v>
      </c>
      <c r="M57" s="224">
        <f>I57-F57</f>
        <v>2.5011574078234844E-2</v>
      </c>
      <c r="N57" s="225">
        <f>24*60*SUM($M57:$M57)</f>
        <v>36.016666672658175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-01T07:52:45-0700',mode:absolute,to:'2018-01-01T10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5.0799999999999998E-2</v>
      </c>
      <c r="Z57" s="247">
        <f>RIGHT(H57,LEN(H57)-4)/10000</f>
        <v>23.3291</v>
      </c>
      <c r="AA57" s="247">
        <f>ABS(Z57-Y57)</f>
        <v>23.278300000000002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143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/stypes="app*4020*20180101*"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143-01 --locoid 4020 --swversion DE.1.0.9.0 --startMP 204:508 --initTime 2018-01-01T08:52:45 --startdatetime 2018-01-01T09:00:15 --delay 53 --endMP 204:233291 --enddatetime 2018-01-01T09:36:16 --enforcementcount 0 &gt;&gt;%USERPROFILE%\Documents\GitHub\eaglep3-reporting\EC\2018-01-01-refined-times.txt</v>
      </c>
      <c r="AI5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ID","value":"143-01"},{"id":16,"name":"Locomotive ID","value":"4020"},{"id":130,"name":"Impact","value":""},{"id":150,"name":"Time of Event (Mountain Time)","value":"09:36:16"},{"id":151,"name":"Denver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4020 --day 2018-01-01</v>
      </c>
      <c r="AN5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-01T07:52:45-0700',mode:absolute,to:'2018-01-01T10:36:16-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748</v>
      </c>
      <c r="B58" s="225">
        <v>4019</v>
      </c>
      <c r="C58" s="227" t="s">
        <v>192</v>
      </c>
      <c r="D58" s="227" t="s">
        <v>635</v>
      </c>
      <c r="E58" s="226">
        <v>43101.405266203707</v>
      </c>
      <c r="F58" s="226">
        <v>43101.41479166667</v>
      </c>
      <c r="G58" s="225">
        <v>122</v>
      </c>
      <c r="H58" s="227" t="s">
        <v>490</v>
      </c>
      <c r="I58" s="226">
        <v>43101.440682870372</v>
      </c>
      <c r="J58" s="225">
        <v>0</v>
      </c>
      <c r="K58" s="237" t="str">
        <f>IF(ISEVEN(B58),(B58-1)&amp;"/"&amp;B58,B58&amp;"/"&amp;(B58+1))</f>
        <v>4019/4020</v>
      </c>
      <c r="L58" s="245" t="str">
        <f>VLOOKUP(A58,'Trips&amp;Operators'!$C$1:$G$99911,5,FALSE)</f>
        <v>LONG FULLER</v>
      </c>
      <c r="M58" s="224">
        <f>I58-F58</f>
        <v>2.5891203702485655E-2</v>
      </c>
      <c r="N58" s="225">
        <f>24*60*SUM($M58:$M58)</f>
        <v>37.283333331579342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-01T08:43:35-0700',mode:absolute,to:'2018-01-01T11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23.2957</v>
      </c>
      <c r="Z58" s="247">
        <f>RIGHT(H58,LEN(H58)-4)/10000</f>
        <v>2.01E-2</v>
      </c>
      <c r="AA58" s="247">
        <f>ABS(Z58-Y58)</f>
        <v>23.275600000000001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144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/stypes="app*4019*20180101*"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144-01 --locoid 4019 --swversion DE.1.0.9.0 --startMP 204:232957 --initTime 2018-01-01T09:43:35 --startdatetime 2018-01-01T09:57:18 --delay 122 --endMP 204:201 --enddatetime 2018-01-01T10:34:35 --enforcementcount 0 &gt;&gt;%USERPROFILE%\Documents\GitHub\eaglep3-reporting\EC\2018-01-01-refined-times.txt</v>
      </c>
      <c r="AI58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{"issue":{"subject":"","project_id":79,"tracker_id":40,"status_id":1,"priority_id":2,"assigned_to_id":338,"start_date":"2018-01-01","description":"","custom_fields":[{"id":1,"name":"Subdivision","value":"EC"},{"id":4,"name":"Milepost","value":"0.0201"},{"id":17,"name":"Train ID","value":"144-01"},{"id":16,"name":"Locomotive ID","value":"4019"},{"id":130,"name":"Impact","value":""},{"id":150,"name":"Time of Event (Mountain Time)","value":"10:34:35"},{"id":151,"name":"Denver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4019 --day 2018-01-01</v>
      </c>
      <c r="AN58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-01T08:43:35-0700',mode:absolute,to:'2018-01-01T11:34:35-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742</v>
      </c>
      <c r="B59" s="225">
        <v>4010</v>
      </c>
      <c r="C59" s="227" t="s">
        <v>192</v>
      </c>
      <c r="D59" s="227" t="s">
        <v>557</v>
      </c>
      <c r="E59" s="226">
        <v>43101.379155092596</v>
      </c>
      <c r="F59" s="226">
        <v>43101.385706018518</v>
      </c>
      <c r="G59" s="225">
        <v>75</v>
      </c>
      <c r="H59" s="227" t="s">
        <v>505</v>
      </c>
      <c r="I59" s="226">
        <v>43101.409629629627</v>
      </c>
      <c r="J59" s="225">
        <v>0</v>
      </c>
      <c r="K59" s="237" t="str">
        <f>IF(ISEVEN(B59),(B59-1)&amp;"/"&amp;B59,B59&amp;"/"&amp;(B59+1))</f>
        <v>4009/4010</v>
      </c>
      <c r="L59" s="245" t="str">
        <f>VLOOKUP(A59,'Trips&amp;Operators'!$C$1:$G$99911,5,FALSE)</f>
        <v>LAMAR NEKESHA</v>
      </c>
      <c r="M59" s="224">
        <f>I59-F59</f>
        <v>2.3923611108330078E-2</v>
      </c>
      <c r="N59" s="225">
        <f>24*60*SUM($M59:$M59)</f>
        <v>34.449999995995313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-01T08:05:59-0700',mode:absolute,to:'2018-01-01T10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5.0799999999999998E-2</v>
      </c>
      <c r="Z59" s="247">
        <f>RIGHT(H59,LEN(H59)-4)/10000</f>
        <v>23.329499999999999</v>
      </c>
      <c r="AA59" s="247">
        <f>ABS(Z59-Y59)</f>
        <v>23.278700000000001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145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/stypes="app*4010*20180101*" /stext=" 16:.+((SYSTEM_STATE.+slice.+state.+changed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145-01 --locoid 4010 --swversion DE.1.0.9.0 --startMP 204:508 --initTime 2018-01-01T09:05:59 --startdatetime 2018-01-01T09:15:25 --delay 75 --endMP 204:233295 --enddatetime 2018-01-01T09:49:52 --enforcementcount 0 &gt;&gt;%USERPROFILE%\Documents\GitHub\eaglep3-reporting\EC\2018-01-01-refined-times.txt</v>
      </c>
      <c r="AI59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{"issue":{"subject":"","project_id":79,"tracker_id":40,"status_id":1,"priority_id":2,"assigned_to_id":338,"start_date":"2018-01-01","description":"","custom_fields":[{"id":1,"name":"Subdivision","value":"EC"},{"id":4,"name":"Milepost","value":"23.3295"},{"id":17,"name":"Train ID","value":"145-01"},{"id":16,"name":"Locomotive ID","value":"4010"},{"id":130,"name":"Impact","value":""},{"id":150,"name":"Time of Event (Mountain Time)","value":"09:49:52"},{"id":151,"name":"Denver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4010 --day 2018-01-01</v>
      </c>
      <c r="AN59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-01T08:05:59-0700',mode:absolute,to:'2018-01-01T10:49:52-0700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754</v>
      </c>
      <c r="B60" s="225">
        <v>4009</v>
      </c>
      <c r="C60" s="227" t="s">
        <v>192</v>
      </c>
      <c r="D60" s="227" t="s">
        <v>536</v>
      </c>
      <c r="E60" s="226">
        <v>43101.42255787037</v>
      </c>
      <c r="F60" s="226">
        <v>43101.425162037034</v>
      </c>
      <c r="G60" s="225">
        <v>65</v>
      </c>
      <c r="H60" s="227" t="s">
        <v>491</v>
      </c>
      <c r="I60" s="226">
        <v>43101.451111111113</v>
      </c>
      <c r="J60" s="225">
        <v>0</v>
      </c>
      <c r="K60" s="237" t="str">
        <f>IF(ISEVEN(B60),(B60-1)&amp;"/"&amp;B60,B60&amp;"/"&amp;(B60+1))</f>
        <v>4009/4010</v>
      </c>
      <c r="L60" s="245" t="str">
        <f>VLOOKUP(A60,'Trips&amp;Operators'!$C$1:$G$99911,5,FALSE)</f>
        <v>LAMAR NEKESHA</v>
      </c>
      <c r="M60" s="224">
        <f>I60-F60</f>
        <v>2.5949074079107959E-2</v>
      </c>
      <c r="N60" s="225">
        <f>24*60*SUM($M60:$M60)</f>
        <v>37.366666673915461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-01T09:08:29-0700',mode:absolute,to:'2018-01-01T11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23.297699999999999</v>
      </c>
      <c r="Z60" s="247">
        <f>RIGHT(H60,LEN(H60)-4)/10000</f>
        <v>1.8499999999999999E-2</v>
      </c>
      <c r="AA60" s="247">
        <f>ABS(Z60-Y60)</f>
        <v>23.279199999999999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146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/stypes="app*4009*20180101*"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146-01 --locoid 4009 --swversion DE.1.0.9.0 --startMP 204:232977 --initTime 2018-01-01T10:08:29 --startdatetime 2018-01-01T10:12:14 --delay 65 --endMP 204:185 --enddatetime 2018-01-01T10:49:36 --enforcementcount 0 &gt;&gt;%USERPROFILE%\Documents\GitHub\eaglep3-reporting\EC\2018-01-01-refined-times.txt</v>
      </c>
      <c r="AI60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{"issue":{"subject":"","project_id":79,"tracker_id":40,"status_id":1,"priority_id":2,"assigned_to_id":338,"start_date":"2018-01-01","description":"","custom_fields":[{"id":1,"name":"Subdivision","value":"EC"},{"id":4,"name":"Milepost","value":"0.0185"},{"id":17,"name":"Train ID","value":"146-01"},{"id":16,"name":"Locomotive ID","value":"4009"},{"id":130,"name":"Impact","value":""},{"id":150,"name":"Time of Event (Mountain Time)","value":"10:49:36"},{"id":151,"name":"Denver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4009 --day 2018-01-01</v>
      </c>
      <c r="AN60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-01T09:08:29-0700',mode:absolute,to:'2018-01-01T11:49:36-0700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746</v>
      </c>
      <c r="B61" s="225">
        <v>4042</v>
      </c>
      <c r="C61" s="227" t="s">
        <v>192</v>
      </c>
      <c r="D61" s="227" t="s">
        <v>628</v>
      </c>
      <c r="E61" s="226">
        <v>43101.392685185187</v>
      </c>
      <c r="F61" s="226">
        <v>43101.396006944444</v>
      </c>
      <c r="G61" s="225">
        <v>50</v>
      </c>
      <c r="H61" s="227" t="s">
        <v>588</v>
      </c>
      <c r="I61" s="226">
        <v>43101.420381944445</v>
      </c>
      <c r="J61" s="225">
        <v>0</v>
      </c>
      <c r="K61" s="237" t="str">
        <f>IF(ISEVEN(B61),(B61-1)&amp;"/"&amp;B61,B61&amp;"/"&amp;(B61+1))</f>
        <v>4041/4042</v>
      </c>
      <c r="L61" s="245" t="str">
        <f>VLOOKUP(A61,'Trips&amp;Operators'!$C$1:$G$99911,5,FALSE)</f>
        <v>YORK EDGAR</v>
      </c>
      <c r="M61" s="224">
        <f>I61-F61</f>
        <v>2.4375000000873115E-2</v>
      </c>
      <c r="N61" s="225">
        <f>24*60*SUM($M61:$M61)</f>
        <v>35.100000001257285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-01T08:25:28-0700',mode:absolute,to:'2018-01-01T11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4.5100000000000001E-2</v>
      </c>
      <c r="Z61" s="247">
        <f>RIGHT(H61,LEN(H61)-4)/10000</f>
        <v>23.3293</v>
      </c>
      <c r="AA61" s="247">
        <f>ABS(Z61-Y61)</f>
        <v>23.284199999999998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147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/stypes="app*4042*20180101*"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147-01 --locoid 4042 --swversion DE.1.0.9.0 --startMP 204:451 --initTime 2018-01-01T09:25:28 --startdatetime 2018-01-01T09:30:15 --delay 50 --endMP 204:233293 --enddatetime 2018-01-01T10:05:21 --enforcementcount 0 &gt;&gt;%USERPROFILE%\Documents\GitHub\eaglep3-reporting\EC\2018-01-01-refined-times.txt</v>
      </c>
      <c r="AI61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{"issue":{"subject":"","project_id":79,"tracker_id":40,"status_id":1,"priority_id":2,"assigned_to_id":338,"start_date":"2018-01-01","description":"","custom_fields":[{"id":1,"name":"Subdivision","value":"EC"},{"id":4,"name":"Milepost","value":"23.3293"},{"id":17,"name":"Train ID","value":"147-01"},{"id":16,"name":"Locomotive ID","value":"4042"},{"id":130,"name":"Impact","value":""},{"id":150,"name":"Time of Event (Mountain Time)","value":"10:05:21"},{"id":151,"name":"Denver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4042 --day 2018-01-01</v>
      </c>
      <c r="AN61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-01T08:25:28-0700',mode:absolute,to:'2018-01-01T11:05:21-0700'))&amp;_a=(columns:!('Message%20ID',Summary),filters:!(),index:'emp_*',interval:auto,query:(query_string:(analyze_wildcard:!t,query:'%22rtdc.l.rtdc.4042%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753</v>
      </c>
      <c r="B62" s="225">
        <v>4041</v>
      </c>
      <c r="C62" s="227" t="s">
        <v>192</v>
      </c>
      <c r="D62" s="227" t="s">
        <v>635</v>
      </c>
      <c r="E62" s="226">
        <v>43101.421226851853</v>
      </c>
      <c r="F62" s="226">
        <v>43101.435671296298</v>
      </c>
      <c r="G62" s="225">
        <v>51</v>
      </c>
      <c r="H62" s="227" t="s">
        <v>504</v>
      </c>
      <c r="I62" s="226">
        <v>43101.460416666669</v>
      </c>
      <c r="J62" s="225">
        <v>0</v>
      </c>
      <c r="K62" s="237" t="str">
        <f>IF(ISEVEN(B62),(B62-1)&amp;"/"&amp;B62,B62&amp;"/"&amp;(B62+1))</f>
        <v>4041/4042</v>
      </c>
      <c r="L62" s="245" t="str">
        <f>VLOOKUP(A62,'Trips&amp;Operators'!$C$1:$G$99911,5,FALSE)</f>
        <v>YORK EDGAR</v>
      </c>
      <c r="M62" s="224">
        <f>I62-F62</f>
        <v>2.47453703705105E-2</v>
      </c>
      <c r="N62" s="225">
        <f>24*60*SUM($M62:$M62)</f>
        <v>35.63333333353512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-01T09:06:34-0700',mode:absolute,to:'2018-01-01T12:03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23.2957</v>
      </c>
      <c r="Z62" s="247">
        <f>RIGHT(H62,LEN(H62)-4)/10000</f>
        <v>1.5800000000000002E-2</v>
      </c>
      <c r="AA62" s="247">
        <f>ABS(Z62-Y62)</f>
        <v>23.279900000000001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148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/stypes="app*4041*20180101*"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148-01 --locoid 4041 --swversion DE.1.0.9.0 --startMP 204:232957 --initTime 2018-01-01T10:06:34 --startdatetime 2018-01-01T10:27:22 --delay 51 --endMP 204:158 --enddatetime 2018-01-01T11:03:00 --enforcementcount 0 &gt;&gt;%USERPROFILE%\Documents\GitHub\eaglep3-reporting\EC\2018-01-01-refined-times.txt</v>
      </c>
      <c r="AI6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{"issue":{"subject":"","project_id":79,"tracker_id":40,"status_id":1,"priority_id":2,"assigned_to_id":338,"start_date":"2018-01-01","description":"","custom_fields":[{"id":1,"name":"Subdivision","value":"EC"},{"id":4,"name":"Milepost","value":"0.0158"},{"id":17,"name":"Train ID","value":"148-01"},{"id":16,"name":"Locomotive ID","value":"4041"},{"id":130,"name":"Impact","value":""},{"id":150,"name":"Time of Event (Mountain Time)","value":"11:03:00"},{"id":151,"name":"Denver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4041 --day 2018-01-01</v>
      </c>
      <c r="AN62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-01T09:06:34-0700',mode:absolute,to:'2018-01-01T12:03:00-0700'))&amp;_a=(columns:!('Message%20ID',Summary),filters:!(),index:'emp_*',interval:auto,query:(query_string:(analyze_wildcard:!t,query:'%22rtdc.l.rtdc.4041%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747</v>
      </c>
      <c r="B63" s="225">
        <v>4058</v>
      </c>
      <c r="C63" s="227" t="s">
        <v>192</v>
      </c>
      <c r="D63" s="227" t="s">
        <v>905</v>
      </c>
      <c r="E63" s="226">
        <v>43101.400671296295</v>
      </c>
      <c r="F63" s="226">
        <v>43101.406423611108</v>
      </c>
      <c r="G63" s="225">
        <v>85</v>
      </c>
      <c r="H63" s="227" t="s">
        <v>887</v>
      </c>
      <c r="I63" s="226">
        <v>43101.43005787037</v>
      </c>
      <c r="J63" s="225">
        <v>0</v>
      </c>
      <c r="K63" s="237" t="str">
        <f>IF(ISEVEN(B63),(B63-1)&amp;"/"&amp;B63,B63&amp;"/"&amp;(B63+1))</f>
        <v>4057/4058</v>
      </c>
      <c r="L63" s="245" t="str">
        <f>VLOOKUP(A63,'Trips&amp;Operators'!$C$1:$G$99911,5,FALSE)</f>
        <v>DELGADO DIANAH</v>
      </c>
      <c r="M63" s="224">
        <f>I63-F63</f>
        <v>2.3634259261598345E-2</v>
      </c>
      <c r="N63" s="225">
        <f>24*60*SUM($M63:$M63)</f>
        <v>34.033333336701617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-01T08:36:58-0700',mode:absolute,to:'2018-01-01T11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4.4699999999999997E-2</v>
      </c>
      <c r="Z63" s="247">
        <f>RIGHT(H63,LEN(H63)-4)/10000</f>
        <v>23.330500000000001</v>
      </c>
      <c r="AA63" s="247">
        <f>ABS(Z63-Y63)</f>
        <v>23.285800000000002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149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/stypes="app*4058*20180101*"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149-01 --locoid 4058 --swversion DE.1.0.9.0 --startMP 204:447 --initTime 2018-01-01T09:36:58 --startdatetime 2018-01-01T09:45:15 --delay 85 --endMP 204:233305 --enddatetime 2018-01-01T10:19:17 --enforcementcount 0 &gt;&gt;%USERPROFILE%\Documents\GitHub\eaglep3-reporting\EC\2018-01-01-refined-times.txt</v>
      </c>
      <c r="AI6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{"issue":{"subject":"","project_id":79,"tracker_id":40,"status_id":1,"priority_id":2,"assigned_to_id":338,"start_date":"2018-01-01","description":"","custom_fields":[{"id":1,"name":"Subdivision","value":"EC"},{"id":4,"name":"Milepost","value":"23.3305"},{"id":17,"name":"Train ID","value":"149-01"},{"id":16,"name":"Locomotive ID","value":"4058"},{"id":130,"name":"Impact","value":""},{"id":150,"name":"Time of Event (Mountain Time)","value":"10:19:17"},{"id":151,"name":"Denver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4058 --day 2018-01-01</v>
      </c>
      <c r="AN63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-01T08:36:58-0700',mode:absolute,to:'2018-01-01T11:19:17-0700'))&amp;_a=(columns:!('Message%20ID',Summary),filters:!(),index:'emp_*',interval:auto,query:(query_string:(analyze_wildcard:!t,query:'%22rtdc.l.rtdc.4058%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758</v>
      </c>
      <c r="B64" s="225">
        <v>4057</v>
      </c>
      <c r="C64" s="227" t="s">
        <v>192</v>
      </c>
      <c r="D64" s="227" t="s">
        <v>495</v>
      </c>
      <c r="E64" s="226">
        <v>43101.432106481479</v>
      </c>
      <c r="F64" s="226">
        <v>43101.446018518516</v>
      </c>
      <c r="G64" s="225">
        <v>93</v>
      </c>
      <c r="H64" s="227" t="s">
        <v>506</v>
      </c>
      <c r="I64" s="226">
        <v>43101.472291666665</v>
      </c>
      <c r="J64" s="225">
        <v>0</v>
      </c>
      <c r="K64" s="237" t="str">
        <f>IF(ISEVEN(B64),(B64-1)&amp;"/"&amp;B64,B64&amp;"/"&amp;(B64+1))</f>
        <v>4057/4058</v>
      </c>
      <c r="L64" s="245" t="str">
        <f>VLOOKUP(A64,'Trips&amp;Operators'!$C$1:$G$99911,5,FALSE)</f>
        <v>DELGADO DIANAH</v>
      </c>
      <c r="M64" s="224">
        <f>I64-F64</f>
        <v>2.6273148148902692E-2</v>
      </c>
      <c r="N64" s="225">
        <f>24*60*SUM($M64:$M64)</f>
        <v>37.833333334419876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-01T09:22:14-0700',mode:absolute,to:'2018-01-01T12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23.297799999999999</v>
      </c>
      <c r="Z64" s="247">
        <f>RIGHT(H64,LEN(H64)-4)/10000</f>
        <v>1.5599999999999999E-2</v>
      </c>
      <c r="AA64" s="247">
        <f>ABS(Z64-Y64)</f>
        <v>23.2822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150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/stypes="app*4057*20180101*"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150-01 --locoid 4057 --swversion DE.1.0.9.0 --startMP 204:232978 --initTime 2018-01-01T10:22:14 --startdatetime 2018-01-01T10:42:16 --delay 93 --endMP 204:156 --enddatetime 2018-01-01T11:20:06 --enforcementcount 0 &gt;&gt;%USERPROFILE%\Documents\GitHub\eaglep3-reporting\EC\2018-01-01-refined-times.txt</v>
      </c>
      <c r="AI64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{"issue":{"subject":"","project_id":79,"tracker_id":40,"status_id":1,"priority_id":2,"assigned_to_id":338,"start_date":"2018-01-01","description":"","custom_fields":[{"id":1,"name":"Subdivision","value":"EC"},{"id":4,"name":"Milepost","value":"0.0156"},{"id":17,"name":"Train ID","value":"150-01"},{"id":16,"name":"Locomotive ID","value":"4057"},{"id":130,"name":"Impact","value":""},{"id":150,"name":"Time of Event (Mountain Time)","value":"11:20:06"},{"id":151,"name":"Denver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4057 --day 2018-01-01</v>
      </c>
      <c r="AN64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-01T09:22:14-0700',mode:absolute,to:'2018-01-01T12:20:06-0700'))&amp;_a=(columns:!('Message%20ID',Summary),filters:!(),index:'emp_*',interval:auto,query:(query_string:(analyze_wildcard:!t,query:'%22rtdc.l.rtdc.4057%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749</v>
      </c>
      <c r="B65" s="225">
        <v>4014</v>
      </c>
      <c r="C65" s="227" t="s">
        <v>192</v>
      </c>
      <c r="D65" s="227" t="s">
        <v>625</v>
      </c>
      <c r="E65" s="226">
        <v>43101.411238425928</v>
      </c>
      <c r="F65" s="226">
        <v>43101.416886574072</v>
      </c>
      <c r="G65" s="225">
        <v>46</v>
      </c>
      <c r="H65" s="227" t="s">
        <v>913</v>
      </c>
      <c r="I65" s="226">
        <v>43101.442233796297</v>
      </c>
      <c r="J65" s="225">
        <v>0</v>
      </c>
      <c r="K65" s="237" t="str">
        <f>IF(ISEVEN(B65),(B65-1)&amp;"/"&amp;B65,B65&amp;"/"&amp;(B65+1))</f>
        <v>4013/4014</v>
      </c>
      <c r="L65" s="245" t="str">
        <f>VLOOKUP(A65,'Trips&amp;Operators'!$C$1:$G$99911,5,FALSE)</f>
        <v>MAELZER KURT</v>
      </c>
      <c r="M65" s="224">
        <f>I65-F65</f>
        <v>2.5347222224809229E-2</v>
      </c>
      <c r="N65" s="225">
        <f>24*60*SUM($M65:$M65)</f>
        <v>36.50000000372529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-01T08:52:11-0700',mode:absolute,to:'2018-01-01T11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4.7699999999999999E-2</v>
      </c>
      <c r="Z65" s="247">
        <f>RIGHT(H65,LEN(H65)-4)/10000</f>
        <v>23.3306</v>
      </c>
      <c r="AA65" s="247">
        <f>ABS(Z65-Y65)</f>
        <v>23.282900000000001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151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/stypes="app*4014*20180101*"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151-01 --locoid 4014 --swversion DE.1.0.9.0 --startMP 204:477 --initTime 2018-01-01T09:52:11 --startdatetime 2018-01-01T10:00:19 --delay 46 --endMP 204:233306 --enddatetime 2018-01-01T10:36:49 --enforcementcount 0 &gt;&gt;%USERPROFILE%\Documents\GitHub\eaglep3-reporting\EC\2018-01-01-refined-times.txt</v>
      </c>
      <c r="AI6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{"issue":{"subject":"","project_id":79,"tracker_id":40,"status_id":1,"priority_id":2,"assigned_to_id":338,"start_date":"2018-01-01","description":"","custom_fields":[{"id":1,"name":"Subdivision","value":"EC"},{"id":4,"name":"Milepost","value":"23.3306"},{"id":17,"name":"Train ID","value":"151-01"},{"id":16,"name":"Locomotive ID","value":"4014"},{"id":130,"name":"Impact","value":""},{"id":150,"name":"Time of Event (Mountain Time)","value":"10:36:49"},{"id":151,"name":"Denver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4014 --day 2018-01-01</v>
      </c>
      <c r="AN6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-01T08:52:11-0700',mode:absolute,to:'2018-01-01T11:36:49-0700'))&amp;_a=(columns:!('Message%20ID',Summary),filters:!(),index:'emp_*',interval:auto,query:(query_string:(analyze_wildcard:!t,query:'%22rtdc.l.rtdc.4014%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765</v>
      </c>
      <c r="B66" s="225">
        <v>4013</v>
      </c>
      <c r="C66" s="227" t="s">
        <v>192</v>
      </c>
      <c r="D66" s="227" t="s">
        <v>889</v>
      </c>
      <c r="E66" s="226">
        <v>43101.4530787037</v>
      </c>
      <c r="F66" s="226">
        <v>43101.456817129627</v>
      </c>
      <c r="G66" s="225">
        <v>45</v>
      </c>
      <c r="H66" s="227" t="s">
        <v>647</v>
      </c>
      <c r="I66" s="226">
        <v>43101.482488425929</v>
      </c>
      <c r="J66" s="225">
        <v>0</v>
      </c>
      <c r="K66" s="237" t="str">
        <f>IF(ISEVEN(B66),(B66-1)&amp;"/"&amp;B66,B66&amp;"/"&amp;(B66+1))</f>
        <v>4013/4014</v>
      </c>
      <c r="L66" s="245" t="str">
        <f>VLOOKUP(A66,'Trips&amp;Operators'!$C$1:$G$99911,5,FALSE)</f>
        <v>MAELZER KURT</v>
      </c>
      <c r="M66" s="224">
        <f>I66-F66</f>
        <v>2.567129630187992E-2</v>
      </c>
      <c r="N66" s="225">
        <f>24*60*SUM($M66:$M66)</f>
        <v>36.966666674707085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-01T09:52:26-0700',mode:absolute,to:'2018-01-01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23.299099999999999</v>
      </c>
      <c r="Z66" s="247">
        <f>RIGHT(H66,LEN(H66)-4)/10000</f>
        <v>1.7399999999999999E-2</v>
      </c>
      <c r="AA66" s="247">
        <f>ABS(Z66-Y66)</f>
        <v>23.281700000000001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152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/stypes="app*4013*20180101*"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152-01 --locoid 4013 --swversion DE.1.0.9.0 --startMP 204:232991 --initTime 2018-01-01T10:52:26 --startdatetime 2018-01-01T10:57:49 --delay 45 --endMP 204:174 --enddatetime 2018-01-01T11:34:47 --enforcementcount 0 &gt;&gt;%USERPROFILE%\Documents\GitHub\eaglep3-reporting\EC\2018-01-01-refined-times.txt</v>
      </c>
      <c r="AI6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{"issue":{"subject":"","project_id":79,"tracker_id":40,"status_id":1,"priority_id":2,"assigned_to_id":338,"start_date":"2018-01-01","description":"","custom_fields":[{"id":1,"name":"Subdivision","value":"EC"},{"id":4,"name":"Milepost","value":"0.0174"},{"id":17,"name":"Train ID","value":"152-01"},{"id":16,"name":"Locomotive ID","value":"4013"},{"id":130,"name":"Impact","value":""},{"id":150,"name":"Time of Event (Mountain Time)","value":"11:34:47"},{"id":151,"name":"Denver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4013 --day 2018-01-01</v>
      </c>
      <c r="AN6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-01T09:52:26-0700',mode:absolute,to:'2018-01-01T12:34:47-0700'))&amp;_a=(columns:!('Message%20ID',Summary),filters:!(),index:'emp_*',interval:auto,query:(query_string:(analyze_wildcard:!t,query:'%22rtdc.l.rtdc.4013%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755</v>
      </c>
      <c r="B67" s="225">
        <v>4064</v>
      </c>
      <c r="C67" s="227" t="s">
        <v>192</v>
      </c>
      <c r="D67" s="227" t="s">
        <v>630</v>
      </c>
      <c r="E67" s="226">
        <v>43101.423252314817</v>
      </c>
      <c r="F67" s="226">
        <v>43101.427303240744</v>
      </c>
      <c r="G67" s="225">
        <v>86</v>
      </c>
      <c r="H67" s="227" t="s">
        <v>894</v>
      </c>
      <c r="I67" s="226">
        <v>43101.451898148145</v>
      </c>
      <c r="J67" s="225">
        <v>0</v>
      </c>
      <c r="K67" s="237" t="str">
        <f>IF(ISEVEN(B67),(B67-1)&amp;"/"&amp;B67,B67&amp;"/"&amp;(B67+1))</f>
        <v>4063/4064</v>
      </c>
      <c r="L67" s="245" t="str">
        <f>VLOOKUP(A67,'Trips&amp;Operators'!$C$1:$G$99911,5,FALSE)</f>
        <v>STARKS ANGELINA</v>
      </c>
      <c r="M67" s="224">
        <f>I67-F67</f>
        <v>2.4594907401478849E-2</v>
      </c>
      <c r="N67" s="225">
        <f>24*60*SUM($M67:$M67)</f>
        <v>35.416666658129543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-01T09:09:29-0700',mode:absolute,to:'2018-01-01T11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4.6899999999999997E-2</v>
      </c>
      <c r="Z67" s="247">
        <f>RIGHT(H67,LEN(H67)-4)/10000</f>
        <v>23.3291</v>
      </c>
      <c r="AA67" s="247">
        <f>ABS(Z67-Y67)</f>
        <v>23.2822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153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/stypes="app*4064*20180101*" /stext=" 17:.+((SYSTEM_STATE.+slice.+state.+changed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153-01 --locoid 4064 --swversion DE.1.0.9.0 --startMP 204:469 --initTime 2018-01-01T10:09:29 --startdatetime 2018-01-01T10:15:19 --delay 86 --endMP 204:233291 --enddatetime 2018-01-01T10:50:44 --enforcementcount 0 &gt;&gt;%USERPROFILE%\Documents\GitHub\eaglep3-reporting\EC\2018-01-01-refined-times.txt</v>
      </c>
      <c r="AI6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ID","value":"153-01"},{"id":16,"name":"Locomotive ID","value":"4064"},{"id":130,"name":"Impact","value":""},{"id":150,"name":"Time of Event (Mountain Time)","value":"10:50:44"},{"id":151,"name":"Denver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4064 --day 2018-01-01</v>
      </c>
      <c r="AN6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-01T09:09:29-0700',mode:absolute,to:'2018-01-01T11:50:44-0700'))&amp;_a=(columns:!('Message%20ID',Summary),filters:!(),index:'emp_*',interval:auto,query:(query_string:(analyze_wildcard:!t,query:'%22rtdc.l.rtdc.4064%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769</v>
      </c>
      <c r="B68" s="225">
        <v>4063</v>
      </c>
      <c r="C68" s="227" t="s">
        <v>192</v>
      </c>
      <c r="D68" s="227" t="s">
        <v>577</v>
      </c>
      <c r="E68" s="226">
        <v>43101.45685185185</v>
      </c>
      <c r="F68" s="226">
        <v>43101.466898148145</v>
      </c>
      <c r="G68" s="225">
        <v>82</v>
      </c>
      <c r="H68" s="227" t="s">
        <v>497</v>
      </c>
      <c r="I68" s="226">
        <v>43101.495034722226</v>
      </c>
      <c r="J68" s="225">
        <v>0</v>
      </c>
      <c r="K68" s="237" t="str">
        <f>IF(ISEVEN(B68),(B68-1)&amp;"/"&amp;B68,B68&amp;"/"&amp;(B68+1))</f>
        <v>4063/4064</v>
      </c>
      <c r="L68" s="245" t="str">
        <f>VLOOKUP(A68,'Trips&amp;Operators'!$C$1:$G$99911,5,FALSE)</f>
        <v>STARKS ANGELINA</v>
      </c>
      <c r="M68" s="224">
        <f>I68-F68</f>
        <v>2.8136574081145227E-2</v>
      </c>
      <c r="N68" s="225">
        <f>24*60*SUM($M68:$M68)</f>
        <v>40.516666676849127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-01T09:57:52-0700',mode:absolute,to:'2018-01-01T12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23.299399999999999</v>
      </c>
      <c r="Z68" s="247">
        <f>RIGHT(H68,LEN(H68)-4)/10000</f>
        <v>1.49E-2</v>
      </c>
      <c r="AA68" s="247">
        <f>ABS(Z68-Y68)</f>
        <v>23.284499999999998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154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/stypes="app*4063*20180101*"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154-01 --locoid 4063 --swversion DE.1.0.9.0 --startMP 204:232994 --initTime 2018-01-01T10:57:52 --startdatetime 2018-01-01T11:12:20 --delay 82 --endMP 204:149 --enddatetime 2018-01-01T11:52:51 --enforcementcount 0 &gt;&gt;%USERPROFILE%\Documents\GitHub\eaglep3-reporting\EC\2018-01-01-refined-times.txt</v>
      </c>
      <c r="AI68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{"issue":{"subject":"","project_id":79,"tracker_id":40,"status_id":1,"priority_id":2,"assigned_to_id":338,"start_date":"2018-01-01","description":"","custom_fields":[{"id":1,"name":"Subdivision","value":"EC"},{"id":4,"name":"Milepost","value":"0.0149"},{"id":17,"name":"Train ID","value":"154-01"},{"id":16,"name":"Locomotive ID","value":"4063"},{"id":130,"name":"Impact","value":""},{"id":150,"name":"Time of Event (Mountain Time)","value":"11:52:51"},{"id":151,"name":"Denver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4063 --day 2018-01-01</v>
      </c>
      <c r="AN68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-01T09:57:52-0700',mode:absolute,to:'2018-01-01T12:52:51-0700'))&amp;_a=(columns:!('Message%20ID',Summary),filters:!(),index:'emp_*',interval:auto,query:(query_string:(analyze_wildcard:!t,query:'%22rtdc.l.rtdc.4063%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760</v>
      </c>
      <c r="B69" s="225">
        <v>4022</v>
      </c>
      <c r="C69" s="227" t="s">
        <v>192</v>
      </c>
      <c r="D69" s="227" t="s">
        <v>625</v>
      </c>
      <c r="E69" s="226">
        <v>43101.43445601852</v>
      </c>
      <c r="F69" s="226">
        <v>43101.437708333331</v>
      </c>
      <c r="G69" s="225">
        <v>66</v>
      </c>
      <c r="H69" s="227" t="s">
        <v>914</v>
      </c>
      <c r="I69" s="226">
        <v>43101.46297453704</v>
      </c>
      <c r="J69" s="225">
        <v>0</v>
      </c>
      <c r="K69" s="237" t="str">
        <f>IF(ISEVEN(B69),(B69-1)&amp;"/"&amp;B69,B69&amp;"/"&amp;(B69+1))</f>
        <v>4021/4022</v>
      </c>
      <c r="L69" s="245" t="str">
        <f>VLOOKUP(A69,'Trips&amp;Operators'!$C$1:$G$99911,5,FALSE)</f>
        <v>DAVIDSON DAVID</v>
      </c>
      <c r="M69" s="224">
        <f>I69-F69</f>
        <v>2.5266203709179536E-2</v>
      </c>
      <c r="N69" s="225">
        <f>24*60*SUM($M69:$M69)</f>
        <v>36.383333341218531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-01T09:25:37-0700',mode:absolute,to:'2018-01-01T12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4.7699999999999999E-2</v>
      </c>
      <c r="Z69" s="247">
        <f>RIGHT(H69,LEN(H69)-4)/10000</f>
        <v>23.3263</v>
      </c>
      <c r="AA69" s="247">
        <f>ABS(Z69-Y69)</f>
        <v>23.278600000000001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/stypes="app*4022*20180101*"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155-01 --locoid 4022 --swversion DE.1.0.9.0 --startMP 204:477 --initTime 2018-01-01T10:25:37 --startdatetime 2018-01-01T10:30:18 --delay 66 --endMP 204:233263 --enddatetime 2018-01-01T11:06:41 --enforcementcount 0 &gt;&gt;%USERPROFILE%\Documents\GitHub\eaglep3-reporting\EC\2018-01-01-refined-times.txt</v>
      </c>
      <c r="AI69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{"issue":{"subject":"","project_id":79,"tracker_id":40,"status_id":1,"priority_id":2,"assigned_to_id":338,"start_date":"2018-01-01","description":"","custom_fields":[{"id":1,"name":"Subdivision","value":"EC"},{"id":4,"name":"Milepost","value":"23.3263"},{"id":17,"name":"Train ID","value":"155-01"},{"id":16,"name":"Locomotive ID","value":"4022"},{"id":130,"name":"Impact","value":""},{"id":150,"name":"Time of Event (Mountain Time)","value":"11:06:41"},{"id":151,"name":"Denver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4022 --day 2018-01-01</v>
      </c>
      <c r="AN69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-01T09:25:37-0700',mode:absolute,to:'2018-01-01T12:06:41-0700'))&amp;_a=(columns:!('Message%20ID',Summary),filters:!(),index:'emp_*',interval:auto,query:(query_string:(analyze_wildcard:!t,query:'%22rtdc.l.rtdc.4022%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771</v>
      </c>
      <c r="B70" s="225">
        <v>4021</v>
      </c>
      <c r="C70" s="227" t="s">
        <v>192</v>
      </c>
      <c r="D70" s="227" t="s">
        <v>907</v>
      </c>
      <c r="E70" s="226">
        <v>43101.464467592596</v>
      </c>
      <c r="F70" s="226">
        <v>43101.477361111109</v>
      </c>
      <c r="G70" s="225">
        <v>74</v>
      </c>
      <c r="H70" s="227" t="s">
        <v>915</v>
      </c>
      <c r="I70" s="226">
        <v>43101.503541666665</v>
      </c>
      <c r="J70" s="225">
        <v>0</v>
      </c>
      <c r="K70" s="237" t="str">
        <f>IF(ISEVEN(B70),(B70-1)&amp;"/"&amp;B70,B70&amp;"/"&amp;(B70+1))</f>
        <v>4021/4022</v>
      </c>
      <c r="L70" s="245" t="str">
        <f>VLOOKUP(A70,'Trips&amp;Operators'!$C$1:$G$99911,5,FALSE)</f>
        <v>DAVIDSON DAVID</v>
      </c>
      <c r="M70" s="224">
        <f>I70-F70</f>
        <v>2.6180555556493346E-2</v>
      </c>
      <c r="N70" s="225">
        <f>24*60*SUM($M70:$M70)</f>
        <v>37.700000001350418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-01T10:08:50-0700',mode:absolute,to:'2018-01-01T13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23.296199999999999</v>
      </c>
      <c r="Z70" s="247">
        <f>RIGHT(H70,LEN(H70)-4)/10000</f>
        <v>2.2700000000000001E-2</v>
      </c>
      <c r="AA70" s="247">
        <f>ABS(Z70-Y70)</f>
        <v>23.273499999999999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/stypes="app*4021*20180101*"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156-01 --locoid 4021 --swversion DE.1.0.9.0 --startMP 204:232962 --initTime 2018-01-01T11:08:50 --startdatetime 2018-01-01T11:27:24 --delay 74 --endMP 204:227 --enddatetime 2018-01-01T12:05:06 --enforcementcount 0 &gt;&gt;%USERPROFILE%\Documents\GitHub\eaglep3-reporting\EC\2018-01-01-refined-times.txt</v>
      </c>
      <c r="AI70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{"issue":{"subject":"","project_id":79,"tracker_id":40,"status_id":1,"priority_id":2,"assigned_to_id":338,"start_date":"2018-01-01","description":"","custom_fields":[{"id":1,"name":"Subdivision","value":"EC"},{"id":4,"name":"Milepost","value":"0.0227"},{"id":17,"name":"Train ID","value":"156-01"},{"id":16,"name":"Locomotive ID","value":"4021"},{"id":130,"name":"Impact","value":""},{"id":150,"name":"Time of Event (Mountain Time)","value":"12:05:06"},{"id":151,"name":"Denver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4021 --day 2018-01-01</v>
      </c>
      <c r="AN70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-01T10:08:50-0700',mode:absolute,to:'2018-01-01T13:05:06-0700'))&amp;_a=(columns:!('Message%20ID',Summary),filters:!(),index:'emp_*',interval:auto,query:(query_string:(analyze_wildcard:!t,query:'%22rtdc.l.rtdc.4021%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762</v>
      </c>
      <c r="B71" s="225">
        <v>4020</v>
      </c>
      <c r="C71" s="227" t="s">
        <v>192</v>
      </c>
      <c r="D71" s="227" t="s">
        <v>537</v>
      </c>
      <c r="E71" s="226">
        <v>43101.442974537036</v>
      </c>
      <c r="F71" s="226">
        <v>43101.448159722226</v>
      </c>
      <c r="G71" s="225">
        <v>71</v>
      </c>
      <c r="H71" s="227" t="s">
        <v>916</v>
      </c>
      <c r="I71" s="226">
        <v>43101.473009259258</v>
      </c>
      <c r="J71" s="225">
        <v>0</v>
      </c>
      <c r="K71" s="237" t="str">
        <f>IF(ISEVEN(B71),(B71-1)&amp;"/"&amp;B71,B71&amp;"/"&amp;(B71+1))</f>
        <v>4019/4020</v>
      </c>
      <c r="L71" s="245" t="str">
        <f>VLOOKUP(A71,'Trips&amp;Operators'!$C$1:$G$99911,5,FALSE)</f>
        <v>STRICKLAND EVAN</v>
      </c>
      <c r="M71" s="224">
        <f>I71-F71</f>
        <v>2.4849537032423541E-2</v>
      </c>
      <c r="N71" s="225">
        <f>24*60*SUM($M71:$M71)</f>
        <v>35.783333326689899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-01T09:37:53-0700',mode:absolute,to:'2018-01-01T12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4.8899999999999999E-2</v>
      </c>
      <c r="Z71" s="247">
        <f>RIGHT(H71,LEN(H71)-4)/10000</f>
        <v>23.3247</v>
      </c>
      <c r="AA71" s="247">
        <f>ABS(Z71-Y71)</f>
        <v>23.2758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/stypes="app*4020*20180101*"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157-01 --locoid 4020 --swversion DE.1.0.9.0 --startMP 204:489 --initTime 2018-01-01T10:37:53 --startdatetime 2018-01-01T10:45:21 --delay 71 --endMP 204:233247 --enddatetime 2018-01-01T11:21:08 --enforcementcount 0 &gt;&gt;%USERPROFILE%\Documents\GitHub\eaglep3-reporting\EC\2018-01-01-refined-times.txt</v>
      </c>
      <c r="AI71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{"issue":{"subject":"","project_id":79,"tracker_id":40,"status_id":1,"priority_id":2,"assigned_to_id":338,"start_date":"2018-01-01","description":"","custom_fields":[{"id":1,"name":"Subdivision","value":"EC"},{"id":4,"name":"Milepost","value":"23.3247"},{"id":17,"name":"Train ID","value":"157-01"},{"id":16,"name":"Locomotive ID","value":"4020"},{"id":130,"name":"Impact","value":""},{"id":150,"name":"Time of Event (Mountain Time)","value":"11:21:08"},{"id":151,"name":"Denver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4020 --day 2018-01-01</v>
      </c>
      <c r="AN71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-01T09:37:53-0700',mode:absolute,to:'2018-01-01T12:21:08-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772</v>
      </c>
      <c r="B72" s="225">
        <v>4019</v>
      </c>
      <c r="C72" s="227" t="s">
        <v>192</v>
      </c>
      <c r="D72" s="227" t="s">
        <v>555</v>
      </c>
      <c r="E72" s="226">
        <v>43101.474537037036</v>
      </c>
      <c r="F72" s="226">
        <v>43101.487766203703</v>
      </c>
      <c r="G72" s="225">
        <v>87</v>
      </c>
      <c r="H72" s="227" t="s">
        <v>639</v>
      </c>
      <c r="I72" s="226">
        <v>43101.515370370369</v>
      </c>
      <c r="J72" s="225">
        <v>0</v>
      </c>
      <c r="K72" s="237" t="str">
        <f>IF(ISEVEN(B72),(B72-1)&amp;"/"&amp;B72,B72&amp;"/"&amp;(B72+1))</f>
        <v>4019/4020</v>
      </c>
      <c r="L72" s="245" t="str">
        <f>VLOOKUP(A72,'Trips&amp;Operators'!$C$1:$G$99911,5,FALSE)</f>
        <v>STRICKLAND EVAN</v>
      </c>
      <c r="M72" s="224">
        <f>I72-F72</f>
        <v>2.7604166665696539E-2</v>
      </c>
      <c r="N72" s="225">
        <f>24*60*SUM($M72:$M72)</f>
        <v>39.749999998603016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-01T10:23:20-0700',mode:absolute,to:'2018-01-01T13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23.2927</v>
      </c>
      <c r="Z72" s="247">
        <f>RIGHT(H72,LEN(H72)-4)/10000</f>
        <v>2.0299999999999999E-2</v>
      </c>
      <c r="AA72" s="247">
        <f>ABS(Z72-Y72)</f>
        <v>23.272400000000001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/stypes="app*4019*20180101*"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158-01 --locoid 4019 --swversion DE.1.0.9.0 --startMP 204:232927 --initTime 2018-01-01T11:23:20 --startdatetime 2018-01-01T11:42:23 --delay 87 --endMP 204:203 --enddatetime 2018-01-01T12:22:08 --enforcementcount 0 &gt;&gt;%USERPROFILE%\Documents\GitHub\eaglep3-reporting\EC\2018-01-01-refined-times.txt</v>
      </c>
      <c r="AI7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{"issue":{"subject":"","project_id":79,"tracker_id":40,"status_id":1,"priority_id":2,"assigned_to_id":338,"start_date":"2018-01-01","description":"","custom_fields":[{"id":1,"name":"Subdivision","value":"EC"},{"id":4,"name":"Milepost","value":"0.0203"},{"id":17,"name":"Train ID","value":"158-01"},{"id":16,"name":"Locomotive ID","value":"4019"},{"id":130,"name":"Impact","value":""},{"id":150,"name":"Time of Event (Mountain Time)","value":"12:22:08"},{"id":151,"name":"Denver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4019 --day 2018-01-01</v>
      </c>
      <c r="AN72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-01T10:23:20-0700',mode:absolute,to:'2018-01-01T13:22:08-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768</v>
      </c>
      <c r="B73" s="225">
        <v>4010</v>
      </c>
      <c r="C73" s="227" t="s">
        <v>192</v>
      </c>
      <c r="D73" s="227" t="s">
        <v>619</v>
      </c>
      <c r="E73" s="226">
        <v>43101.455567129633</v>
      </c>
      <c r="F73" s="226">
        <v>43101.458599537036</v>
      </c>
      <c r="G73" s="225">
        <v>53</v>
      </c>
      <c r="H73" s="227" t="s">
        <v>917</v>
      </c>
      <c r="I73" s="226">
        <v>43101.48332175926</v>
      </c>
      <c r="J73" s="225">
        <v>0</v>
      </c>
      <c r="K73" s="237" t="str">
        <f>IF(ISEVEN(B73),(B73-1)&amp;"/"&amp;B73,B73&amp;"/"&amp;(B73+1))</f>
        <v>4009/4010</v>
      </c>
      <c r="L73" s="245" t="str">
        <f>VLOOKUP(A73,'Trips&amp;Operators'!$C$1:$G$99911,5,FALSE)</f>
        <v>LAMAR NEKESHA</v>
      </c>
      <c r="M73" s="224">
        <f>I73-F73</f>
        <v>2.4722222224227153E-2</v>
      </c>
      <c r="N73" s="225">
        <f>24*60*SUM($M73:$M73)</f>
        <v>35.6000000028871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-01T09:56:01-0700',mode:absolute,to:'2018-01-01T12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4.6699999999999998E-2</v>
      </c>
      <c r="Z73" s="247">
        <f>RIGHT(H73,LEN(H73)-4)/10000</f>
        <v>23.328499999999998</v>
      </c>
      <c r="AA73" s="247">
        <f>ABS(Z73-Y73)</f>
        <v>23.281799999999997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/stypes="app*4010*20180101*"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159-01 --locoid 4010 --swversion DE.1.0.9.0 --startMP 204:467 --initTime 2018-01-01T10:56:01 --startdatetime 2018-01-01T11:00:23 --delay 53 --endMP 204:233285 --enddatetime 2018-01-01T11:35:59 --enforcementcount 0 &gt;&gt;%USERPROFILE%\Documents\GitHub\eaglep3-reporting\EC\2018-01-01-refined-times.txt</v>
      </c>
      <c r="AI7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{"issue":{"subject":"","project_id":79,"tracker_id":40,"status_id":1,"priority_id":2,"assigned_to_id":338,"start_date":"2018-01-01","description":"","custom_fields":[{"id":1,"name":"Subdivision","value":"EC"},{"id":4,"name":"Milepost","value":"23.3285"},{"id":17,"name":"Train ID","value":"159-01"},{"id":16,"name":"Locomotive ID","value":"4010"},{"id":130,"name":"Impact","value":""},{"id":150,"name":"Time of Event (Mountain Time)","value":"11:35:59"},{"id":151,"name":"Denver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4010 --day 2018-01-01</v>
      </c>
      <c r="AN73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-01T09:56:01-0700',mode:absolute,to:'2018-01-01T12:35:59-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778</v>
      </c>
      <c r="B74" s="225">
        <v>4009</v>
      </c>
      <c r="C74" s="227" t="s">
        <v>192</v>
      </c>
      <c r="D74" s="227" t="s">
        <v>918</v>
      </c>
      <c r="E74" s="226">
        <v>43101.489907407406</v>
      </c>
      <c r="F74" s="226">
        <v>43101.498090277775</v>
      </c>
      <c r="G74" s="225">
        <v>60</v>
      </c>
      <c r="H74" s="227" t="s">
        <v>578</v>
      </c>
      <c r="I74" s="226">
        <v>43101.523726851854</v>
      </c>
      <c r="J74" s="225">
        <v>0</v>
      </c>
      <c r="K74" s="237" t="str">
        <f>IF(ISEVEN(B74),(B74-1)&amp;"/"&amp;B74,B74&amp;"/"&amp;(B74+1))</f>
        <v>4009/4010</v>
      </c>
      <c r="L74" s="245" t="str">
        <f>VLOOKUP(A74,'Trips&amp;Operators'!$C$1:$G$99911,5,FALSE)</f>
        <v>LAMAR NEKESHA</v>
      </c>
      <c r="M74" s="224">
        <f>I74-F74</f>
        <v>2.5636574078816921E-2</v>
      </c>
      <c r="N74" s="225">
        <f>24*60*SUM($M74:$M74)</f>
        <v>36.916666673496366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-01T10:45:28-0700',mode:absolute,to:'2018-01-01T13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23.297000000000001</v>
      </c>
      <c r="Z74" s="247">
        <f>RIGHT(H74,LEN(H74)-4)/10000</f>
        <v>1.54E-2</v>
      </c>
      <c r="AA74" s="247">
        <f>ABS(Z74-Y74)</f>
        <v>23.281600000000001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/stypes="app*4009*20180101*"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160-01 --locoid 4009 --swversion DE.1.0.9.0 --startMP 204:232970 --initTime 2018-01-01T11:45:28 --startdatetime 2018-01-01T11:57:15 --delay 60 --endMP 204:154 --enddatetime 2018-01-01T12:34:10 --enforcementcount 0 &gt;&gt;%USERPROFILE%\Documents\GitHub\eaglep3-reporting\EC\2018-01-01-refined-times.txt</v>
      </c>
      <c r="AI74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{"issue":{"subject":"","project_id":79,"tracker_id":40,"status_id":1,"priority_id":2,"assigned_to_id":338,"start_date":"2018-01-01","description":"","custom_fields":[{"id":1,"name":"Subdivision","value":"EC"},{"id":4,"name":"Milepost","value":"0.0154"},{"id":17,"name":"Train ID","value":"160-01"},{"id":16,"name":"Locomotive ID","value":"4009"},{"id":130,"name":"Impact","value":""},{"id":150,"name":"Time of Event (Mountain Time)","value":"12:34:10"},{"id":151,"name":"Denver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4009 --day 2018-01-01</v>
      </c>
      <c r="AN74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-01T10:45:28-0700',mode:absolute,to:'2018-01-01T13:34:10-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770</v>
      </c>
      <c r="B75" s="225">
        <v>4042</v>
      </c>
      <c r="C75" s="227" t="s">
        <v>192</v>
      </c>
      <c r="D75" s="227" t="s">
        <v>631</v>
      </c>
      <c r="E75" s="226">
        <v>43101.463483796295</v>
      </c>
      <c r="F75" s="226">
        <v>43101.469386574077</v>
      </c>
      <c r="G75" s="225">
        <v>128</v>
      </c>
      <c r="H75" s="227" t="s">
        <v>648</v>
      </c>
      <c r="I75" s="226">
        <v>43101.494710648149</v>
      </c>
      <c r="J75" s="225">
        <v>0</v>
      </c>
      <c r="K75" s="237" t="str">
        <f>IF(ISEVEN(B75),(B75-1)&amp;"/"&amp;B75,B75&amp;"/"&amp;(B75+1))</f>
        <v>4041/4042</v>
      </c>
      <c r="L75" s="245" t="str">
        <f>VLOOKUP(A75,'Trips&amp;Operators'!$C$1:$G$99911,5,FALSE)</f>
        <v>DAVIS MICHAEL</v>
      </c>
      <c r="M75" s="224">
        <f>I75-F75</f>
        <v>2.5324074071249925E-2</v>
      </c>
      <c r="N75" s="225">
        <f>24*60*SUM($M75:$M75)</f>
        <v>36.466666662599891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-01T10:07:25-0700',mode:absolute,to:'2018-01-01T12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4.6199999999999998E-2</v>
      </c>
      <c r="Z75" s="247">
        <f>RIGHT(H75,LEN(H75)-4)/10000</f>
        <v>23.331099999999999</v>
      </c>
      <c r="AA75" s="247">
        <f>ABS(Z75-Y75)</f>
        <v>23.2849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/stypes="app*4042*20180101*"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161-01 --locoid 4042 --swversion DE.1.0.9.0 --startMP 204:462 --initTime 2018-01-01T11:07:25 --startdatetime 2018-01-01T11:15:55 --delay 128 --endMP 204:233311 --enddatetime 2018-01-01T11:52:23 --enforcementcount 0 &gt;&gt;%USERPROFILE%\Documents\GitHub\eaglep3-reporting\EC\2018-01-01-refined-times.txt</v>
      </c>
      <c r="AI75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{"issue":{"subject":"","project_id":79,"tracker_id":40,"status_id":1,"priority_id":2,"assigned_to_id":338,"start_date":"2018-01-01","description":"","custom_fields":[{"id":1,"name":"Subdivision","value":"EC"},{"id":4,"name":"Milepost","value":"23.3311"},{"id":17,"name":"Train ID","value":"161-01"},{"id":16,"name":"Locomotive ID","value":"4042"},{"id":130,"name":"Impact","value":""},{"id":150,"name":"Time of Event (Mountain Time)","value":"11:52:23"},{"id":151,"name":"Denver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4042 --day 2018-01-01</v>
      </c>
      <c r="AN75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-01T10:07:25-0700',mode:absolute,to:'2018-01-01T12:52:23-0700'))&amp;_a=(columns:!('Message%20ID',Summary),filters:!(),index:'emp_*',interval:auto,query:(query_string:(analyze_wildcard:!t,query:'%22rtdc.l.rtdc.4042%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781</v>
      </c>
      <c r="B76" s="225">
        <v>4041</v>
      </c>
      <c r="C76" s="227" t="s">
        <v>192</v>
      </c>
      <c r="D76" s="227" t="s">
        <v>535</v>
      </c>
      <c r="E76" s="226">
        <v>43101.50608796296</v>
      </c>
      <c r="F76" s="226">
        <v>43101.508923611109</v>
      </c>
      <c r="G76" s="225">
        <v>83</v>
      </c>
      <c r="H76" s="227" t="s">
        <v>919</v>
      </c>
      <c r="I76" s="226">
        <v>43101.536076388889</v>
      </c>
      <c r="J76" s="225">
        <v>0</v>
      </c>
      <c r="K76" s="237" t="str">
        <f>IF(ISEVEN(B76),(B76-1)&amp;"/"&amp;B76,B76&amp;"/"&amp;(B76+1))</f>
        <v>4041/4042</v>
      </c>
      <c r="L76" s="245" t="str">
        <f>VLOOKUP(A76,'Trips&amp;Operators'!$C$1:$G$99911,5,FALSE)</f>
        <v>DAVIS MICHAEL</v>
      </c>
      <c r="M76" s="224">
        <f>I76-F76</f>
        <v>2.715277778042946E-2</v>
      </c>
      <c r="N76" s="225">
        <f>24*60*SUM($M76:$M76)</f>
        <v>39.100000003818423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-01T11:08:46-0700',mode:absolute,to:'2018-01-01T13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23.299800000000001</v>
      </c>
      <c r="Z76" s="247">
        <f>RIGHT(H76,LEN(H76)-4)/10000</f>
        <v>2.1600000000000001E-2</v>
      </c>
      <c r="AA76" s="247">
        <f>ABS(Z76-Y76)</f>
        <v>23.278200000000002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/stypes="app*4041*20180101*"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162-01 --locoid 4041 --swversion DE.1.0.9.0 --startMP 204:232998 --initTime 2018-01-01T12:08:46 --startdatetime 2018-01-01T12:12:51 --delay 83 --endMP 204:216 --enddatetime 2018-01-01T12:51:57 --enforcementcount 0 &gt;&gt;%USERPROFILE%\Documents\GitHub\eaglep3-reporting\EC\2018-01-01-refined-times.txt</v>
      </c>
      <c r="AI76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{"issue":{"subject":"","project_id":79,"tracker_id":40,"status_id":1,"priority_id":2,"assigned_to_id":338,"start_date":"2018-01-01","description":"","custom_fields":[{"id":1,"name":"Subdivision","value":"EC"},{"id":4,"name":"Milepost","value":"0.0216"},{"id":17,"name":"Train ID","value":"162-01"},{"id":16,"name":"Locomotive ID","value":"4041"},{"id":130,"name":"Impact","value":""},{"id":150,"name":"Time of Event (Mountain Time)","value":"12:51:57"},{"id":151,"name":"Denver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4041 --day 2018-01-01</v>
      </c>
      <c r="AN76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-01T11:08:46-0700',mode:absolute,to:'2018-01-01T13:51:57-0700'))&amp;_a=(columns:!('Message%20ID',Summary),filters:!(),index:'emp_*',interval:auto,query:(query_string:(analyze_wildcard:!t,query:'%22rtdc.l.rtdc.4041%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774</v>
      </c>
      <c r="B77" s="225">
        <v>4058</v>
      </c>
      <c r="C77" s="227" t="s">
        <v>192</v>
      </c>
      <c r="D77" s="227" t="s">
        <v>582</v>
      </c>
      <c r="E77" s="226">
        <v>43101.474687499998</v>
      </c>
      <c r="F77" s="226">
        <v>43101.479421296295</v>
      </c>
      <c r="G77" s="225">
        <v>97</v>
      </c>
      <c r="H77" s="227" t="s">
        <v>920</v>
      </c>
      <c r="I77" s="226">
        <v>43101.504131944443</v>
      </c>
      <c r="J77" s="225">
        <v>0</v>
      </c>
      <c r="K77" s="237" t="str">
        <f>IF(ISEVEN(B77),(B77-1)&amp;"/"&amp;B77,B77&amp;"/"&amp;(B77+1))</f>
        <v>4057/4058</v>
      </c>
      <c r="L77" s="245" t="str">
        <f>VLOOKUP(A77,'Trips&amp;Operators'!$C$1:$G$99911,5,FALSE)</f>
        <v>STEWART MICHAEL</v>
      </c>
      <c r="M77" s="224">
        <f>I77-F77</f>
        <v>2.47106481474475E-2</v>
      </c>
      <c r="N77" s="225">
        <f>24*60*SUM($M77:$M77)</f>
        <v>35.583333332324401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-01T10:23:33-0700',mode:absolute,to:'2018-01-01T13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4.58E-2</v>
      </c>
      <c r="Z77" s="247">
        <f>RIGHT(H77,LEN(H77)-4)/10000</f>
        <v>23.329799999999999</v>
      </c>
      <c r="AA77" s="247">
        <f>ABS(Z77-Y77)</f>
        <v>23.283999999999999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/stypes="app*4058*20180101*"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163-01 --locoid 4058 --swversion DE.1.0.9.0 --startMP 204:458 --initTime 2018-01-01T11:23:33 --startdatetime 2018-01-01T11:30:22 --delay 97 --endMP 204:233298 --enddatetime 2018-01-01T12:05:57 --enforcementcount 0 &gt;&gt;%USERPROFILE%\Documents\GitHub\eaglep3-reporting\EC\2018-01-01-refined-times.txt</v>
      </c>
      <c r="AI77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ID","value":"163-01"},{"id":16,"name":"Locomotive ID","value":"4058"},{"id":130,"name":"Impact","value":""},{"id":150,"name":"Time of Event (Mountain Time)","value":"12:05:57"},{"id":151,"name":"Denver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4058 --day 2018-01-01</v>
      </c>
      <c r="AN77" s="241" t="str">
        <f t="shared" si="8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-01T10:23:33-0700',mode:absolute,to:'2018-01-01T13:05:57-0700'))&amp;_a=(columns:!('Message%20ID',Summary),filters:!(),index:'emp_*',interval:auto,query:(query_string:(analyze_wildcard:!t,query:'%22rtdc.l.rtdc.4058%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783</v>
      </c>
      <c r="B78" s="225">
        <v>4057</v>
      </c>
      <c r="C78" s="227" t="s">
        <v>192</v>
      </c>
      <c r="D78" s="227" t="s">
        <v>889</v>
      </c>
      <c r="E78" s="226">
        <v>43101.514756944445</v>
      </c>
      <c r="F78" s="226">
        <v>43101.518993055557</v>
      </c>
      <c r="G78" s="225">
        <v>99</v>
      </c>
      <c r="H78" s="227" t="s">
        <v>516</v>
      </c>
      <c r="I78" s="226">
        <v>43101.545115740744</v>
      </c>
      <c r="J78" s="225">
        <v>0</v>
      </c>
      <c r="K78" s="237" t="str">
        <f>IF(ISEVEN(B78),(B78-1)&amp;"/"&amp;B78,B78&amp;"/"&amp;(B78+1))</f>
        <v>4057/4058</v>
      </c>
      <c r="L78" s="245" t="str">
        <f>VLOOKUP(A78,'Trips&amp;Operators'!$C$1:$G$99911,5,FALSE)</f>
        <v>STEWART MICHAEL</v>
      </c>
      <c r="M78" s="224">
        <f>I78-F78</f>
        <v>2.6122685187146999E-2</v>
      </c>
      <c r="N78" s="225">
        <f>24*60*SUM($M78:$M78)</f>
        <v>37.616666669491678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-01T11:21:15-0700',mode:absolute,to:'2018-01-01T14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23.299099999999999</v>
      </c>
      <c r="Z78" s="247">
        <f>RIGHT(H78,LEN(H78)-4)/10000</f>
        <v>1.6899999999999998E-2</v>
      </c>
      <c r="AA78" s="247">
        <f>ABS(Z78-Y78)</f>
        <v>23.2822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/stypes="app*4057*20180101*"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4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164-01 --locoid 4057 --swversion DE.1.0.9.0 --startMP 204:232991 --initTime 2018-01-01T12:21:15 --startdatetime 2018-01-01T12:27:21 --delay 99 --endMP 204:169 --enddatetime 2018-01-01T13:04:58 --enforcementcount 0 &gt;&gt;%USERPROFILE%\Documents\GitHub\eaglep3-reporting\EC\2018-01-01-refined-times.txt</v>
      </c>
      <c r="AI78" s="238" t="str">
        <f t="shared" ref="AI78:AI144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{"issue":{"subject":"","project_id":79,"tracker_id":40,"status_id":1,"priority_id":2,"assigned_to_id":338,"start_date":"2018-01-01","description":"","custom_fields":[{"id":1,"name":"Subdivision","value":"EC"},{"id":4,"name":"Milepost","value":"0.0169"},{"id":17,"name":"Train ID","value":"164-01"},{"id":16,"name":"Locomotive ID","value":"4057"},{"id":130,"name":"Impact","value":""},{"id":150,"name":"Time of Event (Mountain Time)","value":"13:04:58"},{"id":151,"name":"Denver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4" si="12">"start /low /b "&amp;dls3logs&amp;" --loco "&amp;B78&amp;" --day "&amp;TEXT(F78,"YYYY-MM-DD")</f>
        <v>start /low /b %USERPROFILE%\Documents\GitHub\eaglep3\Utilities\DownloadLogsFromS3.py --loco 4057 --day 2018-01-01</v>
      </c>
      <c r="AN78" s="241" t="str">
        <f t="shared" ref="AN78:AN144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4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-01T11:21:15-0700',mode:absolute,to:'2018-01-01T14:04:58-0700'))&amp;_a=(columns:!('Message%20ID',Summary),filters:!(),index:'emp_*',interval:auto,query:(query_string:(analyze_wildcard:!t,query:'%22rtdc.l.rtdc.4057%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775</v>
      </c>
      <c r="B79" s="225">
        <v>4014</v>
      </c>
      <c r="C79" s="227" t="s">
        <v>192</v>
      </c>
      <c r="D79" s="227" t="s">
        <v>559</v>
      </c>
      <c r="E79" s="226">
        <v>43101.485810185186</v>
      </c>
      <c r="F79" s="226">
        <v>43101.489837962959</v>
      </c>
      <c r="G79" s="225">
        <v>82</v>
      </c>
      <c r="H79" s="227" t="s">
        <v>624</v>
      </c>
      <c r="I79" s="226">
        <v>43101.514756944445</v>
      </c>
      <c r="J79" s="225">
        <v>0</v>
      </c>
      <c r="K79" s="237" t="str">
        <f>IF(ISEVEN(B79),(B79-1)&amp;"/"&amp;B79,B79&amp;"/"&amp;(B79+1))</f>
        <v>4013/4014</v>
      </c>
      <c r="L79" s="245" t="str">
        <f>VLOOKUP(A79,'Trips&amp;Operators'!$C$1:$G$99911,5,FALSE)</f>
        <v>LEVERE CRAIG</v>
      </c>
      <c r="M79" s="224">
        <f>I79-F79</f>
        <v>2.4918981485825498E-2</v>
      </c>
      <c r="N79" s="225">
        <f>24*60*SUM($M79:$M79)</f>
        <v>35.883333339588717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-01T10:39:34-0700',mode:absolute,to:'2018-01-01T13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0.05</v>
      </c>
      <c r="Z79" s="247">
        <f>RIGHT(H79,LEN(H79)-4)/10000</f>
        <v>23.324100000000001</v>
      </c>
      <c r="AA79" s="247">
        <f>ABS(Z79-Y79)</f>
        <v>23.274100000000001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/stypes="app*4014*20180101*"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165-01 --locoid 4014 --swversion DE.1.0.9.0 --startMP 204:500 --initTime 2018-01-01T11:39:34 --startdatetime 2018-01-01T11:45:22 --delay 82 --endMP 204:233241 --enddatetime 2018-01-01T12:21:15 --enforcementcount 0 &gt;&gt;%USERPROFILE%\Documents\GitHub\eaglep3-reporting\EC\2018-01-01-refined-times.txt</v>
      </c>
      <c r="AI7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{"issue":{"subject":"","project_id":79,"tracker_id":40,"status_id":1,"priority_id":2,"assigned_to_id":338,"start_date":"2018-01-01","description":"","custom_fields":[{"id":1,"name":"Subdivision","value":"EC"},{"id":4,"name":"Milepost","value":"23.3241"},{"id":17,"name":"Train ID","value":"165-01"},{"id":16,"name":"Locomotive ID","value":"4014"},{"id":130,"name":"Impact","value":""},{"id":150,"name":"Time of Event (Mountain Time)","value":"12:21:15"},{"id":151,"name":"Denver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4014 --day 2018-01-01</v>
      </c>
      <c r="AN79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2018-01-01T10:39:34-0700',mode:absolute,to:'2018-01-01T13:21:15-0700'))&amp;_a=(columns:!('Message%20ID',Summary),filters:!(),index:'emp_*',interval:auto,query:(query_string:(analyze_wildcard:!t,query:'%22rtdc.l.rtdc.4014%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786</v>
      </c>
      <c r="B80" s="225">
        <v>4013</v>
      </c>
      <c r="C80" s="227" t="s">
        <v>192</v>
      </c>
      <c r="D80" s="227" t="s">
        <v>555</v>
      </c>
      <c r="E80" s="226">
        <v>43101.522835648146</v>
      </c>
      <c r="F80" s="226">
        <v>43101.529340277775</v>
      </c>
      <c r="G80" s="225">
        <v>81</v>
      </c>
      <c r="H80" s="227" t="s">
        <v>921</v>
      </c>
      <c r="I80" s="226">
        <v>43101.555972222224</v>
      </c>
      <c r="J80" s="225">
        <v>0</v>
      </c>
      <c r="K80" s="237" t="str">
        <f>IF(ISEVEN(B80),(B80-1)&amp;"/"&amp;B80,B80&amp;"/"&amp;(B80+1))</f>
        <v>4013/4014</v>
      </c>
      <c r="L80" s="245" t="str">
        <f>VLOOKUP(A80,'Trips&amp;Operators'!$C$1:$G$99911,5,FALSE)</f>
        <v>LEVERE CRAIG</v>
      </c>
      <c r="M80" s="224">
        <f>I80-F80</f>
        <v>2.6631944449036382E-2</v>
      </c>
      <c r="N80" s="225">
        <f>24*60*SUM($M80:$M80)</f>
        <v>38.35000000661239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-01T11:32:53-0700',mode:absolute,to:'2018-01-01T14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23.2927</v>
      </c>
      <c r="Z80" s="247">
        <f>RIGHT(H80,LEN(H80)-4)/10000</f>
        <v>2.3800000000000002E-2</v>
      </c>
      <c r="AA80" s="247">
        <f>ABS(Z80-Y80)</f>
        <v>23.268899999999999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/stypes="app*4013*20180101*"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166-01 --locoid 4013 --swversion DE.1.0.9.0 --startMP 204:232927 --initTime 2018-01-01T12:32:53 --startdatetime 2018-01-01T12:42:15 --delay 81 --endMP 204:238 --enddatetime 2018-01-01T13:20:36 --enforcementcount 0 &gt;&gt;%USERPROFILE%\Documents\GitHub\eaglep3-reporting\EC\2018-01-01-refined-times.txt</v>
      </c>
      <c r="AI80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{"issue":{"subject":"","project_id":79,"tracker_id":40,"status_id":1,"priority_id":2,"assigned_to_id":338,"start_date":"2018-01-01","description":"","custom_fields":[{"id":1,"name":"Subdivision","value":"EC"},{"id":4,"name":"Milepost","value":"0.0238"},{"id":17,"name":"Train ID","value":"166-01"},{"id":16,"name":"Locomotive ID","value":"4013"},{"id":130,"name":"Impact","value":""},{"id":150,"name":"Time of Event (Mountain Time)","value":"13:20:36"},{"id":151,"name":"Denver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4013 --day 2018-01-01</v>
      </c>
      <c r="AN80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2018-01-01T11:32:53-0700',mode:absolute,to:'2018-01-01T14:20:36-0700'))&amp;_a=(columns:!('Message%20ID',Summary),filters:!(),index:'emp_*',interval:auto,query:(query_string:(analyze_wildcard:!t,query:'%22rtdc.l.rtdc.4013%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779</v>
      </c>
      <c r="B81" s="225">
        <v>4064</v>
      </c>
      <c r="C81" s="227" t="s">
        <v>192</v>
      </c>
      <c r="D81" s="227" t="s">
        <v>905</v>
      </c>
      <c r="E81" s="226">
        <v>43101.496898148151</v>
      </c>
      <c r="F81" s="226">
        <v>43101.500162037039</v>
      </c>
      <c r="G81" s="225">
        <v>71</v>
      </c>
      <c r="H81" s="227" t="s">
        <v>922</v>
      </c>
      <c r="I81" s="226">
        <v>43101.524930555555</v>
      </c>
      <c r="J81" s="225">
        <v>0</v>
      </c>
      <c r="K81" s="237" t="str">
        <f>IF(ISEVEN(B81),(B81-1)&amp;"/"&amp;B81,B81&amp;"/"&amp;(B81+1))</f>
        <v>4063/4064</v>
      </c>
      <c r="L81" s="245" t="str">
        <f>VLOOKUP(A81,'Trips&amp;Operators'!$C$1:$G$99911,5,FALSE)</f>
        <v>GUZMAN DANNY</v>
      </c>
      <c r="M81" s="224">
        <f>I81-F81</f>
        <v>2.4768518516793847E-2</v>
      </c>
      <c r="N81" s="225">
        <f>24*60*SUM($M81:$M81)</f>
        <v>35.66666666418314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-01T10:55:32-0700',mode:absolute,to:'2018-01-01T13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4.4699999999999997E-2</v>
      </c>
      <c r="Z81" s="247">
        <f>RIGHT(H81,LEN(H81)-4)/10000</f>
        <v>23.3353</v>
      </c>
      <c r="AA81" s="247">
        <f>ABS(Z81-Y81)</f>
        <v>23.290600000000001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/stypes="app*4064*20180101*"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167-01 --locoid 4064 --swversion DE.1.0.9.0 --startMP 204:447 --initTime 2018-01-01T11:55:32 --startdatetime 2018-01-01T12:00:14 --delay 71 --endMP 204:233353 --enddatetime 2018-01-01T12:35:54 --enforcementcount 0 &gt;&gt;%USERPROFILE%\Documents\GitHub\eaglep3-reporting\EC\2018-01-01-refined-times.txt</v>
      </c>
      <c r="AI8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{"issue":{"subject":"","project_id":79,"tracker_id":40,"status_id":1,"priority_id":2,"assigned_to_id":338,"start_date":"2018-01-01","description":"","custom_fields":[{"id":1,"name":"Subdivision","value":"EC"},{"id":4,"name":"Milepost","value":"23.3353"},{"id":17,"name":"Train ID","value":"167-01"},{"id":16,"name":"Locomotive ID","value":"4064"},{"id":130,"name":"Impact","value":""},{"id":150,"name":"Time of Event (Mountain Time)","value":"12:35:54"},{"id":151,"name":"Denver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4064 --day 2018-01-01</v>
      </c>
      <c r="AN81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2018-01-01T10:55:32-0700',mode:absolute,to:'2018-01-01T13:35:54-0700'))&amp;_a=(columns:!('Message%20ID',Summary),filters:!(),index:'emp_*',interval:auto,query:(query_string:(analyze_wildcard:!t,query:'%22rtdc.l.rtdc.4064%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787</v>
      </c>
      <c r="B82" s="225">
        <v>4063</v>
      </c>
      <c r="C82" s="227" t="s">
        <v>192</v>
      </c>
      <c r="D82" s="227" t="s">
        <v>923</v>
      </c>
      <c r="E82" s="226">
        <v>43101.527025462965</v>
      </c>
      <c r="F82" s="226">
        <v>43101.53979166667</v>
      </c>
      <c r="G82" s="225">
        <v>68</v>
      </c>
      <c r="H82" s="227" t="s">
        <v>647</v>
      </c>
      <c r="I82" s="226">
        <v>43101.565451388888</v>
      </c>
      <c r="J82" s="225">
        <v>0</v>
      </c>
      <c r="K82" s="237" t="str">
        <f>IF(ISEVEN(B82),(B82-1)&amp;"/"&amp;B82,B82&amp;"/"&amp;(B82+1))</f>
        <v>4063/4064</v>
      </c>
      <c r="L82" s="245" t="str">
        <f>VLOOKUP(A82,'Trips&amp;Operators'!$C$1:$G$99911,5,FALSE)</f>
        <v>GUZMAN DANNY</v>
      </c>
      <c r="M82" s="224">
        <f>I82-F82</f>
        <v>2.565972221782431E-2</v>
      </c>
      <c r="N82" s="225">
        <f>24*60*SUM($M82:$M82)</f>
        <v>36.949999993667006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-01T11:38:55-0700',mode:absolute,to:'2018-01-01T14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23.3032</v>
      </c>
      <c r="Z82" s="247">
        <f>RIGHT(H82,LEN(H82)-4)/10000</f>
        <v>1.7399999999999999E-2</v>
      </c>
      <c r="AA82" s="247">
        <f>ABS(Z82-Y82)</f>
        <v>23.285800000000002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/stypes="app*4063*20180101*"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168-01 --locoid 4063 --swversion DE.1.0.9.0 --startMP 204:233032 --initTime 2018-01-01T12:38:55 --startdatetime 2018-01-01T12:57:18 --delay 68 --endMP 204:174 --enddatetime 2018-01-01T13:34:15 --enforcementcount 0 &gt;&gt;%USERPROFILE%\Documents\GitHub\eaglep3-reporting\EC\2018-01-01-refined-times.txt</v>
      </c>
      <c r="AI82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{"issue":{"subject":"","project_id":79,"tracker_id":40,"status_id":1,"priority_id":2,"assigned_to_id":338,"start_date":"2018-01-01","description":"","custom_fields":[{"id":1,"name":"Subdivision","value":"EC"},{"id":4,"name":"Milepost","value":"0.0174"},{"id":17,"name":"Train ID","value":"168-01"},{"id":16,"name":"Locomotive ID","value":"4063"},{"id":130,"name":"Impact","value":""},{"id":150,"name":"Time of Event (Mountain Time)","value":"13:34:15"},{"id":151,"name":"Denver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4063 --day 2018-01-01</v>
      </c>
      <c r="AN82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2018-01-01T11:38:55-0700',mode:absolute,to:'2018-01-01T14:34:15-0700'))&amp;_a=(columns:!('Message%20ID',Summary),filters:!(),index:'emp_*',interval:auto,query:(query_string:(analyze_wildcard:!t,query:'%22rtdc.l.rtdc.4063%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782</v>
      </c>
      <c r="B83" s="225">
        <v>4022</v>
      </c>
      <c r="C83" s="227" t="s">
        <v>192</v>
      </c>
      <c r="D83" s="227" t="s">
        <v>924</v>
      </c>
      <c r="E83" s="226">
        <v>43101.506574074076</v>
      </c>
      <c r="F83" s="226">
        <v>43101.510578703703</v>
      </c>
      <c r="G83" s="225">
        <v>83</v>
      </c>
      <c r="H83" s="227" t="s">
        <v>648</v>
      </c>
      <c r="I83" s="226">
        <v>43101.534513888888</v>
      </c>
      <c r="J83" s="225">
        <v>0</v>
      </c>
      <c r="K83" s="237" t="str">
        <f>IF(ISEVEN(B83),(B83-1)&amp;"/"&amp;B83,B83&amp;"/"&amp;(B83+1))</f>
        <v>4021/4022</v>
      </c>
      <c r="L83" s="245" t="str">
        <f>VLOOKUP(A83,'Trips&amp;Operators'!$C$1:$G$99911,5,FALSE)</f>
        <v>SAFIEF AEIMEN</v>
      </c>
      <c r="M83" s="224">
        <f>I83-F83</f>
        <v>2.3935185185109731E-2</v>
      </c>
      <c r="N83" s="225">
        <f>24*60*SUM($M83:$M83)</f>
        <v>34.466666666558012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-01T11:09:28-0700',mode:absolute,to:'2018-01-01T13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5.2400000000000002E-2</v>
      </c>
      <c r="Z83" s="247">
        <f>RIGHT(H83,LEN(H83)-4)/10000</f>
        <v>23.331099999999999</v>
      </c>
      <c r="AA83" s="247">
        <f>ABS(Z83-Y83)</f>
        <v>23.278700000000001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/stypes="app*4022*20180101*"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169-01 --locoid 4022 --swversion DE.1.0.9.0 --startMP 204:524 --initTime 2018-01-01T12:09:28 --startdatetime 2018-01-01T12:15:14 --delay 83 --endMP 204:233311 --enddatetime 2018-01-01T12:49:42 --enforcementcount 0 &gt;&gt;%USERPROFILE%\Documents\GitHub\eaglep3-reporting\EC\2018-01-01-refined-times.txt</v>
      </c>
      <c r="AI83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{"issue":{"subject":"","project_id":79,"tracker_id":40,"status_id":1,"priority_id":2,"assigned_to_id":338,"start_date":"2018-01-01","description":"","custom_fields":[{"id":1,"name":"Subdivision","value":"EC"},{"id":4,"name":"Milepost","value":"23.3311"},{"id":17,"name":"Train ID","value":"169-01"},{"id":16,"name":"Locomotive ID","value":"4022"},{"id":130,"name":"Impact","value":""},{"id":150,"name":"Time of Event (Mountain Time)","value":"12:49:42"},{"id":151,"name":"Denver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4022 --day 2018-01-01</v>
      </c>
      <c r="AN83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2018-01-01T11:09:28-0700',mode:absolute,to:'2018-01-01T13:49:42-0700'))&amp;_a=(columns:!('Message%20ID',Summary),filters:!(),index:'emp_*',interval:auto,query:(query_string:(analyze_wildcard:!t,query:'%22rtdc.l.rtdc.4022%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789</v>
      </c>
      <c r="B84" s="225">
        <v>4021</v>
      </c>
      <c r="C84" s="227" t="s">
        <v>192</v>
      </c>
      <c r="D84" s="227" t="s">
        <v>561</v>
      </c>
      <c r="E84" s="226">
        <v>43101.537499999999</v>
      </c>
      <c r="F84" s="226">
        <v>43101.550208333334</v>
      </c>
      <c r="G84" s="225">
        <v>81</v>
      </c>
      <c r="H84" s="227" t="s">
        <v>507</v>
      </c>
      <c r="I84" s="226">
        <v>43101.576539351852</v>
      </c>
      <c r="J84" s="225">
        <v>0</v>
      </c>
      <c r="K84" s="237" t="str">
        <f>IF(ISEVEN(B84),(B84-1)&amp;"/"&amp;B84,B84&amp;"/"&amp;(B84+1))</f>
        <v>4021/4022</v>
      </c>
      <c r="L84" s="245" t="str">
        <f>VLOOKUP(A84,'Trips&amp;Operators'!$C$1:$G$99911,5,FALSE)</f>
        <v>SAFIEF AEIMEN</v>
      </c>
      <c r="M84" s="224">
        <f>I84-F84</f>
        <v>2.6331018518249039E-2</v>
      </c>
      <c r="N84" s="225">
        <f>24*60*SUM($M84:$M84)</f>
        <v>37.916666666278616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-01T11:54:00-0700',mode:absolute,to:'2018-01-01T14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23.3</v>
      </c>
      <c r="Z84" s="247">
        <f>RIGHT(H84,LEN(H84)-4)/10000</f>
        <v>1.9199999999999998E-2</v>
      </c>
      <c r="AA84" s="247">
        <f>ABS(Z84-Y84)</f>
        <v>23.280799999999999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/stypes="app*4021*20180101*"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170-01 --locoid 4021 --swversion DE.1.0.9.0 --startMP 204:233000 --initTime 2018-01-01T12:54:00 --startdatetime 2018-01-01T13:12:18 --delay 81 --endMP 204:192 --enddatetime 2018-01-01T13:50:13 --enforcementcount 0 &gt;&gt;%USERPROFILE%\Documents\GitHub\eaglep3-reporting\EC\2018-01-01-refined-times.txt</v>
      </c>
      <c r="AI8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{"issue":{"subject":"","project_id":79,"tracker_id":40,"status_id":1,"priority_id":2,"assigned_to_id":338,"start_date":"2018-01-01","description":"","custom_fields":[{"id":1,"name":"Subdivision","value":"EC"},{"id":4,"name":"Milepost","value":"0.0192"},{"id":17,"name":"Train ID","value":"170-01"},{"id":16,"name":"Locomotive ID","value":"4021"},{"id":130,"name":"Impact","value":""},{"id":150,"name":"Time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4021 --day 2018-01-01</v>
      </c>
      <c r="AN84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2018-01-01T11:54:00-0700',mode:absolute,to:'2018-01-01T14:50:13-0700'))&amp;_a=(columns:!('Message%20ID',Summary),filters:!(),index:'emp_*',interval:auto,query:(query_string:(analyze_wildcard:!t,query:'%22rtdc.l.rtdc.4021%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785</v>
      </c>
      <c r="B85" s="225">
        <v>4020</v>
      </c>
      <c r="C85" s="227" t="s">
        <v>192</v>
      </c>
      <c r="D85" s="227" t="s">
        <v>925</v>
      </c>
      <c r="E85" s="226">
        <v>43101.516701388886</v>
      </c>
      <c r="F85" s="226">
        <v>43101.521122685182</v>
      </c>
      <c r="G85" s="225">
        <v>71</v>
      </c>
      <c r="H85" s="227" t="s">
        <v>511</v>
      </c>
      <c r="I85" s="226">
        <v>43101.546319444446</v>
      </c>
      <c r="J85" s="225">
        <v>0</v>
      </c>
      <c r="K85" s="237" t="str">
        <f>IF(ISEVEN(B85),(B85-1)&amp;"/"&amp;B85,B85&amp;"/"&amp;(B85+1))</f>
        <v>4019/4020</v>
      </c>
      <c r="L85" s="245" t="str">
        <f>VLOOKUP(A85,'Trips&amp;Operators'!$C$1:$G$99911,5,FALSE)</f>
        <v>STRICKLAND EVAN</v>
      </c>
      <c r="M85" s="224">
        <f>I85-F85</f>
        <v>2.5196759263053536E-2</v>
      </c>
      <c r="N85" s="225">
        <f>24*60*SUM($M85:$M85)</f>
        <v>36.283333338797092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-01T11:24:03-0700',mode:absolute,to:'2018-01-01T14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5.0599999999999999E-2</v>
      </c>
      <c r="Z85" s="247">
        <f>RIGHT(H85,LEN(H85)-4)/10000</f>
        <v>23.326599999999999</v>
      </c>
      <c r="AA85" s="247">
        <f>ABS(Z85-Y85)</f>
        <v>23.276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/stypes="app*4020*20180101*"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171-01 --locoid 4020 --swversion DE.1.0.9.0 --startMP 204:506 --initTime 2018-01-01T12:24:03 --startdatetime 2018-01-01T12:30:25 --delay 71 --endMP 204:233266 --enddatetime 2018-01-01T13:06:42 --enforcementcount 0 &gt;&gt;%USERPROFILE%\Documents\GitHub\eaglep3-reporting\EC\2018-01-01-refined-times.txt</v>
      </c>
      <c r="AI85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{"issue":{"subject":"","project_id":79,"tracker_id":40,"status_id":1,"priority_id":2,"assigned_to_id":338,"start_date":"2018-01-01","description":"","custom_fields":[{"id":1,"name":"Subdivision","value":"EC"},{"id":4,"name":"Milepost","value":"23.3266"},{"id":17,"name":"Train ID","value":"171-01"},{"id":16,"name":"Locomotive ID","value":"4020"},{"id":130,"name":"Impact","value":""},{"id":150,"name":"Time of Event (Mountain Time)","value":"13:06:42"},{"id":151,"name":"Denver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4020 --day 2018-01-01</v>
      </c>
      <c r="AN85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2018-01-01T11:24:03-0700',mode:absolute,to:'2018-01-01T14:06:42-0700'))&amp;_a=(columns:!('Message%20ID',Summary),filters:!(),index:'emp_*',interval:auto,query:(query_string:(analyze_wildcard:!t,query:'%22rtdc.l.rtdc.4020%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792</v>
      </c>
      <c r="B86" s="225">
        <v>4019</v>
      </c>
      <c r="C86" s="227" t="s">
        <v>192</v>
      </c>
      <c r="D86" s="227" t="s">
        <v>926</v>
      </c>
      <c r="E86" s="226">
        <v>43101.547962962963</v>
      </c>
      <c r="F86" s="226">
        <v>43101.560578703706</v>
      </c>
      <c r="G86" s="225">
        <v>69</v>
      </c>
      <c r="H86" s="227" t="s">
        <v>627</v>
      </c>
      <c r="I86" s="226">
        <v>43101.587719907409</v>
      </c>
      <c r="J86" s="225">
        <v>0</v>
      </c>
      <c r="K86" s="237" t="str">
        <f>IF(ISEVEN(B86),(B86-1)&amp;"/"&amp;B86,B86&amp;"/"&amp;(B86+1))</f>
        <v>4019/4020</v>
      </c>
      <c r="L86" s="245" t="str">
        <f>VLOOKUP(A86,'Trips&amp;Operators'!$C$1:$G$99911,5,FALSE)</f>
        <v>STRICKLAND EVAN</v>
      </c>
      <c r="M86" s="224">
        <f>I86-F86</f>
        <v>2.7141203703649808E-2</v>
      </c>
      <c r="N86" s="225">
        <f>24*60*SUM($M86:$M86)</f>
        <v>39.083333333255723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-01T12:09:04-0700',mode:absolute,to:'2018-01-01T15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23.294499999999999</v>
      </c>
      <c r="Z86" s="247">
        <f>RIGHT(H86,LEN(H86)-4)/10000</f>
        <v>2.1100000000000001E-2</v>
      </c>
      <c r="AA86" s="247">
        <f>ABS(Z86-Y86)</f>
        <v>23.273399999999999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/stypes="app*4019*20180101*"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172-01 --locoid 4019 --swversion DE.1.0.9.0 --startMP 204:232945 --initTime 2018-01-01T13:09:04 --startdatetime 2018-01-01T13:27:14 --delay 69 --endMP 204:211 --enddatetime 2018-01-01T14:06:19 --enforcementcount 0 &gt;&gt;%USERPROFILE%\Documents\GitHub\eaglep3-reporting\EC\2018-01-01-refined-times.txt</v>
      </c>
      <c r="AI86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{"issue":{"subject":"","project_id":79,"tracker_id":40,"status_id":1,"priority_id":2,"assigned_to_id":338,"start_date":"2018-01-01","description":"","custom_fields":[{"id":1,"name":"Subdivision","value":"EC"},{"id":4,"name":"Milepost","value":"0.0211"},{"id":17,"name":"Train ID","value":"172-01"},{"id":16,"name":"Locomotive ID","value":"4019"},{"id":130,"name":"Impact","value":""},{"id":150,"name":"Time of Event (Mountain Time)","value":"14:06:19"},{"id":151,"name":"Denver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4019 --day 2018-01-01</v>
      </c>
      <c r="AN86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2018-01-01T12:09:04-0700',mode:absolute,to:'2018-01-01T15:06:19-0700'))&amp;_a=(columns:!('Message%20ID',Summary),filters:!(),index:'emp_*',interval:auto,query:(query_string:(analyze_wildcard:!t,query:'%22rtdc.l.rtdc.4019%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788</v>
      </c>
      <c r="B87" s="225">
        <v>4010</v>
      </c>
      <c r="C87" s="227" t="s">
        <v>192</v>
      </c>
      <c r="D87" s="227" t="s">
        <v>508</v>
      </c>
      <c r="E87" s="226">
        <v>43101.527048611111</v>
      </c>
      <c r="F87" s="226">
        <v>43101.531446759262</v>
      </c>
      <c r="G87" s="225">
        <v>71</v>
      </c>
      <c r="H87" s="227" t="s">
        <v>927</v>
      </c>
      <c r="I87" s="226">
        <v>43101.556168981479</v>
      </c>
      <c r="J87" s="225">
        <v>0</v>
      </c>
      <c r="K87" s="237" t="str">
        <f>IF(ISEVEN(B87),(B87-1)&amp;"/"&amp;B87,B87&amp;"/"&amp;(B87+1))</f>
        <v>4009/4010</v>
      </c>
      <c r="L87" s="245" t="str">
        <f>VLOOKUP(A87,'Trips&amp;Operators'!$C$1:$G$99911,5,FALSE)</f>
        <v>SMITH MICHAEL</v>
      </c>
      <c r="M87" s="224">
        <f>I87-F87</f>
        <v>2.4722222216951195E-2</v>
      </c>
      <c r="N87" s="225">
        <f>24*60*SUM($M87:$M87)</f>
        <v>35.599999992409721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-01T11:38:57-0700',mode:absolute,to:'2018-01-01T14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4.7800000000000002E-2</v>
      </c>
      <c r="Z87" s="247">
        <f>RIGHT(H87,LEN(H87)-4)/10000</f>
        <v>23.319299999999998</v>
      </c>
      <c r="AA87" s="247">
        <f>ABS(Z87-Y87)</f>
        <v>23.2715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/stypes="app*4010*20180101*"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173-01 --locoid 4010 --swversion DE.1.0.9.0 --startMP 204:478 --initTime 2018-01-01T12:38:57 --startdatetime 2018-01-01T12:45:17 --delay 71 --endMP 204:233193 --enddatetime 2018-01-01T13:20:53 --enforcementcount 0 &gt;&gt;%USERPROFILE%\Documents\GitHub\eaglep3-reporting\EC\2018-01-01-refined-times.txt</v>
      </c>
      <c r="AI87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{"issue":{"subject":"","project_id":79,"tracker_id":40,"status_id":1,"priority_id":2,"assigned_to_id":338,"start_date":"2018-01-01","description":"","custom_fields":[{"id":1,"name":"Subdivision","value":"EC"},{"id":4,"name":"Milepost","value":"23.3193"},{"id":17,"name":"Train ID","value":"173-01"},{"id":16,"name":"Locomotive ID","value":"4010"},{"id":130,"name":"Impact","value":""},{"id":150,"name":"Time of Event (Mountain Time)","value":"13:20:53"},{"id":151,"name":"Denver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4010 --day 2018-01-01</v>
      </c>
      <c r="AN87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2018-01-01T11:38:57-0700',mode:absolute,to:'2018-01-01T14:20:53-0700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796</v>
      </c>
      <c r="B88" s="225">
        <v>4009</v>
      </c>
      <c r="C88" s="227" t="s">
        <v>192</v>
      </c>
      <c r="D88" s="227" t="s">
        <v>928</v>
      </c>
      <c r="E88" s="226">
        <v>43101.564745370371</v>
      </c>
      <c r="F88" s="226">
        <v>43101.57104166667</v>
      </c>
      <c r="G88" s="225">
        <v>74</v>
      </c>
      <c r="H88" s="227" t="s">
        <v>598</v>
      </c>
      <c r="I88" s="226">
        <v>43101.597233796296</v>
      </c>
      <c r="J88" s="225">
        <v>0</v>
      </c>
      <c r="K88" s="237" t="str">
        <f>IF(ISEVEN(B88),(B88-1)&amp;"/"&amp;B88,B88&amp;"/"&amp;(B88+1))</f>
        <v>4009/4010</v>
      </c>
      <c r="L88" s="245" t="str">
        <f>VLOOKUP(A88,'Trips&amp;Operators'!$C$1:$G$99911,5,FALSE)</f>
        <v>SMITH MICHAEL</v>
      </c>
      <c r="M88" s="224">
        <f>I88-F88</f>
        <v>2.619212962599704E-2</v>
      </c>
      <c r="N88" s="225">
        <f>24*60*SUM($M88:$M88)</f>
        <v>37.716666661435738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-01T12:33:14-0700',mode:absolute,to:'2018-01-01T15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23.287299999999998</v>
      </c>
      <c r="Z88" s="247">
        <f>RIGHT(H88,LEN(H88)-4)/10000</f>
        <v>2.4299999999999999E-2</v>
      </c>
      <c r="AA88" s="247">
        <f>ABS(Z88-Y88)</f>
        <v>23.262999999999998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/stypes="app*4009*20180101*"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174-01 --locoid 4009 --swversion DE.1.0.9.0 --startMP 204:232873 --initTime 2018-01-01T13:33:14 --startdatetime 2018-01-01T13:42:18 --delay 74 --endMP 204:243 --enddatetime 2018-01-01T14:20:01 --enforcementcount 0 &gt;&gt;%USERPROFILE%\Documents\GitHub\eaglep3-reporting\EC\2018-01-01-refined-times.txt</v>
      </c>
      <c r="AI88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{"issue":{"subject":"","project_id":79,"tracker_id":40,"status_id":1,"priority_id":2,"assigned_to_id":338,"start_date":"2018-01-01","description":"","custom_fields":[{"id":1,"name":"Subdivision","value":"EC"},{"id":4,"name":"Milepost","value":"0.0243"},{"id":17,"name":"Train ID","value":"174-01"},{"id":16,"name":"Locomotive ID","value":"4009"},{"id":130,"name":"Impact","value":""},{"id":150,"name":"Time of Event (Mountain Time)","value":"14:20:01"},{"id":151,"name":"Denver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4009 --day 2018-01-01</v>
      </c>
      <c r="AN88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2018-01-01T12:33:14-0700',mode:absolute,to:'2018-01-01T15:20:01-0700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790</v>
      </c>
      <c r="B89" s="225">
        <v>4042</v>
      </c>
      <c r="C89" s="227" t="s">
        <v>192</v>
      </c>
      <c r="D89" s="227" t="s">
        <v>929</v>
      </c>
      <c r="E89" s="226">
        <v>43101.53943287037</v>
      </c>
      <c r="F89" s="226">
        <v>43101.541967592595</v>
      </c>
      <c r="G89" s="225">
        <v>52</v>
      </c>
      <c r="H89" s="227" t="s">
        <v>920</v>
      </c>
      <c r="I89" s="226">
        <v>43101.567997685182</v>
      </c>
      <c r="J89" s="225">
        <v>0</v>
      </c>
      <c r="K89" s="237" t="str">
        <f>IF(ISEVEN(B89),(B89-1)&amp;"/"&amp;B89,B89&amp;"/"&amp;(B89+1))</f>
        <v>4041/4042</v>
      </c>
      <c r="L89" s="245" t="str">
        <f>VLOOKUP(A89,'Trips&amp;Operators'!$C$1:$G$99911,5,FALSE)</f>
        <v>DAVIS MICHAEL</v>
      </c>
      <c r="M89" s="224">
        <f>I89-F89</f>
        <v>2.6030092587461695E-2</v>
      </c>
      <c r="N89" s="225">
        <f>24*60*SUM($M89:$M89)</f>
        <v>37.483333325944841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-01T11:56:47-0700',mode:absolute,to:'2018-01-01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5.1999999999999998E-2</v>
      </c>
      <c r="Z89" s="247">
        <f>RIGHT(H89,LEN(H89)-4)/10000</f>
        <v>23.329799999999999</v>
      </c>
      <c r="AA89" s="247">
        <f>ABS(Z89-Y89)</f>
        <v>23.277799999999999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/stypes="app*4042*20180101*"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175-01 --locoid 4042 --swversion DE.1.0.9.0 --startMP 204:520 --initTime 2018-01-01T12:56:47 --startdatetime 2018-01-01T13:00:26 --delay 52 --endMP 204:233298 --enddatetime 2018-01-01T13:37:55 --enforcementcount 0 &gt;&gt;%USERPROFILE%\Documents\GitHub\eaglep3-reporting\EC\2018-01-01-refined-times.txt</v>
      </c>
      <c r="AI8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ID","value":"175-01"},{"id":16,"name":"Locomotive ID","value":"4042"},{"id":130,"name":"Impact","value":""},{"id":150,"name":"Time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4042 --day 2018-01-01</v>
      </c>
      <c r="AN89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2018-01-01T11:56:47-0700',mode:absolute,to:'2018-01-01T14:37:55-0700'))&amp;_a=(columns:!('Message%20ID',Summary),filters:!(),index:'emp_*',interval:auto,query:(query_string:(analyze_wildcard:!t,query:'%22rtdc.l.rtdc.4042%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663</v>
      </c>
      <c r="B90" s="225">
        <v>4041</v>
      </c>
      <c r="C90" s="227" t="s">
        <v>192</v>
      </c>
      <c r="D90" s="227" t="s">
        <v>587</v>
      </c>
      <c r="E90" s="226">
        <v>43101.579305555555</v>
      </c>
      <c r="F90" s="226">
        <v>43101.581597222219</v>
      </c>
      <c r="G90" s="225">
        <v>70</v>
      </c>
      <c r="H90" s="227" t="s">
        <v>494</v>
      </c>
      <c r="I90" s="226">
        <v>43101.609456018516</v>
      </c>
      <c r="J90" s="225">
        <v>0</v>
      </c>
      <c r="K90" s="237" t="str">
        <f>IF(ISEVEN(B90),(B90-1)&amp;"/"&amp;B90,B90&amp;"/"&amp;(B90+1))</f>
        <v>4041/4042</v>
      </c>
      <c r="L90" s="245" t="str">
        <f>VLOOKUP(A90,'Trips&amp;Operators'!$C$1:$G$99911,5,FALSE)</f>
        <v>DAVIS MICHAEL</v>
      </c>
      <c r="M90" s="224">
        <f>I90-F90</f>
        <v>2.7858796296641231E-2</v>
      </c>
      <c r="N90" s="225">
        <f>24*60*SUM($M90:$M90)</f>
        <v>40.116666667163372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-01T12:54:12-0700',mode:absolute,to:'2018-01-01T15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23.298100000000002</v>
      </c>
      <c r="Z90" s="247">
        <f>RIGHT(H90,LEN(H90)-4)/10000</f>
        <v>2.0500000000000001E-2</v>
      </c>
      <c r="AA90" s="247">
        <f>ABS(Z90-Y90)</f>
        <v>23.277600000000003</v>
      </c>
      <c r="AB90" s="233" t="str">
        <f>VLOOKUP(A90,Enforcements!$C$7:$K$9,8,0)</f>
        <v>Bulletin (2)</v>
      </c>
      <c r="AC90" s="232" t="str">
        <f>VLOOKUP(A90,Enforcements!$C$7:$E$9,3,0)</f>
        <v>GRADE CROSSING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/stypes="app*4041*20180101*"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176-01 --locoid 4041 --swversion DE.1.0.9.0 --startMP 204:232981 --initTime 2018-01-01T13:54:12 --startdatetime 2018-01-01T13:57:30 --delay 70 --endMP 204:205 --enddatetime 2018-01-01T14:37:37 --enforcementcount 0 &gt;&gt;%USERPROFILE%\Documents\GitHub\eaglep3-reporting\EC\2018-01-01-refined-times.txt</v>
      </c>
      <c r="AI90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ID","value":"176-01"},{"id":16,"name":"Locomotive ID","value":"4041"},{"id":130,"name":"Impact","value":""},{"id":150,"name":"Time of Event (Mountain Time)","value":"14:37:37"},{"id":151,"name":"Denver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4041 --day 2018-01-01</v>
      </c>
      <c r="AN90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2018-01-01T12:54:12-0700',mode:absolute,to:'2018-01-01T15:37:37-0700'))&amp;_a=(columns:!('Message%20ID',Summary),filters:!(),index:'emp_*',interval:auto,query:(query_string:(analyze_wildcard:!t,query:'%22rtdc.l.rtdc.4041%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793</v>
      </c>
      <c r="B91" s="225">
        <v>4058</v>
      </c>
      <c r="C91" s="227" t="s">
        <v>192</v>
      </c>
      <c r="D91" s="227" t="s">
        <v>615</v>
      </c>
      <c r="E91" s="226">
        <v>43101.548101851855</v>
      </c>
      <c r="F91" s="226">
        <v>43101.55232638889</v>
      </c>
      <c r="G91" s="225">
        <v>63</v>
      </c>
      <c r="H91" s="227" t="s">
        <v>891</v>
      </c>
      <c r="I91" s="226">
        <v>43101.576412037037</v>
      </c>
      <c r="J91" s="225">
        <v>0</v>
      </c>
      <c r="K91" s="237" t="str">
        <f>IF(ISEVEN(B91),(B91-1)&amp;"/"&amp;B91,B91&amp;"/"&amp;(B91+1))</f>
        <v>4057/4058</v>
      </c>
      <c r="L91" s="245" t="str">
        <f>VLOOKUP(A91,'Trips&amp;Operators'!$C$1:$G$99911,5,FALSE)</f>
        <v>STEWART MICHAEL</v>
      </c>
      <c r="M91" s="224">
        <f>I91-F91</f>
        <v>2.4085648146865424E-2</v>
      </c>
      <c r="N91" s="225">
        <f>24*60*SUM($M91:$M91)</f>
        <v>34.68333333148621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-01T12:09:16-0700',mode:absolute,to:'2018-01-01T14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4.9799999999999997E-2</v>
      </c>
      <c r="Z91" s="247">
        <f>RIGHT(H91,LEN(H91)-4)/10000</f>
        <v>23.328900000000001</v>
      </c>
      <c r="AA91" s="247">
        <f>ABS(Z91-Y91)</f>
        <v>23.2791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/stypes="app*4058*20180101*"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177-01 --locoid 4058 --swversion DE.1.0.9.0 --startMP 204:498 --initTime 2018-01-01T13:09:16 --startdatetime 2018-01-01T13:15:21 --delay 63 --endMP 204:233289 --enddatetime 2018-01-01T13:50:02 --enforcementcount 0 &gt;&gt;%USERPROFILE%\Documents\GitHub\eaglep3-reporting\EC\2018-01-01-refined-times.txt</v>
      </c>
      <c r="AI9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{"issue":{"subject":"","project_id":79,"tracker_id":40,"status_id":1,"priority_id":2,"assigned_to_id":338,"start_date":"2018-01-01","description":"","custom_fields":[{"id":1,"name":"Subdivision","value":"EC"},{"id":4,"name":"Milepost","value":"23.3289"},{"id":17,"name":"Train ID","value":"177-01"},{"id":16,"name":"Locomotive ID","value":"4058"},{"id":130,"name":"Impact","value":""},{"id":150,"name":"Time of Event (Mountain Time)","value":"13:50:02"},{"id":151,"name":"Denver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4058 --day 2018-01-01</v>
      </c>
      <c r="AN91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2018-01-01T12:09:16-0700',mode:absolute,to:'2018-01-01T14:50:02-0700'))&amp;_a=(columns:!('Message%20ID',Summary),filters:!(),index:'emp_*',interval:auto,query:(query_string:(analyze_wildcard:!t,query:'%22rtdc.l.rtdc.4058%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799</v>
      </c>
      <c r="B92" s="225">
        <v>4057</v>
      </c>
      <c r="C92" s="227" t="s">
        <v>192</v>
      </c>
      <c r="D92" s="227" t="s">
        <v>536</v>
      </c>
      <c r="E92" s="226">
        <v>43101.58734953704</v>
      </c>
      <c r="F92" s="226">
        <v>43101.591909722221</v>
      </c>
      <c r="G92" s="225">
        <v>70</v>
      </c>
      <c r="H92" s="227" t="s">
        <v>498</v>
      </c>
      <c r="I92" s="226">
        <v>43101.618483796294</v>
      </c>
      <c r="J92" s="225">
        <v>0</v>
      </c>
      <c r="K92" s="237" t="str">
        <f>IF(ISEVEN(B92),(B92-1)&amp;"/"&amp;B92,B92&amp;"/"&amp;(B92+1))</f>
        <v>4057/4058</v>
      </c>
      <c r="L92" s="245" t="str">
        <f>VLOOKUP(A92,'Trips&amp;Operators'!$C$1:$G$99911,5,FALSE)</f>
        <v>STEWART MICHAEL</v>
      </c>
      <c r="M92" s="224">
        <f>I92-F92</f>
        <v>2.6574074072414078E-2</v>
      </c>
      <c r="N92" s="225">
        <f>24*60*SUM($M92:$M92)</f>
        <v>38.266666664276272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-01T13:05:47-0700',mode:absolute,to:'2018-01-01T15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23.297699999999999</v>
      </c>
      <c r="Z92" s="247">
        <f>RIGHT(H92,LEN(H92)-4)/10000</f>
        <v>1.9400000000000001E-2</v>
      </c>
      <c r="AA92" s="247">
        <f>ABS(Z92-Y92)</f>
        <v>23.278299999999998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/stypes="app*4057*20180101*"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178-01 --locoid 4057 --swversion DE.1.0.9.0 --startMP 204:232977 --initTime 2018-01-01T14:05:47 --startdatetime 2018-01-01T14:12:21 --delay 70 --endMP 204:194 --enddatetime 2018-01-01T14:50:37 --enforcementcount 0 &gt;&gt;%USERPROFILE%\Documents\GitHub\eaglep3-reporting\EC\2018-01-01-refined-times.txt</v>
      </c>
      <c r="AI92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{"issue":{"subject":"","project_id":79,"tracker_id":40,"status_id":1,"priority_id":2,"assigned_to_id":338,"start_date":"2018-01-01","description":"","custom_fields":[{"id":1,"name":"Subdivision","value":"EC"},{"id":4,"name":"Milepost","value":"0.0194"},{"id":17,"name":"Train ID","value":"178-01"},{"id":16,"name":"Locomotive ID","value":"4057"},{"id":130,"name":"Impact","value":""},{"id":150,"name":"Time of Event (Mountain Time)","value":"14:50:37"},{"id":151,"name":"Denver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4057 --day 2018-01-01</v>
      </c>
      <c r="AN92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2018-01-01T13:05:47-0700',mode:absolute,to:'2018-01-01T15:50:37-0700'))&amp;_a=(columns:!('Message%20ID',Summary),filters:!(),index:'emp_*',interval:auto,query:(query_string:(analyze_wildcard:!t,query:'%22rtdc.l.rtdc.4057%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794</v>
      </c>
      <c r="B93" s="225">
        <v>4014</v>
      </c>
      <c r="C93" s="227" t="s">
        <v>192</v>
      </c>
      <c r="D93" s="227" t="s">
        <v>930</v>
      </c>
      <c r="E93" s="226">
        <v>43101.559189814812</v>
      </c>
      <c r="F93" s="226">
        <v>43101.562696759262</v>
      </c>
      <c r="G93" s="225">
        <v>60</v>
      </c>
      <c r="H93" s="227" t="s">
        <v>920</v>
      </c>
      <c r="I93" s="226">
        <v>43101.588472222225</v>
      </c>
      <c r="J93" s="225">
        <v>0</v>
      </c>
      <c r="K93" s="237" t="str">
        <f>IF(ISEVEN(B93),(B93-1)&amp;"/"&amp;B93,B93&amp;"/"&amp;(B93+1))</f>
        <v>4013/4014</v>
      </c>
      <c r="L93" s="245" t="str">
        <f>VLOOKUP(A93,'Trips&amp;Operators'!$C$1:$G$99911,5,FALSE)</f>
        <v>LEVERE CRAIG</v>
      </c>
      <c r="M93" s="224">
        <f>I93-F93</f>
        <v>2.5775462963792961E-2</v>
      </c>
      <c r="N93" s="225">
        <f>24*60*SUM($M93:$M93)</f>
        <v>37.116666667861864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-01T12:25:14-0700',mode:absolute,to:'2018-01-01T15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5.3100000000000001E-2</v>
      </c>
      <c r="Z93" s="247">
        <f>RIGHT(H93,LEN(H93)-4)/10000</f>
        <v>23.329799999999999</v>
      </c>
      <c r="AA93" s="247">
        <f>ABS(Z93-Y93)</f>
        <v>23.276699999999998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/stypes="app*4014*20180101*"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179-01 --locoid 4014 --swversion DE.1.0.9.0 --startMP 204:531 --initTime 2018-01-01T13:25:14 --startdatetime 2018-01-01T13:30:17 --delay 60 --endMP 204:233298 --enddatetime 2018-01-01T14:07:24 --enforcementcount 0 &gt;&gt;%USERPROFILE%\Documents\GitHub\eaglep3-reporting\EC\2018-01-01-refined-times.txt</v>
      </c>
      <c r="AI93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ID","value":"179-01"},{"id":16,"name":"Locomotive ID","value":"4014"},{"id":130,"name":"Impact","value":""},{"id":150,"name":"Time of Event (Mountain Time)","value":"14:07:24"},{"id":151,"name":"Denver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4014 --day 2018-01-01</v>
      </c>
      <c r="AN93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2018-01-01T12:25:14-0700',mode:absolute,to:'2018-01-01T15:07:24-0700'))&amp;_a=(columns:!('Message%20ID',Summary),filters:!(),index:'emp_*',interval:auto,query:(query_string:(analyze_wildcard:!t,query:'%22rtdc.l.rtdc.4014%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801</v>
      </c>
      <c r="B94" s="225">
        <v>4013</v>
      </c>
      <c r="C94" s="227" t="s">
        <v>192</v>
      </c>
      <c r="D94" s="227" t="s">
        <v>614</v>
      </c>
      <c r="E94" s="226">
        <v>43101.596331018518</v>
      </c>
      <c r="F94" s="226">
        <v>43101.602256944447</v>
      </c>
      <c r="G94" s="225">
        <v>74</v>
      </c>
      <c r="H94" s="227" t="s">
        <v>931</v>
      </c>
      <c r="I94" s="226">
        <v>43101.628622685188</v>
      </c>
      <c r="J94" s="225">
        <v>0</v>
      </c>
      <c r="K94" s="237" t="str">
        <f>IF(ISEVEN(B94),(B94-1)&amp;"/"&amp;B94,B94&amp;"/"&amp;(B94+1))</f>
        <v>4013/4014</v>
      </c>
      <c r="L94" s="245" t="str">
        <f>VLOOKUP(A94,'Trips&amp;Operators'!$C$1:$G$99911,5,FALSE)</f>
        <v>LEVERE CRAIG</v>
      </c>
      <c r="M94" s="224">
        <f>I94-F94</f>
        <v>2.6365740741312038E-2</v>
      </c>
      <c r="N94" s="225">
        <f>24*60*SUM($M94:$M94)</f>
        <v>37.966666667489335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-01T13:18:43-0700',mode:absolute,to:'2018-01-01T16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23.297599999999999</v>
      </c>
      <c r="Z94" s="247">
        <f>RIGHT(H94,LEN(H94)-4)/10000</f>
        <v>2.4E-2</v>
      </c>
      <c r="AA94" s="247">
        <f>ABS(Z94-Y94)</f>
        <v>23.273599999999998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/stypes="app*4013*20180101*"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180-01 --locoid 4013 --swversion DE.1.0.9.0 --startMP 204:232976 --initTime 2018-01-01T14:18:43 --startdatetime 2018-01-01T14:27:15 --delay 74 --endMP 204:240 --enddatetime 2018-01-01T15:05:13 --enforcementcount 0 &gt;&gt;%USERPROFILE%\Documents\GitHub\eaglep3-reporting\EC\2018-01-01-refined-times.txt</v>
      </c>
      <c r="AI9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{"issue":{"subject":"","project_id":79,"tracker_id":40,"status_id":1,"priority_id":2,"assigned_to_id":338,"start_date":"2018-01-01","description":"","custom_fields":[{"id":1,"name":"Subdivision","value":"EC"},{"id":4,"name":"Milepost","value":"0.024"},{"id":17,"name":"Train ID","value":"180-01"},{"id":16,"name":"Locomotive ID","value":"4013"},{"id":130,"name":"Impact","value":""},{"id":150,"name":"Time of Event (Mountain Time)","value":"15:05:13"},{"id":151,"name":"Denver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4013 --day 2018-01-01</v>
      </c>
      <c r="AN94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2018-01-01T13:18:43-0700',mode:absolute,to:'2018-01-01T16:05:13-0700'))&amp;_a=(columns:!('Message%20ID',Summary),filters:!(),index:'emp_*',interval:auto,query:(query_string:(analyze_wildcard:!t,query:'%22rtdc.l.rtdc.4013%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797</v>
      </c>
      <c r="B95" s="225">
        <v>4064</v>
      </c>
      <c r="C95" s="227" t="s">
        <v>192</v>
      </c>
      <c r="D95" s="227" t="s">
        <v>508</v>
      </c>
      <c r="E95" s="226">
        <v>43101.56753472222</v>
      </c>
      <c r="F95" s="226">
        <v>43101.57309027778</v>
      </c>
      <c r="G95" s="225">
        <v>55</v>
      </c>
      <c r="H95" s="227" t="s">
        <v>947</v>
      </c>
      <c r="I95" s="226">
        <v>43101.597199074073</v>
      </c>
      <c r="J95" s="225">
        <v>0</v>
      </c>
      <c r="K95" s="237" t="str">
        <f>IF(ISEVEN(B95),(B95-1)&amp;"/"&amp;B95,B95&amp;"/"&amp;(B95+1))</f>
        <v>4063/4064</v>
      </c>
      <c r="L95" s="245" t="str">
        <f>VLOOKUP(A95,'Trips&amp;Operators'!$C$1:$G$99911,5,FALSE)</f>
        <v>GUZMAN DANNY</v>
      </c>
      <c r="M95" s="224">
        <f>I95-F95</f>
        <v>2.4108796293148771E-2</v>
      </c>
      <c r="N95" s="225">
        <f>24*60*SUM($M95:$M95)</f>
        <v>34.71666666213423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-01T12:37:15-0700',mode:absolute,to:'2018-01-01T15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4.7800000000000002E-2</v>
      </c>
      <c r="Z95" s="247">
        <f>RIGHT(H95,LEN(H95)-4)/10000</f>
        <v>23.335100000000001</v>
      </c>
      <c r="AA95" s="247">
        <f>ABS(Z95-Y95)</f>
        <v>23.287300000000002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/stypes="app*4064*20180101*"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181-01 --locoid 4064 --swversion DE.1.0.9.0 --startMP 204:478 --initTime 2018-01-01T13:37:15 --startdatetime 2018-01-01T13:45:15 --delay 55 --endMP 204:233351 --enddatetime 2018-01-01T14:19:58 --enforcementcount 0 &gt;&gt;%USERPROFILE%\Documents\GitHub\eaglep3-reporting\EC\2018-01-01-refined-times.txt</v>
      </c>
      <c r="AI95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{"issue":{"subject":"","project_id":79,"tracker_id":40,"status_id":1,"priority_id":2,"assigned_to_id":338,"start_date":"2018-01-01","description":"","custom_fields":[{"id":1,"name":"Subdivision","value":"EC"},{"id":4,"name":"Milepost","value":"23.3351"},{"id":17,"name":"Train ID","value":"181-01"},{"id":16,"name":"Locomotive ID","value":"4064"},{"id":130,"name":"Impact","value":""},{"id":150,"name":"Time of Event (Mountain Time)","value":"14:19:58"},{"id":151,"name":"Denver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4064 --day 2018-01-01</v>
      </c>
      <c r="AN95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2018-01-01T12:37:15-0700',mode:absolute,to:'2018-01-01T15:19:58-0700'))&amp;_a=(columns:!('Message%20ID',Summary),filters:!(),index:'emp_*',interval:auto,query:(query_string:(analyze_wildcard:!t,query:'%22rtdc.l.rtdc.4064%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803</v>
      </c>
      <c r="B96" s="225">
        <v>4063</v>
      </c>
      <c r="C96" s="227" t="s">
        <v>192</v>
      </c>
      <c r="D96" s="227" t="s">
        <v>961</v>
      </c>
      <c r="E96" s="226">
        <v>43101.602407407408</v>
      </c>
      <c r="F96" s="226">
        <v>43101.612696759257</v>
      </c>
      <c r="G96" s="225">
        <v>49</v>
      </c>
      <c r="H96" s="227" t="s">
        <v>494</v>
      </c>
      <c r="I96" s="226">
        <v>43101.639050925929</v>
      </c>
      <c r="J96" s="225">
        <v>0</v>
      </c>
      <c r="K96" s="237" t="str">
        <f>IF(ISEVEN(B96),(B96-1)&amp;"/"&amp;B96,B96&amp;"/"&amp;(B96+1))</f>
        <v>4063/4064</v>
      </c>
      <c r="L96" s="245" t="str">
        <f>VLOOKUP(A96,'Trips&amp;Operators'!$C$1:$G$99911,5,FALSE)</f>
        <v>GUZMAN DANNY</v>
      </c>
      <c r="M96" s="224">
        <f>I96-F96</f>
        <v>2.6354166671808343E-2</v>
      </c>
      <c r="N96" s="225">
        <f>24*60*SUM($M96:$M96)</f>
        <v>37.950000007404014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-01T13:27:28-0700',mode:absolute,to:'2018-01-01T16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23.302299999999999</v>
      </c>
      <c r="Z96" s="247">
        <f>RIGHT(H96,LEN(H96)-4)/10000</f>
        <v>2.0500000000000001E-2</v>
      </c>
      <c r="AA96" s="247">
        <f>ABS(Z96-Y96)</f>
        <v>23.2818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/stypes="app*4063*20180101*"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182-01 --locoid 4063 --swversion DE.1.0.9.0 --startMP 204:233023 --initTime 2018-01-01T14:27:28 --startdatetime 2018-01-01T14:42:17 --delay 49 --endMP 204:205 --enddatetime 2018-01-01T15:20:14 --enforcementcount 0 &gt;&gt;%USERPROFILE%\Documents\GitHub\eaglep3-reporting\EC\2018-01-01-refined-times.txt</v>
      </c>
      <c r="AI96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ID","value":"182-01"},{"id":16,"name":"Locomotive ID","value":"4063"},{"id":130,"name":"Impact","value":""},{"id":150,"name":"Time of Event (Mountain Time)","value":"15:20:14"},{"id":151,"name":"Denver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4063 --day 2018-01-01</v>
      </c>
      <c r="AN96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2018-01-01T13:27:28-0700',mode:absolute,to:'2018-01-01T16:20:14-0700'))&amp;_a=(columns:!('Message%20ID',Summary),filters:!(),index:'emp_*',interval:auto,query:(query_string:(analyze_wildcard:!t,query:'%22rtdc.l.rtdc.4063%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798</v>
      </c>
      <c r="B97" s="225">
        <v>4022</v>
      </c>
      <c r="C97" s="227" t="s">
        <v>192</v>
      </c>
      <c r="D97" s="227" t="s">
        <v>971</v>
      </c>
      <c r="E97" s="226">
        <v>43101.580821759257</v>
      </c>
      <c r="F97" s="226">
        <v>43101.583657407406</v>
      </c>
      <c r="G97" s="225">
        <v>89</v>
      </c>
      <c r="H97" s="227" t="s">
        <v>554</v>
      </c>
      <c r="I97" s="226">
        <v>43101.608032407406</v>
      </c>
      <c r="J97" s="225">
        <v>0</v>
      </c>
      <c r="K97" s="237" t="str">
        <f>IF(ISEVEN(B97),(B97-1)&amp;"/"&amp;B97,B97&amp;"/"&amp;(B97+1))</f>
        <v>4021/4022</v>
      </c>
      <c r="L97" s="245" t="str">
        <f>VLOOKUP(A97,'Trips&amp;Operators'!$C$1:$G$99911,5,FALSE)</f>
        <v>SAFIEF AEIMEN</v>
      </c>
      <c r="M97" s="224">
        <f>I97-F97</f>
        <v>2.4375000000873115E-2</v>
      </c>
      <c r="N97" s="225">
        <f>24*60*SUM($M97:$M97)</f>
        <v>35.100000001257285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-01T12:56:23-0700',mode:absolute,to:'2018-01-01T15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4.9500000000000002E-2</v>
      </c>
      <c r="Z97" s="247">
        <f>RIGHT(H97,LEN(H97)-4)/10000</f>
        <v>23.330200000000001</v>
      </c>
      <c r="AA97" s="247">
        <f>ABS(Z97-Y97)</f>
        <v>23.280700000000003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/stypes="app*4022*20180101*"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183-01 --locoid 4022 --swversion DE.1.0.9.0 --startMP 204:495 --initTime 2018-01-01T13:56:23 --startdatetime 2018-01-01T14:00:28 --delay 89 --endMP 204:233302 --enddatetime 2018-01-01T14:35:34 --enforcementcount 0 &gt;&gt;%USERPROFILE%\Documents\GitHub\eaglep3-reporting\EC\2018-01-01-refined-times.txt</v>
      </c>
      <c r="AI97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{"issue":{"subject":"","project_id":79,"tracker_id":40,"status_id":1,"priority_id":2,"assigned_to_id":338,"start_date":"2018-01-01","description":"","custom_fields":[{"id":1,"name":"Subdivision","value":"EC"},{"id":4,"name":"Milepost","value":"23.3302"},{"id":17,"name":"Train ID","value":"183-01"},{"id":16,"name":"Locomotive ID","value":"4022"},{"id":130,"name":"Impact","value":""},{"id":150,"name":"Time of Event (Mountain Time)","value":"14:35:34"},{"id":151,"name":"Denver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4022 --day 2018-01-01</v>
      </c>
      <c r="AN97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2018-01-01T12:56:23-0700',mode:absolute,to:'2018-01-01T15:35:34-0700'))&amp;_a=(columns:!('Message%20ID',Summary),filters:!(),index:'emp_*',interval:auto,query:(query_string:(analyze_wildcard:!t,query:'%22rtdc.l.rtdc.4022%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804</v>
      </c>
      <c r="B98" s="225">
        <v>4021</v>
      </c>
      <c r="C98" s="227" t="s">
        <v>192</v>
      </c>
      <c r="D98" s="227" t="s">
        <v>620</v>
      </c>
      <c r="E98" s="226">
        <v>43101.613379629627</v>
      </c>
      <c r="F98" s="226">
        <v>43101.623101851852</v>
      </c>
      <c r="G98" s="225">
        <v>123</v>
      </c>
      <c r="H98" s="227" t="s">
        <v>514</v>
      </c>
      <c r="I98" s="226">
        <v>43101.650127314817</v>
      </c>
      <c r="J98" s="225">
        <v>0</v>
      </c>
      <c r="K98" s="237" t="str">
        <f>IF(ISEVEN(B98),(B98-1)&amp;"/"&amp;B98,B98&amp;"/"&amp;(B98+1))</f>
        <v>4021/4022</v>
      </c>
      <c r="L98" s="245" t="str">
        <f>VLOOKUP(A98,'Trips&amp;Operators'!$C$1:$G$99911,5,FALSE)</f>
        <v>SAFIEF AEIMEN</v>
      </c>
      <c r="M98" s="224">
        <f>I98-F98</f>
        <v>2.7025462964957114E-2</v>
      </c>
      <c r="N98" s="225">
        <f>24*60*SUM($M98:$M98)</f>
        <v>38.916666669538245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-01T13:43:16-0700',mode:absolute,to:'2018-01-01T16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23.2989</v>
      </c>
      <c r="Z98" s="247">
        <f>RIGHT(H98,LEN(H98)-4)/10000</f>
        <v>0.02</v>
      </c>
      <c r="AA98" s="247">
        <f>ABS(Z98-Y98)</f>
        <v>23.2789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/stypes="app*4021*20180101*"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184-01 --locoid 4021 --swversion DE.1.0.9.0 --startMP 204:232989 --initTime 2018-01-01T14:43:16 --startdatetime 2018-01-01T14:57:16 --delay 123 --endMP 204:200 --enddatetime 2018-01-01T15:36:11 --enforcementcount 0 &gt;&gt;%USERPROFILE%\Documents\GitHub\eaglep3-reporting\EC\2018-01-01-refined-times.txt</v>
      </c>
      <c r="AI98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{"issue":{"subject":"","project_id":79,"tracker_id":40,"status_id":1,"priority_id":2,"assigned_to_id":338,"start_date":"2018-01-01","description":"","custom_fields":[{"id":1,"name":"Subdivision","value":"EC"},{"id":4,"name":"Milepost","value":"0.02"},{"id":17,"name":"Train ID","value":"184-01"},{"id":16,"name":"Locomotive ID","value":"4021"},{"id":130,"name":"Impact","value":""},{"id":150,"name":"Time of Event (Mountain Time)","value":"15:36:11"},{"id":151,"name":"Denver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4021 --day 2018-01-01</v>
      </c>
      <c r="AN98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2018-01-01T13:43:16-0700',mode:absolute,to:'2018-01-01T16:36:11-0700'))&amp;_a=(columns:!('Message%20ID',Summary),filters:!(),index:'emp_*',interval:auto,query:(query_string:(analyze_wildcard:!t,query:'%22rtdc.l.rtdc.4021%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800</v>
      </c>
      <c r="B99" s="225">
        <v>4020</v>
      </c>
      <c r="C99" s="227" t="s">
        <v>192</v>
      </c>
      <c r="D99" s="227" t="s">
        <v>559</v>
      </c>
      <c r="E99" s="226">
        <v>43101.589571759258</v>
      </c>
      <c r="F99" s="226">
        <v>43101.594178240739</v>
      </c>
      <c r="G99" s="225">
        <v>71</v>
      </c>
      <c r="H99" s="227" t="s">
        <v>611</v>
      </c>
      <c r="I99" s="226">
        <v>43101.618530092594</v>
      </c>
      <c r="J99" s="225">
        <v>0</v>
      </c>
      <c r="K99" s="237" t="str">
        <f>IF(ISEVEN(B99),(B99-1)&amp;"/"&amp;B99,B99&amp;"/"&amp;(B99+1))</f>
        <v>4019/4020</v>
      </c>
      <c r="L99" s="245" t="str">
        <f>VLOOKUP(A99,'Trips&amp;Operators'!$C$1:$G$99911,5,FALSE)</f>
        <v>STRICKLAND EVAN</v>
      </c>
      <c r="M99" s="224">
        <f>I99-F99</f>
        <v>2.4351851854589768E-2</v>
      </c>
      <c r="N99" s="225">
        <f>24*60*SUM($M99:$M99)</f>
        <v>35.066666670609266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-01T13:08:59-0700',mode:absolute,to:'2018-01-01T15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0.05</v>
      </c>
      <c r="Z99" s="247">
        <f>RIGHT(H99,LEN(H99)-4)/10000</f>
        <v>23.329899999999999</v>
      </c>
      <c r="AA99" s="247">
        <f>ABS(Z99-Y99)</f>
        <v>23.279899999999998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/stypes="app*4020*20180101*"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185-01 --locoid 4020 --swversion DE.1.0.9.0 --startMP 204:500 --initTime 2018-01-01T14:08:59 --startdatetime 2018-01-01T14:15:37 --delay 71 --endMP 204:233299 --enddatetime 2018-01-01T14:50:41 --enforcementcount 0 &gt;&gt;%USERPROFILE%\Documents\GitHub\eaglep3-reporting\EC\2018-01-01-refined-times.txt</v>
      </c>
      <c r="AI9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{"issue":{"subject":"","project_id":79,"tracker_id":40,"status_id":1,"priority_id":2,"assigned_to_id":338,"start_date":"2018-01-01","description":"","custom_fields":[{"id":1,"name":"Subdivision","value":"EC"},{"id":4,"name":"Milepost","value":"23.3299"},{"id":17,"name":"Train ID","value":"185-01"},{"id":16,"name":"Locomotive ID","value":"4020"},{"id":130,"name":"Impact","value":""},{"id":150,"name":"Time of Event (Mountain Time)","value":"14:50:41"},{"id":151,"name":"Denver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4020 --day 2018-01-01</v>
      </c>
      <c r="AN99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2018-01-01T13:08:59-0700',mode:absolute,to:'2018-01-01T15:50:41-0700'))&amp;_a=(columns:!('Message%20ID',Summary),filters:!(),index:'emp_*',interval:auto,query:(query_string:(analyze_wildcard:!t,query:'%22rtdc.l.rtdc.4020%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666</v>
      </c>
      <c r="B100" s="225">
        <v>4019</v>
      </c>
      <c r="C100" s="227" t="s">
        <v>192</v>
      </c>
      <c r="D100" s="227" t="s">
        <v>536</v>
      </c>
      <c r="E100" s="226">
        <v>43101.619895833333</v>
      </c>
      <c r="F100" s="226">
        <v>43101.633518518516</v>
      </c>
      <c r="G100" s="225">
        <v>61</v>
      </c>
      <c r="H100" s="227" t="s">
        <v>463</v>
      </c>
      <c r="I100" s="226">
        <v>43101.662152777775</v>
      </c>
      <c r="J100" s="225">
        <v>0</v>
      </c>
      <c r="K100" s="237" t="str">
        <f>IF(ISEVEN(B100),(B100-1)&amp;"/"&amp;B100,B100&amp;"/"&amp;(B100+1))</f>
        <v>4019/4020</v>
      </c>
      <c r="L100" s="245" t="str">
        <f>VLOOKUP(A100,'Trips&amp;Operators'!$C$1:$G$99911,5,FALSE)</f>
        <v>STRICKLAND EVAN</v>
      </c>
      <c r="M100" s="224">
        <f>I100-F100</f>
        <v>2.8634259258979E-2</v>
      </c>
      <c r="N100" s="225">
        <f>24*60*SUM($M100:$M100)</f>
        <v>41.23333333292976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-01T13:52:39-0700',mode:absolute,to:'2018-01-01T16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23.297699999999999</v>
      </c>
      <c r="Z100" s="247">
        <f>RIGHT(H100,LEN(H100)-4)/10000</f>
        <v>1.9599999999999999E-2</v>
      </c>
      <c r="AA100" s="247">
        <f>ABS(Z100-Y100)</f>
        <v>23.278099999999998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/stypes="app*4019*20180101*"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186-01 --locoid 4019 --swversion DE.1.0.9.0 --startMP 204:232977 --initTime 2018-01-01T14:52:39 --startdatetime 2018-01-01T15:12:16 --delay 61 --endMP 204:196 --enddatetime 2018-01-01T15:53:30 --enforcementcount 0 &gt;&gt;%USERPROFILE%\Documents\GitHub\eaglep3-reporting\EC\2018-01-01-refined-times.txt</v>
      </c>
      <c r="AI100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{"issue":{"subject":"","project_id":79,"tracker_id":40,"status_id":1,"priority_id":2,"assigned_to_id":338,"start_date":"2018-01-01","description":"","custom_fields":[{"id":1,"name":"Subdivision","value":"EC"},{"id":4,"name":"Milepost","value":"0.0196"},{"id":17,"name":"Train ID","value":"186-01"},{"id":16,"name":"Locomotive ID","value":"4019"},{"id":130,"name":"Impact","value":""},{"id":150,"name":"Time of Event (Mountain Time)","value":"15:53:30"},{"id":151,"name":"Denver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4019 --day 2018-01-01</v>
      </c>
      <c r="AN100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2018-01-01T13:52:39-0700',mode:absolute,to:'2018-01-01T16:53:30-0700'))&amp;_a=(columns:!('Message%20ID',Summary),filters:!(),index:'emp_*',interval:auto,query:(query_string:(analyze_wildcard:!t,query:'%22rtdc.l.rtdc.4019%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802</v>
      </c>
      <c r="B101" s="225">
        <v>4010</v>
      </c>
      <c r="C101" s="227" t="s">
        <v>192</v>
      </c>
      <c r="D101" s="227" t="s">
        <v>512</v>
      </c>
      <c r="E101" s="226">
        <v>43101.599247685182</v>
      </c>
      <c r="F101" s="226">
        <v>43101.604386574072</v>
      </c>
      <c r="G101" s="225">
        <v>76</v>
      </c>
      <c r="H101" s="227" t="s">
        <v>978</v>
      </c>
      <c r="I101" s="226">
        <v>43101.629016203704</v>
      </c>
      <c r="J101" s="225">
        <v>0</v>
      </c>
      <c r="K101" s="237" t="str">
        <f>IF(ISEVEN(B101),(B101-1)&amp;"/"&amp;B101,B101&amp;"/"&amp;(B101+1))</f>
        <v>4009/4010</v>
      </c>
      <c r="L101" s="245" t="str">
        <f>VLOOKUP(A101,'Trips&amp;Operators'!$C$1:$G$99911,5,FALSE)</f>
        <v>SMITH MICHAEL</v>
      </c>
      <c r="M101" s="224">
        <f>I101-F101</f>
        <v>2.4629629631817807E-2</v>
      </c>
      <c r="N101" s="225">
        <f>24*60*SUM($M101:$M101)</f>
        <v>35.466666669817641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-01T13:22:55-0700',mode:absolute,to:'2018-01-01T16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5.2200000000000003E-2</v>
      </c>
      <c r="Z101" s="247">
        <f>RIGHT(H101,LEN(H101)-4)/10000</f>
        <v>23.322299999999998</v>
      </c>
      <c r="AA101" s="247">
        <f>ABS(Z101-Y101)</f>
        <v>23.270099999999999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/stypes="app*4010*20180101*"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187-01 --locoid 4010 --swversion DE.1.0.9.0 --startMP 204:522 --initTime 2018-01-01T14:22:55 --startdatetime 2018-01-01T14:30:19 --delay 76 --endMP 204:233223 --enddatetime 2018-01-01T15:05:47 --enforcementcount 0 &gt;&gt;%USERPROFILE%\Documents\GitHub\eaglep3-reporting\EC\2018-01-01-refined-times.txt</v>
      </c>
      <c r="AI10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{"issue":{"subject":"","project_id":79,"tracker_id":40,"status_id":1,"priority_id":2,"assigned_to_id":338,"start_date":"2018-01-01","description":"","custom_fields":[{"id":1,"name":"Subdivision","value":"EC"},{"id":4,"name":"Milepost","value":"23.3223"},{"id":17,"name":"Train ID","value":"187-01"},{"id":16,"name":"Locomotive ID","value":"4010"},{"id":130,"name":"Impact","value":""},{"id":150,"name":"Time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4010 --day 2018-01-01</v>
      </c>
      <c r="AN101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2018-01-01T13:22:55-0700',mode:absolute,to:'2018-01-01T16:05:47-0700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808</v>
      </c>
      <c r="B102" s="225">
        <v>4009</v>
      </c>
      <c r="C102" s="227" t="s">
        <v>192</v>
      </c>
      <c r="D102" s="227" t="s">
        <v>979</v>
      </c>
      <c r="E102" s="226">
        <v>43101.636678240742</v>
      </c>
      <c r="F102" s="226">
        <v>43101.643946759257</v>
      </c>
      <c r="G102" s="225">
        <v>73</v>
      </c>
      <c r="H102" s="227" t="s">
        <v>597</v>
      </c>
      <c r="I102" s="226">
        <v>43101.669537037036</v>
      </c>
      <c r="J102" s="225">
        <v>0</v>
      </c>
      <c r="K102" s="237" t="str">
        <f>IF(ISEVEN(B102),(B102-1)&amp;"/"&amp;B102,B102&amp;"/"&amp;(B102+1))</f>
        <v>4009/4010</v>
      </c>
      <c r="L102" s="245" t="str">
        <f>VLOOKUP(A102,'Trips&amp;Operators'!$C$1:$G$99911,5,FALSE)</f>
        <v>SMITH MICHAEL</v>
      </c>
      <c r="M102" s="224">
        <f>I102-F102</f>
        <v>2.5590277778974269E-2</v>
      </c>
      <c r="N102" s="225">
        <f>24*60*SUM($M102:$M102)</f>
        <v>36.850000001722947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-01T14:16:49-0700',mode:absolute,to:'2018-01-01T17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23.290600000000001</v>
      </c>
      <c r="Z102" s="247">
        <f>RIGHT(H102,LEN(H102)-4)/10000</f>
        <v>2.58E-2</v>
      </c>
      <c r="AA102" s="247">
        <f>ABS(Z102-Y102)</f>
        <v>23.264800000000001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/stypes="app*4009*20180101*"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188-01 --locoid 4009 --swversion DE.1.0.9.0 --startMP 204:232906 --initTime 2018-01-01T15:16:49 --startdatetime 2018-01-01T15:27:17 --delay 73 --endMP 204:258 --enddatetime 2018-01-01T16:04:08 --enforcementcount 0 &gt;&gt;%USERPROFILE%\Documents\GitHub\eaglep3-reporting\EC\2018-01-01-refined-times.txt</v>
      </c>
      <c r="AI102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{"issue":{"subject":"","project_id":79,"tracker_id":40,"status_id":1,"priority_id":2,"assigned_to_id":338,"start_date":"2018-01-01","description":"","custom_fields":[{"id":1,"name":"Subdivision","value":"EC"},{"id":4,"name":"Milepost","value":"0.0258"},{"id":17,"name":"Train ID","value":"188-01"},{"id":16,"name":"Locomotive ID","value":"4009"},{"id":130,"name":"Impact","value":""},{"id":150,"name":"Time of Event (Mountain Time)","value":"16:04:08"},{"id":151,"name":"Denver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4009 --day 2018-01-01</v>
      </c>
      <c r="AN102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2018-01-01T14:16:49-0700',mode:absolute,to:'2018-01-01T17:04:08-0700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665</v>
      </c>
      <c r="B103" s="225">
        <v>4042</v>
      </c>
      <c r="C103" s="227" t="s">
        <v>192</v>
      </c>
      <c r="D103" s="227" t="s">
        <v>980</v>
      </c>
      <c r="E103" s="226">
        <v>43101.61278935185</v>
      </c>
      <c r="F103" s="226">
        <v>43101.614988425928</v>
      </c>
      <c r="G103" s="225">
        <v>79</v>
      </c>
      <c r="H103" s="227" t="s">
        <v>515</v>
      </c>
      <c r="I103" s="226">
        <v>43101.64266203704</v>
      </c>
      <c r="J103" s="225">
        <v>0</v>
      </c>
      <c r="K103" s="237" t="str">
        <f>IF(ISEVEN(B103),(B103-1)&amp;"/"&amp;B103,B103&amp;"/"&amp;(B103+1))</f>
        <v>4041/4042</v>
      </c>
      <c r="L103" s="245" t="str">
        <f>VLOOKUP(A103,'Trips&amp;Operators'!$C$1:$G$99911,5,FALSE)</f>
        <v>DAVIS MICHAEL</v>
      </c>
      <c r="M103" s="224">
        <f>I103-F103</f>
        <v>2.7673611111822538E-2</v>
      </c>
      <c r="N103" s="225">
        <f>24*60*SUM($M103:$M103)</f>
        <v>39.850000001024455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-01T13:42:25-0700',mode:absolute,to:'2018-01-01T16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5.11E-2</v>
      </c>
      <c r="Z103" s="247">
        <f>RIGHT(H103,LEN(H103)-4)/10000</f>
        <v>23.3278</v>
      </c>
      <c r="AA103" s="247">
        <f>ABS(Z103-Y103)</f>
        <v>23.276699999999998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/stypes="app*4042*20180101*"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189-01 --locoid 4042 --swversion DE.1.0.9.0 --startMP 204:511 --initTime 2018-01-01T14:42:25 --startdatetime 2018-01-01T14:45:35 --delay 79 --endMP 204:233278 --enddatetime 2018-01-01T15:25:26 --enforcementcount 0 &gt;&gt;%USERPROFILE%\Documents\GitHub\eaglep3-reporting\EC\2018-01-01-refined-times.txt</v>
      </c>
      <c r="AI103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{"issue":{"subject":"","project_id":79,"tracker_id":40,"status_id":1,"priority_id":2,"assigned_to_id":338,"start_date":"2018-01-01","description":"","custom_fields":[{"id":1,"name":"Subdivision","value":"EC"},{"id":4,"name":"Milepost","value":"23.3278"},{"id":17,"name":"Train ID","value":"189-01"},{"id":16,"name":"Locomotive ID","value":"4042"},{"id":130,"name":"Impact","value":""},{"id":150,"name":"Time of Event (Mountain Time)","value":"15:25:26"},{"id":151,"name":"Denver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4042 --day 2018-01-01</v>
      </c>
      <c r="AN103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2018-01-01T13:42:25-0700',mode:absolute,to:'2018-01-01T16:25:26-0700'))&amp;_a=(columns:!('Message%20ID',Summary),filters:!(),index:'emp_*',interval:auto,query:(query_string:(analyze_wildcard:!t,query:'%22rtdc.l.rtdc.4042%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813</v>
      </c>
      <c r="B104" s="225">
        <v>4041</v>
      </c>
      <c r="C104" s="227" t="s">
        <v>192</v>
      </c>
      <c r="D104" s="227" t="s">
        <v>908</v>
      </c>
      <c r="E104" s="226">
        <v>43101.651817129627</v>
      </c>
      <c r="F104" s="226">
        <v>43101.654479166667</v>
      </c>
      <c r="G104" s="225">
        <v>64</v>
      </c>
      <c r="H104" s="227" t="s">
        <v>981</v>
      </c>
      <c r="I104" s="226">
        <v>43101.682719907411</v>
      </c>
      <c r="J104" s="225">
        <v>0</v>
      </c>
      <c r="K104" s="237" t="str">
        <f>IF(ISEVEN(B104),(B104-1)&amp;"/"&amp;B104,B104&amp;"/"&amp;(B104+1))</f>
        <v>4041/4042</v>
      </c>
      <c r="L104" s="245" t="str">
        <f>VLOOKUP(A104,'Trips&amp;Operators'!$C$1:$G$99911,5,FALSE)</f>
        <v>DAVIS MICHAEL</v>
      </c>
      <c r="M104" s="224">
        <f>I104-F104</f>
        <v>2.8240740743058268E-2</v>
      </c>
      <c r="N104" s="225">
        <f>24*60*SUM($M104:$M104)</f>
        <v>40.666666670003906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-01T14:38:37-0700',mode:absolute,to:'2018-01-01T17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23.2971</v>
      </c>
      <c r="Z104" s="247">
        <f>RIGHT(H104,LEN(H104)-4)/10000</f>
        <v>2.23E-2</v>
      </c>
      <c r="AA104" s="247">
        <f>ABS(Z104-Y104)</f>
        <v>23.274799999999999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/stypes="app*4041*20180101*"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190-01 --locoid 4041 --swversion DE.1.0.9.0 --startMP 204:232971 --initTime 2018-01-01T15:38:37 --startdatetime 2018-01-01T15:42:27 --delay 64 --endMP 204:223 --enddatetime 2018-01-01T16:23:07 --enforcementcount 0 &gt;&gt;%USERPROFILE%\Documents\GitHub\eaglep3-reporting\EC\2018-01-01-refined-times.txt</v>
      </c>
      <c r="AI10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{"issue":{"subject":"","project_id":79,"tracker_id":40,"status_id":1,"priority_id":2,"assigned_to_id":338,"start_date":"2018-01-01","description":"","custom_fields":[{"id":1,"name":"Subdivision","value":"EC"},{"id":4,"name":"Milepost","value":"0.0223"},{"id":17,"name":"Train ID","value":"190-01"},{"id":16,"name":"Locomotive ID","value":"4041"},{"id":130,"name":"Impact","value":""},{"id":150,"name":"Time of Event (Mountain Time)","value":"16:23:07"},{"id":151,"name":"Denver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4041 --day 2018-01-01</v>
      </c>
      <c r="AN104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2018-01-01T14:38:37-0700',mode:absolute,to:'2018-01-01T17:23:07-0700'))&amp;_a=(columns:!('Message%20ID',Summary),filters:!(),index:'emp_*',interval:auto,query:(query_string:(analyze_wildcard:!t,query:'%22rtdc.l.rtdc.4041%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805</v>
      </c>
      <c r="B105" s="225">
        <v>4058</v>
      </c>
      <c r="C105" s="227" t="s">
        <v>192</v>
      </c>
      <c r="D105" s="227" t="s">
        <v>513</v>
      </c>
      <c r="E105" s="226">
        <v>43101.621388888889</v>
      </c>
      <c r="F105" s="226">
        <v>43101.62537037037</v>
      </c>
      <c r="G105" s="225">
        <v>93</v>
      </c>
      <c r="H105" s="227" t="s">
        <v>538</v>
      </c>
      <c r="I105" s="226">
        <v>43101.650208333333</v>
      </c>
      <c r="J105" s="225">
        <v>0</v>
      </c>
      <c r="K105" s="237" t="str">
        <f>IF(ISEVEN(B105),(B105-1)&amp;"/"&amp;B105,B105&amp;"/"&amp;(B105+1))</f>
        <v>4057/4058</v>
      </c>
      <c r="L105" s="245" t="str">
        <f>VLOOKUP(A105,'Trips&amp;Operators'!$C$1:$G$99911,5,FALSE)</f>
        <v>STEWART MICHAEL</v>
      </c>
      <c r="M105" s="224">
        <f>I105-F105</f>
        <v>2.4837962962919846E-2</v>
      </c>
      <c r="N105" s="225">
        <f>24*60*SUM($M105:$M105)</f>
        <v>35.766666666604578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-01T13:54:48-0700',mode:absolute,to:'2018-01-01T16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4.9700000000000001E-2</v>
      </c>
      <c r="Z105" s="247">
        <f>RIGHT(H105,LEN(H105)-4)/10000</f>
        <v>23.331199999999999</v>
      </c>
      <c r="AA105" s="247">
        <f>ABS(Z105-Y105)</f>
        <v>23.281499999999998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/stypes="app*4058*20180101*"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191-01 --locoid 4058 --swversion DE.1.0.9.0 --startMP 204:497 --initTime 2018-01-01T14:54:48 --startdatetime 2018-01-01T15:00:32 --delay 93 --endMP 204:233312 --enddatetime 2018-01-01T15:36:18 --enforcementcount 0 &gt;&gt;%USERPROFILE%\Documents\GitHub\eaglep3-reporting\EC\2018-01-01-refined-times.txt</v>
      </c>
      <c r="AI105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{"issue":{"subject":"","project_id":79,"tracker_id":40,"status_id":1,"priority_id":2,"assigned_to_id":338,"start_date":"2018-01-01","description":"","custom_fields":[{"id":1,"name":"Subdivision","value":"EC"},{"id":4,"name":"Milepost","value":"23.3312"},{"id":17,"name":"Train ID","value":"191-01"},{"id":16,"name":"Locomotive ID","value":"4058"},{"id":130,"name":"Impact","value":""},{"id":150,"name":"Time of Event (Mountain Time)","value":"15:36:18"},{"id":151,"name":"Denver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4058 --day 2018-01-01</v>
      </c>
      <c r="AN105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2018-01-01T13:54:48-0700',mode:absolute,to:'2018-01-01T16:36:18-0700'))&amp;_a=(columns:!('Message%20ID',Summary),filters:!(),index:'emp_*',interval:auto,query:(query_string:(analyze_wildcard:!t,query:'%22rtdc.l.rtdc.4058%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667</v>
      </c>
      <c r="B106" s="225">
        <v>4057</v>
      </c>
      <c r="C106" s="227" t="s">
        <v>192</v>
      </c>
      <c r="D106" s="227" t="s">
        <v>984</v>
      </c>
      <c r="E106" s="226">
        <v>43101.661851851852</v>
      </c>
      <c r="F106" s="226">
        <v>43101.699004629627</v>
      </c>
      <c r="G106" s="225">
        <v>58</v>
      </c>
      <c r="H106" s="227" t="s">
        <v>985</v>
      </c>
      <c r="I106" s="226">
        <v>43101.723611111112</v>
      </c>
      <c r="J106" s="225">
        <v>0</v>
      </c>
      <c r="K106" s="237" t="str">
        <f>IF(ISEVEN(B106),(B106-1)&amp;"/"&amp;B106,B106&amp;"/"&amp;(B106+1))</f>
        <v>4057/4058</v>
      </c>
      <c r="L106" s="245" t="str">
        <f>VLOOKUP(A106,'Trips&amp;Operators'!$C$1:$G$99911,5,FALSE)</f>
        <v>STEWART MICHAEL</v>
      </c>
      <c r="M106" s="224">
        <f>I106-F106</f>
        <v>2.4606481485534459E-2</v>
      </c>
      <c r="N106" s="225"/>
      <c r="O106" s="225"/>
      <c r="P106" s="225">
        <f>24*60*SUM($M106:$M106)</f>
        <v>35.433333339169621</v>
      </c>
      <c r="Q106" s="228"/>
      <c r="R106" s="242" t="s">
        <v>1064</v>
      </c>
      <c r="S106" s="249">
        <f>1/IF(AG106="EC",12,1)*SUM(U106:U106)</f>
        <v>0.66666666666666663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8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-01T14:53:04-0700',mode:absolute,to:'2018-01-01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47" t="str">
        <f>IF(AA106&lt;VLOOKUP(AG106,Variables!$AC$3:$AD$8,2,FALSE),"Y","N")</f>
        <v>Y</v>
      </c>
      <c r="X106" s="247">
        <f>VALUE(LEFT(AD106,4))-VALUE(LEFT(AD105,4))</f>
        <v>1</v>
      </c>
      <c r="Y106" s="247">
        <f>RIGHT(D106,LEN(D106)-4)/10000</f>
        <v>23.298300000000001</v>
      </c>
      <c r="Z106" s="247">
        <f>RIGHT(H106,LEN(H106)-4)/10000</f>
        <v>4.5669000000000004</v>
      </c>
      <c r="AA106" s="247">
        <f>ABS(Z106-Y106)</f>
        <v>18.731400000000001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/stypes="app*4057*20180102*" /stext=" 00:.+((SYSTEM_STATE.+slice.+state.+changed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192-01 --locoid 4057 --swversion DE.1.0.9.0 --startMP 204:232983 --initTime 2018-01-01T15:53:04 --startdatetime 2018-01-01T16:46:34 --delay 58 --endMP 204:45669 --enddatetime 2018-01-01T17:22:00 --enforcementcount 0 &gt;&gt;%USERPROFILE%\Documents\GitHub\eaglep3-reporting\EC\2018-01-01-refined-times.txt</v>
      </c>
      <c r="AI106" s="238" t="str">
        <f t="shared" si="11"/>
        <v>echo {"issue":{"subject":"Minor onboard en route failure","project_id":79,"tracker_id":40,"status_id":1,"priority_id":2,"assigned_to_id":338,"start_date":"2018-01-01","description":"","custom_fields":[{"id":1,"name":"Subdivision","value":"EC"},{"id":4,"name":"Milepost","value":"4.5669"},{"id":17,"name":"Train ID","value":"192-01"},{"id":16,"name":"Locomotive ID","value":"4057"},{"id":130,"name":"Impact","value":""},{"id":150,"name":"Time of Event (Mountain Time)","value":"17:22:00"},{"id":151,"name":"Denver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2"/>
        <v>start /low /b %USERPROFILE%\Documents\GitHub\eaglep3\Utilities\DownloadLogsFromS3.py --loco 4057 --day 2018-01-01</v>
      </c>
      <c r="AN106" s="241" t="str">
        <f t="shared" si="13"/>
        <v>echo {"issue":{"subject":"Minor onboard en route failure","project_id":30,"tracker_id":4,"status_id":1,"priority_id":1,"assigned_to_id":10,"start_date":"2018-01-02","description":"","custom_fields":[{"id":30,"name":"Category","value":"Issue"},{"id":3,"name":"Functional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2018-01-01T14:53:04-0700',mode:absolute,to:'2018-01-01T18:22:00-0700'))&amp;_a=(columns:!('Message%20ID',Summary),filters:!(),index:'emp_*',interval:auto,query:(query_string:(analyze_wildcard:!t,query:'%22rtdc.l.rtdc.4057%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807</v>
      </c>
      <c r="B107" s="225">
        <v>4014</v>
      </c>
      <c r="C107" s="227" t="s">
        <v>192</v>
      </c>
      <c r="D107" s="227" t="s">
        <v>986</v>
      </c>
      <c r="E107" s="226">
        <v>43101.631469907406</v>
      </c>
      <c r="F107" s="226">
        <v>43101.635636574072</v>
      </c>
      <c r="G107" s="225">
        <v>58</v>
      </c>
      <c r="H107" s="227" t="s">
        <v>987</v>
      </c>
      <c r="I107" s="226">
        <v>43101.660833333335</v>
      </c>
      <c r="J107" s="225">
        <v>0</v>
      </c>
      <c r="K107" s="237" t="str">
        <f>IF(ISEVEN(B107),(B107-1)&amp;"/"&amp;B107,B107&amp;"/"&amp;(B107+1))</f>
        <v>4013/4014</v>
      </c>
      <c r="L107" s="245" t="str">
        <f>VLOOKUP(A107,'Trips&amp;Operators'!$C$1:$G$99911,5,FALSE)</f>
        <v>LEVERE CRAIG</v>
      </c>
      <c r="M107" s="224">
        <f>I107-F107</f>
        <v>2.5196759263053536E-2</v>
      </c>
      <c r="N107" s="225">
        <f>24*60*SUM($M107:$M107)</f>
        <v>36.283333338797092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-01T14:09:19-0700',mode:absolute,to:'2018-01-01T16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5.3999999999999999E-2</v>
      </c>
      <c r="Z107" s="247">
        <f>RIGHT(H107,LEN(H107)-4)/10000</f>
        <v>23.3264</v>
      </c>
      <c r="AA107" s="247">
        <f>ABS(Z107-Y107)</f>
        <v>23.272400000000001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/stypes="app*4014*20180101*"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193-01 --locoid 4014 --swversion DE.1.0.9.0 --startMP 204:540 --initTime 2018-01-01T15:09:19 --startdatetime 2018-01-01T15:15:19 --delay 58 --endMP 204:233264 --enddatetime 2018-01-01T15:51:36 --enforcementcount 0 &gt;&gt;%USERPROFILE%\Documents\GitHub\eaglep3-reporting\EC\2018-01-01-refined-times.txt</v>
      </c>
      <c r="AI107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{"issue":{"subject":"","project_id":79,"tracker_id":40,"status_id":1,"priority_id":2,"assigned_to_id":338,"start_date":"2018-01-01","description":"","custom_fields":[{"id":1,"name":"Subdivision","value":"EC"},{"id":4,"name":"Milepost","value":"23.3264"},{"id":17,"name":"Train ID","value":"193-01"},{"id":16,"name":"Locomotive ID","value":"4014"},{"id":130,"name":"Impact","value":""},{"id":150,"name":"Time of Event (Mountain Time)","value":"15:51:36"},{"id":151,"name":"Denver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4014 --day 2018-01-01</v>
      </c>
      <c r="AN107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2018-01-01T14:09:19-0700',mode:absolute,to:'2018-01-01T16:51:36-0700'))&amp;_a=(columns:!('Message%20ID',Summary),filters:!(),index:'emp_*',interval:auto,query:(query_string:(analyze_wildcard:!t,query:'%22rtdc.l.rtdc.4014%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816</v>
      </c>
      <c r="B108" s="225">
        <v>4013</v>
      </c>
      <c r="C108" s="227" t="s">
        <v>192</v>
      </c>
      <c r="D108" s="227" t="s">
        <v>988</v>
      </c>
      <c r="E108" s="226">
        <v>43101.66746527778</v>
      </c>
      <c r="F108" s="226">
        <v>43101.675208333334</v>
      </c>
      <c r="G108" s="225">
        <v>81</v>
      </c>
      <c r="H108" s="227" t="s">
        <v>989</v>
      </c>
      <c r="I108" s="226">
        <v>43101.702094907407</v>
      </c>
      <c r="J108" s="225">
        <v>0</v>
      </c>
      <c r="K108" s="237" t="str">
        <f>IF(ISEVEN(B108),(B108-1)&amp;"/"&amp;B108,B108&amp;"/"&amp;(B108+1))</f>
        <v>4013/4014</v>
      </c>
      <c r="L108" s="245" t="str">
        <f>VLOOKUP(A108,'Trips&amp;Operators'!$C$1:$G$99911,5,FALSE)</f>
        <v>LEVERE CRAIG</v>
      </c>
      <c r="M108" s="224">
        <f>I108-F108</f>
        <v>2.6886574072705116E-2</v>
      </c>
      <c r="N108" s="225">
        <f>24*60*SUM($M108:$M108)</f>
        <v>38.716666664695367</v>
      </c>
      <c r="O108" s="225"/>
      <c r="P108" s="225"/>
      <c r="Q108" s="228"/>
      <c r="R108" s="242" t="s">
        <v>600</v>
      </c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-01T15:01:09-0700',mode:absolute,to:'2018-01-01T17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23.2944</v>
      </c>
      <c r="Z108" s="247">
        <f>RIGHT(H108,LEN(H108)-4)/10000</f>
        <v>2.4500000000000001E-2</v>
      </c>
      <c r="AA108" s="247">
        <f>ABS(Z108-Y108)</f>
        <v>23.2699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/stypes="app*4013*20180101*"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194-01 --locoid 4013 --swversion DE.1.0.9.0 --startMP 204:232944 --initTime 2018-01-01T16:01:09 --startdatetime 2018-01-01T16:12:18 --delay 81 --endMP 204:245 --enddatetime 2018-01-01T16:51:01 --enforcementcount 0 &gt;&gt;%USERPROFILE%\Documents\GitHub\eaglep3-reporting\EC\2018-01-01-refined-times.txt</v>
      </c>
      <c r="AI108" s="238" t="str">
        <f t="shared" si="11"/>
        <v>echo {"issue":{"subject":"Observed unhealthy xing banner at Chambers due to station stop","project_id":79,"tracker_id":40,"status_id":1,"priority_id":2,"assigned_to_id":338,"start_date":"2018-01-01","description":"","custom_fields":[{"id":1,"name":"Subdivision","value":"EC"},{"id":4,"name":"Milepost","value":"0.0245"},{"id":17,"name":"Train ID","value":"194-01"},{"id":16,"name":"Locomotive ID","value":"4013"},{"id":130,"name":"Impact","value":""},{"id":150,"name":"Time of Event (Mountain Time)","value":"16:51:01"},{"id":151,"name":"Denver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4013 --day 2018-01-01</v>
      </c>
      <c r="AN108" s="241" t="str">
        <f t="shared" si="13"/>
        <v>echo {"issue":{"subject":"Observed unhealthy xing banner at Chambers due to station stop","project_id":30,"tracker_id":4,"status_id":1,"priority_id":1,"assigned_to_id":10,"start_date":"2018-01-01","description":"","custom_fields":[{"id":30,"name":"Category","value":"Issue"},{"id":3,"name":"Functional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2018-01-01T15:01:09-0700',mode:absolute,to:'2018-01-01T17:51:01-0700'))&amp;_a=(columns:!('Message%20ID',Summary),filters:!(),index:'emp_*',interval:auto,query:(query_string:(analyze_wildcard:!t,query:'%22rtdc.l.rtdc.4013%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809</v>
      </c>
      <c r="B109" s="225">
        <v>4064</v>
      </c>
      <c r="C109" s="227" t="s">
        <v>192</v>
      </c>
      <c r="D109" s="227" t="s">
        <v>557</v>
      </c>
      <c r="E109" s="226">
        <v>43101.641469907408</v>
      </c>
      <c r="F109" s="226">
        <v>43101.646018518521</v>
      </c>
      <c r="G109" s="225">
        <v>83</v>
      </c>
      <c r="H109" s="227" t="s">
        <v>990</v>
      </c>
      <c r="I109" s="226">
        <v>43101.671261574076</v>
      </c>
      <c r="J109" s="225">
        <v>0</v>
      </c>
      <c r="K109" s="237" t="str">
        <f>IF(ISEVEN(B109),(B109-1)&amp;"/"&amp;B109,B109&amp;"/"&amp;(B109+1))</f>
        <v>4063/4064</v>
      </c>
      <c r="L109" s="245" t="str">
        <f>VLOOKUP(A109,'Trips&amp;Operators'!$C$1:$G$99911,5,FALSE)</f>
        <v>BARTLETT KIANDRA</v>
      </c>
      <c r="M109" s="224">
        <f>I109-F109</f>
        <v>2.5243055555620231E-2</v>
      </c>
      <c r="N109" s="225">
        <f>24*60*SUM($M109:$M109)</f>
        <v>36.350000000093132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-01T14:23:43-0700',mode:absolute,to:'2018-01-01T17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5.0799999999999998E-2</v>
      </c>
      <c r="Z109" s="247">
        <f>RIGHT(H109,LEN(H109)-4)/10000</f>
        <v>23.3308</v>
      </c>
      <c r="AA109" s="247">
        <f>ABS(Z109-Y109)</f>
        <v>23.28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/stypes="app*4064*20180101*"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195-01 --locoid 4064 --swversion DE.1.0.9.0 --startMP 204:508 --initTime 2018-01-01T15:23:43 --startdatetime 2018-01-01T15:30:16 --delay 83 --endMP 204:233308 --enddatetime 2018-01-01T16:06:37 --enforcementcount 0 &gt;&gt;%USERPROFILE%\Documents\GitHub\eaglep3-reporting\EC\2018-01-01-refined-times.txt</v>
      </c>
      <c r="AI10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{"issue":{"subject":"","project_id":79,"tracker_id":40,"status_id":1,"priority_id":2,"assigned_to_id":338,"start_date":"2018-01-01","description":"","custom_fields":[{"id":1,"name":"Subdivision","value":"EC"},{"id":4,"name":"Milepost","value":"23.3308"},{"id":17,"name":"Train ID","value":"195-01"},{"id":16,"name":"Locomotive ID","value":"4064"},{"id":130,"name":"Impact","value":""},{"id":150,"name":"Time of Event (Mountain Time)","value":"16:06:37"},{"id":151,"name":"Denver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2"/>
        <v>start /low /b %USERPROFILE%\Documents\GitHub\eaglep3\Utilities\DownloadLogsFromS3.py --loco 4064 --day 2018-01-01</v>
      </c>
      <c r="AN109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2018-01-01T14:23:43-0700',mode:absolute,to:'2018-01-01T17:06:37-0700'))&amp;_a=(columns:!('Message%20ID',Summary),filters:!(),index:'emp_*',interval:auto,query:(query_string:(analyze_wildcard:!t,query:'%22rtdc.l.rtdc.4064%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668</v>
      </c>
      <c r="B110" s="225">
        <v>4063</v>
      </c>
      <c r="C110" s="227" t="s">
        <v>192</v>
      </c>
      <c r="D110" s="227" t="s">
        <v>620</v>
      </c>
      <c r="E110" s="226">
        <v>43101.679768518516</v>
      </c>
      <c r="F110" s="226">
        <v>43101.685590277775</v>
      </c>
      <c r="G110" s="225">
        <v>79</v>
      </c>
      <c r="H110" s="227" t="s">
        <v>617</v>
      </c>
      <c r="I110" s="226">
        <v>43101.712824074071</v>
      </c>
      <c r="J110" s="225">
        <v>0</v>
      </c>
      <c r="K110" s="237" t="str">
        <f>IF(ISEVEN(B110),(B110-1)&amp;"/"&amp;B110,B110&amp;"/"&amp;(B110+1))</f>
        <v>4063/4064</v>
      </c>
      <c r="L110" s="245" t="str">
        <f>VLOOKUP(A110,'Trips&amp;Operators'!$C$1:$G$99911,5,FALSE)</f>
        <v>BARTLETT KIANDRA</v>
      </c>
      <c r="M110" s="224">
        <f>I110-F110</f>
        <v>2.7233796296059154E-2</v>
      </c>
      <c r="N110" s="225">
        <f>24*60*SUM($M110:$M110)</f>
        <v>39.216666666325182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-01T15:18:52-0700',mode:absolute,to:'2018-01-01T18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23.2989</v>
      </c>
      <c r="Z110" s="247">
        <f>RIGHT(H110,LEN(H110)-4)/10000</f>
        <v>1.72E-2</v>
      </c>
      <c r="AA110" s="247">
        <f>ABS(Z110-Y110)</f>
        <v>23.281700000000001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/stypes="app*4063*20180102*"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196-01 --locoid 4063 --swversion DE.1.0.9.0 --startMP 204:232989 --initTime 2018-01-01T16:18:52 --startdatetime 2018-01-01T16:27:15 --delay 79 --endMP 204:172 --enddatetime 2018-01-01T17:06:28 --enforcementcount 0 &gt;&gt;%USERPROFILE%\Documents\GitHub\eaglep3-reporting\EC\2018-01-01-refined-times.txt</v>
      </c>
      <c r="AI110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{"issue":{"subject":"","project_id":79,"tracker_id":40,"status_id":1,"priority_id":2,"assigned_to_id":338,"start_date":"2018-01-01","description":"","custom_fields":[{"id":1,"name":"Subdivision","value":"EC"},{"id":4,"name":"Milepost","value":"0.0172"},{"id":17,"name":"Train ID","value":"196-01"},{"id":16,"name":"Locomotive ID","value":"4063"},{"id":130,"name":"Impact","value":""},{"id":150,"name":"Time of Event (Mountain Time)","value":"17:06:28"},{"id":151,"name":"Denver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4063 --day 2018-01-01</v>
      </c>
      <c r="AN110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2018-01-01T15:18:52-0700',mode:absolute,to:'2018-01-01T18:06:28-0700'))&amp;_a=(columns:!('Message%20ID',Summary),filters:!(),index:'emp_*',interval:auto,query:(query_string:(analyze_wildcard:!t,query:'%22rtdc.l.rtdc.4063%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814</v>
      </c>
      <c r="B111" s="225">
        <v>4022</v>
      </c>
      <c r="C111" s="227" t="s">
        <v>192</v>
      </c>
      <c r="D111" s="227" t="s">
        <v>513</v>
      </c>
      <c r="E111" s="226">
        <v>43101.65253472222</v>
      </c>
      <c r="F111" s="226">
        <v>43101.656886574077</v>
      </c>
      <c r="G111" s="225">
        <v>75</v>
      </c>
      <c r="H111" s="227" t="s">
        <v>592</v>
      </c>
      <c r="I111" s="226">
        <v>43101.681134259263</v>
      </c>
      <c r="J111" s="225">
        <v>0</v>
      </c>
      <c r="K111" s="237" t="str">
        <f>IF(ISEVEN(B111),(B111-1)&amp;"/"&amp;B111,B111&amp;"/"&amp;(B111+1))</f>
        <v>4021/4022</v>
      </c>
      <c r="L111" s="245" t="str">
        <f>VLOOKUP(A111,'Trips&amp;Operators'!$C$1:$G$99911,5,FALSE)</f>
        <v>SAFIEF AEIMEN</v>
      </c>
      <c r="M111" s="224">
        <f>I111-F111</f>
        <v>2.4247685185400769E-2</v>
      </c>
      <c r="N111" s="225">
        <f>24*60*SUM($M111:$M111)</f>
        <v>34.916666666977108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-01T14:39:39-0700',mode:absolute,to:'2018-01-01T17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4.9700000000000001E-2</v>
      </c>
      <c r="Z111" s="247">
        <f>RIGHT(H111,LEN(H111)-4)/10000</f>
        <v>23.331600000000002</v>
      </c>
      <c r="AA111" s="247">
        <f>ABS(Z111-Y111)</f>
        <v>23.2819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/stypes="app*4022*20180101*"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197-01 --locoid 4022 --swversion DE.1.0.9.0 --startMP 204:497 --initTime 2018-01-01T15:39:39 --startdatetime 2018-01-01T15:45:55 --delay 75 --endMP 204:233316 --enddatetime 2018-01-01T16:20:50 --enforcementcount 0 &gt;&gt;%USERPROFILE%\Documents\GitHub\eaglep3-reporting\EC\2018-01-01-refined-times.txt</v>
      </c>
      <c r="AI11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{"issue":{"subject":"","project_id":79,"tracker_id":40,"status_id":1,"priority_id":2,"assigned_to_id":338,"start_date":"2018-01-01","description":"","custom_fields":[{"id":1,"name":"Subdivision","value":"EC"},{"id":4,"name":"Milepost","value":"23.3316"},{"id":17,"name":"Train ID","value":"197-01"},{"id":16,"name":"Locomotive ID","value":"4022"},{"id":130,"name":"Impact","value":""},{"id":150,"name":"Time of Event (Mountain Time)","value":"16:20:50"},{"id":151,"name":"Denver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4022 --day 2018-01-01</v>
      </c>
      <c r="AN111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2018-01-01T14:39:39-0700',mode:absolute,to:'2018-01-01T17:20:50-0700'))&amp;_a=(columns:!('Message%20ID',Summary),filters:!(),index:'emp_*',interval:auto,query:(query_string:(analyze_wildcard:!t,query:'%22rtdc.l.rtdc.4022%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823</v>
      </c>
      <c r="B112" s="225">
        <v>4021</v>
      </c>
      <c r="C112" s="227" t="s">
        <v>192</v>
      </c>
      <c r="D112" s="227" t="s">
        <v>535</v>
      </c>
      <c r="E112" s="226">
        <v>43101.682916666665</v>
      </c>
      <c r="F112" s="226">
        <v>43101.696180555555</v>
      </c>
      <c r="G112" s="225">
        <v>69</v>
      </c>
      <c r="H112" s="227" t="s">
        <v>991</v>
      </c>
      <c r="I112" s="226">
        <v>43101.722708333335</v>
      </c>
      <c r="J112" s="225">
        <v>0</v>
      </c>
      <c r="K112" s="237" t="str">
        <f>IF(ISEVEN(B112),(B112-1)&amp;"/"&amp;B112,B112&amp;"/"&amp;(B112+1))</f>
        <v>4021/4022</v>
      </c>
      <c r="L112" s="245" t="str">
        <f>VLOOKUP(A112,'Trips&amp;Operators'!$C$1:$G$99911,5,FALSE)</f>
        <v>SAFIEF AEIMEN</v>
      </c>
      <c r="M112" s="224">
        <f>I112-F112</f>
        <v>2.6527777779847383E-2</v>
      </c>
      <c r="N112" s="225">
        <f>24*60*SUM($M112:$M112)</f>
        <v>38.200000002980232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-01T15:23:24-0700',mode:absolute,to:'2018-01-01T18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23.299800000000001</v>
      </c>
      <c r="Z112" s="247">
        <f>RIGHT(H112,LEN(H112)-4)/10000</f>
        <v>2.2100000000000002E-2</v>
      </c>
      <c r="AA112" s="247">
        <f>ABS(Z112-Y112)</f>
        <v>23.277700000000003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/stypes="app*4021*20180102*"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198-01 --locoid 4021 --swversion DE.1.0.9.0 --startMP 204:232998 --initTime 2018-01-01T16:23:24 --startdatetime 2018-01-01T16:42:30 --delay 69 --endMP 204:221 --enddatetime 2018-01-01T17:20:42 --enforcementcount 0 &gt;&gt;%USERPROFILE%\Documents\GitHub\eaglep3-reporting\EC\2018-01-01-refined-times.txt</v>
      </c>
      <c r="AI112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{"issue":{"subject":"","project_id":79,"tracker_id":40,"status_id":1,"priority_id":2,"assigned_to_id":338,"start_date":"2018-01-01","description":"","custom_fields":[{"id":1,"name":"Subdivision","value":"EC"},{"id":4,"name":"Milepost","value":"0.0221"},{"id":17,"name":"Train ID","value":"198-01"},{"id":16,"name":"Locomotive ID","value":"4021"},{"id":130,"name":"Impact","value":""},{"id":150,"name":"Time of Event (Mountain Time)","value":"17:20:42"},{"id":151,"name":"Denver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2"/>
        <v>start /low /b %USERPROFILE%\Documents\GitHub\eaglep3\Utilities\DownloadLogsFromS3.py --loco 4021 --day 2018-01-01</v>
      </c>
      <c r="AN112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2018-01-01T15:23:24-0700',mode:absolute,to:'2018-01-01T18:20:42-0700'))&amp;_a=(columns:!('Message%20ID',Summary),filters:!(),index:'emp_*',interval:auto,query:(query_string:(analyze_wildcard:!t,query:'%22rtdc.l.rtdc.4021%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815</v>
      </c>
      <c r="B113" s="225">
        <v>4020</v>
      </c>
      <c r="C113" s="227" t="s">
        <v>192</v>
      </c>
      <c r="D113" s="227" t="s">
        <v>581</v>
      </c>
      <c r="E113" s="226">
        <v>43101.663402777776</v>
      </c>
      <c r="F113" s="226">
        <v>43101.66715277778</v>
      </c>
      <c r="G113" s="225">
        <v>61</v>
      </c>
      <c r="H113" s="227" t="s">
        <v>920</v>
      </c>
      <c r="I113" s="226">
        <v>43101.69253472222</v>
      </c>
      <c r="J113" s="225">
        <v>0</v>
      </c>
      <c r="K113" s="237" t="str">
        <f>IF(ISEVEN(B113),(B113-1)&amp;"/"&amp;B113,B113&amp;"/"&amp;(B113+1))</f>
        <v>4019/4020</v>
      </c>
      <c r="L113" s="245" t="str">
        <f>VLOOKUP(A113,'Trips&amp;Operators'!$C$1:$G$99911,5,FALSE)</f>
        <v>STRICKLAND EVAN</v>
      </c>
      <c r="M113" s="224">
        <f>I113-F113</f>
        <v>2.5381944440596271E-2</v>
      </c>
      <c r="N113" s="225">
        <f>24*60*SUM($M113:$M113)</f>
        <v>36.549999994458631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-01T14:55:18-0700',mode:absolute,to:'2018-01-01T17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5.0200000000000002E-2</v>
      </c>
      <c r="Z113" s="247">
        <f>RIGHT(H113,LEN(H113)-4)/10000</f>
        <v>23.329799999999999</v>
      </c>
      <c r="AA113" s="247">
        <f>ABS(Z113-Y113)</f>
        <v>23.279599999999999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/stypes="app*4020*20180101*"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199-01 --locoid 4020 --swversion DE.1.0.9.0 --startMP 204:502 --initTime 2018-01-01T15:55:18 --startdatetime 2018-01-01T16:00:42 --delay 61 --endMP 204:233298 --enddatetime 2018-01-01T16:37:15 --enforcementcount 0 &gt;&gt;%USERPROFILE%\Documents\GitHub\eaglep3-reporting\EC\2018-01-01-refined-times.txt</v>
      </c>
      <c r="AI113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ID","value":"199-01"},{"id":16,"name":"Locomotive ID","value":"4020"},{"id":130,"name":"Impact","value":""},{"id":150,"name":"Time of Event (Mountain Time)","value":"16:37:15"},{"id":151,"name":"Denver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2"/>
        <v>start /low /b %USERPROFILE%\Documents\GitHub\eaglep3\Utilities\DownloadLogsFromS3.py --loco 4020 --day 2018-01-01</v>
      </c>
      <c r="AN113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2018-01-01T14:55:18-0700',mode:absolute,to:'2018-01-01T17:37:15-0700'))&amp;_a=(columns:!('Message%20ID',Summary),filters:!(),index:'emp_*',interval:auto,query:(query_string:(analyze_wildcard:!t,query:'%22rtdc.l.rtdc.4020%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827</v>
      </c>
      <c r="B114" s="225">
        <v>4019</v>
      </c>
      <c r="C114" s="227" t="s">
        <v>192</v>
      </c>
      <c r="D114" s="227" t="s">
        <v>620</v>
      </c>
      <c r="E114" s="226">
        <v>43101.694756944446</v>
      </c>
      <c r="F114" s="226">
        <v>43101.706469907411</v>
      </c>
      <c r="G114" s="225">
        <v>76</v>
      </c>
      <c r="H114" s="227" t="s">
        <v>494</v>
      </c>
      <c r="I114" s="226">
        <v>43101.733668981484</v>
      </c>
      <c r="J114" s="225">
        <v>0</v>
      </c>
      <c r="K114" s="237" t="str">
        <f>IF(ISEVEN(B114),(B114-1)&amp;"/"&amp;B114,B114&amp;"/"&amp;(B114+1))</f>
        <v>4019/4020</v>
      </c>
      <c r="L114" s="245" t="str">
        <f>VLOOKUP(A114,'Trips&amp;Operators'!$C$1:$G$99911,5,FALSE)</f>
        <v>STRICKLAND EVAN</v>
      </c>
      <c r="M114" s="224">
        <f>I114-F114</f>
        <v>2.7199074072996154E-2</v>
      </c>
      <c r="N114" s="225">
        <f>24*60*SUM($M114:$M114)</f>
        <v>39.166666665114462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-01T15:40:27-0700',mode:absolute,to:'2018-01-01T18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23.2989</v>
      </c>
      <c r="Z114" s="247">
        <f>RIGHT(H114,LEN(H114)-4)/10000</f>
        <v>2.0500000000000001E-2</v>
      </c>
      <c r="AA114" s="247">
        <f>ABS(Z114-Y114)</f>
        <v>23.278400000000001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/stypes="app*4019*20180102*"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200-01 --locoid 4019 --swversion DE.1.0.9.0 --startMP 204:232989 --initTime 2018-01-01T16:40:27 --startdatetime 2018-01-01T16:57:19 --delay 76 --endMP 204:205 --enddatetime 2018-01-01T17:36:29 --enforcementcount 0 &gt;&gt;%USERPROFILE%\Documents\GitHub\eaglep3-reporting\EC\2018-01-01-refined-times.txt</v>
      </c>
      <c r="AI11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ID","value":"200-01"},{"id":16,"name":"Locomotive ID","value":"4019"},{"id":130,"name":"Impact","value":""},{"id":150,"name":"Time of Event (Mountain Time)","value":"17:36:29"},{"id":151,"name":"Denver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4019 --day 2018-01-01</v>
      </c>
      <c r="AN114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2018-01-01T15:40:27-0700',mode:absolute,to:'2018-01-01T18:36:29-0700'))&amp;_a=(columns:!('Message%20ID',Summary),filters:!(),index:'emp_*',interval:auto,query:(query_string:(analyze_wildcard:!t,query:'%22rtdc.l.rtdc.4019%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819</v>
      </c>
      <c r="B115" s="225">
        <v>4010</v>
      </c>
      <c r="C115" s="227" t="s">
        <v>192</v>
      </c>
      <c r="D115" s="227" t="s">
        <v>992</v>
      </c>
      <c r="E115" s="226">
        <v>43101.672442129631</v>
      </c>
      <c r="F115" s="226">
        <v>43101.677291666667</v>
      </c>
      <c r="G115" s="225">
        <v>56</v>
      </c>
      <c r="H115" s="227" t="s">
        <v>993</v>
      </c>
      <c r="I115" s="226">
        <v>43101.701458333337</v>
      </c>
      <c r="J115" s="225">
        <v>0</v>
      </c>
      <c r="K115" s="237" t="str">
        <f>IF(ISEVEN(B115),(B115-1)&amp;"/"&amp;B115,B115&amp;"/"&amp;(B115+1))</f>
        <v>4009/4010</v>
      </c>
      <c r="L115" s="245" t="str">
        <f>VLOOKUP(A115,'Trips&amp;Operators'!$C$1:$G$99911,5,FALSE)</f>
        <v>SMITH MICHAEL</v>
      </c>
      <c r="M115" s="224">
        <f>I115-F115</f>
        <v>2.4166666669771075E-2</v>
      </c>
      <c r="N115" s="225">
        <f>24*60*SUM($M115:$M115)</f>
        <v>34.800000004470348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-01T15:08:19-0700',mode:absolute,to:'2018-01-01T17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5.8200000000000002E-2</v>
      </c>
      <c r="Z115" s="247">
        <f>RIGHT(H115,LEN(H115)-4)/10000</f>
        <v>23.320499999999999</v>
      </c>
      <c r="AA115" s="247">
        <f>ABS(Z115-Y115)</f>
        <v>23.2623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/stypes="app*4010*20180101*"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201-01 --locoid 4010 --swversion DE.1.0.9.0 --startMP 204:582 --initTime 2018-01-01T16:08:19 --startdatetime 2018-01-01T16:15:18 --delay 56 --endMP 204:233205 --enddatetime 2018-01-01T16:50:06 --enforcementcount 0 &gt;&gt;%USERPROFILE%\Documents\GitHub\eaglep3-reporting\EC\2018-01-01-refined-times.txt</v>
      </c>
      <c r="AI115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{"issue":{"subject":"","project_id":79,"tracker_id":40,"status_id":1,"priority_id":2,"assigned_to_id":338,"start_date":"2018-01-01","description":"","custom_fields":[{"id":1,"name":"Subdivision","value":"EC"},{"id":4,"name":"Milepost","value":"23.3205"},{"id":17,"name":"Train ID","value":"201-01"},{"id":16,"name":"Locomotive ID","value":"4010"},{"id":130,"name":"Impact","value":""},{"id":150,"name":"Time of Event (Mountain Time)","value":"16:50:06"},{"id":151,"name":"Denver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4010 --day 2018-01-01</v>
      </c>
      <c r="AN115" s="241" t="str">
        <f t="shared" si="1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2018-01-01T15:08:19-0700',mode:absolute,to:'2018-01-01T17:50:06-0700'))&amp;_a=(columns:!('Message%20ID',Summary),filters:!(),index:'emp_*',interval:auto,query:(query_string:(analyze_wildcard:!t,query:'%22rtdc.l.rtdc.4010%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829</v>
      </c>
      <c r="B116" s="225">
        <v>4009</v>
      </c>
      <c r="C116" s="227" t="s">
        <v>192</v>
      </c>
      <c r="D116" s="227" t="s">
        <v>994</v>
      </c>
      <c r="E116" s="226">
        <v>43101.706250000003</v>
      </c>
      <c r="F116" s="226">
        <v>43101.717037037037</v>
      </c>
      <c r="G116" s="225">
        <v>58</v>
      </c>
      <c r="H116" s="227" t="s">
        <v>597</v>
      </c>
      <c r="I116" s="226">
        <v>43101.744131944448</v>
      </c>
      <c r="J116" s="225">
        <v>0</v>
      </c>
      <c r="K116" s="237" t="str">
        <f>IF(ISEVEN(B116),(B116-1)&amp;"/"&amp;B116,B116&amp;"/"&amp;(B116+1))</f>
        <v>4009/4010</v>
      </c>
      <c r="L116" s="245" t="str">
        <f>VLOOKUP(A116,'Trips&amp;Operators'!$C$1:$G$99911,5,FALSE)</f>
        <v>SMITH MICHAEL</v>
      </c>
      <c r="M116" s="224">
        <f>I116-F116</f>
        <v>2.7094907411083113E-2</v>
      </c>
      <c r="N116" s="225">
        <f>24*60*SUM($M116:$M116)</f>
        <v>39.016666671959683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-01T15:57:00-0700',mode:absolute,to:'2018-01-01T18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23.2879</v>
      </c>
      <c r="Z116" s="247">
        <f>RIGHT(H116,LEN(H116)-4)/10000</f>
        <v>2.58E-2</v>
      </c>
      <c r="AA116" s="247">
        <f>ABS(Z116-Y116)</f>
        <v>23.2621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/stypes="app*4009*20180102*"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202-01 --locoid 4009 --swversion DE.1.0.9.0 --startMP 204:232879 --initTime 2018-01-01T16:57:00 --startdatetime 2018-01-01T17:12:32 --delay 58 --endMP 204:258 --enddatetime 2018-01-01T17:51:33 --enforcementcount 0 &gt;&gt;%USERPROFILE%\Documents\GitHub\eaglep3-reporting\EC\2018-01-01-refined-times.txt</v>
      </c>
      <c r="AI116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{"issue":{"subject":"","project_id":79,"tracker_id":40,"status_id":1,"priority_id":2,"assigned_to_id":338,"start_date":"2018-01-01","description":"","custom_fields":[{"id":1,"name":"Subdivision","value":"EC"},{"id":4,"name":"Milepost","value":"0.0258"},{"id":17,"name":"Train ID","value":"202-01"},{"id":16,"name":"Locomotive ID","value":"4009"},{"id":130,"name":"Impact","value":""},{"id":150,"name":"Time of Event (Mountain Time)","value":"17:51:33"},{"id":151,"name":"Denver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2"/>
        <v>start /low /b %USERPROFILE%\Documents\GitHub\eaglep3\Utilities\DownloadLogsFromS3.py --loco 4009 --day 2018-01-01</v>
      </c>
      <c r="AN116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2018-01-01T15:57:00-0700',mode:absolute,to:'2018-01-01T18:51:33-0700'))&amp;_a=(columns:!('Message%20ID',Summary),filters:!(),index:'emp_*',interval:auto,query:(query_string:(analyze_wildcard:!t,query:'%22rtdc.l.rtdc.4009%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825</v>
      </c>
      <c r="B117" s="225">
        <v>4042</v>
      </c>
      <c r="C117" s="227" t="s">
        <v>192</v>
      </c>
      <c r="D117" s="227" t="s">
        <v>995</v>
      </c>
      <c r="E117" s="226">
        <v>43101.685196759259</v>
      </c>
      <c r="F117" s="226">
        <v>43101.687858796293</v>
      </c>
      <c r="G117" s="225">
        <v>60</v>
      </c>
      <c r="H117" s="227" t="s">
        <v>505</v>
      </c>
      <c r="I117" s="226">
        <v>43101.714490740742</v>
      </c>
      <c r="J117" s="225">
        <v>0</v>
      </c>
      <c r="K117" s="237" t="str">
        <f>IF(ISEVEN(B117),(B117-1)&amp;"/"&amp;B117,B117&amp;"/"&amp;(B117+1))</f>
        <v>4041/4042</v>
      </c>
      <c r="L117" s="245" t="str">
        <f>VLOOKUP(A117,'Trips&amp;Operators'!$C$1:$G$99911,5,FALSE)</f>
        <v>DAVIS MICHAEL</v>
      </c>
      <c r="M117" s="224">
        <f>I117-F117</f>
        <v>2.6631944449036382E-2</v>
      </c>
      <c r="N117" s="225">
        <f>24*60*SUM($M117:$M117)</f>
        <v>38.35000000661239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-01T15:26:41-0700',mode:absolute,to:'2018-01-01T18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5.3699999999999998E-2</v>
      </c>
      <c r="Z117" s="247">
        <f>RIGHT(H117,LEN(H117)-4)/10000</f>
        <v>23.329499999999999</v>
      </c>
      <c r="AA117" s="247">
        <f>ABS(Z117-Y117)</f>
        <v>23.2758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/stypes="app*4042*20180102*"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203-01 --locoid 4042 --swversion DE.1.0.9.0 --startMP 204:537 --initTime 2018-01-01T16:26:41 --startdatetime 2018-01-01T16:30:31 --delay 60 --endMP 204:233295 --enddatetime 2018-01-01T17:08:52 --enforcementcount 0 &gt;&gt;%USERPROFILE%\Documents\GitHub\eaglep3-reporting\EC\2018-01-01-refined-times.txt</v>
      </c>
      <c r="AI117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{"issue":{"subject":"","project_id":79,"tracker_id":40,"status_id":1,"priority_id":2,"assigned_to_id":338,"start_date":"2018-01-01","description":"","custom_fields":[{"id":1,"name":"Subdivision","value":"EC"},{"id":4,"name":"Milepost","value":"23.3295"},{"id":17,"name":"Train ID","value":"203-01"},{"id":16,"name":"Locomotive ID","value":"4042"},{"id":130,"name":"Impact","value":""},{"id":150,"name":"Time of Event (Mountain Time)","value":"17:08:52"},{"id":151,"name":"Denver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2"/>
        <v>start /low /b %USERPROFILE%\Documents\GitHub\eaglep3\Utilities\DownloadLogsFromS3.py --loco 4042 --day 2018-01-01</v>
      </c>
      <c r="AN117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2018-01-01T15:26:41-0700',mode:absolute,to:'2018-01-01T18:08:52-0700'))&amp;_a=(columns:!('Message%20ID',Summary),filters:!(),index:'emp_*',interval:auto,query:(query_string:(analyze_wildcard:!t,query:'%22rtdc.l.rtdc.4042%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832</v>
      </c>
      <c r="B118" s="225">
        <v>4041</v>
      </c>
      <c r="C118" s="227" t="s">
        <v>192</v>
      </c>
      <c r="D118" s="227" t="s">
        <v>535</v>
      </c>
      <c r="E118" s="226">
        <v>43101.724722222221</v>
      </c>
      <c r="F118" s="226">
        <v>43101.72755787037</v>
      </c>
      <c r="G118" s="225">
        <v>65</v>
      </c>
      <c r="H118" s="227" t="s">
        <v>996</v>
      </c>
      <c r="I118" s="226">
        <v>43101.756030092591</v>
      </c>
      <c r="J118" s="225">
        <v>0</v>
      </c>
      <c r="K118" s="237" t="str">
        <f>IF(ISEVEN(B118),(B118-1)&amp;"/"&amp;B118,B118&amp;"/"&amp;(B118+1))</f>
        <v>4041/4042</v>
      </c>
      <c r="L118" s="245" t="str">
        <f>VLOOKUP(A118,'Trips&amp;Operators'!$C$1:$G$99911,5,FALSE)</f>
        <v>DAVIS MICHAEL</v>
      </c>
      <c r="M118" s="224">
        <f>I118-F118</f>
        <v>2.8472222220443655E-2</v>
      </c>
      <c r="N118" s="225">
        <f>24*60*SUM($M118:$M118)</f>
        <v>40.999999997438863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-01T16:23:36-0700',mode:absolute,to:'2018-01-01T19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23.299800000000001</v>
      </c>
      <c r="Z118" s="247">
        <f>RIGHT(H118,LEN(H118)-4)/10000</f>
        <v>2.1999999999999999E-2</v>
      </c>
      <c r="AA118" s="247">
        <f>ABS(Z118-Y118)</f>
        <v>23.277800000000003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/stypes="app*4041*20180102*"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204-01 --locoid 4041 --swversion DE.1.0.9.0 --startMP 204:232998 --initTime 2018-01-01T17:23:36 --startdatetime 2018-01-01T17:27:41 --delay 65 --endMP 204:220 --enddatetime 2018-01-01T18:08:41 --enforcementcount 0 &gt;&gt;%USERPROFILE%\Documents\GitHub\eaglep3-reporting\EC\2018-01-01-refined-times.txt</v>
      </c>
      <c r="AI118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{"issue":{"subject":"","project_id":79,"tracker_id":40,"status_id":1,"priority_id":2,"assigned_to_id":338,"start_date":"2018-01-01","description":"","custom_fields":[{"id":1,"name":"Subdivision","value":"EC"},{"id":4,"name":"Milepost","value":"0.022"},{"id":17,"name":"Train ID","value":"204-01"},{"id":16,"name":"Locomotive ID","value":"4041"},{"id":130,"name":"Impact","value":""},{"id":150,"name":"Time of Event (Mountain Time)","value":"18:08:41"},{"id":151,"name":"Denver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2"/>
        <v>start /low /b %USERPROFILE%\Documents\GitHub\eaglep3\Utilities\DownloadLogsFromS3.py --loco 4041 --day 2018-01-01</v>
      </c>
      <c r="AN118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2018-01-01T16:23:36-0700',mode:absolute,to:'2018-01-01T19:08:41-0700'))&amp;_a=(columns:!('Message%20ID',Summary),filters:!(),index:'emp_*',interval:auto,query:(query_string:(analyze_wildcard:!t,query:'%22rtdc.l.rtdc.4041%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826</v>
      </c>
      <c r="B119" s="225">
        <v>4050</v>
      </c>
      <c r="C119" s="227" t="s">
        <v>192</v>
      </c>
      <c r="D119" s="227" t="s">
        <v>512</v>
      </c>
      <c r="E119" s="226">
        <v>43101.691979166666</v>
      </c>
      <c r="F119" s="226">
        <v>43101.699004629627</v>
      </c>
      <c r="G119" s="225">
        <v>96</v>
      </c>
      <c r="H119" s="227" t="s">
        <v>894</v>
      </c>
      <c r="I119" s="226">
        <v>43101.723611111112</v>
      </c>
      <c r="J119" s="225">
        <v>0</v>
      </c>
      <c r="K119" s="237" t="str">
        <f>IF(ISEVEN(B119),(B119-1)&amp;"/"&amp;B119,B119&amp;"/"&amp;(B119+1))</f>
        <v>4049/4050</v>
      </c>
      <c r="L119" s="245" t="str">
        <f>VLOOKUP(A119,'Trips&amp;Operators'!$C$1:$G$99911,5,FALSE)</f>
        <v>STEWART MICHAEL</v>
      </c>
      <c r="M119" s="224">
        <f>I119-F119</f>
        <v>2.4606481485534459E-2</v>
      </c>
      <c r="N119" s="225">
        <f>24*60*SUM($M119:$M119)</f>
        <v>35.433333339169621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-01T15:36:27-0700',mode:absolute,to:'2018-01-01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5.2200000000000003E-2</v>
      </c>
      <c r="Z119" s="247">
        <f>RIGHT(H119,LEN(H119)-4)/10000</f>
        <v>23.3291</v>
      </c>
      <c r="AA119" s="247">
        <f>ABS(Z119-Y119)</f>
        <v>23.276900000000001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/stypes="app*4050*20180102*"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205-01 --locoid 4050 --swversion DE.1.0.9.0 --startMP 204:522 --initTime 2018-01-01T16:36:27 --startdatetime 2018-01-01T16:46:34 --delay 96 --endMP 204:233291 --enddatetime 2018-01-01T17:22:00 --enforcementcount 0 &gt;&gt;%USERPROFILE%\Documents\GitHub\eaglep3-reporting\EC\2018-01-01-refined-times.txt</v>
      </c>
      <c r="AI11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ID","value":"205-01"},{"id":16,"name":"Locomotive ID","value":"4050"},{"id":130,"name":"Impact","value":""},{"id":150,"name":"Time of Event (Mountain Time)","value":"17:22:00"},{"id":151,"name":"Denver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2"/>
        <v>start /low /b %USERPROFILE%\Documents\GitHub\eaglep3\Utilities\DownloadLogsFromS3.py --loco 4050 --day 2018-01-01</v>
      </c>
      <c r="AN119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2018-01-01T15:36:27-0700',mode:absolute,to:'2018-01-01T18:22:00-0700'))&amp;_a=(columns:!('Message%20ID',Summary),filters:!(),index:'emp_*',interval:auto,query:(query_string:(analyze_wildcard:!t,query:'%22rtdc.l.rtdc.4050%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834</v>
      </c>
      <c r="B120" s="225">
        <v>4049</v>
      </c>
      <c r="C120" s="227" t="s">
        <v>192</v>
      </c>
      <c r="D120" s="227" t="s">
        <v>512</v>
      </c>
      <c r="E120" s="226">
        <v>43101.691979166666</v>
      </c>
      <c r="F120" s="226">
        <v>43101.737708333334</v>
      </c>
      <c r="G120" s="225">
        <v>96</v>
      </c>
      <c r="H120" s="227" t="s">
        <v>894</v>
      </c>
      <c r="I120" s="226">
        <v>43101.765752314815</v>
      </c>
      <c r="J120" s="225">
        <v>0</v>
      </c>
      <c r="K120" s="237" t="str">
        <f>IF(ISEVEN(B120),(B120-1)&amp;"/"&amp;B120,B120&amp;"/"&amp;(B120+1))</f>
        <v>4049/4050</v>
      </c>
      <c r="L120" s="245" t="str">
        <f>VLOOKUP(A120,'Trips&amp;Operators'!$C$1:$G$99911,5,FALSE)</f>
        <v>STEWART MICHAEL</v>
      </c>
      <c r="M120" s="224">
        <f>I120-F120</f>
        <v>2.8043981481459923E-2</v>
      </c>
      <c r="N120" s="225">
        <f>24*60*SUM($M120:$M120)</f>
        <v>40.383333333302289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-01T15:36:27-0700',mode:absolute,to:'2018-01-01T19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v>23.2712</v>
      </c>
      <c r="Z120" s="247">
        <v>1.9599999999999999E-2</v>
      </c>
      <c r="AA120" s="247">
        <f>ABS(Z120-Y120)</f>
        <v>23.2516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/stypes="app*4049*20180102*"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ref="AH120" si="15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206-01 --locoid 4049 --swversion DE.1.0.9.0 --startMP 204:522 --initTime 2018-01-01T16:36:27 --startdatetime 2018-01-01T17:42:18 --delay 96 --endMP 204:233291 --enddatetime 2018-01-01T18:22:41 --enforcementcount 0 &gt;&gt;%USERPROFILE%\Documents\GitHub\eaglep3-reporting\EC\2018-01-01-refined-times.txt</v>
      </c>
      <c r="AI120" s="238" t="str">
        <f t="shared" ref="AI120" si="16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{"issue":{"subject":"","project_id":79,"tracker_id":40,"status_id":1,"priority_id":2,"assigned_to_id":338,"start_date":"2018-01-01","description":"","custom_fields":[{"id":1,"name":"Subdivision","value":"EC"},{"id":4,"name":"Milepost","value":"0.0196"},{"id":17,"name":"Train ID","value":"206-01"},{"id":16,"name":"Locomotive ID","value":"4049"},{"id":130,"name":"Impact","value":""},{"id":150,"name":"Time of Event (Mountain Time)","value":"18:22:41"},{"id":151,"name":"Denver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ref="AM120" si="17">"start /low /b "&amp;dls3logs&amp;" --loco "&amp;B120&amp;" --day "&amp;TEXT(F120,"YYYY-MM-DD")</f>
        <v>start /low /b %USERPROFILE%\Documents\GitHub\eaglep3\Utilities\DownloadLogsFromS3.py --loco 4049 --day 2018-01-01</v>
      </c>
      <c r="AN120" s="241" t="str">
        <f t="shared" ref="AN120" si="18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ref="AO120" si="19"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-01T15:36:27-0700',mode:absolute,to:'2018-01-01T19:22:41-0700'))&amp;_a=(columns:!('Message%20ID',Summary),filters:!(),index:'emp_*',interval:auto,query:(query_string:(analyze_wildcard:!t,query:'%22rtdc.l.rtdc.4049%22')),sort:!(Time.ISO8601,asc))</v>
      </c>
    </row>
    <row r="121" spans="1:91" s="223" customFormat="1" x14ac:dyDescent="0.3">
      <c r="A121" s="229" t="s">
        <v>669</v>
      </c>
      <c r="B121" s="225">
        <v>4014</v>
      </c>
      <c r="C121" s="227" t="s">
        <v>192</v>
      </c>
      <c r="D121" s="227" t="s">
        <v>563</v>
      </c>
      <c r="E121" s="226">
        <v>43101.704444444447</v>
      </c>
      <c r="F121" s="226">
        <v>43101.708541666667</v>
      </c>
      <c r="G121" s="225">
        <v>76</v>
      </c>
      <c r="H121" s="227" t="s">
        <v>997</v>
      </c>
      <c r="I121" s="226">
        <v>43101.73578703704</v>
      </c>
      <c r="J121" s="225">
        <v>0</v>
      </c>
      <c r="K121" s="237" t="str">
        <f>IF(ISEVEN(B121),(B121-1)&amp;"/"&amp;B121,B121&amp;"/"&amp;(B121+1))</f>
        <v>4013/4014</v>
      </c>
      <c r="L121" s="245" t="str">
        <f>VLOOKUP(A121,'Trips&amp;Operators'!$C$1:$G$99911,5,FALSE)</f>
        <v>LEVERE CRAIG</v>
      </c>
      <c r="M121" s="224">
        <f>I121-F121</f>
        <v>2.7245370372838806E-2</v>
      </c>
      <c r="N121" s="225">
        <f>24*60*SUM($M121:$M121)</f>
        <v>39.233333336887881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-01T15:54:24-0700',mode:absolute,to:'2018-01-01T18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5.3499999999999999E-2</v>
      </c>
      <c r="Z121" s="247">
        <f>RIGHT(H121,LEN(H121)-4)/10000</f>
        <v>23.324000000000002</v>
      </c>
      <c r="AA121" s="247">
        <f>ABS(Z121-Y121)</f>
        <v>23.270500000000002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/stypes="app*4014*20180102*"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207-01 --locoid 4014 --swversion DE.1.0.9.0 --startMP 204:535 --initTime 2018-01-01T16:54:24 --startdatetime 2018-01-01T17:00:18 --delay 76 --endMP 204:233240 --enddatetime 2018-01-01T17:39:32 --enforcementcount 0 &gt;&gt;%USERPROFILE%\Documents\GitHub\eaglep3-reporting\EC\2018-01-01-refined-times.txt</v>
      </c>
      <c r="AI12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{"issue":{"subject":"","project_id":79,"tracker_id":40,"status_id":1,"priority_id":2,"assigned_to_id":338,"start_date":"2018-01-01","description":"","custom_fields":[{"id":1,"name":"Subdivision","value":"EC"},{"id":4,"name":"Milepost","value":"23.324"},{"id":17,"name":"Train ID","value":"207-01"},{"id":16,"name":"Locomotive ID","value":"4014"},{"id":130,"name":"Impact","value":""},{"id":150,"name":"Time of Event (Mountain Time)","value":"17:39:32"},{"id":151,"name":"Denver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2"/>
        <v>start /low /b %USERPROFILE%\Documents\GitHub\eaglep3\Utilities\DownloadLogsFromS3.py --loco 4014 --day 2018-01-01</v>
      </c>
      <c r="AN121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2018-01-01T15:54:24-0700',mode:absolute,to:'2018-01-01T18:39:32-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672</v>
      </c>
      <c r="B122" s="225">
        <v>4013</v>
      </c>
      <c r="C122" s="227" t="s">
        <v>192</v>
      </c>
      <c r="D122" s="227" t="s">
        <v>650</v>
      </c>
      <c r="E122" s="226">
        <v>43101.74050925926</v>
      </c>
      <c r="F122" s="226">
        <v>43101.748148148145</v>
      </c>
      <c r="G122" s="225">
        <v>61</v>
      </c>
      <c r="H122" s="227" t="s">
        <v>998</v>
      </c>
      <c r="I122" s="226">
        <v>43101.775381944448</v>
      </c>
      <c r="J122" s="225">
        <v>0</v>
      </c>
      <c r="K122" s="237" t="str">
        <f>IF(ISEVEN(B122),(B122-1)&amp;"/"&amp;B122,B122&amp;"/"&amp;(B122+1))</f>
        <v>4013/4014</v>
      </c>
      <c r="L122" s="245" t="str">
        <f>VLOOKUP(A122,'Trips&amp;Operators'!$C$1:$G$99911,5,FALSE)</f>
        <v>LEVERE CRAIG</v>
      </c>
      <c r="M122" s="224">
        <f>I122-F122</f>
        <v>2.7233796303335112E-2</v>
      </c>
      <c r="N122" s="225">
        <f>24*60*SUM($M122:$M122)</f>
        <v>39.216666676802561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-01T16:46:20-0700',mode:absolute,to:'2018-01-01T19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23.293600000000001</v>
      </c>
      <c r="Z122" s="247">
        <f>RIGHT(H122,LEN(H122)-4)/10000</f>
        <v>8.8200000000000001E-2</v>
      </c>
      <c r="AA122" s="247">
        <f>ABS(Z122-Y122)</f>
        <v>23.205400000000001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/stypes="app*4013*20180102*"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208-01 --locoid 4013 --swversion DE.1.0.9.0 --startMP 204:232936 --initTime 2018-01-01T17:46:20 --startdatetime 2018-01-01T17:57:20 --delay 61 --endMP 204:882 --enddatetime 2018-01-01T18:36:33 --enforcementcount 0 &gt;&gt;%USERPROFILE%\Documents\GitHub\eaglep3-reporting\EC\2018-01-01-refined-times.txt</v>
      </c>
      <c r="AI122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{"issue":{"subject":"","project_id":79,"tracker_id":40,"status_id":1,"priority_id":2,"assigned_to_id":338,"start_date":"2018-01-01","description":"","custom_fields":[{"id":1,"name":"Subdivision","value":"EC"},{"id":4,"name":"Milepost","value":"0.0882"},{"id":17,"name":"Train ID","value":"208-01"},{"id":16,"name":"Locomotive ID","value":"4013"},{"id":130,"name":"Impact","value":""},{"id":150,"name":"Time of Event (Mountain Time)","value":"18:36:33"},{"id":151,"name":"Denver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2"/>
        <v>start /low /b %USERPROFILE%\Documents\GitHub\eaglep3\Utilities\DownloadLogsFromS3.py --loco 4013 --day 2018-01-01</v>
      </c>
      <c r="AN122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2018-01-01T16:46:20-0700',mode:absolute,to:'2018-01-01T19:36:33-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830</v>
      </c>
      <c r="B123" s="225">
        <v>4064</v>
      </c>
      <c r="C123" s="227" t="s">
        <v>192</v>
      </c>
      <c r="D123" s="227" t="s">
        <v>630</v>
      </c>
      <c r="E123" s="226">
        <v>43101.714999999997</v>
      </c>
      <c r="F123" s="226">
        <v>43101.718935185185</v>
      </c>
      <c r="G123" s="225">
        <v>57</v>
      </c>
      <c r="H123" s="227" t="s">
        <v>505</v>
      </c>
      <c r="I123" s="226">
        <v>43101.745312500003</v>
      </c>
      <c r="J123" s="225">
        <v>0</v>
      </c>
      <c r="K123" s="237" t="str">
        <f>IF(ISEVEN(B123),(B123-1)&amp;"/"&amp;B123,B123&amp;"/"&amp;(B123+1))</f>
        <v>4063/4064</v>
      </c>
      <c r="L123" s="245" t="str">
        <f>VLOOKUP(A123,'Trips&amp;Operators'!$C$1:$G$99911,5,FALSE)</f>
        <v>BARTLETT KIANDRA</v>
      </c>
      <c r="M123" s="224">
        <f>I123-F123</f>
        <v>2.6377314818091691E-2</v>
      </c>
      <c r="N123" s="225">
        <f>24*60*SUM($M123:$M123)</f>
        <v>37.983333338052034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-01T16:09:36-0700',mode:absolute,to:'2018-01-01T18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4.6899999999999997E-2</v>
      </c>
      <c r="Z123" s="247">
        <f>RIGHT(H123,LEN(H123)-4)/10000</f>
        <v>23.329499999999999</v>
      </c>
      <c r="AA123" s="247">
        <f>ABS(Z123-Y123)</f>
        <v>23.282599999999999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/stypes="app*4064*20180102*"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209-01 --locoid 4064 --swversion DE.1.0.9.0 --startMP 204:469 --initTime 2018-01-01T17:09:36 --startdatetime 2018-01-01T17:15:16 --delay 57 --endMP 204:233295 --enddatetime 2018-01-01T17:53:15 --enforcementcount 0 &gt;&gt;%USERPROFILE%\Documents\GitHub\eaglep3-reporting\EC\2018-01-01-refined-times.txt</v>
      </c>
      <c r="AI123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{"issue":{"subject":"","project_id":79,"tracker_id":40,"status_id":1,"priority_id":2,"assigned_to_id":338,"start_date":"2018-01-01","description":"","custom_fields":[{"id":1,"name":"Subdivision","value":"EC"},{"id":4,"name":"Milepost","value":"23.3295"},{"id":17,"name":"Train ID","value":"209-01"},{"id":16,"name":"Locomotive ID","value":"4064"},{"id":130,"name":"Impact","value":""},{"id":150,"name":"Time of Event (Mountain Time)","value":"17:53:15"},{"id":151,"name":"Denver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12"/>
        <v>start /low /b %USERPROFILE%\Documents\GitHub\eaglep3\Utilities\DownloadLogsFromS3.py --loco 4064 --day 2018-01-01</v>
      </c>
      <c r="AN123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2018-01-01T16:09:36-0700',mode:absolute,to:'2018-01-01T18:53:15-0700'))&amp;_a=(columns:!('Message%20ID',Summary),filters:!(),index:'emp_*',interval:auto,query:(query_string:(analyze_wildcard:!t,query:'%22rtdc.l.rtdc.4064%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838</v>
      </c>
      <c r="B124" s="225">
        <v>4063</v>
      </c>
      <c r="C124" s="227" t="s">
        <v>192</v>
      </c>
      <c r="D124" s="227" t="s">
        <v>589</v>
      </c>
      <c r="E124" s="226">
        <v>43101.753842592596</v>
      </c>
      <c r="F124" s="226">
        <v>43101.758634259262</v>
      </c>
      <c r="G124" s="225">
        <v>62</v>
      </c>
      <c r="H124" s="227" t="s">
        <v>490</v>
      </c>
      <c r="I124" s="226">
        <v>43101.786192129628</v>
      </c>
      <c r="J124" s="225">
        <v>0</v>
      </c>
      <c r="K124" s="237" t="str">
        <f>IF(ISEVEN(B124),(B124-1)&amp;"/"&amp;B124,B124&amp;"/"&amp;(B124+1))</f>
        <v>4063/4064</v>
      </c>
      <c r="L124" s="245" t="str">
        <f>VLOOKUP(A124,'Trips&amp;Operators'!$C$1:$G$99911,5,FALSE)</f>
        <v>BARTLETT KIANDRA</v>
      </c>
      <c r="M124" s="224">
        <f>I124-F124</f>
        <v>2.7557870365853887E-2</v>
      </c>
      <c r="N124" s="225">
        <f>24*60*SUM($M124:$M124)</f>
        <v>39.683333326829597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-01T17:05:32-0700',mode:absolute,to:'2018-01-01T19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23.2973</v>
      </c>
      <c r="Z124" s="247">
        <f>RIGHT(H124,LEN(H124)-4)/10000</f>
        <v>2.01E-2</v>
      </c>
      <c r="AA124" s="247">
        <f>ABS(Z124-Y124)</f>
        <v>23.277200000000001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/stypes="app*4063*20180102*"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210-01 --locoid 4063 --swversion DE.1.0.9.0 --startMP 204:232973 --initTime 2018-01-01T18:05:32 --startdatetime 2018-01-01T18:12:26 --delay 62 --endMP 204:201 --enddatetime 2018-01-01T18:52:07 --enforcementcount 0 &gt;&gt;%USERPROFILE%\Documents\GitHub\eaglep3-reporting\EC\2018-01-01-refined-times.txt</v>
      </c>
      <c r="AI12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{"issue":{"subject":"","project_id":79,"tracker_id":40,"status_id":1,"priority_id":2,"assigned_to_id":338,"start_date":"2018-01-01","description":"","custom_fields":[{"id":1,"name":"Subdivision","value":"EC"},{"id":4,"name":"Milepost","value":"0.0201"},{"id":17,"name":"Train ID","value":"210-01"},{"id":16,"name":"Locomotive ID","value":"4063"},{"id":130,"name":"Impact","value":""},{"id":150,"name":"Time of Event (Mountain Time)","value":"18:52:07"},{"id":151,"name":"Denver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2"/>
        <v>start /low /b %USERPROFILE%\Documents\GitHub\eaglep3\Utilities\DownloadLogsFromS3.py --loco 4063 --day 2018-01-01</v>
      </c>
      <c r="AN124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2018-01-01T17:05:32-0700',mode:absolute,to:'2018-01-01T19:52:07-0700'))&amp;_a=(columns:!('Message%20ID',Summary),filters:!(),index:'emp_*',interval:auto,query:(query_string:(analyze_wildcard:!t,query:'%22rtdc.l.rtdc.4063%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833</v>
      </c>
      <c r="B125" s="225">
        <v>4022</v>
      </c>
      <c r="C125" s="227" t="s">
        <v>192</v>
      </c>
      <c r="D125" s="227" t="s">
        <v>512</v>
      </c>
      <c r="E125" s="226">
        <v>43101.726331018515</v>
      </c>
      <c r="F125" s="226">
        <v>43101.729641203703</v>
      </c>
      <c r="G125" s="225">
        <v>77</v>
      </c>
      <c r="H125" s="227" t="s">
        <v>920</v>
      </c>
      <c r="I125" s="226">
        <v>43101.754050925927</v>
      </c>
      <c r="J125" s="225">
        <v>0</v>
      </c>
      <c r="K125" s="237" t="str">
        <f>IF(ISEVEN(B125),(B125-1)&amp;"/"&amp;B125,B125&amp;"/"&amp;(B125+1))</f>
        <v>4021/4022</v>
      </c>
      <c r="L125" s="245" t="str">
        <f>VLOOKUP(A125,'Trips&amp;Operators'!$C$1:$G$99911,5,FALSE)</f>
        <v>SAFIEF AEIMEN</v>
      </c>
      <c r="M125" s="224">
        <f>I125-F125</f>
        <v>2.4409722223936114E-2</v>
      </c>
      <c r="N125" s="225">
        <f>24*60*SUM($M125:$M125)</f>
        <v>35.150000002468005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-01T16:25:55-0700',mode:absolute,to:'2018-01-01T19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5.2200000000000003E-2</v>
      </c>
      <c r="Z125" s="247">
        <f>RIGHT(H125,LEN(H125)-4)/10000</f>
        <v>23.329799999999999</v>
      </c>
      <c r="AA125" s="247">
        <f>ABS(Z125-Y125)</f>
        <v>23.2776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/stypes="app*4022*20180102*"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211-01 --locoid 4022 --swversion DE.1.0.9.0 --startMP 204:522 --initTime 2018-01-01T17:25:55 --startdatetime 2018-01-01T17:30:41 --delay 77 --endMP 204:233298 --enddatetime 2018-01-01T18:05:50 --enforcementcount 0 &gt;&gt;%USERPROFILE%\Documents\GitHub\eaglep3-reporting\EC\2018-01-01-refined-times.txt</v>
      </c>
      <c r="AI125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ID","value":"211-01"},{"id":16,"name":"Locomotive ID","value":"4022"},{"id":130,"name":"Impact","value":""},{"id":150,"name":"Time of Event (Mountain Time)","value":"18:05:50"},{"id":151,"name":"Denver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2"/>
        <v>start /low /b %USERPROFILE%\Documents\GitHub\eaglep3\Utilities\DownloadLogsFromS3.py --loco 4022 --day 2018-01-01</v>
      </c>
      <c r="AN125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2018-01-01T16:25:55-0700',mode:absolute,to:'2018-01-01T19:05:50-0700'))&amp;_a=(columns:!('Message%20ID',Summary),filters:!(),index:'emp_*',interval:auto,query:(query_string:(analyze_wildcard:!t,query:'%22rtdc.l.rtdc.4022%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839</v>
      </c>
      <c r="B126" s="225">
        <v>4021</v>
      </c>
      <c r="C126" s="227" t="s">
        <v>192</v>
      </c>
      <c r="D126" s="227" t="s">
        <v>536</v>
      </c>
      <c r="E126" s="226">
        <v>43101.758773148147</v>
      </c>
      <c r="F126" s="226">
        <v>43101.769062500003</v>
      </c>
      <c r="G126" s="225">
        <v>74</v>
      </c>
      <c r="H126" s="227" t="s">
        <v>498</v>
      </c>
      <c r="I126" s="226">
        <v>43101.795439814814</v>
      </c>
      <c r="J126" s="225">
        <v>0</v>
      </c>
      <c r="K126" s="237" t="str">
        <f>IF(ISEVEN(B126),(B126-1)&amp;"/"&amp;B126,B126&amp;"/"&amp;(B126+1))</f>
        <v>4021/4022</v>
      </c>
      <c r="L126" s="245" t="str">
        <f>VLOOKUP(A126,'Trips&amp;Operators'!$C$1:$G$99911,5,FALSE)</f>
        <v>SAFIEF AEIMEN</v>
      </c>
      <c r="M126" s="224">
        <f>I126-F126</f>
        <v>2.6377314810815733E-2</v>
      </c>
      <c r="N126" s="225">
        <f>24*60*SUM($M126:$M126)</f>
        <v>37.983333327574655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-01T17:12:38-0700',mode:absolute,to:'2018-01-01T20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23.297699999999999</v>
      </c>
      <c r="Z126" s="247">
        <f>RIGHT(H126,LEN(H126)-4)/10000</f>
        <v>1.9400000000000001E-2</v>
      </c>
      <c r="AA126" s="247">
        <f>ABS(Z126-Y126)</f>
        <v>23.278299999999998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/stypes="app*4021*20180102*"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212-01 --locoid 4021 --swversion DE.1.0.9.0 --startMP 204:232977 --initTime 2018-01-01T18:12:38 --startdatetime 2018-01-01T18:27:27 --delay 74 --endMP 204:194 --enddatetime 2018-01-01T19:05:26 --enforcementcount 0 &gt;&gt;%USERPROFILE%\Documents\GitHub\eaglep3-reporting\EC\2018-01-01-refined-times.txt</v>
      </c>
      <c r="AI126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{"issue":{"subject":"","project_id":79,"tracker_id":40,"status_id":1,"priority_id":2,"assigned_to_id":338,"start_date":"2018-01-01","description":"","custom_fields":[{"id":1,"name":"Subdivision","value":"EC"},{"id":4,"name":"Milepost","value":"0.0194"},{"id":17,"name":"Train ID","value":"212-01"},{"id":16,"name":"Locomotive ID","value":"4021"},{"id":130,"name":"Impact","value":""},{"id":150,"name":"Time of Event (Mountain Time)","value":"19:05:26"},{"id":151,"name":"Denver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2"/>
        <v>start /low /b %USERPROFILE%\Documents\GitHub\eaglep3\Utilities\DownloadLogsFromS3.py --loco 4021 --day 2018-01-01</v>
      </c>
      <c r="AN126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2018-01-01T17:12:38-0700',mode:absolute,to:'2018-01-01T20:05:26-0700'))&amp;_a=(columns:!('Message%20ID',Summary),filters:!(),index:'emp_*',interval:auto,query:(query_string:(analyze_wildcard:!t,query:'%22rtdc.l.rtdc.4021%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835</v>
      </c>
      <c r="B127" s="225">
        <v>4020</v>
      </c>
      <c r="C127" s="227" t="s">
        <v>192</v>
      </c>
      <c r="D127" s="227" t="s">
        <v>980</v>
      </c>
      <c r="E127" s="226">
        <v>43101.737592592595</v>
      </c>
      <c r="F127" s="226">
        <v>43101.73978009259</v>
      </c>
      <c r="G127" s="225">
        <v>100</v>
      </c>
      <c r="H127" s="227" t="s">
        <v>649</v>
      </c>
      <c r="I127" s="226">
        <v>43101.763495370367</v>
      </c>
      <c r="J127" s="225">
        <v>0</v>
      </c>
      <c r="K127" s="237" t="str">
        <f>IF(ISEVEN(B127),(B127-1)&amp;"/"&amp;B127,B127&amp;"/"&amp;(B127+1))</f>
        <v>4019/4020</v>
      </c>
      <c r="L127" s="245" t="str">
        <f>VLOOKUP(A127,'Trips&amp;Operators'!$C$1:$G$99911,5,FALSE)</f>
        <v>LOZA FIDEL</v>
      </c>
      <c r="M127" s="224">
        <f>I127-F127</f>
        <v>2.3715277777228039E-2</v>
      </c>
      <c r="N127" s="225">
        <f>24*60*SUM($M127:$M127)</f>
        <v>34.149999999208376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-01T16:42:08-0700',mode:absolute,to:'2018-01-01T19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5.11E-2</v>
      </c>
      <c r="Z127" s="247">
        <f>RIGHT(H127,LEN(H127)-4)/10000</f>
        <v>23.330100000000002</v>
      </c>
      <c r="AA127" s="247">
        <f>ABS(Z127-Y127)</f>
        <v>23.279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/stypes="app*4020*20180102*"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213-01 --locoid 4020 --swversion DE.1.0.9.0 --startMP 204:511 --initTime 2018-01-01T17:42:08 --startdatetime 2018-01-01T17:45:17 --delay 100 --endMP 204:233301 --enddatetime 2018-01-01T18:19:26 --enforcementcount 0 &gt;&gt;%USERPROFILE%\Documents\GitHub\eaglep3-reporting\EC\2018-01-01-refined-times.txt</v>
      </c>
      <c r="AI127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{"issue":{"subject":"","project_id":79,"tracker_id":40,"status_id":1,"priority_id":2,"assigned_to_id":338,"start_date":"2018-01-01","description":"","custom_fields":[{"id":1,"name":"Subdivision","value":"EC"},{"id":4,"name":"Milepost","value":"23.3301"},{"id":17,"name":"Train ID","value":"213-01"},{"id":16,"name":"Locomotive ID","value":"4020"},{"id":130,"name":"Impact","value":""},{"id":150,"name":"Time of Event (Mountain Time)","value":"18:19:26"},{"id":151,"name":"Denver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2"/>
        <v>start /low /b %USERPROFILE%\Documents\GitHub\eaglep3\Utilities\DownloadLogsFromS3.py --loco 4020 --day 2018-01-01</v>
      </c>
      <c r="AN127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2018-01-01T16:42:08-0700',mode:absolute,to:'2018-01-01T19:19:26-0700'))&amp;_a=(columns:!('Message%20ID',Summary),filters:!(),index:'emp_*',interval:auto,query:(query_string:(analyze_wildcard:!t,query:'%22rtdc.l.rtdc.4020%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842</v>
      </c>
      <c r="B128" s="225">
        <v>4019</v>
      </c>
      <c r="C128" s="227" t="s">
        <v>192</v>
      </c>
      <c r="D128" s="227" t="s">
        <v>999</v>
      </c>
      <c r="E128" s="226">
        <v>43101.769444444442</v>
      </c>
      <c r="F128" s="226">
        <v>43101.779548611114</v>
      </c>
      <c r="G128" s="225">
        <v>72</v>
      </c>
      <c r="H128" s="227" t="s">
        <v>652</v>
      </c>
      <c r="I128" s="226">
        <v>43101.805428240739</v>
      </c>
      <c r="J128" s="225">
        <v>0</v>
      </c>
      <c r="K128" s="237" t="str">
        <f>IF(ISEVEN(B128),(B128-1)&amp;"/"&amp;B128,B128&amp;"/"&amp;(B128+1))</f>
        <v>4019/4020</v>
      </c>
      <c r="L128" s="245" t="str">
        <f>VLOOKUP(A128,'Trips&amp;Operators'!$C$1:$G$99911,5,FALSE)</f>
        <v>LORI SANTOS</v>
      </c>
      <c r="M128" s="224">
        <f>I128-F128</f>
        <v>2.5879629625706002E-2</v>
      </c>
      <c r="N128" s="225">
        <f>24*60*SUM($M128:$M128)</f>
        <v>37.266666661016643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-01T17:28:00-0700',mode:absolute,to:'2018-01-01T20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23.297499999999999</v>
      </c>
      <c r="Z128" s="247">
        <f>RIGHT(H128,LEN(H128)-4)/10000</f>
        <v>2.18E-2</v>
      </c>
      <c r="AA128" s="247">
        <f>ABS(Z128-Y128)</f>
        <v>23.275700000000001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/stypes="app*4019*20180102*"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214-01 --locoid 4019 --swversion DE.1.0.9.0 --startMP 204:232975 --initTime 2018-01-01T18:28:00 --startdatetime 2018-01-01T18:42:33 --delay 72 --endMP 204:218 --enddatetime 2018-01-01T19:19:49 --enforcementcount 0 &gt;&gt;%USERPROFILE%\Documents\GitHub\eaglep3-reporting\EC\2018-01-01-refined-times.txt</v>
      </c>
      <c r="AI128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{"issue":{"subject":"","project_id":79,"tracker_id":40,"status_id":1,"priority_id":2,"assigned_to_id":338,"start_date":"2018-01-01","description":"","custom_fields":[{"id":1,"name":"Subdivision","value":"EC"},{"id":4,"name":"Milepost","value":"0.0218"},{"id":17,"name":"Train ID","value":"214-01"},{"id":16,"name":"Locomotive ID","value":"4019"},{"id":130,"name":"Impact","value":""},{"id":150,"name":"Time of Event (Mountain Time)","value":"19:19:49"},{"id":151,"name":"Denver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2"/>
        <v>start /low /b %USERPROFILE%\Documents\GitHub\eaglep3\Utilities\DownloadLogsFromS3.py --loco 4019 --day 2018-01-01</v>
      </c>
      <c r="AN128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2018-01-01T17:28:00-0700',mode:absolute,to:'2018-01-01T20:19:49-0700'))&amp;_a=(columns:!('Message%20ID',Summary),filters:!(),index:'emp_*',interval:auto,query:(query_string:(analyze_wildcard:!t,query:'%22rtdc.l.rtdc.4019%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836</v>
      </c>
      <c r="B129" s="225">
        <v>4010</v>
      </c>
      <c r="C129" s="227" t="s">
        <v>192</v>
      </c>
      <c r="D129" s="227" t="s">
        <v>1000</v>
      </c>
      <c r="E129" s="226">
        <v>43101.746249999997</v>
      </c>
      <c r="F129" s="226">
        <v>43101.750219907408</v>
      </c>
      <c r="G129" s="225">
        <v>61</v>
      </c>
      <c r="H129" s="227" t="s">
        <v>1001</v>
      </c>
      <c r="I129" s="226">
        <v>43101.774965277778</v>
      </c>
      <c r="J129" s="225">
        <v>0</v>
      </c>
      <c r="K129" s="237" t="str">
        <f>IF(ISEVEN(B129),(B129-1)&amp;"/"&amp;B129,B129&amp;"/"&amp;(B129+1))</f>
        <v>4009/4010</v>
      </c>
      <c r="L129" s="245" t="str">
        <f>VLOOKUP(A129,'Trips&amp;Operators'!$C$1:$G$99911,5,FALSE)</f>
        <v>SMITH MICHAEL</v>
      </c>
      <c r="M129" s="224">
        <f>I129-F129</f>
        <v>2.47453703705105E-2</v>
      </c>
      <c r="N129" s="225">
        <f>24*60*SUM($M129:$M129)</f>
        <v>35.63333333353512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-01T16:54:36-0700',mode:absolute,to:'2018-01-01T19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5.6399999999999999E-2</v>
      </c>
      <c r="Z129" s="247">
        <f>RIGHT(H129,LEN(H129)-4)/10000</f>
        <v>23.321200000000001</v>
      </c>
      <c r="AA129" s="247">
        <f>ABS(Z129-Y129)</f>
        <v>23.264800000000001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/stypes="app*4010*20180102*"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215-01 --locoid 4010 --swversion DE.1.0.9.0 --startMP 204:564 --initTime 2018-01-01T17:54:36 --startdatetime 2018-01-01T18:00:19 --delay 61 --endMP 204:233212 --enddatetime 2018-01-01T18:35:57 --enforcementcount 0 &gt;&gt;%USERPROFILE%\Documents\GitHub\eaglep3-reporting\EC\2018-01-01-refined-times.txt</v>
      </c>
      <c r="AI12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{"issue":{"subject":"","project_id":79,"tracker_id":40,"status_id":1,"priority_id":2,"assigned_to_id":338,"start_date":"2018-01-01","description":"","custom_fields":[{"id":1,"name":"Subdivision","value":"EC"},{"id":4,"name":"Milepost","value":"23.3212"},{"id":17,"name":"Train ID","value":"215-01"},{"id":16,"name":"Locomotive ID","value":"4010"},{"id":130,"name":"Impact","value":""},{"id":150,"name":"Time of Event (Mountain Time)","value":"18:35:57"},{"id":151,"name":"Denver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4010 --day 2018-01-01</v>
      </c>
      <c r="AN129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2018-01-01T16:54:36-0700',mode:absolute,to:'2018-01-01T19:35:57-0700'))&amp;_a=(columns:!('Message%20ID',Summary),filters:!(),index:'emp_*',interval:auto,query:(query_string:(analyze_wildcard:!t,query:'%22rtdc.l.rtdc.4010%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847</v>
      </c>
      <c r="B130" s="225">
        <v>4009</v>
      </c>
      <c r="C130" s="227" t="s">
        <v>192</v>
      </c>
      <c r="D130" s="227" t="s">
        <v>1002</v>
      </c>
      <c r="E130" s="226">
        <v>43101.781006944446</v>
      </c>
      <c r="F130" s="226">
        <v>43101.790081018517</v>
      </c>
      <c r="G130" s="225">
        <v>61</v>
      </c>
      <c r="H130" s="227" t="s">
        <v>1003</v>
      </c>
      <c r="I130" s="226">
        <v>43101.815682870372</v>
      </c>
      <c r="J130" s="225">
        <v>0</v>
      </c>
      <c r="K130" s="237" t="str">
        <f>IF(ISEVEN(B130),(B130-1)&amp;"/"&amp;B130,B130&amp;"/"&amp;(B130+1))</f>
        <v>4009/4010</v>
      </c>
      <c r="L130" s="245" t="str">
        <f>VLOOKUP(A130,'Trips&amp;Operators'!$C$1:$G$99911,5,FALSE)</f>
        <v>SMITH MICHAEL</v>
      </c>
      <c r="M130" s="224">
        <f>I130-F130</f>
        <v>2.5601851855753921E-2</v>
      </c>
      <c r="N130" s="225">
        <f>24*60*SUM($M130:$M130)</f>
        <v>36.866666672285646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-01T17:44:39-0700',mode:absolute,to:'2018-01-01T20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23.289200000000001</v>
      </c>
      <c r="Z130" s="247">
        <f>RIGHT(H130,LEN(H130)-4)/10000</f>
        <v>2.7300000000000001E-2</v>
      </c>
      <c r="AA130" s="247">
        <f>ABS(Z130-Y130)</f>
        <v>23.261900000000001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/stypes="app*4009*20180102*"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216-01 --locoid 4009 --swversion DE.1.0.9.0 --startMP 204:232892 --initTime 2018-01-01T18:44:39 --startdatetime 2018-01-01T18:57:43 --delay 61 --endMP 204:273 --enddatetime 2018-01-01T19:34:35 --enforcementcount 0 &gt;&gt;%USERPROFILE%\Documents\GitHub\eaglep3-reporting\EC\2018-01-01-refined-times.txt</v>
      </c>
      <c r="AI130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{"issue":{"subject":"","project_id":79,"tracker_id":40,"status_id":1,"priority_id":2,"assigned_to_id":338,"start_date":"2018-01-01","description":"","custom_fields":[{"id":1,"name":"Subdivision","value":"EC"},{"id":4,"name":"Milepost","value":"0.0273"},{"id":17,"name":"Train ID","value":"216-01"},{"id":16,"name":"Locomotive ID","value":"4009"},{"id":130,"name":"Impact","value":""},{"id":150,"name":"Time of Event (Mountain Time)","value":"19:34:35"},{"id":151,"name":"Denver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2"/>
        <v>start /low /b %USERPROFILE%\Documents\GitHub\eaglep3\Utilities\DownloadLogsFromS3.py --loco 4009 --day 2018-01-01</v>
      </c>
      <c r="AN130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2018-01-01T17:44:39-0700',mode:absolute,to:'2018-01-01T20:34:35-0700'))&amp;_a=(columns:!('Message%20ID',Summary),filters:!(),index:'emp_*',interval:auto,query:(query_string:(analyze_wildcard:!t,query:'%22rtdc.l.rtdc.4009%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840</v>
      </c>
      <c r="B131" s="225">
        <v>4042</v>
      </c>
      <c r="C131" s="227" t="s">
        <v>192</v>
      </c>
      <c r="D131" s="227" t="s">
        <v>512</v>
      </c>
      <c r="E131" s="226">
        <v>43101.758576388886</v>
      </c>
      <c r="F131" s="226">
        <v>43101.760625000003</v>
      </c>
      <c r="G131" s="225">
        <v>86</v>
      </c>
      <c r="H131" s="227" t="s">
        <v>1004</v>
      </c>
      <c r="I131" s="226">
        <v>43101.785208333335</v>
      </c>
      <c r="J131" s="225">
        <v>0</v>
      </c>
      <c r="K131" s="237" t="str">
        <f>IF(ISEVEN(B131),(B131-1)&amp;"/"&amp;B131,B131&amp;"/"&amp;(B131+1))</f>
        <v>4041/4042</v>
      </c>
      <c r="L131" s="245" t="str">
        <f>VLOOKUP(A131,'Trips&amp;Operators'!$C$1:$G$99911,5,FALSE)</f>
        <v>HAMMOND JUSTYNN</v>
      </c>
      <c r="M131" s="224">
        <f>I131-F131</f>
        <v>2.4583333331975155E-2</v>
      </c>
      <c r="N131" s="225">
        <f>24*60*SUM($M131:$M131)</f>
        <v>35.399999998044223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-01T17:12:21-0700',mode:absolute,to:'2018-01-01T19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5.2200000000000003E-2</v>
      </c>
      <c r="Z131" s="247">
        <f>RIGHT(H131,LEN(H131)-4)/10000</f>
        <v>23.3249</v>
      </c>
      <c r="AA131" s="247">
        <f>ABS(Z131-Y131)</f>
        <v>23.2727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/stypes="app*4042*20180102*"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217-01 --locoid 4042 --swversion DE.1.0.9.0 --startMP 204:522 --initTime 2018-01-01T18:12:21 --startdatetime 2018-01-01T18:15:18 --delay 86 --endMP 204:233249 --enddatetime 2018-01-01T18:50:42 --enforcementcount 0 &gt;&gt;%USERPROFILE%\Documents\GitHub\eaglep3-reporting\EC\2018-01-01-refined-times.txt</v>
      </c>
      <c r="AI13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{"issue":{"subject":"","project_id":79,"tracker_id":40,"status_id":1,"priority_id":2,"assigned_to_id":338,"start_date":"2018-01-01","description":"","custom_fields":[{"id":1,"name":"Subdivision","value":"EC"},{"id":4,"name":"Milepost","value":"23.3249"},{"id":17,"name":"Train ID","value":"217-01"},{"id":16,"name":"Locomotive ID","value":"4042"},{"id":130,"name":"Impact","value":""},{"id":150,"name":"Time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2"/>
        <v>start /low /b %USERPROFILE%\Documents\GitHub\eaglep3\Utilities\DownloadLogsFromS3.py --loco 4042 --day 2018-01-01</v>
      </c>
      <c r="AN131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2018-01-01T17:12:21-0700',mode:absolute,to:'2018-01-01T19:50:42-0700'))&amp;_a=(columns:!('Message%20ID',Summary),filters:!(),index:'emp_*',interval:auto,query:(query_string:(analyze_wildcard:!t,query:'%22rtdc.l.rtdc.4042%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850</v>
      </c>
      <c r="B132" s="225">
        <v>4041</v>
      </c>
      <c r="C132" s="227" t="s">
        <v>192</v>
      </c>
      <c r="D132" s="227" t="s">
        <v>555</v>
      </c>
      <c r="E132" s="226">
        <v>43101.795335648145</v>
      </c>
      <c r="F132" s="226">
        <v>43101.800196759257</v>
      </c>
      <c r="G132" s="225">
        <v>76</v>
      </c>
      <c r="H132" s="227" t="s">
        <v>542</v>
      </c>
      <c r="I132" s="226">
        <v>43101.825358796297</v>
      </c>
      <c r="J132" s="225">
        <v>0</v>
      </c>
      <c r="K132" s="237" t="str">
        <f>IF(ISEVEN(B132),(B132-1)&amp;"/"&amp;B132,B132&amp;"/"&amp;(B132+1))</f>
        <v>4041/4042</v>
      </c>
      <c r="L132" s="245" t="str">
        <f>VLOOKUP(A132,'Trips&amp;Operators'!$C$1:$G$99911,5,FALSE)</f>
        <v>HAMMOND JUSTYNN</v>
      </c>
      <c r="M132" s="224">
        <f>I132-F132</f>
        <v>2.5162037039990537E-2</v>
      </c>
      <c r="N132" s="225">
        <f>24*60*SUM($M132:$M132)</f>
        <v>36.233333337586373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-01T18:05:17-0700',mode:absolute,to:'2018-01-01T20:48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23.2927</v>
      </c>
      <c r="Z132" s="247">
        <f>RIGHT(H132,LEN(H132)-4)/10000</f>
        <v>2.1399999999999999E-2</v>
      </c>
      <c r="AA132" s="247">
        <f>ABS(Z132-Y132)</f>
        <v>23.2713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/stypes="app*4041*20180102*"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218-01 --locoid 4041 --swversion DE.1.0.9.0 --startMP 204:232927 --initTime 2018-01-01T19:05:17 --startdatetime 2018-01-01T19:12:17 --delay 76 --endMP 204:214 --enddatetime 2018-01-01T19:48:31 --enforcementcount 0 &gt;&gt;%USERPROFILE%\Documents\GitHub\eaglep3-reporting\EC\2018-01-01-refined-times.txt</v>
      </c>
      <c r="AI132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{"issue":{"subject":"","project_id":79,"tracker_id":40,"status_id":1,"priority_id":2,"assigned_to_id":338,"start_date":"2018-01-01","description":"","custom_fields":[{"id":1,"name":"Subdivision","value":"EC"},{"id":4,"name":"Milepost","value":"0.0214"},{"id":17,"name":"Train ID","value":"218-01"},{"id":16,"name":"Locomotive ID","value":"4041"},{"id":130,"name":"Impact","value":""},{"id":150,"name":"Time of Event (Mountain Time)","value":"19:48:31"},{"id":151,"name":"Denver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2"/>
        <v>start /low /b %USERPROFILE%\Documents\GitHub\eaglep3\Utilities\DownloadLogsFromS3.py --loco 4041 --day 2018-01-01</v>
      </c>
      <c r="AN132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2018-01-01T18:05:17-0700',mode:absolute,to:'2018-01-01T20:48:31-0700'))&amp;_a=(columns:!('Message%20ID',Summary),filters:!(),index:'emp_*',interval:auto,query:(query_string:(analyze_wildcard:!t,query:'%22rtdc.l.rtdc.4041%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845</v>
      </c>
      <c r="B133" s="225">
        <v>4050</v>
      </c>
      <c r="C133" s="227" t="s">
        <v>192</v>
      </c>
      <c r="D133" s="227" t="s">
        <v>555</v>
      </c>
      <c r="E133" s="226">
        <v>43101.795335648145</v>
      </c>
      <c r="F133" s="226">
        <v>43101.771817129629</v>
      </c>
      <c r="G133" s="225">
        <v>76</v>
      </c>
      <c r="H133" s="227" t="s">
        <v>542</v>
      </c>
      <c r="I133" s="226">
        <v>43101.7966087963</v>
      </c>
      <c r="J133" s="225">
        <v>0</v>
      </c>
      <c r="K133" s="237" t="str">
        <f>IF(ISEVEN(B133),(B133-1)&amp;"/"&amp;B133,B133&amp;"/"&amp;(B133+1))</f>
        <v>4049/4050</v>
      </c>
      <c r="L133" s="245" t="str">
        <f>VLOOKUP(A133,'Trips&amp;Operators'!$C$1:$G$99911,5,FALSE)</f>
        <v>WILLIAMS DONTE</v>
      </c>
      <c r="M133" s="224">
        <f>I133-F133</f>
        <v>2.4791666670353152E-2</v>
      </c>
      <c r="N133" s="225">
        <f>24*60*SUM($M133:$M133)</f>
        <v>35.700000005308539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-01T18:05:17-0700',mode:absolute,to:'2018-01-01T20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v>6.6600000000000006E-2</v>
      </c>
      <c r="Z133" s="247">
        <v>23.3249</v>
      </c>
      <c r="AA133" s="247">
        <f>ABS(Z133-Y133)</f>
        <v>23.258299999999998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/stypes="app*4050*20180102*"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ref="AH133" si="20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219-01 --locoid 4050 --swversion DE.1.0.9.0 --startMP 204:232927 --initTime 2018-01-01T19:05:17 --startdatetime 2018-01-01T18:31:25 --delay 76 --endMP 204:214 --enddatetime 2018-01-01T19:07:07 --enforcementcount 0 &gt;&gt;%USERPROFILE%\Documents\GitHub\eaglep3-reporting\EC\2018-01-01-refined-times.txt</v>
      </c>
      <c r="AI133" s="238" t="str">
        <f t="shared" ref="AI133" si="21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{"issue":{"subject":"","project_id":79,"tracker_id":40,"status_id":1,"priority_id":2,"assigned_to_id":338,"start_date":"2018-01-01","description":"","custom_fields":[{"id":1,"name":"Subdivision","value":"EC"},{"id":4,"name":"Milepost","value":"23.3249"},{"id":17,"name":"Train ID","value":"219-01"},{"id":16,"name":"Locomotive ID","value":"4050"},{"id":130,"name":"Impact","value":""},{"id":150,"name":"Time of Event (Mountain Time)","value":"19:07:07"},{"id":151,"name":"Denver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ref="AM133" si="22">"start /low /b "&amp;dls3logs&amp;" --loco "&amp;B133&amp;" --day "&amp;TEXT(F133,"YYYY-MM-DD")</f>
        <v>start /low /b %USERPROFILE%\Documents\GitHub\eaglep3\Utilities\DownloadLogsFromS3.py --loco 4050 --day 2018-01-01</v>
      </c>
      <c r="AN133" s="241" t="str">
        <f t="shared" ref="AN133" si="23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ref="AO133" si="24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-01T18:05:17-0700',mode:absolute,to:'2018-01-01T20:07:07-0700'))&amp;_a=(columns:!('Message%20ID',Summary),filters:!(),index:'emp_*',interval:auto,query:(query_string:(analyze_wildcard:!t,query:'%22rtdc.l.rtdc.4050%22')),sort:!(Time.ISO8601,asc))</v>
      </c>
    </row>
    <row r="134" spans="1:91" s="20" customFormat="1" x14ac:dyDescent="0.3">
      <c r="A134" s="229" t="s">
        <v>852</v>
      </c>
      <c r="B134" s="225">
        <v>4049</v>
      </c>
      <c r="C134" s="227" t="s">
        <v>192</v>
      </c>
      <c r="D134" s="227" t="s">
        <v>1005</v>
      </c>
      <c r="E134" s="226">
        <v>43101.807060185187</v>
      </c>
      <c r="F134" s="226">
        <v>43101.810590277775</v>
      </c>
      <c r="G134" s="225">
        <v>82</v>
      </c>
      <c r="H134" s="227" t="s">
        <v>494</v>
      </c>
      <c r="I134" s="226">
        <v>43101.83662037037</v>
      </c>
      <c r="J134" s="225">
        <v>0</v>
      </c>
      <c r="K134" s="237" t="str">
        <f>IF(ISEVEN(B134),(B134-1)&amp;"/"&amp;B134,B134&amp;"/"&amp;(B134+1))</f>
        <v>4049/4050</v>
      </c>
      <c r="L134" s="245" t="str">
        <f>VLOOKUP(A134,'Trips&amp;Operators'!$C$1:$G$99911,5,FALSE)</f>
        <v>WILLIAMS DONTE</v>
      </c>
      <c r="M134" s="224">
        <f>I134-F134</f>
        <v>2.6030092594737653E-2</v>
      </c>
      <c r="N134" s="225">
        <f>24*60*SUM($M134:$M134)</f>
        <v>37.48333333642222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-01T18:22:10-0700',mode:absolute,to:'2018-01-01T21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4" s="247" t="str">
        <f>IF(AA134&lt;VLOOKUP(AG134,Variables!$AC$3:$AD$8,2,FALSE),"Y","N")</f>
        <v>N</v>
      </c>
      <c r="X134" s="247">
        <f t="shared" ref="X134:X136" si="25">VALUE(LEFT(AD134,4))-VALUE(LEFT(AD133,4))</f>
        <v>1</v>
      </c>
      <c r="Y134" s="247">
        <f>RIGHT(D134,LEN(D134)-4)/10000</f>
        <v>23.293800000000001</v>
      </c>
      <c r="Z134" s="247">
        <f>RIGHT(H134,LEN(H134)-4)/10000</f>
        <v>2.0500000000000001E-2</v>
      </c>
      <c r="AA134" s="247">
        <f>ABS(Z134-Y134)</f>
        <v>23.273300000000003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/stypes="app*4049*20180102*"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220-01 --locoid 4049 --swversion DE.1.0.9.0 --startMP 204:232938 --initTime 2018-01-01T19:22:10 --startdatetime 2018-01-01T19:27:15 --delay 82 --endMP 204:205 --enddatetime 2018-01-01T20:04:44 --enforcementcount 0 &gt;&gt;%USERPROFILE%\Documents\GitHub\eaglep3-reporting\EC\2018-01-01-refined-times.txt</v>
      </c>
      <c r="AI13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ID","value":"220-01"},{"id":16,"name":"Locomotive ID","value":"4049"},{"id":130,"name":"Impact","value":""},{"id":150,"name":"Time of Event (Mountain Time)","value":"20:04:44"},{"id":151,"name":"Denver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2"/>
        <v>start /low /b %USERPROFILE%\Documents\GitHub\eaglep3\Utilities\DownloadLogsFromS3.py --loco 4049 --day 2018-01-01</v>
      </c>
      <c r="AN134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2018-01-01T18:22:10-0700',mode:absolute,to:'2018-01-01T21:04:44-0700'))&amp;_a=(columns:!('Message%20ID',Summary),filters:!(),index:'emp_*',interval:auto,query:(query_string:(analyze_wildcard:!t,query:'%22rtdc.l.rtdc.4049%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848</v>
      </c>
      <c r="B135" s="225">
        <v>4064</v>
      </c>
      <c r="C135" s="227" t="s">
        <v>192</v>
      </c>
      <c r="D135" s="227" t="s">
        <v>496</v>
      </c>
      <c r="E135" s="226">
        <v>43101.788541666669</v>
      </c>
      <c r="F135" s="226">
        <v>43101.791828703703</v>
      </c>
      <c r="G135" s="225">
        <v>62</v>
      </c>
      <c r="H135" s="227" t="s">
        <v>1006</v>
      </c>
      <c r="I135" s="226">
        <v>43101.815763888888</v>
      </c>
      <c r="J135" s="225">
        <v>0</v>
      </c>
      <c r="K135" s="237" t="str">
        <f>IF(ISEVEN(B135),(B135-1)&amp;"/"&amp;B135,B135&amp;"/"&amp;(B135+1))</f>
        <v>4063/4064</v>
      </c>
      <c r="L135" s="245" t="str">
        <f>VLOOKUP(A135,'Trips&amp;Operators'!$C$1:$G$99911,5,FALSE)</f>
        <v>ELBAUM MIKE</v>
      </c>
      <c r="M135" s="224">
        <f>I135-F135</f>
        <v>2.3935185185109731E-2</v>
      </c>
      <c r="N135" s="225">
        <f>24*60*SUM($M135:$M135)</f>
        <v>34.466666666558012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-01T17:55:30-0700',mode:absolute,to:'2018-01-01T20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47" t="str">
        <f>IF(AA135&lt;VLOOKUP(AG135,Variables!$AC$3:$AD$8,2,FALSE),"Y","N")</f>
        <v>N</v>
      </c>
      <c r="X135" s="247">
        <f t="shared" si="25"/>
        <v>1</v>
      </c>
      <c r="Y135" s="247">
        <f>RIGHT(D135,LEN(D135)-4)/10000</f>
        <v>4.6600000000000003E-2</v>
      </c>
      <c r="Z135" s="247">
        <f>RIGHT(H135,LEN(H135)-4)/10000</f>
        <v>23.332000000000001</v>
      </c>
      <c r="AA135" s="247">
        <f>ABS(Z135-Y135)</f>
        <v>23.285399999999999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/stypes="app*4064*20180102*"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221-01 --locoid 4064 --swversion DE.1.0.9.0 --startMP 204:466 --initTime 2018-01-01T18:55:30 --startdatetime 2018-01-01T19:00:14 --delay 62 --endMP 204:233320 --enddatetime 2018-01-01T19:34:42 --enforcementcount 0 &gt;&gt;%USERPROFILE%\Documents\GitHub\eaglep3-reporting\EC\2018-01-01-refined-times.txt</v>
      </c>
      <c r="AI135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{"issue":{"subject":"","project_id":79,"tracker_id":40,"status_id":1,"priority_id":2,"assigned_to_id":338,"start_date":"2018-01-01","description":"","custom_fields":[{"id":1,"name":"Subdivision","value":"EC"},{"id":4,"name":"Milepost","value":"23.332"},{"id":17,"name":"Train ID","value":"221-01"},{"id":16,"name":"Locomotive ID","value":"4064"},{"id":130,"name":"Impact","value":""},{"id":150,"name":"Time of Event (Mountain Time)","value":"19:34:42"},{"id":151,"name":"Denver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2"/>
        <v>start /low /b %USERPROFILE%\Documents\GitHub\eaglep3\Utilities\DownloadLogsFromS3.py --loco 4064 --day 2018-01-01</v>
      </c>
      <c r="AN135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2018-01-01T17:55:30-0700',mode:absolute,to:'2018-01-01T20:34:42-0700'))&amp;_a=(columns:!('Message%20ID',Summary),filters:!(),index:'emp_*',interval:auto,query:(query_string:(analyze_wildcard:!t,query:'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855</v>
      </c>
      <c r="B136" s="225">
        <v>4063</v>
      </c>
      <c r="C136" s="227" t="s">
        <v>192</v>
      </c>
      <c r="D136" s="227" t="s">
        <v>1007</v>
      </c>
      <c r="E136" s="226">
        <v>43101.817210648151</v>
      </c>
      <c r="F136" s="226">
        <v>43101.831388888888</v>
      </c>
      <c r="G136" s="225">
        <v>72</v>
      </c>
      <c r="H136" s="227" t="s">
        <v>594</v>
      </c>
      <c r="I136" s="226">
        <v>43101.857800925929</v>
      </c>
      <c r="J136" s="225">
        <v>0</v>
      </c>
      <c r="K136" s="237" t="str">
        <f>IF(ISEVEN(B136),(B136-1)&amp;"/"&amp;B136,B136&amp;"/"&amp;(B136+1))</f>
        <v>4063/4064</v>
      </c>
      <c r="L136" s="245" t="str">
        <f>VLOOKUP(A136,'Trips&amp;Operators'!$C$1:$G$99911,5,FALSE)</f>
        <v>ELBAUM MIKE</v>
      </c>
      <c r="M136" s="224">
        <f>I136-F136</f>
        <v>2.641203704115469E-2</v>
      </c>
      <c r="N136" s="225">
        <f>24*60*SUM($M136:$M136)</f>
        <v>38.033333339262754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-01T18:36:47-0700',mode:absolute,to:'2018-01-01T21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47" t="str">
        <f>IF(AA136&lt;VLOOKUP(AG136,Variables!$AC$3:$AD$8,2,FALSE),"Y","N")</f>
        <v>N</v>
      </c>
      <c r="X136" s="247">
        <f t="shared" si="25"/>
        <v>1</v>
      </c>
      <c r="Y136" s="247">
        <f>RIGHT(D136,LEN(D136)-4)/10000</f>
        <v>23.2988</v>
      </c>
      <c r="Z136" s="247">
        <f>RIGHT(H136,LEN(H136)-4)/10000</f>
        <v>1.78E-2</v>
      </c>
      <c r="AA136" s="247">
        <f>ABS(Z136-Y136)</f>
        <v>23.280999999999999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/stypes="app*4063*20180102*"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222-01 --locoid 4063 --swversion DE.1.0.9.0 --startMP 204:232988 --initTime 2018-01-01T19:36:47 --startdatetime 2018-01-01T19:57:12 --delay 72 --endMP 204:178 --enddatetime 2018-01-01T20:35:14 --enforcementcount 0 &gt;&gt;%USERPROFILE%\Documents\GitHub\eaglep3-reporting\EC\2018-01-01-refined-times.txt</v>
      </c>
      <c r="AI136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{"issue":{"subject":"","project_id":79,"tracker_id":40,"status_id":1,"priority_id":2,"assigned_to_id":338,"start_date":"2018-01-01","description":"","custom_fields":[{"id":1,"name":"Subdivision","value":"EC"},{"id":4,"name":"Milepost","value":"0.0178"},{"id":17,"name":"Train ID","value":"222-01"},{"id":16,"name":"Locomotive ID","value":"4063"},{"id":130,"name":"Impact","value":""},{"id":150,"name":"Time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2"/>
        <v>start /low /b %USERPROFILE%\Documents\GitHub\eaglep3\Utilities\DownloadLogsFromS3.py --loco 4063 --day 2018-01-01</v>
      </c>
      <c r="AN136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2018-01-01T18:36:47-0700',mode:absolute,to:'2018-01-01T21:35:14-0700'))&amp;_a=(columns:!('Message%20ID',Summary),filters:!(),index:'emp_*',interval:auto,query:(query_string:(analyze_wildcard:!t,query:'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3">
      <c r="A137" s="229" t="s">
        <v>853</v>
      </c>
      <c r="B137" s="225">
        <v>4020</v>
      </c>
      <c r="C137" s="227" t="s">
        <v>192</v>
      </c>
      <c r="D137" s="227" t="s">
        <v>543</v>
      </c>
      <c r="E137" s="226">
        <v>43101.807696759257</v>
      </c>
      <c r="F137" s="226">
        <v>43101.812685185185</v>
      </c>
      <c r="G137" s="225">
        <v>64</v>
      </c>
      <c r="H137" s="227" t="s">
        <v>651</v>
      </c>
      <c r="I137" s="226">
        <v>43101.837604166663</v>
      </c>
      <c r="J137" s="225">
        <v>0</v>
      </c>
      <c r="K137" s="237" t="str">
        <f>IF(ISEVEN(B137),(B137-1)&amp;"/"&amp;B137,B137&amp;"/"&amp;(B137+1))</f>
        <v>4019/4020</v>
      </c>
      <c r="L137" s="245" t="str">
        <f>VLOOKUP(A137,'Trips&amp;Operators'!$C$1:$G$99911,5,FALSE)</f>
        <v>LORI SANTOS</v>
      </c>
      <c r="M137" s="224">
        <f>I137-F137</f>
        <v>2.491898147854954E-2</v>
      </c>
      <c r="N137" s="225">
        <f>24*60*SUM($M137:$M137)</f>
        <v>35.883333329111338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-01T18:23:05-0700',mode:absolute,to:'2018-01-01T21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5.1900000000000002E-2</v>
      </c>
      <c r="Z137" s="247">
        <f>RIGHT(H137,LEN(H137)-4)/10000</f>
        <v>23.325299999999999</v>
      </c>
      <c r="AA137" s="247">
        <f>ABS(Z137-Y137)</f>
        <v>23.273399999999999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223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/stypes="app*4020*20180102*"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223-01 --locoid 4020 --swversion DE.1.0.9.0 --startMP 204:519 --initTime 2018-01-01T19:23:05 --startdatetime 2018-01-01T19:30:16 --delay 64 --endMP 204:233253 --enddatetime 2018-01-01T20:06:09 --enforcementcount 0 &gt;&gt;%USERPROFILE%\Documents\GitHub\eaglep3-reporting\EC\2018-01-01-refined-times.txt</v>
      </c>
      <c r="AI137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{"issue":{"subject":"","project_id":79,"tracker_id":40,"status_id":1,"priority_id":2,"assigned_to_id":338,"start_date":"2018-01-01","description":"","custom_fields":[{"id":1,"name":"Subdivision","value":"EC"},{"id":4,"name":"Milepost","value":"23.3253"},{"id":17,"name":"Train ID","value":"223-01"},{"id":16,"name":"Locomotive ID","value":"4020"},{"id":130,"name":"Impact","value":""},{"id":150,"name":"Time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si="12"/>
        <v>start /low /b %USERPROFILE%\Documents\GitHub\eaglep3\Utilities\DownloadLogsFromS3.py --loco 4020 --day 2018-01-01</v>
      </c>
      <c r="AN137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2018-01-01T18:23:05-0700',mode:absolute,to:'2018-01-01T21:06:09-0700'))&amp;_a=(columns:!('Message%20ID',Summary),filters:!(),index:'emp_*',interval:auto,query:(query_string:(analyze_wildcard:!t,query:'%22rtdc.l.rtdc.4020%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859</v>
      </c>
      <c r="B138" s="225">
        <v>4019</v>
      </c>
      <c r="C138" s="227" t="s">
        <v>192</v>
      </c>
      <c r="D138" s="227" t="s">
        <v>1008</v>
      </c>
      <c r="E138" s="226">
        <v>43101.843229166669</v>
      </c>
      <c r="F138" s="226">
        <v>43101.852256944447</v>
      </c>
      <c r="G138" s="225">
        <v>59</v>
      </c>
      <c r="H138" s="227" t="s">
        <v>564</v>
      </c>
      <c r="I138" s="226">
        <v>43101.878761574073</v>
      </c>
      <c r="J138" s="225">
        <v>0</v>
      </c>
      <c r="K138" s="237" t="str">
        <f>IF(ISEVEN(B138),(B138-1)&amp;"/"&amp;B138,B138&amp;"/"&amp;(B138+1))</f>
        <v>4019/4020</v>
      </c>
      <c r="L138" s="245" t="str">
        <f>VLOOKUP(A138,'Trips&amp;Operators'!$C$1:$G$99911,5,FALSE)</f>
        <v>LORI SANTOS</v>
      </c>
      <c r="M138" s="224">
        <f>I138-F138</f>
        <v>2.6504629626288079E-2</v>
      </c>
      <c r="N138" s="225">
        <f>24*60*SUM($M138:$M138)</f>
        <v>38.166666661854833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-01T19:14:15-0700',mode:absolute,to:'2018-01-01T22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23.292300000000001</v>
      </c>
      <c r="Z138" s="247">
        <f>RIGHT(H138,LEN(H138)-4)/10000</f>
        <v>2.5600000000000001E-2</v>
      </c>
      <c r="AA138" s="247">
        <f>ABS(Z138-Y138)</f>
        <v>23.2667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224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/stypes="app*4019*20180102*"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224-01 --locoid 4019 --swversion DE.1.0.9.0 --startMP 204:232923 --initTime 2018-01-01T20:14:15 --startdatetime 2018-01-01T20:27:15 --delay 59 --endMP 204:256 --enddatetime 2018-01-01T21:05:25 --enforcementcount 0 &gt;&gt;%USERPROFILE%\Documents\GitHub\eaglep3-reporting\EC\2018-01-01-refined-times.txt</v>
      </c>
      <c r="AI138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{"issue":{"subject":"","project_id":79,"tracker_id":40,"status_id":1,"priority_id":2,"assigned_to_id":338,"start_date":"2018-01-01","description":"","custom_fields":[{"id":1,"name":"Subdivision","value":"EC"},{"id":4,"name":"Milepost","value":"0.0256"},{"id":17,"name":"Train ID","value":"224-01"},{"id":16,"name":"Locomotive ID","value":"4019"},{"id":130,"name":"Impact","value":""},{"id":150,"name":"Time of Event (Mountain Time)","value":"21:05:25"},{"id":151,"name":"Denver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2"/>
        <v>start /low /b %USERPROFILE%\Documents\GitHub\eaglep3\Utilities\DownloadLogsFromS3.py --loco 4019 --day 2018-01-01</v>
      </c>
      <c r="AN138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2018-01-01T19:14:15-0700',mode:absolute,to:'2018-01-01T22:05:25-0700'))&amp;_a=(columns:!('Message%20ID',Summary),filters:!(),index:'emp_*',interval:auto,query:(query_string:(analyze_wildcard:!t,query:'%22rtdc.l.rtdc.4019%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857</v>
      </c>
      <c r="B139" s="225">
        <v>4042</v>
      </c>
      <c r="C139" s="227" t="s">
        <v>192</v>
      </c>
      <c r="D139" s="227" t="s">
        <v>591</v>
      </c>
      <c r="E139" s="226">
        <v>43101.829050925924</v>
      </c>
      <c r="F139" s="226">
        <v>43101.833634259259</v>
      </c>
      <c r="G139" s="225">
        <v>74</v>
      </c>
      <c r="H139" s="227" t="s">
        <v>1009</v>
      </c>
      <c r="I139" s="226">
        <v>43101.858055555553</v>
      </c>
      <c r="J139" s="225">
        <v>0</v>
      </c>
      <c r="K139" s="237" t="str">
        <f>IF(ISEVEN(B139),(B139-1)&amp;"/"&amp;B139,B139&amp;"/"&amp;(B139+1))</f>
        <v>4041/4042</v>
      </c>
      <c r="L139" s="245" t="str">
        <f>VLOOKUP(A139,'Trips&amp;Operators'!$C$1:$G$99911,5,FALSE)</f>
        <v>GUNTHIER ERIC</v>
      </c>
      <c r="M139" s="224">
        <f>I139-F139</f>
        <v>2.4421296293439809E-2</v>
      </c>
      <c r="N139" s="225">
        <f>24*60*SUM($M139:$M139)</f>
        <v>35.166666662553325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-01T18:53:50-0700',mode:absolute,to:'2018-01-01T21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5.0900000000000001E-2</v>
      </c>
      <c r="Z139" s="247">
        <f>RIGHT(H139,LEN(H139)-4)/10000</f>
        <v>23.323399999999999</v>
      </c>
      <c r="AA139" s="247">
        <f>ABS(Z139-Y139)</f>
        <v>23.272500000000001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225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/stypes="app*4042*20180102*" /stext=" 03:.+((SYSTEM_STATE.+slice.+state.+changed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225-01 --locoid 4042 --swversion DE.1.0.9.0 --startMP 204:509 --initTime 2018-01-01T19:53:50 --startdatetime 2018-01-01T20:00:26 --delay 74 --endMP 204:233234 --enddatetime 2018-01-01T20:35:36 --enforcementcount 0 &gt;&gt;%USERPROFILE%\Documents\GitHub\eaglep3-reporting\EC\2018-01-01-refined-times.txt</v>
      </c>
      <c r="AI139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{"issue":{"subject":"","project_id":79,"tracker_id":40,"status_id":1,"priority_id":2,"assigned_to_id":338,"start_date":"2018-01-01","description":"","custom_fields":[{"id":1,"name":"Subdivision","value":"EC"},{"id":4,"name":"Milepost","value":"23.3234"},{"id":17,"name":"Train ID","value":"225-01"},{"id":16,"name":"Locomotive ID","value":"4042"},{"id":130,"name":"Impact","value":""},{"id":150,"name":"Time of Event (Mountain Time)","value":"20:35:36"},{"id":151,"name":"Denver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2"/>
        <v>start /low /b %USERPROFILE%\Documents\GitHub\eaglep3\Utilities\DownloadLogsFromS3.py --loco 4042 --day 2018-01-01</v>
      </c>
      <c r="AN139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2018-01-01T18:53:50-0700',mode:absolute,to:'2018-01-01T21:35:36-0700'))&amp;_a=(columns:!('Message%20ID',Summary),filters:!(),index:'emp_*',interval:auto,query:(query_string:(analyze_wildcard:!t,query:'%22rtdc.l.rtdc.4042%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674</v>
      </c>
      <c r="B140" s="225">
        <v>4041</v>
      </c>
      <c r="C140" s="227" t="s">
        <v>192</v>
      </c>
      <c r="D140" s="227" t="s">
        <v>626</v>
      </c>
      <c r="E140" s="226">
        <v>43101.863032407404</v>
      </c>
      <c r="F140" s="226">
        <v>43101.873101851852</v>
      </c>
      <c r="G140" s="225">
        <v>289</v>
      </c>
      <c r="H140" s="227" t="s">
        <v>931</v>
      </c>
      <c r="I140" s="226">
        <v>43101.900057870371</v>
      </c>
      <c r="J140" s="225">
        <v>0</v>
      </c>
      <c r="K140" s="237" t="str">
        <f>IF(ISEVEN(B140),(B140-1)&amp;"/"&amp;B140,B140&amp;"/"&amp;(B140+1))</f>
        <v>4041/4042</v>
      </c>
      <c r="L140" s="245" t="str">
        <f>VLOOKUP(A140,'Trips&amp;Operators'!$C$1:$G$99911,5,FALSE)</f>
        <v>GUNTHIER ERIC</v>
      </c>
      <c r="M140" s="224">
        <f>I140-F140</f>
        <v>2.6956018518831115E-2</v>
      </c>
      <c r="N140" s="225">
        <f>24*60*SUM($M140:$M140)</f>
        <v>38.816666667116806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-01T19:42:46-0700',mode:absolute,to:'2018-01-01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23.294899999999998</v>
      </c>
      <c r="Z140" s="247">
        <f>RIGHT(H140,LEN(H140)-4)/10000</f>
        <v>2.4E-2</v>
      </c>
      <c r="AA140" s="247">
        <f>ABS(Z140-Y140)</f>
        <v>23.270899999999997</v>
      </c>
      <c r="AB140" s="233" t="str">
        <f>VLOOKUP(A140,Enforcements!$C$7:$K$9,8,0)</f>
        <v>Bulletin (2)</v>
      </c>
      <c r="AC140" s="232" t="str">
        <f>VLOOKUP(A140,Enforcements!$C$7:$E$9,3,0)</f>
        <v>GRADE CROSSING</v>
      </c>
      <c r="AD140" s="243">
        <f>VALUE(LEFT(A140,LEN(A140)-3))</f>
        <v>226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/stypes="app*4041*20180102*"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226-01 --locoid 4041 --swversion DE.1.0.9.0 --startMP 204:232949 --initTime 2018-01-01T20:42:46 --startdatetime 2018-01-01T20:57:16 --delay 289 --endMP 204:240 --enddatetime 2018-01-01T21:36:05 --enforcementcount 0 &gt;&gt;%USERPROFILE%\Documents\GitHub\eaglep3-reporting\EC\2018-01-01-refined-times.txt</v>
      </c>
      <c r="AI140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{"issue":{"subject":"","project_id":79,"tracker_id":40,"status_id":1,"priority_id":2,"assigned_to_id":338,"start_date":"2018-01-01","description":"","custom_fields":[{"id":1,"name":"Subdivision","value":"EC"},{"id":4,"name":"Milepost","value":"0.024"},{"id":17,"name":"Train ID","value":"226-01"},{"id":16,"name":"Locomotive ID","value":"4041"},{"id":130,"name":"Impact","value":""},{"id":150,"name":"Time of Event (Mountain Time)","value":"21:36:05"},{"id":151,"name":"Denver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2"/>
        <v>start /low /b %USERPROFILE%\Documents\GitHub\eaglep3\Utilities\DownloadLogsFromS3.py --loco 4041 --day 2018-01-01</v>
      </c>
      <c r="AN140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2018-01-01T19:42:46-0700',mode:absolute,to:'2018-01-01T22:36:05-0700'))&amp;_a=(columns:!('Message%20ID',Summary),filters:!(),index:'emp_*',interval:auto,query:(query_string:(analyze_wildcard:!t,query:'%22rtdc.l.rtdc.4041%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673</v>
      </c>
      <c r="B141" s="225">
        <v>4050</v>
      </c>
      <c r="C141" s="227" t="s">
        <v>192</v>
      </c>
      <c r="D141" s="227" t="s">
        <v>500</v>
      </c>
      <c r="E141" s="226">
        <v>43101.842800925922</v>
      </c>
      <c r="F141" s="226">
        <v>43101.854328703703</v>
      </c>
      <c r="G141" s="225">
        <v>92</v>
      </c>
      <c r="H141" s="227" t="s">
        <v>599</v>
      </c>
      <c r="I141" s="226">
        <v>43101.879502314812</v>
      </c>
      <c r="J141" s="225">
        <v>0</v>
      </c>
      <c r="K141" s="237" t="str">
        <f>IF(ISEVEN(B141),(B141-1)&amp;"/"&amp;B141,B141&amp;"/"&amp;(B141+1))</f>
        <v>4049/4050</v>
      </c>
      <c r="L141" s="245" t="str">
        <f>VLOOKUP(A141,'Trips&amp;Operators'!$C$1:$G$99911,5,FALSE)</f>
        <v>AUSTIN THOMPSON</v>
      </c>
      <c r="M141" s="224">
        <f>I141-F141</f>
        <v>2.5173611109494232E-2</v>
      </c>
      <c r="N141" s="225">
        <f>24*60*SUM($M141:$M141)</f>
        <v>36.249999997671694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-01T19:13:38-0700',mode:absolute,to:'2018-01-01T22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5.1700000000000003E-2</v>
      </c>
      <c r="Z141" s="247">
        <f>RIGHT(H141,LEN(H141)-4)/10000</f>
        <v>23.325700000000001</v>
      </c>
      <c r="AA141" s="247">
        <f>ABS(Z141-Y141)</f>
        <v>23.274000000000001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227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/stypes="app*4050*20180102*"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227-01 --locoid 4050 --swversion DE.1.0.9.0 --startMP 204:517 --initTime 2018-01-01T20:13:38 --startdatetime 2018-01-01T20:30:14 --delay 92 --endMP 204:233257 --enddatetime 2018-01-01T21:06:29 --enforcementcount 0 &gt;&gt;%USERPROFILE%\Documents\GitHub\eaglep3-reporting\EC\2018-01-01-refined-times.txt</v>
      </c>
      <c r="AI141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{"issue":{"subject":"","project_id":79,"tracker_id":40,"status_id":1,"priority_id":2,"assigned_to_id":338,"start_date":"2018-01-01","description":"","custom_fields":[{"id":1,"name":"Subdivision","value":"EC"},{"id":4,"name":"Milepost","value":"23.3257"},{"id":17,"name":"Train ID","value":"227-01"},{"id":16,"name":"Locomotive ID","value":"4050"},{"id":130,"name":"Impact","value":""},{"id":150,"name":"Time of Event (Mountain Time)","value":"21:06:29"},{"id":151,"name":"Denver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12"/>
        <v>start /low /b %USERPROFILE%\Documents\GitHub\eaglep3\Utilities\DownloadLogsFromS3.py --loco 4050 --day 2018-01-01</v>
      </c>
      <c r="AN141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2018-01-01T19:13:38-0700',mode:absolute,to:'2018-01-01T22:06:29-0700'))&amp;_a=(columns:!('Message%20ID',Summary),filters:!(),index:'emp_*',interval:auto,query:(query_string:(analyze_wildcard:!t,query:'%22rtdc.l.rtdc.4050%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675</v>
      </c>
      <c r="B142" s="225">
        <v>4049</v>
      </c>
      <c r="C142" s="227" t="s">
        <v>192</v>
      </c>
      <c r="D142" s="227" t="s">
        <v>500</v>
      </c>
      <c r="E142" s="226">
        <v>43101.842800925922</v>
      </c>
      <c r="F142" s="226">
        <v>43101.894085648149</v>
      </c>
      <c r="G142" s="225">
        <v>92</v>
      </c>
      <c r="H142" s="227" t="s">
        <v>599</v>
      </c>
      <c r="I142" s="226">
        <v>43101.920046296298</v>
      </c>
      <c r="J142" s="225">
        <v>0</v>
      </c>
      <c r="K142" s="237" t="str">
        <f>IF(ISEVEN(B142),(B142-1)&amp;"/"&amp;B142,B142&amp;"/"&amp;(B142+1))</f>
        <v>4049/4050</v>
      </c>
      <c r="L142" s="245" t="str">
        <f>VLOOKUP(A142,'Trips&amp;Operators'!$C$1:$G$99911,5,FALSE)</f>
        <v>AUSTIN THOMPSON</v>
      </c>
      <c r="M142" s="224">
        <f>I142-F142</f>
        <v>2.5960648148611654E-2</v>
      </c>
      <c r="N142" s="225">
        <f>24*60*SUM($M142:$M142)</f>
        <v>37.383333334000781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-01T19:13:38-0700',mode:absolute,to:'2018-01-01T23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v>23.2685</v>
      </c>
      <c r="Z142" s="247">
        <v>2.3800000000000002E-2</v>
      </c>
      <c r="AA142" s="247">
        <f>ABS(Z142-Y142)</f>
        <v>23.244699999999998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228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/stypes="app*4049*20180102*"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ref="AH142" si="2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228-01 --locoid 4049 --swversion DE.1.0.9.0 --startMP 204:517 --initTime 2018-01-01T20:13:38 --startdatetime 2018-01-01T21:27:29 --delay 92 --endMP 204:233257 --enddatetime 2018-01-01T22:04:52 --enforcementcount 0 &gt;&gt;%USERPROFILE%\Documents\GitHub\eaglep3-reporting\EC\2018-01-01-refined-times.txt</v>
      </c>
      <c r="AI142" s="238" t="str">
        <f t="shared" ref="AI142" si="2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{"issue":{"subject":"","project_id":79,"tracker_id":40,"status_id":1,"priority_id":2,"assigned_to_id":338,"start_date":"2018-01-01","description":"","custom_fields":[{"id":1,"name":"Subdivision","value":"EC"},{"id":4,"name":"Milepost","value":"0.0238"},{"id":17,"name":"Train ID","value":"228-01"},{"id":16,"name":"Locomotive ID","value":"4049"},{"id":130,"name":"Impact","value":""},{"id":150,"name":"Time of Event (Mountain Time)","value":"22:04:52"},{"id":151,"name":"Denver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ref="AM142" si="28">"start /low /b "&amp;dls3logs&amp;" --loco "&amp;B142&amp;" --day "&amp;TEXT(F142,"YYYY-MM-DD")</f>
        <v>start /low /b %USERPROFILE%\Documents\GitHub\eaglep3\Utilities\DownloadLogsFromS3.py --loco 4049 --day 2018-01-01</v>
      </c>
      <c r="AN142" s="241" t="str">
        <f t="shared" ref="AN142" si="29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" si="30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-01T19:13:38-0700',mode:absolute,to:'2018-01-01T23:04:52-0700'))&amp;_a=(columns:!('Message%20ID',Summary),filters:!(),index:'emp_*',interval:auto,query:(query_string:(analyze_wildcard:!t,query:'%22rtdc.l.rtdc.4049%22')),sort:!(Time.ISO8601,asc))</v>
      </c>
    </row>
    <row r="143" spans="1:91" s="223" customFormat="1" x14ac:dyDescent="0.3">
      <c r="A143" s="229" t="s">
        <v>861</v>
      </c>
      <c r="B143" s="225">
        <v>4064</v>
      </c>
      <c r="C143" s="227" t="s">
        <v>192</v>
      </c>
      <c r="D143" s="227" t="s">
        <v>537</v>
      </c>
      <c r="E143" s="226">
        <v>43101.860150462962</v>
      </c>
      <c r="F143" s="226">
        <v>43101.875162037039</v>
      </c>
      <c r="G143" s="225">
        <v>49</v>
      </c>
      <c r="H143" s="227" t="s">
        <v>1010</v>
      </c>
      <c r="I143" s="226">
        <v>43101.899259259262</v>
      </c>
      <c r="J143" s="225">
        <v>0</v>
      </c>
      <c r="K143" s="237" t="str">
        <f>IF(ISEVEN(B143),(B143-1)&amp;"/"&amp;B143,B143&amp;"/"&amp;(B143+1))</f>
        <v>4063/4064</v>
      </c>
      <c r="L143" s="245" t="str">
        <f>VLOOKUP(A143,'Trips&amp;Operators'!$C$1:$G$99911,5,FALSE)</f>
        <v>ELBAUM MIKE</v>
      </c>
      <c r="M143" s="224">
        <f>I143-F143</f>
        <v>2.4097222223645076E-2</v>
      </c>
      <c r="N143" s="225">
        <f>24*60*SUM($M143:$M143)</f>
        <v>34.70000000204891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-01T19:38:37-0700',mode:absolute,to:'2018-01-01T22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47" t="str">
        <f>IF(AA143&lt;VLOOKUP(AG143,Variables!$AC$3:$AD$8,2,FALSE),"Y","N")</f>
        <v>N</v>
      </c>
      <c r="X143" s="247">
        <f t="shared" ref="X143:X144" si="31">VALUE(LEFT(AD143,4))-VALUE(LEFT(AD142,4))</f>
        <v>1</v>
      </c>
      <c r="Y143" s="247">
        <f>RIGHT(D143,LEN(D143)-4)/10000</f>
        <v>4.8899999999999999E-2</v>
      </c>
      <c r="Z143" s="247">
        <f>RIGHT(H143,LEN(H143)-4)/10000</f>
        <v>23.334599999999998</v>
      </c>
      <c r="AA143" s="247">
        <f>ABS(Z143-Y143)</f>
        <v>23.285699999999999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229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/stypes="app*4064*20180102*" /stext=" 04:.+((SYSTEM_STATE.+slice.+state.+changed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0"/>
        <v>"%USERPROFILE%\Documents\GitHub\eaglep3\Utilities\RefineRTDCRunTimes.py" --tripid 229-01 --locoid 4064 --swversion DE.1.0.9.0 --startMP 204:489 --initTime 2018-01-01T20:38:37 --startdatetime 2018-01-01T21:00:14 --delay 49 --endMP 204:233346 --enddatetime 2018-01-01T21:34:56 --enforcementcount 0 &gt;&gt;%USERPROFILE%\Documents\GitHub\eaglep3-reporting\EC\2018-01-01-refined-times.txt</v>
      </c>
      <c r="AI143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{"issue":{"subject":"","project_id":79,"tracker_id":40,"status_id":1,"priority_id":2,"assigned_to_id":338,"start_date":"2018-01-01","description":"","custom_fields":[{"id":1,"name":"Subdivision","value":"EC"},{"id":4,"name":"Milepost","value":"23.3346"},{"id":17,"name":"Train ID","value":"229-01"},{"id":16,"name":"Locomotive ID","value":"4064"},{"id":130,"name":"Impact","value":""},{"id":150,"name":"Time of Event (Mountain Time)","value":"21:34:56"},{"id":151,"name":"Denver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12"/>
        <v>start /low /b %USERPROFILE%\Documents\GitHub\eaglep3\Utilities\DownloadLogsFromS3.py --loco 4064 --day 2018-01-01</v>
      </c>
      <c r="AN143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14"/>
        <v>https://d0f6bd738d7f1b3e5a7ca70fe4ff75f0.us-east-1.aws.found.io/app/kibana#/discover/Steve-Slow-Train-Analysis-(2080s-and-2083s)?_g=(refreshInterval:(display:Off,pause:!f,section:0,value:0),time:(from:'2018-01-01T19:38:37-0700',mode:absolute,to:'2018-01-01T22:34:56-0700'))&amp;_a=(columns:!('Message%20ID',Summary),filters:!(),index:'emp_*',interval:auto,query:(query_string:(analyze_wildcard:!t,query:'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864</v>
      </c>
      <c r="B144" s="225">
        <v>4063</v>
      </c>
      <c r="C144" s="227" t="s">
        <v>192</v>
      </c>
      <c r="D144" s="227" t="s">
        <v>1011</v>
      </c>
      <c r="E144" s="226">
        <v>43101.900636574072</v>
      </c>
      <c r="F144" s="226">
        <v>43101.914930555555</v>
      </c>
      <c r="G144" s="225">
        <v>57</v>
      </c>
      <c r="H144" s="227" t="s">
        <v>491</v>
      </c>
      <c r="I144" s="226">
        <v>43101.94027777778</v>
      </c>
      <c r="J144" s="225">
        <v>0</v>
      </c>
      <c r="K144" s="237" t="str">
        <f>IF(ISEVEN(B144),(B144-1)&amp;"/"&amp;B144,B144&amp;"/"&amp;(B144+1))</f>
        <v>4063/4064</v>
      </c>
      <c r="L144" s="245" t="str">
        <f>VLOOKUP(A144,'Trips&amp;Operators'!$C$1:$G$99911,5,FALSE)</f>
        <v>ELBAUM MIKE</v>
      </c>
      <c r="M144" s="224">
        <f>I144-F144</f>
        <v>2.5347222224809229E-2</v>
      </c>
      <c r="N144" s="225">
        <f>24*60*SUM($M144:$M144)</f>
        <v>36.50000000372529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-01T20:36:55-0700',mode:absolute,to:'2018-01-01T23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47" t="str">
        <f>IF(AA144&lt;VLOOKUP(AG144,Variables!$AC$3:$AD$8,2,FALSE),"Y","N")</f>
        <v>N</v>
      </c>
      <c r="X144" s="247">
        <f t="shared" si="31"/>
        <v>1</v>
      </c>
      <c r="Y144" s="247">
        <f>RIGHT(D144,LEN(D144)-4)/10000</f>
        <v>23.303000000000001</v>
      </c>
      <c r="Z144" s="247">
        <f>RIGHT(H144,LEN(H144)-4)/10000</f>
        <v>1.8499999999999999E-2</v>
      </c>
      <c r="AA144" s="247">
        <f>ABS(Z144-Y144)</f>
        <v>23.284500000000001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230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/stypes="app*4063*20180102*"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0"/>
        <v>"%USERPROFILE%\Documents\GitHub\eaglep3\Utilities\RefineRTDCRunTimes.py" --tripid 230-01 --locoid 4063 --swversion DE.1.0.9.0 --startMP 204:233030 --initTime 2018-01-01T21:36:55 --startdatetime 2018-01-01T21:57:30 --delay 57 --endMP 204:185 --enddatetime 2018-01-01T22:34:00 --enforcementcount 0 &gt;&gt;%USERPROFILE%\Documents\GitHub\eaglep3-reporting\EC\2018-01-01-refined-times.txt</v>
      </c>
      <c r="AI144" s="238" t="str">
        <f t="shared" si="11"/>
        <v>echo {"issue":{"subject":"","project_id":79,"tracker_id":40,"status_id":1,"priority_id":2,"assigned_to_id":338,"start_date":"2018-01-01","description":"","custom_fields":[{"id":1,"name":"Subdivision","value":"EC"},{"id":4,"name":"Milepost","value":"0.0185"},{"id":17,"name":"Train ID","value":"230-01"},{"id":16,"name":"Locomotive ID","value":"4063"},{"id":130,"name":"Impact","value":""},{"id":150,"name":"Time of Event (Mountain Time)","value":"22:34:00"},{"id":151,"name":"Denver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2"/>
        <v>start /low /b %USERPROFILE%\Documents\GitHub\eaglep3\Utilities\DownloadLogsFromS3.py --loco 4063 --day 2018-01-01</v>
      </c>
      <c r="AN144" s="241" t="str">
        <f t="shared" si="1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14"/>
        <v>https://d0f6bd738d7f1b3e5a7ca70fe4ff75f0.us-east-1.aws.found.io/app/kibana#/discover/Steve-Slow-Train-Analysis-(2080s-and-2083s)?_g=(refreshInterval:(display:Off,pause:!f,section:0,value:0),time:(from:'2018-01-01T20:36:55-0700',mode:absolute,to:'2018-01-01T23:34:00-0700'))&amp;_a=(columns:!('Message%20ID',Summary),filters:!(),index:'emp_*',interval:auto,query:(query_string:(analyze_wildcard:!t,query:'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863</v>
      </c>
      <c r="B145" s="225">
        <v>4020</v>
      </c>
      <c r="C145" s="227" t="s">
        <v>192</v>
      </c>
      <c r="D145" s="227" t="s">
        <v>1012</v>
      </c>
      <c r="E145" s="226">
        <v>43101.883217592593</v>
      </c>
      <c r="F145" s="226">
        <v>43101.896134259259</v>
      </c>
      <c r="G145" s="225">
        <v>68</v>
      </c>
      <c r="H145" s="227" t="s">
        <v>596</v>
      </c>
      <c r="I145" s="226">
        <v>43101.921006944445</v>
      </c>
      <c r="J145" s="225">
        <v>0</v>
      </c>
      <c r="K145" s="237" t="str">
        <f>IF(ISEVEN(B145),(B145-1)&amp;"/"&amp;B145,B145&amp;"/"&amp;(B145+1))</f>
        <v>4019/4020</v>
      </c>
      <c r="L145" s="245" t="str">
        <f>VLOOKUP(A145,'Trips&amp;Operators'!$C$1:$G$99911,5,FALSE)</f>
        <v>LOZA FIDEL</v>
      </c>
      <c r="M145" s="224">
        <f>I145-F145</f>
        <v>2.4872685185982846E-2</v>
      </c>
      <c r="N145" s="225">
        <f>24*60*SUM($M145:$M145)</f>
        <v>35.816666667815298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-01T20:11:50-0700',mode:absolute,to:'2018-01-01T23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5.5100000000000003E-2</v>
      </c>
      <c r="Z145" s="247">
        <f>RIGHT(H145,LEN(H145)-4)/10000</f>
        <v>23.3261</v>
      </c>
      <c r="AA145" s="247">
        <f>ABS(Z145-Y145)</f>
        <v>23.271000000000001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231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/stypes="app*4020*20180102*"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ref="AH145:AH210" si="3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231-01 --locoid 4020 --swversion DE.1.0.9.0 --startMP 204:551 --initTime 2018-01-01T21:11:50 --startdatetime 2018-01-01T21:30:26 --delay 68 --endMP 204:233261 --enddatetime 2018-01-01T22:06:15 --enforcementcount 0 &gt;&gt;%USERPROFILE%\Documents\GitHub\eaglep3-reporting\EC\2018-01-01-refined-times.txt</v>
      </c>
      <c r="AI145" s="238" t="str">
        <f t="shared" ref="AI145:AI210" si="3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{"issue":{"subject":"","project_id":79,"tracker_id":40,"status_id":1,"priority_id":2,"assigned_to_id":338,"start_date":"2018-01-01","description":"","custom_fields":[{"id":1,"name":"Subdivision","value":"EC"},{"id":4,"name":"Milepost","value":"23.3261"},{"id":17,"name":"Train ID","value":"231-01"},{"id":16,"name":"Locomotive ID","value":"4020"},{"id":130,"name":"Impact","value":""},{"id":150,"name":"Time of Event (Mountain Time)","value":"22:06:15"},{"id":151,"name":"Denver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ref="AM145:AM210" si="34">"start /low /b "&amp;dls3logs&amp;" --loco "&amp;B145&amp;" --day "&amp;TEXT(F145,"YYYY-MM-DD")</f>
        <v>start /low /b %USERPROFILE%\Documents\GitHub\eaglep3\Utilities\DownloadLogsFromS3.py --loco 4020 --day 2018-01-01</v>
      </c>
      <c r="AN145" s="241" t="str">
        <f t="shared" ref="AN145:AN210" si="35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ref="AO145:AO210" si="36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-01T20:11:50-0700',mode:absolute,to:'2018-01-01T23:06:15-0700'))&amp;_a=(columns:!('Message%20ID',Summary),filters:!(),index:'emp_*',interval:auto,query:(query_string:(analyze_wildcard:!t,query:'%22rtdc.l.rtdc.4020%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867</v>
      </c>
      <c r="B146" s="225">
        <v>4019</v>
      </c>
      <c r="C146" s="227" t="s">
        <v>192</v>
      </c>
      <c r="D146" s="227" t="s">
        <v>622</v>
      </c>
      <c r="E146" s="226">
        <v>43101.926215277781</v>
      </c>
      <c r="F146" s="226">
        <v>43101.935902777775</v>
      </c>
      <c r="G146" s="225">
        <v>61</v>
      </c>
      <c r="H146" s="227" t="s">
        <v>991</v>
      </c>
      <c r="I146" s="226">
        <v>43101.962118055555</v>
      </c>
      <c r="J146" s="225">
        <v>0</v>
      </c>
      <c r="K146" s="237" t="str">
        <f>IF(ISEVEN(B146),(B146-1)&amp;"/"&amp;B146,B146&amp;"/"&amp;(B146+1))</f>
        <v>4019/4020</v>
      </c>
      <c r="L146" s="245" t="str">
        <f>VLOOKUP(A146,'Trips&amp;Operators'!$C$1:$G$99911,5,FALSE)</f>
        <v>LORI SANTOS</v>
      </c>
      <c r="M146" s="224">
        <f>I146-F146</f>
        <v>2.6215277779556345E-2</v>
      </c>
      <c r="N146" s="225">
        <f>24*60*SUM($M146:$M146)</f>
        <v>37.750000002561137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-01T21:13:45-0700',mode:absolute,to:'2018-01-02T00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23.295300000000001</v>
      </c>
      <c r="Z146" s="247">
        <f>RIGHT(H146,LEN(H146)-4)/10000</f>
        <v>2.2100000000000002E-2</v>
      </c>
      <c r="AA146" s="247">
        <f>ABS(Z146-Y146)</f>
        <v>23.273200000000003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232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/stypes="app*4019*20180102*"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32"/>
        <v>"%USERPROFILE%\Documents\GitHub\eaglep3\Utilities\RefineRTDCRunTimes.py" --tripid 232-01 --locoid 4019 --swversion DE.1.0.9.0 --startMP 204:232953 --initTime 2018-01-01T22:13:45 --startdatetime 2018-01-01T22:27:42 --delay 61 --endMP 204:221 --enddatetime 2018-01-01T23:05:27 --enforcementcount 0 &gt;&gt;%USERPROFILE%\Documents\GitHub\eaglep3-reporting\EC\2018-01-01-refined-times.txt</v>
      </c>
      <c r="AI146" s="238" t="str">
        <f t="shared" si="33"/>
        <v>echo {"issue":{"subject":"","project_id":79,"tracker_id":40,"status_id":1,"priority_id":2,"assigned_to_id":338,"start_date":"2018-01-01","description":"","custom_fields":[{"id":1,"name":"Subdivision","value":"EC"},{"id":4,"name":"Milepost","value":"0.0221"},{"id":17,"name":"Train ID","value":"232-01"},{"id":16,"name":"Locomotive ID","value":"4019"},{"id":130,"name":"Impact","value":""},{"id":150,"name":"Time of Event (Mountain Time)","value":"23:05:27"},{"id":151,"name":"Denver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34"/>
        <v>start /low /b %USERPROFILE%\Documents\GitHub\eaglep3\Utilities\DownloadLogsFromS3.py --loco 4019 --day 2018-01-01</v>
      </c>
      <c r="AN146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36"/>
        <v>https://d0f6bd738d7f1b3e5a7ca70fe4ff75f0.us-east-1.aws.found.io/app/kibana#/discover/Steve-Slow-Train-Analysis-(2080s-and-2083s)?_g=(refreshInterval:(display:Off,pause:!f,section:0,value:0),time:(from:'2018-01-01T21:13:45-0700',mode:absolute,to:'2018-01-02T00:05:27-0700'))&amp;_a=(columns:!('Message%20ID',Summary),filters:!(),index:'emp_*',interval:auto,query:(query_string:(analyze_wildcard:!t,query:'%22rtdc.l.rtdc.4019%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865</v>
      </c>
      <c r="B147" s="225">
        <v>4042</v>
      </c>
      <c r="C147" s="227" t="s">
        <v>192</v>
      </c>
      <c r="D147" s="227" t="s">
        <v>1013</v>
      </c>
      <c r="E147" s="226">
        <v>43101.905810185184</v>
      </c>
      <c r="F147" s="226">
        <v>43101.916886574072</v>
      </c>
      <c r="G147" s="225">
        <v>247</v>
      </c>
      <c r="H147" s="227" t="s">
        <v>634</v>
      </c>
      <c r="I147" s="226">
        <v>43101.941712962966</v>
      </c>
      <c r="J147" s="225">
        <v>0</v>
      </c>
      <c r="K147" s="237" t="str">
        <f>IF(ISEVEN(B147),(B147-1)&amp;"/"&amp;B147,B147&amp;"/"&amp;(B147+1))</f>
        <v>4041/4042</v>
      </c>
      <c r="L147" s="245" t="str">
        <f>VLOOKUP(A147,'Trips&amp;Operators'!$C$1:$G$99911,5,FALSE)</f>
        <v>GUNTHIER ERIC</v>
      </c>
      <c r="M147" s="224">
        <f>I147-F147</f>
        <v>2.4826388893416151E-2</v>
      </c>
      <c r="N147" s="225">
        <f>24*60*SUM($M147:$M147)</f>
        <v>35.750000006519258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-01T20:44:22-0700',mode:absolute,to:'2018-01-01T23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5.57E-2</v>
      </c>
      <c r="Z147" s="247">
        <f>RIGHT(H147,LEN(H147)-4)/10000</f>
        <v>23.328099999999999</v>
      </c>
      <c r="AA147" s="247">
        <f>ABS(Z147-Y147)</f>
        <v>23.272399999999998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233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/stypes="app*4042*20180102*"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32"/>
        <v>"%USERPROFILE%\Documents\GitHub\eaglep3\Utilities\RefineRTDCRunTimes.py" --tripid 233-01 --locoid 4042 --swversion DE.1.0.9.0 --startMP 204:557 --initTime 2018-01-01T21:44:22 --startdatetime 2018-01-01T22:00:19 --delay 247 --endMP 204:233281 --enddatetime 2018-01-01T22:36:04 --enforcementcount 0 &gt;&gt;%USERPROFILE%\Documents\GitHub\eaglep3-reporting\EC\2018-01-01-refined-times.txt</v>
      </c>
      <c r="AI147" s="238" t="str">
        <f t="shared" si="33"/>
        <v>echo {"issue":{"subject":"","project_id":79,"tracker_id":40,"status_id":1,"priority_id":2,"assigned_to_id":338,"start_date":"2018-01-01","description":"","custom_fields":[{"id":1,"name":"Subdivision","value":"EC"},{"id":4,"name":"Milepost","value":"23.3281"},{"id":17,"name":"Train ID","value":"233-01"},{"id":16,"name":"Locomotive ID","value":"4042"},{"id":130,"name":"Impact","value":""},{"id":150,"name":"Time of Event (Mountain Time)","value":"22:36:04"},{"id":151,"name":"Denver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34"/>
        <v>start /low /b %USERPROFILE%\Documents\GitHub\eaglep3\Utilities\DownloadLogsFromS3.py --loco 4042 --day 2018-01-01</v>
      </c>
      <c r="AN147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6"/>
        <v>https://d0f6bd738d7f1b3e5a7ca70fe4ff75f0.us-east-1.aws.found.io/app/kibana#/discover/Steve-Slow-Train-Analysis-(2080s-and-2083s)?_g=(refreshInterval:(display:Off,pause:!f,section:0,value:0),time:(from:'2018-01-01T20:44:22-0700',mode:absolute,to:'2018-01-01T23:36:04-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869</v>
      </c>
      <c r="B148" s="225">
        <v>4041</v>
      </c>
      <c r="C148" s="227" t="s">
        <v>192</v>
      </c>
      <c r="D148" s="227" t="s">
        <v>1014</v>
      </c>
      <c r="E148" s="226">
        <v>43101.944502314815</v>
      </c>
      <c r="F148" s="226">
        <v>43101.956423611111</v>
      </c>
      <c r="G148" s="225">
        <v>488</v>
      </c>
      <c r="H148" s="227" t="s">
        <v>1015</v>
      </c>
      <c r="I148" s="226">
        <v>43101.984467592592</v>
      </c>
      <c r="J148" s="225">
        <v>0</v>
      </c>
      <c r="K148" s="237" t="str">
        <f>IF(ISEVEN(B148),(B148-1)&amp;"/"&amp;B148,B148&amp;"/"&amp;(B148+1))</f>
        <v>4041/4042</v>
      </c>
      <c r="L148" s="245" t="str">
        <f>VLOOKUP(A148,'Trips&amp;Operators'!$C$1:$G$99911,5,FALSE)</f>
        <v>GUNTHIER ERIC</v>
      </c>
      <c r="M148" s="224">
        <f>I148-F148</f>
        <v>2.8043981481459923E-2</v>
      </c>
      <c r="N148" s="225">
        <f>24*60*SUM($M148:$M148)</f>
        <v>40.383333333302289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-01T21:40:05-0700',mode:absolute,to:'2018-01-02T00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23.2959</v>
      </c>
      <c r="Z148" s="247">
        <f>RIGHT(H148,LEN(H148)-4)/10000</f>
        <v>2.8199999999999999E-2</v>
      </c>
      <c r="AA148" s="247">
        <f>ABS(Z148-Y148)</f>
        <v>23.267700000000001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234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/stypes="app*4041*20180102*"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32"/>
        <v>"%USERPROFILE%\Documents\GitHub\eaglep3\Utilities\RefineRTDCRunTimes.py" --tripid 234-01 --locoid 4041 --swversion DE.1.0.9.0 --startMP 204:232959 --initTime 2018-01-01T22:40:05 --startdatetime 2018-01-01T22:57:15 --delay 488 --endMP 204:282 --enddatetime 2018-01-01T23:37:38 --enforcementcount 0 &gt;&gt;%USERPROFILE%\Documents\GitHub\eaglep3-reporting\EC\2018-01-01-refined-times.txt</v>
      </c>
      <c r="AI148" s="238" t="str">
        <f t="shared" si="33"/>
        <v>echo {"issue":{"subject":"","project_id":79,"tracker_id":40,"status_id":1,"priority_id":2,"assigned_to_id":338,"start_date":"2018-01-01","description":"","custom_fields":[{"id":1,"name":"Subdivision","value":"EC"},{"id":4,"name":"Milepost","value":"0.0282"},{"id":17,"name":"Train ID","value":"234-01"},{"id":16,"name":"Locomotive ID","value":"4041"},{"id":130,"name":"Impact","value":""},{"id":150,"name":"Time of Event (Mountain Time)","value":"23:37:38"},{"id":151,"name":"Denver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34"/>
        <v>start /low /b %USERPROFILE%\Documents\GitHub\eaglep3\Utilities\DownloadLogsFromS3.py --loco 4041 --day 2018-01-01</v>
      </c>
      <c r="AN148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6"/>
        <v>https://d0f6bd738d7f1b3e5a7ca70fe4ff75f0.us-east-1.aws.found.io/app/kibana#/discover/Steve-Slow-Train-Analysis-(2080s-and-2083s)?_g=(refreshInterval:(display:Off,pause:!f,section:0,value:0),time:(from:'2018-01-01T21:40:05-0700',mode:absolute,to:'2018-01-02T00:37:38-0700'))&amp;_a=(columns:!('Message%20ID',Summary),filters:!(),index:'emp_*',interval:auto,query:(query_string:(analyze_wildcard:!t,query:'%22rtdc.l.rtdc.4041%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678</v>
      </c>
      <c r="B149" s="225">
        <v>4050</v>
      </c>
      <c r="C149" s="227" t="s">
        <v>192</v>
      </c>
      <c r="D149" s="227" t="s">
        <v>1014</v>
      </c>
      <c r="E149" s="226">
        <v>43101.944502314815</v>
      </c>
      <c r="F149" s="226">
        <v>43101.937708333331</v>
      </c>
      <c r="G149" s="225">
        <v>488</v>
      </c>
      <c r="H149" s="227" t="s">
        <v>1015</v>
      </c>
      <c r="I149" s="226">
        <v>43101.964641203704</v>
      </c>
      <c r="J149" s="225">
        <v>0</v>
      </c>
      <c r="K149" s="237" t="str">
        <f>IF(ISEVEN(B149),(B149-1)&amp;"/"&amp;B149,B149&amp;"/"&amp;(B149+1))</f>
        <v>4049/4050</v>
      </c>
      <c r="L149" s="245" t="str">
        <f>VLOOKUP(A149,'Trips&amp;Operators'!$C$1:$G$99911,5,FALSE)</f>
        <v>WILLIAMS DONTE</v>
      </c>
      <c r="M149" s="224">
        <f>I149-F149</f>
        <v>2.6932870372547768E-2</v>
      </c>
      <c r="N149" s="225">
        <f>24*60*SUM($M149:$M149)</f>
        <v>38.783333336468786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-01T21:40:05-0700',mode:absolute,to:'2018-01-02T00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9" s="247" t="str">
        <f>IF(AA149&lt;VLOOKUP(AG149,Variables!$AC$3:$AD$8,2,FALSE),"Y","N")</f>
        <v>N</v>
      </c>
      <c r="X149" s="247">
        <f t="shared" ref="X149:X163" si="37">VALUE(LEFT(AD149,4))-VALUE(LEFT(AD148,4))</f>
        <v>1</v>
      </c>
      <c r="Y149" s="247">
        <v>7.0800000000000002E-2</v>
      </c>
      <c r="Z149" s="247">
        <v>23.325500000000002</v>
      </c>
      <c r="AA149" s="247">
        <f>ABS(Z149-Y149)</f>
        <v>23.254700000000003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235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/stypes="app*4050*20180102*"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" si="38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235-01 --locoid 4050 --swversion DE.1.0.9.0 --startMP 204:232959 --initTime 2018-01-01T22:40:05 --startdatetime 2018-01-01T22:30:18 --delay 488 --endMP 204:282 --enddatetime 2018-01-01T23:09:05 --enforcementcount 0 &gt;&gt;%USERPROFILE%\Documents\GitHub\eaglep3-reporting\EC\2018-01-01-refined-times.txt</v>
      </c>
      <c r="AI149" s="238" t="str">
        <f t="shared" ref="AI149" si="39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{"issue":{"subject":"","project_id":79,"tracker_id":40,"status_id":1,"priority_id":2,"assigned_to_id":338,"start_date":"2018-01-01","description":"","custom_fields":[{"id":1,"name":"Subdivision","value":"EC"},{"id":4,"name":"Milepost","value":"23.3255"},{"id":17,"name":"Train ID","value":"235-01"},{"id":16,"name":"Locomotive ID","value":"4050"},{"id":130,"name":"Impact","value":""},{"id":150,"name":"Time of Event (Mountain Time)","value":"23:09:05"},{"id":151,"name":"Denver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40">"start /low /b "&amp;dls3logs&amp;" --loco "&amp;B149&amp;" --day "&amp;TEXT(F149,"YYYY-MM-DD")</f>
        <v>start /low /b %USERPROFILE%\Documents\GitHub\eaglep3\Utilities\DownloadLogsFromS3.py --loco 4050 --day 2018-01-01</v>
      </c>
      <c r="AN149" s="241" t="str">
        <f t="shared" ref="AN149" si="41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42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-01T21:40:05-0700',mode:absolute,to:'2018-01-02T00:09:05-0700'))&amp;_a=(columns:!('Message%20ID',Summary),filters:!(),index:'emp_*',interval:auto,query:(query_string:(analyze_wildcard:!t,query:'%22rtdc.l.rtdc.4050%22')),sort:!(Time.ISO8601,asc))</v>
      </c>
    </row>
    <row r="150" spans="1:91" s="223" customFormat="1" x14ac:dyDescent="0.3">
      <c r="A150" s="229" t="s">
        <v>872</v>
      </c>
      <c r="B150" s="225">
        <v>4049</v>
      </c>
      <c r="C150" s="227" t="s">
        <v>192</v>
      </c>
      <c r="D150" s="227" t="s">
        <v>1016</v>
      </c>
      <c r="E150" s="226">
        <v>43101.967557870368</v>
      </c>
      <c r="F150" s="226">
        <v>43101.977442129632</v>
      </c>
      <c r="G150" s="225">
        <v>228</v>
      </c>
      <c r="H150" s="227" t="s">
        <v>890</v>
      </c>
      <c r="I150" s="226">
        <v>43102.004814814813</v>
      </c>
      <c r="J150" s="225">
        <v>0</v>
      </c>
      <c r="K150" s="237" t="str">
        <f>IF(ISEVEN(B150),(B150-1)&amp;"/"&amp;B150,B150&amp;"/"&amp;(B150+1))</f>
        <v>4049/4050</v>
      </c>
      <c r="L150" s="245" t="str">
        <f>VLOOKUP(A150,'Trips&amp;Operators'!$C$1:$G$99911,5,FALSE)</f>
        <v>WILLIAMS DONTE</v>
      </c>
      <c r="M150" s="224">
        <f>I150-F150</f>
        <v>2.7372685181035195E-2</v>
      </c>
      <c r="N150" s="225">
        <f>24*60*SUM($M150:$M150)</f>
        <v>39.41666666069068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-01T22:13:17-0700',mode:absolute,to:'2018-01-02T01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0" s="247" t="str">
        <f>IF(AA150&lt;VLOOKUP(AG150,Variables!$AC$3:$AD$8,2,FALSE),"Y","N")</f>
        <v>N</v>
      </c>
      <c r="X150" s="247">
        <f t="shared" si="37"/>
        <v>1</v>
      </c>
      <c r="Y150" s="247">
        <f>RIGHT(D150,LEN(D150)-4)/10000</f>
        <v>23.2942</v>
      </c>
      <c r="Z150" s="247">
        <f>RIGHT(H150,LEN(H150)-4)/10000</f>
        <v>2.4199999999999999E-2</v>
      </c>
      <c r="AA150" s="247">
        <f>ABS(Z150-Y150)</f>
        <v>23.27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236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/stypes="app*4049*20180102*"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32"/>
        <v>"%USERPROFILE%\Documents\GitHub\eaglep3\Utilities\RefineRTDCRunTimes.py" --tripid 236-01 --locoid 4049 --swversion DE.1.0.9.0 --startMP 204:232942 --initTime 2018-01-01T23:13:17 --startdatetime 2018-01-01T23:27:31 --delay 228 --endMP 204:242 --enddatetime 2018-01-02T00:06:56 --enforcementcount 0 &gt;&gt;%USERPROFILE%\Documents\GitHub\eaglep3-reporting\EC\2018-01-01-refined-times.txt</v>
      </c>
      <c r="AI150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{"issue":{"subject":"","project_id":79,"tracker_id":40,"status_id":1,"priority_id":2,"assigned_to_id":338,"start_date":"2018-01-02","description":"","custom_fields":[{"id":1,"name":"Subdivision","value":"EC"},{"id":4,"name":"Milepost","value":"0.0242"},{"id":17,"name":"Train ID","value":"236-01"},{"id":16,"name":"Locomotive ID","value":"4049"},{"id":130,"name":"Impact","value":""},{"id":150,"name":"Time of Event (Mountain Time)","value":"00:06:56"},{"id":151,"name":"Denver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34"/>
        <v>start /low /b %USERPROFILE%\Documents\GitHub\eaglep3\Utilities\DownloadLogsFromS3.py --loco 4049 --day 2018-01-01</v>
      </c>
      <c r="AN150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6"/>
        <v>https://d0f6bd738d7f1b3e5a7ca70fe4ff75f0.us-east-1.aws.found.io/app/kibana#/discover/Steve-Slow-Train-Analysis-(2080s-and-2083s)?_g=(refreshInterval:(display:Off,pause:!f,section:0,value:0),time:(from:'2018-01-01T22:13:17-0700',mode:absolute,to:'2018-01-02T01:06:56-0700'))&amp;_a=(columns:!('Message%20ID',Summary),filters:!(),index:'emp_*',interval:auto,query:(query_string:(analyze_wildcard:!t,query:'%22rtdc.l.rtdc.4049%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868</v>
      </c>
      <c r="B151" s="225">
        <v>4064</v>
      </c>
      <c r="C151" s="227" t="s">
        <v>192</v>
      </c>
      <c r="D151" s="227" t="s">
        <v>1017</v>
      </c>
      <c r="E151" s="226">
        <v>43102.023854166669</v>
      </c>
      <c r="F151" s="226">
        <v>43102.025578703702</v>
      </c>
      <c r="G151" s="225">
        <v>42</v>
      </c>
      <c r="H151" s="227" t="s">
        <v>1018</v>
      </c>
      <c r="I151" s="226">
        <v>43102.033912037034</v>
      </c>
      <c r="J151" s="225">
        <v>0</v>
      </c>
      <c r="K151" s="237" t="str">
        <f>IF(ISEVEN(B151),(B151-1)&amp;"/"&amp;B151,B151&amp;"/"&amp;(B151+1))</f>
        <v>4063/4064</v>
      </c>
      <c r="L151" s="245" t="str">
        <f>VLOOKUP(A151,'Trips&amp;Operators'!$C$1:$G$99911,5,FALSE)</f>
        <v>ELBAUM MIKE</v>
      </c>
      <c r="M151" s="224">
        <f>I151-F151</f>
        <v>8.333333331393078E-3</v>
      </c>
      <c r="N151" s="225"/>
      <c r="O151" s="225"/>
      <c r="P151" s="225"/>
      <c r="Q151" s="228"/>
      <c r="R151" s="242"/>
      <c r="S151" s="249"/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-01T23:34:21-0700',mode:absolute,to:'2018-01-02T01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47" t="str">
        <f>IF(AA151&lt;VLOOKUP(AG151,Variables!$AC$3:$AD$8,2,FALSE),"Y","N")</f>
        <v>Y</v>
      </c>
      <c r="X151" s="247">
        <f t="shared" si="37"/>
        <v>1</v>
      </c>
      <c r="Y151" s="247">
        <f>RIGHT(D151,LEN(D151)-4)/10000</f>
        <v>5.79E-2</v>
      </c>
      <c r="Z151" s="247">
        <f>RIGHT(H151,LEN(H151)-4)/10000</f>
        <v>2.3064</v>
      </c>
      <c r="AA151" s="247">
        <f>ABS(Z151-Y151)</f>
        <v>2.2484999999999999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237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 &amp; 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/stypes="app*4064*20180102*"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32"/>
        <v>"%USERPROFILE%\Documents\GitHub\eaglep3\Utilities\RefineRTDCRunTimes.py" --tripid 237-01 --locoid 4064 --swversion DE.1.0.9.0 --startMP 204:579 --initTime 2018-01-02T00:34:21 --startdatetime 2018-01-02T00:36:50 --delay 42 --endMP 300:23064 --enddatetime 2018-01-02T00:48:50 --enforcementcount 0 &gt;&gt;%USERPROFILE%\Documents\GitHub\eaglep3-reporting\EC\2018-01-01-refined-times.txt</v>
      </c>
      <c r="AI151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{"issue":{"subject":"","project_id":79,"tracker_id":40,"status_id":1,"priority_id":2,"assigned_to_id":338,"start_date":"2018-01-02","description":"","custom_fields":[{"id":1,"name":"Subdivision","value":"EC"},{"id":4,"name":"Milepost","value":"2.3064"},{"id":17,"name":"Train ID","value":"237-01"},{"id":16,"name":"Locomotive ID","value":"4064"},{"id":130,"name":"Impact","value":""},{"id":150,"name":"Time of Event (Mountain Time)","value":"00:48:50"},{"id":151,"name":"Denver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34"/>
        <v>start /low /b %USERPROFILE%\Documents\GitHub\eaglep3\Utilities\DownloadLogsFromS3.py --loco 4064 --day 2018-01-02</v>
      </c>
      <c r="AN151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36"/>
        <v>https://d0f6bd738d7f1b3e5a7ca70fe4ff75f0.us-east-1.aws.found.io/app/kibana#/discover/Steve-Slow-Train-Analysis-(2080s-and-2083s)?_g=(refreshInterval:(display:Off,pause:!f,section:0,value:0),time:(from:'2018-01-01T23:34:21-0700',mode:absolute,to:'2018-01-02T01:48:50-0700'))&amp;_a=(columns:!('Message%20ID',Summary),filters:!(),index:'emp_*',interval:auto,query:(query_string:(analyze_wildcard:!t,query:'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868</v>
      </c>
      <c r="B152" s="225">
        <v>4064</v>
      </c>
      <c r="C152" s="227" t="s">
        <v>192</v>
      </c>
      <c r="D152" s="227" t="s">
        <v>557</v>
      </c>
      <c r="E152" s="226">
        <v>43101.944178240738</v>
      </c>
      <c r="F152" s="226">
        <v>43101.958495370367</v>
      </c>
      <c r="G152" s="225">
        <v>51</v>
      </c>
      <c r="H152" s="227" t="s">
        <v>612</v>
      </c>
      <c r="I152" s="226">
        <v>43101.983136574076</v>
      </c>
      <c r="J152" s="225">
        <v>0</v>
      </c>
      <c r="K152" s="237" t="str">
        <f>IF(ISEVEN(B152),(B152-1)&amp;"/"&amp;B152,B152&amp;"/"&amp;(B152+1))</f>
        <v>4063/4064</v>
      </c>
      <c r="L152" s="245" t="str">
        <f>VLOOKUP(A152,'Trips&amp;Operators'!$C$1:$G$99911,5,FALSE)</f>
        <v>ELBAUM MIKE</v>
      </c>
      <c r="M152" s="224">
        <f>I152-F152</f>
        <v>2.4641203708597459E-2</v>
      </c>
      <c r="N152" s="225">
        <f>24*60*SUM($M152:$M152)</f>
        <v>35.483333340380341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-01T21:39:37-0700',mode:absolute,to:'2018-01-02T00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2" s="247" t="str">
        <f>IF(AA152&lt;VLOOKUP(AG152,Variables!$AC$3:$AD$8,2,FALSE),"Y","N")</f>
        <v>N</v>
      </c>
      <c r="X152" s="247">
        <f t="shared" si="37"/>
        <v>0</v>
      </c>
      <c r="Y152" s="247">
        <f>RIGHT(D152,LEN(D152)-4)/10000</f>
        <v>5.0799999999999998E-2</v>
      </c>
      <c r="Z152" s="247">
        <f>RIGHT(H152,LEN(H152)-4)/10000</f>
        <v>23.333400000000001</v>
      </c>
      <c r="AA152" s="247">
        <f>ABS(Z152-Y152)</f>
        <v>23.282600000000002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237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/stypes="app*4064*20180102*" /stext=" 06:.+((SYSTEM_STATE.+slice.+state.+changed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32"/>
        <v>"%USERPROFILE%\Documents\GitHub\eaglep3\Utilities\RefineRTDCRunTimes.py" --tripid 237-01 --locoid 4064 --swversion DE.1.0.9.0 --startMP 204:508 --initTime 2018-01-01T22:39:37 --startdatetime 2018-01-01T23:00:14 --delay 51 --endMP 204:233334 --enddatetime 2018-01-01T23:35:43 --enforcementcount 0 &gt;&gt;%USERPROFILE%\Documents\GitHub\eaglep3-reporting\EC\2018-01-01-refined-times.txt</v>
      </c>
      <c r="AI152" s="238" t="str">
        <f t="shared" si="33"/>
        <v>echo {"issue":{"subject":"","project_id":79,"tracker_id":40,"status_id":1,"priority_id":2,"assigned_to_id":338,"start_date":"2018-01-01","description":"","custom_fields":[{"id":1,"name":"Subdivision","value":"EC"},{"id":4,"name":"Milepost","value":"23.3334"},{"id":17,"name":"Train ID","value":"237-01"},{"id":16,"name":"Locomotive ID","value":"4064"},{"id":130,"name":"Impact","value":""},{"id":150,"name":"Time of Event (Mountain Time)","value":"23:35:43"},{"id":151,"name":"Denver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34"/>
        <v>start /low /b %USERPROFILE%\Documents\GitHub\eaglep3\Utilities\DownloadLogsFromS3.py --loco 4064 --day 2018-01-01</v>
      </c>
      <c r="AN152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6"/>
        <v>https://d0f6bd738d7f1b3e5a7ca70fe4ff75f0.us-east-1.aws.found.io/app/kibana#/discover/Steve-Slow-Train-Analysis-(2080s-and-2083s)?_g=(refreshInterval:(display:Off,pause:!f,section:0,value:0),time:(from:'2018-01-01T21:39:37-0700',mode:absolute,to:'2018-01-02T00:35:43-0700'))&amp;_a=(columns:!('Message%20ID',Summary),filters:!(),index:'emp_*',interval:auto,query:(query_string:(analyze_wildcard:!t,query:'%22rtdc.l.rtdc.4064%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874</v>
      </c>
      <c r="B153" s="225">
        <v>4063</v>
      </c>
      <c r="C153" s="227" t="s">
        <v>192</v>
      </c>
      <c r="D153" s="227" t="s">
        <v>613</v>
      </c>
      <c r="E153" s="226">
        <v>43101.987500000003</v>
      </c>
      <c r="F153" s="226">
        <v>43101.998055555552</v>
      </c>
      <c r="G153" s="225">
        <v>49</v>
      </c>
      <c r="H153" s="227" t="s">
        <v>564</v>
      </c>
      <c r="I153" s="226">
        <v>43102.022986111115</v>
      </c>
      <c r="J153" s="225">
        <v>0</v>
      </c>
      <c r="K153" s="237" t="str">
        <f>IF(ISEVEN(B153),(B153-1)&amp;"/"&amp;B153,B153&amp;"/"&amp;(B153+1))</f>
        <v>4063/4064</v>
      </c>
      <c r="L153" s="245" t="str">
        <f>VLOOKUP(A153,'Trips&amp;Operators'!$C$1:$G$99911,5,FALSE)</f>
        <v>ELBAUM MIKE</v>
      </c>
      <c r="M153" s="224">
        <f>I153-F153</f>
        <v>2.493055556260515E-2</v>
      </c>
      <c r="N153" s="225">
        <f>24*60*SUM($M153:$M153)</f>
        <v>35.900000010151416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-01T22:42:00-0700',mode:absolute,to:'2018-01-02T01:33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3" s="247" t="str">
        <f>IF(AA153&lt;VLOOKUP(AG153,Variables!$AC$3:$AD$8,2,FALSE),"Y","N")</f>
        <v>N</v>
      </c>
      <c r="X153" s="247">
        <f t="shared" si="37"/>
        <v>1</v>
      </c>
      <c r="Y153" s="247">
        <f>RIGHT(D153,LEN(D153)-4)/10000</f>
        <v>23.3019</v>
      </c>
      <c r="Z153" s="247">
        <f>RIGHT(H153,LEN(H153)-4)/10000</f>
        <v>2.5600000000000001E-2</v>
      </c>
      <c r="AA153" s="247">
        <f>ABS(Z153-Y153)</f>
        <v>23.276299999999999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238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/stypes="app*4063*20180102*"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32"/>
        <v>"%USERPROFILE%\Documents\GitHub\eaglep3\Utilities\RefineRTDCRunTimes.py" --tripid 238-01 --locoid 4063 --swversion DE.1.0.9.0 --startMP 204:233019 --initTime 2018-01-01T23:42:00 --startdatetime 2018-01-01T23:57:12 --delay 49 --endMP 204:256 --enddatetime 2018-01-02T00:33:06 --enforcementcount 0 &gt;&gt;%USERPROFILE%\Documents\GitHub\eaglep3-reporting\EC\2018-01-01-refined-times.txt</v>
      </c>
      <c r="AI153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{"issue":{"subject":"","project_id":79,"tracker_id":40,"status_id":1,"priority_id":2,"assigned_to_id":338,"start_date":"2018-01-02","description":"","custom_fields":[{"id":1,"name":"Subdivision","value":"EC"},{"id":4,"name":"Milepost","value":"0.0256"},{"id":17,"name":"Train ID","value":"238-01"},{"id":16,"name":"Locomotive ID","value":"4063"},{"id":130,"name":"Impact","value":""},{"id":150,"name":"Time of Event (Mountain Time)","value":"00:33:06"},{"id":151,"name":"Denver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34"/>
        <v>start /low /b %USERPROFILE%\Documents\GitHub\eaglep3\Utilities\DownloadLogsFromS3.py --loco 4063 --day 2018-01-01</v>
      </c>
      <c r="AN153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07:33:06"},{"id":29,"name":"Sharepoint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36"/>
        <v>https://d0f6bd738d7f1b3e5a7ca70fe4ff75f0.us-east-1.aws.found.io/app/kibana#/discover/Steve-Slow-Train-Analysis-(2080s-and-2083s)?_g=(refreshInterval:(display:Off,pause:!f,section:0,value:0),time:(from:'2018-01-01T22:42:00-0700',mode:absolute,to:'2018-01-02T01:33:06-0700'))&amp;_a=(columns:!('Message%20ID',Summary),filters:!(),index:'emp_*',interval:auto,query:(query_string:(analyze_wildcard:!t,query:'%22rtdc.l.rtdc.4063%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871</v>
      </c>
      <c r="B154" s="225">
        <v>4020</v>
      </c>
      <c r="C154" s="227" t="s">
        <v>192</v>
      </c>
      <c r="D154" s="227" t="s">
        <v>579</v>
      </c>
      <c r="E154" s="226">
        <v>43101.963900462964</v>
      </c>
      <c r="F154" s="226">
        <v>43101.979351851849</v>
      </c>
      <c r="G154" s="225">
        <v>53</v>
      </c>
      <c r="H154" s="227" t="s">
        <v>621</v>
      </c>
      <c r="I154" s="226">
        <v>43102.003599537034</v>
      </c>
      <c r="J154" s="225">
        <v>0</v>
      </c>
      <c r="K154" s="237" t="str">
        <f>IF(ISEVEN(B154),(B154-1)&amp;"/"&amp;B154,B154&amp;"/"&amp;(B154+1))</f>
        <v>4019/4020</v>
      </c>
      <c r="L154" s="245" t="str">
        <f>VLOOKUP(A154,'Trips&amp;Operators'!$C$1:$G$99911,5,FALSE)</f>
        <v>LOZA FIDEL</v>
      </c>
      <c r="M154" s="224">
        <f>I154-F154</f>
        <v>2.4247685185400769E-2</v>
      </c>
      <c r="N154" s="225">
        <f>24*60*SUM($M154:$M154)</f>
        <v>34.916666666977108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-01T22:08:01-0700',mode:absolute,to:'2018-01-02T01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247" t="str">
        <f>IF(AA154&lt;VLOOKUP(AG154,Variables!$AC$3:$AD$8,2,FALSE),"Y","N")</f>
        <v>N</v>
      </c>
      <c r="X154" s="247">
        <f t="shared" si="37"/>
        <v>1</v>
      </c>
      <c r="Y154" s="247">
        <f>RIGHT(D154,LEN(D154)-4)/10000</f>
        <v>5.2900000000000003E-2</v>
      </c>
      <c r="Z154" s="247">
        <f>RIGHT(H154,LEN(H154)-4)/10000</f>
        <v>23.327400000000001</v>
      </c>
      <c r="AA154" s="247">
        <f>ABS(Z154-Y154)</f>
        <v>23.2745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239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/stypes="app*4020*20180102*"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32"/>
        <v>"%USERPROFILE%\Documents\GitHub\eaglep3\Utilities\RefineRTDCRunTimes.py" --tripid 239-01 --locoid 4020 --swversion DE.1.0.9.0 --startMP 204:529 --initTime 2018-01-01T23:08:01 --startdatetime 2018-01-01T23:30:16 --delay 53 --endMP 204:233274 --enddatetime 2018-01-02T00:05:11 --enforcementcount 0 &gt;&gt;%USERPROFILE%\Documents\GitHub\eaglep3-reporting\EC\2018-01-01-refined-times.txt</v>
      </c>
      <c r="AI154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{"issue":{"subject":"","project_id":79,"tracker_id":40,"status_id":1,"priority_id":2,"assigned_to_id":338,"start_date":"2018-01-02","description":"","custom_fields":[{"id":1,"name":"Subdivision","value":"EC"},{"id":4,"name":"Milepost","value":"23.3274"},{"id":17,"name":"Train ID","value":"239-01"},{"id":16,"name":"Locomotive ID","value":"4020"},{"id":130,"name":"Impact","value":""},{"id":150,"name":"Time of Event (Mountain Time)","value":"00:05:11"},{"id":151,"name":"Denver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34"/>
        <v>start /low /b %USERPROFILE%\Documents\GitHub\eaglep3\Utilities\DownloadLogsFromS3.py --loco 4020 --day 2018-01-01</v>
      </c>
      <c r="AN154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6"/>
        <v>https://d0f6bd738d7f1b3e5a7ca70fe4ff75f0.us-east-1.aws.found.io/app/kibana#/discover/Steve-Slow-Train-Analysis-(2080s-and-2083s)?_g=(refreshInterval:(display:Off,pause:!f,section:0,value:0),time:(from:'2018-01-01T22:08:01-0700',mode:absolute,to:'2018-01-02T01:05:11-0700'))&amp;_a=(columns:!('Message%20ID',Summary),filters:!(),index:'emp_*',interval:auto,query:(query_string:(analyze_wildcard:!t,query:'%22rtdc.l.rtdc.4020%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876</v>
      </c>
      <c r="B155" s="225">
        <v>4019</v>
      </c>
      <c r="C155" s="227" t="s">
        <v>192</v>
      </c>
      <c r="D155" s="227" t="s">
        <v>1005</v>
      </c>
      <c r="E155" s="226">
        <v>43102.009664351855</v>
      </c>
      <c r="F155" s="226">
        <v>43102.018935185188</v>
      </c>
      <c r="G155" s="225">
        <v>64</v>
      </c>
      <c r="H155" s="227" t="s">
        <v>637</v>
      </c>
      <c r="I155" s="226">
        <v>43102.045798611114</v>
      </c>
      <c r="J155" s="225">
        <v>0</v>
      </c>
      <c r="K155" s="237" t="str">
        <f>IF(ISEVEN(B155),(B155-1)&amp;"/"&amp;B155,B155&amp;"/"&amp;(B155+1))</f>
        <v>4019/4020</v>
      </c>
      <c r="L155" s="245" t="str">
        <f>VLOOKUP(A155,'Trips&amp;Operators'!$C$1:$G$99911,5,FALSE)</f>
        <v>LORI SANTOS</v>
      </c>
      <c r="M155" s="224">
        <f>I155-F155</f>
        <v>2.6863425926421769E-2</v>
      </c>
      <c r="N155" s="225">
        <f>24*60*SUM($M155:$M155)</f>
        <v>38.683333334047347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-01T23:13:55-0700',mode:absolute,to:'2018-01-02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247" t="str">
        <f>IF(AA155&lt;VLOOKUP(AG155,Variables!$AC$3:$AD$8,2,FALSE),"Y","N")</f>
        <v>N</v>
      </c>
      <c r="X155" s="247">
        <f t="shared" si="37"/>
        <v>1</v>
      </c>
      <c r="Y155" s="247">
        <f>RIGHT(D155,LEN(D155)-4)/10000</f>
        <v>23.293800000000001</v>
      </c>
      <c r="Z155" s="247">
        <f>RIGHT(H155,LEN(H155)-4)/10000</f>
        <v>2.52E-2</v>
      </c>
      <c r="AA155" s="247">
        <f>ABS(Z155-Y155)</f>
        <v>23.268599999999999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240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 &amp; 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/stypes="app*4019*20180102*"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32"/>
        <v>"%USERPROFILE%\Documents\GitHub\eaglep3\Utilities\RefineRTDCRunTimes.py" --tripid 240-01 --locoid 4019 --swversion DE.1.0.9.0 --startMP 204:232938 --initTime 2018-01-02T00:13:55 --startdatetime 2018-01-02T00:27:16 --delay 64 --endMP 204:252 --enddatetime 2018-01-02T01:05:57 --enforcementcount 0 &gt;&gt;%USERPROFILE%\Documents\GitHub\eaglep3-reporting\EC\2018-01-01-refined-times.txt</v>
      </c>
      <c r="AI155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{"issue":{"subject":"","project_id":79,"tracker_id":40,"status_id":1,"priority_id":2,"assigned_to_id":338,"start_date":"2018-01-02","description":"","custom_fields":[{"id":1,"name":"Subdivision","value":"EC"},{"id":4,"name":"Milepost","value":"0.0252"},{"id":17,"name":"Train ID","value":"240-01"},{"id":16,"name":"Locomotive ID","value":"4019"},{"id":130,"name":"Impact","value":""},{"id":150,"name":"Time of Event (Mountain Time)","value":"01:05:57"},{"id":151,"name":"Denver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34"/>
        <v>start /low /b %USERPROFILE%\Documents\GitHub\eaglep3\Utilities\DownloadLogsFromS3.py --loco 4019 --day 2018-01-02</v>
      </c>
      <c r="AN155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6"/>
        <v>https://d0f6bd738d7f1b3e5a7ca70fe4ff75f0.us-east-1.aws.found.io/app/kibana#/discover/Steve-Slow-Train-Analysis-(2080s-and-2083s)?_g=(refreshInterval:(display:Off,pause:!f,section:0,value:0),time:(from:'2018-01-01T23:13:55-0700',mode:absolute,to:'2018-01-02T02:05:57-0700'))&amp;_a=(columns:!('Message%20ID',Summary),filters:!(),index:'emp_*',interval:auto,query:(query_string:(analyze_wildcard:!t,query:'%22rtdc.l.rtdc.4019%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875</v>
      </c>
      <c r="B156" s="225">
        <v>4042</v>
      </c>
      <c r="C156" s="227" t="s">
        <v>192</v>
      </c>
      <c r="D156" s="227" t="s">
        <v>1019</v>
      </c>
      <c r="E156" s="226">
        <v>43101.987638888888</v>
      </c>
      <c r="F156" s="226">
        <v>43102.000208333331</v>
      </c>
      <c r="G156" s="225">
        <v>82</v>
      </c>
      <c r="H156" s="227" t="s">
        <v>1020</v>
      </c>
      <c r="I156" s="226">
        <v>43102.016446759262</v>
      </c>
      <c r="J156" s="225">
        <v>0</v>
      </c>
      <c r="K156" s="237" t="str">
        <f>IF(ISEVEN(B156),(B156-1)&amp;"/"&amp;B156,B156&amp;"/"&amp;(B156+1))</f>
        <v>4041/4042</v>
      </c>
      <c r="L156" s="245" t="str">
        <f>VLOOKUP(A156,'Trips&amp;Operators'!$C$1:$G$99911,5,FALSE)</f>
        <v>GUNTHIER ERIC</v>
      </c>
      <c r="M156" s="224">
        <f>I156-F156</f>
        <v>1.6238425931078382E-2</v>
      </c>
      <c r="N156" s="225"/>
      <c r="O156" s="225"/>
      <c r="P156" s="225">
        <f>24*60*SUM($M156:$M156)</f>
        <v>23.38333334075287</v>
      </c>
      <c r="Q156" s="228"/>
      <c r="R156" s="242" t="s">
        <v>1063</v>
      </c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-01T22:42:12-0700',mode:absolute,to:'2018-01-02T01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47" t="str">
        <f>IF(AA156&lt;VLOOKUP(AG156,Variables!$AC$3:$AD$8,2,FALSE),"Y","N")</f>
        <v>Y</v>
      </c>
      <c r="X156" s="247">
        <f t="shared" si="37"/>
        <v>1</v>
      </c>
      <c r="Y156" s="247">
        <f>RIGHT(D156,LEN(D156)-4)/10000</f>
        <v>5.7299999999999997E-2</v>
      </c>
      <c r="Z156" s="247">
        <f>RIGHT(H156,LEN(H156)-4)/10000</f>
        <v>12.980600000000001</v>
      </c>
      <c r="AA156" s="247">
        <f>ABS(Z156-Y156)</f>
        <v>12.923300000000001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241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 &amp; 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/stypes="app*4042*20180102*" /stext=" 07:.+((SYSTEM_STATE.+slice.+state.+changed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32"/>
        <v>"%USERPROFILE%\Documents\GitHub\eaglep3\Utilities\RefineRTDCRunTimes.py" --tripid 241-01 --locoid 4042 --swversion DE.1.0.9.0 --startMP 204:573 --initTime 2018-01-01T23:42:12 --startdatetime 2018-01-02T00:00:18 --delay 82 --endMP 204:129806 --enddatetime 2018-01-02T00:23:41 --enforcementcount 0 &gt;&gt;%USERPROFILE%\Documents\GitHub\eaglep3-reporting\EC\2018-01-01-refined-times.txt</v>
      </c>
      <c r="AI156" s="238" t="str">
        <f t="shared" si="33"/>
        <v>echo {"issue":{"subject":"Wheel tach slip/slide","project_id":79,"tracker_id":40,"status_id":1,"priority_id":2,"assigned_to_id":338,"start_date":"2018-01-02","description":"","custom_fields":[{"id":1,"name":"Subdivision","value":"EC"},{"id":4,"name":"Milepost","value":"12.9806"},{"id":17,"name":"Train ID","value":"241-01"},{"id":16,"name":"Locomotive ID","value":"4042"},{"id":130,"name":"Impact","value":""},{"id":150,"name":"Time of Event (Mountain Time)","value":"00:23:41"},{"id":151,"name":"Denver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34"/>
        <v>start /low /b %USERPROFILE%\Documents\GitHub\eaglep3\Utilities\DownloadLogsFromS3.py --loco 4042 --day 2018-01-02</v>
      </c>
      <c r="AN156" s="241" t="str">
        <f t="shared" si="35"/>
        <v>echo {"issue":{"subject":"Wheel tach slip/slide","project_id":30,"tracker_id":4,"status_id":1,"priority_id":1,"assigned_to_id":10,"start_date":"2018-01-02","description":"","custom_fields":[{"id":30,"name":"Category","value":"Issue"},{"id":3,"name":"Functional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36"/>
        <v>https://d0f6bd738d7f1b3e5a7ca70fe4ff75f0.us-east-1.aws.found.io/app/kibana#/discover/Steve-Slow-Train-Analysis-(2080s-and-2083s)?_g=(refreshInterval:(display:Off,pause:!f,section:0,value:0),time:(from:'2018-01-01T22:42:12-0700',mode:absolute,to:'2018-01-02T01:23:41-0700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878</v>
      </c>
      <c r="B157" s="225">
        <v>4041</v>
      </c>
      <c r="C157" s="227" t="s">
        <v>192</v>
      </c>
      <c r="D157" s="227" t="s">
        <v>911</v>
      </c>
      <c r="E157" s="226">
        <v>43102.029976851853</v>
      </c>
      <c r="F157" s="226">
        <v>43102.039756944447</v>
      </c>
      <c r="G157" s="225">
        <v>319</v>
      </c>
      <c r="H157" s="227" t="s">
        <v>469</v>
      </c>
      <c r="I157" s="226">
        <v>43102.065740740742</v>
      </c>
      <c r="J157" s="225">
        <v>0</v>
      </c>
      <c r="K157" s="237" t="str">
        <f>IF(ISEVEN(B157),(B157-1)&amp;"/"&amp;B157,B157&amp;"/"&amp;(B157+1))</f>
        <v>4041/4042</v>
      </c>
      <c r="L157" s="245" t="str">
        <f>VLOOKUP(A157,'Trips&amp;Operators'!$C$1:$G$99911,5,FALSE)</f>
        <v>GUNTHIER ERIC</v>
      </c>
      <c r="M157" s="224">
        <f>I157-F157</f>
        <v>2.5983796294895001E-2</v>
      </c>
      <c r="N157" s="225">
        <f>24*60*SUM($M157:$M157)</f>
        <v>37.416666664648801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-01T23:43:10-0700',mode:absolute,to:'2018-01-02T02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47" t="str">
        <f>IF(AA157&lt;VLOOKUP(AG157,Variables!$AC$3:$AD$8,2,FALSE),"Y","N")</f>
        <v>N</v>
      </c>
      <c r="X157" s="247">
        <f t="shared" si="37"/>
        <v>1</v>
      </c>
      <c r="Y157" s="247">
        <f>RIGHT(D157,LEN(D157)-4)/10000</f>
        <v>23.295500000000001</v>
      </c>
      <c r="Z157" s="247">
        <f>RIGHT(H157,LEN(H157)-4)/10000</f>
        <v>2.2499999999999999E-2</v>
      </c>
      <c r="AA157" s="247">
        <f>ABS(Z157-Y157)</f>
        <v>23.273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242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 &amp; 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/stypes="app*4041*20180102*"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32"/>
        <v>"%USERPROFILE%\Documents\GitHub\eaglep3\Utilities\RefineRTDCRunTimes.py" --tripid 242-01 --locoid 4041 --swversion DE.1.0.9.0 --startMP 204:232955 --initTime 2018-01-02T00:43:10 --startdatetime 2018-01-02T00:57:15 --delay 319 --endMP 204:225 --enddatetime 2018-01-02T01:34:40 --enforcementcount 0 &gt;&gt;%USERPROFILE%\Documents\GitHub\eaglep3-reporting\EC\2018-01-01-refined-times.txt</v>
      </c>
      <c r="AI157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{"issue":{"subject":"","project_id":79,"tracker_id":40,"status_id":1,"priority_id":2,"assigned_to_id":338,"start_date":"2018-01-02","description":"","custom_fields":[{"id":1,"name":"Subdivision","value":"EC"},{"id":4,"name":"Milepost","value":"0.0225"},{"id":17,"name":"Train ID","value":"242-01"},{"id":16,"name":"Locomotive ID","value":"4041"},{"id":130,"name":"Impact","value":""},{"id":150,"name":"Time of Event (Mountain Time)","value":"01:34:40"},{"id":151,"name":"Denver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34"/>
        <v>start /low /b %USERPROFILE%\Documents\GitHub\eaglep3\Utilities\DownloadLogsFromS3.py --loco 4041 --day 2018-01-02</v>
      </c>
      <c r="AN157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36"/>
        <v>https://d0f6bd738d7f1b3e5a7ca70fe4ff75f0.us-east-1.aws.found.io/app/kibana#/discover/Steve-Slow-Train-Analysis-(2080s-and-2083s)?_g=(refreshInterval:(display:Off,pause:!f,section:0,value:0),time:(from:'2018-01-01T23:43:10-0700',mode:absolute,to:'2018-01-02T02:34:40-0700'))&amp;_a=(columns:!('Message%20ID',Summary),filters:!(),index:'emp_*',interval:auto,query:(query_string:(analyze_wildcard:!t,query:'%22rtdc.l.rtdc.4041%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877</v>
      </c>
      <c r="B158" s="225">
        <v>4050</v>
      </c>
      <c r="C158" s="227" t="s">
        <v>192</v>
      </c>
      <c r="D158" s="227" t="s">
        <v>980</v>
      </c>
      <c r="E158" s="226">
        <v>43102.01457175926</v>
      </c>
      <c r="F158" s="226">
        <v>43102.021006944444</v>
      </c>
      <c r="G158" s="225">
        <v>60</v>
      </c>
      <c r="H158" s="227" t="s">
        <v>515</v>
      </c>
      <c r="I158" s="226">
        <v>43102.04583333333</v>
      </c>
      <c r="J158" s="225">
        <v>0</v>
      </c>
      <c r="K158" s="237" t="str">
        <f>IF(ISEVEN(B158),(B158-1)&amp;"/"&amp;B158,B158&amp;"/"&amp;(B158+1))</f>
        <v>4049/4050</v>
      </c>
      <c r="L158" s="245" t="str">
        <f>VLOOKUP(A158,'Trips&amp;Operators'!$C$1:$G$99911,5,FALSE)</f>
        <v>WILLIAMS DONTE</v>
      </c>
      <c r="M158" s="224">
        <f>I158-F158</f>
        <v>2.4826388886140194E-2</v>
      </c>
      <c r="N158" s="225">
        <f>24*60*SUM($M158:$M158)</f>
        <v>35.749999996041879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-01T23:20:59-0700',mode:absolute,to:'2018-01-02T02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8" s="247" t="str">
        <f>IF(AA158&lt;VLOOKUP(AG158,Variables!$AC$3:$AD$8,2,FALSE),"Y","N")</f>
        <v>N</v>
      </c>
      <c r="X158" s="247">
        <f t="shared" si="37"/>
        <v>1</v>
      </c>
      <c r="Y158" s="247">
        <f>RIGHT(D158,LEN(D158)-4)/10000</f>
        <v>5.11E-2</v>
      </c>
      <c r="Z158" s="247">
        <f>RIGHT(H158,LEN(H158)-4)/10000</f>
        <v>23.3278</v>
      </c>
      <c r="AA158" s="247">
        <f>ABS(Z158-Y158)</f>
        <v>23.276699999999998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243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 &amp; 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/stypes="app*4050*20180102*"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32"/>
        <v>"%USERPROFILE%\Documents\GitHub\eaglep3\Utilities\RefineRTDCRunTimes.py" --tripid 243-01 --locoid 4050 --swversion DE.1.0.9.0 --startMP 204:511 --initTime 2018-01-02T00:20:59 --startdatetime 2018-01-02T00:30:15 --delay 60 --endMP 204:233278 --enddatetime 2018-01-02T01:06:00 --enforcementcount 0 &gt;&gt;%USERPROFILE%\Documents\GitHub\eaglep3-reporting\EC\2018-01-01-refined-times.txt</v>
      </c>
      <c r="AI158" s="238" t="str">
        <f t="shared" si="33"/>
        <v>echo {"issue":{"subject":"","project_id":79,"tracker_id":40,"status_id":1,"priority_id":2,"assigned_to_id":338,"start_date":"2018-01-02","description":"","custom_fields":[{"id":1,"name":"Subdivision","value":"EC"},{"id":4,"name":"Milepost","value":"23.3278"},{"id":17,"name":"Train ID","value":"243-01"},{"id":16,"name":"Locomotive ID","value":"4050"},{"id":130,"name":"Impact","value":""},{"id":150,"name":"Time of Event (Mountain Time)","value":"01:06:00"},{"id":151,"name":"Denver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34"/>
        <v>start /low /b %USERPROFILE%\Documents\GitHub\eaglep3\Utilities\DownloadLogsFromS3.py --loco 4050 --day 2018-01-02</v>
      </c>
      <c r="AN158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6"/>
        <v>https://d0f6bd738d7f1b3e5a7ca70fe4ff75f0.us-east-1.aws.found.io/app/kibana#/discover/Steve-Slow-Train-Analysis-(2080s-and-2083s)?_g=(refreshInterval:(display:Off,pause:!f,section:0,value:0),time:(from:'2018-01-01T23:20:59-0700',mode:absolute,to:'2018-01-02T02:06:00-0700'))&amp;_a=(columns:!('Message%20ID',Summary),filters:!(),index:'emp_*',interval:auto,query:(query_string:(analyze_wildcard:!t,query:'%22rtdc.l.rtdc.4050%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880</v>
      </c>
      <c r="B159" s="225">
        <v>4049</v>
      </c>
      <c r="C159" s="227" t="s">
        <v>192</v>
      </c>
      <c r="D159" s="227" t="s">
        <v>980</v>
      </c>
      <c r="E159" s="226">
        <v>43102.01457175926</v>
      </c>
      <c r="F159" s="226">
        <v>43102.060601851852</v>
      </c>
      <c r="G159" s="225">
        <v>60</v>
      </c>
      <c r="H159" s="227" t="s">
        <v>515</v>
      </c>
      <c r="I159" s="226">
        <v>43102.086828703701</v>
      </c>
      <c r="J159" s="225">
        <v>0</v>
      </c>
      <c r="K159" s="237" t="str">
        <f>IF(ISEVEN(B159),(B159-1)&amp;"/"&amp;B159,B159&amp;"/"&amp;(B159+1))</f>
        <v>4049/4050</v>
      </c>
      <c r="L159" s="245" t="str">
        <f>VLOOKUP(A159,'Trips&amp;Operators'!$C$1:$G$99911,5,FALSE)</f>
        <v>WILLIAMS DONTE</v>
      </c>
      <c r="M159" s="224">
        <f>I159-F159</f>
        <v>2.622685184906004E-2</v>
      </c>
      <c r="N159" s="225">
        <f>24*60*SUM($M159:$M159)</f>
        <v>37.766666662646458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-01T23:20:59-0700',mode:absolute,to:'2018-01-02T03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47" t="str">
        <f>IF(AA159&lt;VLOOKUP(AG159,Variables!$AC$3:$AD$8,2,FALSE),"Y","N")</f>
        <v>N</v>
      </c>
      <c r="X159" s="247">
        <f t="shared" si="37"/>
        <v>1</v>
      </c>
      <c r="Y159" s="247">
        <v>23.269400000000001</v>
      </c>
      <c r="Z159" s="247">
        <v>2.0899999999999998E-2</v>
      </c>
      <c r="AA159" s="247">
        <f>ABS(Z159-Y159)</f>
        <v>23.2485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244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 &amp; 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/stypes="app*4049*20180102*"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ref="AH159" si="43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244-01 --locoid 4049 --swversion DE.1.0.9.0 --startMP 204:511 --initTime 2018-01-02T00:20:59 --startdatetime 2018-01-02T01:27:16 --delay 60 --endMP 204:233278 --enddatetime 2018-01-02T02:05:02 --enforcementcount 0 &gt;&gt;%USERPROFILE%\Documents\GitHub\eaglep3-reporting\EC\2018-01-01-refined-times.txt</v>
      </c>
      <c r="AI159" s="238" t="str">
        <f t="shared" ref="AI159" si="44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{"issue":{"subject":"","project_id":79,"tracker_id":40,"status_id":1,"priority_id":2,"assigned_to_id":338,"start_date":"2018-01-02","description":"","custom_fields":[{"id":1,"name":"Subdivision","value":"EC"},{"id":4,"name":"Milepost","value":"0.0209"},{"id":17,"name":"Train ID","value":"244-01"},{"id":16,"name":"Locomotive ID","value":"4049"},{"id":130,"name":"Impact","value":""},{"id":150,"name":"Time of Event (Mountain Time)","value":"02:05:02"},{"id":151,"name":"Denver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ref="AM159" si="45">"start /low /b "&amp;dls3logs&amp;" --loco "&amp;B159&amp;" --day "&amp;TEXT(F159,"YYYY-MM-DD")</f>
        <v>start /low /b %USERPROFILE%\Documents\GitHub\eaglep3\Utilities\DownloadLogsFromS3.py --loco 4049 --day 2018-01-02</v>
      </c>
      <c r="AN159" s="241" t="str">
        <f t="shared" ref="AN159" si="46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09:05:02"},{"id":29,"name":"Sharepoint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ref="AO159" si="47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-01T23:20:59-0700',mode:absolute,to:'2018-01-02T03:05:02-0700'))&amp;_a=(columns:!('Message%20ID',Summary),filters:!(),index:'emp_*',interval:auto,query:(query_string:(analyze_wildcard:!t,query:'%22rtdc.l.rtdc.4049%22')),sort:!(Time.ISO8601,asc))</v>
      </c>
    </row>
    <row r="160" spans="1:91" s="20" customFormat="1" x14ac:dyDescent="0.3">
      <c r="A160" s="229" t="s">
        <v>706</v>
      </c>
      <c r="B160" s="225">
        <v>4055</v>
      </c>
      <c r="C160" s="227" t="s">
        <v>192</v>
      </c>
      <c r="D160" s="227" t="s">
        <v>932</v>
      </c>
      <c r="E160" s="226">
        <v>43101.225671296299</v>
      </c>
      <c r="F160" s="226">
        <v>43101.237245370372</v>
      </c>
      <c r="G160" s="225">
        <v>87</v>
      </c>
      <c r="H160" s="227" t="s">
        <v>933</v>
      </c>
      <c r="I160" s="226">
        <v>43101.246527777781</v>
      </c>
      <c r="J160" s="225">
        <v>0</v>
      </c>
      <c r="K160" s="237" t="str">
        <f>IF(ISEVEN(B160),(B160-1)&amp;"/"&amp;B160,B160&amp;"/"&amp;(B160+1))</f>
        <v>4055/4056</v>
      </c>
      <c r="L160" s="245" t="str">
        <f>VLOOKUP(A160,'Trips&amp;Operators'!$C$1:$G$99911,5,FALSE)</f>
        <v>YANAI IAN</v>
      </c>
      <c r="M160" s="224">
        <f>I160-F160</f>
        <v>9.2824074090458453E-3</v>
      </c>
      <c r="N160" s="225">
        <f>24*60*SUM($M160:$M160)</f>
        <v>13.366666669026017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-01T04:24:58-0700',mode:absolute,to:'2018-01-01T06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247" t="str">
        <f>IF(AA160&lt;VLOOKUP(AG160,Variables!$AC$3:$AD$8,2,FALSE),"Y","N")</f>
        <v>N</v>
      </c>
      <c r="X160" s="247">
        <f t="shared" si="37"/>
        <v>1556</v>
      </c>
      <c r="Y160" s="247">
        <v>5.8518999999999997</v>
      </c>
      <c r="Z160" s="247">
        <v>8.0999999999999996E-3</v>
      </c>
      <c r="AA160" s="247">
        <f>ABS(Z160-Y160)</f>
        <v>5.8437999999999999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1800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/stypes="app*4055*20180101*"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32"/>
        <v>"%USERPROFILE%\Documents\GitHub\eaglep3\Utilities\RefineRTDCRunTimes.py" --tripid 1800-01 --locoid 4055 --swversion DE.1.0.9.0 --startMP 300:58611 --initTime 2018-01-01T05:24:58 --startdatetime 2018-01-01T05:41:38 --delay 87 --endMP 300:58519 --enddatetime 2018-01-01T05:55:00 --enforcementcount 0 &gt;&gt;%USERPROFILE%\Documents\GitHub\eaglep3-reporting\EC\2018-01-01-refined-times.txt</v>
      </c>
      <c r="AI160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{"issue":{"subject":"","project_id":79,"tracker_id":40,"status_id":1,"priority_id":2,"assigned_to_id":338,"start_date":"2018-01-01","description":"","custom_fields":[{"id":1,"name":"Subdivision","value":"NW"},{"id":4,"name":"Milepost","value":"0.0081"},{"id":17,"name":"Train ID","value":"1800-01"},{"id":16,"name":"Locomotive ID","value":"4055"},{"id":130,"name":"Impact","value":""},{"id":150,"name":"Time of Event (Mountain Time)","value":"05:55:00"},{"id":151,"name":"Denver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34"/>
        <v>start /low /b %USERPROFILE%\Documents\GitHub\eaglep3\Utilities\DownloadLogsFromS3.py --loco 4055 --day 2018-01-01</v>
      </c>
      <c r="AN160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36"/>
        <v>https://d0f6bd738d7f1b3e5a7ca70fe4ff75f0.us-east-1.aws.found.io/app/kibana#/discover/Steve-Slow-Train-Analysis-(2080s-and-2083s)?_g=(refreshInterval:(display:Off,pause:!f,section:0,value:0),time:(from:'2018-01-01T04:24:58-0700',mode:absolute,to:'2018-01-01T06:55:00-0700'))&amp;_a=(columns:!('Message%20ID',Summary),filters:!(),index:'emp_*',interval:auto,query:(query_string:(analyze_wildcard:!t,query:'%22rtdc.l.rtdc.4055%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709</v>
      </c>
      <c r="B161" s="225">
        <v>4056</v>
      </c>
      <c r="C161" s="227" t="s">
        <v>192</v>
      </c>
      <c r="D161" s="227" t="s">
        <v>934</v>
      </c>
      <c r="E161" s="226">
        <v>43101.247476851851</v>
      </c>
      <c r="F161" s="226">
        <v>43101.256435185183</v>
      </c>
      <c r="G161" s="225">
        <v>51</v>
      </c>
      <c r="H161" s="227" t="s">
        <v>935</v>
      </c>
      <c r="I161" s="226">
        <v>43101.265775462962</v>
      </c>
      <c r="J161" s="225">
        <v>0</v>
      </c>
      <c r="K161" s="237" t="str">
        <f>IF(ISEVEN(B161),(B161-1)&amp;"/"&amp;B161,B161&amp;"/"&amp;(B161+1))</f>
        <v>4055/4056</v>
      </c>
      <c r="L161" s="245" t="str">
        <f>VLOOKUP(A161,'Trips&amp;Operators'!$C$1:$G$99911,5,FALSE)</f>
        <v>YANAI IAN</v>
      </c>
      <c r="M161" s="224">
        <f>I161-F161</f>
        <v>9.340277778392192E-3</v>
      </c>
      <c r="N161" s="225">
        <f>24*60*SUM($M161:$M161)</f>
        <v>13.450000000884756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-01T04:56:22-0700',mode:absolute,to:'2018-01-01T07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1" s="247" t="str">
        <f>IF(AA161&lt;VLOOKUP(AG161,Variables!$AC$3:$AD$8,2,FALSE),"Y","N")</f>
        <v>N</v>
      </c>
      <c r="X161" s="247">
        <f t="shared" si="37"/>
        <v>1</v>
      </c>
      <c r="Y161" s="247">
        <f>RIGHT(D161,LEN(D161)-4)/10000</f>
        <v>3.7699999999999997E-2</v>
      </c>
      <c r="Z161" s="247">
        <f>RIGHT(H161,LEN(H161)-4)/10000</f>
        <v>5.8933</v>
      </c>
      <c r="AA161" s="247">
        <f>ABS(Z161-Y161)</f>
        <v>5.8555999999999999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1801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/stypes="app*4056*20180101*"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32"/>
        <v>"%USERPROFILE%\Documents\GitHub\eaglep3\Utilities\RefineRTDCRunTimes.py" --tripid 1801-01 --locoid 4056 --swversion DE.1.0.9.0 --startMP 204:377 --initTime 2018-01-01T05:56:22 --startdatetime 2018-01-01T06:09:16 --delay 51 --endMP 300:58933 --enddatetime 2018-01-01T06:22:43 --enforcementcount 0 &gt;&gt;%USERPROFILE%\Documents\GitHub\eaglep3-reporting\EC\2018-01-01-refined-times.txt</v>
      </c>
      <c r="AI161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{"issue":{"subject":"","project_id":79,"tracker_id":40,"status_id":1,"priority_id":2,"assigned_to_id":338,"start_date":"2018-01-01","description":"","custom_fields":[{"id":1,"name":"Subdivision","value":"NW"},{"id":4,"name":"Milepost","value":"5.8933"},{"id":17,"name":"Train ID","value":"1801-01"},{"id":16,"name":"Locomotive ID","value":"4056"},{"id":130,"name":"Impact","value":""},{"id":150,"name":"Time of Event (Mountain Time)","value":"06:22:43"},{"id":151,"name":"Denver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34"/>
        <v>start /low /b %USERPROFILE%\Documents\GitHub\eaglep3\Utilities\DownloadLogsFromS3.py --loco 4056 --day 2018-01-01</v>
      </c>
      <c r="AN161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36"/>
        <v>https://d0f6bd738d7f1b3e5a7ca70fe4ff75f0.us-east-1.aws.found.io/app/kibana#/discover/Steve-Slow-Train-Analysis-(2080s-and-2083s)?_g=(refreshInterval:(display:Off,pause:!f,section:0,value:0),time:(from:'2018-01-01T04:56:22-0700',mode:absolute,to:'2018-01-01T07:22:43-0700'))&amp;_a=(columns:!('Message%20ID',Summary),filters:!(),index:'emp_*',interval:auto,query:(query_string:(analyze_wildcard:!t,query:'%22rtdc.l.rtdc.4056%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713</v>
      </c>
      <c r="B162" s="225">
        <v>4055</v>
      </c>
      <c r="C162" s="227" t="s">
        <v>192</v>
      </c>
      <c r="D162" s="227" t="s">
        <v>936</v>
      </c>
      <c r="E162" s="226">
        <v>43101.266655092593</v>
      </c>
      <c r="F162" s="226">
        <v>43101.279907407406</v>
      </c>
      <c r="G162" s="225">
        <v>53</v>
      </c>
      <c r="H162" s="227" t="s">
        <v>937</v>
      </c>
      <c r="I162" s="226">
        <v>43101.287916666668</v>
      </c>
      <c r="J162" s="225">
        <v>0</v>
      </c>
      <c r="K162" s="237" t="str">
        <f>IF(ISEVEN(B162),(B162-1)&amp;"/"&amp;B162,B162&amp;"/"&amp;(B162+1))</f>
        <v>4055/4056</v>
      </c>
      <c r="L162" s="245" t="str">
        <f>VLOOKUP(A162,'Trips&amp;Operators'!$C$1:$G$99911,5,FALSE)</f>
        <v>YANAI IAN</v>
      </c>
      <c r="M162" s="224">
        <f>I162-F162</f>
        <v>8.0092592615983449E-3</v>
      </c>
      <c r="N162" s="225">
        <f>24*60*SUM($M162:$M162)</f>
        <v>11.533333336701617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-01T05:23:59-0700',mode:absolute,to:'2018-01-01T07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247" t="str">
        <f>IF(AA162&lt;VLOOKUP(AG162,Variables!$AC$3:$AD$8,2,FALSE),"Y","N")</f>
        <v>N</v>
      </c>
      <c r="X162" s="247">
        <f t="shared" si="37"/>
        <v>1</v>
      </c>
      <c r="Y162" s="247">
        <f>RIGHT(D162,LEN(D162)-4)/10000</f>
        <v>5.8619000000000003</v>
      </c>
      <c r="Z162" s="247">
        <f>RIGHT(H162,LEN(H162)-4)/10000</f>
        <v>9.4999999999999998E-3</v>
      </c>
      <c r="AA162" s="247">
        <f>ABS(Z162-Y162)</f>
        <v>5.8524000000000003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1802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/stypes="app*4055*20180101*"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32"/>
        <v>"%USERPROFILE%\Documents\GitHub\eaglep3\Utilities\RefineRTDCRunTimes.py" --tripid 1802-01 --locoid 4055 --swversion DE.1.0.9.0 --startMP 300:58619 --initTime 2018-01-01T06:23:59 --startdatetime 2018-01-01T06:43:04 --delay 53 --endMP 204:95 --enddatetime 2018-01-01T06:54:36 --enforcementcount 0 &gt;&gt;%USERPROFILE%\Documents\GitHub\eaglep3-reporting\EC\2018-01-01-refined-times.txt</v>
      </c>
      <c r="AI162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{"issue":{"subject":"","project_id":79,"tracker_id":40,"status_id":1,"priority_id":2,"assigned_to_id":338,"start_date":"2018-01-01","description":"","custom_fields":[{"id":1,"name":"Subdivision","value":"NW"},{"id":4,"name":"Milepost","value":"0.0095"},{"id":17,"name":"Train ID","value":"1802-01"},{"id":16,"name":"Locomotive ID","value":"4055"},{"id":130,"name":"Impact","value":""},{"id":150,"name":"Time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34"/>
        <v>start /low /b %USERPROFILE%\Documents\GitHub\eaglep3\Utilities\DownloadLogsFromS3.py --loco 4055 --day 2018-01-01</v>
      </c>
      <c r="AN162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36"/>
        <v>https://d0f6bd738d7f1b3e5a7ca70fe4ff75f0.us-east-1.aws.found.io/app/kibana#/discover/Steve-Slow-Train-Analysis-(2080s-and-2083s)?_g=(refreshInterval:(display:Off,pause:!f,section:0,value:0),time:(from:'2018-01-01T05:23:59-0700',mode:absolute,to:'2018-01-01T07:54:36-0700'))&amp;_a=(columns:!('Message%20ID',Summary),filters:!(),index:'emp_*',interval:auto,query:(query_string:(analyze_wildcard:!t,query:'%22rtdc.l.rtdc.4055%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719</v>
      </c>
      <c r="B163" s="225">
        <v>4056</v>
      </c>
      <c r="C163" s="227" t="s">
        <v>192</v>
      </c>
      <c r="D163" s="227" t="s">
        <v>938</v>
      </c>
      <c r="E163" s="226">
        <v>43101.288888888892</v>
      </c>
      <c r="F163" s="226">
        <v>43101.298101851855</v>
      </c>
      <c r="G163" s="225">
        <v>48</v>
      </c>
      <c r="H163" s="227" t="s">
        <v>642</v>
      </c>
      <c r="I163" s="226">
        <v>43101.306956018518</v>
      </c>
      <c r="J163" s="225">
        <v>0</v>
      </c>
      <c r="K163" s="237" t="str">
        <f>IF(ISEVEN(B163),(B163-1)&amp;"/"&amp;B163,B163&amp;"/"&amp;(B163+1))</f>
        <v>4055/4056</v>
      </c>
      <c r="L163" s="245" t="str">
        <f>VLOOKUP(A163,'Trips&amp;Operators'!$C$1:$G$99911,5,FALSE)</f>
        <v>YANAI IAN</v>
      </c>
      <c r="M163" s="224">
        <f>I163-F163</f>
        <v>8.8541666627861559E-3</v>
      </c>
      <c r="N163" s="225">
        <f>24*60*SUM($M163:$M163)</f>
        <v>12.749999994412065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-01T05:56:00-0700',mode:absolute,to:'2018-01-01T08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247" t="str">
        <f>IF(AA163&lt;VLOOKUP(AG163,Variables!$AC$3:$AD$8,2,FALSE),"Y","N")</f>
        <v>N</v>
      </c>
      <c r="X163" s="247">
        <f t="shared" si="37"/>
        <v>1</v>
      </c>
      <c r="Y163" s="247">
        <f>RIGHT(D163,LEN(D163)-4)/10000</f>
        <v>3.9699999999999999E-2</v>
      </c>
      <c r="Z163" s="247">
        <f>RIGHT(H163,LEN(H163)-4)/10000</f>
        <v>5.8920000000000003</v>
      </c>
      <c r="AA163" s="247">
        <f>ABS(Z163-Y163)</f>
        <v>5.8523000000000005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1803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/stypes="app*4056*20180101*"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32"/>
        <v>"%USERPROFILE%\Documents\GitHub\eaglep3\Utilities\RefineRTDCRunTimes.py" --tripid 1803-01 --locoid 4056 --swversion DE.1.0.9.0 --startMP 204:397 --initTime 2018-01-01T06:56:00 --startdatetime 2018-01-01T07:09:16 --delay 48 --endMP 300:58920 --enddatetime 2018-01-01T07:22:01 --enforcementcount 0 &gt;&gt;%USERPROFILE%\Documents\GitHub\eaglep3-reporting\EC\2018-01-01-refined-times.txt</v>
      </c>
      <c r="AI163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{"issue":{"subject":"","project_id":79,"tracker_id":40,"status_id":1,"priority_id":2,"assigned_to_id":338,"start_date":"2018-01-01","description":"","custom_fields":[{"id":1,"name":"Subdivision","value":"NW"},{"id":4,"name":"Milepost","value":"5.892"},{"id":17,"name":"Train ID","value":"1803-01"},{"id":16,"name":"Locomotive ID","value":"4056"},{"id":130,"name":"Impact","value":""},{"id":150,"name":"Time of Event (Mountain Time)","value":"07:22:01"},{"id":151,"name":"Denver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34"/>
        <v>start /low /b %USERPROFILE%\Documents\GitHub\eaglep3\Utilities\DownloadLogsFromS3.py --loco 4056 --day 2018-01-01</v>
      </c>
      <c r="AN163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6"/>
        <v>https://d0f6bd738d7f1b3e5a7ca70fe4ff75f0.us-east-1.aws.found.io/app/kibana#/discover/Steve-Slow-Train-Analysis-(2080s-and-2083s)?_g=(refreshInterval:(display:Off,pause:!f,section:0,value:0),time:(from:'2018-01-01T05:56:00-0700',mode:absolute,to:'2018-01-01T08:22:01-0700'))&amp;_a=(columns:!('Message%20ID',Summary),filters:!(),index:'emp_*',interval:auto,query:(query_string:(analyze_wildcard:!t,query:'%22rtdc.l.rtdc.4056%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722</v>
      </c>
      <c r="B164" s="225">
        <v>4055</v>
      </c>
      <c r="C164" s="227" t="s">
        <v>192</v>
      </c>
      <c r="D164" s="227" t="s">
        <v>939</v>
      </c>
      <c r="E164" s="226">
        <v>43101.307812500003</v>
      </c>
      <c r="F164" s="226">
        <v>43101.320868055554</v>
      </c>
      <c r="G164" s="225">
        <v>61</v>
      </c>
      <c r="H164" s="227" t="s">
        <v>893</v>
      </c>
      <c r="I164" s="226">
        <v>43101.329525462963</v>
      </c>
      <c r="J164" s="225">
        <v>0</v>
      </c>
      <c r="K164" s="237" t="str">
        <f>IF(ISEVEN(B164),(B164-1)&amp;"/"&amp;B164,B164&amp;"/"&amp;(B164+1))</f>
        <v>4055/4056</v>
      </c>
      <c r="L164" s="245" t="str">
        <f>VLOOKUP(A164,'Trips&amp;Operators'!$C$1:$G$99911,5,FALSE)</f>
        <v>YANAI IAN</v>
      </c>
      <c r="M164" s="224">
        <f>I164-F164</f>
        <v>8.6574074084637687E-3</v>
      </c>
      <c r="N164" s="225">
        <f>24*60*SUM($M164:$M164)</f>
        <v>12.466666668187827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-01T06:23:15-0700',mode:absolute,to:'2018-01-01T08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5.8609</v>
      </c>
      <c r="Z164" s="247">
        <f>RIGHT(H164,LEN(H164)-4)/10000</f>
        <v>1.38E-2</v>
      </c>
      <c r="AA164" s="247">
        <f>ABS(Z164-Y164)</f>
        <v>5.8471000000000002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1804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/stypes="app*4055*20180101*"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32"/>
        <v>"%USERPROFILE%\Documents\GitHub\eaglep3\Utilities\RefineRTDCRunTimes.py" --tripid 1804-01 --locoid 4055 --swversion DE.1.0.9.0 --startMP 300:58609 --initTime 2018-01-01T07:23:15 --startdatetime 2018-01-01T07:42:03 --delay 61 --endMP 204:138 --enddatetime 2018-01-01T07:54:31 --enforcementcount 0 &gt;&gt;%USERPROFILE%\Documents\GitHub\eaglep3-reporting\EC\2018-01-01-refined-times.txt</v>
      </c>
      <c r="AI164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{"issue":{"subject":"","project_id":79,"tracker_id":40,"status_id":1,"priority_id":2,"assigned_to_id":338,"start_date":"2018-01-01","description":"","custom_fields":[{"id":1,"name":"Subdivision","value":"NW"},{"id":4,"name":"Milepost","value":"0.0138"},{"id":17,"name":"Train ID","value":"1804-01"},{"id":16,"name":"Locomotive ID","value":"4055"},{"id":130,"name":"Impact","value":""},{"id":150,"name":"Time of Event (Mountain Time)","value":"07:54:31"},{"id":151,"name":"Denver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34"/>
        <v>start /low /b %USERPROFILE%\Documents\GitHub\eaglep3\Utilities\DownloadLogsFromS3.py --loco 4055 --day 2018-01-01</v>
      </c>
      <c r="AN164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6"/>
        <v>https://d0f6bd738d7f1b3e5a7ca70fe4ff75f0.us-east-1.aws.found.io/app/kibana#/discover/Steve-Slow-Train-Analysis-(2080s-and-2083s)?_g=(refreshInterval:(display:Off,pause:!f,section:0,value:0),time:(from:'2018-01-01T06:23:15-0700',mode:absolute,to:'2018-01-01T08:54:31-0700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29" t="s">
        <v>729</v>
      </c>
      <c r="B165" s="225">
        <v>4056</v>
      </c>
      <c r="C165" s="227" t="s">
        <v>192</v>
      </c>
      <c r="D165" s="227" t="s">
        <v>940</v>
      </c>
      <c r="E165" s="226">
        <v>43101.337847222225</v>
      </c>
      <c r="F165" s="226">
        <v>43101.339745370373</v>
      </c>
      <c r="G165" s="225">
        <v>59</v>
      </c>
      <c r="H165" s="227" t="s">
        <v>646</v>
      </c>
      <c r="I165" s="226">
        <v>43101.348645833335</v>
      </c>
      <c r="J165" s="225">
        <v>0</v>
      </c>
      <c r="K165" s="237" t="str">
        <f>IF(ISEVEN(B165),(B165-1)&amp;"/"&amp;B165,B165&amp;"/"&amp;(B165+1))</f>
        <v>4055/4056</v>
      </c>
      <c r="L165" s="245" t="str">
        <f>VLOOKUP(A165,'Trips&amp;Operators'!$C$1:$G$99911,5,FALSE)</f>
        <v>YANAI IAN</v>
      </c>
      <c r="M165" s="224">
        <f>I165-F165</f>
        <v>8.9004629626288079E-3</v>
      </c>
      <c r="N165" s="225">
        <f>24*60*SUM($M165:$M165)</f>
        <v>12.816666666185483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-01T07:06:30-0700',mode:absolute,to:'2018-01-01T09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4.3900000000000002E-2</v>
      </c>
      <c r="Z165" s="247">
        <f>RIGHT(H165,LEN(H165)-4)/10000</f>
        <v>5.8928000000000003</v>
      </c>
      <c r="AA165" s="247">
        <f>ABS(Z165-Y165)</f>
        <v>5.8489000000000004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1805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/stypes="app*4056*20180101*"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32"/>
        <v>"%USERPROFILE%\Documents\GitHub\eaglep3\Utilities\RefineRTDCRunTimes.py" --tripid 1805-01 --locoid 4056 --swversion DE.1.0.9.0 --startMP 204:439 --initTime 2018-01-01T08:06:30 --startdatetime 2018-01-01T08:09:14 --delay 59 --endMP 300:58928 --enddatetime 2018-01-01T08:22:03 --enforcementcount 0 &gt;&gt;%USERPROFILE%\Documents\GitHub\eaglep3-reporting\EC\2018-01-01-refined-times.txt</v>
      </c>
      <c r="AI165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ID","value":"1805-01"},{"id":16,"name":"Locomotive ID","value":"4056"},{"id":130,"name":"Impact","value":""},{"id":150,"name":"Time of Event (Mountain Time)","value":"08:22:03"},{"id":151,"name":"Denver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34"/>
        <v>start /low /b %USERPROFILE%\Documents\GitHub\eaglep3\Utilities\DownloadLogsFromS3.py --loco 4056 --day 2018-01-01</v>
      </c>
      <c r="AN165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6"/>
        <v>https://d0f6bd738d7f1b3e5a7ca70fe4ff75f0.us-east-1.aws.found.io/app/kibana#/discover/Steve-Slow-Train-Analysis-(2080s-and-2083s)?_g=(refreshInterval:(display:Off,pause:!f,section:0,value:0),time:(from:'2018-01-01T07:06:30-0700',mode:absolute,to:'2018-01-01T09:22:03-0700'))&amp;_a=(columns:!('Message%20ID',Summary),filters:!(),index:'emp_*',interval:auto,query:(query_string:(analyze_wildcard:!t,query:'%22rtdc.l.rtdc.4056%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732</v>
      </c>
      <c r="B166" s="225">
        <v>4055</v>
      </c>
      <c r="C166" s="227" t="s">
        <v>192</v>
      </c>
      <c r="D166" s="227" t="s">
        <v>936</v>
      </c>
      <c r="E166" s="226">
        <v>43101.34951388889</v>
      </c>
      <c r="F166" s="226">
        <v>43101.363240740742</v>
      </c>
      <c r="G166" s="225">
        <v>47</v>
      </c>
      <c r="H166" s="227" t="s">
        <v>941</v>
      </c>
      <c r="I166" s="226">
        <v>43101.371249999997</v>
      </c>
      <c r="J166" s="225">
        <v>0</v>
      </c>
      <c r="K166" s="237" t="str">
        <f>IF(ISEVEN(B166),(B166-1)&amp;"/"&amp;B166,B166&amp;"/"&amp;(B166+1))</f>
        <v>4055/4056</v>
      </c>
      <c r="L166" s="245" t="str">
        <f>VLOOKUP(A166,'Trips&amp;Operators'!$C$1:$G$99911,5,FALSE)</f>
        <v>YANAI IAN</v>
      </c>
      <c r="M166" s="224">
        <f>I166-F166</f>
        <v>8.0092592543223873E-3</v>
      </c>
      <c r="N166" s="225">
        <f>24*60*SUM($M166:$M166)</f>
        <v>11.533333326224238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-01T07:23:18-0700',mode:absolute,to:'2018-01-01T09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5.8619000000000003</v>
      </c>
      <c r="Z166" s="247">
        <f>RIGHT(H166,LEN(H166)-4)/10000</f>
        <v>8.9999999999999993E-3</v>
      </c>
      <c r="AA166" s="247">
        <f>ABS(Z166-Y166)</f>
        <v>5.8529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1806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/stypes="app*4055*20180101*" /stext=" 15:.+((SYSTEM_STATE.+slice.+state.+changed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32"/>
        <v>"%USERPROFILE%\Documents\GitHub\eaglep3\Utilities\RefineRTDCRunTimes.py" --tripid 1806-01 --locoid 4055 --swversion DE.1.0.9.0 --startMP 300:58619 --initTime 2018-01-01T08:23:18 --startdatetime 2018-01-01T08:43:04 --delay 47 --endMP 204:90 --enddatetime 2018-01-01T08:54:36 --enforcementcount 0 &gt;&gt;%USERPROFILE%\Documents\GitHub\eaglep3-reporting\EC\2018-01-01-refined-times.txt</v>
      </c>
      <c r="AI166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{"issue":{"subject":"","project_id":79,"tracker_id":40,"status_id":1,"priority_id":2,"assigned_to_id":338,"start_date":"2018-01-01","description":"","custom_fields":[{"id":1,"name":"Subdivision","value":"NW"},{"id":4,"name":"Milepost","value":"0.009"},{"id":17,"name":"Train ID","value":"1806-01"},{"id":16,"name":"Locomotive ID","value":"4055"},{"id":130,"name":"Impact","value":""},{"id":150,"name":"Time of Event (Mountain Time)","value":"08:54:36"},{"id":151,"name":"Denver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34"/>
        <v>start /low /b %USERPROFILE%\Documents\GitHub\eaglep3\Utilities\DownloadLogsFromS3.py --loco 4055 --day 2018-01-01</v>
      </c>
      <c r="AN166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6"/>
        <v>https://d0f6bd738d7f1b3e5a7ca70fe4ff75f0.us-east-1.aws.found.io/app/kibana#/discover/Steve-Slow-Train-Analysis-(2080s-and-2083s)?_g=(refreshInterval:(display:Off,pause:!f,section:0,value:0),time:(from:'2018-01-01T07:23:18-0700',mode:absolute,to:'2018-01-01T09:54:36-0700'))&amp;_a=(columns:!('Message%20ID',Summary),filters:!(),index:'emp_*',interval:auto,query:(query_string:(analyze_wildcard:!t,query:'%22rtdc.l.rtdc.4055%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740</v>
      </c>
      <c r="B167" s="225">
        <v>4056</v>
      </c>
      <c r="C167" s="227" t="s">
        <v>192</v>
      </c>
      <c r="D167" s="227" t="s">
        <v>942</v>
      </c>
      <c r="E167" s="226">
        <v>43101.372384259259</v>
      </c>
      <c r="F167" s="226">
        <v>43101.38140046296</v>
      </c>
      <c r="G167" s="225">
        <v>47</v>
      </c>
      <c r="H167" s="227" t="s">
        <v>943</v>
      </c>
      <c r="I167" s="226">
        <v>43101.3905787037</v>
      </c>
      <c r="J167" s="225">
        <v>0</v>
      </c>
      <c r="K167" s="237" t="str">
        <f>IF(ISEVEN(B167),(B167-1)&amp;"/"&amp;B167,B167&amp;"/"&amp;(B167+1))</f>
        <v>4055/4056</v>
      </c>
      <c r="L167" s="245" t="str">
        <f>VLOOKUP(A167,'Trips&amp;Operators'!$C$1:$G$99911,5,FALSE)</f>
        <v>YANAI IAN</v>
      </c>
      <c r="M167" s="224">
        <f>I167-F167</f>
        <v>9.1782407398568466E-3</v>
      </c>
      <c r="N167" s="225">
        <f>24*60*SUM($M167:$M167)</f>
        <v>13.216666665393859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-01T07:56:14-0700',mode:absolute,to:'2018-01-01T10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3.9199999999999999E-2</v>
      </c>
      <c r="Z167" s="247">
        <f>RIGHT(H167,LEN(H167)-4)/10000</f>
        <v>5.8940999999999999</v>
      </c>
      <c r="AA167" s="247">
        <f>ABS(Z167-Y167)</f>
        <v>5.8548999999999998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1807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/stypes="app*4056*20180101*"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32"/>
        <v>"%USERPROFILE%\Documents\GitHub\eaglep3\Utilities\RefineRTDCRunTimes.py" --tripid 1807-01 --locoid 4056 --swversion DE.1.0.9.0 --startMP 204:392 --initTime 2018-01-01T08:56:14 --startdatetime 2018-01-01T09:09:13 --delay 47 --endMP 300:58941 --enddatetime 2018-01-01T09:22:26 --enforcementcount 0 &gt;&gt;%USERPROFILE%\Documents\GitHub\eaglep3-reporting\EC\2018-01-01-refined-times.txt</v>
      </c>
      <c r="AI167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{"issue":{"subject":"","project_id":79,"tracker_id":40,"status_id":1,"priority_id":2,"assigned_to_id":338,"start_date":"2018-01-01","description":"","custom_fields":[{"id":1,"name":"Subdivision","value":"NW"},{"id":4,"name":"Milepost","value":"5.8941"},{"id":17,"name":"Train ID","value":"1807-01"},{"id":16,"name":"Locomotive ID","value":"4056"},{"id":130,"name":"Impact","value":""},{"id":150,"name":"Time of Event (Mountain Time)","value":"09:22:26"},{"id":151,"name":"Denver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34"/>
        <v>start /low /b %USERPROFILE%\Documents\GitHub\eaglep3\Utilities\DownloadLogsFromS3.py --loco 4056 --day 2018-01-01</v>
      </c>
      <c r="AN167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6"/>
        <v>https://d0f6bd738d7f1b3e5a7ca70fe4ff75f0.us-east-1.aws.found.io/app/kibana#/discover/Steve-Slow-Train-Analysis-(2080s-and-2083s)?_g=(refreshInterval:(display:Off,pause:!f,section:0,value:0),time:(from:'2018-01-01T07:56:14-0700',mode:absolute,to:'2018-01-01T10:22:26-0700'))&amp;_a=(columns:!('Message%20ID',Summary),filters:!(),index:'emp_*',interval:auto,query:(query_string:(analyze_wildcard:!t,query:'%22rtdc.l.rtdc.4056%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744</v>
      </c>
      <c r="B168" s="225">
        <v>4055</v>
      </c>
      <c r="C168" s="227" t="s">
        <v>192</v>
      </c>
      <c r="D168" s="227" t="s">
        <v>944</v>
      </c>
      <c r="E168" s="226">
        <v>43101.391423611109</v>
      </c>
      <c r="F168" s="226">
        <v>43101.403969907406</v>
      </c>
      <c r="G168" s="225">
        <v>48</v>
      </c>
      <c r="H168" s="227" t="s">
        <v>945</v>
      </c>
      <c r="I168" s="226">
        <v>43101.413124999999</v>
      </c>
      <c r="J168" s="225">
        <v>0</v>
      </c>
      <c r="K168" s="237" t="str">
        <f>IF(ISEVEN(B168),(B168-1)&amp;"/"&amp;B168,B168&amp;"/"&amp;(B168+1))</f>
        <v>4055/4056</v>
      </c>
      <c r="L168" s="245" t="str">
        <f>VLOOKUP(A168,'Trips&amp;Operators'!$C$1:$G$99911,5,FALSE)</f>
        <v>YANAI IAN</v>
      </c>
      <c r="M168" s="224">
        <f>I168-F168</f>
        <v>9.1550925935734995E-3</v>
      </c>
      <c r="N168" s="225">
        <f>24*60*SUM($M168:$M168)</f>
        <v>13.183333334745839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-01T08:23:39-0700',mode:absolute,to:'2018-01-01T10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5.8625999999999996</v>
      </c>
      <c r="Z168" s="247">
        <f>RIGHT(H168,LEN(H168)-4)/10000</f>
        <v>1.0200000000000001E-2</v>
      </c>
      <c r="AA168" s="247">
        <f>ABS(Z168-Y168)</f>
        <v>5.8523999999999994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1808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/stypes="app*4055*20180101*" /stext=" 16:.+((SYSTEM_STATE.+slice.+state.+changed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32"/>
        <v>"%USERPROFILE%\Documents\GitHub\eaglep3\Utilities\RefineRTDCRunTimes.py" --tripid 1808-01 --locoid 4055 --swversion DE.1.0.9.0 --startMP 300:58626 --initTime 2018-01-01T09:23:39 --startdatetime 2018-01-01T09:41:43 --delay 48 --endMP 204:102 --enddatetime 2018-01-01T09:54:54 --enforcementcount 0 &gt;&gt;%USERPROFILE%\Documents\GitHub\eaglep3-reporting\EC\2018-01-01-refined-times.txt</v>
      </c>
      <c r="AI168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{"issue":{"subject":"","project_id":79,"tracker_id":40,"status_id":1,"priority_id":2,"assigned_to_id":338,"start_date":"2018-01-01","description":"","custom_fields":[{"id":1,"name":"Subdivision","value":"NW"},{"id":4,"name":"Milepost","value":"0.0102"},{"id":17,"name":"Train ID","value":"1808-01"},{"id":16,"name":"Locomotive ID","value":"4055"},{"id":130,"name":"Impact","value":""},{"id":150,"name":"Time of Event (Mountain Time)","value":"09:54:54"},{"id":151,"name":"Denver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34"/>
        <v>start /low /b %USERPROFILE%\Documents\GitHub\eaglep3\Utilities\DownloadLogsFromS3.py --loco 4055 --day 2018-01-01</v>
      </c>
      <c r="AN168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6"/>
        <v>https://d0f6bd738d7f1b3e5a7ca70fe4ff75f0.us-east-1.aws.found.io/app/kibana#/discover/Steve-Slow-Train-Analysis-(2080s-and-2083s)?_g=(refreshInterval:(display:Off,pause:!f,section:0,value:0),time:(from:'2018-01-01T08:23:39-0700',mode:absolute,to:'2018-01-01T10:54:54-0700'))&amp;_a=(columns:!('Message%20ID',Summary),filters:!(),index:'emp_*',interval:auto,query:(query_string:(analyze_wildcard:!t,query:'%22rtdc.l.rtdc.4055%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750</v>
      </c>
      <c r="B169" s="225">
        <v>4056</v>
      </c>
      <c r="C169" s="227" t="s">
        <v>192</v>
      </c>
      <c r="D169" s="227" t="s">
        <v>946</v>
      </c>
      <c r="E169" s="226">
        <v>43101.414386574077</v>
      </c>
      <c r="F169" s="226">
        <v>43101.423078703701</v>
      </c>
      <c r="G169" s="225">
        <v>47</v>
      </c>
      <c r="H169" s="227" t="s">
        <v>646</v>
      </c>
      <c r="I169" s="226">
        <v>43101.432291666664</v>
      </c>
      <c r="J169" s="225">
        <v>0</v>
      </c>
      <c r="K169" s="237" t="str">
        <f>IF(ISEVEN(B169),(B169-1)&amp;"/"&amp;B169,B169&amp;"/"&amp;(B169+1))</f>
        <v>4055/4056</v>
      </c>
      <c r="L169" s="245" t="str">
        <f>VLOOKUP(A169,'Trips&amp;Operators'!$C$1:$G$99911,5,FALSE)</f>
        <v>YANAI IAN</v>
      </c>
      <c r="M169" s="224">
        <f>I169-F169</f>
        <v>9.2129629629198462E-3</v>
      </c>
      <c r="N169" s="225">
        <f>24*60*SUM($M169:$M169)</f>
        <v>13.266666666604578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-01T08:56:43-0700',mode:absolute,to:'2018-01-01T11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3.8300000000000001E-2</v>
      </c>
      <c r="Z169" s="247">
        <f>RIGHT(H169,LEN(H169)-4)/10000</f>
        <v>5.8928000000000003</v>
      </c>
      <c r="AA169" s="247">
        <f>ABS(Z169-Y169)</f>
        <v>5.8544999999999998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1809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/stypes="app*4056*20180101*"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32"/>
        <v>"%USERPROFILE%\Documents\GitHub\eaglep3\Utilities\RefineRTDCRunTimes.py" --tripid 1809-01 --locoid 4056 --swversion DE.1.0.9.0 --startMP 204:383 --initTime 2018-01-01T09:56:43 --startdatetime 2018-01-01T10:09:14 --delay 47 --endMP 300:58928 --enddatetime 2018-01-01T10:22:30 --enforcementcount 0 &gt;&gt;%USERPROFILE%\Documents\GitHub\eaglep3-reporting\EC\2018-01-01-refined-times.txt</v>
      </c>
      <c r="AI169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ID","value":"1809-01"},{"id":16,"name":"Locomotive ID","value":"4056"},{"id":130,"name":"Impact","value":""},{"id":150,"name":"Time of Event (Mountain Time)","value":"10:22:30"},{"id":151,"name":"Denver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34"/>
        <v>start /low /b %USERPROFILE%\Documents\GitHub\eaglep3\Utilities\DownloadLogsFromS3.py --loco 4056 --day 2018-01-01</v>
      </c>
      <c r="AN169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6"/>
        <v>https://d0f6bd738d7f1b3e5a7ca70fe4ff75f0.us-east-1.aws.found.io/app/kibana#/discover/Steve-Slow-Train-Analysis-(2080s-and-2083s)?_g=(refreshInterval:(display:Off,pause:!f,section:0,value:0),time:(from:'2018-01-01T08:56:43-0700',mode:absolute,to:'2018-01-01T11:22:30-0700'))&amp;_a=(columns:!('Message%20ID',Summary),filters:!(),index:'emp_*',interval:auto,query:(query_string:(analyze_wildcard:!t,query:'%22rtdc.l.rtdc.4056%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759</v>
      </c>
      <c r="B170" s="225">
        <v>4055</v>
      </c>
      <c r="C170" s="227" t="s">
        <v>192</v>
      </c>
      <c r="D170" s="227" t="s">
        <v>948</v>
      </c>
      <c r="E170" s="226">
        <v>43101.433125000003</v>
      </c>
      <c r="F170" s="226">
        <v>43101.446585648147</v>
      </c>
      <c r="G170" s="225">
        <v>49</v>
      </c>
      <c r="H170" s="227" t="s">
        <v>949</v>
      </c>
      <c r="I170" s="226">
        <v>43101.454618055555</v>
      </c>
      <c r="J170" s="225">
        <v>0</v>
      </c>
      <c r="K170" s="237" t="str">
        <f>IF(ISEVEN(B170),(B170-1)&amp;"/"&amp;B170,B170&amp;"/"&amp;(B170+1))</f>
        <v>4055/4056</v>
      </c>
      <c r="L170" s="245" t="str">
        <f>VLOOKUP(A170,'Trips&amp;Operators'!$C$1:$G$99911,5,FALSE)</f>
        <v>YANAI IAN</v>
      </c>
      <c r="M170" s="224">
        <f>I170-F170</f>
        <v>8.0324074078816921E-3</v>
      </c>
      <c r="N170" s="225">
        <f>24*60*SUM($M170:$M170)</f>
        <v>11.566666667349637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-01T09:23:42-0700',mode:absolute,to:'2018-01-01T11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5.8616999999999999</v>
      </c>
      <c r="Z170" s="247">
        <f>RIGHT(H170,LEN(H170)-4)/10000</f>
        <v>1.0999999999999999E-2</v>
      </c>
      <c r="AA170" s="247">
        <f>ABS(Z170-Y170)</f>
        <v>5.8506999999999998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1810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/stypes="app*4055*20180101*" /stext=" 17:.+((SYSTEM_STATE.+slice.+state.+changed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32"/>
        <v>"%USERPROFILE%\Documents\GitHub\eaglep3\Utilities\RefineRTDCRunTimes.py" --tripid 1810-01 --locoid 4055 --swversion DE.1.0.9.0 --startMP 300:58617 --initTime 2018-01-01T10:23:42 --startdatetime 2018-01-01T10:43:05 --delay 49 --endMP 204:110 --enddatetime 2018-01-01T10:54:39 --enforcementcount 0 &gt;&gt;%USERPROFILE%\Documents\GitHub\eaglep3-reporting\EC\2018-01-01-refined-times.txt</v>
      </c>
      <c r="AI170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{"issue":{"subject":"","project_id":79,"tracker_id":40,"status_id":1,"priority_id":2,"assigned_to_id":338,"start_date":"2018-01-01","description":"","custom_fields":[{"id":1,"name":"Subdivision","value":"NW"},{"id":4,"name":"Milepost","value":"0.011"},{"id":17,"name":"Train ID","value":"1810-01"},{"id":16,"name":"Locomotive ID","value":"4055"},{"id":130,"name":"Impact","value":""},{"id":150,"name":"Time of Event (Mountain Time)","value":"10:54:39"},{"id":151,"name":"Denver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34"/>
        <v>start /low /b %USERPROFILE%\Documents\GitHub\eaglep3\Utilities\DownloadLogsFromS3.py --loco 4055 --day 2018-01-01</v>
      </c>
      <c r="AN170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6"/>
        <v>https://d0f6bd738d7f1b3e5a7ca70fe4ff75f0.us-east-1.aws.found.io/app/kibana#/discover/Steve-Slow-Train-Analysis-(2080s-and-2083s)?_g=(refreshInterval:(display:Off,pause:!f,section:0,value:0),time:(from:'2018-01-01T09:23:42-0700',mode:absolute,to:'2018-01-01T11:54:39-0700'))&amp;_a=(columns:!('Message%20ID',Summary),filters:!(),index:'emp_*',interval:auto,query:(query_string:(analyze_wildcard:!t,query:'%22rtdc.l.rtdc.4055%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767</v>
      </c>
      <c r="B171" s="225">
        <v>4056</v>
      </c>
      <c r="C171" s="227" t="s">
        <v>192</v>
      </c>
      <c r="D171" s="227" t="s">
        <v>950</v>
      </c>
      <c r="E171" s="226">
        <v>43101.455509259256</v>
      </c>
      <c r="F171" s="226">
        <v>43101.465104166666</v>
      </c>
      <c r="G171" s="225">
        <v>45</v>
      </c>
      <c r="H171" s="227" t="s">
        <v>951</v>
      </c>
      <c r="I171" s="226">
        <v>43101.474328703705</v>
      </c>
      <c r="J171" s="225">
        <v>0</v>
      </c>
      <c r="K171" s="237" t="str">
        <f>IF(ISEVEN(B171),(B171-1)&amp;"/"&amp;B171,B171&amp;"/"&amp;(B171+1))</f>
        <v>4055/4056</v>
      </c>
      <c r="L171" s="245" t="str">
        <f>VLOOKUP(A171,'Trips&amp;Operators'!$C$1:$G$99911,5,FALSE)</f>
        <v>YANAI IAN</v>
      </c>
      <c r="M171" s="224">
        <f>I171-F171</f>
        <v>9.2245370396994986E-3</v>
      </c>
      <c r="N171" s="225">
        <f>24*60*SUM($M171:$M171)</f>
        <v>13.283333337167278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-01T09:55:56-0700',mode:absolute,to:'2018-01-01T12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4.3200000000000002E-2</v>
      </c>
      <c r="Z171" s="247">
        <f>RIGHT(H171,LEN(H171)-4)/10000</f>
        <v>5.8930999999999996</v>
      </c>
      <c r="AA171" s="247">
        <f>ABS(Z171-Y171)</f>
        <v>5.8498999999999999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/stypes="app*4056*20180101*"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32"/>
        <v>"%USERPROFILE%\Documents\GitHub\eaglep3\Utilities\RefineRTDCRunTimes.py" --tripid 1811-01 --locoid 4056 --swversion DE.1.0.9.0 --startMP 204:432 --initTime 2018-01-01T10:55:56 --startdatetime 2018-01-01T11:09:45 --delay 45 --endMP 300:58931 --enddatetime 2018-01-01T11:23:02 --enforcementcount 0 &gt;&gt;%USERPROFILE%\Documents\GitHub\eaglep3-reporting\EC\2018-01-01-refined-times.txt</v>
      </c>
      <c r="AI171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ID","value":"1811-01"},{"id":16,"name":"Locomotive ID","value":"4056"},{"id":130,"name":"Impact","value":""},{"id":150,"name":"Time of Event (Mountain Time)","value":"11:23:02"},{"id":151,"name":"Denver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34"/>
        <v>start /low /b %USERPROFILE%\Documents\GitHub\eaglep3\Utilities\DownloadLogsFromS3.py --loco 4056 --day 2018-01-01</v>
      </c>
      <c r="AN171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6"/>
        <v>https://d0f6bd738d7f1b3e5a7ca70fe4ff75f0.us-east-1.aws.found.io/app/kibana#/discover/Steve-Slow-Train-Analysis-(2080s-and-2083s)?_g=(refreshInterval:(display:Off,pause:!f,section:0,value:0),time:(from:'2018-01-01T09:55:56-0700',mode:absolute,to:'2018-01-01T12:23:02-0700'))&amp;_a=(columns:!('Message%20ID',Summary),filters:!(),index:'emp_*',interval:auto,query:(query_string:(analyze_wildcard:!t,query:'%22rtdc.l.rtdc.4056%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773</v>
      </c>
      <c r="B172" s="225">
        <v>4055</v>
      </c>
      <c r="C172" s="227" t="s">
        <v>192</v>
      </c>
      <c r="D172" s="227" t="s">
        <v>948</v>
      </c>
      <c r="E172" s="226">
        <v>43101.475081018521</v>
      </c>
      <c r="F172" s="226">
        <v>43101.487812500003</v>
      </c>
      <c r="G172" s="225">
        <v>47</v>
      </c>
      <c r="H172" s="227" t="s">
        <v>645</v>
      </c>
      <c r="I172" s="226">
        <v>43101.496307870373</v>
      </c>
      <c r="J172" s="225">
        <v>0</v>
      </c>
      <c r="K172" s="237" t="str">
        <f>IF(ISEVEN(B172),(B172-1)&amp;"/"&amp;B172,B172&amp;"/"&amp;(B172+1))</f>
        <v>4055/4056</v>
      </c>
      <c r="L172" s="245" t="str">
        <f>VLOOKUP(A172,'Trips&amp;Operators'!$C$1:$G$99911,5,FALSE)</f>
        <v>YANAI IAN</v>
      </c>
      <c r="M172" s="224">
        <f>I172-F172</f>
        <v>8.4953703699284233E-3</v>
      </c>
      <c r="N172" s="225">
        <f>24*60*SUM($M172:$M172)</f>
        <v>12.23333333269693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-01T10:24:07-0700',mode:absolute,to:'2018-01-01T12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5.8616999999999999</v>
      </c>
      <c r="Z172" s="247">
        <f>RIGHT(H172,LEN(H172)-4)/10000</f>
        <v>1.2200000000000001E-2</v>
      </c>
      <c r="AA172" s="247">
        <f>ABS(Z172-Y172)</f>
        <v>5.8494999999999999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1812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/stypes="app*4055*20180101*" /stext=" 18:.+((SYSTEM_STATE.+slice.+state.+changed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32"/>
        <v>"%USERPROFILE%\Documents\GitHub\eaglep3\Utilities\RefineRTDCRunTimes.py" --tripid 1812-01 --locoid 4055 --swversion DE.1.0.9.0 --startMP 300:58617 --initTime 2018-01-01T11:24:07 --startdatetime 2018-01-01T11:42:27 --delay 47 --endMP 204:122 --enddatetime 2018-01-01T11:54:41 --enforcementcount 0 &gt;&gt;%USERPROFILE%\Documents\GitHub\eaglep3-reporting\EC\2018-01-01-refined-times.txt</v>
      </c>
      <c r="AI172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{"issue":{"subject":"","project_id":79,"tracker_id":40,"status_id":1,"priority_id":2,"assigned_to_id":338,"start_date":"2018-01-01","description":"","custom_fields":[{"id":1,"name":"Subdivision","value":"NW"},{"id":4,"name":"Milepost","value":"0.0122"},{"id":17,"name":"Train ID","value":"1812-01"},{"id":16,"name":"Locomotive ID","value":"4055"},{"id":130,"name":"Impact","value":""},{"id":150,"name":"Time of Event (Mountain Time)","value":"11:54:41"},{"id":151,"name":"Denver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34"/>
        <v>start /low /b %USERPROFILE%\Documents\GitHub\eaglep3\Utilities\DownloadLogsFromS3.py --loco 4055 --day 2018-01-01</v>
      </c>
      <c r="AN172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6"/>
        <v>https://d0f6bd738d7f1b3e5a7ca70fe4ff75f0.us-east-1.aws.found.io/app/kibana#/discover/Steve-Slow-Train-Analysis-(2080s-and-2083s)?_g=(refreshInterval:(display:Off,pause:!f,section:0,value:0),time:(from:'2018-01-01T10:24:07-0700',mode:absolute,to:'2018-01-01T12:54:41-0700'))&amp;_a=(columns:!('Message%20ID',Summary),filters:!(),index:'emp_*',interval:auto,query:(query_string:(analyze_wildcard:!t,query:'%22rtdc.l.rtdc.4055%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780</v>
      </c>
      <c r="B173" s="225">
        <v>4056</v>
      </c>
      <c r="C173" s="227" t="s">
        <v>192</v>
      </c>
      <c r="D173" s="227" t="s">
        <v>952</v>
      </c>
      <c r="E173" s="226">
        <v>43101.497233796297</v>
      </c>
      <c r="F173" s="226">
        <v>43101.50644675926</v>
      </c>
      <c r="G173" s="225">
        <v>52</v>
      </c>
      <c r="H173" s="227" t="s">
        <v>646</v>
      </c>
      <c r="I173" s="226">
        <v>43101.515613425923</v>
      </c>
      <c r="J173" s="225">
        <v>0</v>
      </c>
      <c r="K173" s="237" t="str">
        <f>IF(ISEVEN(B173),(B173-1)&amp;"/"&amp;B173,B173&amp;"/"&amp;(B173+1))</f>
        <v>4055/4056</v>
      </c>
      <c r="L173" s="245" t="str">
        <f>VLOOKUP(A173,'Trips&amp;Operators'!$C$1:$G$99911,5,FALSE)</f>
        <v>YANAI IAN</v>
      </c>
      <c r="M173" s="224">
        <f>I173-F173</f>
        <v>9.1666666630771942E-3</v>
      </c>
      <c r="N173" s="225">
        <f>24*60*SUM($M173:$M173)</f>
        <v>13.19999999483116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-01T10:56:01-0700',mode:absolute,to:'2018-01-01T13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4.1700000000000001E-2</v>
      </c>
      <c r="Z173" s="247">
        <f>RIGHT(H173,LEN(H173)-4)/10000</f>
        <v>5.8928000000000003</v>
      </c>
      <c r="AA173" s="247">
        <f>ABS(Z173-Y173)</f>
        <v>5.8511000000000006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1813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/stypes="app*4056*20180101*"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32"/>
        <v>"%USERPROFILE%\Documents\GitHub\eaglep3\Utilities\RefineRTDCRunTimes.py" --tripid 1813-01 --locoid 4056 --swversion DE.1.0.9.0 --startMP 204:417 --initTime 2018-01-01T11:56:01 --startdatetime 2018-01-01T12:09:17 --delay 52 --endMP 300:58928 --enddatetime 2018-01-01T12:22:29 --enforcementcount 0 &gt;&gt;%USERPROFILE%\Documents\GitHub\eaglep3-reporting\EC\2018-01-01-refined-times.txt</v>
      </c>
      <c r="AI173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ID","value":"1813-01"},{"id":16,"name":"Locomotive ID","value":"4056"},{"id":130,"name":"Impact","value":""},{"id":150,"name":"Time of Event (Mountain Time)","value":"12:22:29"},{"id":151,"name":"Denver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34"/>
        <v>start /low /b %USERPROFILE%\Documents\GitHub\eaglep3\Utilities\DownloadLogsFromS3.py --loco 4056 --day 2018-01-01</v>
      </c>
      <c r="AN173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6"/>
        <v>https://d0f6bd738d7f1b3e5a7ca70fe4ff75f0.us-east-1.aws.found.io/app/kibana#/discover/Steve-Slow-Train-Analysis-(2080s-and-2083s)?_g=(refreshInterval:(display:Off,pause:!f,section:0,value:0),time:(from:'2018-01-01T10:56:01-0700',mode:absolute,to:'2018-01-01T13:22:29-0700'))&amp;_a=(columns:!('Message%20ID',Summary),filters:!(),index:'emp_*',interval:auto,query:(query_string:(analyze_wildcard:!t,query:'%22rtdc.l.rtdc.4056%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784</v>
      </c>
      <c r="B174" s="225">
        <v>4055</v>
      </c>
      <c r="C174" s="227" t="s">
        <v>192</v>
      </c>
      <c r="D174" s="227" t="s">
        <v>953</v>
      </c>
      <c r="E174" s="226">
        <v>43101.516469907408</v>
      </c>
      <c r="F174" s="226">
        <v>43101.529918981483</v>
      </c>
      <c r="G174" s="225">
        <v>59</v>
      </c>
      <c r="H174" s="227" t="s">
        <v>954</v>
      </c>
      <c r="I174" s="226">
        <v>43101.53800925926</v>
      </c>
      <c r="J174" s="225">
        <v>0</v>
      </c>
      <c r="K174" s="237" t="str">
        <f>IF(ISEVEN(B174),(B174-1)&amp;"/"&amp;B174,B174&amp;"/"&amp;(B174+1))</f>
        <v>4055/4056</v>
      </c>
      <c r="L174" s="245" t="str">
        <f>VLOOKUP(A174,'Trips&amp;Operators'!$C$1:$G$99911,5,FALSE)</f>
        <v>YANAI IAN</v>
      </c>
      <c r="M174" s="224">
        <f>I174-F174</f>
        <v>8.0902777772280388E-3</v>
      </c>
      <c r="N174" s="225">
        <f>24*60*SUM($M174:$M174)</f>
        <v>11.649999999208376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-01T11:23:43-0700',mode:absolute,to:'2018-01-01T13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5.8615000000000004</v>
      </c>
      <c r="Z174" s="247">
        <f>RIGHT(H174,LEN(H174)-4)/10000</f>
        <v>1.26E-2</v>
      </c>
      <c r="AA174" s="247">
        <f>ABS(Z174-Y174)</f>
        <v>5.8489000000000004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1814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/stypes="app*4055*20180101*" /stext=" 19:.+((SYSTEM_STATE.+slice.+state.+changed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32"/>
        <v>"%USERPROFILE%\Documents\GitHub\eaglep3\Utilities\RefineRTDCRunTimes.py" --tripid 1814-01 --locoid 4055 --swversion DE.1.0.9.0 --startMP 300:58615 --initTime 2018-01-01T12:23:43 --startdatetime 2018-01-01T12:43:05 --delay 59 --endMP 204:126 --enddatetime 2018-01-01T12:54:44 --enforcementcount 0 &gt;&gt;%USERPROFILE%\Documents\GitHub\eaglep3-reporting\EC\2018-01-01-refined-times.txt</v>
      </c>
      <c r="AI174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{"issue":{"subject":"","project_id":79,"tracker_id":40,"status_id":1,"priority_id":2,"assigned_to_id":338,"start_date":"2018-01-01","description":"","custom_fields":[{"id":1,"name":"Subdivision","value":"NW"},{"id":4,"name":"Milepost","value":"0.0126"},{"id":17,"name":"Train ID","value":"1814-01"},{"id":16,"name":"Locomotive ID","value":"4055"},{"id":130,"name":"Impact","value":""},{"id":150,"name":"Time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34"/>
        <v>start /low /b %USERPROFILE%\Documents\GitHub\eaglep3\Utilities\DownloadLogsFromS3.py --loco 4055 --day 2018-01-01</v>
      </c>
      <c r="AN174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6"/>
        <v>https://d0f6bd738d7f1b3e5a7ca70fe4ff75f0.us-east-1.aws.found.io/app/kibana#/discover/Steve-Slow-Train-Analysis-(2080s-and-2083s)?_g=(refreshInterval:(display:Off,pause:!f,section:0,value:0),time:(from:'2018-01-01T11:23:43-0700',mode:absolute,to:'2018-01-01T13:54:44-0700'))&amp;_a=(columns:!('Message%20ID',Summary),filters:!(),index:'emp_*',interval:auto,query:(query_string:(analyze_wildcard:!t,query:'%22rtdc.l.rtdc.4055%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791</v>
      </c>
      <c r="B175" s="225">
        <v>4056</v>
      </c>
      <c r="C175" s="227" t="s">
        <v>192</v>
      </c>
      <c r="D175" s="227" t="s">
        <v>955</v>
      </c>
      <c r="E175" s="226">
        <v>43101.54619212963</v>
      </c>
      <c r="F175" s="226">
        <v>43101.548101851855</v>
      </c>
      <c r="G175" s="225">
        <v>67</v>
      </c>
      <c r="H175" s="227" t="s">
        <v>956</v>
      </c>
      <c r="I175" s="226">
        <v>43101.558483796296</v>
      </c>
      <c r="J175" s="225">
        <v>0</v>
      </c>
      <c r="K175" s="237" t="str">
        <f>IF(ISEVEN(B175),(B175-1)&amp;"/"&amp;B175,B175&amp;"/"&amp;(B175+1))</f>
        <v>4055/4056</v>
      </c>
      <c r="L175" s="245" t="str">
        <f>VLOOKUP(A175,'Trips&amp;Operators'!$C$1:$G$99911,5,FALSE)</f>
        <v>STARKS ANGELINA</v>
      </c>
      <c r="M175" s="224">
        <f>I175-F175</f>
        <v>1.0381944441178348E-2</v>
      </c>
      <c r="N175" s="225">
        <f>24*60*SUM($M175:$M175)</f>
        <v>14.949999995296821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-01T12:06:31-0700',mode:absolute,to:'2018-01-01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4.19E-2</v>
      </c>
      <c r="Z175" s="247">
        <f>RIGHT(H175,LEN(H175)-4)/10000</f>
        <v>5.8924000000000003</v>
      </c>
      <c r="AA175" s="247">
        <f>ABS(Z175-Y175)</f>
        <v>5.8505000000000003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1815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/stypes="app*4056*20180101*"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32"/>
        <v>"%USERPROFILE%\Documents\GitHub\eaglep3\Utilities\RefineRTDCRunTimes.py" --tripid 1815-01 --locoid 4056 --swversion DE.1.0.9.0 --startMP 204:419 --initTime 2018-01-01T13:06:31 --startdatetime 2018-01-01T13:09:16 --delay 67 --endMP 300:58924 --enddatetime 2018-01-01T13:24:13 --enforcementcount 0 &gt;&gt;%USERPROFILE%\Documents\GitHub\eaglep3-reporting\EC\2018-01-01-refined-times.txt</v>
      </c>
      <c r="AI175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{"issue":{"subject":"","project_id":79,"tracker_id":40,"status_id":1,"priority_id":2,"assigned_to_id":338,"start_date":"2018-01-01","description":"","custom_fields":[{"id":1,"name":"Subdivision","value":"NW"},{"id":4,"name":"Milepost","value":"5.8924"},{"id":17,"name":"Train ID","value":"1815-01"},{"id":16,"name":"Locomotive ID","value":"4056"},{"id":130,"name":"Impact","value":""},{"id":150,"name":"Time of Event (Mountain Time)","value":"13:24:13"},{"id":151,"name":"Denver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34"/>
        <v>start /low /b %USERPROFILE%\Documents\GitHub\eaglep3\Utilities\DownloadLogsFromS3.py --loco 4056 --day 2018-01-01</v>
      </c>
      <c r="AN175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6"/>
        <v>https://d0f6bd738d7f1b3e5a7ca70fe4ff75f0.us-east-1.aws.found.io/app/kibana#/discover/Steve-Slow-Train-Analysis-(2080s-and-2083s)?_g=(refreshInterval:(display:Off,pause:!f,section:0,value:0),time:(from:'2018-01-01T12:06:31-0700',mode:absolute,to:'2018-01-01T14:24:13-0700'))&amp;_a=(columns:!('Message%20ID',Summary),filters:!(),index:'emp_*',interval:auto,query:(query_string:(analyze_wildcard:!t,query:'%22rtdc.l.rtdc.4056%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795</v>
      </c>
      <c r="B176" s="225">
        <v>4055</v>
      </c>
      <c r="C176" s="227" t="s">
        <v>192</v>
      </c>
      <c r="D176" s="227" t="s">
        <v>957</v>
      </c>
      <c r="E176" s="226">
        <v>43101.561562499999</v>
      </c>
      <c r="F176" s="226">
        <v>43101.571666666663</v>
      </c>
      <c r="G176" s="225">
        <v>57</v>
      </c>
      <c r="H176" s="227" t="s">
        <v>643</v>
      </c>
      <c r="I176" s="226">
        <v>43101.581377314818</v>
      </c>
      <c r="J176" s="225">
        <v>0</v>
      </c>
      <c r="K176" s="237" t="str">
        <f>IF(ISEVEN(B176),(B176-1)&amp;"/"&amp;B176,B176&amp;"/"&amp;(B176+1))</f>
        <v>4055/4056</v>
      </c>
      <c r="L176" s="245" t="str">
        <f>VLOOKUP(A176,'Trips&amp;Operators'!$C$1:$G$99911,5,FALSE)</f>
        <v>STARKS ANGELINA</v>
      </c>
      <c r="M176" s="224">
        <f>I176-F176</f>
        <v>9.7106481553055346E-3</v>
      </c>
      <c r="N176" s="225">
        <f>24*60*SUM($M176:$M176)</f>
        <v>13.98333334363997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-01T12:28:39-0700',mode:absolute,to:'2018-01-01T14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5.8608000000000002</v>
      </c>
      <c r="Z176" s="247">
        <f>RIGHT(H176,LEN(H176)-4)/10000</f>
        <v>1.2E-2</v>
      </c>
      <c r="AA176" s="247">
        <f>ABS(Z176-Y176)</f>
        <v>5.8488000000000007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1816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/stypes="app*4055*20180101*" /stext=" 20:.+((SYSTEM_STATE.+slice.+state.+changed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32"/>
        <v>"%USERPROFILE%\Documents\GitHub\eaglep3\Utilities\RefineRTDCRunTimes.py" --tripid 1816-01 --locoid 4055 --swversion DE.1.0.9.0 --startMP 300:58608 --initTime 2018-01-01T13:28:39 --startdatetime 2018-01-01T13:43:12 --delay 57 --endMP 204:120 --enddatetime 2018-01-01T13:57:11 --enforcementcount 0 &gt;&gt;%USERPROFILE%\Documents\GitHub\eaglep3-reporting\EC\2018-01-01-refined-times.txt</v>
      </c>
      <c r="AI176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{"issue":{"subject":"","project_id":79,"tracker_id":40,"status_id":1,"priority_id":2,"assigned_to_id":338,"start_date":"2018-01-01","description":"","custom_fields":[{"id":1,"name":"Subdivision","value":"NW"},{"id":4,"name":"Milepost","value":"0.012"},{"id":17,"name":"Train ID","value":"1816-01"},{"id":16,"name":"Locomotive ID","value":"4055"},{"id":130,"name":"Impact","value":""},{"id":150,"name":"Time of Event (Mountain Time)","value":"13:57:11"},{"id":151,"name":"Denver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34"/>
        <v>start /low /b %USERPROFILE%\Documents\GitHub\eaglep3\Utilities\DownloadLogsFromS3.py --loco 4055 --day 2018-01-01</v>
      </c>
      <c r="AN176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6"/>
        <v>https://d0f6bd738d7f1b3e5a7ca70fe4ff75f0.us-east-1.aws.found.io/app/kibana#/discover/Steve-Slow-Train-Analysis-(2080s-and-2083s)?_g=(refreshInterval:(display:Off,pause:!f,section:0,value:0),time:(from:'2018-01-01T12:28:39-0700',mode:absolute,to:'2018-01-01T14:57:11-0700'))&amp;_a=(columns:!('Message%20ID',Summary),filters:!(),index:'emp_*',interval:auto,query:(query_string:(analyze_wildcard:!t,query:'%22rtdc.l.rtdc.4055%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662</v>
      </c>
      <c r="B177" s="225">
        <v>4056</v>
      </c>
      <c r="C177" s="227" t="s">
        <v>192</v>
      </c>
      <c r="D177" s="227" t="s">
        <v>955</v>
      </c>
      <c r="E177" s="226">
        <v>43101.543993055559</v>
      </c>
      <c r="F177" s="226">
        <v>43101.548101851855</v>
      </c>
      <c r="G177" s="225">
        <v>135</v>
      </c>
      <c r="H177" s="227" t="s">
        <v>956</v>
      </c>
      <c r="I177" s="226">
        <v>43101.558483796296</v>
      </c>
      <c r="J177" s="225">
        <v>0</v>
      </c>
      <c r="K177" s="237" t="str">
        <f>IF(ISEVEN(B177),(B177-1)&amp;"/"&amp;B177,B177&amp;"/"&amp;(B177+1))</f>
        <v>4055/4056</v>
      </c>
      <c r="L177" s="245" t="str">
        <f>VLOOKUP(A177,'Trips&amp;Operators'!$C$1:$G$99911,5,FALSE)</f>
        <v>STARKS ANGELINA</v>
      </c>
      <c r="M177" s="224">
        <f>I177-F177</f>
        <v>1.0381944441178348E-2</v>
      </c>
      <c r="N177" s="225"/>
      <c r="O177" s="225"/>
      <c r="P177" s="225"/>
      <c r="Q177" s="228"/>
      <c r="R177" s="242"/>
      <c r="S177" s="249"/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-01T12:03:21-0700',mode:absolute,to:'2018-01-01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4.19E-2</v>
      </c>
      <c r="Z177" s="247">
        <f>RIGHT(H177,LEN(H177)-4)/10000</f>
        <v>5.8924000000000003</v>
      </c>
      <c r="AA177" s="247">
        <f>ABS(Z177-Y177)</f>
        <v>5.8505000000000003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1817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/stypes="app*4056*20180101*" /stext=" 20:.+((SYSTEM_STATE.+slice.+state.+changed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32"/>
        <v>"%USERPROFILE%\Documents\GitHub\eaglep3\Utilities\RefineRTDCRunTimes.py" --tripid 1817-01 --locoid 4056 --swversion DE.1.0.9.0 --startMP 204:419 --initTime 2018-01-01T13:03:21 --startdatetime 2018-01-01T13:09:16 --delay 135 --endMP 300:58924 --enddatetime 2018-01-01T13:24:13 --enforcementcount 0 &gt;&gt;%USERPROFILE%\Documents\GitHub\eaglep3-reporting\EC\2018-01-01-refined-times.txt</v>
      </c>
      <c r="AI177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{"issue":{"subject":"","project_id":79,"tracker_id":40,"status_id":1,"priority_id":2,"assigned_to_id":338,"start_date":"2018-01-01","description":"","custom_fields":[{"id":1,"name":"Subdivision","value":"NW"},{"id":4,"name":"Milepost","value":"5.8924"},{"id":17,"name":"Train ID","value":"1817-01"},{"id":16,"name":"Locomotive ID","value":"4056"},{"id":130,"name":"Impact","value":""},{"id":150,"name":"Time of Event (Mountain Time)","value":"13:24:13"},{"id":151,"name":"Denver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34"/>
        <v>start /low /b %USERPROFILE%\Documents\GitHub\eaglep3\Utilities\DownloadLogsFromS3.py --loco 4056 --day 2018-01-01</v>
      </c>
      <c r="AN177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6"/>
        <v>https://d0f6bd738d7f1b3e5a7ca70fe4ff75f0.us-east-1.aws.found.io/app/kibana#/discover/Steve-Slow-Train-Analysis-(2080s-and-2083s)?_g=(refreshInterval:(display:Off,pause:!f,section:0,value:0),time:(from:'2018-01-01T12:03:21-0700',mode:absolute,to:'2018-01-01T14:24:13-0700'))&amp;_a=(columns:!('Message%20ID',Summary),filters:!(),index:'emp_*',interval:auto,query:(query_string:(analyze_wildcard:!t,query:'%22rtdc.l.rtdc.4056%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662</v>
      </c>
      <c r="B178" s="225">
        <v>4056</v>
      </c>
      <c r="C178" s="227" t="s">
        <v>192</v>
      </c>
      <c r="D178" s="227" t="s">
        <v>958</v>
      </c>
      <c r="E178" s="226">
        <v>43101.58390046296</v>
      </c>
      <c r="F178" s="226">
        <v>43101.589803240742</v>
      </c>
      <c r="G178" s="225">
        <v>62</v>
      </c>
      <c r="H178" s="227" t="s">
        <v>956</v>
      </c>
      <c r="I178" s="226">
        <v>43101.600787037038</v>
      </c>
      <c r="J178" s="225">
        <v>0</v>
      </c>
      <c r="K178" s="237" t="str">
        <f>IF(ISEVEN(B178),(B178-1)&amp;"/"&amp;B178,B178&amp;"/"&amp;(B178+1))</f>
        <v>4055/4056</v>
      </c>
      <c r="L178" s="245" t="str">
        <f>VLOOKUP(A178,'Trips&amp;Operators'!$C$1:$G$99911,5,FALSE)</f>
        <v>STARKS ANGELINA</v>
      </c>
      <c r="M178" s="224">
        <f>I178-F178</f>
        <v>1.0983796295477077E-2</v>
      </c>
      <c r="N178" s="225">
        <f>24*60*SUM($M178:$M178)</f>
        <v>15.816666665486991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-01T13:00:49-0700',mode:absolute,to:'2018-01-01T15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0</v>
      </c>
      <c r="Y178" s="247">
        <f>RIGHT(D178,LEN(D178)-4)/10000</f>
        <v>3.5900000000000001E-2</v>
      </c>
      <c r="Z178" s="247">
        <f>RIGHT(H178,LEN(H178)-4)/10000</f>
        <v>5.8924000000000003</v>
      </c>
      <c r="AA178" s="247">
        <f>ABS(Z178-Y178)</f>
        <v>5.8565000000000005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1817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/stypes="app*4056*20180101*" /stext=" 21:.+((SYSTEM_STATE.+slice.+state.+changed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32"/>
        <v>"%USERPROFILE%\Documents\GitHub\eaglep3\Utilities\RefineRTDCRunTimes.py" --tripid 1817-01 --locoid 4056 --swversion DE.1.0.9.0 --startMP 204:359 --initTime 2018-01-01T14:00:49 --startdatetime 2018-01-01T14:09:19 --delay 62 --endMP 300:58924 --enddatetime 2018-01-01T14:25:08 --enforcementcount 0 &gt;&gt;%USERPROFILE%\Documents\GitHub\eaglep3-reporting\EC\2018-01-01-refined-times.txt</v>
      </c>
      <c r="AI178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{"issue":{"subject":"","project_id":79,"tracker_id":40,"status_id":1,"priority_id":2,"assigned_to_id":338,"start_date":"2018-01-01","description":"","custom_fields":[{"id":1,"name":"Subdivision","value":"NW"},{"id":4,"name":"Milepost","value":"5.8924"},{"id":17,"name":"Train ID","value":"1817-01"},{"id":16,"name":"Locomotive ID","value":"4056"},{"id":130,"name":"Impact","value":""},{"id":150,"name":"Time of Event (Mountain Time)","value":"14:25:08"},{"id":151,"name":"Denver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34"/>
        <v>start /low /b %USERPROFILE%\Documents\GitHub\eaglep3\Utilities\DownloadLogsFromS3.py --loco 4056 --day 2018-01-01</v>
      </c>
      <c r="AN178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6"/>
        <v>https://d0f6bd738d7f1b3e5a7ca70fe4ff75f0.us-east-1.aws.found.io/app/kibana#/discover/Steve-Slow-Train-Analysis-(2080s-and-2083s)?_g=(refreshInterval:(display:Off,pause:!f,section:0,value:0),time:(from:'2018-01-01T13:00:49-0700',mode:absolute,to:'2018-01-01T15:25:08-0700'))&amp;_a=(columns:!('Message%20ID',Summary),filters:!(),index:'emp_*',interval:auto,query:(query_string:(analyze_wildcard:!t,query:'%22rtdc.l.rtdc.4056%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664</v>
      </c>
      <c r="B179" s="225">
        <v>4055</v>
      </c>
      <c r="C179" s="227" t="s">
        <v>192</v>
      </c>
      <c r="D179" s="227" t="s">
        <v>939</v>
      </c>
      <c r="E179" s="226">
        <v>43101.606400462966</v>
      </c>
      <c r="F179" s="226">
        <v>43101.613368055558</v>
      </c>
      <c r="G179" s="225">
        <v>58</v>
      </c>
      <c r="H179" s="227" t="s">
        <v>959</v>
      </c>
      <c r="I179" s="226">
        <v>43101.622499999998</v>
      </c>
      <c r="J179" s="225">
        <v>0</v>
      </c>
      <c r="K179" s="237" t="str">
        <f>IF(ISEVEN(B179),(B179-1)&amp;"/"&amp;B179,B179&amp;"/"&amp;(B179+1))</f>
        <v>4055/4056</v>
      </c>
      <c r="L179" s="245" t="str">
        <f>VLOOKUP(A179,'Trips&amp;Operators'!$C$1:$G$99911,5,FALSE)</f>
        <v>STARKS ANGELINA</v>
      </c>
      <c r="M179" s="224">
        <f>I179-F179</f>
        <v>9.1319444400141947E-3</v>
      </c>
      <c r="N179" s="225">
        <f>24*60*SUM($M179:$M179)</f>
        <v>13.14999999362044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-01T13:33:13-0700',mode:absolute,to:'2018-01-01T15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5.8609</v>
      </c>
      <c r="Z179" s="247">
        <f>RIGHT(H179,LEN(H179)-4)/10000</f>
        <v>6.6E-3</v>
      </c>
      <c r="AA179" s="247">
        <f>ABS(Z179-Y179)</f>
        <v>5.8543000000000003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1818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/stypes="app*4055*20180101*" /stext=" 21:.+((SYSTEM_STATE.+slice.+state.+changed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32"/>
        <v>"%USERPROFILE%\Documents\GitHub\eaglep3\Utilities\RefineRTDCRunTimes.py" --tripid 1818-01 --locoid 4055 --swversion DE.1.0.9.0 --startMP 300:58609 --initTime 2018-01-01T14:33:13 --startdatetime 2018-01-01T14:43:15 --delay 58 --endMP 204:66 --enddatetime 2018-01-01T14:56:24 --enforcementcount 0 &gt;&gt;%USERPROFILE%\Documents\GitHub\eaglep3-reporting\EC\2018-01-01-refined-times.txt</v>
      </c>
      <c r="AI179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{"issue":{"subject":"","project_id":79,"tracker_id":40,"status_id":1,"priority_id":2,"assigned_to_id":338,"start_date":"2018-01-01","description":"","custom_fields":[{"id":1,"name":"Subdivision","value":"NW"},{"id":4,"name":"Milepost","value":"0.0066"},{"id":17,"name":"Train ID","value":"1818-01"},{"id":16,"name":"Locomotive ID","value":"4055"},{"id":130,"name":"Impact","value":""},{"id":150,"name":"Time of Event (Mountain Time)","value":"14:56:24"},{"id":151,"name":"Denver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34"/>
        <v>start /low /b %USERPROFILE%\Documents\GitHub\eaglep3\Utilities\DownloadLogsFromS3.py --loco 4055 --day 2018-01-01</v>
      </c>
      <c r="AN179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6"/>
        <v>https://d0f6bd738d7f1b3e5a7ca70fe4ff75f0.us-east-1.aws.found.io/app/kibana#/discover/Steve-Slow-Train-Analysis-(2080s-and-2083s)?_g=(refreshInterval:(display:Off,pause:!f,section:0,value:0),time:(from:'2018-01-01T13:33:13-0700',mode:absolute,to:'2018-01-01T15:56:24-0700'))&amp;_a=(columns:!('Message%20ID',Summary),filters:!(),index:'emp_*',interval:auto,query:(query_string:(analyze_wildcard:!t,query:'%22rtdc.l.rtdc.4055%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806</v>
      </c>
      <c r="B180" s="225">
        <v>4056</v>
      </c>
      <c r="C180" s="227" t="s">
        <v>192</v>
      </c>
      <c r="D180" s="227" t="s">
        <v>960</v>
      </c>
      <c r="E180" s="226">
        <v>43101.629004629627</v>
      </c>
      <c r="F180" s="226">
        <v>43101.631423611114</v>
      </c>
      <c r="G180" s="225">
        <v>65</v>
      </c>
      <c r="H180" s="227" t="s">
        <v>951</v>
      </c>
      <c r="I180" s="226">
        <v>43101.642361111109</v>
      </c>
      <c r="J180" s="225">
        <v>0</v>
      </c>
      <c r="K180" s="237" t="str">
        <f>IF(ISEVEN(B180),(B180-1)&amp;"/"&amp;B180,B180&amp;"/"&amp;(B180+1))</f>
        <v>4055/4056</v>
      </c>
      <c r="L180" s="245" t="str">
        <f>VLOOKUP(A180,'Trips&amp;Operators'!$C$1:$G$99911,5,FALSE)</f>
        <v>STARKS ANGELINA</v>
      </c>
      <c r="M180" s="224">
        <f>I180-F180</f>
        <v>1.0937499995634425E-2</v>
      </c>
      <c r="N180" s="225">
        <f>24*60*SUM($M180:$M180)</f>
        <v>15.749999993713573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-01T14:05:46-0700',mode:absolute,to:'2018-01-01T16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3.6499999999999998E-2</v>
      </c>
      <c r="Z180" s="247">
        <f>RIGHT(H180,LEN(H180)-4)/10000</f>
        <v>5.8930999999999996</v>
      </c>
      <c r="AA180" s="247">
        <f>ABS(Z180-Y180)</f>
        <v>5.8565999999999994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1819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/stypes="app*4056*20180101*" /stext=" 22:.+((SYSTEM_STATE.+slice.+state.+changed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32"/>
        <v>"%USERPROFILE%\Documents\GitHub\eaglep3\Utilities\RefineRTDCRunTimes.py" --tripid 1819-01 --locoid 4056 --swversion DE.1.0.9.0 --startMP 204:365 --initTime 2018-01-01T15:05:46 --startdatetime 2018-01-01T15:09:15 --delay 65 --endMP 300:58931 --enddatetime 2018-01-01T15:25:00 --enforcementcount 0 &gt;&gt;%USERPROFILE%\Documents\GitHub\eaglep3-reporting\EC\2018-01-01-refined-times.txt</v>
      </c>
      <c r="AI180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ID","value":"1819-01"},{"id":16,"name":"Locomotive ID","value":"4056"},{"id":130,"name":"Impact","value":""},{"id":150,"name":"Time of Event (Mountain Time)","value":"15:25:00"},{"id":151,"name":"Denver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34"/>
        <v>start /low /b %USERPROFILE%\Documents\GitHub\eaglep3\Utilities\DownloadLogsFromS3.py --loco 4056 --day 2018-01-01</v>
      </c>
      <c r="AN180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6"/>
        <v>https://d0f6bd738d7f1b3e5a7ca70fe4ff75f0.us-east-1.aws.found.io/app/kibana#/discover/Steve-Slow-Train-Analysis-(2080s-and-2083s)?_g=(refreshInterval:(display:Off,pause:!f,section:0,value:0),time:(from:'2018-01-01T14:05:46-0700',mode:absolute,to:'2018-01-01T16:25:00-0700'))&amp;_a=(columns:!('Message%20ID',Summary),filters:!(),index:'emp_*',interval:auto,query:(query_string:(analyze_wildcard:!t,query:'%22rtdc.l.rtdc.4056%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812</v>
      </c>
      <c r="B181" s="225">
        <v>4055</v>
      </c>
      <c r="C181" s="227" t="s">
        <v>192</v>
      </c>
      <c r="D181" s="227" t="s">
        <v>641</v>
      </c>
      <c r="E181" s="226">
        <v>43101.646354166667</v>
      </c>
      <c r="F181" s="226">
        <v>43101.654930555553</v>
      </c>
      <c r="G181" s="225">
        <v>50</v>
      </c>
      <c r="H181" s="227" t="s">
        <v>962</v>
      </c>
      <c r="I181" s="226">
        <v>43101.663935185185</v>
      </c>
      <c r="J181" s="225">
        <v>0</v>
      </c>
      <c r="K181" s="237" t="str">
        <f>IF(ISEVEN(B181),(B181-1)&amp;"/"&amp;B181,B181&amp;"/"&amp;(B181+1))</f>
        <v>4055/4056</v>
      </c>
      <c r="L181" s="245" t="str">
        <f>VLOOKUP(A181,'Trips&amp;Operators'!$C$1:$G$99911,5,FALSE)</f>
        <v>STARKS ANGELINA</v>
      </c>
      <c r="M181" s="224">
        <f>I181-F181</f>
        <v>9.0046296318178065E-3</v>
      </c>
      <c r="N181" s="225">
        <f>24*60*SUM($M181:$M181)</f>
        <v>12.966666669817641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-01T14:30:45-0700',mode:absolute,to:'2018-01-01T16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5.8605999999999998</v>
      </c>
      <c r="Z181" s="247">
        <f>RIGHT(H181,LEN(H181)-4)/10000</f>
        <v>1.4800000000000001E-2</v>
      </c>
      <c r="AA181" s="247">
        <f>ABS(Z181-Y181)</f>
        <v>5.8457999999999997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1820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/stypes="app*4055*20180101*" /stext=" 22:.+((SYSTEM_STATE.+slice.+state.+changed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32"/>
        <v>"%USERPROFILE%\Documents\GitHub\eaglep3\Utilities\RefineRTDCRunTimes.py" --tripid 1820-01 --locoid 4055 --swversion DE.1.0.9.0 --startMP 300:58606 --initTime 2018-01-01T15:30:45 --startdatetime 2018-01-01T15:43:06 --delay 50 --endMP 204:148 --enddatetime 2018-01-01T15:56:04 --enforcementcount 0 &gt;&gt;%USERPROFILE%\Documents\GitHub\eaglep3-reporting\EC\2018-01-01-refined-times.txt</v>
      </c>
      <c r="AI181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{"issue":{"subject":"","project_id":79,"tracker_id":40,"status_id":1,"priority_id":2,"assigned_to_id":338,"start_date":"2018-01-01","description":"","custom_fields":[{"id":1,"name":"Subdivision","value":"NW"},{"id":4,"name":"Milepost","value":"0.0148"},{"id":17,"name":"Train ID","value":"1820-01"},{"id":16,"name":"Locomotive ID","value":"4055"},{"id":130,"name":"Impact","value":""},{"id":150,"name":"Time of Event (Mountain Time)","value":"15:56:04"},{"id":151,"name":"Denver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34"/>
        <v>start /low /b %USERPROFILE%\Documents\GitHub\eaglep3\Utilities\DownloadLogsFromS3.py --loco 4055 --day 2018-01-01</v>
      </c>
      <c r="AN181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6"/>
        <v>https://d0f6bd738d7f1b3e5a7ca70fe4ff75f0.us-east-1.aws.found.io/app/kibana#/discover/Steve-Slow-Train-Analysis-(2080s-and-2083s)?_g=(refreshInterval:(display:Off,pause:!f,section:0,value:0),time:(from:'2018-01-01T14:30:45-0700',mode:absolute,to:'2018-01-01T16:56:04-0700'))&amp;_a=(columns:!('Message%20ID',Summary),filters:!(),index:'emp_*',interval:auto,query:(query_string:(analyze_wildcard:!t,query:'%22rtdc.l.rtdc.4055%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818</v>
      </c>
      <c r="B182" s="225">
        <v>4056</v>
      </c>
      <c r="C182" s="227" t="s">
        <v>192</v>
      </c>
      <c r="D182" s="227" t="s">
        <v>963</v>
      </c>
      <c r="E182" s="226">
        <v>43101.669768518521</v>
      </c>
      <c r="F182" s="226">
        <v>43101.673206018517</v>
      </c>
      <c r="G182" s="225">
        <v>84</v>
      </c>
      <c r="H182" s="227" t="s">
        <v>646</v>
      </c>
      <c r="I182" s="226">
        <v>43101.682615740741</v>
      </c>
      <c r="J182" s="225">
        <v>0</v>
      </c>
      <c r="K182" s="237" t="str">
        <f>IF(ISEVEN(B182),(B182-1)&amp;"/"&amp;B182,B182&amp;"/"&amp;(B182+1))</f>
        <v>4055/4056</v>
      </c>
      <c r="L182" s="245" t="str">
        <f>VLOOKUP(A182,'Trips&amp;Operators'!$C$1:$G$99911,5,FALSE)</f>
        <v>STAMBAUGH JAMES</v>
      </c>
      <c r="M182" s="224">
        <f>I182-F182</f>
        <v>9.4097222245181911E-3</v>
      </c>
      <c r="N182" s="225">
        <f>24*60*SUM($M182:$M182)</f>
        <v>13.550000003306195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-01T15:04:28-0700',mode:absolute,to:'2018-01-01T17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4.2099999999999999E-2</v>
      </c>
      <c r="Z182" s="247">
        <f>RIGHT(H182,LEN(H182)-4)/10000</f>
        <v>5.8928000000000003</v>
      </c>
      <c r="AA182" s="247">
        <f>ABS(Z182-Y182)</f>
        <v>5.8507000000000007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1821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/stypes="app*4056*20180101*" /stext=" 23:.+((SYSTEM_STATE.+slice.+state.+changed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32"/>
        <v>"%USERPROFILE%\Documents\GitHub\eaglep3\Utilities\RefineRTDCRunTimes.py" --tripid 1821-01 --locoid 4056 --swversion DE.1.0.9.0 --startMP 204:421 --initTime 2018-01-01T16:04:28 --startdatetime 2018-01-01T16:09:25 --delay 84 --endMP 300:58928 --enddatetime 2018-01-01T16:22:58 --enforcementcount 0 &gt;&gt;%USERPROFILE%\Documents\GitHub\eaglep3-reporting\EC\2018-01-01-refined-times.txt</v>
      </c>
      <c r="AI182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ID","value":"1821-01"},{"id":16,"name":"Locomotive ID","value":"4056"},{"id":130,"name":"Impact","value":""},{"id":150,"name":"Time of Event (Mountain Time)","value":"16:22:58"},{"id":151,"name":"Denver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34"/>
        <v>start /low /b %USERPROFILE%\Documents\GitHub\eaglep3\Utilities\DownloadLogsFromS3.py --loco 4056 --day 2018-01-01</v>
      </c>
      <c r="AN182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6"/>
        <v>https://d0f6bd738d7f1b3e5a7ca70fe4ff75f0.us-east-1.aws.found.io/app/kibana#/discover/Steve-Slow-Train-Analysis-(2080s-and-2083s)?_g=(refreshInterval:(display:Off,pause:!f,section:0,value:0),time:(from:'2018-01-01T15:04:28-0700',mode:absolute,to:'2018-01-01T17:22:58-0700'))&amp;_a=(columns:!('Message%20ID',Summary),filters:!(),index:'emp_*',interval:auto,query:(query_string:(analyze_wildcard:!t,query:'%22rtdc.l.rtdc.4056%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824</v>
      </c>
      <c r="B183" s="225">
        <v>4055</v>
      </c>
      <c r="C183" s="227" t="s">
        <v>192</v>
      </c>
      <c r="D183" s="227" t="s">
        <v>948</v>
      </c>
      <c r="E183" s="226">
        <v>43101.683969907404</v>
      </c>
      <c r="F183" s="226">
        <v>43101.695694444446</v>
      </c>
      <c r="G183" s="225">
        <v>81</v>
      </c>
      <c r="H183" s="227" t="s">
        <v>644</v>
      </c>
      <c r="I183" s="226">
        <v>43101.704814814817</v>
      </c>
      <c r="J183" s="225">
        <v>0</v>
      </c>
      <c r="K183" s="237" t="str">
        <f>IF(ISEVEN(B183),(B183-1)&amp;"/"&amp;B183,B183&amp;"/"&amp;(B183+1))</f>
        <v>4055/4056</v>
      </c>
      <c r="L183" s="245" t="str">
        <f>VLOOKUP(A183,'Trips&amp;Operators'!$C$1:$G$99911,5,FALSE)</f>
        <v>STAMBAUGH JAMES</v>
      </c>
      <c r="M183" s="224">
        <f>I183-F183</f>
        <v>9.1203703705104999E-3</v>
      </c>
      <c r="N183" s="225">
        <f>24*60*SUM($M183:$M183)</f>
        <v>13.13333333353512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-01T15:24:55-0700',mode:absolute,to:'2018-01-01T17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5.8616999999999999</v>
      </c>
      <c r="Z183" s="247">
        <f>RIGHT(H183,LEN(H183)-4)/10000</f>
        <v>1.1900000000000001E-2</v>
      </c>
      <c r="AA183" s="247">
        <f>ABS(Z183-Y183)</f>
        <v>5.8498000000000001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1822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/stypes="app*4055*20180101*" /stext=" 23:.+((SYSTEM_STATE.+slice.+state.+changed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32"/>
        <v>"%USERPROFILE%\Documents\GitHub\eaglep3\Utilities\RefineRTDCRunTimes.py" --tripid 1822-01 --locoid 4055 --swversion DE.1.0.9.0 --startMP 300:58617 --initTime 2018-01-01T16:24:55 --startdatetime 2018-01-01T16:41:48 --delay 81 --endMP 204:119 --enddatetime 2018-01-01T16:54:56 --enforcementcount 0 &gt;&gt;%USERPROFILE%\Documents\GitHub\eaglep3-reporting\EC\2018-01-01-refined-times.txt</v>
      </c>
      <c r="AI183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{"issue":{"subject":"","project_id":79,"tracker_id":40,"status_id":1,"priority_id":2,"assigned_to_id":338,"start_date":"2018-01-01","description":"","custom_fields":[{"id":1,"name":"Subdivision","value":"NW"},{"id":4,"name":"Milepost","value":"0.0119"},{"id":17,"name":"Train ID","value":"1822-01"},{"id":16,"name":"Locomotive ID","value":"4055"},{"id":130,"name":"Impact","value":""},{"id":150,"name":"Time of Event (Mountain Time)","value":"16:54:56"},{"id":151,"name":"Denver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34"/>
        <v>start /low /b %USERPROFILE%\Documents\GitHub\eaglep3\Utilities\DownloadLogsFromS3.py --loco 4055 --day 2018-01-01</v>
      </c>
      <c r="AN183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6"/>
        <v>https://d0f6bd738d7f1b3e5a7ca70fe4ff75f0.us-east-1.aws.found.io/app/kibana#/discover/Steve-Slow-Train-Analysis-(2080s-and-2083s)?_g=(refreshInterval:(display:Off,pause:!f,section:0,value:0),time:(from:'2018-01-01T15:24:55-0700',mode:absolute,to:'2018-01-01T17:54:56-0700'))&amp;_a=(columns:!('Message%20ID',Summary),filters:!(),index:'emp_*',interval:auto,query:(query_string:(analyze_wildcard:!t,query:'%22rtdc.l.rtdc.4055%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828</v>
      </c>
      <c r="B184" s="225">
        <v>4056</v>
      </c>
      <c r="C184" s="227" t="s">
        <v>192</v>
      </c>
      <c r="D184" s="227" t="s">
        <v>964</v>
      </c>
      <c r="E184" s="226">
        <v>43101.706018518518</v>
      </c>
      <c r="F184" s="226">
        <v>43101.715046296296</v>
      </c>
      <c r="G184" s="225">
        <v>58</v>
      </c>
      <c r="H184" s="227" t="s">
        <v>646</v>
      </c>
      <c r="I184" s="226">
        <v>43101.723807870374</v>
      </c>
      <c r="J184" s="225">
        <v>0</v>
      </c>
      <c r="K184" s="237" t="str">
        <f>IF(ISEVEN(B184),(B184-1)&amp;"/"&amp;B184,B184&amp;"/"&amp;(B184+1))</f>
        <v>4055/4056</v>
      </c>
      <c r="L184" s="245" t="str">
        <f>VLOOKUP(A184,'Trips&amp;Operators'!$C$1:$G$99911,5,FALSE)</f>
        <v>STAMBAUGH JAMES</v>
      </c>
      <c r="M184" s="224">
        <f>I184-F184</f>
        <v>8.7615740776527673E-3</v>
      </c>
      <c r="N184" s="225">
        <f>24*60*SUM($M184:$M184)</f>
        <v>12.616666671819985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-01T15:56:40-0700',mode:absolute,to:'2018-01-01T18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4.2999999999999997E-2</v>
      </c>
      <c r="Z184" s="247">
        <f>RIGHT(H184,LEN(H184)-4)/10000</f>
        <v>5.8928000000000003</v>
      </c>
      <c r="AA184" s="247">
        <f>ABS(Z184-Y184)</f>
        <v>5.8498000000000001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1823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/stypes="app*4056*20180102*" /stext=" 00:.+((SYSTEM_STATE.+slice.+state.+changed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32"/>
        <v>"%USERPROFILE%\Documents\GitHub\eaglep3\Utilities\RefineRTDCRunTimes.py" --tripid 1823-01 --locoid 4056 --swversion DE.1.0.9.0 --startMP 204:430 --initTime 2018-01-01T16:56:40 --startdatetime 2018-01-01T17:09:40 --delay 58 --endMP 300:58928 --enddatetime 2018-01-01T17:22:17 --enforcementcount 0 &gt;&gt;%USERPROFILE%\Documents\GitHub\eaglep3-reporting\EC\2018-01-01-refined-times.txt</v>
      </c>
      <c r="AI184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ID","value":"1823-01"},{"id":16,"name":"Locomotive ID","value":"4056"},{"id":130,"name":"Impact","value":""},{"id":150,"name":"Time of Event (Mountain Time)","value":"17:22:17"},{"id":151,"name":"Denver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34"/>
        <v>start /low /b %USERPROFILE%\Documents\GitHub\eaglep3\Utilities\DownloadLogsFromS3.py --loco 4056 --day 2018-01-01</v>
      </c>
      <c r="AN184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6"/>
        <v>https://d0f6bd738d7f1b3e5a7ca70fe4ff75f0.us-east-1.aws.found.io/app/kibana#/discover/Steve-Slow-Train-Analysis-(2080s-and-2083s)?_g=(refreshInterval:(display:Off,pause:!f,section:0,value:0),time:(from:'2018-01-01T15:56:40-0700',mode:absolute,to:'2018-01-01T18:22:17-0700'))&amp;_a=(columns:!('Message%20ID',Summary),filters:!(),index:'emp_*',interval:auto,query:(query_string:(analyze_wildcard:!t,query:'%22rtdc.l.rtdc.4056%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831</v>
      </c>
      <c r="B185" s="225">
        <v>4055</v>
      </c>
      <c r="C185" s="227" t="s">
        <v>192</v>
      </c>
      <c r="D185" s="227" t="s">
        <v>641</v>
      </c>
      <c r="E185" s="226">
        <v>43101.724687499998</v>
      </c>
      <c r="F185" s="226">
        <v>43101.727500000001</v>
      </c>
      <c r="G185" s="225">
        <v>59</v>
      </c>
      <c r="H185" s="227" t="s">
        <v>965</v>
      </c>
      <c r="I185" s="226">
        <v>43101.747291666667</v>
      </c>
      <c r="J185" s="225">
        <v>0</v>
      </c>
      <c r="K185" s="237" t="str">
        <f>IF(ISEVEN(B185),(B185-1)&amp;"/"&amp;B185,B185&amp;"/"&amp;(B185+1))</f>
        <v>4055/4056</v>
      </c>
      <c r="L185" s="245" t="str">
        <f>VLOOKUP(A185,'Trips&amp;Operators'!$C$1:$G$99911,5,FALSE)</f>
        <v>STAMBAUGH JAMES</v>
      </c>
      <c r="M185" s="224">
        <f>I185-F185</f>
        <v>1.9791666665696539E-2</v>
      </c>
      <c r="N185" s="225"/>
      <c r="O185" s="225"/>
      <c r="P185" s="225"/>
      <c r="Q185" s="228"/>
      <c r="R185" s="242"/>
      <c r="S185" s="249"/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-01T16:23:33-0700',mode:absolute,to:'2018-01-01T18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247" t="str">
        <f>IF(AA185&lt;VLOOKUP(AG185,Variables!$AC$3:$AD$8,2,FALSE),"Y","N")</f>
        <v>Y</v>
      </c>
      <c r="X185" s="247">
        <f>VALUE(LEFT(AD185,4))-VALUE(LEFT(AD184,4))</f>
        <v>1</v>
      </c>
      <c r="Y185" s="247">
        <f>RIGHT(D185,LEN(D185)-4)/10000</f>
        <v>5.8605999999999998</v>
      </c>
      <c r="Z185" s="247">
        <f>RIGHT(H185,LEN(H185)-4)/10000</f>
        <v>5.8601999999999999</v>
      </c>
      <c r="AA185" s="247">
        <f>ABS(Z185-Y185)</f>
        <v>3.9999999999995595E-4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1824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/stypes="app*4055*20180102*" /stext=" 00:.+((SYSTEM_STATE.+slice.+state.+changed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32"/>
        <v>"%USERPROFILE%\Documents\GitHub\eaglep3\Utilities\RefineRTDCRunTimes.py" --tripid 1824-01 --locoid 4055 --swversion DE.1.0.9.0 --startMP 300:58606 --initTime 2018-01-01T17:23:33 --startdatetime 2018-01-01T17:27:36 --delay 59 --endMP 300:58602 --enddatetime 2018-01-01T17:56:06 --enforcementcount 0 &gt;&gt;%USERPROFILE%\Documents\GitHub\eaglep3-reporting\EC\2018-01-01-refined-times.txt</v>
      </c>
      <c r="AI185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{"issue":{"subject":"","project_id":79,"tracker_id":40,"status_id":1,"priority_id":2,"assigned_to_id":338,"start_date":"2018-01-01","description":"","custom_fields":[{"id":1,"name":"Subdivision","value":"NW"},{"id":4,"name":"Milepost","value":"5.8602"},{"id":17,"name":"Train ID","value":"1824-01"},{"id":16,"name":"Locomotive ID","value":"4055"},{"id":130,"name":"Impact","value":""},{"id":150,"name":"Time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34"/>
        <v>start /low /b %USERPROFILE%\Documents\GitHub\eaglep3\Utilities\DownloadLogsFromS3.py --loco 4055 --day 2018-01-01</v>
      </c>
      <c r="AN185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6"/>
        <v>https://d0f6bd738d7f1b3e5a7ca70fe4ff75f0.us-east-1.aws.found.io/app/kibana#/discover/Steve-Slow-Train-Analysis-(2080s-and-2083s)?_g=(refreshInterval:(display:Off,pause:!f,section:0,value:0),time:(from:'2018-01-01T16:23:33-0700',mode:absolute,to:'2018-01-01T18:56:06-0700'))&amp;_a=(columns:!('Message%20ID',Summary),filters:!(),index:'emp_*',interval:auto,query:(query_string:(analyze_wildcard:!t,query:'%22rtdc.l.rtdc.4055%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831</v>
      </c>
      <c r="B186" s="225">
        <v>4055</v>
      </c>
      <c r="C186" s="227" t="s">
        <v>192</v>
      </c>
      <c r="D186" s="227" t="s">
        <v>966</v>
      </c>
      <c r="E186" s="226">
        <v>43101.726180555554</v>
      </c>
      <c r="F186" s="226">
        <v>43101.737638888888</v>
      </c>
      <c r="G186" s="225">
        <v>54</v>
      </c>
      <c r="H186" s="227" t="s">
        <v>509</v>
      </c>
      <c r="I186" s="226">
        <v>43101.747291666667</v>
      </c>
      <c r="J186" s="225">
        <v>0</v>
      </c>
      <c r="K186" s="237" t="str">
        <f>IF(ISEVEN(B186),(B186-1)&amp;"/"&amp;B186,B186&amp;"/"&amp;(B186+1))</f>
        <v>4055/4056</v>
      </c>
      <c r="L186" s="245" t="str">
        <f>VLOOKUP(A186,'Trips&amp;Operators'!$C$1:$G$99911,5,FALSE)</f>
        <v>STAMBAUGH JAMES</v>
      </c>
      <c r="M186" s="224">
        <f>I186-F186</f>
        <v>9.6527777786832303E-3</v>
      </c>
      <c r="N186" s="225">
        <f>24*60*SUM($M186:$M186)</f>
        <v>13.900000001303852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-01T16:25:42-0700',mode:absolute,to:'2018-01-01T18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0</v>
      </c>
      <c r="Y186" s="247">
        <f>RIGHT(D186,LEN(D186)-4)/10000</f>
        <v>5.8536000000000001</v>
      </c>
      <c r="Z186" s="247">
        <f>RIGHT(H186,LEN(H186)-4)/10000</f>
        <v>1.6E-2</v>
      </c>
      <c r="AA186" s="247">
        <f>ABS(Z186-Y186)</f>
        <v>5.8376000000000001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1824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/stypes="app*4055*20180102*" /stext=" 00:.+((SYSTEM_STATE.+slice.+state.+changed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32"/>
        <v>"%USERPROFILE%\Documents\GitHub\eaglep3\Utilities\RefineRTDCRunTimes.py" --tripid 1824-01 --locoid 4055 --swversion DE.1.0.9.0 --startMP 300:58536 --initTime 2018-01-01T17:25:42 --startdatetime 2018-01-01T17:42:12 --delay 54 --endMP 204:160 --enddatetime 2018-01-01T17:56:06 --enforcementcount 0 &gt;&gt;%USERPROFILE%\Documents\GitHub\eaglep3-reporting\EC\2018-01-01-refined-times.txt</v>
      </c>
      <c r="AI186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{"issue":{"subject":"","project_id":79,"tracker_id":40,"status_id":1,"priority_id":2,"assigned_to_id":338,"start_date":"2018-01-01","description":"","custom_fields":[{"id":1,"name":"Subdivision","value":"NW"},{"id":4,"name":"Milepost","value":"0.016"},{"id":17,"name":"Train ID","value":"1824-01"},{"id":16,"name":"Locomotive ID","value":"4055"},{"id":130,"name":"Impact","value":""},{"id":150,"name":"Time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34"/>
        <v>start /low /b %USERPROFILE%\Documents\GitHub\eaglep3\Utilities\DownloadLogsFromS3.py --loco 4055 --day 2018-01-01</v>
      </c>
      <c r="AN186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6"/>
        <v>https://d0f6bd738d7f1b3e5a7ca70fe4ff75f0.us-east-1.aws.found.io/app/kibana#/discover/Steve-Slow-Train-Analysis-(2080s-and-2083s)?_g=(refreshInterval:(display:Off,pause:!f,section:0,value:0),time:(from:'2018-01-01T16:25:42-0700',mode:absolute,to:'2018-01-01T18:56:06-0700'))&amp;_a=(columns:!('Message%20ID',Summary),filters:!(),index:'emp_*',interval:auto,query:(query_string:(analyze_wildcard:!t,query:'%22rtdc.l.rtdc.4055%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837</v>
      </c>
      <c r="B187" s="225">
        <v>4056</v>
      </c>
      <c r="C187" s="227" t="s">
        <v>192</v>
      </c>
      <c r="D187" s="227" t="s">
        <v>628</v>
      </c>
      <c r="E187" s="226">
        <v>43101.748449074075</v>
      </c>
      <c r="F187" s="226">
        <v>43101.756469907406</v>
      </c>
      <c r="G187" s="225">
        <v>60</v>
      </c>
      <c r="H187" s="227" t="s">
        <v>951</v>
      </c>
      <c r="I187" s="226">
        <v>43101.765763888892</v>
      </c>
      <c r="J187" s="225">
        <v>0</v>
      </c>
      <c r="K187" s="237" t="str">
        <f>IF(ISEVEN(B187),(B187-1)&amp;"/"&amp;B187,B187&amp;"/"&amp;(B187+1))</f>
        <v>4055/4056</v>
      </c>
      <c r="L187" s="245" t="str">
        <f>VLOOKUP(A187,'Trips&amp;Operators'!$C$1:$G$99911,5,FALSE)</f>
        <v>STAMBAUGH JAMES</v>
      </c>
      <c r="M187" s="224">
        <f>I187-F187</f>
        <v>9.2939814858254977E-3</v>
      </c>
      <c r="N187" s="225">
        <f>24*60*SUM($M187:$M187)</f>
        <v>13.383333339588717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-01T16:57:46-0700',mode:absolute,to:'2018-01-01T19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4.5100000000000001E-2</v>
      </c>
      <c r="Z187" s="247">
        <f>RIGHT(H187,LEN(H187)-4)/10000</f>
        <v>5.8930999999999996</v>
      </c>
      <c r="AA187" s="247">
        <f>ABS(Z187-Y187)</f>
        <v>5.8479999999999999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1825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/stypes="app*4056*20180102*" /stext=" 01:.+((SYSTEM_STATE.+slice.+state.+changed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32"/>
        <v>"%USERPROFILE%\Documents\GitHub\eaglep3\Utilities\RefineRTDCRunTimes.py" --tripid 1825-01 --locoid 4056 --swversion DE.1.0.9.0 --startMP 204:451 --initTime 2018-01-01T17:57:46 --startdatetime 2018-01-01T18:09:19 --delay 60 --endMP 300:58931 --enddatetime 2018-01-01T18:22:42 --enforcementcount 0 &gt;&gt;%USERPROFILE%\Documents\GitHub\eaglep3-reporting\EC\2018-01-01-refined-times.txt</v>
      </c>
      <c r="AI187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ID","value":"1825-01"},{"id":16,"name":"Locomotive ID","value":"4056"},{"id":130,"name":"Impact","value":""},{"id":150,"name":"Time of Event (Mountain Time)","value":"18:22:42"},{"id":151,"name":"Denver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34"/>
        <v>start /low /b %USERPROFILE%\Documents\GitHub\eaglep3\Utilities\DownloadLogsFromS3.py --loco 4056 --day 2018-01-01</v>
      </c>
      <c r="AN187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6"/>
        <v>https://d0f6bd738d7f1b3e5a7ca70fe4ff75f0.us-east-1.aws.found.io/app/kibana#/discover/Steve-Slow-Train-Analysis-(2080s-and-2083s)?_g=(refreshInterval:(display:Off,pause:!f,section:0,value:0),time:(from:'2018-01-01T16:57:46-0700',mode:absolute,to:'2018-01-01T19:22:42-0700'))&amp;_a=(columns:!('Message%20ID',Summary),filters:!(),index:'emp_*',interval:auto,query:(query_string:(analyze_wildcard:!t,query:'%22rtdc.l.rtdc.4056%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841</v>
      </c>
      <c r="B188" s="225">
        <v>4055</v>
      </c>
      <c r="C188" s="227" t="s">
        <v>192</v>
      </c>
      <c r="D188" s="227" t="s">
        <v>939</v>
      </c>
      <c r="E188" s="226">
        <v>43101.766527777778</v>
      </c>
      <c r="F188" s="226">
        <v>43101.779930555553</v>
      </c>
      <c r="G188" s="225">
        <v>48</v>
      </c>
      <c r="H188" s="227" t="s">
        <v>644</v>
      </c>
      <c r="I188" s="226">
        <v>43101.787743055553</v>
      </c>
      <c r="J188" s="225">
        <v>0</v>
      </c>
      <c r="K188" s="237" t="str">
        <f>IF(ISEVEN(B188),(B188-1)&amp;"/"&amp;B188,B188&amp;"/"&amp;(B188+1))</f>
        <v>4055/4056</v>
      </c>
      <c r="L188" s="245" t="str">
        <f>VLOOKUP(A188,'Trips&amp;Operators'!$C$1:$G$99911,5,FALSE)</f>
        <v>STAMBAUGH JAMES</v>
      </c>
      <c r="M188" s="224">
        <f>I188-F188</f>
        <v>7.8125E-3</v>
      </c>
      <c r="N188" s="225">
        <f>24*60*SUM($M188:$M188)</f>
        <v>11.25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-01T17:23:48-0700',mode:absolute,to:'2018-01-01T19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5.8609</v>
      </c>
      <c r="Z188" s="247">
        <f>RIGHT(H188,LEN(H188)-4)/10000</f>
        <v>1.1900000000000001E-2</v>
      </c>
      <c r="AA188" s="247">
        <f>ABS(Z188-Y188)</f>
        <v>5.8490000000000002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1826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/stypes="app*4055*20180102*" /stext=" 01:.+((SYSTEM_STATE.+slice.+state.+changed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32"/>
        <v>"%USERPROFILE%\Documents\GitHub\eaglep3\Utilities\RefineRTDCRunTimes.py" --tripid 1826-01 --locoid 4055 --swversion DE.1.0.9.0 --startMP 300:58609 --initTime 2018-01-01T18:23:48 --startdatetime 2018-01-01T18:43:06 --delay 48 --endMP 204:119 --enddatetime 2018-01-01T18:54:21 --enforcementcount 0 &gt;&gt;%USERPROFILE%\Documents\GitHub\eaglep3-reporting\EC\2018-01-01-refined-times.txt</v>
      </c>
      <c r="AI188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{"issue":{"subject":"","project_id":79,"tracker_id":40,"status_id":1,"priority_id":2,"assigned_to_id":338,"start_date":"2018-01-01","description":"","custom_fields":[{"id":1,"name":"Subdivision","value":"NW"},{"id":4,"name":"Milepost","value":"0.0119"},{"id":17,"name":"Train ID","value":"1826-01"},{"id":16,"name":"Locomotive ID","value":"4055"},{"id":130,"name":"Impact","value":""},{"id":150,"name":"Time of Event (Mountain Time)","value":"18:54:21"},{"id":151,"name":"Denver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34"/>
        <v>start /low /b %USERPROFILE%\Documents\GitHub\eaglep3\Utilities\DownloadLogsFromS3.py --loco 4055 --day 2018-01-01</v>
      </c>
      <c r="AN188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6"/>
        <v>https://d0f6bd738d7f1b3e5a7ca70fe4ff75f0.us-east-1.aws.found.io/app/kibana#/discover/Steve-Slow-Train-Analysis-(2080s-and-2083s)?_g=(refreshInterval:(display:Off,pause:!f,section:0,value:0),time:(from:'2018-01-01T17:23:48-0700',mode:absolute,to:'2018-01-01T19:54:21-0700'))&amp;_a=(columns:!('Message%20ID',Summary),filters:!(),index:'emp_*',interval:auto,query:(query_string:(analyze_wildcard:!t,query:'%22rtdc.l.rtdc.4055%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849</v>
      </c>
      <c r="B189" s="225">
        <v>4056</v>
      </c>
      <c r="C189" s="227" t="s">
        <v>192</v>
      </c>
      <c r="D189" s="227" t="s">
        <v>967</v>
      </c>
      <c r="E189" s="226">
        <v>43101.789189814815</v>
      </c>
      <c r="F189" s="226">
        <v>43101.798194444447</v>
      </c>
      <c r="G189" s="225">
        <v>63</v>
      </c>
      <c r="H189" s="227" t="s">
        <v>968</v>
      </c>
      <c r="I189" s="226">
        <v>43101.807164351849</v>
      </c>
      <c r="J189" s="225">
        <v>0</v>
      </c>
      <c r="K189" s="237" t="str">
        <f>IF(ISEVEN(B189),(B189-1)&amp;"/"&amp;B189,B189&amp;"/"&amp;(B189+1))</f>
        <v>4055/4056</v>
      </c>
      <c r="L189" s="245" t="str">
        <f>VLOOKUP(A189,'Trips&amp;Operators'!$C$1:$G$99911,5,FALSE)</f>
        <v>STAMBAUGH JAMES</v>
      </c>
      <c r="M189" s="224">
        <f>I189-F189</f>
        <v>8.9699074014788494E-3</v>
      </c>
      <c r="N189" s="225">
        <f>24*60*SUM($M189:$M189)</f>
        <v>12.916666658129543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-01T17:56:26-0700',mode:absolute,to:'2018-01-01T20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4.0099999999999997E-2</v>
      </c>
      <c r="Z189" s="247">
        <f>RIGHT(H189,LEN(H189)-4)/10000</f>
        <v>5.8939000000000004</v>
      </c>
      <c r="AA189" s="247">
        <f>ABS(Z189-Y189)</f>
        <v>5.8538000000000006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1827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/stypes="app*4056*20180102*" /stext=" 02:.+((SYSTEM_STATE.+slice.+state.+changed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32"/>
        <v>"%USERPROFILE%\Documents\GitHub\eaglep3\Utilities\RefineRTDCRunTimes.py" --tripid 1827-01 --locoid 4056 --swversion DE.1.0.9.0 --startMP 204:401 --initTime 2018-01-01T18:56:26 --startdatetime 2018-01-01T19:09:24 --delay 63 --endMP 300:58939 --enddatetime 2018-01-01T19:22:19 --enforcementcount 0 &gt;&gt;%USERPROFILE%\Documents\GitHub\eaglep3-reporting\EC\2018-01-01-refined-times.txt</v>
      </c>
      <c r="AI189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{"issue":{"subject":"","project_id":79,"tracker_id":40,"status_id":1,"priority_id":2,"assigned_to_id":338,"start_date":"2018-01-01","description":"","custom_fields":[{"id":1,"name":"Subdivision","value":"NW"},{"id":4,"name":"Milepost","value":"5.8939"},{"id":17,"name":"Train ID","value":"1827-01"},{"id":16,"name":"Locomotive ID","value":"4056"},{"id":130,"name":"Impact","value":""},{"id":150,"name":"Time of Event (Mountain Time)","value":"19:22:19"},{"id":151,"name":"Denver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34"/>
        <v>start /low /b %USERPROFILE%\Documents\GitHub\eaglep3\Utilities\DownloadLogsFromS3.py --loco 4056 --day 2018-01-01</v>
      </c>
      <c r="AN189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6"/>
        <v>https://d0f6bd738d7f1b3e5a7ca70fe4ff75f0.us-east-1.aws.found.io/app/kibana#/discover/Steve-Slow-Train-Analysis-(2080s-and-2083s)?_g=(refreshInterval:(display:Off,pause:!f,section:0,value:0),time:(from:'2018-01-01T17:56:26-0700',mode:absolute,to:'2018-01-01T20:22:19-0700'))&amp;_a=(columns:!('Message%20ID',Summary),filters:!(),index:'emp_*',interval:auto,query:(query_string:(analyze_wildcard:!t,query:'%22rtdc.l.rtdc.4056%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854</v>
      </c>
      <c r="B190" s="225">
        <v>4055</v>
      </c>
      <c r="C190" s="227" t="s">
        <v>192</v>
      </c>
      <c r="D190" s="227" t="s">
        <v>641</v>
      </c>
      <c r="E190" s="226">
        <v>43101.80810185185</v>
      </c>
      <c r="F190" s="226">
        <v>43101.821562500001</v>
      </c>
      <c r="G190" s="225">
        <v>179</v>
      </c>
      <c r="H190" s="227" t="s">
        <v>969</v>
      </c>
      <c r="I190" s="226">
        <v>43101.829363425924</v>
      </c>
      <c r="J190" s="225">
        <v>0</v>
      </c>
      <c r="K190" s="237" t="str">
        <f>IF(ISEVEN(B190),(B190-1)&amp;"/"&amp;B190,B190&amp;"/"&amp;(B190+1))</f>
        <v>4055/4056</v>
      </c>
      <c r="L190" s="245" t="str">
        <f>VLOOKUP(A190,'Trips&amp;Operators'!$C$1:$G$99911,5,FALSE)</f>
        <v>STAMBAUGH JAMES</v>
      </c>
      <c r="M190" s="224">
        <f>I190-F190</f>
        <v>7.8009259232203476E-3</v>
      </c>
      <c r="N190" s="225">
        <f>24*60*SUM($M190:$M190)</f>
        <v>11.233333329437301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-01T18:23:40-0700',mode:absolute,to:'2018-01-01T20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5.8605999999999998</v>
      </c>
      <c r="Z190" s="247">
        <f>RIGHT(H190,LEN(H190)-4)/10000</f>
        <v>1.29E-2</v>
      </c>
      <c r="AA190" s="247">
        <f>ABS(Z190-Y190)</f>
        <v>5.8476999999999997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1828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/stypes="app*4055*20180102*" /stext=" 02:.+((SYSTEM_STATE.+slice.+state.+changed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32"/>
        <v>"%USERPROFILE%\Documents\GitHub\eaglep3\Utilities\RefineRTDCRunTimes.py" --tripid 1828-01 --locoid 4055 --swversion DE.1.0.9.0 --startMP 300:58606 --initTime 2018-01-01T19:23:40 --startdatetime 2018-01-01T19:43:03 --delay 179 --endMP 204:129 --enddatetime 2018-01-01T19:54:17 --enforcementcount 0 &gt;&gt;%USERPROFILE%\Documents\GitHub\eaglep3-reporting\EC\2018-01-01-refined-times.txt</v>
      </c>
      <c r="AI190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{"issue":{"subject":"","project_id":79,"tracker_id":40,"status_id":1,"priority_id":2,"assigned_to_id":338,"start_date":"2018-01-01","description":"","custom_fields":[{"id":1,"name":"Subdivision","value":"NW"},{"id":4,"name":"Milepost","value":"0.0129"},{"id":17,"name":"Train ID","value":"1828-01"},{"id":16,"name":"Locomotive ID","value":"4055"},{"id":130,"name":"Impact","value":""},{"id":150,"name":"Time of Event (Mountain Time)","value":"19:54:17"},{"id":151,"name":"Denver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34"/>
        <v>start /low /b %USERPROFILE%\Documents\GitHub\eaglep3\Utilities\DownloadLogsFromS3.py --loco 4055 --day 2018-01-01</v>
      </c>
      <c r="AN190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6"/>
        <v>https://d0f6bd738d7f1b3e5a7ca70fe4ff75f0.us-east-1.aws.found.io/app/kibana#/discover/Steve-Slow-Train-Analysis-(2080s-and-2083s)?_g=(refreshInterval:(display:Off,pause:!f,section:0,value:0),time:(from:'2018-01-01T18:23:40-0700',mode:absolute,to:'2018-01-01T20:54:17-0700'))&amp;_a=(columns:!('Message%20ID',Summary),filters:!(),index:'emp_*',interval:auto,query:(query_string:(analyze_wildcard:!t,query:'%22rtdc.l.rtdc.4055%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858</v>
      </c>
      <c r="B191" s="225">
        <v>4056</v>
      </c>
      <c r="C191" s="227" t="s">
        <v>192</v>
      </c>
      <c r="D191" s="227" t="s">
        <v>963</v>
      </c>
      <c r="E191" s="226">
        <v>43101.834490740737</v>
      </c>
      <c r="F191" s="226">
        <v>43101.839803240742</v>
      </c>
      <c r="G191" s="225">
        <v>51</v>
      </c>
      <c r="H191" s="227" t="s">
        <v>970</v>
      </c>
      <c r="I191" s="226">
        <v>43101.848703703705</v>
      </c>
      <c r="J191" s="225">
        <v>0</v>
      </c>
      <c r="K191" s="237" t="str">
        <f>IF(ISEVEN(B191),(B191-1)&amp;"/"&amp;B191,B191&amp;"/"&amp;(B191+1))</f>
        <v>4055/4056</v>
      </c>
      <c r="L191" s="245" t="str">
        <f>VLOOKUP(A191,'Trips&amp;Operators'!$C$1:$G$99911,5,FALSE)</f>
        <v>STAMBAUGH JAMES</v>
      </c>
      <c r="M191" s="224">
        <f>I191-F191</f>
        <v>8.9004629626288079E-3</v>
      </c>
      <c r="N191" s="225">
        <f>24*60*SUM($M191:$M191)</f>
        <v>12.816666666185483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-01T19:01:40-0700',mode:absolute,to:'2018-01-01T21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4.2099999999999999E-2</v>
      </c>
      <c r="Z191" s="247">
        <f>RIGHT(H191,LEN(H191)-4)/10000</f>
        <v>5.8935000000000004</v>
      </c>
      <c r="AA191" s="247">
        <f>ABS(Z191-Y191)</f>
        <v>5.8514000000000008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1829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/stypes="app*4056*20180102*" /stext=" 03:.+((SYSTEM_STATE.+slice.+state.+changed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32"/>
        <v>"%USERPROFILE%\Documents\GitHub\eaglep3\Utilities\RefineRTDCRunTimes.py" --tripid 1829-01 --locoid 4056 --swversion DE.1.0.9.0 --startMP 204:421 --initTime 2018-01-01T20:01:40 --startdatetime 2018-01-01T20:09:19 --delay 51 --endMP 300:58935 --enddatetime 2018-01-01T20:22:08 --enforcementcount 0 &gt;&gt;%USERPROFILE%\Documents\GitHub\eaglep3-reporting\EC\2018-01-01-refined-times.txt</v>
      </c>
      <c r="AI191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{"issue":{"subject":"","project_id":79,"tracker_id":40,"status_id":1,"priority_id":2,"assigned_to_id":338,"start_date":"2018-01-01","description":"","custom_fields":[{"id":1,"name":"Subdivision","value":"NW"},{"id":4,"name":"Milepost","value":"5.8935"},{"id":17,"name":"Train ID","value":"1829-01"},{"id":16,"name":"Locomotive ID","value":"4056"},{"id":130,"name":"Impact","value":""},{"id":150,"name":"Time of Event (Mountain Time)","value":"20:22:08"},{"id":151,"name":"Denver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34"/>
        <v>start /low /b %USERPROFILE%\Documents\GitHub\eaglep3\Utilities\DownloadLogsFromS3.py --loco 4056 --day 2018-01-01</v>
      </c>
      <c r="AN191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6"/>
        <v>https://d0f6bd738d7f1b3e5a7ca70fe4ff75f0.us-east-1.aws.found.io/app/kibana#/discover/Steve-Slow-Train-Analysis-(2080s-and-2083s)?_g=(refreshInterval:(display:Off,pause:!f,section:0,value:0),time:(from:'2018-01-01T19:01:40-0700',mode:absolute,to:'2018-01-01T21:22:08-0700'))&amp;_a=(columns:!('Message%20ID',Summary),filters:!(),index:'emp_*',interval:auto,query:(query_string:(analyze_wildcard:!t,query:'%22rtdc.l.rtdc.4056%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860</v>
      </c>
      <c r="B192" s="225">
        <v>4055</v>
      </c>
      <c r="C192" s="227" t="s">
        <v>192</v>
      </c>
      <c r="D192" s="227" t="s">
        <v>972</v>
      </c>
      <c r="E192" s="226">
        <v>43101.849594907406</v>
      </c>
      <c r="F192" s="226">
        <v>43101.862314814818</v>
      </c>
      <c r="G192" s="225">
        <v>52</v>
      </c>
      <c r="H192" s="227" t="s">
        <v>954</v>
      </c>
      <c r="I192" s="226">
        <v>43101.871354166666</v>
      </c>
      <c r="J192" s="225">
        <v>0</v>
      </c>
      <c r="K192" s="237" t="str">
        <f>IF(ISEVEN(B192),(B192-1)&amp;"/"&amp;B192,B192&amp;"/"&amp;(B192+1))</f>
        <v>4055/4056</v>
      </c>
      <c r="L192" s="245" t="str">
        <f>VLOOKUP(A192,'Trips&amp;Operators'!$C$1:$G$99911,5,FALSE)</f>
        <v>STAMBAUGH JAMES</v>
      </c>
      <c r="M192" s="224">
        <f>I192-F192</f>
        <v>9.0393518476048484E-3</v>
      </c>
      <c r="N192" s="225">
        <f>24*60*SUM($M192:$M192)</f>
        <v>13.016666660550982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-01T19:23:25-0700',mode:absolute,to:'2018-01-01T21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5.8630000000000004</v>
      </c>
      <c r="Z192" s="247">
        <f>RIGHT(H192,LEN(H192)-4)/10000</f>
        <v>1.26E-2</v>
      </c>
      <c r="AA192" s="247">
        <f>ABS(Z192-Y192)</f>
        <v>5.8504000000000005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1830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/stypes="app*4055*20180102*" /stext=" 03:.+((SYSTEM_STATE.+slice.+state.+changed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32"/>
        <v>"%USERPROFILE%\Documents\GitHub\eaglep3\Utilities\RefineRTDCRunTimes.py" --tripid 1830-01 --locoid 4055 --swversion DE.1.0.9.0 --startMP 300:58630 --initTime 2018-01-01T20:23:25 --startdatetime 2018-01-01T20:41:44 --delay 52 --endMP 204:126 --enddatetime 2018-01-01T20:54:45 --enforcementcount 0 &gt;&gt;%USERPROFILE%\Documents\GitHub\eaglep3-reporting\EC\2018-01-01-refined-times.txt</v>
      </c>
      <c r="AI192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{"issue":{"subject":"","project_id":79,"tracker_id":40,"status_id":1,"priority_id":2,"assigned_to_id":338,"start_date":"2018-01-01","description":"","custom_fields":[{"id":1,"name":"Subdivision","value":"NW"},{"id":4,"name":"Milepost","value":"0.0126"},{"id":17,"name":"Train ID","value":"1830-01"},{"id":16,"name":"Locomotive ID","value":"4055"},{"id":130,"name":"Impact","value":""},{"id":150,"name":"Time of Event (Mountain Time)","value":"20:54:45"},{"id":151,"name":"Denver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34"/>
        <v>start /low /b %USERPROFILE%\Documents\GitHub\eaglep3\Utilities\DownloadLogsFromS3.py --loco 4055 --day 2018-01-01</v>
      </c>
      <c r="AN192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36"/>
        <v>https://d0f6bd738d7f1b3e5a7ca70fe4ff75f0.us-east-1.aws.found.io/app/kibana#/discover/Steve-Slow-Train-Analysis-(2080s-and-2083s)?_g=(refreshInterval:(display:Off,pause:!f,section:0,value:0),time:(from:'2018-01-01T19:23:25-0700',mode:absolute,to:'2018-01-01T21:54:45-0700'))&amp;_a=(columns:!('Message%20ID',Summary),filters:!(),index:'emp_*',interval:auto,query:(query_string:(analyze_wildcard:!t,query:'%22rtdc.l.rtdc.4055%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862</v>
      </c>
      <c r="B193" s="225">
        <v>4056</v>
      </c>
      <c r="C193" s="227" t="s">
        <v>192</v>
      </c>
      <c r="D193" s="227" t="s">
        <v>940</v>
      </c>
      <c r="E193" s="226">
        <v>43101.880185185182</v>
      </c>
      <c r="F193" s="226">
        <v>43101.881562499999</v>
      </c>
      <c r="G193" s="225">
        <v>55</v>
      </c>
      <c r="H193" s="227" t="s">
        <v>943</v>
      </c>
      <c r="I193" s="226">
        <v>43101.891076388885</v>
      </c>
      <c r="J193" s="225">
        <v>0</v>
      </c>
      <c r="K193" s="237" t="str">
        <f>IF(ISEVEN(B193),(B193-1)&amp;"/"&amp;B193,B193&amp;"/"&amp;(B193+1))</f>
        <v>4055/4056</v>
      </c>
      <c r="L193" s="245" t="str">
        <f>VLOOKUP(A193,'Trips&amp;Operators'!$C$1:$G$99911,5,FALSE)</f>
        <v>STAMBAUGH JAMES</v>
      </c>
      <c r="M193" s="224">
        <f>I193-F193</f>
        <v>9.5138888864312321E-3</v>
      </c>
      <c r="N193" s="225">
        <f>24*60*SUM($M193:$M193)</f>
        <v>13.699999996460974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-01T20:07:28-0700',mode:absolute,to:'2018-01-01T22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4.3900000000000002E-2</v>
      </c>
      <c r="Z193" s="247">
        <f>RIGHT(H193,LEN(H193)-4)/10000</f>
        <v>5.8940999999999999</v>
      </c>
      <c r="AA193" s="247">
        <f>ABS(Z193-Y193)</f>
        <v>5.8502000000000001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1831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/stypes="app*4056*20180102*" /stext=" 04:.+((SYSTEM_STATE.+slice.+state.+changed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32"/>
        <v>"%USERPROFILE%\Documents\GitHub\eaglep3\Utilities\RefineRTDCRunTimes.py" --tripid 1831-01 --locoid 4056 --swversion DE.1.0.9.0 --startMP 204:439 --initTime 2018-01-01T21:07:28 --startdatetime 2018-01-01T21:09:27 --delay 55 --endMP 300:58941 --enddatetime 2018-01-01T21:23:09 --enforcementcount 0 &gt;&gt;%USERPROFILE%\Documents\GitHub\eaglep3-reporting\EC\2018-01-01-refined-times.txt</v>
      </c>
      <c r="AI193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{"issue":{"subject":"","project_id":79,"tracker_id":40,"status_id":1,"priority_id":2,"assigned_to_id":338,"start_date":"2018-01-01","description":"","custom_fields":[{"id":1,"name":"Subdivision","value":"NW"},{"id":4,"name":"Milepost","value":"5.8941"},{"id":17,"name":"Train ID","value":"1831-01"},{"id":16,"name":"Locomotive ID","value":"4056"},{"id":130,"name":"Impact","value":""},{"id":150,"name":"Time of Event (Mountain Time)","value":"21:23:09"},{"id":151,"name":"Denver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34"/>
        <v>start /low /b %USERPROFILE%\Documents\GitHub\eaglep3\Utilities\DownloadLogsFromS3.py --loco 4056 --day 2018-01-01</v>
      </c>
      <c r="AN193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36"/>
        <v>https://d0f6bd738d7f1b3e5a7ca70fe4ff75f0.us-east-1.aws.found.io/app/kibana#/discover/Steve-Slow-Train-Analysis-(2080s-and-2083s)?_g=(refreshInterval:(display:Off,pause:!f,section:0,value:0),time:(from:'2018-01-01T20:07:28-0700',mode:absolute,to:'2018-01-01T22:23:09-0700'))&amp;_a=(columns:!('Message%20ID',Summary),filters:!(),index:'emp_*',interval:auto,query:(query_string:(analyze_wildcard:!t,query:'%22rtdc.l.rtdc.4056%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862</v>
      </c>
      <c r="B194" s="225">
        <v>4056</v>
      </c>
      <c r="C194" s="227" t="s">
        <v>192</v>
      </c>
      <c r="D194" s="227" t="s">
        <v>897</v>
      </c>
      <c r="E194" s="226">
        <v>43101.872928240744</v>
      </c>
      <c r="F194" s="226">
        <v>43101.881562499999</v>
      </c>
      <c r="G194" s="225">
        <v>52</v>
      </c>
      <c r="H194" s="227" t="s">
        <v>897</v>
      </c>
      <c r="I194" s="226">
        <v>43101.891076388885</v>
      </c>
      <c r="J194" s="225">
        <v>0</v>
      </c>
      <c r="K194" s="237" t="str">
        <f>IF(ISEVEN(B194),(B194-1)&amp;"/"&amp;B194,B194&amp;"/"&amp;(B194+1))</f>
        <v>4055/4056</v>
      </c>
      <c r="L194" s="245" t="str">
        <f>VLOOKUP(A194,'Trips&amp;Operators'!$C$1:$G$99911,5,FALSE)</f>
        <v>STAMBAUGH JAMES</v>
      </c>
      <c r="M194" s="224">
        <f>I194-F194</f>
        <v>9.5138888864312321E-3</v>
      </c>
      <c r="N194" s="225"/>
      <c r="O194" s="225"/>
      <c r="P194" s="225"/>
      <c r="Q194" s="228"/>
      <c r="R194" s="242"/>
      <c r="S194" s="249"/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-01T19:57:01-0700',mode:absolute,to:'2018-01-01T22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247" t="str">
        <f>IF(AA194&lt;VLOOKUP(AG194,Variables!$AC$3:$AD$8,2,FALSE),"Y","N")</f>
        <v>Y</v>
      </c>
      <c r="X194" s="247">
        <f>VALUE(LEFT(AD194,4))-VALUE(LEFT(AD193,4))</f>
        <v>0</v>
      </c>
      <c r="Y194" s="247">
        <f>RIGHT(D194,LEN(D194)-4)/10000</f>
        <v>4.4400000000000002E-2</v>
      </c>
      <c r="Z194" s="247">
        <f>RIGHT(H194,LEN(H194)-4)/10000</f>
        <v>4.4400000000000002E-2</v>
      </c>
      <c r="AA194" s="247">
        <f>ABS(Z194-Y194)</f>
        <v>0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1831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/stypes="app*4056*20180102*" /stext=" 04:.+((SYSTEM_STATE.+slice.+state.+changed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32"/>
        <v>"%USERPROFILE%\Documents\GitHub\eaglep3\Utilities\RefineRTDCRunTimes.py" --tripid 1831-01 --locoid 4056 --swversion DE.1.0.9.0 --startMP 204:444 --initTime 2018-01-01T20:57:01 --startdatetime 2018-01-01T21:09:27 --delay 52 --endMP 204:444 --enddatetime 2018-01-01T21:23:09 --enforcementcount 0 &gt;&gt;%USERPROFILE%\Documents\GitHub\eaglep3-reporting\EC\2018-01-01-refined-times.txt</v>
      </c>
      <c r="AI194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{"issue":{"subject":"","project_id":79,"tracker_id":40,"status_id":1,"priority_id":2,"assigned_to_id":338,"start_date":"2018-01-01","description":"","custom_fields":[{"id":1,"name":"Subdivision","value":"NW"},{"id":4,"name":"Milepost","value":"0.0444"},{"id":17,"name":"Train ID","value":"1831-01"},{"id":16,"name":"Locomotive ID","value":"4056"},{"id":130,"name":"Impact","value":""},{"id":150,"name":"Time of Event (Mountain Time)","value":"21:23:09"},{"id":151,"name":"Denver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34"/>
        <v>start /low /b %USERPROFILE%\Documents\GitHub\eaglep3\Utilities\DownloadLogsFromS3.py --loco 4056 --day 2018-01-01</v>
      </c>
      <c r="AN194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6"/>
        <v>https://d0f6bd738d7f1b3e5a7ca70fe4ff75f0.us-east-1.aws.found.io/app/kibana#/discover/Steve-Slow-Train-Analysis-(2080s-and-2083s)?_g=(refreshInterval:(display:Off,pause:!f,section:0,value:0),time:(from:'2018-01-01T19:57:01-0700',mode:absolute,to:'2018-01-01T22:23:09-0700'))&amp;_a=(columns:!('Message%20ID',Summary),filters:!(),index:'emp_*',interval:auto,query:(query_string:(analyze_wildcard:!t,query:'%22rtdc.l.rtdc.4056%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676</v>
      </c>
      <c r="B195" s="225">
        <v>4055</v>
      </c>
      <c r="C195" s="227" t="s">
        <v>192</v>
      </c>
      <c r="D195" s="227" t="s">
        <v>973</v>
      </c>
      <c r="E195" s="226">
        <v>43101.891909722224</v>
      </c>
      <c r="F195" s="226">
        <v>43101.904918981483</v>
      </c>
      <c r="G195" s="225">
        <v>75</v>
      </c>
      <c r="H195" s="227" t="s">
        <v>974</v>
      </c>
      <c r="I195" s="226">
        <v>43101.91300925926</v>
      </c>
      <c r="J195" s="225">
        <v>0</v>
      </c>
      <c r="K195" s="237" t="str">
        <f>IF(ISEVEN(B195),(B195-1)&amp;"/"&amp;B195,B195&amp;"/"&amp;(B195+1))</f>
        <v>4055/4056</v>
      </c>
      <c r="L195" s="245" t="str">
        <f>VLOOKUP(A195,'Trips&amp;Operators'!$C$1:$G$99911,5,FALSE)</f>
        <v>STAMBAUGH JAMES</v>
      </c>
      <c r="M195" s="224">
        <f>I195-F195</f>
        <v>8.0902777772280388E-3</v>
      </c>
      <c r="N195" s="225">
        <f>24*60*SUM($M195:$M195)</f>
        <v>11.649999999208376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-01T20:24:21-0700',mode:absolute,to:'2018-01-01T22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5.8620999999999999</v>
      </c>
      <c r="Z195" s="247">
        <f>RIGHT(H195,LEN(H195)-4)/10000</f>
        <v>1.3299999999999999E-2</v>
      </c>
      <c r="AA195" s="247">
        <f>ABS(Z195-Y195)</f>
        <v>5.8487999999999998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1832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/stypes="app*4055*20180102*" /stext=" 04:.+((SYSTEM_STATE.+slice.+state.+changed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32"/>
        <v>"%USERPROFILE%\Documents\GitHub\eaglep3\Utilities\RefineRTDCRunTimes.py" --tripid 1832-01 --locoid 4055 --swversion DE.1.0.9.0 --startMP 300:58621 --initTime 2018-01-01T21:24:21 --startdatetime 2018-01-01T21:43:05 --delay 75 --endMP 204:133 --enddatetime 2018-01-01T21:54:44 --enforcementcount 0 &gt;&gt;%USERPROFILE%\Documents\GitHub\eaglep3-reporting\EC\2018-01-01-refined-times.txt</v>
      </c>
      <c r="AI195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{"issue":{"subject":"","project_id":79,"tracker_id":40,"status_id":1,"priority_id":2,"assigned_to_id":338,"start_date":"2018-01-01","description":"","custom_fields":[{"id":1,"name":"Subdivision","value":"NW"},{"id":4,"name":"Milepost","value":"0.0133"},{"id":17,"name":"Train ID","value":"1832-01"},{"id":16,"name":"Locomotive ID","value":"4055"},{"id":130,"name":"Impact","value":""},{"id":150,"name":"Time of Event (Mountain Time)","value":"21:54:44"},{"id":151,"name":"Denver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34"/>
        <v>start /low /b %USERPROFILE%\Documents\GitHub\eaglep3\Utilities\DownloadLogsFromS3.py --loco 4055 --day 2018-01-01</v>
      </c>
      <c r="AN195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6"/>
        <v>https://d0f6bd738d7f1b3e5a7ca70fe4ff75f0.us-east-1.aws.found.io/app/kibana#/discover/Steve-Slow-Train-Analysis-(2080s-and-2083s)?_g=(refreshInterval:(display:Off,pause:!f,section:0,value:0),time:(from:'2018-01-01T20:24:21-0700',mode:absolute,to:'2018-01-01T22:54:44-0700'))&amp;_a=(columns:!('Message%20ID',Summary),filters:!(),index:'emp_*',interval:auto,query:(query_string:(analyze_wildcard:!t,query:'%22rtdc.l.rtdc.4055%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866</v>
      </c>
      <c r="B196" s="225">
        <v>4056</v>
      </c>
      <c r="C196" s="227" t="s">
        <v>192</v>
      </c>
      <c r="D196" s="227" t="s">
        <v>975</v>
      </c>
      <c r="E196" s="226">
        <v>43101.917256944442</v>
      </c>
      <c r="F196" s="226">
        <v>43101.923113425924</v>
      </c>
      <c r="G196" s="225">
        <v>55</v>
      </c>
      <c r="H196" s="227" t="s">
        <v>935</v>
      </c>
      <c r="I196" s="226">
        <v>43101.932083333333</v>
      </c>
      <c r="J196" s="225">
        <v>0</v>
      </c>
      <c r="K196" s="237" t="str">
        <f>IF(ISEVEN(B196),(B196-1)&amp;"/"&amp;B196,B196&amp;"/"&amp;(B196+1))</f>
        <v>4055/4056</v>
      </c>
      <c r="L196" s="245" t="str">
        <f>VLOOKUP(A196,'Trips&amp;Operators'!$C$1:$G$99911,5,FALSE)</f>
        <v>STAMBAUGH JAMES</v>
      </c>
      <c r="M196" s="224">
        <f>I196-F196</f>
        <v>8.969907408754807E-3</v>
      </c>
      <c r="N196" s="225">
        <f>24*60*SUM($M196:$M196)</f>
        <v>12.916666668606922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-01T21:00:51-0700',mode:absolute,to:'2018-01-01T23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4.5900000000000003E-2</v>
      </c>
      <c r="Z196" s="247">
        <f>RIGHT(H196,LEN(H196)-4)/10000</f>
        <v>5.8933</v>
      </c>
      <c r="AA196" s="247">
        <f>ABS(Z196-Y196)</f>
        <v>5.8474000000000004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1833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/stypes="app*4056*20180102*" /stext=" 05:.+((SYSTEM_STATE.+slice.+state.+changed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32"/>
        <v>"%USERPROFILE%\Documents\GitHub\eaglep3\Utilities\RefineRTDCRunTimes.py" --tripid 1833-01 --locoid 4056 --swversion DE.1.0.9.0 --startMP 204:459 --initTime 2018-01-01T22:00:51 --startdatetime 2018-01-01T22:09:17 --delay 55 --endMP 300:58933 --enddatetime 2018-01-01T22:22:12 --enforcementcount 0 &gt;&gt;%USERPROFILE%\Documents\GitHub\eaglep3-reporting\EC\2018-01-01-refined-times.txt</v>
      </c>
      <c r="AI196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{"issue":{"subject":"","project_id":79,"tracker_id":40,"status_id":1,"priority_id":2,"assigned_to_id":338,"start_date":"2018-01-01","description":"","custom_fields":[{"id":1,"name":"Subdivision","value":"NW"},{"id":4,"name":"Milepost","value":"5.8933"},{"id":17,"name":"Train ID","value":"1833-01"},{"id":16,"name":"Locomotive ID","value":"4056"},{"id":130,"name":"Impact","value":""},{"id":150,"name":"Time of Event (Mountain Time)","value":"22:22:12"},{"id":151,"name":"Denver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34"/>
        <v>start /low /b %USERPROFILE%\Documents\GitHub\eaglep3\Utilities\DownloadLogsFromS3.py --loco 4056 --day 2018-01-01</v>
      </c>
      <c r="AN196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6"/>
        <v>https://d0f6bd738d7f1b3e5a7ca70fe4ff75f0.us-east-1.aws.found.io/app/kibana#/discover/Steve-Slow-Train-Analysis-(2080s-and-2083s)?_g=(refreshInterval:(display:Off,pause:!f,section:0,value:0),time:(from:'2018-01-01T21:00:51-0700',mode:absolute,to:'2018-01-01T23:22:12-0700'))&amp;_a=(columns:!('Message%20ID',Summary),filters:!(),index:'emp_*',interval:auto,query:(query_string:(analyze_wildcard:!t,query:'%22rtdc.l.rtdc.4056%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677</v>
      </c>
      <c r="B197" s="225">
        <v>4055</v>
      </c>
      <c r="C197" s="227" t="s">
        <v>192</v>
      </c>
      <c r="D197" s="227" t="s">
        <v>976</v>
      </c>
      <c r="E197" s="226">
        <v>43101.933078703703</v>
      </c>
      <c r="F197" s="226">
        <v>43101.946585648147</v>
      </c>
      <c r="G197" s="225">
        <v>64</v>
      </c>
      <c r="H197" s="227" t="s">
        <v>969</v>
      </c>
      <c r="I197" s="226">
        <v>43101.954629629632</v>
      </c>
      <c r="J197" s="225">
        <v>0</v>
      </c>
      <c r="K197" s="237" t="str">
        <f>IF(ISEVEN(B197),(B197-1)&amp;"/"&amp;B197,B197&amp;"/"&amp;(B197+1))</f>
        <v>4055/4056</v>
      </c>
      <c r="L197" s="245" t="str">
        <f>VLOOKUP(A197,'Trips&amp;Operators'!$C$1:$G$99911,5,FALSE)</f>
        <v>STAMBAUGH JAMES</v>
      </c>
      <c r="M197" s="224">
        <f>I197-F197</f>
        <v>8.0439814846613444E-3</v>
      </c>
      <c r="N197" s="225">
        <f>24*60*SUM($M197:$M197)</f>
        <v>11.583333337912336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-01T21:23:38-0700',mode:absolute,to:'2018-01-01T23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5.8624000000000001</v>
      </c>
      <c r="Z197" s="247">
        <f>RIGHT(H197,LEN(H197)-4)/10000</f>
        <v>1.29E-2</v>
      </c>
      <c r="AA197" s="247">
        <f>ABS(Z197-Y197)</f>
        <v>5.8494999999999999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1834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/stypes="app*4055*20180102*" /stext=" 05:.+((SYSTEM_STATE.+slice.+state.+changed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32"/>
        <v>"%USERPROFILE%\Documents\GitHub\eaglep3\Utilities\RefineRTDCRunTimes.py" --tripid 1834-01 --locoid 4055 --swversion DE.1.0.9.0 --startMP 300:58624 --initTime 2018-01-01T22:23:38 --startdatetime 2018-01-01T22:43:05 --delay 64 --endMP 204:129 --enddatetime 2018-01-01T22:54:40 --enforcementcount 0 &gt;&gt;%USERPROFILE%\Documents\GitHub\eaglep3-reporting\EC\2018-01-01-refined-times.txt</v>
      </c>
      <c r="AI197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{"issue":{"subject":"","project_id":79,"tracker_id":40,"status_id":1,"priority_id":2,"assigned_to_id":338,"start_date":"2018-01-01","description":"","custom_fields":[{"id":1,"name":"Subdivision","value":"NW"},{"id":4,"name":"Milepost","value":"0.0129"},{"id":17,"name":"Train ID","value":"1834-01"},{"id":16,"name":"Locomotive ID","value":"4055"},{"id":130,"name":"Impact","value":""},{"id":150,"name":"Time of Event (Mountain Time)","value":"22:54:40"},{"id":151,"name":"Denver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34"/>
        <v>start /low /b %USERPROFILE%\Documents\GitHub\eaglep3\Utilities\DownloadLogsFromS3.py --loco 4055 --day 2018-01-01</v>
      </c>
      <c r="AN197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6"/>
        <v>https://d0f6bd738d7f1b3e5a7ca70fe4ff75f0.us-east-1.aws.found.io/app/kibana#/discover/Steve-Slow-Train-Analysis-(2080s-and-2083s)?_g=(refreshInterval:(display:Off,pause:!f,section:0,value:0),time:(from:'2018-01-01T21:23:38-0700',mode:absolute,to:'2018-01-01T23:54:40-0700'))&amp;_a=(columns:!('Message%20ID',Summary),filters:!(),index:'emp_*',interval:auto,query:(query_string:(analyze_wildcard:!t,query:'%22rtdc.l.rtdc.4055%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870</v>
      </c>
      <c r="B198" s="225">
        <v>4056</v>
      </c>
      <c r="C198" s="227" t="s">
        <v>192</v>
      </c>
      <c r="D198" s="227" t="s">
        <v>977</v>
      </c>
      <c r="E198" s="226">
        <v>43101.95579861111</v>
      </c>
      <c r="F198" s="226">
        <v>43101.964814814812</v>
      </c>
      <c r="G198" s="225">
        <v>72</v>
      </c>
      <c r="H198" s="227" t="s">
        <v>951</v>
      </c>
      <c r="I198" s="226">
        <v>43101.973298611112</v>
      </c>
      <c r="J198" s="225">
        <v>0</v>
      </c>
      <c r="K198" s="237" t="str">
        <f>IF(ISEVEN(B198),(B198-1)&amp;"/"&amp;B198,B198&amp;"/"&amp;(B198+1))</f>
        <v>4055/4056</v>
      </c>
      <c r="L198" s="245" t="str">
        <f>VLOOKUP(A198,'Trips&amp;Operators'!$C$1:$G$99911,5,FALSE)</f>
        <v>STAMBAUGH JAMES</v>
      </c>
      <c r="M198" s="224">
        <f>I198-F198</f>
        <v>8.4837963004247285E-3</v>
      </c>
      <c r="N198" s="225">
        <f>24*60*SUM($M198:$M198)</f>
        <v>12.216666672611609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-01T21:56:21-0700',mode:absolute,to:'2018-01-02T00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247" t="str">
        <f>IF(AA198&lt;VLOOKUP(AG198,Variables!$AC$3:$AD$8,2,FALSE),"Y","N")</f>
        <v>N</v>
      </c>
      <c r="X198" s="247">
        <f t="shared" ref="X198:X200" si="48">VALUE(LEFT(AD198,4))-VALUE(LEFT(AD197,4))</f>
        <v>1</v>
      </c>
      <c r="Y198" s="247">
        <f>RIGHT(D198,LEN(D198)-4)/10000</f>
        <v>4.41E-2</v>
      </c>
      <c r="Z198" s="247">
        <f>RIGHT(H198,LEN(H198)-4)/10000</f>
        <v>5.8930999999999996</v>
      </c>
      <c r="AA198" s="247">
        <f>ABS(Z198-Y198)</f>
        <v>5.8489999999999993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1835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/stypes="app*4056*20180102*" /stext=" 06:.+((SYSTEM_STATE.+slice.+state.+changed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32"/>
        <v>"%USERPROFILE%\Documents\GitHub\eaglep3\Utilities\RefineRTDCRunTimes.py" --tripid 1835-01 --locoid 4056 --swversion DE.1.0.9.0 --startMP 204:441 --initTime 2018-01-01T22:56:21 --startdatetime 2018-01-01T23:09:20 --delay 72 --endMP 300:58931 --enddatetime 2018-01-01T23:21:33 --enforcementcount 0 &gt;&gt;%USERPROFILE%\Documents\GitHub\eaglep3-reporting\EC\2018-01-01-refined-times.txt</v>
      </c>
      <c r="AI198" s="238" t="str">
        <f t="shared" si="33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ID","value":"1835-01"},{"id":16,"name":"Locomotive ID","value":"4056"},{"id":130,"name":"Impact","value":""},{"id":150,"name":"Time of Event (Mountain Time)","value":"23:21:33"},{"id":151,"name":"Denver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34"/>
        <v>start /low /b %USERPROFILE%\Documents\GitHub\eaglep3\Utilities\DownloadLogsFromS3.py --loco 4056 --day 2018-01-01</v>
      </c>
      <c r="AN198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6"/>
        <v>https://d0f6bd738d7f1b3e5a7ca70fe4ff75f0.us-east-1.aws.found.io/app/kibana#/discover/Steve-Slow-Train-Analysis-(2080s-and-2083s)?_g=(refreshInterval:(display:Off,pause:!f,section:0,value:0),time:(from:'2018-01-01T21:56:21-0700',mode:absolute,to:'2018-01-02T00:21:33-0700'))&amp;_a=(columns:!('Message%20ID',Summary),filters:!(),index:'emp_*',interval:auto,query:(query_string:(analyze_wildcard:!t,query:'%22rtdc.l.rtdc.4056%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846</v>
      </c>
      <c r="B199" s="225">
        <v>4014</v>
      </c>
      <c r="C199" s="227" t="s">
        <v>192</v>
      </c>
      <c r="D199" s="227" t="s">
        <v>1021</v>
      </c>
      <c r="E199" s="226">
        <v>43101.777141203704</v>
      </c>
      <c r="F199" s="226">
        <v>43101.779027777775</v>
      </c>
      <c r="G199" s="225">
        <v>53</v>
      </c>
      <c r="H199" s="227" t="s">
        <v>565</v>
      </c>
      <c r="I199" s="226">
        <v>43101.790081018517</v>
      </c>
      <c r="J199" s="225">
        <v>0</v>
      </c>
      <c r="K199" s="237" t="str">
        <f>IF(ISEVEN(B199),(B199-1)&amp;"/"&amp;B199,B199&amp;"/"&amp;(B199+1))</f>
        <v>4013/4014</v>
      </c>
      <c r="L199" s="245" t="str">
        <f>VLOOKUP(A199,'Trips&amp;Operators'!$C$1:$G$99911,5,FALSE)</f>
        <v>LEVERE CRAIG</v>
      </c>
      <c r="M199" s="224">
        <f>I199-F199</f>
        <v>1.1053240741603076E-2</v>
      </c>
      <c r="N199" s="225">
        <f>24*60*SUM($M199:$M199)</f>
        <v>15.91666666790843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-01T17:39:05-0700',mode:absolute,to:'2018-01-01T19:57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247" t="str">
        <f>IF(AA199&lt;VLOOKUP(AG199,Variables!$AC$3:$AD$8,2,FALSE),"Y","N")</f>
        <v>Y</v>
      </c>
      <c r="X199" s="247">
        <f t="shared" si="48"/>
        <v>-1534</v>
      </c>
      <c r="Y199" s="247">
        <f>RIGHT(D199,LEN(D199)-4)/10000</f>
        <v>0.1181</v>
      </c>
      <c r="Z199" s="247">
        <f>RIGHT(H199,LEN(H199)-4)/10000</f>
        <v>2.3304</v>
      </c>
      <c r="AA199" s="247">
        <f>ABS(Z199-Y199)</f>
        <v>2.2122999999999999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301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/stypes="app*4014*20180102*" /stext=" 01:.+((SYSTEM_STATE.+slice.+state.+changed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32"/>
        <v>"%USERPROFILE%\Documents\GitHub\eaglep3\Utilities\RefineRTDCRunTimes.py" --tripid 301-01 --locoid 4014 --swversion DE.1.0.9.0 --startMP 204:1181 --initTime 2018-01-01T18:39:05 --startdatetime 2018-01-01T18:41:48 --delay 53 --endMP 300:23304 --enddatetime 2018-01-01T18:57:43 --enforcementcount 0 &gt;&gt;%USERPROFILE%\Documents\GitHub\eaglep3-reporting\EC\2018-01-01-refined-times.txt</v>
      </c>
      <c r="AI199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{"issue":{"subject":"","project_id":79,"tracker_id":40,"status_id":1,"priority_id":2,"assigned_to_id":338,"start_date":"2018-01-01","description":"","custom_fields":[{"id":1,"name":"Subdivision","value":"Other"},{"id":4,"name":"Milepost","value":"2.3304"},{"id":17,"name":"Train ID","value":"301-01"},{"id":16,"name":"Locomotive ID","value":"4014"},{"id":130,"name":"Impact","value":""},{"id":150,"name":"Time of Event (Mountain Time)","value":"18:57:43"},{"id":151,"name":"Denver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34"/>
        <v>start /low /b %USERPROFILE%\Documents\GitHub\eaglep3\Utilities\DownloadLogsFromS3.py --loco 4014 --day 2018-01-01</v>
      </c>
      <c r="AN199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6"/>
        <v>https://d0f6bd738d7f1b3e5a7ca70fe4ff75f0.us-east-1.aws.found.io/app/kibana#/discover/Steve-Slow-Train-Analysis-(2080s-and-2083s)?_g=(refreshInterval:(display:Off,pause:!f,section:0,value:0),time:(from:'2018-01-01T17:39:05-0700',mode:absolute,to:'2018-01-01T19:57:43-0700'))&amp;_a=(columns:!('Message%20ID',Summary),filters:!(),index:'emp_*',interval:auto,query:(query_string:(analyze_wildcard:!t,query:'%22rtdc.l.rtdc.4014%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684</v>
      </c>
      <c r="B200" s="225">
        <v>4019</v>
      </c>
      <c r="C200" s="227" t="s">
        <v>192</v>
      </c>
      <c r="D200" s="227" t="s">
        <v>1022</v>
      </c>
      <c r="E200" s="226">
        <v>43101.140162037038</v>
      </c>
      <c r="F200" s="226">
        <v>43101.143946759257</v>
      </c>
      <c r="G200" s="225">
        <v>85</v>
      </c>
      <c r="H200" s="227" t="s">
        <v>553</v>
      </c>
      <c r="I200" s="226">
        <v>43101.149467592593</v>
      </c>
      <c r="J200" s="225">
        <v>0</v>
      </c>
      <c r="K200" s="237" t="str">
        <f>IF(ISEVEN(B200),(B200-1)&amp;"/"&amp;B200,B200&amp;"/"&amp;(B200+1))</f>
        <v>4019/4020</v>
      </c>
      <c r="L200" s="245" t="str">
        <f>VLOOKUP(A200,'Trips&amp;Operators'!$C$1:$G$99911,5,FALSE)</f>
        <v>LONG FULLER</v>
      </c>
      <c r="M200" s="224">
        <f>I200-F200</f>
        <v>5.5208333360496908E-3</v>
      </c>
      <c r="N200" s="225">
        <f>24*60*SUM($M200:$M200)</f>
        <v>7.9500000039115548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-01T02:21:50-0700',mode:absolute,to:'2018-01-01T04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247" t="str">
        <f>IF(AA200&lt;VLOOKUP(AG200,Variables!$AC$3:$AD$8,2,FALSE),"Y","N")</f>
        <v>Y</v>
      </c>
      <c r="X200" s="247">
        <f t="shared" si="48"/>
        <v>1</v>
      </c>
      <c r="Y200" s="247">
        <f>RIGHT(D200,LEN(D200)-4)/10000</f>
        <v>2.3571</v>
      </c>
      <c r="Z200" s="247">
        <f>RIGHT(H200,LEN(H200)-4)/10000</f>
        <v>2.0899999999999998E-2</v>
      </c>
      <c r="AA200" s="247">
        <f>ABS(Z200-Y200)</f>
        <v>2.3361999999999998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302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/stypes="app*4019*20180101*" /stext=" 10:.+((SYSTEM_STATE.+slice.+state.+changed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32"/>
        <v>"%USERPROFILE%\Documents\GitHub\eaglep3\Utilities\RefineRTDCRunTimes.py" --tripid 302-01 --locoid 4019 --swversion DE.1.0.9.0 --startMP 300:23571 --initTime 2018-01-01T03:21:50 --startdatetime 2018-01-01T03:27:17 --delay 85 --endMP 204:209 --enddatetime 2018-01-01T03:35:14 --enforcementcount 0 &gt;&gt;%USERPROFILE%\Documents\GitHub\eaglep3-reporting\EC\2018-01-01-refined-times.txt</v>
      </c>
      <c r="AI200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{"issue":{"subject":"","project_id":79,"tracker_id":40,"status_id":1,"priority_id":2,"assigned_to_id":338,"start_date":"2018-01-01","description":"","custom_fields":[{"id":1,"name":"Subdivision","value":"Other"},{"id":4,"name":"Milepost","value":"0.0209"},{"id":17,"name":"Train ID","value":"302-01"},{"id":16,"name":"Locomotive ID","value":"4019"},{"id":130,"name":"Impact","value":""},{"id":150,"name":"Time of Event (Mountain Time)","value":"03:35:14"},{"id":151,"name":"Denver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34"/>
        <v>start /low /b %USERPROFILE%\Documents\GitHub\eaglep3\Utilities\DownloadLogsFromS3.py --loco 4019 --day 2018-01-01</v>
      </c>
      <c r="AN200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6"/>
        <v>https://d0f6bd738d7f1b3e5a7ca70fe4ff75f0.us-east-1.aws.found.io/app/kibana#/discover/Steve-Slow-Train-Analysis-(2080s-and-2083s)?_g=(refreshInterval:(display:Off,pause:!f,section:0,value:0),time:(from:'2018-01-01T02:21:50-0700',mode:absolute,to:'2018-01-01T04:35:14-0700'))&amp;_a=(columns:!('Message%20ID',Summary),filters:!(),index:'emp_*',interval:auto,query:(query_string:(analyze_wildcard:!t,query:'%22rtdc.l.rtdc.4019%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851</v>
      </c>
      <c r="B201" s="225">
        <v>4022</v>
      </c>
      <c r="C201" s="227" t="s">
        <v>192</v>
      </c>
      <c r="D201" s="227" t="s">
        <v>980</v>
      </c>
      <c r="E201" s="226">
        <v>43101.797962962963</v>
      </c>
      <c r="F201" s="226">
        <v>43101.801423611112</v>
      </c>
      <c r="G201" s="225">
        <v>62</v>
      </c>
      <c r="H201" s="227" t="s">
        <v>1023</v>
      </c>
      <c r="I201" s="226">
        <v>43101.808657407404</v>
      </c>
      <c r="J201" s="225">
        <v>0</v>
      </c>
      <c r="K201" s="237" t="str">
        <f>IF(ISEVEN(B201),(B201-1)&amp;"/"&amp;B201,B201&amp;"/"&amp;(B201+1))</f>
        <v>4021/4022</v>
      </c>
      <c r="L201" s="245" t="str">
        <f>VLOOKUP(A201,'Trips&amp;Operators'!$C$1:$G$99911,5,FALSE)</f>
        <v>SAFIEF AEIMEN</v>
      </c>
      <c r="M201" s="224">
        <f>I201-F201</f>
        <v>7.2337962919846177E-3</v>
      </c>
      <c r="N201" s="225">
        <f>24*60*SUM($M201:$M201)</f>
        <v>10.41666666045785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-01T18:09:04-0700',mode:absolute,to:'2018-01-01T20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5.11E-2</v>
      </c>
      <c r="Z201" s="247">
        <f>RIGHT(H201,LEN(H201)-4)/10000</f>
        <v>2.3294999999999999</v>
      </c>
      <c r="AA201" s="247">
        <f>ABS(Z201-Y201)</f>
        <v>2.2784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303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/stypes="app*4022*20180102*"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32"/>
        <v>"%USERPROFILE%\Documents\GitHub\eaglep3\Utilities\RefineRTDCRunTimes.py" --tripid 303-01 --locoid 4022 --swversion DE.1.0.9.0 --startMP 204:511 --initTime 2018-01-01T19:09:04 --startdatetime 2018-01-01T19:14:03 --delay 62 --endMP 300:23295 --enddatetime 2018-01-01T19:24:28 --enforcementcount 0 &gt;&gt;%USERPROFILE%\Documents\GitHub\eaglep3-reporting\EC\2018-01-01-refined-times.txt</v>
      </c>
      <c r="AI201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{"issue":{"subject":"","project_id":79,"tracker_id":40,"status_id":1,"priority_id":2,"assigned_to_id":338,"start_date":"2018-01-01","description":"","custom_fields":[{"id":1,"name":"Subdivision","value":"Other"},{"id":4,"name":"Milepost","value":"2.3295"},{"id":17,"name":"Train ID","value":"303-01"},{"id":16,"name":"Locomotive ID","value":"4022"},{"id":130,"name":"Impact","value":""},{"id":150,"name":"Time of Event (Mountain Time)","value":"19:24:28"},{"id":151,"name":"Denver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34"/>
        <v>start /low /b %USERPROFILE%\Documents\GitHub\eaglep3\Utilities\DownloadLogsFromS3.py --loco 4022 --day 2018-01-01</v>
      </c>
      <c r="AN201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36"/>
        <v>https://d0f6bd738d7f1b3e5a7ca70fe4ff75f0.us-east-1.aws.found.io/app/kibana#/discover/Steve-Slow-Train-Analysis-(2080s-and-2083s)?_g=(refreshInterval:(display:Off,pause:!f,section:0,value:0),time:(from:'2018-01-01T18:09:04-0700',mode:absolute,to:'2018-01-01T20:24:28-0700'))&amp;_a=(columns:!('Message%20ID',Summary),filters:!(),index:'emp_*',interval:auto,query:(query_string:(analyze_wildcard:!t,query:'%22rtdc.l.rtdc.4022%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688</v>
      </c>
      <c r="B202" s="225">
        <v>4041</v>
      </c>
      <c r="C202" s="227" t="s">
        <v>192</v>
      </c>
      <c r="D202" s="227" t="s">
        <v>1024</v>
      </c>
      <c r="E202" s="226">
        <v>43101.153541666667</v>
      </c>
      <c r="F202" s="226">
        <v>43101.156747685185</v>
      </c>
      <c r="G202" s="225">
        <v>50</v>
      </c>
      <c r="H202" s="227" t="s">
        <v>584</v>
      </c>
      <c r="I202" s="226">
        <v>43101.160787037035</v>
      </c>
      <c r="J202" s="225">
        <v>0</v>
      </c>
      <c r="K202" s="237" t="str">
        <f>IF(ISEVEN(B202),(B202-1)&amp;"/"&amp;B202,B202&amp;"/"&amp;(B202+1))</f>
        <v>4041/4042</v>
      </c>
      <c r="L202" s="245" t="str">
        <f>VLOOKUP(A202,'Trips&amp;Operators'!$C$1:$G$99911,5,FALSE)</f>
        <v>YORK EDGAR</v>
      </c>
      <c r="M202" s="224">
        <f>I202-F202</f>
        <v>4.0393518502241932E-3</v>
      </c>
      <c r="N202" s="225">
        <f>24*60*SUM($M202:$M202)</f>
        <v>5.8166666643228382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-01T02:41:06-0700',mode:absolute,to:'2018-01-01T04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1.9735</v>
      </c>
      <c r="Z202" s="247">
        <f>RIGHT(H202,LEN(H202)-4)/10000</f>
        <v>1.4999999999999999E-2</v>
      </c>
      <c r="AA202" s="247">
        <f>ABS(Z202-Y202)</f>
        <v>1.9585000000000001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304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/stypes="app*4041*20180101*" /stext=" 10:.+((SYSTEM_STATE.+slice.+state.+changed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32"/>
        <v>"%USERPROFILE%\Documents\GitHub\eaglep3\Utilities\RefineRTDCRunTimes.py" --tripid 304-01 --locoid 4041 --swversion DE.1.0.9.0 --startMP 300:19735 --initTime 2018-01-01T03:41:06 --startdatetime 2018-01-01T03:45:43 --delay 50 --endMP 204:150 --enddatetime 2018-01-01T03:51:32 --enforcementcount 0 &gt;&gt;%USERPROFILE%\Documents\GitHub\eaglep3-reporting\EC\2018-01-01-refined-times.txt</v>
      </c>
      <c r="AI202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{"issue":{"subject":"","project_id":79,"tracker_id":40,"status_id":1,"priority_id":2,"assigned_to_id":338,"start_date":"2018-01-01","description":"","custom_fields":[{"id":1,"name":"Subdivision","value":"Other"},{"id":4,"name":"Milepost","value":"0.015"},{"id":17,"name":"Train ID","value":"304-01"},{"id":16,"name":"Locomotive ID","value":"4041"},{"id":130,"name":"Impact","value":""},{"id":150,"name":"Time of Event (Mountain Time)","value":"03:51:32"},{"id":151,"name":"Denver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34"/>
        <v>start /low /b %USERPROFILE%\Documents\GitHub\eaglep3\Utilities\DownloadLogsFromS3.py --loco 4041 --day 2018-01-01</v>
      </c>
      <c r="AN202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6"/>
        <v>https://d0f6bd738d7f1b3e5a7ca70fe4ff75f0.us-east-1.aws.found.io/app/kibana#/discover/Steve-Slow-Train-Analysis-(2080s-and-2083s)?_g=(refreshInterval:(display:Off,pause:!f,section:0,value:0),time:(from:'2018-01-01T02:41:06-0700',mode:absolute,to:'2018-01-01T04:51:32-0700'))&amp;_a=(columns:!('Message%20ID',Summary),filters:!(),index:'emp_*',interval:auto,query:(query_string:(analyze_wildcard:!t,query:'%22rtdc.l.rtdc.4041%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856</v>
      </c>
      <c r="B203" s="225">
        <v>4010</v>
      </c>
      <c r="C203" s="227" t="s">
        <v>192</v>
      </c>
      <c r="D203" s="227" t="s">
        <v>1013</v>
      </c>
      <c r="E203" s="226">
        <v>43101.817986111113</v>
      </c>
      <c r="F203" s="226">
        <v>43101.820381944446</v>
      </c>
      <c r="G203" s="225">
        <v>58</v>
      </c>
      <c r="H203" s="227" t="s">
        <v>1025</v>
      </c>
      <c r="I203" s="226">
        <v>43101.828287037039</v>
      </c>
      <c r="J203" s="225">
        <v>0</v>
      </c>
      <c r="K203" s="237" t="str">
        <f>IF(ISEVEN(B203),(B203-1)&amp;"/"&amp;B203,B203&amp;"/"&amp;(B203+1))</f>
        <v>4009/4010</v>
      </c>
      <c r="L203" s="245" t="str">
        <f>VLOOKUP(A203,'Trips&amp;Operators'!$C$1:$G$99911,5,FALSE)</f>
        <v>SMITH MICHAEL</v>
      </c>
      <c r="M203" s="224">
        <f>I203-F203</f>
        <v>7.9050925924093463E-3</v>
      </c>
      <c r="N203" s="225">
        <f>24*60*SUM($M203:$M203)</f>
        <v>11.383333333069459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-01T18:37:54-0700',mode:absolute,to:'2018-01-01T20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5.57E-2</v>
      </c>
      <c r="Z203" s="247">
        <f>RIGHT(H203,LEN(H203)-4)/10000</f>
        <v>2.3296999999999999</v>
      </c>
      <c r="AA203" s="247">
        <f>ABS(Z203-Y203)</f>
        <v>2.274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305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/stypes="app*4010*20180102*" /stext=" 02:.+((SYSTEM_STATE.+slice.+state.+changed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32"/>
        <v>"%USERPROFILE%\Documents\GitHub\eaglep3\Utilities\RefineRTDCRunTimes.py" --tripid 305-01 --locoid 4010 --swversion DE.1.0.9.0 --startMP 204:557 --initTime 2018-01-01T19:37:54 --startdatetime 2018-01-01T19:41:21 --delay 58 --endMP 300:23297 --enddatetime 2018-01-01T19:52:44 --enforcementcount 0 &gt;&gt;%USERPROFILE%\Documents\GitHub\eaglep3-reporting\EC\2018-01-01-refined-times.txt</v>
      </c>
      <c r="AI203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{"issue":{"subject":"","project_id":79,"tracker_id":40,"status_id":1,"priority_id":2,"assigned_to_id":338,"start_date":"2018-01-01","description":"","custom_fields":[{"id":1,"name":"Subdivision","value":"Other"},{"id":4,"name":"Milepost","value":"2.3297"},{"id":17,"name":"Train ID","value":"305-01"},{"id":16,"name":"Locomotive ID","value":"4010"},{"id":130,"name":"Impact","value":""},{"id":150,"name":"Time of Event (Mountain Time)","value":"19:52:44"},{"id":151,"name":"Denver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34"/>
        <v>start /low /b %USERPROFILE%\Documents\GitHub\eaglep3\Utilities\DownloadLogsFromS3.py --loco 4010 --day 2018-01-01</v>
      </c>
      <c r="AN203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6"/>
        <v>https://d0f6bd738d7f1b3e5a7ca70fe4ff75f0.us-east-1.aws.found.io/app/kibana#/discover/Steve-Slow-Train-Analysis-(2080s-and-2083s)?_g=(refreshInterval:(display:Off,pause:!f,section:0,value:0),time:(from:'2018-01-01T18:37:54-0700',mode:absolute,to:'2018-01-01T20:52:44-0700'))&amp;_a=(columns:!('Message%20ID',Summary),filters:!(),index:'emp_*',interval:auto,query:(query_string:(analyze_wildcard:!t,query:'%22rtdc.l.rtdc.4010%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690</v>
      </c>
      <c r="B204" s="225">
        <v>4057</v>
      </c>
      <c r="C204" s="227" t="s">
        <v>192</v>
      </c>
      <c r="D204" s="227" t="s">
        <v>1026</v>
      </c>
      <c r="E204" s="226">
        <v>43101.167199074072</v>
      </c>
      <c r="F204" s="226">
        <v>43101.17328703704</v>
      </c>
      <c r="G204" s="225">
        <v>97</v>
      </c>
      <c r="H204" s="227" t="s">
        <v>584</v>
      </c>
      <c r="I204" s="226">
        <v>43101.180358796293</v>
      </c>
      <c r="J204" s="225">
        <v>0</v>
      </c>
      <c r="K204" s="237" t="str">
        <f>IF(ISEVEN(B204),(B204-1)&amp;"/"&amp;B204,B204&amp;"/"&amp;(B204+1))</f>
        <v>4057/4058</v>
      </c>
      <c r="L204" s="245" t="str">
        <f>VLOOKUP(A204,'Trips&amp;Operators'!$C$1:$G$99911,5,FALSE)</f>
        <v>DELGADO DIANAH</v>
      </c>
      <c r="M204" s="224">
        <f>I204-F204</f>
        <v>7.0717592534492724E-3</v>
      </c>
      <c r="N204" s="225">
        <f>24*60*SUM($M204:$M204)</f>
        <v>10.183333324966952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-01T03:00:46-0700',mode:absolute,to:'2018-01-01T05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2.2033999999999998</v>
      </c>
      <c r="Z204" s="247">
        <f>RIGHT(H204,LEN(H204)-4)/10000</f>
        <v>1.4999999999999999E-2</v>
      </c>
      <c r="AA204" s="247">
        <f>ABS(Z204-Y204)</f>
        <v>2.1883999999999997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306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/stypes="app*4057*20180101*"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32"/>
        <v>"%USERPROFILE%\Documents\GitHub\eaglep3\Utilities\RefineRTDCRunTimes.py" --tripid 306-01 --locoid 4057 --swversion DE.1.0.9.0 --startMP 300:22034 --initTime 2018-01-01T04:00:46 --startdatetime 2018-01-01T04:09:32 --delay 97 --endMP 204:150 --enddatetime 2018-01-01T04:19:43 --enforcementcount 0 &gt;&gt;%USERPROFILE%\Documents\GitHub\eaglep3-reporting\EC\2018-01-01-refined-times.txt</v>
      </c>
      <c r="AI204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{"issue":{"subject":"","project_id":79,"tracker_id":40,"status_id":1,"priority_id":2,"assigned_to_id":338,"start_date":"2018-01-01","description":"","custom_fields":[{"id":1,"name":"Subdivision","value":"Other"},{"id":4,"name":"Milepost","value":"0.015"},{"id":17,"name":"Train ID","value":"306-01"},{"id":16,"name":"Locomotive ID","value":"4057"},{"id":130,"name":"Impact","value":""},{"id":150,"name":"Time of Event (Mountain Time)","value":"04:19:43"},{"id":151,"name":"Denver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34"/>
        <v>start /low /b %USERPROFILE%\Documents\GitHub\eaglep3\Utilities\DownloadLogsFromS3.py --loco 4057 --day 2018-01-01</v>
      </c>
      <c r="AN204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6"/>
        <v>https://d0f6bd738d7f1b3e5a7ca70fe4ff75f0.us-east-1.aws.found.io/app/kibana#/discover/Steve-Slow-Train-Analysis-(2080s-and-2083s)?_g=(refreshInterval:(display:Off,pause:!f,section:0,value:0),time:(from:'2018-01-01T03:00:46-0700',mode:absolute,to:'2018-01-01T05:19:43-0700'))&amp;_a=(columns:!('Message%20ID',Summary),filters:!(),index:'emp_*',interval:auto,query:(query_string:(analyze_wildcard:!t,query:'%22rtdc.l.rtdc.4057%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879</v>
      </c>
      <c r="B205" s="225">
        <v>4020</v>
      </c>
      <c r="C205" s="227" t="s">
        <v>192</v>
      </c>
      <c r="D205" s="227" t="s">
        <v>1027</v>
      </c>
      <c r="E205" s="226">
        <v>43102.048530092594</v>
      </c>
      <c r="F205" s="226">
        <v>43102.050127314818</v>
      </c>
      <c r="G205" s="225">
        <v>63</v>
      </c>
      <c r="H205" s="227" t="s">
        <v>655</v>
      </c>
      <c r="I205" s="226">
        <v>43102.058599537035</v>
      </c>
      <c r="J205" s="225">
        <v>0</v>
      </c>
      <c r="K205" s="237" t="str">
        <f>IF(ISEVEN(B205),(B205-1)&amp;"/"&amp;B205,B205&amp;"/"&amp;(B205+1))</f>
        <v>4019/4020</v>
      </c>
      <c r="L205" s="245" t="str">
        <f>VLOOKUP(A205,'Trips&amp;Operators'!$C$1:$G$99911,5,FALSE)</f>
        <v>LORI SANTOS</v>
      </c>
      <c r="M205" s="224">
        <f>I205-F205</f>
        <v>8.4722222163691185E-3</v>
      </c>
      <c r="N205" s="225">
        <f>24*60*SUM($M205:$M205)</f>
        <v>12.199999991571531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-02T00:09:53-0700',mode:absolute,to:'2018-01-02T02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5.62E-2</v>
      </c>
      <c r="Z205" s="247">
        <f>RIGHT(H205,LEN(H205)-4)/10000</f>
        <v>2.3302</v>
      </c>
      <c r="AA205" s="247">
        <f>ABS(Z205-Y205)</f>
        <v>2.274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307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 &amp; 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/stypes="app*4020*20180102*" /stext=" 08:.+((SYSTEM_STATE.+slice.+state.+changed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32"/>
        <v>"%USERPROFILE%\Documents\GitHub\eaglep3\Utilities\RefineRTDCRunTimes.py" --tripid 307-01 --locoid 4020 --swversion DE.1.0.9.0 --startMP 204:562 --initTime 2018-01-02T01:09:53 --startdatetime 2018-01-02T01:12:11 --delay 63 --endMP 300:23302 --enddatetime 2018-01-02T01:24:23 --enforcementcount 0 &gt;&gt;%USERPROFILE%\Documents\GitHub\eaglep3-reporting\EC\2018-01-01-refined-times.txt</v>
      </c>
      <c r="AI205" s="238" t="str">
        <f t="shared" si="33"/>
        <v>echo {"issue":{"subject":"","project_id":79,"tracker_id":40,"status_id":1,"priority_id":2,"assigned_to_id":338,"start_date":"2018-01-02","description":"","custom_fields":[{"id":1,"name":"Subdivision","value":"Other"},{"id":4,"name":"Milepost","value":"2.3302"},{"id":17,"name":"Train ID","value":"307-01"},{"id":16,"name":"Locomotive ID","value":"4020"},{"id":130,"name":"Impact","value":""},{"id":150,"name":"Time of Event (Mountain Time)","value":"01:24:23"},{"id":151,"name":"Denver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34"/>
        <v>start /low /b %USERPROFILE%\Documents\GitHub\eaglep3\Utilities\DownloadLogsFromS3.py --loco 4020 --day 2018-01-02</v>
      </c>
      <c r="AN205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36"/>
        <v>https://d0f6bd738d7f1b3e5a7ca70fe4ff75f0.us-east-1.aws.found.io/app/kibana#/discover/Steve-Slow-Train-Analysis-(2080s-and-2083s)?_g=(refreshInterval:(display:Off,pause:!f,section:0,value:0),time:(from:'2018-01-02T00:09:53-0700',mode:absolute,to:'2018-01-02T02:24:23-0700'))&amp;_a=(columns:!('Message%20ID',Summary),filters:!(),index:'emp_*',interval:auto,query:(query_string:(analyze_wildcard:!t,query:'%22rtdc.l.rtdc.4020%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692</v>
      </c>
      <c r="B206" s="225">
        <v>4013</v>
      </c>
      <c r="C206" s="227" t="s">
        <v>192</v>
      </c>
      <c r="D206" s="227" t="s">
        <v>1028</v>
      </c>
      <c r="E206" s="226">
        <v>43101.180462962962</v>
      </c>
      <c r="F206" s="226">
        <v>43101.184687499997</v>
      </c>
      <c r="G206" s="225">
        <v>75</v>
      </c>
      <c r="H206" s="227" t="s">
        <v>507</v>
      </c>
      <c r="I206" s="226">
        <v>43101.190370370372</v>
      </c>
      <c r="J206" s="225">
        <v>0</v>
      </c>
      <c r="K206" s="237" t="str">
        <f>IF(ISEVEN(B206),(B206-1)&amp;"/"&amp;B206,B206&amp;"/"&amp;(B206+1))</f>
        <v>4013/4014</v>
      </c>
      <c r="L206" s="245" t="str">
        <f>VLOOKUP(A206,'Trips&amp;Operators'!$C$1:$G$99911,5,FALSE)</f>
        <v>MAELZER KURT</v>
      </c>
      <c r="M206" s="224">
        <f>I206-F206</f>
        <v>5.6828703745850362E-3</v>
      </c>
      <c r="N206" s="225">
        <f>24*60*SUM($M206:$M206)</f>
        <v>8.1833333394024521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-01T03:19:52-0700',mode:absolute,to:'2018-01-01T05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1.9714</v>
      </c>
      <c r="Z206" s="247">
        <f>RIGHT(H206,LEN(H206)-4)/10000</f>
        <v>1.9199999999999998E-2</v>
      </c>
      <c r="AA206" s="247">
        <f>ABS(Z206-Y206)</f>
        <v>1.9521999999999999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308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/stypes="app*4013*20180101*" /stext=" 11:.+((SYSTEM_STATE.+slice.+state.+changed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32"/>
        <v>"%USERPROFILE%\Documents\GitHub\eaglep3\Utilities\RefineRTDCRunTimes.py" --tripid 308-01 --locoid 4013 --swversion DE.1.0.9.0 --startMP 300:19714 --initTime 2018-01-01T04:19:52 --startdatetime 2018-01-01T04:25:57 --delay 75 --endMP 204:192 --enddatetime 2018-01-01T04:34:08 --enforcementcount 0 &gt;&gt;%USERPROFILE%\Documents\GitHub\eaglep3-reporting\EC\2018-01-01-refined-times.txt</v>
      </c>
      <c r="AI206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{"issue":{"subject":"","project_id":79,"tracker_id":40,"status_id":1,"priority_id":2,"assigned_to_id":338,"start_date":"2018-01-01","description":"","custom_fields":[{"id":1,"name":"Subdivision","value":"Other"},{"id":4,"name":"Milepost","value":"0.0192"},{"id":17,"name":"Train ID","value":"308-01"},{"id":16,"name":"Locomotive ID","value":"4013"},{"id":130,"name":"Impact","value":""},{"id":150,"name":"Time of Event (Mountain Time)","value":"04:34:08"},{"id":151,"name":"Denver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34"/>
        <v>start /low /b %USERPROFILE%\Documents\GitHub\eaglep3\Utilities\DownloadLogsFromS3.py --loco 4013 --day 2018-01-01</v>
      </c>
      <c r="AN206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6"/>
        <v>https://d0f6bd738d7f1b3e5a7ca70fe4ff75f0.us-east-1.aws.found.io/app/kibana#/discover/Steve-Slow-Train-Analysis-(2080s-and-2083s)?_g=(refreshInterval:(display:Off,pause:!f,section:0,value:0),time:(from:'2018-01-01T03:19:52-0700',mode:absolute,to:'2018-01-01T05:34:08-0700'))&amp;_a=(columns:!('Message%20ID',Summary),filters:!(),index:'emp_*',interval:auto,query:(query_string:(analyze_wildcard:!t,query:'%22rtdc.l.rtdc.4013%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881</v>
      </c>
      <c r="B207" s="225">
        <v>4042</v>
      </c>
      <c r="C207" s="227" t="s">
        <v>192</v>
      </c>
      <c r="D207" s="227" t="s">
        <v>986</v>
      </c>
      <c r="E207" s="226">
        <v>43102.06795138889</v>
      </c>
      <c r="F207" s="226">
        <v>43102.06925925926</v>
      </c>
      <c r="G207" s="225">
        <v>50</v>
      </c>
      <c r="H207" s="227" t="s">
        <v>565</v>
      </c>
      <c r="I207" s="226">
        <v>43102.079050925924</v>
      </c>
      <c r="J207" s="225">
        <v>0</v>
      </c>
      <c r="K207" s="237" t="str">
        <f>IF(ISEVEN(B207),(B207-1)&amp;"/"&amp;B207,B207&amp;"/"&amp;(B207+1))</f>
        <v>4041/4042</v>
      </c>
      <c r="L207" s="245" t="str">
        <f>VLOOKUP(A207,'Trips&amp;Operators'!$C$1:$G$99911,5,FALSE)</f>
        <v>GUNTHIER ERIC</v>
      </c>
      <c r="M207" s="224">
        <f>I207-F207</f>
        <v>9.7916666636592709E-3</v>
      </c>
      <c r="N207" s="225">
        <f>24*60*SUM($M207:$M207)</f>
        <v>14.09999999566935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-02T00:37:51-0700',mode:absolute,to:'2018-01-02T02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5.3999999999999999E-2</v>
      </c>
      <c r="Z207" s="247">
        <f>RIGHT(H207,LEN(H207)-4)/10000</f>
        <v>2.3304</v>
      </c>
      <c r="AA207" s="247">
        <f>ABS(Z207-Y207)</f>
        <v>2.2764000000000002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309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 &amp; 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/stypes="app*4042*20180102*" /stext=" 08:.+((SYSTEM_STATE.+slice.+state.+changed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32"/>
        <v>"%USERPROFILE%\Documents\GitHub\eaglep3\Utilities\RefineRTDCRunTimes.py" --tripid 309-01 --locoid 4042 --swversion DE.1.0.9.0 --startMP 204:540 --initTime 2018-01-02T01:37:51 --startdatetime 2018-01-02T01:39:44 --delay 50 --endMP 300:23304 --enddatetime 2018-01-02T01:53:50 --enforcementcount 0 &gt;&gt;%USERPROFILE%\Documents\GitHub\eaglep3-reporting\EC\2018-01-01-refined-times.txt</v>
      </c>
      <c r="AI207" s="238" t="str">
        <f t="shared" si="33"/>
        <v>echo {"issue":{"subject":"","project_id":79,"tracker_id":40,"status_id":1,"priority_id":2,"assigned_to_id":338,"start_date":"2018-01-02","description":"","custom_fields":[{"id":1,"name":"Subdivision","value":"Other"},{"id":4,"name":"Milepost","value":"2.3304"},{"id":17,"name":"Train ID","value":"309-01"},{"id":16,"name":"Locomotive ID","value":"4042"},{"id":130,"name":"Impact","value":""},{"id":150,"name":"Time of Event (Mountain Time)","value":"01:53:50"},{"id":151,"name":"Denver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34"/>
        <v>start /low /b %USERPROFILE%\Documents\GitHub\eaglep3\Utilities\DownloadLogsFromS3.py --loco 4042 --day 2018-01-02</v>
      </c>
      <c r="AN207" s="241" t="str">
        <f t="shared" si="35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6"/>
        <v>https://d0f6bd738d7f1b3e5a7ca70fe4ff75f0.us-east-1.aws.found.io/app/kibana#/discover/Steve-Slow-Train-Analysis-(2080s-and-2083s)?_g=(refreshInterval:(display:Off,pause:!f,section:0,value:0),time:(from:'2018-01-02T00:37:51-0700',mode:absolute,to:'2018-01-02T02:53:50-0700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696</v>
      </c>
      <c r="B208" s="225">
        <v>4011</v>
      </c>
      <c r="C208" s="227" t="s">
        <v>192</v>
      </c>
      <c r="D208" s="227" t="s">
        <v>1029</v>
      </c>
      <c r="E208" s="226">
        <v>43101.199421296296</v>
      </c>
      <c r="F208" s="226">
        <v>43101.202916666669</v>
      </c>
      <c r="G208" s="225">
        <v>105</v>
      </c>
      <c r="H208" s="227" t="s">
        <v>991</v>
      </c>
      <c r="I208" s="226">
        <v>43101.208425925928</v>
      </c>
      <c r="J208" s="225">
        <v>0</v>
      </c>
      <c r="K208" s="237" t="str">
        <f>IF(ISEVEN(B208),(B208-1)&amp;"/"&amp;B208,B208&amp;"/"&amp;(B208+1))</f>
        <v>4011/4012</v>
      </c>
      <c r="L208" s="245" t="str">
        <f>VLOOKUP(A208,'Trips&amp;Operators'!$C$1:$G$99911,5,FALSE)</f>
        <v>DAVIDSON DAVID</v>
      </c>
      <c r="M208" s="224">
        <f>I208-F208</f>
        <v>5.5092592592700385E-3</v>
      </c>
      <c r="N208" s="225">
        <f>24*60*SUM($M208:$M208)</f>
        <v>7.9333333333488554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-01T03:47:10-0700',mode:absolute,to:'2018-01-01T06:00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2.2866</v>
      </c>
      <c r="Z208" s="247">
        <f>RIGHT(H208,LEN(H208)-4)/10000</f>
        <v>2.2100000000000002E-2</v>
      </c>
      <c r="AA208" s="247">
        <f>ABS(Z208-Y208)</f>
        <v>2.2645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310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/stypes="app*4011*20180101*" /stext=" 12:.+((SYSTEM_STATE.+slice.+state.+changed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32"/>
        <v>"%USERPROFILE%\Documents\GitHub\eaglep3\Utilities\RefineRTDCRunTimes.py" --tripid 310-01 --locoid 4011 --swversion DE.1.0.9.0 --startMP 300:22866 --initTime 2018-01-01T04:47:10 --startdatetime 2018-01-01T04:52:12 --delay 105 --endMP 204:221 --enddatetime 2018-01-01T05:00:08 --enforcementcount 0 &gt;&gt;%USERPROFILE%\Documents\GitHub\eaglep3-reporting\EC\2018-01-01-refined-times.txt</v>
      </c>
      <c r="AI208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{"issue":{"subject":"","project_id":79,"tracker_id":40,"status_id":1,"priority_id":2,"assigned_to_id":338,"start_date":"2018-01-01","description":"","custom_fields":[{"id":1,"name":"Subdivision","value":"Other"},{"id":4,"name":"Milepost","value":"0.0221"},{"id":17,"name":"Train ID","value":"310-01"},{"id":16,"name":"Locomotive ID","value":"4011"},{"id":130,"name":"Impact","value":""},{"id":150,"name":"Time of Event (Mountain Time)","value":"05:00:08"},{"id":151,"name":"Denver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34"/>
        <v>start /low /b %USERPROFILE%\Documents\GitHub\eaglep3\Utilities\DownloadLogsFromS3.py --loco 4011 --day 2018-01-01</v>
      </c>
      <c r="AN208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6"/>
        <v>https://d0f6bd738d7f1b3e5a7ca70fe4ff75f0.us-east-1.aws.found.io/app/kibana#/discover/Steve-Slow-Train-Analysis-(2080s-and-2083s)?_g=(refreshInterval:(display:Off,pause:!f,section:0,value:0),time:(from:'2018-01-01T03:47:10-0700',mode:absolute,to:'2018-01-01T06:00:08-0700'))&amp;_a=(columns:!('Message%20ID',Summary),filters:!(),index:'emp_*',interval:auto,query:(query_string:(analyze_wildcard:!t,query:'%22rtdc.l.rtdc.4011%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704</v>
      </c>
      <c r="B209" s="225">
        <v>4009</v>
      </c>
      <c r="C209" s="227" t="s">
        <v>192</v>
      </c>
      <c r="D209" s="227" t="s">
        <v>1030</v>
      </c>
      <c r="E209" s="226">
        <v>43101.22383101852</v>
      </c>
      <c r="F209" s="226">
        <v>43101.227812500001</v>
      </c>
      <c r="G209" s="225">
        <v>75</v>
      </c>
      <c r="H209" s="227" t="s">
        <v>647</v>
      </c>
      <c r="I209" s="226">
        <v>43101.232812499999</v>
      </c>
      <c r="J209" s="225">
        <v>0</v>
      </c>
      <c r="K209" s="237" t="str">
        <f>IF(ISEVEN(B209),(B209-1)&amp;"/"&amp;B209,B209&amp;"/"&amp;(B209+1))</f>
        <v>4009/4010</v>
      </c>
      <c r="L209" s="245" t="str">
        <f>VLOOKUP(A209,'Trips&amp;Operators'!$C$1:$G$99911,5,FALSE)</f>
        <v>LAMAR NEKESHA</v>
      </c>
      <c r="M209" s="224">
        <f>I209-F209</f>
        <v>4.9999999973806553E-3</v>
      </c>
      <c r="N209" s="225">
        <f>24*60*SUM($M209:$M209)</f>
        <v>7.1999999962281436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-01T04:22:19-0700',mode:absolute,to:'2018-01-01T06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2</v>
      </c>
      <c r="Y209" s="247">
        <f>RIGHT(D209,LEN(D209)-4)/10000</f>
        <v>2.2235999999999998</v>
      </c>
      <c r="Z209" s="247">
        <f>RIGHT(H209,LEN(H209)-4)/10000</f>
        <v>1.7399999999999999E-2</v>
      </c>
      <c r="AA209" s="247">
        <f>ABS(Z209-Y209)</f>
        <v>2.2061999999999999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312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/stypes="app*4009*20180101*" /stext=" 12:.+((SYSTEM_STATE.+slice.+state.+changed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32"/>
        <v>"%USERPROFILE%\Documents\GitHub\eaglep3\Utilities\RefineRTDCRunTimes.py" --tripid 312-01 --locoid 4009 --swversion DE.1.0.9.0 --startMP 300:22236 --initTime 2018-01-01T05:22:19 --startdatetime 2018-01-01T05:28:03 --delay 75 --endMP 204:174 --enddatetime 2018-01-01T05:35:15 --enforcementcount 0 &gt;&gt;%USERPROFILE%\Documents\GitHub\eaglep3-reporting\EC\2018-01-01-refined-times.txt</v>
      </c>
      <c r="AI209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{"issue":{"subject":"","project_id":79,"tracker_id":40,"status_id":1,"priority_id":2,"assigned_to_id":338,"start_date":"2018-01-01","description":"","custom_fields":[{"id":1,"name":"Subdivision","value":"Other"},{"id":4,"name":"Milepost","value":"0.0174"},{"id":17,"name":"Train ID","value":"312-01"},{"id":16,"name":"Locomotive ID","value":"4009"},{"id":130,"name":"Impact","value":""},{"id":150,"name":"Time of Event (Mountain Time)","value":"05:35:15"},{"id":151,"name":"Denver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34"/>
        <v>start /low /b %USERPROFILE%\Documents\GitHub\eaglep3\Utilities\DownloadLogsFromS3.py --loco 4009 --day 2018-01-01</v>
      </c>
      <c r="AN209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36"/>
        <v>https://d0f6bd738d7f1b3e5a7ca70fe4ff75f0.us-east-1.aws.found.io/app/kibana#/discover/Steve-Slow-Train-Analysis-(2080s-and-2083s)?_g=(refreshInterval:(display:Off,pause:!f,section:0,value:0),time:(from:'2018-01-01T04:22:19-0700',mode:absolute,to:'2018-01-01T06:35:15-0700'))&amp;_a=(columns:!('Message%20ID',Summary),filters:!(),index:'emp_*',interval:auto,query:(query_string:(analyze_wildcard:!t,query:'%22rtdc.l.rtdc.4009%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700</v>
      </c>
      <c r="B210" s="225">
        <v>4056</v>
      </c>
      <c r="C210" s="227" t="s">
        <v>192</v>
      </c>
      <c r="D210" s="227" t="s">
        <v>982</v>
      </c>
      <c r="E210" s="226">
        <v>43101.21607638889</v>
      </c>
      <c r="F210" s="226">
        <v>43101.219409722224</v>
      </c>
      <c r="G210" s="225">
        <v>79</v>
      </c>
      <c r="H210" s="227" t="s">
        <v>640</v>
      </c>
      <c r="I210" s="226">
        <v>43101.224861111114</v>
      </c>
      <c r="J210" s="225">
        <v>0</v>
      </c>
      <c r="K210" s="237" t="str">
        <f>IF(ISEVEN(B210),(B210-1)&amp;"/"&amp;B210,B210&amp;"/"&amp;(B210+1))</f>
        <v>4055/4056</v>
      </c>
      <c r="L210" s="245" t="str">
        <f>VLOOKUP(A210,'Trips&amp;Operators'!$C$1:$G$99911,5,FALSE)</f>
        <v>YANAI IAN</v>
      </c>
      <c r="M210" s="224">
        <f>I210-F210</f>
        <v>5.4513888899236917E-3</v>
      </c>
      <c r="N210" s="225">
        <f>24*60*SUM($M210:$M210)</f>
        <v>7.8500000014901161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-01T04:11:09-0700',mode:absolute,to:'2018-01-01T06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1589</v>
      </c>
      <c r="Y210" s="247">
        <f>RIGHT(D210,LEN(D210)-4)/10000</f>
        <v>2.9704000000000002</v>
      </c>
      <c r="Z210" s="247">
        <f>RIGHT(H210,LEN(H210)-4)/10000</f>
        <v>5.8925999999999998</v>
      </c>
      <c r="AA210" s="247">
        <f>ABS(Z210-Y210)</f>
        <v>2.9221999999999997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1901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/stypes="app*4056*20180101*" /stext=" 12:.+((SYSTEM_STATE.+slice.+state.+changed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32"/>
        <v>"%USERPROFILE%\Documents\GitHub\eaglep3\Utilities\RefineRTDCRunTimes.py" --tripid 1901-01 --locoid 4056 --swversion DE.1.0.9.0 --startMP 300:29704 --initTime 2018-01-01T05:11:09 --startdatetime 2018-01-01T05:15:57 --delay 79 --endMP 300:58926 --enddatetime 2018-01-01T05:23:48 --enforcementcount 0 &gt;&gt;%USERPROFILE%\Documents\GitHub\eaglep3-reporting\EC\2018-01-01-refined-times.txt</v>
      </c>
      <c r="AI210" s="238" t="str">
        <f t="shared" si="33"/>
        <v>echo {"issue":{"subject":"","project_id":79,"tracker_id":40,"status_id":1,"priority_id":2,"assigned_to_id":338,"start_date":"2018-01-01","description":"","custom_fields":[{"id":1,"name":"Subdivision","value":"Other"},{"id":4,"name":"Milepost","value":"5.8926"},{"id":17,"name":"Train ID","value":"1901-01"},{"id":16,"name":"Locomotive ID","value":"4056"},{"id":130,"name":"Impact","value":""},{"id":150,"name":"Time of Event (Mountain Time)","value":"05:23:48"},{"id":151,"name":"Denver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34"/>
        <v>start /low /b %USERPROFILE%\Documents\GitHub\eaglep3\Utilities\DownloadLogsFromS3.py --loco 4056 --day 2018-01-01</v>
      </c>
      <c r="AN210" s="241" t="str">
        <f t="shared" si="35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36"/>
        <v>https://d0f6bd738d7f1b3e5a7ca70fe4ff75f0.us-east-1.aws.found.io/app/kibana#/discover/Steve-Slow-Train-Analysis-(2080s-and-2083s)?_g=(refreshInterval:(display:Off,pause:!f,section:0,value:0),time:(from:'2018-01-01T04:11:09-0700',mode:absolute,to:'2018-01-01T06:23:48-0700'))&amp;_a=(columns:!('Message%20ID',Summary),filters:!(),index:'emp_*',interval:auto,query:(query_string:(analyze_wildcard:!t,query:'%22rtdc.l.rtdc.4056%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873</v>
      </c>
      <c r="B211" s="225">
        <v>4055</v>
      </c>
      <c r="C211" s="227" t="s">
        <v>192</v>
      </c>
      <c r="D211" s="227" t="s">
        <v>939</v>
      </c>
      <c r="E211" s="226">
        <v>43101.974004629628</v>
      </c>
      <c r="F211" s="226">
        <v>43101.975324074076</v>
      </c>
      <c r="G211" s="225">
        <v>71</v>
      </c>
      <c r="H211" s="227" t="s">
        <v>983</v>
      </c>
      <c r="I211" s="226">
        <v>43101.981400462966</v>
      </c>
      <c r="J211" s="225">
        <v>0</v>
      </c>
      <c r="K211" s="237" t="str">
        <f>IF(ISEVEN(B211),(B211-1)&amp;"/"&amp;B211,B211&amp;"/"&amp;(B211+1))</f>
        <v>4055/4056</v>
      </c>
      <c r="L211" s="245" t="str">
        <f>VLOOKUP(A211,'Trips&amp;Operators'!$C$1:$G$99911,5,FALSE)</f>
        <v>STAMBAUGH JAMES</v>
      </c>
      <c r="M211" s="224">
        <f>I211-F211</f>
        <v>6.0763888905057684E-3</v>
      </c>
      <c r="N211" s="225">
        <f>24*60*SUM($M211:$M211)</f>
        <v>8.7500000023283064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-01T22:22:34-0700',mode:absolute,to:'2018-01-02T00:33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5.8609</v>
      </c>
      <c r="Z211" s="247">
        <f>RIGHT(H211,LEN(H211)-4)/10000</f>
        <v>2.8774000000000002</v>
      </c>
      <c r="AA211" s="247">
        <f>ABS(Z211-Y211)</f>
        <v>2.9834999999999998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1902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/stypes="app*4055*20180102*" /stext=" 06:.+((SYSTEM_STATE.+slice.+state.+changed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ref="AH211:AH222" si="49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1902-01 --locoid 4055 --swversion DE.1.0.9.0 --startMP 300:58609 --initTime 2018-01-01T23:22:34 --startdatetime 2018-01-01T23:24:28 --delay 71 --endMP 300:28774 --enddatetime 2018-01-01T23:33:13 --enforcementcount 0 &gt;&gt;%USERPROFILE%\Documents\GitHub\eaglep3-reporting\EC\2018-01-01-refined-times.txt</v>
      </c>
      <c r="AI211" s="238" t="str">
        <f t="shared" ref="AI211:AI222" si="50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{"issue":{"subject":"","project_id":79,"tracker_id":40,"status_id":1,"priority_id":2,"assigned_to_id":338,"start_date":"2018-01-01","description":"","custom_fields":[{"id":1,"name":"Subdivision","value":"Other"},{"id":4,"name":"Milepost","value":"2.8774"},{"id":17,"name":"Train ID","value":"1902-01"},{"id":16,"name":"Locomotive ID","value":"4055"},{"id":130,"name":"Impact","value":""},{"id":150,"name":"Time of Event (Mountain Time)","value":"23:33:13"},{"id":151,"name":"Denver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ref="AM211:AM222" si="51">"start /low /b "&amp;dls3logs&amp;" --loco "&amp;B211&amp;" --day "&amp;TEXT(F211,"YYYY-MM-DD")</f>
        <v>start /low /b %USERPROFILE%\Documents\GitHub\eaglep3\Utilities\DownloadLogsFromS3.py --loco 4055 --day 2018-01-01</v>
      </c>
      <c r="AN211" s="241" t="str">
        <f t="shared" ref="AN211:AN222" si="52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06:33:13"},{"id":29,"name":"Sharepoint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:AO222" si="53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-01T22:22:34-0700',mode:absolute,to:'2018-01-02T00:33:13-0700'))&amp;_a=(columns:!('Message%20ID',Summary),filters:!(),index:'emp_*',interval:auto,query:(query_string:(analyze_wildcard:!t,query:'%22rtdc.l.rtdc.4055%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679</v>
      </c>
      <c r="B212" s="225">
        <v>4022</v>
      </c>
      <c r="C212" s="227" t="s">
        <v>192</v>
      </c>
      <c r="D212" s="227" t="s">
        <v>540</v>
      </c>
      <c r="E212" s="226">
        <v>43101.127013888887</v>
      </c>
      <c r="F212" s="226">
        <v>43101.137870370374</v>
      </c>
      <c r="G212" s="225">
        <v>92</v>
      </c>
      <c r="H212" s="227" t="s">
        <v>1031</v>
      </c>
      <c r="I212" s="226">
        <v>43101.138854166667</v>
      </c>
      <c r="J212" s="225">
        <v>0</v>
      </c>
      <c r="K212" s="237" t="str">
        <f>IF(ISEVEN(B212),(B212-1)&amp;"/"&amp;B212,B212&amp;"/"&amp;(B212+1))</f>
        <v>4021/4022</v>
      </c>
      <c r="L212" s="245" t="str">
        <f>VLOOKUP(A212,'Trips&amp;Operators'!$C$1:$G$99911,5,FALSE)</f>
        <v>HELVIE ADAM</v>
      </c>
      <c r="M212" s="224">
        <f>I212-F212</f>
        <v>9.8379629343980923E-4</v>
      </c>
      <c r="N212" s="225">
        <f>24*60*SUM($M212:$M212)</f>
        <v>1.4166666625533253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-01T02:02:54-0700',mode:absolute,to:'2018-01-01T04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-1851</v>
      </c>
      <c r="Y212" s="247">
        <f>RIGHT(D212,LEN(D212)-4)/10000</f>
        <v>4.53E-2</v>
      </c>
      <c r="Z212" s="247">
        <f>RIGHT(H212,LEN(H212)-4)/10000</f>
        <v>0.3483</v>
      </c>
      <c r="AA212" s="247">
        <f>ABS(Z212-Y212)</f>
        <v>0.30299999999999999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/stypes="app*4022*20180101*"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49"/>
        <v>"%USERPROFILE%\Documents\GitHub\eaglep3\Utilities\RefineRTDCRunTimes.py" --tripid 51-01 --locoid 4022 --swversion DE.1.0.9.0 --startMP 204:453 --initTime 2018-01-01T03:02:54 --startdatetime 2018-01-01T03:18:32 --delay 92 --endMP 204:3483 --enddatetime 2018-01-01T03:19:57 --enforcementcount 0 &gt;&gt;%USERPROFILE%\Documents\GitHub\eaglep3-reporting\EC\2018-01-01-refined-times.txt</v>
      </c>
      <c r="AI212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0.3483"},{"id":17,"name":"Train ID","value":"51-01"},{"id":16,"name":"Locomotive ID","value":"4022"},{"id":130,"name":"Impact","value":""},{"id":150,"name":"Time of Event (Mountain Time)","value":"03:19:57"},{"id":151,"name":"Denver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51"/>
        <v>start /low /b %USERPROFILE%\Documents\GitHub\eaglep3\Utilities\DownloadLogsFromS3.py --loco 4022 --day 2018-01-01</v>
      </c>
      <c r="AN212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3"/>
        <v>https://d0f6bd738d7f1b3e5a7ca70fe4ff75f0.us-east-1.aws.found.io/app/kibana#/discover/Steve-Slow-Train-Analysis-(2080s-and-2083s)?_g=(refreshInterval:(display:Off,pause:!f,section:0,value:0),time:(from:'2018-01-01T02:02:54-0700',mode:absolute,to:'2018-01-01T04:19:57-0700'))&amp;_a=(columns:!('Message%20ID',Summary),filters:!(),index:'emp_*',interval:auto,query:(query_string:(analyze_wildcard:!t,query:'%22rtdc.l.rtdc.4022%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679</v>
      </c>
      <c r="B213" s="225">
        <v>4022</v>
      </c>
      <c r="C213" s="227" t="s">
        <v>192</v>
      </c>
      <c r="D213" s="227" t="s">
        <v>1032</v>
      </c>
      <c r="E213" s="226">
        <v>43101.417557870373</v>
      </c>
      <c r="F213" s="226">
        <v>43101.423101851855</v>
      </c>
      <c r="G213" s="225">
        <v>58</v>
      </c>
      <c r="H213" s="227" t="s">
        <v>1033</v>
      </c>
      <c r="I213" s="226">
        <v>43101.424375000002</v>
      </c>
      <c r="J213" s="225">
        <v>0</v>
      </c>
      <c r="K213" s="237" t="str">
        <f>IF(ISEVEN(B213),(B213-1)&amp;"/"&amp;B213,B213&amp;"/"&amp;(B213+1))</f>
        <v>4021/4022</v>
      </c>
      <c r="L213" s="245" t="str">
        <f>VLOOKUP(A213,'Trips&amp;Operators'!$C$1:$G$99911,5,FALSE)</f>
        <v>HELVIE ADAM</v>
      </c>
      <c r="M213" s="224">
        <f>I213-F213</f>
        <v>1.2731481474475004E-3</v>
      </c>
      <c r="N213" s="225">
        <f>24*60*SUM($M213:$M213)</f>
        <v>1.8333333323244005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-01T09:01:17-0700',mode:absolute,to:'2018-01-01T11:11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0</v>
      </c>
      <c r="Y213" s="247">
        <f>RIGHT(D213,LEN(D213)-4)/10000</f>
        <v>0.1479</v>
      </c>
      <c r="Z213" s="247">
        <f>RIGHT(H213,LEN(H213)-4)/10000</f>
        <v>0.33950000000000002</v>
      </c>
      <c r="AA213" s="247">
        <f>ABS(Z213-Y213)</f>
        <v>0.19160000000000002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51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/stypes="app*4022*20180101*" /stext=" 17:.+((SYSTEM_STATE.+slice.+state.+changed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49"/>
        <v>"%USERPROFILE%\Documents\GitHub\eaglep3\Utilities\RefineRTDCRunTimes.py" --tripid 51-01 --locoid 4022 --swversion DE.1.0.9.0 --startMP 204:1479 --initTime 2018-01-01T10:01:17 --startdatetime 2018-01-01T10:09:16 --delay 58 --endMP 204:3395 --enddatetime 2018-01-01T10:11:06 --enforcementcount 0 &gt;&gt;%USERPROFILE%\Documents\GitHub\eaglep3-reporting\EC\2018-01-01-refined-times.txt</v>
      </c>
      <c r="AI213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0.3395"},{"id":17,"name":"Train ID","value":"51-01"},{"id":16,"name":"Locomotive ID","value":"4022"},{"id":130,"name":"Impact","value":""},{"id":150,"name":"Time of Event (Mountain Time)","value":"10:11:06"},{"id":151,"name":"Denver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51"/>
        <v>start /low /b %USERPROFILE%\Documents\GitHub\eaglep3\Utilities\DownloadLogsFromS3.py --loco 4022 --day 2018-01-01</v>
      </c>
      <c r="AN213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53"/>
        <v>https://d0f6bd738d7f1b3e5a7ca70fe4ff75f0.us-east-1.aws.found.io/app/kibana#/discover/Steve-Slow-Train-Analysis-(2080s-and-2083s)?_g=(refreshInterval:(display:Off,pause:!f,section:0,value:0),time:(from:'2018-01-01T09:01:17-0700',mode:absolute,to:'2018-01-01T11:11:06-0700'))&amp;_a=(columns:!('Message%20ID',Summary),filters:!(),index:'emp_*',interval:auto,query:(query_string:(analyze_wildcard:!t,query:'%22rtdc.l.rtdc.4022%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679</v>
      </c>
      <c r="B214" s="225">
        <v>4021</v>
      </c>
      <c r="C214" s="227" t="s">
        <v>192</v>
      </c>
      <c r="D214" s="227" t="s">
        <v>1034</v>
      </c>
      <c r="E214" s="226">
        <v>43101.421944444446</v>
      </c>
      <c r="F214" s="226">
        <v>43101.423101851855</v>
      </c>
      <c r="G214" s="225">
        <v>48</v>
      </c>
      <c r="H214" s="227" t="s">
        <v>654</v>
      </c>
      <c r="I214" s="226">
        <v>43101.424375000002</v>
      </c>
      <c r="J214" s="225">
        <v>0</v>
      </c>
      <c r="K214" s="237" t="str">
        <f>IF(ISEVEN(B214),(B214-1)&amp;"/"&amp;B214,B214&amp;"/"&amp;(B214+1))</f>
        <v>4021/4022</v>
      </c>
      <c r="L214" s="245" t="str">
        <f>VLOOKUP(A214,'Trips&amp;Operators'!$C$1:$G$99911,5,FALSE)</f>
        <v>HELVIE ADAM</v>
      </c>
      <c r="M214" s="224">
        <f>I214-F214</f>
        <v>1.2731481474475004E-3</v>
      </c>
      <c r="N214" s="225">
        <f>24*60*SUM($M214:$M214)</f>
        <v>1.8333333323244005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-01T09:07:36-0700',mode:absolute,to:'2018-01-01T11:11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0</v>
      </c>
      <c r="Y214" s="247">
        <f>RIGHT(D214,LEN(D214)-4)/10000</f>
        <v>0.3075</v>
      </c>
      <c r="Z214" s="247">
        <f>RIGHT(H214,LEN(H214)-4)/10000</f>
        <v>1.4500000000000001E-2</v>
      </c>
      <c r="AA214" s="247">
        <f>ABS(Z214-Y214)</f>
        <v>0.29299999999999998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51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/stypes="app*4021*20180101*" /stext=" 17:.+((SYSTEM_STATE.+slice.+state.+changed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49"/>
        <v>"%USERPROFILE%\Documents\GitHub\eaglep3\Utilities\RefineRTDCRunTimes.py" --tripid 51-01 --locoid 4021 --swversion DE.1.0.9.0 --startMP 204:3075 --initTime 2018-01-01T10:07:36 --startdatetime 2018-01-01T10:09:16 --delay 48 --endMP 204:145 --enddatetime 2018-01-01T10:11:06 --enforcementcount 0 &gt;&gt;%USERPROFILE%\Documents\GitHub\eaglep3-reporting\EC\2018-01-01-refined-times.txt</v>
      </c>
      <c r="AI214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0.0145"},{"id":17,"name":"Train ID","value":"51-01"},{"id":16,"name":"Locomotive ID","value":"4021"},{"id":130,"name":"Impact","value":""},{"id":150,"name":"Time of Event (Mountain Time)","value":"10:11:06"},{"id":151,"name":"Denver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51"/>
        <v>start /low /b %USERPROFILE%\Documents\GitHub\eaglep3\Utilities\DownloadLogsFromS3.py --loco 4021 --day 2018-01-01</v>
      </c>
      <c r="AN214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53"/>
        <v>https://d0f6bd738d7f1b3e5a7ca70fe4ff75f0.us-east-1.aws.found.io/app/kibana#/discover/Steve-Slow-Train-Analysis-(2080s-and-2083s)?_g=(refreshInterval:(display:Off,pause:!f,section:0,value:0),time:(from:'2018-01-01T09:07:36-0700',mode:absolute,to:'2018-01-01T11:11:06-0700'))&amp;_a=(columns:!('Message%20ID',Summary),filters:!(),index:'emp_*',interval:auto,query:(query_string:(analyze_wildcard:!t,query:'%22rtdc.l.rtdc.4021%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683</v>
      </c>
      <c r="B215" s="225">
        <v>4021</v>
      </c>
      <c r="C215" s="227" t="s">
        <v>192</v>
      </c>
      <c r="D215" s="227" t="s">
        <v>1035</v>
      </c>
      <c r="E215" s="226">
        <v>43101.139641203707</v>
      </c>
      <c r="F215" s="226">
        <v>43101.141076388885</v>
      </c>
      <c r="G215" s="225">
        <v>74</v>
      </c>
      <c r="H215" s="227" t="s">
        <v>1036</v>
      </c>
      <c r="I215" s="226">
        <v>43101.14230324074</v>
      </c>
      <c r="J215" s="225">
        <v>0</v>
      </c>
      <c r="K215" s="237" t="str">
        <f>IF(ISEVEN(B215),(B215-1)&amp;"/"&amp;B215,B215&amp;"/"&amp;(B215+1))</f>
        <v>4021/4022</v>
      </c>
      <c r="L215" s="245" t="str">
        <f>VLOOKUP(A215,'Trips&amp;Operators'!$C$1:$G$99911,5,FALSE)</f>
        <v>HELVIE ADAM</v>
      </c>
      <c r="M215" s="224">
        <f>I215-F215</f>
        <v>1.2268518548808061E-3</v>
      </c>
      <c r="N215" s="225">
        <f>24*60*SUM($M215:$M215)</f>
        <v>1.7666666710283607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-01T02:21:05-0700',mode:absolute,to:'2018-01-01T04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0.3155</v>
      </c>
      <c r="Z215" s="247">
        <f>RIGHT(H215,LEN(H215)-4)/10000</f>
        <v>0.1152</v>
      </c>
      <c r="AA215" s="247">
        <f>ABS(Z215-Y215)</f>
        <v>0.20030000000000001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52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/stypes="app*4021*20180101*" /stext=" 10:.+((SYSTEM_STATE.+slice.+state.+changed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49"/>
        <v>"%USERPROFILE%\Documents\GitHub\eaglep3\Utilities\RefineRTDCRunTimes.py" --tripid 52-01 --locoid 4021 --swversion DE.1.0.9.0 --startMP 204:3155 --initTime 2018-01-01T03:21:05 --startdatetime 2018-01-01T03:23:09 --delay 74 --endMP 204:1152 --enddatetime 2018-01-01T03:24:55 --enforcementcount 0 &gt;&gt;%USERPROFILE%\Documents\GitHub\eaglep3-reporting\EC\2018-01-01-refined-times.txt</v>
      </c>
      <c r="AI215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0.1152"},{"id":17,"name":"Train ID","value":"52-01"},{"id":16,"name":"Locomotive ID","value":"4021"},{"id":130,"name":"Impact","value":""},{"id":150,"name":"Time of Event (Mountain Time)","value":"03:24:55"},{"id":151,"name":"Denver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51"/>
        <v>start /low /b %USERPROFILE%\Documents\GitHub\eaglep3\Utilities\DownloadLogsFromS3.py --loco 4021 --day 2018-01-01</v>
      </c>
      <c r="AN215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53"/>
        <v>https://d0f6bd738d7f1b3e5a7ca70fe4ff75f0.us-east-1.aws.found.io/app/kibana#/discover/Steve-Slow-Train-Analysis-(2080s-and-2083s)?_g=(refreshInterval:(display:Off,pause:!f,section:0,value:0),time:(from:'2018-01-01T02:21:05-0700',mode:absolute,to:'2018-01-01T04:24:55-0700'))&amp;_a=(columns:!('Message%20ID',Summary),filters:!(),index:'emp_*',interval:auto,query:(query_string:(analyze_wildcard:!t,query:'%22rtdc.l.rtdc.4021%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761</v>
      </c>
      <c r="B216" s="225">
        <v>4012</v>
      </c>
      <c r="C216" s="227" t="s">
        <v>192</v>
      </c>
      <c r="D216" s="227" t="s">
        <v>1037</v>
      </c>
      <c r="E216" s="226">
        <v>43101.43509259259</v>
      </c>
      <c r="F216" s="226">
        <v>43101.439421296294</v>
      </c>
      <c r="G216" s="225">
        <v>65</v>
      </c>
      <c r="H216" s="227" t="s">
        <v>653</v>
      </c>
      <c r="I216" s="226">
        <v>43101.446585648147</v>
      </c>
      <c r="J216" s="225">
        <v>0</v>
      </c>
      <c r="K216" s="237" t="str">
        <f>IF(ISEVEN(B216),(B216-1)&amp;"/"&amp;B216,B216&amp;"/"&amp;(B216+1))</f>
        <v>4011/4012</v>
      </c>
      <c r="L216" s="245" t="str">
        <f>VLOOKUP(A216,'Trips&amp;Operators'!$C$1:$G$99911,5,FALSE)</f>
        <v>BEAM ROSS</v>
      </c>
      <c r="M216" s="224">
        <f>I216-F216</f>
        <v>7.1643518531345762E-3</v>
      </c>
      <c r="N216" s="225">
        <f>24*60*SUM($M216:$M216)</f>
        <v>10.31666666851379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-01T09:26:32-0700',mode:absolute,to:'2018-01-01T11:43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0.1236</v>
      </c>
      <c r="Z216" s="247">
        <f>RIGHT(H216,LEN(H216)-4)/10000</f>
        <v>2.3300999999999998</v>
      </c>
      <c r="AA216" s="247">
        <f>ABS(Z216-Y216)</f>
        <v>2.2064999999999997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53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/stypes="app*4012*20180101*" /stext=" 17:.+((SYSTEM_STATE.+slice.+state.+changed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49"/>
        <v>"%USERPROFILE%\Documents\GitHub\eaglep3\Utilities\RefineRTDCRunTimes.py" --tripid 53-01 --locoid 4012 --swversion DE.1.0.9.0 --startMP 204:1236 --initTime 2018-01-01T10:26:32 --startdatetime 2018-01-01T10:32:46 --delay 65 --endMP 300:23301 --enddatetime 2018-01-01T10:43:05 --enforcementcount 0 &gt;&gt;%USERPROFILE%\Documents\GitHub\eaglep3-reporting\EC\2018-01-01-refined-times.txt</v>
      </c>
      <c r="AI216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2.3301"},{"id":17,"name":"Train ID","value":"53-01"},{"id":16,"name":"Locomotive ID","value":"4012"},{"id":130,"name":"Impact","value":""},{"id":150,"name":"Time of Event (Mountain Time)","value":"10:43:05"},{"id":151,"name":"Denver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51"/>
        <v>start /low /b %USERPROFILE%\Documents\GitHub\eaglep3\Utilities\DownloadLogsFromS3.py --loco 4012 --day 2018-01-01</v>
      </c>
      <c r="AN216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17:43:05"},{"id":29,"name":"Sharepoint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53"/>
        <v>https://d0f6bd738d7f1b3e5a7ca70fe4ff75f0.us-east-1.aws.found.io/app/kibana#/discover/Steve-Slow-Train-Analysis-(2080s-and-2083s)?_g=(refreshInterval:(display:Off,pause:!f,section:0,value:0),time:(from:'2018-01-01T09:26:32-0700',mode:absolute,to:'2018-01-01T11:43:05-0700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766</v>
      </c>
      <c r="B217" s="225">
        <v>4059</v>
      </c>
      <c r="C217" s="227" t="s">
        <v>192</v>
      </c>
      <c r="D217" s="227" t="s">
        <v>1038</v>
      </c>
      <c r="E217" s="226">
        <v>43101.454386574071</v>
      </c>
      <c r="F217" s="226">
        <v>43101.457002314812</v>
      </c>
      <c r="G217" s="225">
        <v>63</v>
      </c>
      <c r="H217" s="227" t="s">
        <v>1039</v>
      </c>
      <c r="I217" s="226">
        <v>43101.461886574078</v>
      </c>
      <c r="J217" s="225">
        <v>0</v>
      </c>
      <c r="K217" s="237" t="str">
        <f>IF(ISEVEN(B217),(B217-1)&amp;"/"&amp;B217,B217&amp;"/"&amp;(B217+1))</f>
        <v>4059/4060</v>
      </c>
      <c r="L217" s="245" t="str">
        <f>VLOOKUP(A217,'Trips&amp;Operators'!$C$1:$G$99911,5,FALSE)</f>
        <v>BEAM ROSS</v>
      </c>
      <c r="M217" s="224">
        <f>I217-F217</f>
        <v>4.8842592659639195E-3</v>
      </c>
      <c r="N217" s="225">
        <f>24*60*SUM($M217:$M217)</f>
        <v>7.033333342988044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-01T09:54:19-0700',mode:absolute,to:'2018-01-01T12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2.2155</v>
      </c>
      <c r="Z217" s="247">
        <f>RIGHT(H217,LEN(H217)-4)/10000</f>
        <v>0.11600000000000001</v>
      </c>
      <c r="AA217" s="247">
        <f>ABS(Z217-Y217)</f>
        <v>2.0994999999999999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54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s3://rtdc.mdm.uploadarchive.raw/RTDC4059/ "%USERPROFILE%\AppData\Local\Temp\OnboardLogs"\RTDC4059\2018-01-01 --exclude "*" --recursive --include "*20180101*" &amp; "%USERPROFILE%\Documents\GitHub\mrs-test-scripts\Headless Mode &amp; Sideloading\WalkAndUnGZ.bat" "%USERPROFILE%\AppData\Local\Temp\OnboardLogs"\RTDC4059\2018-01-01 &amp; aws s3 cp s3://rtdc.mdm.uploadarchive.raw/RTDC4059/ "%USERPROFILE%\AppData\Local\Temp\OnboardLogs"\RTDC4059\2018-01-02 --exclude "*" --recursive --include "*20180102*" &amp; "%USERPROFILE%\Documents\GitHub\mrs-test-scripts\Headless Mode &amp; Sideloading\WalkAndUnGZ.bat" "%USERPROFILE%\AppData\Local\Temp\OnboardLogs"\RTDC4059\2018-01-02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/stypes="app*4059*20180101*" /stext=" 18:.+((SYSTEM_STATE.+slice.+state.+changed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49"/>
        <v>"%USERPROFILE%\Documents\GitHub\eaglep3\Utilities\RefineRTDCRunTimes.py" --tripid 54-01 --locoid 4059 --swversion DE.1.0.9.0 --startMP 300:22155 --initTime 2018-01-01T10:54:19 --startdatetime 2018-01-01T10:58:05 --delay 63 --endMP 204:1160 --enddatetime 2018-01-01T11:05:07 --enforcementcount 0 &gt;&gt;%USERPROFILE%\Documents\GitHub\eaglep3-reporting\EC\2018-01-01-refined-times.txt</v>
      </c>
      <c r="AI217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0.116"},{"id":17,"name":"Train ID","value":"54-01"},{"id":16,"name":"Locomotive ID","value":"4059"},{"id":130,"name":"Impact","value":""},{"id":150,"name":"Time of Event (Mountain Time)","value":"11:05:07"},{"id":151,"name":"Denver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51"/>
        <v>start /low /b %USERPROFILE%\Documents\GitHub\eaglep3\Utilities\DownloadLogsFromS3.py --loco 4059 --day 2018-01-01</v>
      </c>
      <c r="AN217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53"/>
        <v>https://d0f6bd738d7f1b3e5a7ca70fe4ff75f0.us-east-1.aws.found.io/app/kibana#/discover/Steve-Slow-Train-Analysis-(2080s-and-2083s)?_g=(refreshInterval:(display:Off,pause:!f,section:0,value:0),time:(from:'2018-01-01T09:54:19-0700',mode:absolute,to:'2018-01-01T12:05:07-0700'))&amp;_a=(columns:!('Message%20ID',Summary),filters:!(),index:'emp_*',interval:auto,query:(query_string:(analyze_wildcard:!t,query:'%22rtdc.l.rtdc.4059%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820</v>
      </c>
      <c r="B218" s="225">
        <v>4050</v>
      </c>
      <c r="C218" s="227" t="s">
        <v>192</v>
      </c>
      <c r="D218" s="227" t="s">
        <v>1040</v>
      </c>
      <c r="E218" s="226">
        <v>43101.680972222224</v>
      </c>
      <c r="F218" s="226">
        <v>43101.68577546296</v>
      </c>
      <c r="G218" s="225">
        <v>64</v>
      </c>
      <c r="H218" s="227" t="s">
        <v>1041</v>
      </c>
      <c r="I218" s="226">
        <v>43101.687118055554</v>
      </c>
      <c r="J218" s="225">
        <v>0</v>
      </c>
      <c r="K218" s="237" t="str">
        <f>IF(ISEVEN(B218),(B218-1)&amp;"/"&amp;B218,B218&amp;"/"&amp;(B218+1))</f>
        <v>4049/4050</v>
      </c>
      <c r="L218" s="245" t="str">
        <f>VLOOKUP(A218,'Trips&amp;Operators'!$C$1:$G$99911,5,FALSE)</f>
        <v>ROBINSON KADDIBA</v>
      </c>
      <c r="M218" s="224">
        <f>I218-F218</f>
        <v>1.3425925935734995E-3</v>
      </c>
      <c r="N218" s="225">
        <f>24*60*SUM($M218:$M218)</f>
        <v>1.9333333347458392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-01T15:20:36-0700',mode:absolute,to:'2018-01-01T17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14</v>
      </c>
      <c r="Y218" s="247">
        <f>RIGHT(D218,LEN(D218)-4)/10000</f>
        <v>0.1143</v>
      </c>
      <c r="Z218" s="247">
        <f>RIGHT(H218,LEN(H218)-4)/10000</f>
        <v>0.4052</v>
      </c>
      <c r="AA218" s="247">
        <f>ABS(Z218-Y218)</f>
        <v>0.29089999999999999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68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/stypes="app*4050*20180101*" /stext=" 23:.+((SYSTEM_STATE.+slice.+state.+changed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49"/>
        <v>"%USERPROFILE%\Documents\GitHub\eaglep3\Utilities\RefineRTDCRunTimes.py" --tripid 68-01 --locoid 4050 --swversion DE.1.0.9.0 --startMP 204:1143 --initTime 2018-01-01T16:20:36 --startdatetime 2018-01-01T16:27:31 --delay 64 --endMP 204:4052 --enddatetime 2018-01-01T16:29:27 --enforcementcount 0 &gt;&gt;%USERPROFILE%\Documents\GitHub\eaglep3-reporting\EC\2018-01-01-refined-times.txt</v>
      </c>
      <c r="AI218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0.4052"},{"id":17,"name":"Train ID","value":"68-01"},{"id":16,"name":"Locomotive ID","value":"4050"},{"id":130,"name":"Impact","value":""},{"id":150,"name":"Time of Event (Mountain Time)","value":"16:29:27"},{"id":151,"name":"Denver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51"/>
        <v>start /low /b %USERPROFILE%\Documents\GitHub\eaglep3\Utilities\DownloadLogsFromS3.py --loco 4050 --day 2018-01-01</v>
      </c>
      <c r="AN218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53"/>
        <v>https://d0f6bd738d7f1b3e5a7ca70fe4ff75f0.us-east-1.aws.found.io/app/kibana#/discover/Steve-Slow-Train-Analysis-(2080s-and-2083s)?_g=(refreshInterval:(display:Off,pause:!f,section:0,value:0),time:(from:'2018-01-01T15:20:36-0700',mode:absolute,to:'2018-01-01T17:29:27-0700'))&amp;_a=(columns:!('Message%20ID',Summary),filters:!(),index:'emp_*',interval:auto,query:(query_string:(analyze_wildcard:!t,query:'%22rtdc.l.rtdc.4050%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820</v>
      </c>
      <c r="B219" s="225">
        <v>4049</v>
      </c>
      <c r="C219" s="227" t="s">
        <v>192</v>
      </c>
      <c r="D219" s="227" t="s">
        <v>1042</v>
      </c>
      <c r="E219" s="226">
        <v>43101.68445601852</v>
      </c>
      <c r="F219" s="226">
        <v>43101.68577546296</v>
      </c>
      <c r="G219" s="225">
        <v>61</v>
      </c>
      <c r="H219" s="227" t="s">
        <v>652</v>
      </c>
      <c r="I219" s="226">
        <v>43101.687118055554</v>
      </c>
      <c r="J219" s="225">
        <v>0</v>
      </c>
      <c r="K219" s="237" t="str">
        <f>IF(ISEVEN(B219),(B219-1)&amp;"/"&amp;B219,B219&amp;"/"&amp;(B219+1))</f>
        <v>4049/4050</v>
      </c>
      <c r="L219" s="245" t="str">
        <f>VLOOKUP(A219,'Trips&amp;Operators'!$C$1:$G$99911,5,FALSE)</f>
        <v>ROBINSON KADDIBA</v>
      </c>
      <c r="M219" s="224">
        <f>I219-F219</f>
        <v>1.3425925935734995E-3</v>
      </c>
      <c r="N219" s="225">
        <f>24*60*SUM($M219:$M219)</f>
        <v>1.9333333347458392</v>
      </c>
      <c r="O219" s="225"/>
      <c r="P219" s="225"/>
      <c r="Q219" s="228"/>
      <c r="R219" s="242"/>
      <c r="S219" s="249">
        <f>1/IF(AG219="EC",12,1)*SUM(U219:U219)</f>
        <v>0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-01T15:25:37-0700',mode:absolute,to:'2018-01-01T17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0</v>
      </c>
      <c r="Y219" s="247">
        <f>RIGHT(D219,LEN(D219)-4)/10000</f>
        <v>0.37469999999999998</v>
      </c>
      <c r="Z219" s="247">
        <f>RIGHT(H219,LEN(H219)-4)/10000</f>
        <v>2.18E-2</v>
      </c>
      <c r="AA219" s="247">
        <f>ABS(Z219-Y219)</f>
        <v>0.35289999999999999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68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/stypes="app*4049*20180101*" /stext=" 23:.+((SYSTEM_STATE.+slice.+state.+changed )|(ment ac)|(multiple cpu faults)|(system.+state.+changed )|(\[timeout)|(PRM\|1\|D)|(kpr)|(kdp)|(train st.+moving)|(\|lc)|(penalty))"</v>
      </c>
      <c r="AG219" s="244" t="str">
        <f>DetSubdiv(A219)</f>
        <v>Shuttle/Test</v>
      </c>
      <c r="AH219" s="236" t="str">
        <f t="shared" si="49"/>
        <v>"%USERPROFILE%\Documents\GitHub\eaglep3\Utilities\RefineRTDCRunTimes.py" --tripid 68-01 --locoid 4049 --swversion DE.1.0.9.0 --startMP 204:3747 --initTime 2018-01-01T16:25:37 --startdatetime 2018-01-01T16:27:31 --delay 61 --endMP 204:218 --enddatetime 2018-01-01T16:29:27 --enforcementcount 0 &gt;&gt;%USERPROFILE%\Documents\GitHub\eaglep3-reporting\EC\2018-01-01-refined-times.txt</v>
      </c>
      <c r="AI219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0.0218"},{"id":17,"name":"Train ID","value":"68-01"},{"id":16,"name":"Locomotive ID","value":"4049"},{"id":130,"name":"Impact","value":""},{"id":150,"name":"Time of Event (Mountain Time)","value":"16:29:27"},{"id":151,"name":"Denver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51"/>
        <v>start /low /b %USERPROFILE%\Documents\GitHub\eaglep3\Utilities\DownloadLogsFromS3.py --loco 4049 --day 2018-01-01</v>
      </c>
      <c r="AN219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53"/>
        <v>https://d0f6bd738d7f1b3e5a7ca70fe4ff75f0.us-east-1.aws.found.io/app/kibana#/discover/Steve-Slow-Train-Analysis-(2080s-and-2083s)?_g=(refreshInterval:(display:Off,pause:!f,section:0,value:0),time:(from:'2018-01-01T15:25:37-0700',mode:absolute,to:'2018-01-01T17:29:27-0700'))&amp;_a=(columns:!('Message%20ID',Summary),filters:!(),index:'emp_*',interval:auto,query:(query_string:(analyze_wildcard:!t,query:'%22rtdc.l.rtdc.4049%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820</v>
      </c>
      <c r="B220" s="225">
        <v>4058</v>
      </c>
      <c r="C220" s="227" t="s">
        <v>192</v>
      </c>
      <c r="D220" s="227" t="s">
        <v>632</v>
      </c>
      <c r="E220" s="226">
        <v>43101.722500000003</v>
      </c>
      <c r="F220" s="226">
        <v>43101.724166666667</v>
      </c>
      <c r="G220" s="225">
        <v>63</v>
      </c>
      <c r="H220" s="227" t="s">
        <v>1043</v>
      </c>
      <c r="I220" s="226">
        <v>43101.732476851852</v>
      </c>
      <c r="J220" s="225">
        <v>0</v>
      </c>
      <c r="K220" s="237" t="str">
        <f>IF(ISEVEN(B220),(B220-1)&amp;"/"&amp;B220,B220&amp;"/"&amp;(B220+1))</f>
        <v>4057/4058</v>
      </c>
      <c r="L220" s="245" t="str">
        <f>VLOOKUP(A220,'Trips&amp;Operators'!$C$1:$G$99911,5,FALSE)</f>
        <v>ROBINSON KADDIBA</v>
      </c>
      <c r="M220" s="224">
        <f>I220-F220</f>
        <v>8.3101851851097308E-3</v>
      </c>
      <c r="N220" s="225">
        <f>24*60*SUM($M220:$M220)</f>
        <v>11.966666666558012</v>
      </c>
      <c r="O220" s="225"/>
      <c r="P220" s="225"/>
      <c r="Q220" s="228"/>
      <c r="R220" s="242"/>
      <c r="S220" s="249">
        <f>1/IF(AG220="EC",12,1)*SUM(U220:U220)</f>
        <v>0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-01T16:20:24-0700',mode:absolute,to:'2018-01-01T18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0</v>
      </c>
      <c r="Y220" s="247">
        <f>RIGHT(D220,LEN(D220)-4)/10000</f>
        <v>0.11650000000000001</v>
      </c>
      <c r="Z220" s="247">
        <f>RIGHT(H220,LEN(H220)-4)/10000</f>
        <v>2.3285</v>
      </c>
      <c r="AA220" s="247">
        <f>ABS(Z220-Y220)</f>
        <v>2.2120000000000002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68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/stypes="app*4058*20180102*" /stext=" 00:.+((SYSTEM_STATE.+slice.+state.+changed )|(ment ac)|(multiple cpu faults)|(system.+state.+changed )|(\[timeout)|(PRM\|1\|D)|(kpr)|(kdp)|(train st.+moving)|(\|lc)|(penalty))"</v>
      </c>
      <c r="AG220" s="244" t="str">
        <f>DetSubdiv(A220)</f>
        <v>Shuttle/Test</v>
      </c>
      <c r="AH220" s="236" t="str">
        <f t="shared" si="49"/>
        <v>"%USERPROFILE%\Documents\GitHub\eaglep3\Utilities\RefineRTDCRunTimes.py" --tripid 68-01 --locoid 4058 --swversion DE.1.0.9.0 --startMP 204:1165 --initTime 2018-01-01T17:20:24 --startdatetime 2018-01-01T17:22:48 --delay 63 --endMP 300:23285 --enddatetime 2018-01-01T17:34:46 --enforcementcount 0 &gt;&gt;%USERPROFILE%\Documents\GitHub\eaglep3-reporting\EC\2018-01-01-refined-times.txt</v>
      </c>
      <c r="AI220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2.3285"},{"id":17,"name":"Train ID","value":"68-01"},{"id":16,"name":"Locomotive ID","value":"4058"},{"id":130,"name":"Impact","value":""},{"id":150,"name":"Time of Event (Mountain Time)","value":"17:34:46"},{"id":151,"name":"Denver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51"/>
        <v>start /low /b %USERPROFILE%\Documents\GitHub\eaglep3\Utilities\DownloadLogsFromS3.py --loco 4058 --day 2018-01-01</v>
      </c>
      <c r="AN220" s="241" t="str">
        <f t="shared" si="5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53"/>
        <v>https://d0f6bd738d7f1b3e5a7ca70fe4ff75f0.us-east-1.aws.found.io/app/kibana#/discover/Steve-Slow-Train-Analysis-(2080s-and-2083s)?_g=(refreshInterval:(display:Off,pause:!f,section:0,value:0),time:(from:'2018-01-01T16:20:24-0700',mode:absolute,to:'2018-01-01T18:34:46-0700'))&amp;_a=(columns:!('Message%20ID',Summary),filters:!(),index:'emp_*',interval:auto,query:(query_string:(analyze_wildcard:!t,query:'%22rtdc.l.rtdc.4058%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817</v>
      </c>
      <c r="B221" s="225">
        <v>4060</v>
      </c>
      <c r="C221" s="227" t="s">
        <v>192</v>
      </c>
      <c r="D221" s="227" t="s">
        <v>1044</v>
      </c>
      <c r="E221" s="226">
        <v>43101.668171296296</v>
      </c>
      <c r="F221" s="226">
        <v>43101.675300925926</v>
      </c>
      <c r="G221" s="225">
        <v>65</v>
      </c>
      <c r="H221" s="227" t="s">
        <v>1045</v>
      </c>
      <c r="I221" s="226">
        <v>43101.684930555559</v>
      </c>
      <c r="J221" s="225">
        <v>0</v>
      </c>
      <c r="K221" s="237" t="str">
        <f>IF(ISEVEN(B221),(B221-1)&amp;"/"&amp;B221,B221&amp;"/"&amp;(B221+1))</f>
        <v>4059/4060</v>
      </c>
      <c r="L221" s="245" t="str">
        <f>VLOOKUP(A221,'Trips&amp;Operators'!$C$1:$G$99911,5,FALSE)</f>
        <v>BIRENBAUM THOMAS</v>
      </c>
      <c r="M221" s="224">
        <f>I221-F221</f>
        <v>9.6296296323998831E-3</v>
      </c>
      <c r="N221" s="225">
        <f>24*60*SUM($M221:$M221)</f>
        <v>13.866666670655832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-01T15:02:10-0700',mode:absolute,to:'2018-01-01T17:26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7</v>
      </c>
      <c r="Y221" s="247">
        <f>RIGHT(D221,LEN(D221)-4)/10000</f>
        <v>0.14710000000000001</v>
      </c>
      <c r="Z221" s="247">
        <f>RIGHT(H221,LEN(H221)-4)/10000</f>
        <v>2.3346</v>
      </c>
      <c r="AA221" s="247">
        <f>ABS(Z221-Y221)</f>
        <v>2.1875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75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s3://rtdc.mdm.uploadarchive.raw/RTDC4060/ "%USERPROFILE%\AppData\Local\Temp\OnboardLogs"\RTDC4060\2018-01-01 --exclude "*" --recursive --include "*20180101*" &amp; "%USERPROFILE%\Documents\GitHub\mrs-test-scripts\Headless Mode &amp; Sideloading\WalkAndUnGZ.bat" "%USERPROFILE%\AppData\Local\Temp\OnboardLogs"\RTDC4060\2018-01-01 &amp; aws s3 cp s3://rtdc.mdm.uploadarchive.raw/RTDC4060/ "%USERPROFILE%\AppData\Local\Temp\OnboardLogs"\RTDC4060\2018-01-02 --exclude "*" --recursive --include "*20180102*" &amp; "%USERPROFILE%\Documents\GitHub\mrs-test-scripts\Headless Mode &amp; Sideloading\WalkAndUnGZ.bat" "%USERPROFILE%\AppData\Local\Temp\OnboardLogs"\RTDC4060\2018-01-02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/stypes="app*4060*20180101*" /stext=" 23:.+((SYSTEM_STATE.+slice.+state.+changed )|(ment ac)|(multiple cpu faults)|(system.+state.+changed )|(\[timeout)|(PRM\|1\|D)|(kpr)|(kdp)|(train st.+moving)|(\|lc)|(penalty))"</v>
      </c>
      <c r="AG221" s="244" t="str">
        <f>DetSubdiv(A221)</f>
        <v>Shuttle/Test</v>
      </c>
      <c r="AH221" s="236" t="str">
        <f t="shared" si="49"/>
        <v>"%USERPROFILE%\Documents\GitHub\eaglep3\Utilities\RefineRTDCRunTimes.py" --tripid 75-01 --locoid 4060 --swversion DE.1.0.9.0 --startMP 204:1471 --initTime 2018-01-01T16:02:10 --startdatetime 2018-01-01T16:12:26 --delay 65 --endMP 300:23346 --enddatetime 2018-01-01T16:26:18 --enforcementcount 0 &gt;&gt;%USERPROFILE%\Documents\GitHub\eaglep3-reporting\EC\2018-01-01-refined-times.txt</v>
      </c>
      <c r="AI221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2.3346"},{"id":17,"name":"Train ID","value":"75-01"},{"id":16,"name":"Locomotive ID","value":"4060"},{"id":130,"name":"Impact","value":""},{"id":150,"name":"Time of Event (Mountain Time)","value":"16:26:18"},{"id":151,"name":"Denver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51"/>
        <v>start /low /b %USERPROFILE%\Documents\GitHub\eaglep3\Utilities\DownloadLogsFromS3.py --loco 4060 --day 2018-01-01</v>
      </c>
      <c r="AN221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53"/>
        <v>https://d0f6bd738d7f1b3e5a7ca70fe4ff75f0.us-east-1.aws.found.io/app/kibana#/discover/Steve-Slow-Train-Analysis-(2080s-and-2083s)?_g=(refreshInterval:(display:Off,pause:!f,section:0,value:0),time:(from:'2018-01-01T15:02:10-0700',mode:absolute,to:'2018-01-01T17:26:18-0700'))&amp;_a=(columns:!('Message%20ID',Summary),filters:!(),index:'emp_*',interval:auto,query:(query_string:(analyze_wildcard:!t,query:'%22rtdc.l.rtdc.4060%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670</v>
      </c>
      <c r="B222" s="225">
        <v>4015</v>
      </c>
      <c r="C222" s="227" t="s">
        <v>192</v>
      </c>
      <c r="D222" s="227" t="s">
        <v>1046</v>
      </c>
      <c r="E222" s="226">
        <v>43101.73474537037</v>
      </c>
      <c r="F222" s="226">
        <v>43101.739675925928</v>
      </c>
      <c r="G222" s="225">
        <v>269</v>
      </c>
      <c r="H222" s="227" t="s">
        <v>1047</v>
      </c>
      <c r="I222" s="226">
        <v>43101.745439814818</v>
      </c>
      <c r="J222" s="225">
        <v>0</v>
      </c>
      <c r="K222" s="237" t="str">
        <f>IF(ISEVEN(B222),(B222-1)&amp;"/"&amp;B222,B222&amp;"/"&amp;(B222+1))</f>
        <v>4015/4016</v>
      </c>
      <c r="L222" s="245" t="str">
        <f>VLOOKUP(A222,'Trips&amp;Operators'!$C$1:$G$99911,5,FALSE)</f>
        <v>AUSTIN THOMPSON</v>
      </c>
      <c r="M222" s="224">
        <f>I222-F222</f>
        <v>5.7638888902147301E-3</v>
      </c>
      <c r="N222" s="225">
        <f>24*60*SUM($M222:$M222)</f>
        <v>8.3000000019092113</v>
      </c>
      <c r="O222" s="225"/>
      <c r="P222" s="225"/>
      <c r="Q222" s="228"/>
      <c r="R222" s="242"/>
      <c r="S222" s="249">
        <f>1/IF(AG222="EC",12,1)*SUM(U222:U222)</f>
        <v>1</v>
      </c>
      <c r="T222" s="242" t="str">
        <f>IF(ISEVEN(LEFT(AD222,4)),"Southbound","NorthBound")</f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-01T16:38:02-0700',mode:absolute,to:'2018-01-01T18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13</v>
      </c>
      <c r="Y222" s="247">
        <f>RIGHT(D222,LEN(D222)-4)/10000</f>
        <v>2.34</v>
      </c>
      <c r="Z222" s="247">
        <f>RIGHT(H222,LEN(H222)-4)/10000</f>
        <v>0.1812</v>
      </c>
      <c r="AA222" s="247">
        <f>ABS(Z222-Y222)</f>
        <v>2.1587999999999998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88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 &amp; aws s3 cp s3://rtdc.mdm.uploadarchive.raw/RTDC4015/ "%USERPROFILE%\AppData\Local\Temp\OnboardLogs"\RTDC4015\2018-01-02 --exclude "*" --recursive --include "*20180102*" &amp; "%USERPROFILE%\Documents\GitHub\mrs-test-scripts\Headless Mode &amp; Sideloading\WalkAndUnGZ.bat" "%USERPROFILE%\AppData\Local\Temp\OnboardLogs"\RTDC4015\2018-01-02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/stypes="app*4015*20180102*" /stext=" 00:.+((SYSTEM_STATE.+slice.+state.+changed )|(ment ac)|(multiple cpu faults)|(system.+state.+changed )|(\[timeout)|(PRM\|1\|D)|(kpr)|(kdp)|(train st.+moving)|(\|lc)|(penalty))"</v>
      </c>
      <c r="AG222" s="244" t="str">
        <f>DetSubdiv(A222)</f>
        <v>Shuttle/Test</v>
      </c>
      <c r="AH222" s="236" t="str">
        <f t="shared" si="49"/>
        <v>"%USERPROFILE%\Documents\GitHub\eaglep3\Utilities\RefineRTDCRunTimes.py" --tripid 88-01 --locoid 4015 --swversion DE.1.0.9.0 --startMP 300:23400 --initTime 2018-01-01T17:38:02 --startdatetime 2018-01-01T17:45:08 --delay 269 --endMP 204:1812 --enddatetime 2018-01-01T17:53:26 --enforcementcount 0 &gt;&gt;%USERPROFILE%\Documents\GitHub\eaglep3-reporting\EC\2018-01-01-refined-times.txt</v>
      </c>
      <c r="AI222" s="238" t="str">
        <f t="shared" si="50"/>
        <v>echo {"issue":{"subject":"","project_id":79,"tracker_id":40,"status_id":1,"priority_id":2,"assigned_to_id":338,"start_date":"2018-01-01","description":"","custom_fields":[{"id":1,"name":"Subdivision","value":"Shuttle/Test"},{"id":4,"name":"Milepost","value":"0.1812"},{"id":17,"name":"Train ID","value":"88-01"},{"id":16,"name":"Locomotive ID","value":"4015"},{"id":130,"name":"Impact","value":""},{"id":150,"name":"Time of Event (Mountain Time)","value":"17:53:26"},{"id":151,"name":"Denver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51"/>
        <v>start /low /b %USERPROFILE%\Documents\GitHub\eaglep3\Utilities\DownloadLogsFromS3.py --loco 4015 --day 2018-01-01</v>
      </c>
      <c r="AN222" s="241" t="str">
        <f t="shared" si="52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53"/>
        <v>https://d0f6bd738d7f1b3e5a7ca70fe4ff75f0.us-east-1.aws.found.io/app/kibana#/discover/Steve-Slow-Train-Analysis-(2080s-and-2083s)?_g=(refreshInterval:(display:Off,pause:!f,section:0,value:0),time:(from:'2018-01-01T16:38:02-0700',mode:absolute,to:'2018-01-01T18:53:26-0700'))&amp;_a=(columns:!('Message%20ID',Summary),filters:!(),index:'emp_*',interval:auto,query:(query_string:(analyze_wildcard:!t,query:'%22rtdc.l.rtdc.4015%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3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23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s="20" customFormat="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s="20" customFormat="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</sheetData>
  <autoFilter ref="A12:AG548">
    <sortState ref="A13:AG548">
      <sortCondition ref="AG13:AG222"/>
      <sortCondition ref="AD13:AD222"/>
    </sortState>
  </autoFilter>
  <sortState ref="A13:AN453">
    <sortCondition ref="AG13:AG453"/>
    <sortCondition ref="AD13:AD453"/>
  </sortState>
  <mergeCells count="1">
    <mergeCell ref="A11:P11"/>
  </mergeCells>
  <conditionalFormatting sqref="W11:W12 W554:X1048576 W13:X222">
    <cfRule type="cellIs" dxfId="15" priority="479" operator="equal">
      <formula>"Y"</formula>
    </cfRule>
  </conditionalFormatting>
  <conditionalFormatting sqref="X554:X1048576 X13:X222">
    <cfRule type="cellIs" dxfId="14" priority="462" operator="greaterThan">
      <formula>1</formula>
    </cfRule>
  </conditionalFormatting>
  <conditionalFormatting sqref="X554:X1048576 X12:X222">
    <cfRule type="cellIs" dxfId="13" priority="459" operator="equal">
      <formula>0</formula>
    </cfRule>
  </conditionalFormatting>
  <conditionalFormatting sqref="A13:S222">
    <cfRule type="expression" dxfId="12" priority="453" stopIfTrue="1">
      <formula>$P13&gt;0</formula>
    </cfRule>
    <cfRule type="expression" dxfId="11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abSelected="1" topLeftCell="A2" zoomScaleNormal="100" workbookViewId="0">
      <selection activeCell="K11" sqref="K1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COUNTIF($O$7:$O$134,"=Y")</f>
        <v>5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COUNTA($O$7:$O$134)-O2</f>
        <v>12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- 2018-01-01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43101.599027777775</v>
      </c>
      <c r="B7" s="30" t="s">
        <v>566</v>
      </c>
      <c r="C7" s="30" t="s">
        <v>663</v>
      </c>
      <c r="D7" s="30" t="s">
        <v>49</v>
      </c>
      <c r="E7" s="30" t="s">
        <v>183</v>
      </c>
      <c r="F7" s="42">
        <v>0</v>
      </c>
      <c r="G7" s="42">
        <v>291</v>
      </c>
      <c r="H7" s="42">
        <v>58558</v>
      </c>
      <c r="I7" s="42">
        <v>58016</v>
      </c>
      <c r="J7" s="30" t="s">
        <v>184</v>
      </c>
      <c r="K7" s="42">
        <v>58301</v>
      </c>
      <c r="L7" s="131" t="s">
        <v>51</v>
      </c>
      <c r="M7" s="132">
        <f>CONVERT((I7-K7)/10000,"mi","ft")*IF(L7="Increasing Mileposts (1)",-1,1)</f>
        <v>-150.47999999999999</v>
      </c>
      <c r="N7" s="133" t="str">
        <f>VLOOKUP(C7,'Trips&amp;Operators'!$C$1:$G$99911,5,FALSE)</f>
        <v>DAVIS MICHAEL</v>
      </c>
      <c r="O7" s="175" t="s">
        <v>178</v>
      </c>
      <c r="P7" s="239" t="s">
        <v>499</v>
      </c>
      <c r="Q7" s="30"/>
      <c r="R7" s="81" t="str">
        <f>VLOOKUP(C7,'Train Runs'!$A$13:$AE$10207,31,0)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S7" s="84" t="str">
        <f>VLOOKUP(C7,'Train Runs'!$A$13:$AE$10207,22,0)</f>
        <v>https://d0f6bd738d7f1b3e5a7ca70fe4ff75f0.us-east-1.aws.found.io/app/kibana#/discover/Steve-Slow-Train-Analysis-(2080s-and-2083s)?_g=(refreshInterval:(display:Off,pause:!f,section:0,value:0),time:(from:'2018-01-01T12:54:12-0700',mode:absolute,to:'2018-01-01T15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/stypes="*4041*201801012*" /stext=" 21:.+((SYSTEM_STATE.+slice.+state.+changed )|(ment ac)|(multiple cpu faults)|(system.+state.+changed )|(\[timeout)|(PRM\|1\|D)|(kpr)|(kdp)|(train st.+moving)|(\|lc)|(penalty))"</v>
      </c>
      <c r="U7" s="9" t="str">
        <f>MID(B7,13,4)</f>
        <v>4041</v>
      </c>
      <c r="V7" s="31">
        <f>A7-utc_offset/24</f>
        <v>43101.890694444439</v>
      </c>
      <c r="W7" s="45" t="str">
        <f>DetSubdiv(C7)</f>
        <v>EC</v>
      </c>
      <c r="X7" s="22">
        <f>VALUE(LEFT(C7,LEN(C7)-3))</f>
        <v>176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Arrival","project_id":79,"tracker_id":40,"status_id":1,"priority_id":2,"assigned_to_id":338,"start_date":"2018-01-01","description":"","custom_fields":[{"id":1,"name":"Subdivision","value":"EC"},{"id":4,"name":"Milepost","value":"5.8301"},{"id":17,"name":"Train ID","value":"176-01"},{"id":16,"name":"Locomotive ID","value":"4041"},{"id":130,"name":"Impact","value":""},{"id":150,"name":"Time of Event (Mountain Time)","value":"14:22:36"},{"id":151,"name":"Denver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/c/Users/stu/AppData/Local/Temp/OnboardLogs/RTDC4041 --include="*4041*201801012*"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"%USERPROFILE%\AppData\Local\Temp\OnboardLogs"\RTDC4041\*4041*201801012* &gt;&gt; 2018-01-01-SliceDisagreementCheck.txt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4041 --day 2018-01-01</v>
      </c>
    </row>
    <row r="8" spans="1:32" s="1" customFormat="1" x14ac:dyDescent="0.3">
      <c r="A8" s="31">
        <v>43101.304710648146</v>
      </c>
      <c r="B8" s="30" t="s">
        <v>566</v>
      </c>
      <c r="C8" s="30" t="s">
        <v>660</v>
      </c>
      <c r="D8" s="30" t="s">
        <v>49</v>
      </c>
      <c r="E8" s="30" t="s">
        <v>183</v>
      </c>
      <c r="F8" s="42">
        <v>0</v>
      </c>
      <c r="G8" s="42">
        <v>621</v>
      </c>
      <c r="H8" s="42">
        <v>66569</v>
      </c>
      <c r="I8" s="252">
        <v>6.51</v>
      </c>
      <c r="J8" s="30" t="s">
        <v>184</v>
      </c>
      <c r="K8" s="42">
        <v>63309</v>
      </c>
      <c r="L8" s="131" t="s">
        <v>51</v>
      </c>
      <c r="M8" s="132">
        <f>CONVERT((I8-K8)/10000,"mi","ft")*IF(L8="Increasing Mileposts (1)",-1,1)</f>
        <v>-33423.714720000004</v>
      </c>
      <c r="N8" s="133" t="str">
        <f>VLOOKUP(C8,'Trips&amp;Operators'!$C$1:$G$99911,5,FALSE)</f>
        <v>YORK EDGAR</v>
      </c>
      <c r="O8" s="175" t="s">
        <v>178</v>
      </c>
      <c r="P8" s="239" t="s">
        <v>499</v>
      </c>
      <c r="Q8" s="30"/>
      <c r="R8" s="81" t="str">
        <f>VLOOKUP(C8,'Train Runs'!$A$13:$AE$10207,31,0)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S8" s="84" t="str">
        <f>VLOOKUP(C8,'Train Runs'!$A$13:$AE$10207,22,0)</f>
        <v>https://d0f6bd738d7f1b3e5a7ca70fe4ff75f0.us-east-1.aws.found.io/app/kibana#/discover/Steve-Slow-Train-Analysis-(2080s-and-2083s)?_g=(refreshInterval:(display:Off,pause:!f,section:0,value:0),time:(from:'2018-01-01T05:37:55-0700',mode:absolute,to:'2018-01-01T08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/stypes="*4041*201801011*" /stext=" 14:.+((SYSTEM_STATE.+slice.+state.+changed )|(ment ac)|(multiple cpu faults)|(system.+state.+changed )|(\[timeout)|(PRM\|1\|D)|(kpr)|(kdp)|(train st.+moving)|(\|lc)|(penalty))"</v>
      </c>
      <c r="U8" s="9" t="str">
        <f>MID(B8,13,4)</f>
        <v>4041</v>
      </c>
      <c r="V8" s="31">
        <f>A8-utc_offset/24</f>
        <v>43101.596377314811</v>
      </c>
      <c r="W8" s="45" t="str">
        <f>DetSubdiv(C8)</f>
        <v>EC</v>
      </c>
      <c r="X8" s="228">
        <f>VALUE(LEFT(C8,LEN(C8)-3))</f>
        <v>120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Arrival","project_id":79,"tracker_id":40,"status_id":1,"priority_id":2,"assigned_to_id":338,"start_date":"2018-01-01","description":"","custom_fields":[{"id":1,"name":"Subdivision","value":"EC"},{"id":4,"name":"Milepost","value":"6.3309"},{"id":17,"name":"Train ID","value":"120-01"},{"id":16,"name":"Locomotive ID","value":"4041"},{"id":130,"name":"Impact","value":""},{"id":150,"name":"Time of Event (Mountain Time)","value":"07:18:47"},{"id":151,"name":"Denver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/c/Users/stu/AppData/Local/Temp/OnboardLogs/RTDC4041 --include="*4041*201801011*"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"%USERPROFILE%\AppData\Local\Temp\OnboardLogs"\RTDC4041\*4041*201801011* &gt;&gt; 2018-01-01-SliceDisagreementCheck.txt</v>
      </c>
      <c r="AE8" s="144" t="str">
        <f t="shared" ref="AE8:AE23" si="1">"start /low /b "&amp;dls3logs&amp;" --loco "&amp;U8&amp;" --day "&amp;TEXT(V8,"YYYY-MM-DD")</f>
        <v>start /low /b %USERPROFILE%\Documents\GitHub\eaglep3\Utilities\DownloadLogsFromS3.py --loco 4041 --day 2018-01-01</v>
      </c>
    </row>
    <row r="9" spans="1:32" s="1" customFormat="1" x14ac:dyDescent="0.3">
      <c r="A9" s="31">
        <v>43101.889861111114</v>
      </c>
      <c r="B9" s="30" t="s">
        <v>566</v>
      </c>
      <c r="C9" s="30" t="s">
        <v>674</v>
      </c>
      <c r="D9" s="30" t="s">
        <v>95</v>
      </c>
      <c r="E9" s="30" t="s">
        <v>183</v>
      </c>
      <c r="F9" s="42">
        <v>230</v>
      </c>
      <c r="G9" s="42">
        <v>285</v>
      </c>
      <c r="H9" s="42">
        <v>63278</v>
      </c>
      <c r="I9" s="42">
        <v>62733</v>
      </c>
      <c r="J9" s="30" t="s">
        <v>184</v>
      </c>
      <c r="K9" s="42">
        <v>63309</v>
      </c>
      <c r="L9" s="131" t="s">
        <v>51</v>
      </c>
      <c r="M9" s="132">
        <f>CONVERT((I9-K9)/10000,"mi","ft")*IF(L9="Increasing Mileposts (1)",-1,1)</f>
        <v>-304.12799999999999</v>
      </c>
      <c r="N9" s="133" t="str">
        <f>VLOOKUP(C9,'Trips&amp;Operators'!$C$1:$G$99911,5,FALSE)</f>
        <v>GUNTHIER ERIC</v>
      </c>
      <c r="O9" s="175" t="s">
        <v>178</v>
      </c>
      <c r="P9" s="239" t="s">
        <v>499</v>
      </c>
      <c r="Q9" s="30"/>
      <c r="R9" s="81" t="str">
        <f>VLOOKUP(C9,'Train Runs'!$A$13:$AE$10207,31,0)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S9" s="84" t="str">
        <f>VLOOKUP(C9,'Train Runs'!$A$13:$AE$10207,22,0)</f>
        <v>https://d0f6bd738d7f1b3e5a7ca70fe4ff75f0.us-east-1.aws.found.io/app/kibana#/discover/Steve-Slow-Train-Analysis-(2080s-and-2083s)?_g=(refreshInterval:(display:Off,pause:!f,section:0,value:0),time:(from:'2018-01-01T19:42:46-0700',mode:absolute,to:'2018-01-01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/stypes="*4041*201801020*" /stext=" 04:.+((SYSTEM_STATE.+slice.+state.+changed )|(ment ac)|(multiple cpu faults)|(system.+state.+changed )|(\[timeout)|(PRM\|1\|D)|(kpr)|(kdp)|(train st.+moving)|(\|lc)|(penalty))"</v>
      </c>
      <c r="U9" s="9" t="str">
        <f>MID(B9,13,4)</f>
        <v>4041</v>
      </c>
      <c r="V9" s="31">
        <f>A9-utc_offset/24</f>
        <v>43102.181527777779</v>
      </c>
      <c r="W9" s="45" t="str">
        <f>DetSubdiv(C9)</f>
        <v>EC</v>
      </c>
      <c r="X9" s="228">
        <f>VALUE(LEFT(C9,LEN(C9)-3))</f>
        <v>226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Arrival","project_id":79,"tracker_id":40,"status_id":1,"priority_id":2,"assigned_to_id":338,"start_date":"2018-01-01","description":"","custom_fields":[{"id":1,"name":"Subdivision","value":"EC"},{"id":4,"name":"Milepost","value":"6.3309"},{"id":17,"name":"Train ID","value":"226-01"},{"id":16,"name":"Locomotive ID","value":"4041"},{"id":130,"name":"Impact","value":""},{"id":150,"name":"Time of Event (Mountain Time)","value":"21:21:24"},{"id":151,"name":"Denver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/c/Users/stu/AppData/Local/Temp/OnboardLogs/RTDC4041 --include="*4041*201801020*"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"%USERPROFILE%\AppData\Local\Temp\OnboardLogs"\RTDC4041\*4041*201801020* &gt;&gt; 2018-01-01-SliceDisagreementCheck.txt</v>
      </c>
      <c r="AE9" s="144" t="str">
        <f t="shared" si="1"/>
        <v>start /low /b %USERPROFILE%\Documents\GitHub\eaglep3\Utilities\DownloadLogsFromS3.py --loco 4041 --day 2018-01-02</v>
      </c>
    </row>
    <row r="10" spans="1:32" x14ac:dyDescent="0.3">
      <c r="A10" s="31">
        <v>43101.676840277774</v>
      </c>
      <c r="B10" s="30" t="s">
        <v>548</v>
      </c>
      <c r="C10" s="30" t="s">
        <v>667</v>
      </c>
      <c r="D10" s="30" t="s">
        <v>49</v>
      </c>
      <c r="E10" s="30" t="s">
        <v>183</v>
      </c>
      <c r="F10" s="42">
        <v>480</v>
      </c>
      <c r="G10" s="42">
        <v>574</v>
      </c>
      <c r="H10" s="42">
        <v>104976</v>
      </c>
      <c r="I10" s="42">
        <v>103034</v>
      </c>
      <c r="J10" s="30" t="s">
        <v>184</v>
      </c>
      <c r="K10" s="42">
        <v>103800</v>
      </c>
      <c r="L10" s="131" t="s">
        <v>51</v>
      </c>
      <c r="M10" s="132">
        <f>CONVERT((I10-K10)/10000,"mi","ft")*IF(L10="Increasing Mileposts (1)",-1,1)</f>
        <v>-404.44799999999998</v>
      </c>
      <c r="N10" s="133" t="str">
        <f>VLOOKUP(C10,'Trips&amp;Operators'!$C$1:$G$99911,5,FALSE)</f>
        <v>STEWART MICHAEL</v>
      </c>
      <c r="O10" s="175" t="s">
        <v>178</v>
      </c>
      <c r="P10" s="239" t="s">
        <v>499</v>
      </c>
      <c r="Q10" s="30"/>
      <c r="R10" s="81" t="str">
        <f>VLOOKUP(C10,'Train Runs'!$A$13:$AE$10207,31,0)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S10" s="84" t="str">
        <f>VLOOKUP(C10,'Train Runs'!$A$13:$AE$10207,22,0)</f>
        <v>https://d0f6bd738d7f1b3e5a7ca70fe4ff75f0.us-east-1.aws.found.io/app/kibana#/discover/Steve-Slow-Train-Analysis-(2080s-and-2083s)?_g=(refreshInterval:(display:Off,pause:!f,section:0,value:0),time:(from:'2018-01-01T14:53:04-0700',mode:absolute,to:'2018-01-01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/stypes="*4057*201801012*" /stext=" 23:.+((SYSTEM_STATE.+slice.+state.+changed )|(ment ac)|(multiple cpu faults)|(system.+state.+changed )|(\[timeout)|(PRM\|1\|D)|(kpr)|(kdp)|(train st.+moving)|(\|lc)|(penalty))"</v>
      </c>
      <c r="U10" s="9" t="str">
        <f>MID(B10,13,4)</f>
        <v>4057</v>
      </c>
      <c r="V10" s="31">
        <f>A10-utc_offset/24</f>
        <v>43101.968506944439</v>
      </c>
      <c r="W10" s="45" t="str">
        <f>DetSubdiv(C10)</f>
        <v>EC</v>
      </c>
      <c r="X10" s="228">
        <f>VALUE(LEFT(C10,LEN(C10)-3))</f>
        <v>192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Arrival","project_id":79,"tracker_id":40,"status_id":1,"priority_id":2,"assigned_to_id":338,"start_date":"2018-01-01","description":"","custom_fields":[{"id":1,"name":"Subdivision","value":"EC"},{"id":4,"name":"Milepost","value":"10.38"},{"id":17,"name":"Train ID","value":"192-01"},{"id":16,"name":"Locomotive ID","value":"4057"},{"id":130,"name":"Impact","value":""},{"id":150,"name":"Time of Event (Mountain Time)","value":"16:14:39"},{"id":151,"name":"Denver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/c/Users/stu/AppData/Local/Temp/OnboardLogs/RTDC4057 --include="*4057*201801012*"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"%USERPROFILE%\AppData\Local\Temp\OnboardLogs"\RTDC4057\*4057*201801012* &gt;&gt; 2018-01-01-SliceDisagreementCheck.txt</v>
      </c>
      <c r="AE10" s="144" t="str">
        <f t="shared" si="1"/>
        <v>start /low /b %USERPROFILE%\Documents\GitHub\eaglep3\Utilities\DownloadLogsFromS3.py --loco 4057 --day 2018-01-01</v>
      </c>
      <c r="AF10" s="1"/>
    </row>
    <row r="11" spans="1:32" x14ac:dyDescent="0.3">
      <c r="A11" s="31">
        <v>43101.260891203703</v>
      </c>
      <c r="B11" s="30" t="s">
        <v>658</v>
      </c>
      <c r="C11" s="30" t="s">
        <v>659</v>
      </c>
      <c r="D11" s="30" t="s">
        <v>49</v>
      </c>
      <c r="E11" s="30" t="s">
        <v>183</v>
      </c>
      <c r="F11" s="42">
        <v>0</v>
      </c>
      <c r="G11" s="42">
        <v>397</v>
      </c>
      <c r="H11" s="42">
        <v>109449</v>
      </c>
      <c r="I11" s="42">
        <v>108445</v>
      </c>
      <c r="J11" s="30" t="s">
        <v>184</v>
      </c>
      <c r="K11" s="42">
        <v>109135</v>
      </c>
      <c r="L11" s="131" t="s">
        <v>51</v>
      </c>
      <c r="M11" s="132">
        <f>CONVERT((I11-K11)/10000,"mi","ft")*IF(L11="Increasing Mileposts (1)",-1,1)</f>
        <v>-364.32</v>
      </c>
      <c r="N11" s="133" t="str">
        <f>VLOOKUP(C11,'Trips&amp;Operators'!$C$1:$G$99911,5,FALSE)</f>
        <v>SPECTOR MICHAEL</v>
      </c>
      <c r="O11" s="175" t="s">
        <v>178</v>
      </c>
      <c r="P11" s="239" t="s">
        <v>499</v>
      </c>
      <c r="Q11" s="30"/>
      <c r="R11" s="81" t="str">
        <f>VLOOKUP(C11,'Train Runs'!$A$13:$AE$10207,31,0)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S11" s="84" t="str">
        <f>VLOOKUP(C11,'Train Runs'!$A$13:$AE$10207,22,0)</f>
        <v>https://d0f6bd738d7f1b3e5a7ca70fe4ff75f0.us-east-1.aws.found.io/app/kibana#/discover/Steve-Slow-Train-Analysis-(2080s-and-2083s)?_g=(refreshInterval:(display:Off,pause:!f,section:0,value:0),time:(from:'2018-01-01T04:53:29-0700',mode:absolute,to:'2018-01-01T07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/stypes="*4063*201801011*" /stext=" 13:.+((SYSTEM_STATE.+slice.+state.+changed )|(ment ac)|(multiple cpu faults)|(system.+state.+changed )|(\[timeout)|(PRM\|1\|D)|(kpr)|(kdp)|(train st.+moving)|(\|lc)|(penalty))"</v>
      </c>
      <c r="U11" s="9" t="str">
        <f>MID(B11,13,4)</f>
        <v>4063</v>
      </c>
      <c r="V11" s="31">
        <f>A11-utc_offset/24</f>
        <v>43101.552557870367</v>
      </c>
      <c r="W11" s="45" t="str">
        <f>DetSubdiv(C11)</f>
        <v>EC</v>
      </c>
      <c r="X11" s="228">
        <f>VALUE(LEFT(C11,LEN(C11)-3))</f>
        <v>112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Arrival","project_id":79,"tracker_id":40,"status_id":1,"priority_id":2,"assigned_to_id":338,"start_date":"2018-01-01","description":"","custom_fields":[{"id":1,"name":"Subdivision","value":"EC"},{"id":4,"name":"Milepost","value":"10.9135"},{"id":17,"name":"Train ID","value":"112-01"},{"id":16,"name":"Locomotive ID","value":"4063"},{"id":130,"name":"Impact","value":""},{"id":150,"name":"Time of Event (Mountain Time)","value":"06:15:41"},{"id":151,"name":"Denver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/c/Users/stu/AppData/Local/Temp/OnboardLogs/RTDC4063 --include="*4063*201801011*"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"%USERPROFILE%\AppData\Local\Temp\OnboardLogs"\RTDC4063\*4063*201801011* &gt;&gt; 2018-01-01-SliceDisagreementCheck.txt</v>
      </c>
      <c r="AE11" s="144" t="str">
        <f t="shared" si="1"/>
        <v>start /low /b %USERPROFILE%\Documents\GitHub\eaglep3\Utilities\DownloadLogsFromS3.py --loco 4063 --day 2018-01-01</v>
      </c>
      <c r="AF11" s="1"/>
    </row>
    <row r="12" spans="1:32" x14ac:dyDescent="0.3">
      <c r="A12" s="31">
        <v>43101.658645833333</v>
      </c>
      <c r="B12" s="30" t="s">
        <v>518</v>
      </c>
      <c r="C12" s="30" t="s">
        <v>666</v>
      </c>
      <c r="D12" s="30" t="s">
        <v>95</v>
      </c>
      <c r="E12" s="30" t="s">
        <v>190</v>
      </c>
      <c r="F12" s="42">
        <v>400</v>
      </c>
      <c r="G12" s="42">
        <v>451</v>
      </c>
      <c r="H12" s="42">
        <v>17851</v>
      </c>
      <c r="I12" s="42">
        <v>15272</v>
      </c>
      <c r="J12" s="30" t="s">
        <v>191</v>
      </c>
      <c r="K12" s="42">
        <v>20309</v>
      </c>
      <c r="L12" s="131" t="s">
        <v>51</v>
      </c>
      <c r="M12" s="132">
        <f>CONVERT((I12-K12)/10000,"mi","ft")*IF(L12="Increasing Mileposts (1)",-1,1)</f>
        <v>-2659.5360000000005</v>
      </c>
      <c r="N12" s="133" t="str">
        <f>VLOOKUP(C12,'Trips&amp;Operators'!$C$1:$G$99911,5,FALSE)</f>
        <v>STRICKLAND EVAN</v>
      </c>
      <c r="O12" s="175" t="s">
        <v>178</v>
      </c>
      <c r="P12" s="239"/>
      <c r="Q12" s="30"/>
      <c r="R12" s="81" t="str">
        <f>VLOOKUP(C12,'Train Runs'!$A$13:$AE$10207,31,0)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S12" s="84" t="str">
        <f>VLOOKUP(C12,'Train Runs'!$A$13:$AE$10207,22,0)</f>
        <v>https://d0f6bd738d7f1b3e5a7ca70fe4ff75f0.us-east-1.aws.found.io/app/kibana#/discover/Steve-Slow-Train-Analysis-(2080s-and-2083s)?_g=(refreshInterval:(display:Off,pause:!f,section:0,value:0),time:(from:'2018-01-01T13:52:39-0700',mode:absolute,to:'2018-01-01T16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/stypes="*4019*201801012*" /stext=" 22:.+((SYSTEM_STATE.+slice.+state.+changed )|(ment ac)|(multiple cpu faults)|(system.+state.+changed )|(\[timeout)|(PRM\|1\|D)|(kpr)|(kdp)|(train st.+moving)|(\|lc)|(penalty))"</v>
      </c>
      <c r="U12" s="9" t="str">
        <f>MID(B12,13,4)</f>
        <v>4019</v>
      </c>
      <c r="V12" s="31">
        <f>A12-utc_offset/24</f>
        <v>43101.950312499997</v>
      </c>
      <c r="W12" s="45" t="str">
        <f>DetSubdiv(C12)</f>
        <v>EC</v>
      </c>
      <c r="X12" s="228">
        <f>VALUE(LEFT(C12,LEN(C12)-3))</f>
        <v>186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{"issue":{"subject":"","project_id":79,"tracker_id":40,"status_id":1,"priority_id":2,"assigned_to_id":338,"start_date":"2018-01-01","description":"","custom_fields":[{"id":1,"name":"Subdivision","value":"EC"},{"id":4,"name":"Milepost","value":"2.0309"},{"id":17,"name":"Train ID","value":"186-01"},{"id":16,"name":"Locomotive ID","value":"4019"},{"id":130,"name":"Impact","value":""},{"id":150,"name":"Time of Event (Mountain Time)","value":"15:48:27"},{"id":151,"name":"Denver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/c/Users/stu/AppData/Local/Temp/OnboardLogs/RTDC4019 --include="*4019*201801012*"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"%USERPROFILE%\AppData\Local\Temp\OnboardLogs"\RTDC4019\*4019*201801012* &gt;&gt; 2018-01-01-SliceDisagreementCheck.txt</v>
      </c>
      <c r="AE12" s="144" t="str">
        <f t="shared" si="1"/>
        <v>start /low /b %USERPROFILE%\Documents\GitHub\eaglep3\Utilities\DownloadLogsFromS3.py --loco 4019 --day 2018-01-01</v>
      </c>
      <c r="AF12" s="1"/>
    </row>
    <row r="13" spans="1:32" x14ac:dyDescent="0.3">
      <c r="A13" s="31">
        <v>43101.876875000002</v>
      </c>
      <c r="B13" s="30" t="s">
        <v>444</v>
      </c>
      <c r="C13" s="30" t="s">
        <v>673</v>
      </c>
      <c r="D13" s="30" t="s">
        <v>49</v>
      </c>
      <c r="E13" s="30" t="s">
        <v>190</v>
      </c>
      <c r="F13" s="42">
        <v>550</v>
      </c>
      <c r="G13" s="42">
        <v>795</v>
      </c>
      <c r="H13" s="42">
        <v>218022</v>
      </c>
      <c r="I13" s="42">
        <v>221777</v>
      </c>
      <c r="J13" s="30" t="s">
        <v>191</v>
      </c>
      <c r="K13" s="42">
        <v>222091</v>
      </c>
      <c r="L13" s="131" t="s">
        <v>50</v>
      </c>
      <c r="M13" s="132">
        <f>CONVERT((I13-K13)/10000,"mi","ft")*IF(L13="Increasing Mileposts (1)",-1,1)</f>
        <v>165.79199999999997</v>
      </c>
      <c r="N13" s="133" t="str">
        <f>VLOOKUP(C13,'Trips&amp;Operators'!$C$1:$G$99911,5,FALSE)</f>
        <v>AUSTIN THOMPSON</v>
      </c>
      <c r="O13" s="175" t="s">
        <v>178</v>
      </c>
      <c r="P13" s="239"/>
      <c r="Q13" s="30"/>
      <c r="R13" s="81" t="str">
        <f>VLOOKUP(C13,'Train Runs'!$A$13:$AE$10207,31,0)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S13" s="84" t="str">
        <f>VLOOKUP(C13,'Train Runs'!$A$13:$AE$10207,22,0)</f>
        <v>https://d0f6bd738d7f1b3e5a7ca70fe4ff75f0.us-east-1.aws.found.io/app/kibana#/discover/Steve-Slow-Train-Analysis-(2080s-and-2083s)?_g=(refreshInterval:(display:Off,pause:!f,section:0,value:0),time:(from:'2018-01-01T19:13:38-0700',mode:absolute,to:'2018-01-01T22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/stypes="*4050*201801020*" /stext=" 04:.+((SYSTEM_STATE.+slice.+state.+changed )|(ment ac)|(multiple cpu faults)|(system.+state.+changed )|(\[timeout)|(PRM\|1\|D)|(kpr)|(kdp)|(train st.+moving)|(\|lc)|(penalty))"</v>
      </c>
      <c r="U13" s="9" t="str">
        <f>MID(B13,13,4)</f>
        <v>4050</v>
      </c>
      <c r="V13" s="31">
        <f>A13-utc_offset/24</f>
        <v>43102.168541666666</v>
      </c>
      <c r="W13" s="45" t="str">
        <f>DetSubdiv(C13)</f>
        <v>EC</v>
      </c>
      <c r="X13" s="228">
        <f>VALUE(LEFT(C13,LEN(C13)-3))</f>
        <v>227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{"issue":{"subject":"","project_id":79,"tracker_id":40,"status_id":1,"priority_id":2,"assigned_to_id":338,"start_date":"2018-01-01","description":"","custom_fields":[{"id":1,"name":"Subdivision","value":"EC"},{"id":4,"name":"Milepost","value":"22.2091"},{"id":17,"name":"Train ID","value":"227-01"},{"id":16,"name":"Locomotive ID","value":"4050"},{"id":130,"name":"Impact","value":""},{"id":150,"name":"Time of Event (Mountain Time)","value":"21:02:42"},{"id":151,"name":"Denver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/c/Users/stu/AppData/Local/Temp/OnboardLogs/RTDC4050 --include="*4050*201801020*"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"%USERPROFILE%\AppData\Local\Temp\OnboardLogs"\RTDC4050\*4050*201801020* &gt;&gt; 2018-01-01-SliceDisagreementCheck.txt</v>
      </c>
      <c r="AE13" s="144" t="str">
        <f t="shared" si="1"/>
        <v>start /low /b %USERPROFILE%\Documents\GitHub\eaglep3\Utilities\DownloadLogsFromS3.py --loco 4050 --day 2018-01-02</v>
      </c>
      <c r="AF13" s="1"/>
    </row>
    <row r="14" spans="1:32" x14ac:dyDescent="0.3">
      <c r="A14" s="31">
        <v>43101.894548611112</v>
      </c>
      <c r="B14" s="30" t="s">
        <v>443</v>
      </c>
      <c r="C14" s="30" t="s">
        <v>675</v>
      </c>
      <c r="D14" s="30" t="s">
        <v>49</v>
      </c>
      <c r="E14" s="30" t="s">
        <v>190</v>
      </c>
      <c r="F14" s="42">
        <v>150</v>
      </c>
      <c r="G14" s="42">
        <v>207</v>
      </c>
      <c r="H14" s="42">
        <v>231568</v>
      </c>
      <c r="I14" s="42">
        <v>231267</v>
      </c>
      <c r="J14" s="30" t="s">
        <v>191</v>
      </c>
      <c r="K14" s="42">
        <v>231269</v>
      </c>
      <c r="L14" s="131" t="s">
        <v>51</v>
      </c>
      <c r="M14" s="132">
        <f>CONVERT((I14-K14)/10000,"mi","ft")*IF(L14="Increasing Mileposts (1)",-1,1)</f>
        <v>-1.056</v>
      </c>
      <c r="N14" s="133" t="str">
        <f>VLOOKUP(C14,'Trips&amp;Operators'!$C$1:$G$99911,5,FALSE)</f>
        <v>AUSTIN THOMPSON</v>
      </c>
      <c r="O14" s="175" t="s">
        <v>178</v>
      </c>
      <c r="P14" s="239"/>
      <c r="Q14" s="30"/>
      <c r="R14" s="81" t="str">
        <f>VLOOKUP(C14,'Train Runs'!$A$13:$AE$10207,31,0)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S14" s="84" t="str">
        <f>VLOOKUP(C14,'Train Runs'!$A$13:$AE$10207,22,0)</f>
        <v>https://d0f6bd738d7f1b3e5a7ca70fe4ff75f0.us-east-1.aws.found.io/app/kibana#/discover/Steve-Slow-Train-Analysis-(2080s-and-2083s)?_g=(refreshInterval:(display:Off,pause:!f,section:0,value:0),time:(from:'2018-01-01T19:13:38-0700',mode:absolute,to:'2018-01-01T23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/stypes="*4049*201801020*" /stext=" 04:.+((SYSTEM_STATE.+slice.+state.+changed )|(ment ac)|(multiple cpu faults)|(system.+state.+changed )|(\[timeout)|(PRM\|1\|D)|(kpr)|(kdp)|(train st.+moving)|(\|lc)|(penalty))"</v>
      </c>
      <c r="U14" s="9" t="str">
        <f>MID(B14,13,4)</f>
        <v>4049</v>
      </c>
      <c r="V14" s="31">
        <f>A14-utc_offset/24</f>
        <v>43102.186215277776</v>
      </c>
      <c r="W14" s="45" t="str">
        <f>DetSubdiv(C14)</f>
        <v>EC</v>
      </c>
      <c r="X14" s="228">
        <f>VALUE(LEFT(C14,LEN(C14)-3))</f>
        <v>228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{"issue":{"subject":"","project_id":79,"tracker_id":40,"status_id":1,"priority_id":2,"assigned_to_id":338,"start_date":"2018-01-01","description":"","custom_fields":[{"id":1,"name":"Subdivision","value":"EC"},{"id":4,"name":"Milepost","value":"23.1269"},{"id":17,"name":"Train ID","value":"228-01"},{"id":16,"name":"Locomotive ID","value":"4049"},{"id":130,"name":"Impact","value":""},{"id":150,"name":"Time of Event (Mountain Time)","value":"21:28:09"},{"id":151,"name":"Denver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/c/Users/stu/AppData/Local/Temp/OnboardLogs/RTDC4049 --include="*4049*201801020*"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"%USERPROFILE%\AppData\Local\Temp\OnboardLogs"\RTDC4049\*4049*201801020* &gt;&gt; 2018-01-01-SliceDisagreementCheck.txt</v>
      </c>
      <c r="AE14" s="144" t="str">
        <f t="shared" si="1"/>
        <v>start /low /b %USERPROFILE%\Documents\GitHub\eaglep3\Utilities\DownloadLogsFromS3.py --loco 4049 --day 2018-01-02</v>
      </c>
      <c r="AF14" s="1"/>
    </row>
    <row r="15" spans="1:32" x14ac:dyDescent="0.3">
      <c r="A15" s="31">
        <v>43101.209756944445</v>
      </c>
      <c r="B15" s="30" t="s">
        <v>568</v>
      </c>
      <c r="C15" s="30" t="s">
        <v>657</v>
      </c>
      <c r="D15" s="30" t="s">
        <v>95</v>
      </c>
      <c r="E15" s="30" t="s">
        <v>354</v>
      </c>
      <c r="F15" s="42">
        <v>0</v>
      </c>
      <c r="G15" s="42">
        <v>143</v>
      </c>
      <c r="H15" s="42">
        <v>2608</v>
      </c>
      <c r="I15" s="42">
        <v>2794</v>
      </c>
      <c r="J15" s="30" t="s">
        <v>355</v>
      </c>
      <c r="K15" s="42">
        <v>1692</v>
      </c>
      <c r="L15" s="131" t="s">
        <v>50</v>
      </c>
      <c r="M15" s="132">
        <f>CONVERT((I15-K15)/10000,"mi","ft")*IF(L15="Increasing Mileposts (1)",-1,1)</f>
        <v>-581.85599999999999</v>
      </c>
      <c r="N15" s="133" t="str">
        <f>VLOOKUP(C15,'Trips&amp;Operators'!$C$1:$G$99911,5,FALSE)</f>
        <v>SPECTOR MICHAEL</v>
      </c>
      <c r="O15" s="175" t="s">
        <v>348</v>
      </c>
      <c r="P15" s="239" t="s">
        <v>656</v>
      </c>
      <c r="Q15" s="30"/>
      <c r="R15" s="81" t="str">
        <f>VLOOKUP(C15,'Train Runs'!$A$13:$AE$10207,31,0)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S15" s="84" t="str">
        <f>VLOOKUP(C15,'Train Runs'!$A$13:$AE$10207,22,0)</f>
        <v>https://d0f6bd738d7f1b3e5a7ca70fe4ff75f0.us-east-1.aws.found.io/app/kibana#/discover/Steve-Slow-Train-Analysis-(2080s-and-2083s)?_g=(refreshInterval:(display:Off,pause:!f,section:0,value:0),time:(from:'2018-01-01T04:10:33-0700',mode:absolute,to:'2018-01-01T06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/stypes="*4064*201801011*" /stext=" 12:.+((SYSTEM_STATE.+slice.+state.+changed )|(ment ac)|(multiple cpu faults)|(system.+state.+changed )|(\[timeout)|(PRM\|1\|D)|(kpr)|(kdp)|(train st.+moving)|(\|lc)|(penalty))"</v>
      </c>
      <c r="U15" s="9" t="str">
        <f>MID(B15,13,4)</f>
        <v>4064</v>
      </c>
      <c r="V15" s="31">
        <f>A15-utc_offset/24</f>
        <v>43101.501423611109</v>
      </c>
      <c r="W15" s="45" t="str">
        <f>DetSubdiv(C15)</f>
        <v>EC</v>
      </c>
      <c r="X15" s="228">
        <f>VALUE(LEFT(C15,LEN(C15)-3))</f>
        <v>111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DUS","project_id":79,"tracker_id":40,"status_id":1,"priority_id":2,"assigned_to_id":338,"start_date":"2018-01-01","description":"","custom_fields":[{"id":1,"name":"Subdivision","value":"EC"},{"id":4,"name":"Milepost","value":"0.1692"},{"id":17,"name":"Train ID","value":"111-01"},{"id":16,"name":"Locomotive ID","value":"4064"},{"id":130,"name":"Impact","value":""},{"id":150,"name":"Time of Event (Mountain Time)","value":"05:02:03"},{"id":151,"name":"Denver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/c/Users/stu/AppData/Local/Temp/OnboardLogs/RTDC4064 --include="*4064*201801011*"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"%USERPROFILE%\AppData\Local\Temp\OnboardLogs"\RTDC4064\*4064*201801011* &gt;&gt; 2018-01-01-SliceDisagreementCheck.txt</v>
      </c>
      <c r="AE15" s="144" t="str">
        <f t="shared" si="1"/>
        <v>start /low /b %USERPROFILE%\Documents\GitHub\eaglep3\Utilities\DownloadLogsFromS3.py --loco 4064 --day 2018-01-01</v>
      </c>
      <c r="AF15" s="1"/>
    </row>
    <row r="16" spans="1:32" x14ac:dyDescent="0.3">
      <c r="A16" s="31">
        <v>43101.624074074076</v>
      </c>
      <c r="B16" s="30" t="s">
        <v>446</v>
      </c>
      <c r="C16" s="30" t="s">
        <v>665</v>
      </c>
      <c r="D16" s="30" t="s">
        <v>49</v>
      </c>
      <c r="E16" s="30" t="s">
        <v>354</v>
      </c>
      <c r="F16" s="42">
        <v>0</v>
      </c>
      <c r="G16" s="42">
        <v>134</v>
      </c>
      <c r="H16" s="42">
        <v>37979</v>
      </c>
      <c r="I16" s="42">
        <v>38208</v>
      </c>
      <c r="J16" s="30" t="s">
        <v>355</v>
      </c>
      <c r="K16" s="42">
        <v>38639</v>
      </c>
      <c r="L16" s="131" t="s">
        <v>50</v>
      </c>
      <c r="M16" s="132">
        <f>CONVERT((I16-K16)/10000,"mi","ft")*IF(L16="Increasing Mileposts (1)",-1,1)</f>
        <v>227.56800000000001</v>
      </c>
      <c r="N16" s="133" t="str">
        <f>VLOOKUP(C16,'Trips&amp;Operators'!$C$1:$G$99911,5,FALSE)</f>
        <v>DAVIS MICHAEL</v>
      </c>
      <c r="O16" s="175" t="s">
        <v>348</v>
      </c>
      <c r="P16" s="239" t="s">
        <v>464</v>
      </c>
      <c r="Q16" s="30"/>
      <c r="R16" s="81" t="str">
        <f>VLOOKUP(C16,'Train Runs'!$A$13:$AE$10207,31,0)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S16" s="84" t="str">
        <f>VLOOKUP(C16,'Train Runs'!$A$13:$AE$10207,22,0)</f>
        <v>https://d0f6bd738d7f1b3e5a7ca70fe4ff75f0.us-east-1.aws.found.io/app/kibana#/discover/Steve-Slow-Train-Analysis-(2080s-and-2083s)?_g=(refreshInterval:(display:Off,pause:!f,section:0,value:0),time:(from:'2018-01-01T13:42:25-0700',mode:absolute,to:'2018-01-01T16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/stypes="*4042*201801012*" /stext=" 21:.+((SYSTEM_STATE.+slice.+state.+changed )|(ment ac)|(multiple cpu faults)|(system.+state.+changed )|(\[timeout)|(PRM\|1\|D)|(kpr)|(kdp)|(train st.+moving)|(\|lc)|(penalty))"</v>
      </c>
      <c r="U16" s="9" t="str">
        <f>MID(B16,13,4)</f>
        <v>4042</v>
      </c>
      <c r="V16" s="31">
        <f>A16-utc_offset/24</f>
        <v>43101.91574074074</v>
      </c>
      <c r="W16" s="45" t="str">
        <f>DetSubdiv(C16)</f>
        <v>EC</v>
      </c>
      <c r="X16" s="228">
        <f>VALUE(LEFT(C16,LEN(C16)-3))</f>
        <v>189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drop","project_id":79,"tracker_id":40,"status_id":1,"priority_id":2,"assigned_to_id":338,"start_date":"2018-01-01","description":"","custom_fields":[{"id":1,"name":"Subdivision","value":"EC"},{"id":4,"name":"Milepost","value":"3.8639"},{"id":17,"name":"Train ID","value":"189-01"},{"id":16,"name":"Locomotive ID","value":"4042"},{"id":130,"name":"Impact","value":""},{"id":150,"name":"Time of Event (Mountain Time)","value":"14:58:40"},{"id":151,"name":"Denver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/c/Users/stu/AppData/Local/Temp/OnboardLogs/RTDC4042 --include="*4042*201801012*"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"%USERPROFILE%\AppData\Local\Temp\OnboardLogs"\RTDC4042\*4042*201801012* &gt;&gt; 2018-01-01-SliceDisagreementCheck.txt</v>
      </c>
      <c r="AE16" s="144" t="str">
        <f t="shared" si="1"/>
        <v>start /low /b %USERPROFILE%\Documents\GitHub\eaglep3\Utilities\DownloadLogsFromS3.py --loco 4042 --day 2018-01-01</v>
      </c>
      <c r="AF16" s="1"/>
    </row>
    <row r="17" spans="1:32" x14ac:dyDescent="0.3">
      <c r="A17" s="31">
        <v>43101.702951388892</v>
      </c>
      <c r="B17" s="30" t="s">
        <v>658</v>
      </c>
      <c r="C17" s="30" t="s">
        <v>668</v>
      </c>
      <c r="D17" s="30" t="s">
        <v>49</v>
      </c>
      <c r="E17" s="30" t="s">
        <v>354</v>
      </c>
      <c r="F17" s="42">
        <v>0</v>
      </c>
      <c r="G17" s="42">
        <v>356</v>
      </c>
      <c r="H17" s="42">
        <v>59851</v>
      </c>
      <c r="I17" s="42">
        <v>58901</v>
      </c>
      <c r="J17" s="30" t="s">
        <v>355</v>
      </c>
      <c r="K17" s="42">
        <v>57897</v>
      </c>
      <c r="L17" s="131" t="s">
        <v>51</v>
      </c>
      <c r="M17" s="132">
        <f>CONVERT((I17-K17)/10000,"mi","ft")*IF(L17="Increasing Mileposts (1)",-1,1)</f>
        <v>530.11199999999997</v>
      </c>
      <c r="N17" s="133" t="str">
        <f>VLOOKUP(C17,'Trips&amp;Operators'!$C$1:$G$99911,5,FALSE)</f>
        <v>BARTLETT KIANDRA</v>
      </c>
      <c r="O17" s="175" t="s">
        <v>348</v>
      </c>
      <c r="P17" s="239" t="s">
        <v>464</v>
      </c>
      <c r="Q17" s="30"/>
      <c r="R17" s="81" t="str">
        <f>VLOOKUP(C17,'Train Runs'!$A$13:$AE$10207,31,0)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S17" s="84" t="str">
        <f>VLOOKUP(C17,'Train Runs'!$A$13:$AE$10207,22,0)</f>
        <v>https://d0f6bd738d7f1b3e5a7ca70fe4ff75f0.us-east-1.aws.found.io/app/kibana#/discover/Steve-Slow-Train-Analysis-(2080s-and-2083s)?_g=(refreshInterval:(display:Off,pause:!f,section:0,value:0),time:(from:'2018-01-01T15:18:52-0700',mode:absolute,to:'2018-01-01T18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/stypes="*4063*201801012*" /stext=" 23:.+((SYSTEM_STATE.+slice.+state.+changed )|(ment ac)|(multiple cpu faults)|(system.+state.+changed )|(\[timeout)|(PRM\|1\|D)|(kpr)|(kdp)|(train st.+moving)|(\|lc)|(penalty))"</v>
      </c>
      <c r="U17" s="9" t="str">
        <f>MID(B17,13,4)</f>
        <v>4063</v>
      </c>
      <c r="V17" s="31">
        <f>A17-utc_offset/24</f>
        <v>43101.994618055556</v>
      </c>
      <c r="W17" s="45" t="str">
        <f>DetSubdiv(C17)</f>
        <v>EC</v>
      </c>
      <c r="X17" s="228">
        <f>VALUE(LEFT(C17,LEN(C17)-3))</f>
        <v>196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drop","project_id":79,"tracker_id":40,"status_id":1,"priority_id":2,"assigned_to_id":338,"start_date":"2018-01-01","description":"","custom_fields":[{"id":1,"name":"Subdivision","value":"EC"},{"id":4,"name":"Milepost","value":"5.7897"},{"id":17,"name":"Train ID","value":"196-01"},{"id":16,"name":"Locomotive ID","value":"4063"},{"id":130,"name":"Impact","value":""},{"id":150,"name":"Time of Event (Mountain Time)","value":"16:52:15"},{"id":151,"name":"Denver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/c/Users/stu/AppData/Local/Temp/OnboardLogs/RTDC4063 --include="*4063*201801012*"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"%USERPROFILE%\AppData\Local\Temp\OnboardLogs"\RTDC4063\*4063*201801012* &gt;&gt; 2018-01-01-SliceDisagreementCheck.txt</v>
      </c>
      <c r="AE17" s="144" t="str">
        <f t="shared" si="1"/>
        <v>start /low /b %USERPROFILE%\Documents\GitHub\eaglep3\Utilities\DownloadLogsFromS3.py --loco 4063 --day 2018-01-01</v>
      </c>
      <c r="AF17" s="1"/>
    </row>
    <row r="18" spans="1:32" x14ac:dyDescent="0.3">
      <c r="A18" s="31">
        <v>43101.726319444446</v>
      </c>
      <c r="B18" s="30" t="s">
        <v>547</v>
      </c>
      <c r="C18" s="30" t="s">
        <v>669</v>
      </c>
      <c r="D18" s="30" t="s">
        <v>49</v>
      </c>
      <c r="E18" s="30" t="s">
        <v>354</v>
      </c>
      <c r="F18" s="42">
        <v>0</v>
      </c>
      <c r="G18" s="42">
        <v>787</v>
      </c>
      <c r="H18" s="42">
        <v>143673</v>
      </c>
      <c r="I18" s="42">
        <v>147728</v>
      </c>
      <c r="J18" s="30" t="s">
        <v>355</v>
      </c>
      <c r="K18" s="42">
        <v>144300</v>
      </c>
      <c r="L18" s="131" t="s">
        <v>50</v>
      </c>
      <c r="M18" s="132">
        <f>CONVERT((I18-K18)/10000,"mi","ft")*IF(L18="Increasing Mileposts (1)",-1,1)</f>
        <v>-1809.9839999999999</v>
      </c>
      <c r="N18" s="133" t="str">
        <f>VLOOKUP(C18,'Trips&amp;Operators'!$C$1:$G$99911,5,FALSE)</f>
        <v>LEVERE CRAIG</v>
      </c>
      <c r="O18" s="175" t="s">
        <v>348</v>
      </c>
      <c r="P18" s="239" t="s">
        <v>464</v>
      </c>
      <c r="Q18" s="30"/>
      <c r="R18" s="81" t="str">
        <f>VLOOKUP(C18,'Train Runs'!$A$13:$AE$10207,31,0)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S18" s="84" t="str">
        <f>VLOOKUP(C18,'Train Runs'!$A$13:$AE$10207,22,0)</f>
        <v>https://d0f6bd738d7f1b3e5a7ca70fe4ff75f0.us-east-1.aws.found.io/app/kibana#/discover/Steve-Slow-Train-Analysis-(2080s-and-2083s)?_g=(refreshInterval:(display:Off,pause:!f,section:0,value:0),time:(from:'2018-01-01T15:54:24-0700',mode:absolute,to:'2018-01-01T18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/stypes="*4014*201801020*" /stext=" 00:.+((SYSTEM_STATE.+slice.+state.+changed )|(ment ac)|(multiple cpu faults)|(system.+state.+changed )|(\[timeout)|(PRM\|1\|D)|(kpr)|(kdp)|(train st.+moving)|(\|lc)|(penalty))"</v>
      </c>
      <c r="U18" s="9" t="str">
        <f>MID(B18,13,4)</f>
        <v>4014</v>
      </c>
      <c r="V18" s="31">
        <f>A18-utc_offset/24</f>
        <v>43102.01798611111</v>
      </c>
      <c r="W18" s="45" t="str">
        <f>DetSubdiv(C18)</f>
        <v>EC</v>
      </c>
      <c r="X18" s="228">
        <f>VALUE(LEFT(C18,LEN(C18)-3))</f>
        <v>207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drop","project_id":79,"tracker_id":40,"status_id":1,"priority_id":2,"assigned_to_id":338,"start_date":"2018-01-01","description":"","custom_fields":[{"id":1,"name":"Subdivision","value":"EC"},{"id":4,"name":"Milepost","value":"14.43"},{"id":17,"name":"Train ID","value":"207-01"},{"id":16,"name":"Locomotive ID","value":"4014"},{"id":130,"name":"Impact","value":""},{"id":150,"name":"Time of Event (Mountain Time)","value":"17:25:54"},{"id":151,"name":"Denver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/c/Users/stu/AppData/Local/Temp/OnboardLogs/RTDC4014 --include="*4014*201801020*"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"%USERPROFILE%\AppData\Local\Temp\OnboardLogs"\RTDC4014\*4014*201801020* &gt;&gt; 2018-01-01-SliceDisagreementCheck.txt</v>
      </c>
      <c r="AE18" s="144" t="str">
        <f t="shared" si="1"/>
        <v>start /low /b %USERPROFILE%\Documents\GitHub\eaglep3\Utilities\DownloadLogsFromS3.py --loco 4014 --day 2018-01-02</v>
      </c>
      <c r="AF18" s="1"/>
    </row>
    <row r="19" spans="1:32" x14ac:dyDescent="0.3">
      <c r="A19" s="31">
        <v>43101.953472222223</v>
      </c>
      <c r="B19" s="30" t="s">
        <v>444</v>
      </c>
      <c r="C19" s="30" t="s">
        <v>678</v>
      </c>
      <c r="D19" s="30" t="s">
        <v>49</v>
      </c>
      <c r="E19" s="30" t="s">
        <v>545</v>
      </c>
      <c r="F19" s="42">
        <v>0</v>
      </c>
      <c r="G19" s="42">
        <v>612</v>
      </c>
      <c r="H19" s="42">
        <v>123500</v>
      </c>
      <c r="I19" s="42">
        <v>127672</v>
      </c>
      <c r="J19" s="30" t="s">
        <v>546</v>
      </c>
      <c r="K19" s="42">
        <v>126678</v>
      </c>
      <c r="L19" s="131" t="s">
        <v>50</v>
      </c>
      <c r="M19" s="132">
        <f>CONVERT((I19-K19)/10000,"mi","ft")*IF(L19="Increasing Mileposts (1)",-1,1)</f>
        <v>-524.83199999999999</v>
      </c>
      <c r="N19" s="133" t="str">
        <f>VLOOKUP(C19,'Trips&amp;Operators'!$C$1:$G$99911,5,FALSE)</f>
        <v>WILLIAMS DONTE</v>
      </c>
      <c r="O19" s="175" t="s">
        <v>348</v>
      </c>
      <c r="P19" s="239" t="s">
        <v>464</v>
      </c>
      <c r="Q19" s="30"/>
      <c r="R19" s="81" t="str">
        <f>VLOOKUP(C19,'Train Runs'!$A$13:$AE$10207,31,0)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S19" s="84" t="str">
        <f>VLOOKUP(C19,'Train Runs'!$A$13:$AE$10207,22,0)</f>
        <v>https://d0f6bd738d7f1b3e5a7ca70fe4ff75f0.us-east-1.aws.found.io/app/kibana#/discover/Steve-Slow-Train-Analysis-(2080s-and-2083s)?_g=(refreshInterval:(display:Off,pause:!f,section:0,value:0),time:(from:'2018-01-01T21:40:05-0700',mode:absolute,to:'2018-01-02T00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/stypes="*4050*201801020*" /stext=" 05:.+((SYSTEM_STATE.+slice.+state.+changed )|(ment ac)|(multiple cpu faults)|(system.+state.+changed )|(\[timeout)|(PRM\|1\|D)|(kpr)|(kdp)|(train st.+moving)|(\|lc)|(penalty))"</v>
      </c>
      <c r="U19" s="9" t="str">
        <f>MID(B19,13,4)</f>
        <v>4050</v>
      </c>
      <c r="V19" s="31">
        <f>A19-utc_offset/24</f>
        <v>43102.245138888888</v>
      </c>
      <c r="W19" s="45" t="str">
        <f>DetSubdiv(C19)</f>
        <v>EC</v>
      </c>
      <c r="X19" s="228">
        <f>VALUE(LEFT(C19,LEN(C19)-3))</f>
        <v>235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drop","project_id":79,"tracker_id":40,"status_id":1,"priority_id":2,"assigned_to_id":338,"start_date":"2018-01-01","description":"","custom_fields":[{"id":1,"name":"Subdivision","value":"EC"},{"id":4,"name":"Milepost","value":"12.6678"},{"id":17,"name":"Train ID","value":"235-01"},{"id":16,"name":"Locomotive ID","value":"4050"},{"id":130,"name":"Impact","value":""},{"id":150,"name":"Time of Event (Mountain Time)","value":"22:53:00"},{"id":151,"name":"Denver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/c/Users/stu/AppData/Local/Temp/OnboardLogs/RTDC4050 --include="*4050*201801020*"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"%USERPROFILE%\AppData\Local\Temp\OnboardLogs"\RTDC4050\*4050*201801020* &gt;&gt; 2018-01-01-SliceDisagreementCheck.txt</v>
      </c>
      <c r="AE19" s="144" t="str">
        <f t="shared" si="1"/>
        <v>start /low /b %USERPROFILE%\Documents\GitHub\eaglep3\Utilities\DownloadLogsFromS3.py --loco 4050 --day 2018-01-02</v>
      </c>
      <c r="AF19" s="1"/>
    </row>
    <row r="20" spans="1:32" x14ac:dyDescent="0.3">
      <c r="A20" s="31">
        <v>43101.593460648146</v>
      </c>
      <c r="B20" s="30" t="s">
        <v>661</v>
      </c>
      <c r="C20" s="30" t="s">
        <v>662</v>
      </c>
      <c r="D20" s="30" t="s">
        <v>95</v>
      </c>
      <c r="E20" s="30" t="s">
        <v>190</v>
      </c>
      <c r="F20" s="42">
        <v>450</v>
      </c>
      <c r="G20" s="42">
        <v>506</v>
      </c>
      <c r="H20" s="42">
        <v>14577</v>
      </c>
      <c r="I20" s="42">
        <v>16359</v>
      </c>
      <c r="J20" s="30" t="s">
        <v>191</v>
      </c>
      <c r="K20" s="42">
        <v>13572</v>
      </c>
      <c r="L20" s="131" t="s">
        <v>50</v>
      </c>
      <c r="M20" s="132">
        <f>CONVERT((I20-K20)/10000,"mi","ft")*IF(L20="Increasing Mileposts (1)",-1,1)</f>
        <v>-1471.5360000000001</v>
      </c>
      <c r="N20" s="133" t="str">
        <f>VLOOKUP(C20,'Trips&amp;Operators'!$C$1:$G$99911,5,FALSE)</f>
        <v>STARKS ANGELINA</v>
      </c>
      <c r="O20" s="175" t="s">
        <v>178</v>
      </c>
      <c r="P20" s="239"/>
      <c r="Q20" s="30"/>
      <c r="R20" s="81" t="str">
        <f>VLOOKUP(C20,'Train Runs'!$A$13:$AE$10207,31,0)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S20" s="84" t="str">
        <f>VLOOKUP(C20,'Train Runs'!$A$13:$AE$10207,22,0)</f>
        <v>https://d0f6bd738d7f1b3e5a7ca70fe4ff75f0.us-east-1.aws.found.io/app/kibana#/discover/Steve-Slow-Train-Analysis-(2080s-and-2083s)?_g=(refreshInterval:(display:Off,pause:!f,section:0,value:0),time:(from:'2018-01-01T12:03:21-0700',mode:absolute,to:'2018-01-01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/stypes="*4056*201801012*" /stext=" 21:.+((SYSTEM_STATE.+slice.+state.+changed )|(ment ac)|(multiple cpu faults)|(system.+state.+changed )|(\[timeout)|(PRM\|1\|D)|(kpr)|(kdp)|(train st.+moving)|(\|lc)|(penalty))"</v>
      </c>
      <c r="U20" s="9" t="str">
        <f>MID(B20,13,4)</f>
        <v>4056</v>
      </c>
      <c r="V20" s="31">
        <f>A20-utc_offset/24</f>
        <v>43101.88512731481</v>
      </c>
      <c r="W20" s="45" t="str">
        <f>DetSubdiv(C20)</f>
        <v>NW</v>
      </c>
      <c r="X20" s="228">
        <f>VALUE(LEFT(C20,LEN(C20)-3))</f>
        <v>1817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{"issue":{"subject":"","project_id":79,"tracker_id":40,"status_id":1,"priority_id":2,"assigned_to_id":338,"start_date":"2018-01-01","description":"","custom_fields":[{"id":1,"name":"Subdivision","value":"NW"},{"id":4,"name":"Milepost","value":"1.3572"},{"id":17,"name":"Train ID","value":"1817-01"},{"id":16,"name":"Locomotive ID","value":"4056"},{"id":130,"name":"Impact","value":""},{"id":150,"name":"Time of Event (Mountain Time)","value":"14:14:35"},{"id":151,"name":"Denver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/c/Users/stu/AppData/Local/Temp/OnboardLogs/RTDC4056 --include="*4056*201801012*"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"%USERPROFILE%\AppData\Local\Temp\OnboardLogs"\RTDC4056\*4056*201801012* &gt;&gt; 2018-01-01-SliceDisagreementCheck.txt</v>
      </c>
      <c r="AE20" s="144" t="str">
        <f t="shared" si="1"/>
        <v>start /low /b %USERPROFILE%\Documents\GitHub\eaglep3\Utilities\DownloadLogsFromS3.py --loco 4056 --day 2018-01-01</v>
      </c>
      <c r="AF20" s="1"/>
    </row>
    <row r="21" spans="1:32" x14ac:dyDescent="0.3">
      <c r="A21" s="31">
        <v>43101.946851851855</v>
      </c>
      <c r="B21" s="30" t="s">
        <v>351</v>
      </c>
      <c r="C21" s="30" t="s">
        <v>677</v>
      </c>
      <c r="D21" s="30" t="s">
        <v>95</v>
      </c>
      <c r="E21" s="30" t="s">
        <v>190</v>
      </c>
      <c r="F21" s="42">
        <v>150</v>
      </c>
      <c r="G21" s="42">
        <v>204</v>
      </c>
      <c r="H21" s="42">
        <v>56887</v>
      </c>
      <c r="I21" s="42">
        <v>56502</v>
      </c>
      <c r="J21" s="30" t="s">
        <v>191</v>
      </c>
      <c r="K21" s="42">
        <v>59050</v>
      </c>
      <c r="L21" s="131" t="s">
        <v>51</v>
      </c>
      <c r="M21" s="132">
        <f>CONVERT((I21-K21)/10000,"mi","ft")*IF(L21="Increasing Mileposts (1)",-1,1)</f>
        <v>-1345.3440000000001</v>
      </c>
      <c r="N21" s="133" t="str">
        <f>VLOOKUP(C21,'Trips&amp;Operators'!$C$1:$G$99911,5,FALSE)</f>
        <v>STAMBAUGH JAMES</v>
      </c>
      <c r="O21" s="175" t="s">
        <v>178</v>
      </c>
      <c r="P21" s="239"/>
      <c r="Q21" s="30"/>
      <c r="R21" s="81" t="str">
        <f>VLOOKUP(C21,'Train Runs'!$A$13:$AE$10207,31,0)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S21" s="84" t="str">
        <f>VLOOKUP(C21,'Train Runs'!$A$13:$AE$10207,22,0)</f>
        <v>https://d0f6bd738d7f1b3e5a7ca70fe4ff75f0.us-east-1.aws.found.io/app/kibana#/discover/Steve-Slow-Train-Analysis-(2080s-and-2083s)?_g=(refreshInterval:(display:Off,pause:!f,section:0,value:0),time:(from:'2018-01-01T21:23:38-0700',mode:absolute,to:'2018-01-01T23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/stypes="*4055*201801020*" /stext=" 05:.+((SYSTEM_STATE.+slice.+state.+changed )|(ment ac)|(multiple cpu faults)|(system.+state.+changed )|(\[timeout)|(PRM\|1\|D)|(kpr)|(kdp)|(train st.+moving)|(\|lc)|(penalty))"</v>
      </c>
      <c r="U21" s="9" t="str">
        <f>MID(B21,13,4)</f>
        <v>4055</v>
      </c>
      <c r="V21" s="31">
        <f>A21-utc_offset/24</f>
        <v>43102.238518518519</v>
      </c>
      <c r="W21" s="45" t="str">
        <f>DetSubdiv(C21)</f>
        <v>NW</v>
      </c>
      <c r="X21" s="228">
        <f>VALUE(LEFT(C21,LEN(C21)-3))</f>
        <v>1834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{"issue":{"subject":"","project_id":79,"tracker_id":40,"status_id":1,"priority_id":2,"assigned_to_id":338,"start_date":"2018-01-01","description":"","custom_fields":[{"id":1,"name":"Subdivision","value":"NW"},{"id":4,"name":"Milepost","value":"5.905"},{"id":17,"name":"Train ID","value":"1834-01"},{"id":16,"name":"Locomotive ID","value":"4055"},{"id":130,"name":"Impact","value":""},{"id":150,"name":"Time of Event (Mountain Time)","value":"22:43:28"},{"id":151,"name":"Denver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/c/Users/stu/AppData/Local/Temp/OnboardLogs/RTDC4055 --include="*4055*201801020*"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"%USERPROFILE%\AppData\Local\Temp\OnboardLogs"\RTDC4055\*4055*201801020* &gt;&gt; 2018-01-01-SliceDisagreementCheck.txt</v>
      </c>
      <c r="AE21" s="144" t="str">
        <f t="shared" si="1"/>
        <v>start /low /b %USERPROFILE%\Documents\GitHub\eaglep3\Utilities\DownloadLogsFromS3.py --loco 4055 --day 2018-01-02</v>
      </c>
      <c r="AF21" s="1"/>
    </row>
    <row r="22" spans="1:32" x14ac:dyDescent="0.3">
      <c r="A22" s="31">
        <v>43101.91170138889</v>
      </c>
      <c r="B22" s="30" t="s">
        <v>351</v>
      </c>
      <c r="C22" s="30" t="s">
        <v>676</v>
      </c>
      <c r="D22" s="30" t="s">
        <v>95</v>
      </c>
      <c r="E22" s="30" t="s">
        <v>601</v>
      </c>
      <c r="F22" s="42">
        <v>100</v>
      </c>
      <c r="G22" s="42">
        <v>152</v>
      </c>
      <c r="H22" s="42">
        <v>3720</v>
      </c>
      <c r="I22" s="42">
        <v>3429</v>
      </c>
      <c r="J22" s="30" t="s">
        <v>184</v>
      </c>
      <c r="K22" s="42">
        <v>4701</v>
      </c>
      <c r="L22" s="131" t="s">
        <v>51</v>
      </c>
      <c r="M22" s="132">
        <f>CONVERT((I22-K22)/10000,"mi","ft")*IF(L22="Increasing Mileposts (1)",-1,1)</f>
        <v>-671.61599999999999</v>
      </c>
      <c r="N22" s="133" t="str">
        <f>VLOOKUP(C22,'Trips&amp;Operators'!$C$1:$G$99911,5,FALSE)</f>
        <v>STAMBAUGH JAMES</v>
      </c>
      <c r="O22" s="175" t="s">
        <v>178</v>
      </c>
      <c r="P22" s="239"/>
      <c r="Q22" s="30"/>
      <c r="R22" s="81" t="str">
        <f>VLOOKUP(C22,'Train Runs'!$A$13:$AE$10207,31,0)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S22" s="84" t="str">
        <f>VLOOKUP(C22,'Train Runs'!$A$13:$AE$10207,22,0)</f>
        <v>https://d0f6bd738d7f1b3e5a7ca70fe4ff75f0.us-east-1.aws.found.io/app/kibana#/discover/Steve-Slow-Train-Analysis-(2080s-and-2083s)?_g=(refreshInterval:(display:Off,pause:!f,section:0,value:0),time:(from:'2018-01-01T20:24:21-0700',mode:absolute,to:'2018-01-01T22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/stypes="*4055*201801020*" /stext=" 04:.+((SYSTEM_STATE.+slice.+state.+changed )|(ment ac)|(multiple cpu faults)|(system.+state.+changed )|(\[timeout)|(PRM\|1\|D)|(kpr)|(kdp)|(train st.+moving)|(\|lc)|(penalty))"</v>
      </c>
      <c r="U22" s="9" t="str">
        <f>MID(B22,13,4)</f>
        <v>4055</v>
      </c>
      <c r="V22" s="31">
        <f>A22-utc_offset/24</f>
        <v>43102.203368055554</v>
      </c>
      <c r="W22" s="45" t="str">
        <f>DetSubdiv(C22)</f>
        <v>NW</v>
      </c>
      <c r="X22" s="228">
        <f>VALUE(LEFT(C22,LEN(C22)-3))</f>
        <v>1832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{"issue":{"subject":"","project_id":79,"tracker_id":40,"status_id":1,"priority_id":2,"assigned_to_id":338,"start_date":"2018-01-01","description":"","custom_fields":[{"id":1,"name":"Subdivision","value":"NW"},{"id":4,"name":"Milepost","value":"0.4701"},{"id":17,"name":"Train ID","value":"1832-01"},{"id":16,"name":"Locomotive ID","value":"4055"},{"id":130,"name":"Impact","value":""},{"id":150,"name":"Time of Event (Mountain Time)","value":"21:52:51"},{"id":151,"name":"Denver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/c/Users/stu/AppData/Local/Temp/OnboardLogs/RTDC4055 --include="*4055*201801020*"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"%USERPROFILE%\AppData\Local\Temp\OnboardLogs"\RTDC4055\*4055*201801020* &gt;&gt; 2018-01-01-SliceDisagreementCheck.txt</v>
      </c>
      <c r="AE22" s="144" t="str">
        <f t="shared" si="1"/>
        <v>start /low /b %USERPROFILE%\Documents\GitHub\eaglep3\Utilities\DownloadLogsFromS3.py --loco 4055 --day 2018-01-02</v>
      </c>
      <c r="AF22" s="1"/>
    </row>
    <row r="23" spans="1:32" x14ac:dyDescent="0.3">
      <c r="A23" s="31">
        <v>43101.7421412037</v>
      </c>
      <c r="B23" s="30" t="s">
        <v>470</v>
      </c>
      <c r="C23" s="30" t="s">
        <v>670</v>
      </c>
      <c r="D23" s="30" t="s">
        <v>49</v>
      </c>
      <c r="E23" s="30" t="s">
        <v>354</v>
      </c>
      <c r="F23" s="42">
        <v>0</v>
      </c>
      <c r="G23" s="42">
        <v>363</v>
      </c>
      <c r="H23" s="42">
        <v>8922</v>
      </c>
      <c r="I23" s="42">
        <v>8222</v>
      </c>
      <c r="J23" s="30" t="s">
        <v>355</v>
      </c>
      <c r="K23" s="42">
        <v>6799</v>
      </c>
      <c r="L23" s="131" t="s">
        <v>51</v>
      </c>
      <c r="M23" s="132">
        <f>CONVERT((I23-K23)/10000,"mi","ft")*IF(L23="Increasing Mileposts (1)",-1,1)</f>
        <v>751.34400000000005</v>
      </c>
      <c r="N23" s="133" t="str">
        <f>VLOOKUP(C23,'Trips&amp;Operators'!$C$1:$G$99911,5,FALSE)</f>
        <v>AUSTIN THOMPSON</v>
      </c>
      <c r="O23" s="175" t="s">
        <v>178</v>
      </c>
      <c r="P23" s="239"/>
      <c r="Q23" s="30"/>
      <c r="R23" s="81" t="str">
        <f>VLOOKUP(C23,'Train Runs'!$A$13:$AE$10207,31,0)</f>
        <v>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 &amp; aws s3 cp s3://rtdc.mdm.uploadarchive.raw/RTDC4015/ "%USERPROFILE%\AppData\Local\Temp\OnboardLogs"\RTDC4015\2018-01-02 --exclude "*" --recursive --include "*20180102*" &amp; "%USERPROFILE%\Documents\GitHub\mrs-test-scripts\Headless Mode &amp; Sideloading\WalkAndUnGZ.bat" "%USERPROFILE%\AppData\Local\Temp\OnboardLogs"\RTDC4015\2018-01-02</v>
      </c>
      <c r="S23" s="84" t="str">
        <f>VLOOKUP(C23,'Train Runs'!$A$13:$AE$10207,22,0)</f>
        <v>https://d0f6bd738d7f1b3e5a7ca70fe4ff75f0.us-east-1.aws.found.io/app/kibana#/discover/Steve-Slow-Train-Analysis-(2080s-and-2083s)?_g=(refreshInterval:(display:Off,pause:!f,section:0,value:0),time:(from:'2018-01-01T16:38:02-0700',mode:absolute,to:'2018-01-01T18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/stypes="*4015*201801020*" /stext=" 00:.+((SYSTEM_STATE.+slice.+state.+changed )|(ment ac)|(multiple cpu faults)|(system.+state.+changed )|(\[timeout)|(PRM\|1\|D)|(kpr)|(kdp)|(train st.+moving)|(\|lc)|(penalty))"</v>
      </c>
      <c r="U23" s="9" t="str">
        <f>MID(B23,13,4)</f>
        <v>4015</v>
      </c>
      <c r="V23" s="31">
        <f>A23-utc_offset/24</f>
        <v>43102.033807870364</v>
      </c>
      <c r="W23" s="45" t="str">
        <f>DetSubdiv(C23)</f>
        <v>Shuttle/Test</v>
      </c>
      <c r="X23" s="228">
        <f>VALUE(LEFT(C23,LEN(C23)-3))</f>
        <v>88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Shuttle/Test"},{"id":4,"name":"Milepost","value":"0.6799"},{"id":17,"name":"Train ID","value":"88-01"},{"id":16,"name":"Locomotive ID","value":"4015"},{"id":130,"name":"Impact","value":""},{"id":150,"name":"Time of Event (Mountain Time)","value":"17:48:41"},{"id":151,"name":"Denver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/c/Users/stu/AppData/Local/Temp/OnboardLogs/RTDC4015 --include="*4015*201801020*"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"%USERPROFILE%\AppData\Local\Temp\OnboardLogs"\RTDC4015\*4015*201801020* &gt;&gt; 2018-01-01-SliceDisagreementCheck.txt</v>
      </c>
      <c r="AE23" s="144" t="str">
        <f t="shared" si="1"/>
        <v>start /low /b %USERPROFILE%\Documents\GitHub\eaglep3\Utilities\DownloadLogsFromS3.py --loco 4015 --day 2018-01-02</v>
      </c>
      <c r="AF23" s="1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3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</sheetData>
  <autoFilter ref="A6:AC15">
    <sortState ref="A7:AC23">
      <sortCondition ref="W7:W23"/>
      <sortCondition ref="E7:E23"/>
      <sortCondition ref="K7:K23"/>
      <sortCondition ref="F7:F23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1:O1048576 O7:O23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3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2018-01-01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-01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Runs'!$A$13:$A$100204,1,FALSE)</f>
        <v>#N/A</v>
      </c>
    </row>
    <row r="4" spans="1:10" x14ac:dyDescent="0.3">
      <c r="A4" s="197"/>
      <c r="B4" s="42" t="str">
        <f>A4&amp;"-"&amp;IF(DAY(Variables!$A$2)&lt;10,0,"")&amp;DAY(Variables!$A$2)</f>
        <v>-01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Runs'!$A$13:$A$100204,1,FALSE)</f>
        <v>#N/A</v>
      </c>
    </row>
    <row r="5" spans="1:10" x14ac:dyDescent="0.3">
      <c r="A5" s="197"/>
      <c r="B5" s="42" t="str">
        <f>A5&amp;"-"&amp;IF(DAY(Variables!$A$2)&lt;10,0,"")&amp;DAY(Variables!$A$2)</f>
        <v>-01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Runs'!$A$13:$A$100204,1,FALSE)</f>
        <v>#N/A</v>
      </c>
    </row>
    <row r="6" spans="1:10" x14ac:dyDescent="0.3">
      <c r="A6" s="197"/>
      <c r="B6" s="42" t="str">
        <f>A6&amp;"-"&amp;IF(DAY(Variables!$A$2)&lt;10,0,"")&amp;DAY(Variables!$A$2)</f>
        <v>-01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Runs'!$A$13:$A$100204,1,FALSE)</f>
        <v>#N/A</v>
      </c>
    </row>
    <row r="7" spans="1:10" x14ac:dyDescent="0.3">
      <c r="A7" s="197"/>
      <c r="B7" s="42" t="str">
        <f>A7&amp;"-"&amp;IF(DAY(Variables!$A$2)&lt;10,0,"")&amp;DAY(Variables!$A$2)</f>
        <v>-01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Runs'!$A$13:$A$100204,1,FALSE)</f>
        <v>#N/A</v>
      </c>
    </row>
    <row r="8" spans="1:10" x14ac:dyDescent="0.3">
      <c r="A8" s="197"/>
      <c r="B8" s="42" t="str">
        <f>A8&amp;"-"&amp;IF(DAY(Variables!$A$2)&lt;10,0,"")&amp;DAY(Variables!$A$2)</f>
        <v>-01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Runs'!$A$13:$A$100204,1,FALSE)</f>
        <v>#N/A</v>
      </c>
    </row>
    <row r="9" spans="1:10" x14ac:dyDescent="0.3">
      <c r="A9" s="197"/>
      <c r="B9" s="42" t="str">
        <f>A9&amp;"-"&amp;IF(DAY(Variables!$A$2)&lt;10,0,"")&amp;DAY(Variables!$A$2)</f>
        <v>-01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Runs'!$A$13:$A$100204,1,FALSE)</f>
        <v>#N/A</v>
      </c>
    </row>
    <row r="10" spans="1:10" x14ac:dyDescent="0.3">
      <c r="A10" s="197"/>
      <c r="B10" s="42" t="str">
        <f>A10&amp;"-"&amp;IF(DAY(Variables!$A$2)&lt;10,0,"")&amp;DAY(Variables!$A$2)</f>
        <v>-01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Runs'!$A$13:$A$100204,1,FALSE)</f>
        <v>#N/A</v>
      </c>
    </row>
    <row r="11" spans="1:10" x14ac:dyDescent="0.3">
      <c r="A11" s="197"/>
      <c r="B11" s="42" t="str">
        <f>A11&amp;"-"&amp;IF(DAY(Variables!$A$2)&lt;10,0,"")&amp;DAY(Variables!$A$2)</f>
        <v>-01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Runs'!$A$13:$A$100204,1,FALSE)</f>
        <v>#N/A</v>
      </c>
    </row>
    <row r="12" spans="1:10" x14ac:dyDescent="0.3">
      <c r="A12" s="197"/>
      <c r="B12" s="42" t="str">
        <f>A12&amp;"-"&amp;IF(DAY(Variables!$A$2)&lt;10,0,"")&amp;DAY(Variables!$A$2)</f>
        <v>-01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Runs'!$A$13:$A$100204,1,FALSE)</f>
        <v>#N/A</v>
      </c>
    </row>
    <row r="13" spans="1:10" x14ac:dyDescent="0.3">
      <c r="A13" s="197"/>
      <c r="B13" s="42" t="str">
        <f>A13&amp;"-"&amp;IF(DAY(Variables!$A$2)&lt;10,0,"")&amp;DAY(Variables!$A$2)</f>
        <v>-01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Runs'!$A$13:$A$100204,1,FALSE)</f>
        <v>#N/A</v>
      </c>
    </row>
    <row r="14" spans="1:10" x14ac:dyDescent="0.3">
      <c r="A14" s="197"/>
      <c r="B14" s="42" t="str">
        <f>A14&amp;"-"&amp;IF(DAY(Variables!$A$2)&lt;10,0,"")&amp;DAY(Variables!$A$2)</f>
        <v>-01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Runs'!$A$13:$A$100204,1,FALSE)</f>
        <v>#N/A</v>
      </c>
    </row>
    <row r="15" spans="1:10" x14ac:dyDescent="0.3">
      <c r="A15" s="197"/>
      <c r="B15" s="42" t="str">
        <f>A15&amp;"-"&amp;IF(DAY(Variables!$A$2)&lt;10,0,"")&amp;DAY(Variables!$A$2)</f>
        <v>-01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Runs'!$A$13:$A$100204,1,FALSE)</f>
        <v>#N/A</v>
      </c>
    </row>
    <row r="16" spans="1:10" x14ac:dyDescent="0.3">
      <c r="A16" s="197"/>
      <c r="B16" s="42" t="str">
        <f>A16&amp;"-"&amp;IF(DAY(Variables!$A$2)&lt;10,0,"")&amp;DAY(Variables!$A$2)</f>
        <v>-01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Runs'!$A$13:$A$100204,1,FALSE)</f>
        <v>#N/A</v>
      </c>
    </row>
    <row r="17" spans="1:10" x14ac:dyDescent="0.3">
      <c r="A17" s="197"/>
      <c r="B17" s="42" t="str">
        <f>A17&amp;"-"&amp;IF(DAY(Variables!$A$2)&lt;10,0,"")&amp;DAY(Variables!$A$2)</f>
        <v>-01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Runs'!$A$13:$A$100204,1,FALSE)</f>
        <v>#N/A</v>
      </c>
    </row>
    <row r="18" spans="1:10" x14ac:dyDescent="0.3">
      <c r="A18" s="197"/>
      <c r="B18" s="42" t="str">
        <f>A18&amp;"-"&amp;IF(DAY(Variables!$A$2)&lt;10,0,"")&amp;DAY(Variables!$A$2)</f>
        <v>-01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Runs'!$A$13:$A$100204,1,FALSE)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22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43101.03329861111</v>
      </c>
      <c r="B2" s="20" t="s">
        <v>603</v>
      </c>
      <c r="C2" s="20" t="s">
        <v>609</v>
      </c>
      <c r="D2" s="137">
        <v>3670000</v>
      </c>
      <c r="E2" s="20" t="s">
        <v>382</v>
      </c>
      <c r="F2" s="20" t="s">
        <v>368</v>
      </c>
      <c r="G2" s="8" t="str">
        <f>E2&amp;" "&amp;F2</f>
        <v>ANDREA WILLIAMS</v>
      </c>
      <c r="H2" t="str">
        <f>MID(B2,13,4)</f>
        <v>4025</v>
      </c>
    </row>
    <row r="3" spans="1:8" x14ac:dyDescent="0.3">
      <c r="A3" s="8">
        <v>43101.048877314817</v>
      </c>
      <c r="B3" s="20" t="s">
        <v>360</v>
      </c>
      <c r="C3" s="20" t="s">
        <v>438</v>
      </c>
      <c r="D3" s="137">
        <v>890000</v>
      </c>
      <c r="E3" s="20" t="s">
        <v>344</v>
      </c>
      <c r="F3" s="20" t="s">
        <v>345</v>
      </c>
      <c r="G3" s="8" t="str">
        <f t="shared" ref="G3:G66" si="0">E3&amp;" "&amp;F3</f>
        <v>LOZA FIDEL</v>
      </c>
      <c r="H3" s="20" t="str">
        <f t="shared" ref="H3:H66" si="1">MID(B3,13,4)</f>
        <v>4018</v>
      </c>
    </row>
    <row r="4" spans="1:8" x14ac:dyDescent="0.3">
      <c r="A4" s="8">
        <v>43101.05537037037</v>
      </c>
      <c r="B4" s="20" t="s">
        <v>567</v>
      </c>
      <c r="C4" s="20" t="s">
        <v>439</v>
      </c>
      <c r="D4" s="137">
        <v>3220000</v>
      </c>
      <c r="E4" s="20" t="s">
        <v>378</v>
      </c>
      <c r="F4" s="20" t="s">
        <v>379</v>
      </c>
      <c r="G4" s="8" t="str">
        <f t="shared" si="0"/>
        <v>RESPASS AARON</v>
      </c>
      <c r="H4" s="20" t="str">
        <f t="shared" si="1"/>
        <v>4033</v>
      </c>
    </row>
    <row r="5" spans="1:8" x14ac:dyDescent="0.3">
      <c r="A5" s="8">
        <v>43101.068055555559</v>
      </c>
      <c r="B5" s="20" t="s">
        <v>569</v>
      </c>
      <c r="C5" s="20" t="s">
        <v>440</v>
      </c>
      <c r="D5" s="137">
        <v>3340000</v>
      </c>
      <c r="E5" s="20" t="s">
        <v>461</v>
      </c>
      <c r="F5" s="20" t="s">
        <v>462</v>
      </c>
      <c r="G5" s="8" t="str">
        <f t="shared" si="0"/>
        <v>ELBAUM MIKE</v>
      </c>
      <c r="H5" s="20" t="str">
        <f t="shared" si="1"/>
        <v>4054</v>
      </c>
    </row>
    <row r="6" spans="1:8" x14ac:dyDescent="0.3">
      <c r="A6" s="8">
        <v>43101.091423611113</v>
      </c>
      <c r="B6" s="20" t="s">
        <v>383</v>
      </c>
      <c r="C6" s="20" t="s">
        <v>441</v>
      </c>
      <c r="D6" s="137">
        <v>3220000</v>
      </c>
      <c r="E6" s="20" t="s">
        <v>378</v>
      </c>
      <c r="F6" s="20" t="s">
        <v>379</v>
      </c>
      <c r="G6" s="8" t="str">
        <f t="shared" si="0"/>
        <v>RESPASS AARON</v>
      </c>
      <c r="H6" s="20" t="str">
        <f t="shared" si="1"/>
        <v>4062</v>
      </c>
    </row>
    <row r="7" spans="1:8" x14ac:dyDescent="0.3">
      <c r="A7" s="8">
        <v>43101.114525462966</v>
      </c>
      <c r="B7" s="20" t="s">
        <v>549</v>
      </c>
      <c r="C7" s="20" t="s">
        <v>610</v>
      </c>
      <c r="D7" s="137">
        <v>1090000</v>
      </c>
      <c r="E7" s="20" t="s">
        <v>517</v>
      </c>
      <c r="F7" s="20" t="s">
        <v>352</v>
      </c>
      <c r="G7" s="8" t="str">
        <f t="shared" si="0"/>
        <v>SPECTOR MICHAEL</v>
      </c>
      <c r="H7" s="20" t="str">
        <f t="shared" si="1"/>
        <v>4021</v>
      </c>
    </row>
    <row r="8" spans="1:8" x14ac:dyDescent="0.3">
      <c r="A8" s="8">
        <v>43101.127847222226</v>
      </c>
      <c r="B8" s="20" t="s">
        <v>384</v>
      </c>
      <c r="C8" s="20" t="s">
        <v>679</v>
      </c>
      <c r="D8" s="137">
        <v>1540000</v>
      </c>
      <c r="E8" s="20" t="s">
        <v>680</v>
      </c>
      <c r="F8" s="20" t="s">
        <v>681</v>
      </c>
      <c r="G8" s="8" t="str">
        <f t="shared" si="0"/>
        <v>HELVIE ADAM</v>
      </c>
      <c r="H8" s="20" t="str">
        <f t="shared" si="1"/>
        <v>4022</v>
      </c>
    </row>
    <row r="9" spans="1:8" ht="15" thickBot="1" x14ac:dyDescent="0.35">
      <c r="A9" s="24">
        <v>43101.128877314812</v>
      </c>
      <c r="B9" s="20" t="s">
        <v>568</v>
      </c>
      <c r="C9" s="20" t="s">
        <v>682</v>
      </c>
      <c r="D9" s="137">
        <v>1090000</v>
      </c>
      <c r="E9" s="20" t="s">
        <v>517</v>
      </c>
      <c r="F9" s="20" t="s">
        <v>352</v>
      </c>
      <c r="G9" s="8" t="str">
        <f t="shared" si="0"/>
        <v>SPECTOR MICHAEL</v>
      </c>
      <c r="H9" s="20" t="str">
        <f t="shared" si="1"/>
        <v>4064</v>
      </c>
    </row>
    <row r="10" spans="1:8" x14ac:dyDescent="0.3">
      <c r="A10" s="8">
        <v>43101.140289351853</v>
      </c>
      <c r="B10" s="20" t="s">
        <v>549</v>
      </c>
      <c r="C10" s="20" t="s">
        <v>683</v>
      </c>
      <c r="D10" s="137">
        <v>1540000</v>
      </c>
      <c r="E10" s="20" t="s">
        <v>680</v>
      </c>
      <c r="F10" s="20" t="s">
        <v>681</v>
      </c>
      <c r="G10" s="8" t="str">
        <f t="shared" si="0"/>
        <v>HELVIE ADAM</v>
      </c>
      <c r="H10" s="20" t="str">
        <f t="shared" si="1"/>
        <v>4021</v>
      </c>
    </row>
    <row r="11" spans="1:8" x14ac:dyDescent="0.3">
      <c r="A11" s="8">
        <v>43101.1408912037</v>
      </c>
      <c r="B11" s="20" t="s">
        <v>518</v>
      </c>
      <c r="C11" s="20" t="s">
        <v>684</v>
      </c>
      <c r="D11" s="137">
        <v>3840000</v>
      </c>
      <c r="E11" s="20" t="s">
        <v>685</v>
      </c>
      <c r="F11" s="20" t="s">
        <v>686</v>
      </c>
      <c r="G11" s="8" t="str">
        <f t="shared" si="0"/>
        <v>LONG FULLER</v>
      </c>
      <c r="H11" s="20" t="str">
        <f t="shared" si="1"/>
        <v>4019</v>
      </c>
    </row>
    <row r="12" spans="1:8" x14ac:dyDescent="0.3">
      <c r="A12" s="8">
        <v>43101.152129629627</v>
      </c>
      <c r="B12" s="20" t="s">
        <v>519</v>
      </c>
      <c r="C12" s="20" t="s">
        <v>687</v>
      </c>
      <c r="D12" s="137">
        <v>3840000</v>
      </c>
      <c r="E12" s="20" t="s">
        <v>685</v>
      </c>
      <c r="F12" s="20" t="s">
        <v>686</v>
      </c>
      <c r="G12" s="8" t="str">
        <f t="shared" si="0"/>
        <v>LONG FULLER</v>
      </c>
      <c r="H12" s="20" t="str">
        <f t="shared" si="1"/>
        <v>4020</v>
      </c>
    </row>
    <row r="13" spans="1:8" x14ac:dyDescent="0.3">
      <c r="A13" s="8">
        <v>43101.153900462959</v>
      </c>
      <c r="B13" s="20" t="s">
        <v>566</v>
      </c>
      <c r="C13" s="20" t="s">
        <v>688</v>
      </c>
      <c r="D13" s="137">
        <v>1830000</v>
      </c>
      <c r="E13" s="20" t="s">
        <v>346</v>
      </c>
      <c r="F13" s="20" t="s">
        <v>347</v>
      </c>
      <c r="G13" s="8" t="str">
        <f t="shared" si="0"/>
        <v>YORK EDGAR</v>
      </c>
      <c r="H13" s="20" t="str">
        <f t="shared" si="1"/>
        <v>4041</v>
      </c>
    </row>
    <row r="14" spans="1:8" x14ac:dyDescent="0.3">
      <c r="A14" s="8">
        <v>43101.162800925929</v>
      </c>
      <c r="B14" s="20" t="s">
        <v>446</v>
      </c>
      <c r="C14" s="20" t="s">
        <v>689</v>
      </c>
      <c r="D14" s="137">
        <v>1830000</v>
      </c>
      <c r="E14" s="20" t="s">
        <v>346</v>
      </c>
      <c r="F14" s="20" t="s">
        <v>347</v>
      </c>
      <c r="G14" s="8" t="str">
        <f t="shared" si="0"/>
        <v>YORK EDGAR</v>
      </c>
      <c r="H14" s="20" t="str">
        <f t="shared" si="1"/>
        <v>4042</v>
      </c>
    </row>
    <row r="15" spans="1:8" x14ac:dyDescent="0.3">
      <c r="A15" s="8">
        <v>43101.16810185185</v>
      </c>
      <c r="B15" s="20" t="s">
        <v>548</v>
      </c>
      <c r="C15" s="20" t="s">
        <v>690</v>
      </c>
      <c r="D15" s="137">
        <v>2370000</v>
      </c>
      <c r="E15" s="20" t="s">
        <v>571</v>
      </c>
      <c r="F15" s="20" t="s">
        <v>572</v>
      </c>
      <c r="G15" s="8" t="str">
        <f t="shared" si="0"/>
        <v>DELGADO DIANAH</v>
      </c>
      <c r="H15" s="20" t="str">
        <f t="shared" si="1"/>
        <v>4057</v>
      </c>
    </row>
    <row r="16" spans="1:8" x14ac:dyDescent="0.3">
      <c r="A16" s="8">
        <v>43101.169710648152</v>
      </c>
      <c r="B16" s="20" t="s">
        <v>658</v>
      </c>
      <c r="C16" s="20" t="s">
        <v>691</v>
      </c>
      <c r="D16" s="137">
        <v>1090000</v>
      </c>
      <c r="E16" s="20" t="s">
        <v>517</v>
      </c>
      <c r="F16" s="20" t="s">
        <v>352</v>
      </c>
      <c r="G16" s="8" t="str">
        <f t="shared" si="0"/>
        <v>SPECTOR MICHAEL</v>
      </c>
      <c r="H16" s="20" t="str">
        <f t="shared" si="1"/>
        <v>4063</v>
      </c>
    </row>
    <row r="17" spans="1:8" x14ac:dyDescent="0.3">
      <c r="A17" s="8">
        <v>43101.181122685186</v>
      </c>
      <c r="B17" s="20" t="s">
        <v>671</v>
      </c>
      <c r="C17" s="20" t="s">
        <v>692</v>
      </c>
      <c r="D17" s="137">
        <v>2010000</v>
      </c>
      <c r="E17" s="20" t="s">
        <v>483</v>
      </c>
      <c r="F17" s="20" t="s">
        <v>484</v>
      </c>
      <c r="G17" s="8" t="str">
        <f t="shared" si="0"/>
        <v>MAELZER KURT</v>
      </c>
      <c r="H17" s="20" t="str">
        <f t="shared" si="1"/>
        <v>4013</v>
      </c>
    </row>
    <row r="18" spans="1:8" x14ac:dyDescent="0.3">
      <c r="A18" s="8">
        <v>43101.182847222219</v>
      </c>
      <c r="B18" s="20" t="s">
        <v>607</v>
      </c>
      <c r="C18" s="20" t="s">
        <v>693</v>
      </c>
      <c r="D18" s="137">
        <v>2370000</v>
      </c>
      <c r="E18" s="20" t="s">
        <v>571</v>
      </c>
      <c r="F18" s="20" t="s">
        <v>572</v>
      </c>
      <c r="G18" s="8" t="str">
        <f t="shared" si="0"/>
        <v>DELGADO DIANAH</v>
      </c>
      <c r="H18" s="20" t="str">
        <f t="shared" si="1"/>
        <v>4058</v>
      </c>
    </row>
    <row r="19" spans="1:8" x14ac:dyDescent="0.3">
      <c r="A19" s="8">
        <v>43101.189386574071</v>
      </c>
      <c r="B19" s="20" t="s">
        <v>518</v>
      </c>
      <c r="C19" s="20" t="s">
        <v>694</v>
      </c>
      <c r="D19" s="137">
        <v>3840000</v>
      </c>
      <c r="E19" s="20" t="s">
        <v>685</v>
      </c>
      <c r="F19" s="20" t="s">
        <v>686</v>
      </c>
      <c r="G19" s="8" t="str">
        <f t="shared" si="0"/>
        <v>LONG FULLER</v>
      </c>
      <c r="H19" s="20" t="str">
        <f t="shared" si="1"/>
        <v>4019</v>
      </c>
    </row>
    <row r="20" spans="1:8" x14ac:dyDescent="0.3">
      <c r="A20" s="8">
        <v>43101.192777777775</v>
      </c>
      <c r="B20" s="20" t="s">
        <v>547</v>
      </c>
      <c r="C20" s="20" t="s">
        <v>695</v>
      </c>
      <c r="D20" s="137">
        <v>2010000</v>
      </c>
      <c r="E20" s="20" t="s">
        <v>483</v>
      </c>
      <c r="F20" s="20" t="s">
        <v>484</v>
      </c>
      <c r="G20" s="8" t="str">
        <f t="shared" si="0"/>
        <v>MAELZER KURT</v>
      </c>
      <c r="H20" s="20" t="str">
        <f t="shared" si="1"/>
        <v>4014</v>
      </c>
    </row>
    <row r="21" spans="1:8" x14ac:dyDescent="0.3">
      <c r="A21" s="8">
        <v>43101.20040509259</v>
      </c>
      <c r="B21" s="20" t="s">
        <v>371</v>
      </c>
      <c r="C21" s="20" t="s">
        <v>696</v>
      </c>
      <c r="D21" s="137">
        <v>2600000</v>
      </c>
      <c r="E21" s="20" t="s">
        <v>522</v>
      </c>
      <c r="F21" s="20" t="s">
        <v>510</v>
      </c>
      <c r="G21" s="8" t="str">
        <f t="shared" si="0"/>
        <v>DAVIDSON DAVID</v>
      </c>
      <c r="H21" s="20" t="str">
        <f t="shared" si="1"/>
        <v>4011</v>
      </c>
    </row>
    <row r="22" spans="1:8" x14ac:dyDescent="0.3">
      <c r="A22" s="26">
        <v>43101.202187499999</v>
      </c>
      <c r="B22" s="20" t="s">
        <v>566</v>
      </c>
      <c r="C22" s="20" t="s">
        <v>697</v>
      </c>
      <c r="D22" s="137">
        <v>1830000</v>
      </c>
      <c r="E22" s="20" t="s">
        <v>346</v>
      </c>
      <c r="F22" s="20" t="s">
        <v>347</v>
      </c>
      <c r="G22" s="8" t="str">
        <f t="shared" si="0"/>
        <v>YORK EDGAR</v>
      </c>
      <c r="H22" s="20" t="str">
        <f t="shared" si="1"/>
        <v>4041</v>
      </c>
    </row>
    <row r="23" spans="1:8" x14ac:dyDescent="0.3">
      <c r="A23" s="8">
        <v>43101.205891203703</v>
      </c>
      <c r="B23" s="20" t="s">
        <v>568</v>
      </c>
      <c r="C23" s="20" t="s">
        <v>657</v>
      </c>
      <c r="D23" s="137">
        <v>1090000</v>
      </c>
      <c r="E23" s="20" t="s">
        <v>517</v>
      </c>
      <c r="F23" s="20" t="s">
        <v>352</v>
      </c>
      <c r="G23" s="8" t="str">
        <f t="shared" si="0"/>
        <v>SPECTOR MICHAEL</v>
      </c>
      <c r="H23" s="20" t="str">
        <f t="shared" si="1"/>
        <v>4064</v>
      </c>
    </row>
    <row r="24" spans="1:8" x14ac:dyDescent="0.3">
      <c r="A24" s="8">
        <v>43101.210590277777</v>
      </c>
      <c r="B24" s="20" t="s">
        <v>370</v>
      </c>
      <c r="C24" s="20" t="s">
        <v>698</v>
      </c>
      <c r="D24" s="137">
        <v>2600000</v>
      </c>
      <c r="E24" s="20" t="s">
        <v>522</v>
      </c>
      <c r="F24" s="20" t="s">
        <v>510</v>
      </c>
      <c r="G24" s="8" t="str">
        <f t="shared" si="0"/>
        <v>DAVIDSON DAVID</v>
      </c>
      <c r="H24" s="20" t="str">
        <f t="shared" si="1"/>
        <v>4012</v>
      </c>
    </row>
    <row r="25" spans="1:8" x14ac:dyDescent="0.3">
      <c r="A25" s="8">
        <v>43101.213414351849</v>
      </c>
      <c r="B25" s="20" t="s">
        <v>548</v>
      </c>
      <c r="C25" s="20" t="s">
        <v>699</v>
      </c>
      <c r="D25" s="137">
        <v>2370000</v>
      </c>
      <c r="E25" s="20" t="s">
        <v>571</v>
      </c>
      <c r="F25" s="20" t="s">
        <v>572</v>
      </c>
      <c r="G25" s="8" t="str">
        <f t="shared" si="0"/>
        <v>DELGADO DIANAH</v>
      </c>
      <c r="H25" s="20" t="str">
        <f t="shared" si="1"/>
        <v>4057</v>
      </c>
    </row>
    <row r="26" spans="1:8" x14ac:dyDescent="0.3">
      <c r="A26" s="8">
        <v>43101.215891203705</v>
      </c>
      <c r="B26" s="20" t="s">
        <v>568</v>
      </c>
      <c r="C26" s="20" t="s">
        <v>657</v>
      </c>
      <c r="D26" s="137">
        <v>1090000</v>
      </c>
      <c r="E26" s="20" t="s">
        <v>517</v>
      </c>
      <c r="F26" s="20" t="s">
        <v>352</v>
      </c>
      <c r="G26" s="8" t="str">
        <f t="shared" si="0"/>
        <v>SPECTOR MICHAEL</v>
      </c>
      <c r="H26" s="20" t="str">
        <f t="shared" si="1"/>
        <v>4064</v>
      </c>
    </row>
    <row r="27" spans="1:8" x14ac:dyDescent="0.3">
      <c r="A27" s="8">
        <v>43101.216747685183</v>
      </c>
      <c r="B27" s="20" t="s">
        <v>661</v>
      </c>
      <c r="C27" s="20" t="s">
        <v>700</v>
      </c>
      <c r="D27" s="137">
        <v>1230000</v>
      </c>
      <c r="E27" s="20" t="s">
        <v>701</v>
      </c>
      <c r="F27" s="20" t="s">
        <v>702</v>
      </c>
      <c r="G27" s="8" t="str">
        <f t="shared" si="0"/>
        <v>YANAI IAN</v>
      </c>
      <c r="H27" s="20" t="str">
        <f t="shared" si="1"/>
        <v>4056</v>
      </c>
    </row>
    <row r="28" spans="1:8" x14ac:dyDescent="0.3">
      <c r="A28" s="8">
        <v>43101.224328703705</v>
      </c>
      <c r="B28" s="20" t="s">
        <v>519</v>
      </c>
      <c r="C28" s="20" t="s">
        <v>703</v>
      </c>
      <c r="D28" s="137">
        <v>3840000</v>
      </c>
      <c r="E28" s="20" t="s">
        <v>685</v>
      </c>
      <c r="F28" s="20" t="s">
        <v>686</v>
      </c>
      <c r="G28" s="8" t="str">
        <f t="shared" si="0"/>
        <v>LONG FULLER</v>
      </c>
      <c r="H28" s="20" t="str">
        <f t="shared" si="1"/>
        <v>4020</v>
      </c>
    </row>
    <row r="29" spans="1:8" x14ac:dyDescent="0.3">
      <c r="A29" s="8">
        <v>43101.224490740744</v>
      </c>
      <c r="B29" s="20" t="s">
        <v>488</v>
      </c>
      <c r="C29" s="20" t="s">
        <v>704</v>
      </c>
      <c r="D29" s="137">
        <v>3090000</v>
      </c>
      <c r="E29" s="20" t="s">
        <v>550</v>
      </c>
      <c r="F29" s="20" t="s">
        <v>551</v>
      </c>
      <c r="G29" s="8" t="str">
        <f t="shared" si="0"/>
        <v>LAMAR NEKESHA</v>
      </c>
      <c r="H29" s="20" t="str">
        <f t="shared" si="1"/>
        <v>4009</v>
      </c>
    </row>
    <row r="30" spans="1:8" x14ac:dyDescent="0.3">
      <c r="A30" s="8">
        <v>43101.225740740738</v>
      </c>
      <c r="B30" s="20" t="s">
        <v>671</v>
      </c>
      <c r="C30" s="20" t="s">
        <v>705</v>
      </c>
      <c r="D30" s="137">
        <v>2010000</v>
      </c>
      <c r="E30" s="20" t="s">
        <v>483</v>
      </c>
      <c r="F30" s="20" t="s">
        <v>484</v>
      </c>
      <c r="G30" s="8" t="str">
        <f t="shared" si="0"/>
        <v>MAELZER KURT</v>
      </c>
      <c r="H30" s="20" t="str">
        <f t="shared" si="1"/>
        <v>4013</v>
      </c>
    </row>
    <row r="31" spans="1:8" x14ac:dyDescent="0.3">
      <c r="A31" s="8">
        <v>43101.225752314815</v>
      </c>
      <c r="B31" s="20" t="s">
        <v>548</v>
      </c>
      <c r="C31" s="20" t="s">
        <v>699</v>
      </c>
      <c r="D31" s="137">
        <v>2370000</v>
      </c>
      <c r="E31" s="20" t="s">
        <v>571</v>
      </c>
      <c r="F31" s="20" t="s">
        <v>572</v>
      </c>
      <c r="G31" s="8" t="str">
        <f t="shared" si="0"/>
        <v>DELGADO DIANAH</v>
      </c>
      <c r="H31" s="20" t="str">
        <f t="shared" si="1"/>
        <v>4057</v>
      </c>
    </row>
    <row r="32" spans="1:8" x14ac:dyDescent="0.3">
      <c r="A32" s="8">
        <v>43101.226122685184</v>
      </c>
      <c r="B32" s="20" t="s">
        <v>351</v>
      </c>
      <c r="C32" s="20" t="s">
        <v>706</v>
      </c>
      <c r="D32" s="137">
        <v>1230000</v>
      </c>
      <c r="E32" s="20" t="s">
        <v>701</v>
      </c>
      <c r="F32" s="20" t="s">
        <v>702</v>
      </c>
      <c r="G32" s="8" t="str">
        <f t="shared" si="0"/>
        <v>YANAI IAN</v>
      </c>
      <c r="H32" s="20" t="str">
        <f t="shared" si="1"/>
        <v>4055</v>
      </c>
    </row>
    <row r="33" spans="1:8" x14ac:dyDescent="0.3">
      <c r="A33" s="8">
        <v>43101.235798611109</v>
      </c>
      <c r="B33" s="20" t="s">
        <v>442</v>
      </c>
      <c r="C33" s="20" t="s">
        <v>707</v>
      </c>
      <c r="D33" s="137">
        <v>3090000</v>
      </c>
      <c r="E33" s="20" t="s">
        <v>550</v>
      </c>
      <c r="F33" s="20" t="s">
        <v>551</v>
      </c>
      <c r="G33" s="8" t="str">
        <f t="shared" si="0"/>
        <v>LAMAR NEKESHA</v>
      </c>
      <c r="H33" s="20" t="str">
        <f t="shared" si="1"/>
        <v>4010</v>
      </c>
    </row>
    <row r="34" spans="1:8" x14ac:dyDescent="0.3">
      <c r="A34" s="8">
        <v>43101.243009259262</v>
      </c>
      <c r="B34" s="20" t="s">
        <v>446</v>
      </c>
      <c r="C34" s="20" t="s">
        <v>708</v>
      </c>
      <c r="D34" s="137">
        <v>1830000</v>
      </c>
      <c r="E34" s="20" t="s">
        <v>346</v>
      </c>
      <c r="F34" s="20" t="s">
        <v>347</v>
      </c>
      <c r="G34" s="8" t="str">
        <f t="shared" si="0"/>
        <v>YORK EDGAR</v>
      </c>
      <c r="H34" s="20" t="str">
        <f t="shared" si="1"/>
        <v>4042</v>
      </c>
    </row>
    <row r="35" spans="1:8" x14ac:dyDescent="0.3">
      <c r="A35" s="8">
        <v>43101.246805555558</v>
      </c>
      <c r="B35" s="20" t="s">
        <v>658</v>
      </c>
      <c r="C35" s="20" t="s">
        <v>659</v>
      </c>
      <c r="D35" s="137">
        <v>1090000</v>
      </c>
      <c r="E35" s="20" t="s">
        <v>517</v>
      </c>
      <c r="F35" s="20" t="s">
        <v>352</v>
      </c>
      <c r="G35" s="8" t="str">
        <f t="shared" si="0"/>
        <v>SPECTOR MICHAEL</v>
      </c>
      <c r="H35" s="20" t="str">
        <f t="shared" si="1"/>
        <v>4063</v>
      </c>
    </row>
    <row r="36" spans="1:8" x14ac:dyDescent="0.3">
      <c r="A36" s="8">
        <v>43101.247870370367</v>
      </c>
      <c r="B36" s="20" t="s">
        <v>661</v>
      </c>
      <c r="C36" s="20" t="s">
        <v>709</v>
      </c>
      <c r="D36" s="137">
        <v>1230000</v>
      </c>
      <c r="E36" s="20" t="s">
        <v>701</v>
      </c>
      <c r="F36" s="20" t="s">
        <v>702</v>
      </c>
      <c r="G36" s="8" t="str">
        <f t="shared" si="0"/>
        <v>YANAI IAN</v>
      </c>
      <c r="H36" s="20" t="str">
        <f t="shared" si="1"/>
        <v>4056</v>
      </c>
    </row>
    <row r="37" spans="1:8" x14ac:dyDescent="0.3">
      <c r="A37" s="8">
        <v>43101.24795138889</v>
      </c>
      <c r="B37" s="20" t="s">
        <v>371</v>
      </c>
      <c r="C37" s="20" t="s">
        <v>710</v>
      </c>
      <c r="D37" s="137">
        <v>2600000</v>
      </c>
      <c r="E37" s="20" t="s">
        <v>522</v>
      </c>
      <c r="F37" s="20" t="s">
        <v>510</v>
      </c>
      <c r="G37" s="8" t="str">
        <f t="shared" si="0"/>
        <v>DAVIDSON DAVID</v>
      </c>
      <c r="H37" s="20" t="str">
        <f t="shared" si="1"/>
        <v>4011</v>
      </c>
    </row>
    <row r="38" spans="1:8" x14ac:dyDescent="0.3">
      <c r="A38" s="8">
        <v>43101.255671296298</v>
      </c>
      <c r="B38" s="20" t="s">
        <v>607</v>
      </c>
      <c r="C38" s="20" t="s">
        <v>711</v>
      </c>
      <c r="D38" s="137">
        <v>2370000</v>
      </c>
      <c r="E38" s="20" t="s">
        <v>571</v>
      </c>
      <c r="F38" s="20" t="s">
        <v>572</v>
      </c>
      <c r="G38" s="8" t="str">
        <f t="shared" si="0"/>
        <v>DELGADO DIANAH</v>
      </c>
      <c r="H38" s="20" t="str">
        <f t="shared" si="1"/>
        <v>4058</v>
      </c>
    </row>
    <row r="39" spans="1:8" x14ac:dyDescent="0.3">
      <c r="A39" s="8">
        <v>43101.264733796299</v>
      </c>
      <c r="B39" s="20" t="s">
        <v>518</v>
      </c>
      <c r="C39" s="20" t="s">
        <v>712</v>
      </c>
      <c r="D39" s="137">
        <v>3840000</v>
      </c>
      <c r="E39" s="20" t="s">
        <v>685</v>
      </c>
      <c r="F39" s="20" t="s">
        <v>686</v>
      </c>
      <c r="G39" s="8" t="str">
        <f t="shared" si="0"/>
        <v>LONG FULLER</v>
      </c>
      <c r="H39" s="20" t="str">
        <f t="shared" si="1"/>
        <v>4019</v>
      </c>
    </row>
    <row r="40" spans="1:8" x14ac:dyDescent="0.3">
      <c r="A40" s="8">
        <v>43101.267048611109</v>
      </c>
      <c r="B40" s="25" t="s">
        <v>351</v>
      </c>
      <c r="C40" s="20" t="s">
        <v>713</v>
      </c>
      <c r="D40" s="137">
        <v>1230000</v>
      </c>
      <c r="E40" s="20" t="s">
        <v>701</v>
      </c>
      <c r="F40" s="20" t="s">
        <v>702</v>
      </c>
      <c r="G40" s="8" t="str">
        <f t="shared" si="0"/>
        <v>YANAI IAN</v>
      </c>
      <c r="H40" s="20" t="str">
        <f t="shared" si="1"/>
        <v>4055</v>
      </c>
    </row>
    <row r="41" spans="1:8" x14ac:dyDescent="0.3">
      <c r="A41" s="8">
        <v>43101.267430555556</v>
      </c>
      <c r="B41" s="20" t="s">
        <v>547</v>
      </c>
      <c r="C41" s="20" t="s">
        <v>714</v>
      </c>
      <c r="D41" s="137">
        <v>2010000</v>
      </c>
      <c r="E41" s="20" t="s">
        <v>483</v>
      </c>
      <c r="F41" s="20" t="s">
        <v>484</v>
      </c>
      <c r="G41" s="8" t="str">
        <f t="shared" si="0"/>
        <v>MAELZER KURT</v>
      </c>
      <c r="H41" s="20" t="str">
        <f t="shared" si="1"/>
        <v>4014</v>
      </c>
    </row>
    <row r="42" spans="1:8" x14ac:dyDescent="0.3">
      <c r="A42" s="8">
        <v>43101.276678240742</v>
      </c>
      <c r="B42" s="20" t="s">
        <v>566</v>
      </c>
      <c r="C42" s="20" t="s">
        <v>660</v>
      </c>
      <c r="D42" s="137">
        <v>1830000</v>
      </c>
      <c r="E42" s="20" t="s">
        <v>346</v>
      </c>
      <c r="F42" s="20" t="s">
        <v>347</v>
      </c>
      <c r="G42" s="8" t="str">
        <f t="shared" si="0"/>
        <v>YORK EDGAR</v>
      </c>
      <c r="H42" s="20" t="str">
        <f t="shared" si="1"/>
        <v>4041</v>
      </c>
    </row>
    <row r="43" spans="1:8" x14ac:dyDescent="0.3">
      <c r="A43" s="8">
        <v>43101.27815972222</v>
      </c>
      <c r="B43" s="20" t="s">
        <v>488</v>
      </c>
      <c r="C43" s="20" t="s">
        <v>715</v>
      </c>
      <c r="D43" s="137">
        <v>3090000</v>
      </c>
      <c r="E43" s="20" t="s">
        <v>550</v>
      </c>
      <c r="F43" s="20" t="s">
        <v>551</v>
      </c>
      <c r="G43" s="8" t="str">
        <f t="shared" si="0"/>
        <v>LAMAR NEKESHA</v>
      </c>
      <c r="H43" s="20" t="str">
        <f t="shared" si="1"/>
        <v>4009</v>
      </c>
    </row>
    <row r="44" spans="1:8" x14ac:dyDescent="0.3">
      <c r="A44" s="8">
        <v>43101.279143518521</v>
      </c>
      <c r="B44" s="20" t="s">
        <v>568</v>
      </c>
      <c r="C44" s="20" t="s">
        <v>716</v>
      </c>
      <c r="D44" s="137">
        <v>1090000</v>
      </c>
      <c r="E44" s="20" t="s">
        <v>517</v>
      </c>
      <c r="F44" s="20" t="s">
        <v>352</v>
      </c>
      <c r="G44" s="8" t="str">
        <f t="shared" si="0"/>
        <v>SPECTOR MICHAEL</v>
      </c>
      <c r="H44" s="20" t="str">
        <f t="shared" si="1"/>
        <v>4064</v>
      </c>
    </row>
    <row r="45" spans="1:8" x14ac:dyDescent="0.3">
      <c r="A45" s="8">
        <v>43101.286446759259</v>
      </c>
      <c r="B45" s="20" t="s">
        <v>548</v>
      </c>
      <c r="C45" s="20" t="s">
        <v>717</v>
      </c>
      <c r="D45" s="137">
        <v>2370000</v>
      </c>
      <c r="E45" s="20" t="s">
        <v>571</v>
      </c>
      <c r="F45" s="20" t="s">
        <v>572</v>
      </c>
      <c r="G45" s="8" t="str">
        <f t="shared" si="0"/>
        <v>DELGADO DIANAH</v>
      </c>
      <c r="H45" s="20" t="str">
        <f t="shared" si="1"/>
        <v>4057</v>
      </c>
    </row>
    <row r="46" spans="1:8" x14ac:dyDescent="0.3">
      <c r="A46" s="8">
        <v>43101.287777777776</v>
      </c>
      <c r="B46" s="20" t="s">
        <v>370</v>
      </c>
      <c r="C46" s="20" t="s">
        <v>718</v>
      </c>
      <c r="D46" s="137">
        <v>2600000</v>
      </c>
      <c r="E46" s="20" t="s">
        <v>522</v>
      </c>
      <c r="F46" s="20" t="s">
        <v>510</v>
      </c>
      <c r="G46" s="8" t="str">
        <f t="shared" si="0"/>
        <v>DAVIDSON DAVID</v>
      </c>
      <c r="H46" s="20" t="str">
        <f t="shared" si="1"/>
        <v>4012</v>
      </c>
    </row>
    <row r="47" spans="1:8" x14ac:dyDescent="0.3">
      <c r="A47" s="8">
        <v>43101.289236111108</v>
      </c>
      <c r="B47" s="20" t="s">
        <v>661</v>
      </c>
      <c r="C47" s="20" t="s">
        <v>719</v>
      </c>
      <c r="D47" s="137">
        <v>1230000</v>
      </c>
      <c r="E47" s="20" t="s">
        <v>701</v>
      </c>
      <c r="F47" s="20" t="s">
        <v>702</v>
      </c>
      <c r="G47" s="8" t="str">
        <f t="shared" si="0"/>
        <v>YANAI IAN</v>
      </c>
      <c r="H47" s="20" t="str">
        <f t="shared" si="1"/>
        <v>4056</v>
      </c>
    </row>
    <row r="48" spans="1:8" x14ac:dyDescent="0.3">
      <c r="A48" s="8">
        <v>43101.296979166669</v>
      </c>
      <c r="B48" s="20" t="s">
        <v>519</v>
      </c>
      <c r="C48" s="20" t="s">
        <v>720</v>
      </c>
      <c r="D48" s="137">
        <v>3840000</v>
      </c>
      <c r="E48" s="20" t="s">
        <v>685</v>
      </c>
      <c r="F48" s="20" t="s">
        <v>686</v>
      </c>
      <c r="G48" s="8" t="str">
        <f t="shared" si="0"/>
        <v>LONG FULLER</v>
      </c>
      <c r="H48" s="20" t="str">
        <f t="shared" si="1"/>
        <v>4020</v>
      </c>
    </row>
    <row r="49" spans="1:8" x14ac:dyDescent="0.3">
      <c r="A49" s="8">
        <v>43101.304606481484</v>
      </c>
      <c r="B49" s="20" t="s">
        <v>671</v>
      </c>
      <c r="C49" s="20" t="s">
        <v>721</v>
      </c>
      <c r="D49" s="137">
        <v>2010000</v>
      </c>
      <c r="E49" s="20" t="s">
        <v>483</v>
      </c>
      <c r="F49" s="20" t="s">
        <v>484</v>
      </c>
      <c r="G49" s="8" t="str">
        <f t="shared" si="0"/>
        <v>MAELZER KURT</v>
      </c>
      <c r="H49" s="20" t="str">
        <f t="shared" si="1"/>
        <v>4013</v>
      </c>
    </row>
    <row r="50" spans="1:8" x14ac:dyDescent="0.3">
      <c r="A50" s="8">
        <v>43101.308310185188</v>
      </c>
      <c r="B50" s="20" t="s">
        <v>351</v>
      </c>
      <c r="C50" s="20" t="s">
        <v>722</v>
      </c>
      <c r="D50" s="137">
        <v>1230000</v>
      </c>
      <c r="E50" s="20" t="s">
        <v>701</v>
      </c>
      <c r="F50" s="20" t="s">
        <v>702</v>
      </c>
      <c r="G50" s="8" t="str">
        <f t="shared" si="0"/>
        <v>YANAI IAN</v>
      </c>
      <c r="H50" s="20" t="str">
        <f t="shared" si="1"/>
        <v>4055</v>
      </c>
    </row>
    <row r="51" spans="1:8" x14ac:dyDescent="0.3">
      <c r="A51" s="8">
        <v>43101.308437500003</v>
      </c>
      <c r="B51" s="20" t="s">
        <v>442</v>
      </c>
      <c r="C51" s="20" t="s">
        <v>723</v>
      </c>
      <c r="D51" s="137">
        <v>2560000</v>
      </c>
      <c r="E51" s="20" t="s">
        <v>520</v>
      </c>
      <c r="F51" s="20" t="s">
        <v>521</v>
      </c>
      <c r="G51" s="8" t="str">
        <f t="shared" si="0"/>
        <v>MACDONALD THOMAS</v>
      </c>
      <c r="H51" s="20" t="str">
        <f t="shared" si="1"/>
        <v>4010</v>
      </c>
    </row>
    <row r="52" spans="1:8" x14ac:dyDescent="0.3">
      <c r="A52" s="8">
        <v>43101.315115740741</v>
      </c>
      <c r="B52" s="20" t="s">
        <v>658</v>
      </c>
      <c r="C52" s="20" t="s">
        <v>724</v>
      </c>
      <c r="D52" s="137">
        <v>1090000</v>
      </c>
      <c r="E52" s="20" t="s">
        <v>517</v>
      </c>
      <c r="F52" s="20" t="s">
        <v>352</v>
      </c>
      <c r="G52" s="8" t="str">
        <f t="shared" si="0"/>
        <v>SPECTOR MICHAEL</v>
      </c>
      <c r="H52" s="20" t="str">
        <f t="shared" si="1"/>
        <v>4063</v>
      </c>
    </row>
    <row r="53" spans="1:8" x14ac:dyDescent="0.3">
      <c r="A53" s="8">
        <v>43101.318194444444</v>
      </c>
      <c r="B53" s="20" t="s">
        <v>446</v>
      </c>
      <c r="C53" s="20" t="s">
        <v>725</v>
      </c>
      <c r="D53" s="137">
        <v>1830000</v>
      </c>
      <c r="E53" s="20" t="s">
        <v>346</v>
      </c>
      <c r="F53" s="20" t="s">
        <v>347</v>
      </c>
      <c r="G53" s="8" t="str">
        <f t="shared" si="0"/>
        <v>YORK EDGAR</v>
      </c>
      <c r="H53" s="20" t="str">
        <f t="shared" si="1"/>
        <v>4042</v>
      </c>
    </row>
    <row r="54" spans="1:8" x14ac:dyDescent="0.3">
      <c r="A54" s="8">
        <v>43101.32471064815</v>
      </c>
      <c r="B54" s="20" t="s">
        <v>371</v>
      </c>
      <c r="C54" s="20" t="s">
        <v>726</v>
      </c>
      <c r="D54" s="137">
        <v>2600000</v>
      </c>
      <c r="E54" s="20" t="s">
        <v>522</v>
      </c>
      <c r="F54" s="20" t="s">
        <v>510</v>
      </c>
      <c r="G54" s="8" t="str">
        <f t="shared" si="0"/>
        <v>DAVIDSON DAVID</v>
      </c>
      <c r="H54" s="20" t="str">
        <f t="shared" si="1"/>
        <v>4011</v>
      </c>
    </row>
    <row r="55" spans="1:8" x14ac:dyDescent="0.3">
      <c r="A55" s="8">
        <v>43101.330937500003</v>
      </c>
      <c r="B55" s="20" t="s">
        <v>607</v>
      </c>
      <c r="C55" s="20" t="s">
        <v>727</v>
      </c>
      <c r="D55" s="137">
        <v>2370000</v>
      </c>
      <c r="E55" s="20" t="s">
        <v>571</v>
      </c>
      <c r="F55" s="20" t="s">
        <v>572</v>
      </c>
      <c r="G55" s="8" t="str">
        <f t="shared" si="0"/>
        <v>DELGADO DIANAH</v>
      </c>
      <c r="H55" s="20" t="str">
        <f t="shared" si="1"/>
        <v>4058</v>
      </c>
    </row>
    <row r="56" spans="1:8" x14ac:dyDescent="0.3">
      <c r="A56" s="8">
        <v>43101.333935185183</v>
      </c>
      <c r="B56" s="20" t="s">
        <v>518</v>
      </c>
      <c r="C56" s="20" t="s">
        <v>728</v>
      </c>
      <c r="D56" s="137">
        <v>3840000</v>
      </c>
      <c r="E56" s="20" t="s">
        <v>685</v>
      </c>
      <c r="F56" s="20" t="s">
        <v>686</v>
      </c>
      <c r="G56" s="8" t="str">
        <f t="shared" si="0"/>
        <v>LONG FULLER</v>
      </c>
      <c r="H56" s="20" t="str">
        <f t="shared" si="1"/>
        <v>4019</v>
      </c>
    </row>
    <row r="57" spans="1:8" x14ac:dyDescent="0.3">
      <c r="A57" s="8">
        <v>43101.338287037041</v>
      </c>
      <c r="B57" s="20" t="s">
        <v>661</v>
      </c>
      <c r="C57" s="20" t="s">
        <v>729</v>
      </c>
      <c r="D57" s="137">
        <v>1230000</v>
      </c>
      <c r="E57" s="20" t="s">
        <v>701</v>
      </c>
      <c r="F57" s="20" t="s">
        <v>702</v>
      </c>
      <c r="G57" s="8" t="str">
        <f t="shared" si="0"/>
        <v>YANAI IAN</v>
      </c>
      <c r="H57" s="20" t="str">
        <f t="shared" si="1"/>
        <v>4056</v>
      </c>
    </row>
    <row r="58" spans="1:8" x14ac:dyDescent="0.3">
      <c r="A58" s="8">
        <v>43101.33935185185</v>
      </c>
      <c r="B58" s="20" t="s">
        <v>547</v>
      </c>
      <c r="C58" s="20" t="s">
        <v>730</v>
      </c>
      <c r="D58" s="137">
        <v>2010000</v>
      </c>
      <c r="E58" s="20" t="s">
        <v>483</v>
      </c>
      <c r="F58" s="20" t="s">
        <v>484</v>
      </c>
      <c r="G58" s="8" t="str">
        <f t="shared" si="0"/>
        <v>MAELZER KURT</v>
      </c>
      <c r="H58" s="20" t="str">
        <f t="shared" si="1"/>
        <v>4014</v>
      </c>
    </row>
    <row r="59" spans="1:8" x14ac:dyDescent="0.3">
      <c r="A59" s="8">
        <v>43101.348229166666</v>
      </c>
      <c r="B59" s="20" t="s">
        <v>566</v>
      </c>
      <c r="C59" s="20" t="s">
        <v>731</v>
      </c>
      <c r="D59" s="137">
        <v>1830000</v>
      </c>
      <c r="E59" s="20" t="s">
        <v>346</v>
      </c>
      <c r="F59" s="20" t="s">
        <v>347</v>
      </c>
      <c r="G59" s="8" t="str">
        <f t="shared" si="0"/>
        <v>YORK EDGAR</v>
      </c>
      <c r="H59" s="20" t="str">
        <f t="shared" si="1"/>
        <v>4041</v>
      </c>
    </row>
    <row r="60" spans="1:8" x14ac:dyDescent="0.3">
      <c r="A60" s="8">
        <v>43101.349849537037</v>
      </c>
      <c r="B60" s="20" t="s">
        <v>351</v>
      </c>
      <c r="C60" s="20" t="s">
        <v>732</v>
      </c>
      <c r="D60" s="137">
        <v>1230000</v>
      </c>
      <c r="E60" s="20" t="s">
        <v>701</v>
      </c>
      <c r="F60" s="20" t="s">
        <v>702</v>
      </c>
      <c r="G60" s="8" t="str">
        <f t="shared" si="0"/>
        <v>YANAI IAN</v>
      </c>
      <c r="H60" s="20" t="str">
        <f t="shared" si="1"/>
        <v>4055</v>
      </c>
    </row>
    <row r="61" spans="1:8" x14ac:dyDescent="0.3">
      <c r="A61" s="8">
        <v>43101.350300925929</v>
      </c>
      <c r="B61" s="20" t="s">
        <v>488</v>
      </c>
      <c r="C61" s="20" t="s">
        <v>733</v>
      </c>
      <c r="D61" s="137">
        <v>2560000</v>
      </c>
      <c r="E61" s="20" t="s">
        <v>520</v>
      </c>
      <c r="F61" s="20" t="s">
        <v>521</v>
      </c>
      <c r="G61" s="8" t="str">
        <f t="shared" si="0"/>
        <v>MACDONALD THOMAS</v>
      </c>
      <c r="H61" s="20" t="str">
        <f t="shared" si="1"/>
        <v>4009</v>
      </c>
    </row>
    <row r="62" spans="1:8" x14ac:dyDescent="0.3">
      <c r="A62" s="8">
        <v>43101.350381944445</v>
      </c>
      <c r="B62" s="20" t="s">
        <v>568</v>
      </c>
      <c r="C62" s="20" t="s">
        <v>734</v>
      </c>
      <c r="D62" s="137">
        <v>3300000</v>
      </c>
      <c r="E62" s="20" t="s">
        <v>735</v>
      </c>
      <c r="F62" s="20" t="s">
        <v>736</v>
      </c>
      <c r="G62" s="8" t="str">
        <f t="shared" si="0"/>
        <v>LANGERAK WILLIAM</v>
      </c>
      <c r="H62" s="20" t="str">
        <f t="shared" si="1"/>
        <v>4064</v>
      </c>
    </row>
    <row r="63" spans="1:8" x14ac:dyDescent="0.3">
      <c r="A63" s="8">
        <v>43101.36037037037</v>
      </c>
      <c r="B63" s="20" t="s">
        <v>548</v>
      </c>
      <c r="C63" s="20" t="s">
        <v>737</v>
      </c>
      <c r="D63" s="137">
        <v>2370000</v>
      </c>
      <c r="E63" s="20" t="s">
        <v>571</v>
      </c>
      <c r="F63" s="20" t="s">
        <v>572</v>
      </c>
      <c r="G63" s="8" t="str">
        <f t="shared" si="0"/>
        <v>DELGADO DIANAH</v>
      </c>
      <c r="H63" s="20" t="str">
        <f t="shared" si="1"/>
        <v>4057</v>
      </c>
    </row>
    <row r="64" spans="1:8" x14ac:dyDescent="0.3">
      <c r="A64" s="26">
        <v>43101.360659722224</v>
      </c>
      <c r="B64" s="20" t="s">
        <v>370</v>
      </c>
      <c r="C64" s="20" t="s">
        <v>738</v>
      </c>
      <c r="D64" s="137">
        <v>2600000</v>
      </c>
      <c r="E64" s="20" t="s">
        <v>522</v>
      </c>
      <c r="F64" s="20" t="s">
        <v>510</v>
      </c>
      <c r="G64" s="8" t="str">
        <f t="shared" si="0"/>
        <v>DAVIDSON DAVID</v>
      </c>
      <c r="H64" s="20" t="str">
        <f t="shared" si="1"/>
        <v>4012</v>
      </c>
    </row>
    <row r="65" spans="1:8" x14ac:dyDescent="0.3">
      <c r="A65" s="8">
        <v>43101.370347222219</v>
      </c>
      <c r="B65" s="20" t="s">
        <v>519</v>
      </c>
      <c r="C65" s="20" t="s">
        <v>739</v>
      </c>
      <c r="D65" s="137">
        <v>3840000</v>
      </c>
      <c r="E65" s="20" t="s">
        <v>685</v>
      </c>
      <c r="F65" s="20" t="s">
        <v>686</v>
      </c>
      <c r="G65" s="8" t="str">
        <f t="shared" si="0"/>
        <v>LONG FULLER</v>
      </c>
      <c r="H65" s="20" t="str">
        <f t="shared" si="1"/>
        <v>4020</v>
      </c>
    </row>
    <row r="66" spans="1:8" x14ac:dyDescent="0.3">
      <c r="A66" s="8">
        <v>43101.372719907406</v>
      </c>
      <c r="B66" s="20" t="s">
        <v>661</v>
      </c>
      <c r="C66" s="20" t="s">
        <v>740</v>
      </c>
      <c r="D66" s="137">
        <v>1230000</v>
      </c>
      <c r="E66" s="20" t="s">
        <v>701</v>
      </c>
      <c r="F66" s="20" t="s">
        <v>702</v>
      </c>
      <c r="G66" s="8" t="str">
        <f t="shared" si="0"/>
        <v>YANAI IAN</v>
      </c>
      <c r="H66" s="20" t="str">
        <f t="shared" si="1"/>
        <v>4056</v>
      </c>
    </row>
    <row r="67" spans="1:8" x14ac:dyDescent="0.3">
      <c r="A67" s="8">
        <v>43101.373298611114</v>
      </c>
      <c r="B67" s="20" t="s">
        <v>671</v>
      </c>
      <c r="C67" s="20" t="s">
        <v>741</v>
      </c>
      <c r="D67" s="137">
        <v>2010000</v>
      </c>
      <c r="E67" s="20" t="s">
        <v>483</v>
      </c>
      <c r="F67" s="20" t="s">
        <v>484</v>
      </c>
      <c r="G67" s="8" t="str">
        <f t="shared" ref="G67:G130" si="2">E67&amp;" "&amp;F67</f>
        <v>MAELZER KURT</v>
      </c>
      <c r="H67" s="20" t="str">
        <f t="shared" ref="H67:H130" si="3">MID(B67,13,4)</f>
        <v>4013</v>
      </c>
    </row>
    <row r="68" spans="1:8" x14ac:dyDescent="0.3">
      <c r="A68" s="8">
        <v>43101.379803240743</v>
      </c>
      <c r="B68" s="20" t="s">
        <v>442</v>
      </c>
      <c r="C68" s="20" t="s">
        <v>742</v>
      </c>
      <c r="D68" s="137">
        <v>3090000</v>
      </c>
      <c r="E68" s="20" t="s">
        <v>550</v>
      </c>
      <c r="F68" s="20" t="s">
        <v>551</v>
      </c>
      <c r="G68" s="8" t="str">
        <f t="shared" si="2"/>
        <v>LAMAR NEKESHA</v>
      </c>
      <c r="H68" s="20" t="str">
        <f t="shared" si="3"/>
        <v>4010</v>
      </c>
    </row>
    <row r="69" spans="1:8" x14ac:dyDescent="0.3">
      <c r="A69" s="8">
        <v>43101.382199074076</v>
      </c>
      <c r="B69" s="20" t="s">
        <v>658</v>
      </c>
      <c r="C69" s="20" t="s">
        <v>743</v>
      </c>
      <c r="D69" s="137">
        <v>3300000</v>
      </c>
      <c r="E69" s="20" t="s">
        <v>735</v>
      </c>
      <c r="F69" s="20" t="s">
        <v>736</v>
      </c>
      <c r="G69" s="8" t="str">
        <f t="shared" si="2"/>
        <v>LANGERAK WILLIAM</v>
      </c>
      <c r="H69" s="20" t="str">
        <f t="shared" si="3"/>
        <v>4063</v>
      </c>
    </row>
    <row r="70" spans="1:8" x14ac:dyDescent="0.3">
      <c r="A70" s="8">
        <v>43101.391759259262</v>
      </c>
      <c r="B70" s="20" t="s">
        <v>351</v>
      </c>
      <c r="C70" s="20" t="s">
        <v>744</v>
      </c>
      <c r="D70" s="137">
        <v>1230000</v>
      </c>
      <c r="E70" s="20" t="s">
        <v>701</v>
      </c>
      <c r="F70" s="20" t="s">
        <v>702</v>
      </c>
      <c r="G70" s="8" t="str">
        <f t="shared" si="2"/>
        <v>YANAI IAN</v>
      </c>
      <c r="H70" s="20" t="str">
        <f t="shared" si="3"/>
        <v>4055</v>
      </c>
    </row>
    <row r="71" spans="1:8" x14ac:dyDescent="0.3">
      <c r="A71" s="8">
        <v>43101.392546296294</v>
      </c>
      <c r="B71" s="20" t="s">
        <v>371</v>
      </c>
      <c r="C71" s="20" t="s">
        <v>745</v>
      </c>
      <c r="D71" s="137">
        <v>2600000</v>
      </c>
      <c r="E71" s="20" t="s">
        <v>522</v>
      </c>
      <c r="F71" s="20" t="s">
        <v>510</v>
      </c>
      <c r="G71" s="8" t="str">
        <f t="shared" si="2"/>
        <v>DAVIDSON DAVID</v>
      </c>
      <c r="H71" s="20" t="str">
        <f t="shared" si="3"/>
        <v>4011</v>
      </c>
    </row>
    <row r="72" spans="1:8" x14ac:dyDescent="0.3">
      <c r="A72" s="8">
        <v>43101.39298611111</v>
      </c>
      <c r="B72" s="20" t="s">
        <v>446</v>
      </c>
      <c r="C72" s="20" t="s">
        <v>746</v>
      </c>
      <c r="D72" s="137">
        <v>1830000</v>
      </c>
      <c r="E72" s="20" t="s">
        <v>346</v>
      </c>
      <c r="F72" s="20" t="s">
        <v>347</v>
      </c>
      <c r="G72" s="8" t="str">
        <f t="shared" si="2"/>
        <v>YORK EDGAR</v>
      </c>
      <c r="H72" s="20" t="str">
        <f t="shared" si="3"/>
        <v>4042</v>
      </c>
    </row>
    <row r="73" spans="1:8" x14ac:dyDescent="0.3">
      <c r="A73" s="8">
        <v>43101.401250000003</v>
      </c>
      <c r="B73" s="20" t="s">
        <v>607</v>
      </c>
      <c r="C73" s="20" t="s">
        <v>747</v>
      </c>
      <c r="D73" s="137">
        <v>2370000</v>
      </c>
      <c r="E73" s="20" t="s">
        <v>571</v>
      </c>
      <c r="F73" s="20" t="s">
        <v>572</v>
      </c>
      <c r="G73" s="8" t="str">
        <f t="shared" si="2"/>
        <v>DELGADO DIANAH</v>
      </c>
      <c r="H73" s="20" t="str">
        <f t="shared" si="3"/>
        <v>4058</v>
      </c>
    </row>
    <row r="74" spans="1:8" x14ac:dyDescent="0.3">
      <c r="A74" s="8">
        <v>43101.406446759262</v>
      </c>
      <c r="B74" s="20" t="s">
        <v>518</v>
      </c>
      <c r="C74" s="20" t="s">
        <v>748</v>
      </c>
      <c r="D74" s="137">
        <v>3840000</v>
      </c>
      <c r="E74" s="20" t="s">
        <v>685</v>
      </c>
      <c r="F74" s="20" t="s">
        <v>686</v>
      </c>
      <c r="G74" s="8" t="str">
        <f t="shared" si="2"/>
        <v>LONG FULLER</v>
      </c>
      <c r="H74" s="20" t="str">
        <f t="shared" si="3"/>
        <v>4019</v>
      </c>
    </row>
    <row r="75" spans="1:8" x14ac:dyDescent="0.3">
      <c r="A75" s="8">
        <v>43101.411562499998</v>
      </c>
      <c r="B75" s="20" t="s">
        <v>547</v>
      </c>
      <c r="C75" s="20" t="s">
        <v>749</v>
      </c>
      <c r="D75" s="137">
        <v>2010000</v>
      </c>
      <c r="E75" s="20" t="s">
        <v>483</v>
      </c>
      <c r="F75" s="20" t="s">
        <v>484</v>
      </c>
      <c r="G75" s="8" t="str">
        <f t="shared" si="2"/>
        <v>MAELZER KURT</v>
      </c>
      <c r="H75" s="20" t="str">
        <f t="shared" si="3"/>
        <v>4014</v>
      </c>
    </row>
    <row r="76" spans="1:8" x14ac:dyDescent="0.3">
      <c r="A76" s="8">
        <v>43101.414722222224</v>
      </c>
      <c r="B76" s="20" t="s">
        <v>661</v>
      </c>
      <c r="C76" s="20" t="s">
        <v>750</v>
      </c>
      <c r="D76" s="137">
        <v>1230000</v>
      </c>
      <c r="E76" s="20" t="s">
        <v>701</v>
      </c>
      <c r="F76" s="20" t="s">
        <v>702</v>
      </c>
      <c r="G76" s="8" t="str">
        <f t="shared" si="2"/>
        <v>YANAI IAN</v>
      </c>
      <c r="H76" s="20" t="str">
        <f t="shared" si="3"/>
        <v>4056</v>
      </c>
    </row>
    <row r="77" spans="1:8" x14ac:dyDescent="0.3">
      <c r="A77" s="8">
        <v>43101.417997685188</v>
      </c>
      <c r="B77" s="20" t="s">
        <v>384</v>
      </c>
      <c r="C77" s="20" t="s">
        <v>679</v>
      </c>
      <c r="D77" s="137">
        <v>1340000</v>
      </c>
      <c r="E77" s="20" t="s">
        <v>751</v>
      </c>
      <c r="F77" s="20" t="s">
        <v>752</v>
      </c>
      <c r="G77" s="8" t="str">
        <f t="shared" si="2"/>
        <v>BEAM ROSS</v>
      </c>
      <c r="H77" s="20" t="str">
        <f t="shared" si="3"/>
        <v>4022</v>
      </c>
    </row>
    <row r="78" spans="1:8" x14ac:dyDescent="0.3">
      <c r="A78" s="8">
        <v>43101.4216087963</v>
      </c>
      <c r="B78" s="20" t="s">
        <v>566</v>
      </c>
      <c r="C78" s="20" t="s">
        <v>753</v>
      </c>
      <c r="D78" s="137">
        <v>1830000</v>
      </c>
      <c r="E78" s="20" t="s">
        <v>346</v>
      </c>
      <c r="F78" s="20" t="s">
        <v>347</v>
      </c>
      <c r="G78" s="8" t="str">
        <f t="shared" si="2"/>
        <v>YORK EDGAR</v>
      </c>
      <c r="H78" s="20" t="str">
        <f t="shared" si="3"/>
        <v>4041</v>
      </c>
    </row>
    <row r="79" spans="1:8" x14ac:dyDescent="0.3">
      <c r="A79" s="8">
        <v>43101.422291666669</v>
      </c>
      <c r="B79" s="20" t="s">
        <v>549</v>
      </c>
      <c r="C79" s="20" t="s">
        <v>679</v>
      </c>
      <c r="D79" s="137">
        <v>1340000</v>
      </c>
      <c r="E79" s="20" t="s">
        <v>751</v>
      </c>
      <c r="F79" s="20" t="s">
        <v>752</v>
      </c>
      <c r="G79" s="8" t="str">
        <f t="shared" si="2"/>
        <v>BEAM ROSS</v>
      </c>
      <c r="H79" s="20" t="str">
        <f t="shared" si="3"/>
        <v>4021</v>
      </c>
    </row>
    <row r="80" spans="1:8" x14ac:dyDescent="0.3">
      <c r="A80" s="8">
        <v>43101.423090277778</v>
      </c>
      <c r="B80" s="20" t="s">
        <v>488</v>
      </c>
      <c r="C80" s="20" t="s">
        <v>754</v>
      </c>
      <c r="D80" s="137">
        <v>3090000</v>
      </c>
      <c r="E80" s="20" t="s">
        <v>550</v>
      </c>
      <c r="F80" s="20" t="s">
        <v>551</v>
      </c>
      <c r="G80" s="8" t="str">
        <f t="shared" si="2"/>
        <v>LAMAR NEKESHA</v>
      </c>
      <c r="H80" s="20" t="str">
        <f t="shared" si="3"/>
        <v>4009</v>
      </c>
    </row>
    <row r="81" spans="1:8" x14ac:dyDescent="0.3">
      <c r="A81" s="8">
        <v>43101.424027777779</v>
      </c>
      <c r="B81" s="20" t="s">
        <v>568</v>
      </c>
      <c r="C81" s="20" t="s">
        <v>755</v>
      </c>
      <c r="D81" s="137">
        <v>1110000</v>
      </c>
      <c r="E81" s="20" t="s">
        <v>756</v>
      </c>
      <c r="F81" s="20" t="s">
        <v>757</v>
      </c>
      <c r="G81" s="8" t="str">
        <f t="shared" si="2"/>
        <v>STARKS ANGELINA</v>
      </c>
      <c r="H81" s="20" t="str">
        <f t="shared" si="3"/>
        <v>4064</v>
      </c>
    </row>
    <row r="82" spans="1:8" x14ac:dyDescent="0.3">
      <c r="A82" s="8">
        <v>43101.432627314818</v>
      </c>
      <c r="B82" s="20" t="s">
        <v>548</v>
      </c>
      <c r="C82" s="20" t="s">
        <v>758</v>
      </c>
      <c r="D82" s="137">
        <v>2370000</v>
      </c>
      <c r="E82" s="20" t="s">
        <v>571</v>
      </c>
      <c r="F82" s="20" t="s">
        <v>572</v>
      </c>
      <c r="G82" s="8" t="str">
        <f t="shared" si="2"/>
        <v>DELGADO DIANAH</v>
      </c>
      <c r="H82" s="20" t="str">
        <f t="shared" si="3"/>
        <v>4057</v>
      </c>
    </row>
    <row r="83" spans="1:8" x14ac:dyDescent="0.3">
      <c r="A83" s="8">
        <v>43101.433483796296</v>
      </c>
      <c r="B83" s="20" t="s">
        <v>351</v>
      </c>
      <c r="C83" s="20" t="s">
        <v>759</v>
      </c>
      <c r="D83" s="137">
        <v>1230000</v>
      </c>
      <c r="E83" s="20" t="s">
        <v>701</v>
      </c>
      <c r="F83" s="20" t="s">
        <v>702</v>
      </c>
      <c r="G83" s="8" t="str">
        <f t="shared" si="2"/>
        <v>YANAI IAN</v>
      </c>
      <c r="H83" s="20" t="str">
        <f t="shared" si="3"/>
        <v>4055</v>
      </c>
    </row>
    <row r="84" spans="1:8" x14ac:dyDescent="0.3">
      <c r="A84" s="8">
        <v>43101.435011574074</v>
      </c>
      <c r="B84" s="20" t="s">
        <v>384</v>
      </c>
      <c r="C84" s="20" t="s">
        <v>760</v>
      </c>
      <c r="D84" s="137">
        <v>2600000</v>
      </c>
      <c r="E84" s="20" t="s">
        <v>522</v>
      </c>
      <c r="F84" s="20" t="s">
        <v>510</v>
      </c>
      <c r="G84" s="8" t="str">
        <f t="shared" si="2"/>
        <v>DAVIDSON DAVID</v>
      </c>
      <c r="H84" s="20" t="str">
        <f t="shared" si="3"/>
        <v>4022</v>
      </c>
    </row>
    <row r="85" spans="1:8" x14ac:dyDescent="0.3">
      <c r="A85" s="8">
        <v>43101.435601851852</v>
      </c>
      <c r="B85" s="20" t="s">
        <v>370</v>
      </c>
      <c r="C85" s="20" t="s">
        <v>761</v>
      </c>
      <c r="D85" s="137">
        <v>1340000</v>
      </c>
      <c r="E85" s="20" t="s">
        <v>751</v>
      </c>
      <c r="F85" s="20" t="s">
        <v>752</v>
      </c>
      <c r="G85" s="8" t="str">
        <f t="shared" si="2"/>
        <v>BEAM ROSS</v>
      </c>
      <c r="H85" s="20" t="str">
        <f t="shared" si="3"/>
        <v>4012</v>
      </c>
    </row>
    <row r="86" spans="1:8" x14ac:dyDescent="0.3">
      <c r="A86" s="8">
        <v>43101.44358796296</v>
      </c>
      <c r="B86" s="20" t="s">
        <v>519</v>
      </c>
      <c r="C86" s="20" t="s">
        <v>762</v>
      </c>
      <c r="D86" s="137">
        <v>1760000</v>
      </c>
      <c r="E86" s="20" t="s">
        <v>763</v>
      </c>
      <c r="F86" s="20" t="s">
        <v>764</v>
      </c>
      <c r="G86" s="8" t="str">
        <f t="shared" si="2"/>
        <v>STRICKLAND EVAN</v>
      </c>
      <c r="H86" s="20" t="str">
        <f t="shared" si="3"/>
        <v>4020</v>
      </c>
    </row>
    <row r="87" spans="1:8" x14ac:dyDescent="0.3">
      <c r="A87" s="8">
        <v>43101.453402777777</v>
      </c>
      <c r="B87" s="20" t="s">
        <v>671</v>
      </c>
      <c r="C87" s="20" t="s">
        <v>765</v>
      </c>
      <c r="D87" s="137">
        <v>2010000</v>
      </c>
      <c r="E87" s="20" t="s">
        <v>483</v>
      </c>
      <c r="F87" s="20" t="s">
        <v>484</v>
      </c>
      <c r="G87" s="8" t="str">
        <f t="shared" si="2"/>
        <v>MAELZER KURT</v>
      </c>
      <c r="H87" s="20" t="str">
        <f t="shared" si="3"/>
        <v>4013</v>
      </c>
    </row>
    <row r="88" spans="1:8" x14ac:dyDescent="0.3">
      <c r="A88" s="8">
        <v>43101.454872685186</v>
      </c>
      <c r="B88" s="20" t="s">
        <v>390</v>
      </c>
      <c r="C88" s="20" t="s">
        <v>766</v>
      </c>
      <c r="D88" s="137">
        <v>1340000</v>
      </c>
      <c r="E88" s="20" t="s">
        <v>751</v>
      </c>
      <c r="F88" s="20" t="s">
        <v>752</v>
      </c>
      <c r="G88" s="8" t="str">
        <f t="shared" si="2"/>
        <v>BEAM ROSS</v>
      </c>
      <c r="H88" s="20" t="str">
        <f t="shared" si="3"/>
        <v>4059</v>
      </c>
    </row>
    <row r="89" spans="1:8" x14ac:dyDescent="0.3">
      <c r="A89" s="8">
        <v>43101.455821759257</v>
      </c>
      <c r="B89" s="20" t="s">
        <v>661</v>
      </c>
      <c r="C89" s="20" t="s">
        <v>767</v>
      </c>
      <c r="D89" s="137">
        <v>1230000</v>
      </c>
      <c r="E89" s="20" t="s">
        <v>701</v>
      </c>
      <c r="F89" s="20" t="s">
        <v>702</v>
      </c>
      <c r="G89" s="8" t="str">
        <f t="shared" si="2"/>
        <v>YANAI IAN</v>
      </c>
      <c r="H89" s="20" t="str">
        <f t="shared" si="3"/>
        <v>4056</v>
      </c>
    </row>
    <row r="90" spans="1:8" x14ac:dyDescent="0.3">
      <c r="A90" s="8">
        <v>43101.455960648149</v>
      </c>
      <c r="B90" s="20" t="s">
        <v>442</v>
      </c>
      <c r="C90" s="20" t="s">
        <v>768</v>
      </c>
      <c r="D90" s="137">
        <v>3090000</v>
      </c>
      <c r="E90" s="20" t="s">
        <v>550</v>
      </c>
      <c r="F90" s="20" t="s">
        <v>551</v>
      </c>
      <c r="G90" s="8" t="str">
        <f t="shared" si="2"/>
        <v>LAMAR NEKESHA</v>
      </c>
      <c r="H90" s="20" t="str">
        <f t="shared" si="3"/>
        <v>4010</v>
      </c>
    </row>
    <row r="91" spans="1:8" x14ac:dyDescent="0.3">
      <c r="A91" s="8">
        <v>43101.45758101852</v>
      </c>
      <c r="B91" s="20" t="s">
        <v>658</v>
      </c>
      <c r="C91" s="20" t="s">
        <v>769</v>
      </c>
      <c r="D91" s="137">
        <v>1110000</v>
      </c>
      <c r="E91" s="20" t="s">
        <v>756</v>
      </c>
      <c r="F91" s="20" t="s">
        <v>757</v>
      </c>
      <c r="G91" s="8" t="str">
        <f t="shared" si="2"/>
        <v>STARKS ANGELINA</v>
      </c>
      <c r="H91" s="20" t="str">
        <f t="shared" si="3"/>
        <v>4063</v>
      </c>
    </row>
    <row r="92" spans="1:8" x14ac:dyDescent="0.3">
      <c r="A92" s="8">
        <v>43101.464733796296</v>
      </c>
      <c r="B92" s="20" t="s">
        <v>446</v>
      </c>
      <c r="C92" s="20" t="s">
        <v>770</v>
      </c>
      <c r="D92" s="137">
        <v>920000</v>
      </c>
      <c r="E92" s="20" t="s">
        <v>573</v>
      </c>
      <c r="F92" s="20" t="s">
        <v>352</v>
      </c>
      <c r="G92" s="8" t="str">
        <f t="shared" si="2"/>
        <v>DAVIS MICHAEL</v>
      </c>
      <c r="H92" s="20" t="str">
        <f t="shared" si="3"/>
        <v>4042</v>
      </c>
    </row>
    <row r="93" spans="1:8" x14ac:dyDescent="0.3">
      <c r="A93" s="8">
        <v>43101.465069444443</v>
      </c>
      <c r="B93" s="20" t="s">
        <v>549</v>
      </c>
      <c r="C93" s="20" t="s">
        <v>771</v>
      </c>
      <c r="D93" s="137">
        <v>2600000</v>
      </c>
      <c r="E93" s="20" t="s">
        <v>522</v>
      </c>
      <c r="F93" s="20" t="s">
        <v>510</v>
      </c>
      <c r="G93" s="8" t="str">
        <f t="shared" si="2"/>
        <v>DAVIDSON DAVID</v>
      </c>
      <c r="H93" s="20" t="str">
        <f t="shared" si="3"/>
        <v>4021</v>
      </c>
    </row>
    <row r="94" spans="1:8" x14ac:dyDescent="0.3">
      <c r="A94" s="8">
        <v>43101.475254629629</v>
      </c>
      <c r="B94" s="20" t="s">
        <v>518</v>
      </c>
      <c r="C94" s="20" t="s">
        <v>772</v>
      </c>
      <c r="D94" s="137">
        <v>1760000</v>
      </c>
      <c r="E94" s="20" t="s">
        <v>763</v>
      </c>
      <c r="F94" s="20" t="s">
        <v>764</v>
      </c>
      <c r="G94" s="8" t="str">
        <f t="shared" si="2"/>
        <v>STRICKLAND EVAN</v>
      </c>
      <c r="H94" s="20" t="str">
        <f t="shared" si="3"/>
        <v>4019</v>
      </c>
    </row>
    <row r="95" spans="1:8" x14ac:dyDescent="0.3">
      <c r="A95" s="8">
        <v>43101.475416666668</v>
      </c>
      <c r="B95" s="20" t="s">
        <v>351</v>
      </c>
      <c r="C95" s="20" t="s">
        <v>773</v>
      </c>
      <c r="D95" s="137">
        <v>1230000</v>
      </c>
      <c r="E95" s="20" t="s">
        <v>701</v>
      </c>
      <c r="F95" s="20" t="s">
        <v>702</v>
      </c>
      <c r="G95" s="8" t="str">
        <f t="shared" si="2"/>
        <v>YANAI IAN</v>
      </c>
      <c r="H95" s="20" t="str">
        <f t="shared" si="3"/>
        <v>4055</v>
      </c>
    </row>
    <row r="96" spans="1:8" x14ac:dyDescent="0.3">
      <c r="A96" s="8">
        <v>43101.475590277776</v>
      </c>
      <c r="B96" s="20" t="s">
        <v>607</v>
      </c>
      <c r="C96" s="20" t="s">
        <v>774</v>
      </c>
      <c r="D96" s="137">
        <v>880000</v>
      </c>
      <c r="E96" s="20" t="s">
        <v>605</v>
      </c>
      <c r="F96" s="20" t="s">
        <v>352</v>
      </c>
      <c r="G96" s="8" t="str">
        <f t="shared" si="2"/>
        <v>STEWART MICHAEL</v>
      </c>
      <c r="H96" s="20" t="str">
        <f t="shared" si="3"/>
        <v>4058</v>
      </c>
    </row>
    <row r="97" spans="1:8" x14ac:dyDescent="0.3">
      <c r="A97" s="8">
        <v>43101.486504629633</v>
      </c>
      <c r="B97" s="20" t="s">
        <v>547</v>
      </c>
      <c r="C97" s="20" t="s">
        <v>775</v>
      </c>
      <c r="D97" s="137">
        <v>1180000</v>
      </c>
      <c r="E97" s="20" t="s">
        <v>776</v>
      </c>
      <c r="F97" s="20" t="s">
        <v>777</v>
      </c>
      <c r="G97" s="8" t="str">
        <f t="shared" si="2"/>
        <v>LEVERE CRAIG</v>
      </c>
      <c r="H97" s="20" t="str">
        <f t="shared" si="3"/>
        <v>4014</v>
      </c>
    </row>
    <row r="98" spans="1:8" x14ac:dyDescent="0.3">
      <c r="A98" s="8">
        <v>43101.490312499998</v>
      </c>
      <c r="B98" s="20" t="s">
        <v>488</v>
      </c>
      <c r="C98" s="20" t="s">
        <v>778</v>
      </c>
      <c r="D98" s="137">
        <v>3090000</v>
      </c>
      <c r="E98" s="20" t="s">
        <v>550</v>
      </c>
      <c r="F98" s="20" t="s">
        <v>551</v>
      </c>
      <c r="G98" s="8" t="str">
        <f t="shared" si="2"/>
        <v>LAMAR NEKESHA</v>
      </c>
      <c r="H98" s="20" t="str">
        <f t="shared" si="3"/>
        <v>4009</v>
      </c>
    </row>
    <row r="99" spans="1:8" x14ac:dyDescent="0.3">
      <c r="A99" s="8">
        <v>43101.497499999998</v>
      </c>
      <c r="B99" s="20" t="s">
        <v>568</v>
      </c>
      <c r="C99" s="20" t="s">
        <v>779</v>
      </c>
      <c r="D99" s="137">
        <v>2970000</v>
      </c>
      <c r="E99" s="20" t="s">
        <v>374</v>
      </c>
      <c r="F99" s="20" t="s">
        <v>375</v>
      </c>
      <c r="G99" s="8" t="str">
        <f t="shared" si="2"/>
        <v>GUZMAN DANNY</v>
      </c>
      <c r="H99" s="20" t="str">
        <f t="shared" si="3"/>
        <v>4064</v>
      </c>
    </row>
    <row r="100" spans="1:8" x14ac:dyDescent="0.3">
      <c r="A100" s="8">
        <v>43101.497627314813</v>
      </c>
      <c r="B100" s="20" t="s">
        <v>661</v>
      </c>
      <c r="C100" s="20" t="s">
        <v>780</v>
      </c>
      <c r="D100" s="137">
        <v>1230000</v>
      </c>
      <c r="E100" s="20" t="s">
        <v>701</v>
      </c>
      <c r="F100" s="20" t="s">
        <v>702</v>
      </c>
      <c r="G100" s="8" t="str">
        <f t="shared" si="2"/>
        <v>YANAI IAN</v>
      </c>
      <c r="H100" s="20" t="str">
        <f t="shared" si="3"/>
        <v>4056</v>
      </c>
    </row>
    <row r="101" spans="1:8" x14ac:dyDescent="0.3">
      <c r="A101" s="8">
        <v>43101.50681712963</v>
      </c>
      <c r="B101" s="20" t="s">
        <v>566</v>
      </c>
      <c r="C101" s="20" t="s">
        <v>781</v>
      </c>
      <c r="D101" s="137">
        <v>920000</v>
      </c>
      <c r="E101" s="20" t="s">
        <v>573</v>
      </c>
      <c r="F101" s="20" t="s">
        <v>352</v>
      </c>
      <c r="G101" s="8" t="str">
        <f t="shared" si="2"/>
        <v>DAVIS MICHAEL</v>
      </c>
      <c r="H101" s="20" t="str">
        <f t="shared" si="3"/>
        <v>4041</v>
      </c>
    </row>
    <row r="102" spans="1:8" x14ac:dyDescent="0.3">
      <c r="A102" s="8">
        <v>43101.507326388892</v>
      </c>
      <c r="B102" s="20" t="s">
        <v>384</v>
      </c>
      <c r="C102" s="20" t="s">
        <v>782</v>
      </c>
      <c r="D102" s="137">
        <v>2630000</v>
      </c>
      <c r="E102" s="20" t="s">
        <v>372</v>
      </c>
      <c r="F102" s="20" t="s">
        <v>373</v>
      </c>
      <c r="G102" s="8" t="str">
        <f t="shared" si="2"/>
        <v>SAFIEF AEIMEN</v>
      </c>
      <c r="H102" s="20" t="str">
        <f t="shared" si="3"/>
        <v>4022</v>
      </c>
    </row>
    <row r="103" spans="1:8" x14ac:dyDescent="0.3">
      <c r="A103" s="8">
        <v>43101.515428240738</v>
      </c>
      <c r="B103" s="20" t="s">
        <v>548</v>
      </c>
      <c r="C103" s="20" t="s">
        <v>783</v>
      </c>
      <c r="D103" s="137">
        <v>880000</v>
      </c>
      <c r="E103" s="20" t="s">
        <v>605</v>
      </c>
      <c r="F103" s="20" t="s">
        <v>352</v>
      </c>
      <c r="G103" s="8" t="str">
        <f t="shared" si="2"/>
        <v>STEWART MICHAEL</v>
      </c>
      <c r="H103" s="20" t="str">
        <f t="shared" si="3"/>
        <v>4057</v>
      </c>
    </row>
    <row r="104" spans="1:8" x14ac:dyDescent="0.3">
      <c r="A104" s="8">
        <v>43101.516851851855</v>
      </c>
      <c r="B104" s="20" t="s">
        <v>351</v>
      </c>
      <c r="C104" s="20" t="s">
        <v>784</v>
      </c>
      <c r="D104" s="137">
        <v>1230000</v>
      </c>
      <c r="E104" s="20" t="s">
        <v>701</v>
      </c>
      <c r="F104" s="20" t="s">
        <v>702</v>
      </c>
      <c r="G104" s="8" t="str">
        <f t="shared" si="2"/>
        <v>YANAI IAN</v>
      </c>
      <c r="H104" s="20" t="str">
        <f t="shared" si="3"/>
        <v>4055</v>
      </c>
    </row>
    <row r="105" spans="1:8" x14ac:dyDescent="0.3">
      <c r="A105" s="8">
        <v>43101.517187500001</v>
      </c>
      <c r="B105" s="20" t="s">
        <v>519</v>
      </c>
      <c r="C105" s="20" t="s">
        <v>785</v>
      </c>
      <c r="D105" s="137">
        <v>1760000</v>
      </c>
      <c r="E105" s="20" t="s">
        <v>763</v>
      </c>
      <c r="F105" s="20" t="s">
        <v>764</v>
      </c>
      <c r="G105" s="8" t="str">
        <f t="shared" si="2"/>
        <v>STRICKLAND EVAN</v>
      </c>
      <c r="H105" s="20" t="str">
        <f t="shared" si="3"/>
        <v>4020</v>
      </c>
    </row>
    <row r="106" spans="1:8" x14ac:dyDescent="0.3">
      <c r="A106" s="8">
        <v>43101.523518518516</v>
      </c>
      <c r="B106" s="20" t="s">
        <v>671</v>
      </c>
      <c r="C106" s="20" t="s">
        <v>786</v>
      </c>
      <c r="D106" s="137">
        <v>1180000</v>
      </c>
      <c r="E106" s="20" t="s">
        <v>776</v>
      </c>
      <c r="F106" s="20" t="s">
        <v>777</v>
      </c>
      <c r="G106" s="8" t="str">
        <f t="shared" si="2"/>
        <v>LEVERE CRAIG</v>
      </c>
      <c r="H106" s="20" t="str">
        <f t="shared" si="3"/>
        <v>4013</v>
      </c>
    </row>
    <row r="107" spans="1:8" x14ac:dyDescent="0.3">
      <c r="A107" s="8">
        <v>43101.527592592596</v>
      </c>
      <c r="B107" s="20" t="s">
        <v>658</v>
      </c>
      <c r="C107" s="20" t="s">
        <v>787</v>
      </c>
      <c r="D107" s="137">
        <v>2970000</v>
      </c>
      <c r="E107" s="20" t="s">
        <v>374</v>
      </c>
      <c r="F107" s="20" t="s">
        <v>375</v>
      </c>
      <c r="G107" s="8" t="str">
        <f t="shared" si="2"/>
        <v>GUZMAN DANNY</v>
      </c>
      <c r="H107" s="20" t="str">
        <f t="shared" si="3"/>
        <v>4063</v>
      </c>
    </row>
    <row r="108" spans="1:8" x14ac:dyDescent="0.3">
      <c r="A108" s="8">
        <v>43101.527615740742</v>
      </c>
      <c r="B108" s="20" t="s">
        <v>442</v>
      </c>
      <c r="C108" s="20" t="s">
        <v>788</v>
      </c>
      <c r="D108" s="137">
        <v>2230000</v>
      </c>
      <c r="E108" s="20" t="s">
        <v>393</v>
      </c>
      <c r="F108" s="20" t="s">
        <v>352</v>
      </c>
      <c r="G108" s="8" t="str">
        <f t="shared" si="2"/>
        <v>SMITH MICHAEL</v>
      </c>
      <c r="H108" s="20" t="str">
        <f t="shared" si="3"/>
        <v>4010</v>
      </c>
    </row>
    <row r="109" spans="1:8" x14ac:dyDescent="0.3">
      <c r="A109" s="8">
        <v>43101.538217592592</v>
      </c>
      <c r="B109" s="20" t="s">
        <v>549</v>
      </c>
      <c r="C109" s="20" t="s">
        <v>789</v>
      </c>
      <c r="D109" s="137">
        <v>2630000</v>
      </c>
      <c r="E109" s="20" t="s">
        <v>372</v>
      </c>
      <c r="F109" s="20" t="s">
        <v>373</v>
      </c>
      <c r="G109" s="8" t="str">
        <f t="shared" si="2"/>
        <v>SAFIEF AEIMEN</v>
      </c>
      <c r="H109" s="20" t="str">
        <f t="shared" si="3"/>
        <v>4021</v>
      </c>
    </row>
    <row r="110" spans="1:8" x14ac:dyDescent="0.3">
      <c r="A110" s="8">
        <v>43101.539826388886</v>
      </c>
      <c r="B110" s="20" t="s">
        <v>446</v>
      </c>
      <c r="C110" s="20" t="s">
        <v>790</v>
      </c>
      <c r="D110" s="137">
        <v>920000</v>
      </c>
      <c r="E110" s="20" t="s">
        <v>573</v>
      </c>
      <c r="F110" s="20" t="s">
        <v>352</v>
      </c>
      <c r="G110" s="8" t="str">
        <f t="shared" si="2"/>
        <v>DAVIS MICHAEL</v>
      </c>
      <c r="H110" s="20" t="str">
        <f t="shared" si="3"/>
        <v>4042</v>
      </c>
    </row>
    <row r="111" spans="1:8" x14ac:dyDescent="0.3">
      <c r="A111" s="8">
        <v>43101.545081018521</v>
      </c>
      <c r="B111" s="20" t="s">
        <v>661</v>
      </c>
      <c r="C111" s="20" t="s">
        <v>662</v>
      </c>
      <c r="D111" s="137">
        <v>1110000</v>
      </c>
      <c r="E111" s="20" t="s">
        <v>756</v>
      </c>
      <c r="F111" s="20" t="s">
        <v>757</v>
      </c>
      <c r="G111" s="8" t="str">
        <f t="shared" si="2"/>
        <v>STARKS ANGELINA</v>
      </c>
      <c r="H111" s="20" t="str">
        <f t="shared" si="3"/>
        <v>4056</v>
      </c>
    </row>
    <row r="112" spans="1:8" x14ac:dyDescent="0.3">
      <c r="A112" s="8">
        <v>43101.546747685185</v>
      </c>
      <c r="B112" s="20" t="s">
        <v>661</v>
      </c>
      <c r="C112" s="20" t="s">
        <v>791</v>
      </c>
      <c r="D112" s="137">
        <v>1110000</v>
      </c>
      <c r="E112" s="20" t="s">
        <v>756</v>
      </c>
      <c r="F112" s="20" t="s">
        <v>757</v>
      </c>
      <c r="G112" s="8" t="str">
        <f t="shared" si="2"/>
        <v>STARKS ANGELINA</v>
      </c>
      <c r="H112" s="20" t="str">
        <f t="shared" si="3"/>
        <v>4056</v>
      </c>
    </row>
    <row r="113" spans="1:8" x14ac:dyDescent="0.3">
      <c r="A113" s="8">
        <v>43101.548530092594</v>
      </c>
      <c r="B113" s="20" t="s">
        <v>518</v>
      </c>
      <c r="C113" s="20" t="s">
        <v>792</v>
      </c>
      <c r="D113" s="137">
        <v>1760000</v>
      </c>
      <c r="E113" s="20" t="s">
        <v>763</v>
      </c>
      <c r="F113" s="20" t="s">
        <v>764</v>
      </c>
      <c r="G113" s="8" t="str">
        <f t="shared" si="2"/>
        <v>STRICKLAND EVAN</v>
      </c>
      <c r="H113" s="20" t="str">
        <f t="shared" si="3"/>
        <v>4019</v>
      </c>
    </row>
    <row r="114" spans="1:8" x14ac:dyDescent="0.3">
      <c r="A114" s="8">
        <v>43101.548587962963</v>
      </c>
      <c r="B114" s="20" t="s">
        <v>607</v>
      </c>
      <c r="C114" s="20" t="s">
        <v>793</v>
      </c>
      <c r="D114" s="137">
        <v>880000</v>
      </c>
      <c r="E114" s="20" t="s">
        <v>605</v>
      </c>
      <c r="F114" s="20" t="s">
        <v>352</v>
      </c>
      <c r="G114" s="8" t="str">
        <f t="shared" si="2"/>
        <v>STEWART MICHAEL</v>
      </c>
      <c r="H114" s="20" t="str">
        <f t="shared" si="3"/>
        <v>4058</v>
      </c>
    </row>
    <row r="115" spans="1:8" x14ac:dyDescent="0.3">
      <c r="A115" s="8">
        <v>43101.559594907405</v>
      </c>
      <c r="B115" s="20" t="s">
        <v>547</v>
      </c>
      <c r="C115" s="20" t="s">
        <v>794</v>
      </c>
      <c r="D115" s="137">
        <v>1180000</v>
      </c>
      <c r="E115" s="20" t="s">
        <v>776</v>
      </c>
      <c r="F115" s="20" t="s">
        <v>777</v>
      </c>
      <c r="G115" s="8" t="str">
        <f t="shared" si="2"/>
        <v>LEVERE CRAIG</v>
      </c>
      <c r="H115" s="20" t="str">
        <f t="shared" si="3"/>
        <v>4014</v>
      </c>
    </row>
    <row r="116" spans="1:8" x14ac:dyDescent="0.3">
      <c r="A116" s="8">
        <v>43101.561979166669</v>
      </c>
      <c r="B116" s="20" t="s">
        <v>351</v>
      </c>
      <c r="C116" s="20" t="s">
        <v>795</v>
      </c>
      <c r="D116" s="137">
        <v>1110000</v>
      </c>
      <c r="E116" s="20" t="s">
        <v>756</v>
      </c>
      <c r="F116" s="20" t="s">
        <v>757</v>
      </c>
      <c r="G116" s="8" t="str">
        <f t="shared" si="2"/>
        <v>STARKS ANGELINA</v>
      </c>
      <c r="H116" s="20" t="str">
        <f t="shared" si="3"/>
        <v>4055</v>
      </c>
    </row>
    <row r="117" spans="1:8" x14ac:dyDescent="0.3">
      <c r="A117" s="8">
        <v>43101.565405092595</v>
      </c>
      <c r="B117" s="20" t="s">
        <v>488</v>
      </c>
      <c r="C117" s="20" t="s">
        <v>796</v>
      </c>
      <c r="D117" s="137">
        <v>2230000</v>
      </c>
      <c r="E117" s="20" t="s">
        <v>393</v>
      </c>
      <c r="F117" s="20" t="s">
        <v>352</v>
      </c>
      <c r="G117" s="8" t="str">
        <f t="shared" si="2"/>
        <v>SMITH MICHAEL</v>
      </c>
      <c r="H117" s="20" t="str">
        <f t="shared" si="3"/>
        <v>4009</v>
      </c>
    </row>
    <row r="118" spans="1:8" x14ac:dyDescent="0.3">
      <c r="A118" s="8">
        <v>43101.56795138889</v>
      </c>
      <c r="B118" s="20" t="s">
        <v>568</v>
      </c>
      <c r="C118" s="20" t="s">
        <v>797</v>
      </c>
      <c r="D118" s="137">
        <v>2970000</v>
      </c>
      <c r="E118" s="20" t="s">
        <v>374</v>
      </c>
      <c r="F118" s="20" t="s">
        <v>375</v>
      </c>
      <c r="G118" s="8" t="str">
        <f t="shared" si="2"/>
        <v>GUZMAN DANNY</v>
      </c>
      <c r="H118" s="20" t="str">
        <f t="shared" si="3"/>
        <v>4064</v>
      </c>
    </row>
    <row r="119" spans="1:8" x14ac:dyDescent="0.3">
      <c r="A119" s="8">
        <v>43101.579907407409</v>
      </c>
      <c r="B119" s="20" t="s">
        <v>566</v>
      </c>
      <c r="C119" s="20" t="s">
        <v>663</v>
      </c>
      <c r="D119" s="137">
        <v>920000</v>
      </c>
      <c r="E119" s="20" t="s">
        <v>573</v>
      </c>
      <c r="F119" s="20" t="s">
        <v>352</v>
      </c>
      <c r="G119" s="8" t="str">
        <f t="shared" si="2"/>
        <v>DAVIS MICHAEL</v>
      </c>
      <c r="H119" s="20" t="str">
        <f t="shared" si="3"/>
        <v>4041</v>
      </c>
    </row>
    <row r="120" spans="1:8" x14ac:dyDescent="0.3">
      <c r="A120" s="8">
        <v>43101.581655092596</v>
      </c>
      <c r="B120" s="20" t="s">
        <v>384</v>
      </c>
      <c r="C120" s="20" t="s">
        <v>798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4022</v>
      </c>
    </row>
    <row r="121" spans="1:8" x14ac:dyDescent="0.3">
      <c r="A121" s="8">
        <v>43101.584398148145</v>
      </c>
      <c r="B121" s="20" t="s">
        <v>661</v>
      </c>
      <c r="C121" s="20" t="s">
        <v>662</v>
      </c>
      <c r="D121" s="137">
        <v>1110000</v>
      </c>
      <c r="E121" s="20" t="s">
        <v>756</v>
      </c>
      <c r="F121" s="20" t="s">
        <v>757</v>
      </c>
      <c r="G121" s="8" t="str">
        <f t="shared" si="2"/>
        <v>STARKS ANGELINA</v>
      </c>
      <c r="H121" s="20" t="str">
        <f t="shared" si="3"/>
        <v>4056</v>
      </c>
    </row>
    <row r="122" spans="1:8" x14ac:dyDescent="0.3">
      <c r="A122" s="8">
        <v>43101.587858796294</v>
      </c>
      <c r="B122" s="25" t="s">
        <v>548</v>
      </c>
      <c r="C122" s="20" t="s">
        <v>799</v>
      </c>
      <c r="D122" s="137">
        <v>880000</v>
      </c>
      <c r="E122" s="20" t="s">
        <v>605</v>
      </c>
      <c r="F122" s="20" t="s">
        <v>352</v>
      </c>
      <c r="G122" s="8" t="str">
        <f t="shared" si="2"/>
        <v>STEWART MICHAEL</v>
      </c>
      <c r="H122" s="20" t="str">
        <f t="shared" si="3"/>
        <v>4057</v>
      </c>
    </row>
    <row r="123" spans="1:8" x14ac:dyDescent="0.3">
      <c r="A123" s="8">
        <v>43101.590173611112</v>
      </c>
      <c r="B123" s="20" t="s">
        <v>519</v>
      </c>
      <c r="C123" s="20" t="s">
        <v>800</v>
      </c>
      <c r="D123" s="137">
        <v>1760000</v>
      </c>
      <c r="E123" s="20" t="s">
        <v>763</v>
      </c>
      <c r="F123" s="20" t="s">
        <v>764</v>
      </c>
      <c r="G123" s="8" t="str">
        <f t="shared" si="2"/>
        <v>STRICKLAND EVAN</v>
      </c>
      <c r="H123" s="20" t="str">
        <f t="shared" si="3"/>
        <v>4020</v>
      </c>
    </row>
    <row r="124" spans="1:8" x14ac:dyDescent="0.3">
      <c r="A124" s="8">
        <v>43101.596886574072</v>
      </c>
      <c r="B124" s="20" t="s">
        <v>671</v>
      </c>
      <c r="C124" s="20" t="s">
        <v>801</v>
      </c>
      <c r="D124" s="137">
        <v>1180000</v>
      </c>
      <c r="E124" s="20" t="s">
        <v>776</v>
      </c>
      <c r="F124" s="20" t="s">
        <v>777</v>
      </c>
      <c r="G124" s="8" t="str">
        <f t="shared" si="2"/>
        <v>LEVERE CRAIG</v>
      </c>
      <c r="H124" s="20" t="str">
        <f t="shared" si="3"/>
        <v>4013</v>
      </c>
    </row>
    <row r="125" spans="1:8" x14ac:dyDescent="0.3">
      <c r="A125" s="8">
        <v>43101.599907407406</v>
      </c>
      <c r="B125" s="20" t="s">
        <v>442</v>
      </c>
      <c r="C125" s="20" t="s">
        <v>802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4010</v>
      </c>
    </row>
    <row r="126" spans="1:8" x14ac:dyDescent="0.3">
      <c r="A126" s="8">
        <v>43101.602766203701</v>
      </c>
      <c r="B126" s="20" t="s">
        <v>658</v>
      </c>
      <c r="C126" s="20" t="s">
        <v>803</v>
      </c>
      <c r="D126" s="137">
        <v>2970000</v>
      </c>
      <c r="E126" s="20" t="s">
        <v>374</v>
      </c>
      <c r="F126" s="20" t="s">
        <v>375</v>
      </c>
      <c r="G126" s="8" t="str">
        <f t="shared" si="2"/>
        <v>GUZMAN DANNY</v>
      </c>
      <c r="H126" s="20" t="str">
        <f t="shared" si="3"/>
        <v>4063</v>
      </c>
    </row>
    <row r="127" spans="1:8" x14ac:dyDescent="0.3">
      <c r="A127" s="8">
        <v>43101.606840277775</v>
      </c>
      <c r="B127" s="20" t="s">
        <v>351</v>
      </c>
      <c r="C127" s="20" t="s">
        <v>664</v>
      </c>
      <c r="D127" s="137">
        <v>1110000</v>
      </c>
      <c r="E127" s="20" t="s">
        <v>756</v>
      </c>
      <c r="F127" s="20" t="s">
        <v>757</v>
      </c>
      <c r="G127" s="8" t="str">
        <f t="shared" si="2"/>
        <v>STARKS ANGELINA</v>
      </c>
      <c r="H127" s="20" t="str">
        <f t="shared" si="3"/>
        <v>4055</v>
      </c>
    </row>
    <row r="128" spans="1:8" x14ac:dyDescent="0.3">
      <c r="A128" s="8">
        <v>43101.613437499997</v>
      </c>
      <c r="B128" s="20" t="s">
        <v>446</v>
      </c>
      <c r="C128" s="20" t="s">
        <v>665</v>
      </c>
      <c r="D128" s="137">
        <v>920000</v>
      </c>
      <c r="E128" s="20" t="s">
        <v>573</v>
      </c>
      <c r="F128" s="20" t="s">
        <v>352</v>
      </c>
      <c r="G128" s="8" t="str">
        <f t="shared" si="2"/>
        <v>DAVIS MICHAEL</v>
      </c>
      <c r="H128" s="20" t="str">
        <f t="shared" si="3"/>
        <v>4042</v>
      </c>
    </row>
    <row r="129" spans="1:8" x14ac:dyDescent="0.3">
      <c r="A129" s="8">
        <v>43101.614583333336</v>
      </c>
      <c r="B129" s="20" t="s">
        <v>549</v>
      </c>
      <c r="C129" s="20" t="s">
        <v>804</v>
      </c>
      <c r="D129" s="137">
        <v>2630000</v>
      </c>
      <c r="E129" s="20" t="s">
        <v>372</v>
      </c>
      <c r="F129" s="20" t="s">
        <v>373</v>
      </c>
      <c r="G129" s="8" t="str">
        <f t="shared" si="2"/>
        <v>SAFIEF AEIMEN</v>
      </c>
      <c r="H129" s="20" t="str">
        <f t="shared" si="3"/>
        <v>4021</v>
      </c>
    </row>
    <row r="130" spans="1:8" x14ac:dyDescent="0.3">
      <c r="A130" s="8">
        <v>43101.620370370372</v>
      </c>
      <c r="B130" s="20" t="s">
        <v>518</v>
      </c>
      <c r="C130" s="20" t="s">
        <v>666</v>
      </c>
      <c r="D130" s="137">
        <v>1760000</v>
      </c>
      <c r="E130" s="20" t="s">
        <v>763</v>
      </c>
      <c r="F130" s="20" t="s">
        <v>764</v>
      </c>
      <c r="G130" s="8" t="str">
        <f t="shared" si="2"/>
        <v>STRICKLAND EVAN</v>
      </c>
      <c r="H130" s="20" t="str">
        <f t="shared" si="3"/>
        <v>4019</v>
      </c>
    </row>
    <row r="131" spans="1:8" x14ac:dyDescent="0.3">
      <c r="A131" s="8">
        <v>43101.62222222222</v>
      </c>
      <c r="B131" s="20" t="s">
        <v>607</v>
      </c>
      <c r="C131" s="20" t="s">
        <v>805</v>
      </c>
      <c r="D131" s="137">
        <v>880000</v>
      </c>
      <c r="E131" s="20" t="s">
        <v>605</v>
      </c>
      <c r="F131" s="20" t="s">
        <v>352</v>
      </c>
      <c r="G131" s="8" t="str">
        <f t="shared" ref="G131:G194" si="4">E131&amp;" "&amp;F131</f>
        <v>STEWART MICHAEL</v>
      </c>
      <c r="H131" s="20" t="str">
        <f t="shared" ref="H131:H194" si="5">MID(B131,13,4)</f>
        <v>4058</v>
      </c>
    </row>
    <row r="132" spans="1:8" x14ac:dyDescent="0.3">
      <c r="A132" s="8">
        <v>43101.629525462966</v>
      </c>
      <c r="B132" s="20" t="s">
        <v>661</v>
      </c>
      <c r="C132" s="20" t="s">
        <v>806</v>
      </c>
      <c r="D132" s="137">
        <v>1110000</v>
      </c>
      <c r="E132" s="20" t="s">
        <v>756</v>
      </c>
      <c r="F132" s="20" t="s">
        <v>757</v>
      </c>
      <c r="G132" s="8" t="str">
        <f t="shared" si="4"/>
        <v>STARKS ANGELINA</v>
      </c>
      <c r="H132" s="20" t="str">
        <f t="shared" si="5"/>
        <v>4056</v>
      </c>
    </row>
    <row r="133" spans="1:8" x14ac:dyDescent="0.3">
      <c r="A133" s="8">
        <v>43101.631851851853</v>
      </c>
      <c r="B133" s="20" t="s">
        <v>547</v>
      </c>
      <c r="C133" s="20" t="s">
        <v>807</v>
      </c>
      <c r="D133" s="137">
        <v>1180000</v>
      </c>
      <c r="E133" s="20" t="s">
        <v>776</v>
      </c>
      <c r="F133" s="20" t="s">
        <v>777</v>
      </c>
      <c r="G133" s="8" t="str">
        <f t="shared" si="4"/>
        <v>LEVERE CRAIG</v>
      </c>
      <c r="H133" s="20" t="str">
        <f t="shared" si="5"/>
        <v>4014</v>
      </c>
    </row>
    <row r="134" spans="1:8" x14ac:dyDescent="0.3">
      <c r="A134" s="8">
        <v>43101.63726851852</v>
      </c>
      <c r="B134" s="20" t="s">
        <v>488</v>
      </c>
      <c r="C134" s="20" t="s">
        <v>808</v>
      </c>
      <c r="D134" s="137">
        <v>2230000</v>
      </c>
      <c r="E134" s="20" t="s">
        <v>393</v>
      </c>
      <c r="F134" s="20" t="s">
        <v>352</v>
      </c>
      <c r="G134" s="8" t="str">
        <f t="shared" si="4"/>
        <v>SMITH MICHAEL</v>
      </c>
      <c r="H134" s="20" t="str">
        <f t="shared" si="5"/>
        <v>4009</v>
      </c>
    </row>
    <row r="135" spans="1:8" x14ac:dyDescent="0.3">
      <c r="A135" s="8">
        <v>43101.642175925925</v>
      </c>
      <c r="B135" s="20" t="s">
        <v>568</v>
      </c>
      <c r="C135" s="20" t="s">
        <v>809</v>
      </c>
      <c r="D135" s="137">
        <v>1280000</v>
      </c>
      <c r="E135" s="20" t="s">
        <v>810</v>
      </c>
      <c r="F135" s="20" t="s">
        <v>811</v>
      </c>
      <c r="G135" s="8" t="str">
        <f t="shared" si="4"/>
        <v>BARTLETT KIANDRA</v>
      </c>
      <c r="H135" s="20" t="str">
        <f t="shared" si="5"/>
        <v>4064</v>
      </c>
    </row>
    <row r="136" spans="1:8" x14ac:dyDescent="0.3">
      <c r="A136" s="8">
        <v>43101.64671296296</v>
      </c>
      <c r="B136" s="20" t="s">
        <v>351</v>
      </c>
      <c r="C136" s="20" t="s">
        <v>812</v>
      </c>
      <c r="D136" s="137">
        <v>1110000</v>
      </c>
      <c r="E136" s="20" t="s">
        <v>756</v>
      </c>
      <c r="F136" s="20" t="s">
        <v>757</v>
      </c>
      <c r="G136" s="8" t="str">
        <f t="shared" si="4"/>
        <v>STARKS ANGELINA</v>
      </c>
      <c r="H136" s="20" t="str">
        <f t="shared" si="5"/>
        <v>4055</v>
      </c>
    </row>
    <row r="137" spans="1:8" x14ac:dyDescent="0.3">
      <c r="A137" s="8">
        <v>43101.652337962965</v>
      </c>
      <c r="B137" s="20" t="s">
        <v>566</v>
      </c>
      <c r="C137" s="20" t="s">
        <v>813</v>
      </c>
      <c r="D137" s="137">
        <v>920000</v>
      </c>
      <c r="E137" s="20" t="s">
        <v>573</v>
      </c>
      <c r="F137" s="20" t="s">
        <v>352</v>
      </c>
      <c r="G137" s="8" t="str">
        <f t="shared" si="4"/>
        <v>DAVIS MICHAEL</v>
      </c>
      <c r="H137" s="20" t="str">
        <f t="shared" si="5"/>
        <v>4041</v>
      </c>
    </row>
    <row r="138" spans="1:8" x14ac:dyDescent="0.3">
      <c r="A138" s="8">
        <v>43101.653171296297</v>
      </c>
      <c r="B138" s="20" t="s">
        <v>384</v>
      </c>
      <c r="C138" s="20" t="s">
        <v>814</v>
      </c>
      <c r="D138" s="137">
        <v>2630000</v>
      </c>
      <c r="E138" s="20" t="s">
        <v>372</v>
      </c>
      <c r="F138" s="20" t="s">
        <v>373</v>
      </c>
      <c r="G138" s="8" t="str">
        <f t="shared" si="4"/>
        <v>SAFIEF AEIMEN</v>
      </c>
      <c r="H138" s="20" t="str">
        <f t="shared" si="5"/>
        <v>4022</v>
      </c>
    </row>
    <row r="139" spans="1:8" x14ac:dyDescent="0.3">
      <c r="A139" s="8">
        <v>43101.662245370368</v>
      </c>
      <c r="B139" s="20" t="s">
        <v>548</v>
      </c>
      <c r="C139" s="20" t="s">
        <v>667</v>
      </c>
      <c r="D139" s="137">
        <v>880000</v>
      </c>
      <c r="E139" s="20" t="s">
        <v>605</v>
      </c>
      <c r="F139" s="20" t="s">
        <v>352</v>
      </c>
      <c r="G139" s="8" t="str">
        <f t="shared" si="4"/>
        <v>STEWART MICHAEL</v>
      </c>
      <c r="H139" s="20" t="str">
        <f t="shared" si="5"/>
        <v>4057</v>
      </c>
    </row>
    <row r="140" spans="1:8" x14ac:dyDescent="0.3">
      <c r="A140" s="8">
        <v>43101.663900462961</v>
      </c>
      <c r="B140" s="20" t="s">
        <v>519</v>
      </c>
      <c r="C140" s="20" t="s">
        <v>815</v>
      </c>
      <c r="D140" s="137">
        <v>1760000</v>
      </c>
      <c r="E140" s="20" t="s">
        <v>763</v>
      </c>
      <c r="F140" s="20" t="s">
        <v>764</v>
      </c>
      <c r="G140" s="8" t="str">
        <f t="shared" si="4"/>
        <v>STRICKLAND EVAN</v>
      </c>
      <c r="H140" s="20" t="str">
        <f t="shared" si="5"/>
        <v>4020</v>
      </c>
    </row>
    <row r="141" spans="1:8" x14ac:dyDescent="0.3">
      <c r="A141" s="8">
        <v>43101.66810185185</v>
      </c>
      <c r="B141" s="20" t="s">
        <v>671</v>
      </c>
      <c r="C141" s="20" t="s">
        <v>816</v>
      </c>
      <c r="D141" s="137">
        <v>1180000</v>
      </c>
      <c r="E141" s="20" t="s">
        <v>776</v>
      </c>
      <c r="F141" s="20" t="s">
        <v>777</v>
      </c>
      <c r="G141" s="8" t="str">
        <f t="shared" si="4"/>
        <v>LEVERE CRAIG</v>
      </c>
      <c r="H141" s="20" t="str">
        <f t="shared" si="5"/>
        <v>4013</v>
      </c>
    </row>
    <row r="142" spans="1:8" x14ac:dyDescent="0.3">
      <c r="A142" s="8">
        <v>43101.668634259258</v>
      </c>
      <c r="B142" s="20" t="s">
        <v>357</v>
      </c>
      <c r="C142" s="20" t="s">
        <v>817</v>
      </c>
      <c r="D142" s="137">
        <v>3030000</v>
      </c>
      <c r="E142" s="20" t="s">
        <v>606</v>
      </c>
      <c r="F142" s="20" t="s">
        <v>521</v>
      </c>
      <c r="G142" s="8" t="str">
        <f t="shared" si="4"/>
        <v>BIRENBAUM THOMAS</v>
      </c>
      <c r="H142" s="20" t="str">
        <f t="shared" si="5"/>
        <v>4060</v>
      </c>
    </row>
    <row r="143" spans="1:8" x14ac:dyDescent="0.3">
      <c r="A143" s="8">
        <v>43101.670439814814</v>
      </c>
      <c r="B143" s="20" t="s">
        <v>661</v>
      </c>
      <c r="C143" s="20" t="s">
        <v>818</v>
      </c>
      <c r="D143" s="137">
        <v>2000000</v>
      </c>
      <c r="E143" s="20" t="s">
        <v>394</v>
      </c>
      <c r="F143" s="20" t="s">
        <v>395</v>
      </c>
      <c r="G143" s="8" t="str">
        <f t="shared" si="4"/>
        <v>STAMBAUGH JAMES</v>
      </c>
      <c r="H143" s="20" t="str">
        <f t="shared" si="5"/>
        <v>4056</v>
      </c>
    </row>
    <row r="144" spans="1:8" x14ac:dyDescent="0.3">
      <c r="A144" s="8">
        <v>43101.672881944447</v>
      </c>
      <c r="B144" s="20" t="s">
        <v>442</v>
      </c>
      <c r="C144" s="20" t="s">
        <v>819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4010</v>
      </c>
    </row>
    <row r="145" spans="1:8" x14ac:dyDescent="0.3">
      <c r="A145" s="8">
        <v>43101.680474537039</v>
      </c>
      <c r="B145" s="20" t="s">
        <v>658</v>
      </c>
      <c r="C145" s="20" t="s">
        <v>668</v>
      </c>
      <c r="D145" s="137">
        <v>1280000</v>
      </c>
      <c r="E145" s="20" t="s">
        <v>810</v>
      </c>
      <c r="F145" s="20" t="s">
        <v>811</v>
      </c>
      <c r="G145" s="8" t="str">
        <f t="shared" si="4"/>
        <v>BARTLETT KIANDRA</v>
      </c>
      <c r="H145" s="20" t="str">
        <f t="shared" si="5"/>
        <v>4063</v>
      </c>
    </row>
    <row r="146" spans="1:8" x14ac:dyDescent="0.3">
      <c r="A146" s="8">
        <v>43101.681469907409</v>
      </c>
      <c r="B146" s="20" t="s">
        <v>444</v>
      </c>
      <c r="C146" s="20" t="s">
        <v>820</v>
      </c>
      <c r="D146" s="137">
        <v>2140000</v>
      </c>
      <c r="E146" s="20" t="s">
        <v>821</v>
      </c>
      <c r="F146" s="20" t="s">
        <v>822</v>
      </c>
      <c r="G146" s="8" t="str">
        <f t="shared" si="4"/>
        <v>ROBINSON KADDIBA</v>
      </c>
      <c r="H146" s="20" t="str">
        <f t="shared" si="5"/>
        <v>4050</v>
      </c>
    </row>
    <row r="147" spans="1:8" x14ac:dyDescent="0.3">
      <c r="A147" s="8">
        <v>43101.683472222219</v>
      </c>
      <c r="B147" s="20" t="s">
        <v>549</v>
      </c>
      <c r="C147" s="20" t="s">
        <v>823</v>
      </c>
      <c r="D147" s="137">
        <v>2630000</v>
      </c>
      <c r="E147" s="20" t="s">
        <v>372</v>
      </c>
      <c r="F147" s="20" t="s">
        <v>373</v>
      </c>
      <c r="G147" s="8" t="str">
        <f t="shared" si="4"/>
        <v>SAFIEF AEIMEN</v>
      </c>
      <c r="H147" s="20" t="str">
        <f t="shared" si="5"/>
        <v>4021</v>
      </c>
    </row>
    <row r="148" spans="1:8" x14ac:dyDescent="0.3">
      <c r="A148" s="8">
        <v>43101.684675925928</v>
      </c>
      <c r="B148" s="20" t="s">
        <v>351</v>
      </c>
      <c r="C148" s="20" t="s">
        <v>824</v>
      </c>
      <c r="D148" s="137">
        <v>2000000</v>
      </c>
      <c r="E148" s="20" t="s">
        <v>394</v>
      </c>
      <c r="F148" s="20" t="s">
        <v>395</v>
      </c>
      <c r="G148" s="8" t="str">
        <f t="shared" si="4"/>
        <v>STAMBAUGH JAMES</v>
      </c>
      <c r="H148" s="20" t="str">
        <f t="shared" si="5"/>
        <v>4055</v>
      </c>
    </row>
    <row r="149" spans="1:8" x14ac:dyDescent="0.3">
      <c r="A149" s="8">
        <v>43101.684895833336</v>
      </c>
      <c r="B149" s="20" t="s">
        <v>443</v>
      </c>
      <c r="C149" s="20" t="s">
        <v>820</v>
      </c>
      <c r="D149" s="137">
        <v>2140000</v>
      </c>
      <c r="E149" s="20" t="s">
        <v>821</v>
      </c>
      <c r="F149" s="20" t="s">
        <v>822</v>
      </c>
      <c r="G149" s="8" t="str">
        <f t="shared" si="4"/>
        <v>ROBINSON KADDIBA</v>
      </c>
      <c r="H149" s="20" t="str">
        <f t="shared" si="5"/>
        <v>4049</v>
      </c>
    </row>
    <row r="150" spans="1:8" x14ac:dyDescent="0.3">
      <c r="A150" s="8">
        <v>43101.685671296298</v>
      </c>
      <c r="B150" s="20" t="s">
        <v>446</v>
      </c>
      <c r="C150" s="20" t="s">
        <v>825</v>
      </c>
      <c r="D150" s="137">
        <v>920000</v>
      </c>
      <c r="E150" s="20" t="s">
        <v>573</v>
      </c>
      <c r="F150" s="20" t="s">
        <v>352</v>
      </c>
      <c r="G150" s="8" t="str">
        <f t="shared" si="4"/>
        <v>DAVIS MICHAEL</v>
      </c>
      <c r="H150" s="20" t="str">
        <f t="shared" si="5"/>
        <v>4042</v>
      </c>
    </row>
    <row r="151" spans="1:8" x14ac:dyDescent="0.3">
      <c r="A151" s="8">
        <v>43101.689571759256</v>
      </c>
      <c r="B151" s="20" t="s">
        <v>444</v>
      </c>
      <c r="C151" s="20" t="s">
        <v>667</v>
      </c>
      <c r="D151" s="137">
        <v>880000</v>
      </c>
      <c r="E151" s="20" t="s">
        <v>605</v>
      </c>
      <c r="F151" s="20" t="s">
        <v>352</v>
      </c>
      <c r="G151" s="8" t="str">
        <f t="shared" si="4"/>
        <v>STEWART MICHAEL</v>
      </c>
      <c r="H151" s="20" t="str">
        <f t="shared" si="5"/>
        <v>4050</v>
      </c>
    </row>
    <row r="152" spans="1:8" x14ac:dyDescent="0.3">
      <c r="A152" s="8">
        <v>43101.691168981481</v>
      </c>
      <c r="B152" s="20" t="s">
        <v>444</v>
      </c>
      <c r="C152" s="20" t="s">
        <v>667</v>
      </c>
      <c r="D152" s="137">
        <v>880000</v>
      </c>
      <c r="E152" s="20" t="s">
        <v>605</v>
      </c>
      <c r="F152" s="20" t="s">
        <v>352</v>
      </c>
      <c r="G152" s="8" t="str">
        <f t="shared" si="4"/>
        <v>STEWART MICHAEL</v>
      </c>
      <c r="H152" s="20" t="str">
        <f t="shared" si="5"/>
        <v>4050</v>
      </c>
    </row>
    <row r="153" spans="1:8" x14ac:dyDescent="0.3">
      <c r="A153" s="8">
        <v>43101.691770833335</v>
      </c>
      <c r="B153" s="20" t="s">
        <v>444</v>
      </c>
      <c r="C153" s="20" t="s">
        <v>667</v>
      </c>
      <c r="D153" s="137">
        <v>880000</v>
      </c>
      <c r="E153" s="20" t="s">
        <v>605</v>
      </c>
      <c r="F153" s="20" t="s">
        <v>352</v>
      </c>
      <c r="G153" s="8" t="str">
        <f t="shared" si="4"/>
        <v>STEWART MICHAEL</v>
      </c>
      <c r="H153" s="20" t="str">
        <f t="shared" si="5"/>
        <v>4050</v>
      </c>
    </row>
    <row r="154" spans="1:8" x14ac:dyDescent="0.3">
      <c r="A154" s="8">
        <v>43101.692824074074</v>
      </c>
      <c r="B154" s="20" t="s">
        <v>444</v>
      </c>
      <c r="C154" s="20" t="s">
        <v>826</v>
      </c>
      <c r="D154" s="137">
        <v>880000</v>
      </c>
      <c r="E154" s="20" t="s">
        <v>605</v>
      </c>
      <c r="F154" s="20" t="s">
        <v>352</v>
      </c>
      <c r="G154" s="8" t="str">
        <f t="shared" si="4"/>
        <v>STEWART MICHAEL</v>
      </c>
      <c r="H154" s="20" t="str">
        <f t="shared" si="5"/>
        <v>4050</v>
      </c>
    </row>
    <row r="155" spans="1:8" x14ac:dyDescent="0.3">
      <c r="A155" s="8">
        <v>43101.695381944446</v>
      </c>
      <c r="B155" s="20" t="s">
        <v>518</v>
      </c>
      <c r="C155" s="20" t="s">
        <v>827</v>
      </c>
      <c r="D155" s="137">
        <v>1760000</v>
      </c>
      <c r="E155" s="20" t="s">
        <v>763</v>
      </c>
      <c r="F155" s="20" t="s">
        <v>764</v>
      </c>
      <c r="G155" s="8" t="str">
        <f t="shared" si="4"/>
        <v>STRICKLAND EVAN</v>
      </c>
      <c r="H155" s="20" t="str">
        <f t="shared" si="5"/>
        <v>4019</v>
      </c>
    </row>
    <row r="156" spans="1:8" x14ac:dyDescent="0.3">
      <c r="A156" s="8">
        <v>43101.704988425925</v>
      </c>
      <c r="B156" s="20" t="s">
        <v>547</v>
      </c>
      <c r="C156" s="20" t="s">
        <v>669</v>
      </c>
      <c r="D156" s="137">
        <v>1180000</v>
      </c>
      <c r="E156" s="20" t="s">
        <v>776</v>
      </c>
      <c r="F156" s="20" t="s">
        <v>777</v>
      </c>
      <c r="G156" s="8" t="str">
        <f t="shared" si="4"/>
        <v>LEVERE CRAIG</v>
      </c>
      <c r="H156" s="20" t="str">
        <f t="shared" si="5"/>
        <v>4014</v>
      </c>
    </row>
    <row r="157" spans="1:8" x14ac:dyDescent="0.3">
      <c r="A157" s="8">
        <v>43101.706435185188</v>
      </c>
      <c r="B157" s="20" t="s">
        <v>661</v>
      </c>
      <c r="C157" s="20" t="s">
        <v>828</v>
      </c>
      <c r="D157" s="137">
        <v>2000000</v>
      </c>
      <c r="E157" s="20" t="s">
        <v>394</v>
      </c>
      <c r="F157" s="20" t="s">
        <v>395</v>
      </c>
      <c r="G157" s="8" t="str">
        <f t="shared" si="4"/>
        <v>STAMBAUGH JAMES</v>
      </c>
      <c r="H157" s="20" t="str">
        <f t="shared" si="5"/>
        <v>4056</v>
      </c>
    </row>
    <row r="158" spans="1:8" x14ac:dyDescent="0.3">
      <c r="A158" s="8">
        <v>43101.706712962965</v>
      </c>
      <c r="B158" s="20" t="s">
        <v>488</v>
      </c>
      <c r="C158" s="20" t="s">
        <v>829</v>
      </c>
      <c r="D158" s="137">
        <v>2230000</v>
      </c>
      <c r="E158" s="20" t="s">
        <v>393</v>
      </c>
      <c r="F158" s="20" t="s">
        <v>352</v>
      </c>
      <c r="G158" s="8" t="str">
        <f t="shared" si="4"/>
        <v>SMITH MICHAEL</v>
      </c>
      <c r="H158" s="20" t="str">
        <f t="shared" si="5"/>
        <v>4009</v>
      </c>
    </row>
    <row r="159" spans="1:8" x14ac:dyDescent="0.3">
      <c r="A159" s="8">
        <v>43101.715428240743</v>
      </c>
      <c r="B159" s="20" t="s">
        <v>568</v>
      </c>
      <c r="C159" s="20" t="s">
        <v>830</v>
      </c>
      <c r="D159" s="137">
        <v>1280000</v>
      </c>
      <c r="E159" s="20" t="s">
        <v>810</v>
      </c>
      <c r="F159" s="20" t="s">
        <v>811</v>
      </c>
      <c r="G159" s="8" t="str">
        <f t="shared" si="4"/>
        <v>BARTLETT KIANDRA</v>
      </c>
      <c r="H159" s="20" t="str">
        <f t="shared" si="5"/>
        <v>4064</v>
      </c>
    </row>
    <row r="160" spans="1:8" x14ac:dyDescent="0.3">
      <c r="A160" s="8">
        <v>43101.722361111111</v>
      </c>
      <c r="B160" s="20" t="s">
        <v>607</v>
      </c>
      <c r="C160" s="20" t="s">
        <v>820</v>
      </c>
      <c r="D160" s="137">
        <v>2140000</v>
      </c>
      <c r="E160" s="20" t="s">
        <v>821</v>
      </c>
      <c r="F160" s="20" t="s">
        <v>822</v>
      </c>
      <c r="G160" s="8" t="str">
        <f t="shared" si="4"/>
        <v>ROBINSON KADDIBA</v>
      </c>
      <c r="H160" s="20" t="str">
        <f t="shared" si="5"/>
        <v>4058</v>
      </c>
    </row>
    <row r="161" spans="1:8" x14ac:dyDescent="0.3">
      <c r="A161" s="8">
        <v>43101.722916666666</v>
      </c>
      <c r="B161" s="20" t="s">
        <v>607</v>
      </c>
      <c r="C161" s="20" t="s">
        <v>820</v>
      </c>
      <c r="D161" s="137">
        <v>2140000</v>
      </c>
      <c r="E161" s="20" t="s">
        <v>821</v>
      </c>
      <c r="F161" s="20" t="s">
        <v>822</v>
      </c>
      <c r="G161" s="8" t="str">
        <f t="shared" si="4"/>
        <v>ROBINSON KADDIBA</v>
      </c>
      <c r="H161" s="20" t="str">
        <f t="shared" si="5"/>
        <v>4058</v>
      </c>
    </row>
    <row r="162" spans="1:8" x14ac:dyDescent="0.3">
      <c r="A162" s="8">
        <v>43101.725138888891</v>
      </c>
      <c r="B162" s="20" t="s">
        <v>351</v>
      </c>
      <c r="C162" s="20" t="s">
        <v>831</v>
      </c>
      <c r="D162" s="137">
        <v>2000000</v>
      </c>
      <c r="E162" s="20" t="s">
        <v>394</v>
      </c>
      <c r="F162" s="20" t="s">
        <v>395</v>
      </c>
      <c r="G162" s="8" t="str">
        <f t="shared" si="4"/>
        <v>STAMBAUGH JAMES</v>
      </c>
      <c r="H162" s="20" t="str">
        <f t="shared" si="5"/>
        <v>4055</v>
      </c>
    </row>
    <row r="163" spans="1:8" x14ac:dyDescent="0.3">
      <c r="A163" s="8">
        <v>43101.725219907406</v>
      </c>
      <c r="B163" s="20" t="s">
        <v>566</v>
      </c>
      <c r="C163" s="20" t="s">
        <v>832</v>
      </c>
      <c r="D163" s="137">
        <v>920000</v>
      </c>
      <c r="E163" s="20" t="s">
        <v>573</v>
      </c>
      <c r="F163" s="20" t="s">
        <v>352</v>
      </c>
      <c r="G163" s="8" t="str">
        <f t="shared" si="4"/>
        <v>DAVIS MICHAEL</v>
      </c>
      <c r="H163" s="20" t="str">
        <f t="shared" si="5"/>
        <v>4041</v>
      </c>
    </row>
    <row r="164" spans="1:8" x14ac:dyDescent="0.3">
      <c r="A164" s="8">
        <v>43101.726597222223</v>
      </c>
      <c r="B164" s="20" t="s">
        <v>351</v>
      </c>
      <c r="C164" s="20" t="s">
        <v>831</v>
      </c>
      <c r="D164" s="137">
        <v>2000000</v>
      </c>
      <c r="E164" s="20" t="s">
        <v>394</v>
      </c>
      <c r="F164" s="20" t="s">
        <v>395</v>
      </c>
      <c r="G164" s="8" t="str">
        <f t="shared" si="4"/>
        <v>STAMBAUGH JAMES</v>
      </c>
      <c r="H164" s="20" t="str">
        <f t="shared" si="5"/>
        <v>4055</v>
      </c>
    </row>
    <row r="165" spans="1:8" x14ac:dyDescent="0.3">
      <c r="A165" s="8">
        <v>43101.726979166669</v>
      </c>
      <c r="B165" s="20" t="s">
        <v>384</v>
      </c>
      <c r="C165" s="20" t="s">
        <v>833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4022</v>
      </c>
    </row>
    <row r="166" spans="1:8" x14ac:dyDescent="0.3">
      <c r="A166" s="8">
        <v>43101.734444444446</v>
      </c>
      <c r="B166" s="20" t="s">
        <v>443</v>
      </c>
      <c r="C166" s="20" t="s">
        <v>834</v>
      </c>
      <c r="D166" s="137">
        <v>880000</v>
      </c>
      <c r="E166" s="20" t="s">
        <v>605</v>
      </c>
      <c r="F166" s="20" t="s">
        <v>352</v>
      </c>
      <c r="G166" s="8" t="str">
        <f t="shared" si="4"/>
        <v>STEWART MICHAEL</v>
      </c>
      <c r="H166" s="20" t="str">
        <f t="shared" si="5"/>
        <v>4049</v>
      </c>
    </row>
    <row r="167" spans="1:8" x14ac:dyDescent="0.3">
      <c r="A167" s="8">
        <v>43101.737523148149</v>
      </c>
      <c r="B167" s="20" t="s">
        <v>470</v>
      </c>
      <c r="C167" s="20" t="s">
        <v>670</v>
      </c>
      <c r="D167" s="137">
        <v>3700000</v>
      </c>
      <c r="E167" s="20" t="s">
        <v>445</v>
      </c>
      <c r="F167" s="20" t="s">
        <v>369</v>
      </c>
      <c r="G167" s="8" t="str">
        <f t="shared" si="4"/>
        <v>AUSTIN THOMPSON</v>
      </c>
      <c r="H167" s="20" t="str">
        <f t="shared" si="5"/>
        <v>4015</v>
      </c>
    </row>
    <row r="168" spans="1:8" x14ac:dyDescent="0.3">
      <c r="A168" s="8">
        <v>43101.738495370373</v>
      </c>
      <c r="B168" s="20" t="s">
        <v>519</v>
      </c>
      <c r="C168" s="20" t="s">
        <v>835</v>
      </c>
      <c r="D168" s="137">
        <v>890000</v>
      </c>
      <c r="E168" s="20" t="s">
        <v>344</v>
      </c>
      <c r="F168" s="20" t="s">
        <v>345</v>
      </c>
      <c r="G168" s="8" t="str">
        <f t="shared" si="4"/>
        <v>LOZA FIDEL</v>
      </c>
      <c r="H168" s="20" t="str">
        <f t="shared" si="5"/>
        <v>4020</v>
      </c>
    </row>
    <row r="169" spans="1:8" x14ac:dyDescent="0.3">
      <c r="A169" s="8">
        <v>43101.741006944445</v>
      </c>
      <c r="B169" s="20" t="s">
        <v>671</v>
      </c>
      <c r="C169" s="20" t="s">
        <v>672</v>
      </c>
      <c r="D169" s="137">
        <v>1180000</v>
      </c>
      <c r="E169" s="20" t="s">
        <v>776</v>
      </c>
      <c r="F169" s="20" t="s">
        <v>777</v>
      </c>
      <c r="G169" s="8" t="str">
        <f t="shared" si="4"/>
        <v>LEVERE CRAIG</v>
      </c>
      <c r="H169" s="20" t="str">
        <f t="shared" si="5"/>
        <v>4013</v>
      </c>
    </row>
    <row r="170" spans="1:8" x14ac:dyDescent="0.3">
      <c r="A170" s="8">
        <v>43101.746736111112</v>
      </c>
      <c r="B170" s="20" t="s">
        <v>442</v>
      </c>
      <c r="C170" s="20" t="s">
        <v>836</v>
      </c>
      <c r="D170" s="137">
        <v>2230000</v>
      </c>
      <c r="E170" s="20" t="s">
        <v>393</v>
      </c>
      <c r="F170" s="20" t="s">
        <v>352</v>
      </c>
      <c r="G170" s="8" t="str">
        <f t="shared" si="4"/>
        <v>SMITH MICHAEL</v>
      </c>
      <c r="H170" s="20" t="str">
        <f t="shared" si="5"/>
        <v>4010</v>
      </c>
    </row>
    <row r="171" spans="1:8" x14ac:dyDescent="0.3">
      <c r="A171" s="8">
        <v>43101.748877314814</v>
      </c>
      <c r="B171" s="20" t="s">
        <v>661</v>
      </c>
      <c r="C171" s="20" t="s">
        <v>837</v>
      </c>
      <c r="D171" s="137">
        <v>2000000</v>
      </c>
      <c r="E171" s="20" t="s">
        <v>394</v>
      </c>
      <c r="F171" s="20" t="s">
        <v>395</v>
      </c>
      <c r="G171" s="8" t="str">
        <f t="shared" si="4"/>
        <v>STAMBAUGH JAMES</v>
      </c>
      <c r="H171" s="20" t="str">
        <f t="shared" si="5"/>
        <v>4056</v>
      </c>
    </row>
    <row r="172" spans="1:8" x14ac:dyDescent="0.3">
      <c r="A172" s="8">
        <v>43101.754259259258</v>
      </c>
      <c r="B172" s="20" t="s">
        <v>658</v>
      </c>
      <c r="C172" s="20" t="s">
        <v>838</v>
      </c>
      <c r="D172" s="137">
        <v>1280000</v>
      </c>
      <c r="E172" s="20" t="s">
        <v>810</v>
      </c>
      <c r="F172" s="20" t="s">
        <v>811</v>
      </c>
      <c r="G172" s="8" t="str">
        <f t="shared" si="4"/>
        <v>BARTLETT KIANDRA</v>
      </c>
      <c r="H172" s="20" t="str">
        <f t="shared" si="5"/>
        <v>4063</v>
      </c>
    </row>
    <row r="173" spans="1:8" x14ac:dyDescent="0.3">
      <c r="A173" s="8">
        <v>43101.759259259263</v>
      </c>
      <c r="B173" s="20" t="s">
        <v>549</v>
      </c>
      <c r="C173" s="20" t="s">
        <v>839</v>
      </c>
      <c r="D173" s="137">
        <v>2630000</v>
      </c>
      <c r="E173" s="20" t="s">
        <v>372</v>
      </c>
      <c r="F173" s="20" t="s">
        <v>373</v>
      </c>
      <c r="G173" s="8" t="str">
        <f t="shared" si="4"/>
        <v>SAFIEF AEIMEN</v>
      </c>
      <c r="H173" s="20" t="str">
        <f t="shared" si="5"/>
        <v>4021</v>
      </c>
    </row>
    <row r="174" spans="1:8" x14ac:dyDescent="0.3">
      <c r="A174" s="8">
        <v>43101.759293981479</v>
      </c>
      <c r="B174" s="20" t="s">
        <v>446</v>
      </c>
      <c r="C174" s="20" t="s">
        <v>840</v>
      </c>
      <c r="D174" s="137">
        <v>3680000</v>
      </c>
      <c r="E174" s="20" t="s">
        <v>465</v>
      </c>
      <c r="F174" s="20" t="s">
        <v>466</v>
      </c>
      <c r="G174" s="8" t="str">
        <f t="shared" si="4"/>
        <v>HAMMOND JUSTYNN</v>
      </c>
      <c r="H174" s="20" t="str">
        <f t="shared" si="5"/>
        <v>4042</v>
      </c>
    </row>
    <row r="175" spans="1:8" x14ac:dyDescent="0.3">
      <c r="A175" s="8">
        <v>43101.766875000001</v>
      </c>
      <c r="B175" s="20" t="s">
        <v>351</v>
      </c>
      <c r="C175" s="20" t="s">
        <v>841</v>
      </c>
      <c r="D175" s="137">
        <v>2000000</v>
      </c>
      <c r="E175" s="20" t="s">
        <v>394</v>
      </c>
      <c r="F175" s="20" t="s">
        <v>395</v>
      </c>
      <c r="G175" s="8" t="str">
        <f t="shared" si="4"/>
        <v>STAMBAUGH JAMES</v>
      </c>
      <c r="H175" s="20" t="str">
        <f t="shared" si="5"/>
        <v>4055</v>
      </c>
    </row>
    <row r="176" spans="1:8" x14ac:dyDescent="0.3">
      <c r="A176" s="8">
        <v>43101.77003472222</v>
      </c>
      <c r="B176" s="20" t="s">
        <v>518</v>
      </c>
      <c r="C176" s="20" t="s">
        <v>842</v>
      </c>
      <c r="D176" s="137">
        <v>3810000</v>
      </c>
      <c r="E176" s="20" t="s">
        <v>843</v>
      </c>
      <c r="F176" s="20" t="s">
        <v>844</v>
      </c>
      <c r="G176" s="8" t="str">
        <f t="shared" si="4"/>
        <v>LORI SANTOS</v>
      </c>
      <c r="H176" s="20" t="str">
        <f t="shared" si="5"/>
        <v>4019</v>
      </c>
    </row>
    <row r="177" spans="1:8" x14ac:dyDescent="0.3">
      <c r="A177" s="8">
        <v>43101.770624999997</v>
      </c>
      <c r="B177" s="20" t="s">
        <v>444</v>
      </c>
      <c r="C177" s="20" t="s">
        <v>845</v>
      </c>
      <c r="D177" s="137">
        <v>3040000</v>
      </c>
      <c r="E177" s="20" t="s">
        <v>368</v>
      </c>
      <c r="F177" s="20" t="s">
        <v>485</v>
      </c>
      <c r="G177" s="8" t="str">
        <f t="shared" si="4"/>
        <v>WILLIAMS DONTE</v>
      </c>
      <c r="H177" s="20" t="str">
        <f t="shared" si="5"/>
        <v>4050</v>
      </c>
    </row>
    <row r="178" spans="1:8" x14ac:dyDescent="0.3">
      <c r="A178" s="8">
        <v>43101.77753472222</v>
      </c>
      <c r="B178" s="20" t="s">
        <v>547</v>
      </c>
      <c r="C178" s="20" t="s">
        <v>846</v>
      </c>
      <c r="D178" s="137">
        <v>1180000</v>
      </c>
      <c r="E178" s="20" t="s">
        <v>776</v>
      </c>
      <c r="F178" s="20" t="s">
        <v>777</v>
      </c>
      <c r="G178" s="8" t="str">
        <f t="shared" si="4"/>
        <v>LEVERE CRAIG</v>
      </c>
      <c r="H178" s="20" t="str">
        <f t="shared" si="5"/>
        <v>4014</v>
      </c>
    </row>
    <row r="179" spans="1:8" x14ac:dyDescent="0.3">
      <c r="A179" s="8">
        <v>43101.7815162037</v>
      </c>
      <c r="B179" s="20" t="s">
        <v>488</v>
      </c>
      <c r="C179" s="20" t="s">
        <v>847</v>
      </c>
      <c r="D179" s="137">
        <v>2230000</v>
      </c>
      <c r="E179" s="20" t="s">
        <v>393</v>
      </c>
      <c r="F179" s="20" t="s">
        <v>352</v>
      </c>
      <c r="G179" s="8" t="str">
        <f t="shared" si="4"/>
        <v>SMITH MICHAEL</v>
      </c>
      <c r="H179" s="20" t="str">
        <f t="shared" si="5"/>
        <v>4009</v>
      </c>
    </row>
    <row r="180" spans="1:8" x14ac:dyDescent="0.3">
      <c r="A180" s="8">
        <v>43101.789039351854</v>
      </c>
      <c r="B180" s="20" t="s">
        <v>568</v>
      </c>
      <c r="C180" s="20" t="s">
        <v>848</v>
      </c>
      <c r="D180" s="137">
        <v>3340000</v>
      </c>
      <c r="E180" s="20" t="s">
        <v>461</v>
      </c>
      <c r="F180" s="20" t="s">
        <v>462</v>
      </c>
      <c r="G180" s="8" t="str">
        <f t="shared" si="4"/>
        <v>ELBAUM MIKE</v>
      </c>
      <c r="H180" s="20" t="str">
        <f t="shared" si="5"/>
        <v>4064</v>
      </c>
    </row>
    <row r="181" spans="1:8" x14ac:dyDescent="0.3">
      <c r="A181" s="8">
        <v>43101.789675925924</v>
      </c>
      <c r="B181" s="20" t="s">
        <v>661</v>
      </c>
      <c r="C181" s="20" t="s">
        <v>849</v>
      </c>
      <c r="D181" s="137">
        <v>2000000</v>
      </c>
      <c r="E181" s="20" t="s">
        <v>394</v>
      </c>
      <c r="F181" s="20" t="s">
        <v>395</v>
      </c>
      <c r="G181" s="8" t="str">
        <f t="shared" si="4"/>
        <v>STAMBAUGH JAMES</v>
      </c>
      <c r="H181" s="20" t="str">
        <f t="shared" si="5"/>
        <v>4056</v>
      </c>
    </row>
    <row r="182" spans="1:8" x14ac:dyDescent="0.3">
      <c r="A182" s="8">
        <v>43101.795983796299</v>
      </c>
      <c r="B182" s="20" t="s">
        <v>566</v>
      </c>
      <c r="C182" s="20" t="s">
        <v>850</v>
      </c>
      <c r="D182" s="137">
        <v>3680000</v>
      </c>
      <c r="E182" s="20" t="s">
        <v>465</v>
      </c>
      <c r="F182" s="20" t="s">
        <v>466</v>
      </c>
      <c r="G182" s="8" t="str">
        <f t="shared" si="4"/>
        <v>HAMMOND JUSTYNN</v>
      </c>
      <c r="H182" s="20" t="str">
        <f t="shared" si="5"/>
        <v>4041</v>
      </c>
    </row>
    <row r="183" spans="1:8" x14ac:dyDescent="0.3">
      <c r="A183" s="8">
        <v>43101.798368055555</v>
      </c>
      <c r="B183" s="20" t="s">
        <v>384</v>
      </c>
      <c r="C183" s="20" t="s">
        <v>851</v>
      </c>
      <c r="D183" s="137">
        <v>2630000</v>
      </c>
      <c r="E183" s="20" t="s">
        <v>372</v>
      </c>
      <c r="F183" s="20" t="s">
        <v>373</v>
      </c>
      <c r="G183" s="8" t="str">
        <f t="shared" si="4"/>
        <v>SAFIEF AEIMEN</v>
      </c>
      <c r="H183" s="20" t="str">
        <f t="shared" si="5"/>
        <v>4022</v>
      </c>
    </row>
    <row r="184" spans="1:8" x14ac:dyDescent="0.3">
      <c r="A184" s="8">
        <v>43101.807800925926</v>
      </c>
      <c r="B184" s="20" t="s">
        <v>443</v>
      </c>
      <c r="C184" s="20" t="s">
        <v>852</v>
      </c>
      <c r="D184" s="137">
        <v>3040000</v>
      </c>
      <c r="E184" s="20" t="s">
        <v>368</v>
      </c>
      <c r="F184" s="20" t="s">
        <v>485</v>
      </c>
      <c r="G184" s="8" t="str">
        <f t="shared" si="4"/>
        <v>WILLIAMS DONTE</v>
      </c>
      <c r="H184" s="20" t="str">
        <f t="shared" si="5"/>
        <v>4049</v>
      </c>
    </row>
    <row r="185" spans="1:8" x14ac:dyDescent="0.3">
      <c r="A185" s="8">
        <v>43101.808171296296</v>
      </c>
      <c r="B185" s="20" t="s">
        <v>519</v>
      </c>
      <c r="C185" s="20" t="s">
        <v>853</v>
      </c>
      <c r="D185" s="137">
        <v>3810000</v>
      </c>
      <c r="E185" s="20" t="s">
        <v>843</v>
      </c>
      <c r="F185" s="20" t="s">
        <v>844</v>
      </c>
      <c r="G185" s="8" t="str">
        <f t="shared" si="4"/>
        <v>LORI SANTOS</v>
      </c>
      <c r="H185" s="20" t="str">
        <f t="shared" si="5"/>
        <v>4020</v>
      </c>
    </row>
    <row r="186" spans="1:8" x14ac:dyDescent="0.3">
      <c r="A186" s="8">
        <v>43101.809641203705</v>
      </c>
      <c r="B186" s="20" t="s">
        <v>351</v>
      </c>
      <c r="C186" s="20" t="s">
        <v>854</v>
      </c>
      <c r="D186" s="137">
        <v>2000000</v>
      </c>
      <c r="E186" s="20" t="s">
        <v>394</v>
      </c>
      <c r="F186" s="20" t="s">
        <v>395</v>
      </c>
      <c r="G186" s="8" t="str">
        <f t="shared" si="4"/>
        <v>STAMBAUGH JAMES</v>
      </c>
      <c r="H186" s="20" t="str">
        <f t="shared" si="5"/>
        <v>4055</v>
      </c>
    </row>
    <row r="187" spans="1:8" x14ac:dyDescent="0.3">
      <c r="A187" s="8">
        <v>43101.817789351851</v>
      </c>
      <c r="B187" s="20" t="s">
        <v>658</v>
      </c>
      <c r="C187" s="20" t="s">
        <v>855</v>
      </c>
      <c r="D187" s="137">
        <v>3340000</v>
      </c>
      <c r="E187" s="20" t="s">
        <v>461</v>
      </c>
      <c r="F187" s="20" t="s">
        <v>462</v>
      </c>
      <c r="G187" s="8" t="str">
        <f t="shared" si="4"/>
        <v>ELBAUM MIKE</v>
      </c>
      <c r="H187" s="20" t="str">
        <f t="shared" si="5"/>
        <v>4063</v>
      </c>
    </row>
    <row r="188" spans="1:8" x14ac:dyDescent="0.3">
      <c r="A188" s="8">
        <v>43101.818414351852</v>
      </c>
      <c r="B188" s="20" t="s">
        <v>442</v>
      </c>
      <c r="C188" s="20" t="s">
        <v>856</v>
      </c>
      <c r="D188" s="137">
        <v>2230000</v>
      </c>
      <c r="E188" s="20" t="s">
        <v>393</v>
      </c>
      <c r="F188" s="20" t="s">
        <v>352</v>
      </c>
      <c r="G188" s="8" t="str">
        <f t="shared" si="4"/>
        <v>SMITH MICHAEL</v>
      </c>
      <c r="H188" s="20" t="str">
        <f t="shared" si="5"/>
        <v>4010</v>
      </c>
    </row>
    <row r="189" spans="1:8" x14ac:dyDescent="0.3">
      <c r="A189" s="8">
        <v>43101.829687500001</v>
      </c>
      <c r="B189" s="20" t="s">
        <v>446</v>
      </c>
      <c r="C189" s="20" t="s">
        <v>857</v>
      </c>
      <c r="D189" s="137">
        <v>3500000</v>
      </c>
      <c r="E189" s="20" t="s">
        <v>376</v>
      </c>
      <c r="F189" s="20" t="s">
        <v>377</v>
      </c>
      <c r="G189" s="8" t="str">
        <f t="shared" si="4"/>
        <v>GUNTHIER ERIC</v>
      </c>
      <c r="H189" s="20" t="str">
        <f t="shared" si="5"/>
        <v>4042</v>
      </c>
    </row>
    <row r="190" spans="1:8" x14ac:dyDescent="0.3">
      <c r="A190" s="8">
        <v>43101.834849537037</v>
      </c>
      <c r="B190" s="20" t="s">
        <v>661</v>
      </c>
      <c r="C190" s="20" t="s">
        <v>858</v>
      </c>
      <c r="D190" s="137">
        <v>2000000</v>
      </c>
      <c r="E190" s="20" t="s">
        <v>394</v>
      </c>
      <c r="F190" s="20" t="s">
        <v>395</v>
      </c>
      <c r="G190" s="8" t="str">
        <f t="shared" si="4"/>
        <v>STAMBAUGH JAMES</v>
      </c>
      <c r="H190" s="20" t="str">
        <f t="shared" si="5"/>
        <v>4056</v>
      </c>
    </row>
    <row r="191" spans="1:8" x14ac:dyDescent="0.3">
      <c r="A191" s="8">
        <v>43101.843634259261</v>
      </c>
      <c r="B191" s="20" t="s">
        <v>444</v>
      </c>
      <c r="C191" s="20" t="s">
        <v>673</v>
      </c>
      <c r="D191" s="137">
        <v>3700000</v>
      </c>
      <c r="E191" s="20" t="s">
        <v>445</v>
      </c>
      <c r="F191" s="20" t="s">
        <v>369</v>
      </c>
      <c r="G191" s="8" t="str">
        <f t="shared" si="4"/>
        <v>AUSTIN THOMPSON</v>
      </c>
      <c r="H191" s="20" t="str">
        <f t="shared" si="5"/>
        <v>4050</v>
      </c>
    </row>
    <row r="192" spans="1:8" x14ac:dyDescent="0.3">
      <c r="A192" s="8">
        <v>43101.843680555554</v>
      </c>
      <c r="B192" s="20" t="s">
        <v>518</v>
      </c>
      <c r="C192" s="20" t="s">
        <v>859</v>
      </c>
      <c r="D192" s="137">
        <v>3810000</v>
      </c>
      <c r="E192" s="20" t="s">
        <v>843</v>
      </c>
      <c r="F192" s="20" t="s">
        <v>844</v>
      </c>
      <c r="G192" s="8" t="str">
        <f t="shared" si="4"/>
        <v>LORI SANTOS</v>
      </c>
      <c r="H192" s="20" t="str">
        <f t="shared" si="5"/>
        <v>4019</v>
      </c>
    </row>
    <row r="193" spans="1:8" x14ac:dyDescent="0.3">
      <c r="A193" s="8">
        <v>43101.849965277775</v>
      </c>
      <c r="B193" s="20" t="s">
        <v>351</v>
      </c>
      <c r="C193" s="20" t="s">
        <v>860</v>
      </c>
      <c r="D193" s="137">
        <v>2000000</v>
      </c>
      <c r="E193" s="20" t="s">
        <v>394</v>
      </c>
      <c r="F193" s="20" t="s">
        <v>395</v>
      </c>
      <c r="G193" s="8" t="str">
        <f t="shared" si="4"/>
        <v>STAMBAUGH JAMES</v>
      </c>
      <c r="H193" s="20" t="str">
        <f t="shared" si="5"/>
        <v>4055</v>
      </c>
    </row>
    <row r="194" spans="1:8" x14ac:dyDescent="0.3">
      <c r="A194" s="8">
        <v>43101.860497685186</v>
      </c>
      <c r="B194" s="20" t="s">
        <v>568</v>
      </c>
      <c r="C194" s="20" t="s">
        <v>861</v>
      </c>
      <c r="D194" s="137">
        <v>3340000</v>
      </c>
      <c r="E194" s="20" t="s">
        <v>461</v>
      </c>
      <c r="F194" s="20" t="s">
        <v>462</v>
      </c>
      <c r="G194" s="8" t="str">
        <f t="shared" si="4"/>
        <v>ELBAUM MIKE</v>
      </c>
      <c r="H194" s="20" t="str">
        <f t="shared" si="5"/>
        <v>4064</v>
      </c>
    </row>
    <row r="195" spans="1:8" x14ac:dyDescent="0.3">
      <c r="A195" s="8">
        <v>43101.866157407407</v>
      </c>
      <c r="B195" s="20" t="s">
        <v>566</v>
      </c>
      <c r="C195" s="20" t="s">
        <v>674</v>
      </c>
      <c r="D195" s="137">
        <v>3500000</v>
      </c>
      <c r="E195" s="20" t="s">
        <v>376</v>
      </c>
      <c r="F195" s="20" t="s">
        <v>377</v>
      </c>
      <c r="G195" s="8" t="str">
        <f t="shared" ref="G195:G258" si="6">E195&amp;" "&amp;F195</f>
        <v>GUNTHIER ERIC</v>
      </c>
      <c r="H195" s="20" t="str">
        <f t="shared" ref="H195:H258" si="7">MID(B195,13,4)</f>
        <v>4041</v>
      </c>
    </row>
    <row r="196" spans="1:8" x14ac:dyDescent="0.3">
      <c r="A196" s="8">
        <v>43101.873310185183</v>
      </c>
      <c r="B196" s="20" t="s">
        <v>661</v>
      </c>
      <c r="C196" s="20" t="s">
        <v>862</v>
      </c>
      <c r="D196" s="137">
        <v>2000000</v>
      </c>
      <c r="E196" s="20" t="s">
        <v>394</v>
      </c>
      <c r="F196" s="20" t="s">
        <v>395</v>
      </c>
      <c r="G196" s="8" t="str">
        <f t="shared" si="6"/>
        <v>STAMBAUGH JAMES</v>
      </c>
      <c r="H196" s="20" t="str">
        <f t="shared" si="7"/>
        <v>4056</v>
      </c>
    </row>
    <row r="197" spans="1:8" x14ac:dyDescent="0.3">
      <c r="A197" s="8">
        <v>43101.880601851852</v>
      </c>
      <c r="B197" s="20" t="s">
        <v>661</v>
      </c>
      <c r="C197" s="20" t="s">
        <v>862</v>
      </c>
      <c r="D197" s="137">
        <v>2000000</v>
      </c>
      <c r="E197" s="20" t="s">
        <v>394</v>
      </c>
      <c r="F197" s="20" t="s">
        <v>395</v>
      </c>
      <c r="G197" s="8" t="str">
        <f t="shared" si="6"/>
        <v>STAMBAUGH JAMES</v>
      </c>
      <c r="H197" s="20" t="str">
        <f t="shared" si="7"/>
        <v>4056</v>
      </c>
    </row>
    <row r="198" spans="1:8" x14ac:dyDescent="0.3">
      <c r="A198" s="8">
        <v>43101.883761574078</v>
      </c>
      <c r="B198" s="20" t="s">
        <v>519</v>
      </c>
      <c r="C198" s="20" t="s">
        <v>863</v>
      </c>
      <c r="D198" s="137">
        <v>890000</v>
      </c>
      <c r="E198" s="20" t="s">
        <v>344</v>
      </c>
      <c r="F198" s="20" t="s">
        <v>345</v>
      </c>
      <c r="G198" s="8" t="str">
        <f t="shared" si="6"/>
        <v>LOZA FIDEL</v>
      </c>
      <c r="H198" s="20" t="str">
        <f t="shared" si="7"/>
        <v>4020</v>
      </c>
    </row>
    <row r="199" spans="1:8" x14ac:dyDescent="0.3">
      <c r="A199" s="8">
        <v>43101.892557870371</v>
      </c>
      <c r="B199" s="20" t="s">
        <v>351</v>
      </c>
      <c r="C199" s="20" t="s">
        <v>676</v>
      </c>
      <c r="D199" s="137">
        <v>2000000</v>
      </c>
      <c r="E199" s="20" t="s">
        <v>394</v>
      </c>
      <c r="F199" s="20" t="s">
        <v>395</v>
      </c>
      <c r="G199" s="8" t="str">
        <f t="shared" si="6"/>
        <v>STAMBAUGH JAMES</v>
      </c>
      <c r="H199" s="20" t="str">
        <f t="shared" si="7"/>
        <v>4055</v>
      </c>
    </row>
    <row r="200" spans="1:8" x14ac:dyDescent="0.3">
      <c r="A200" s="8">
        <v>43101.892650462964</v>
      </c>
      <c r="B200" s="20" t="s">
        <v>443</v>
      </c>
      <c r="C200" s="20" t="s">
        <v>675</v>
      </c>
      <c r="D200" s="137">
        <v>3700000</v>
      </c>
      <c r="E200" s="20" t="s">
        <v>445</v>
      </c>
      <c r="F200" s="20" t="s">
        <v>369</v>
      </c>
      <c r="G200" s="8" t="str">
        <f t="shared" si="6"/>
        <v>AUSTIN THOMPSON</v>
      </c>
      <c r="H200" s="20" t="str">
        <f t="shared" si="7"/>
        <v>4049</v>
      </c>
    </row>
    <row r="201" spans="1:8" x14ac:dyDescent="0.3">
      <c r="A201" s="8">
        <v>43101.901076388887</v>
      </c>
      <c r="B201" s="20" t="s">
        <v>658</v>
      </c>
      <c r="C201" s="20" t="s">
        <v>864</v>
      </c>
      <c r="D201" s="137">
        <v>3340000</v>
      </c>
      <c r="E201" s="20" t="s">
        <v>461</v>
      </c>
      <c r="F201" s="20" t="s">
        <v>462</v>
      </c>
      <c r="G201" s="8" t="str">
        <f t="shared" si="6"/>
        <v>ELBAUM MIKE</v>
      </c>
      <c r="H201" s="20" t="str">
        <f t="shared" si="7"/>
        <v>4063</v>
      </c>
    </row>
    <row r="202" spans="1:8" x14ac:dyDescent="0.3">
      <c r="A202" s="26">
        <v>43101.908449074072</v>
      </c>
      <c r="B202" s="20" t="s">
        <v>446</v>
      </c>
      <c r="C202" s="20" t="s">
        <v>865</v>
      </c>
      <c r="D202" s="137">
        <v>3500000</v>
      </c>
      <c r="E202" s="20" t="s">
        <v>376</v>
      </c>
      <c r="F202" s="20" t="s">
        <v>377</v>
      </c>
      <c r="G202" s="8" t="str">
        <f t="shared" si="6"/>
        <v>GUNTHIER ERIC</v>
      </c>
      <c r="H202" s="20" t="str">
        <f t="shared" si="7"/>
        <v>4042</v>
      </c>
    </row>
    <row r="203" spans="1:8" x14ac:dyDescent="0.3">
      <c r="A203" s="8">
        <v>43101.917662037034</v>
      </c>
      <c r="B203" s="20" t="s">
        <v>661</v>
      </c>
      <c r="C203" s="20" t="s">
        <v>866</v>
      </c>
      <c r="D203" s="137">
        <v>2000000</v>
      </c>
      <c r="E203" s="20" t="s">
        <v>394</v>
      </c>
      <c r="F203" s="20" t="s">
        <v>395</v>
      </c>
      <c r="G203" s="8" t="str">
        <f t="shared" si="6"/>
        <v>STAMBAUGH JAMES</v>
      </c>
      <c r="H203" s="20" t="str">
        <f t="shared" si="7"/>
        <v>4056</v>
      </c>
    </row>
    <row r="204" spans="1:8" x14ac:dyDescent="0.3">
      <c r="A204" s="8">
        <v>43101.923576388886</v>
      </c>
      <c r="B204" s="20" t="s">
        <v>444</v>
      </c>
      <c r="C204" s="20" t="s">
        <v>678</v>
      </c>
      <c r="D204" s="137">
        <v>3040000</v>
      </c>
      <c r="E204" s="20" t="s">
        <v>368</v>
      </c>
      <c r="F204" s="20" t="s">
        <v>485</v>
      </c>
      <c r="G204" s="8" t="str">
        <f t="shared" si="6"/>
        <v>WILLIAMS DONTE</v>
      </c>
      <c r="H204" s="20" t="str">
        <f t="shared" si="7"/>
        <v>4050</v>
      </c>
    </row>
    <row r="205" spans="1:8" x14ac:dyDescent="0.3">
      <c r="A205" s="8">
        <v>43101.926701388889</v>
      </c>
      <c r="B205" s="20" t="s">
        <v>518</v>
      </c>
      <c r="C205" s="20" t="s">
        <v>867</v>
      </c>
      <c r="D205" s="137">
        <v>3810000</v>
      </c>
      <c r="E205" s="20" t="s">
        <v>843</v>
      </c>
      <c r="F205" s="20" t="s">
        <v>844</v>
      </c>
      <c r="G205" s="8" t="str">
        <f t="shared" si="6"/>
        <v>LORI SANTOS</v>
      </c>
      <c r="H205" s="20" t="str">
        <f t="shared" si="7"/>
        <v>4019</v>
      </c>
    </row>
    <row r="206" spans="1:8" x14ac:dyDescent="0.3">
      <c r="A206" s="8">
        <v>43101.933587962965</v>
      </c>
      <c r="B206" s="20" t="s">
        <v>351</v>
      </c>
      <c r="C206" s="20" t="s">
        <v>677</v>
      </c>
      <c r="D206" s="137">
        <v>2000000</v>
      </c>
      <c r="E206" s="20" t="s">
        <v>394</v>
      </c>
      <c r="F206" s="20" t="s">
        <v>395</v>
      </c>
      <c r="G206" s="8" t="str">
        <f t="shared" si="6"/>
        <v>STAMBAUGH JAMES</v>
      </c>
      <c r="H206" s="20" t="str">
        <f t="shared" si="7"/>
        <v>4055</v>
      </c>
    </row>
    <row r="207" spans="1:8" x14ac:dyDescent="0.3">
      <c r="A207" s="8">
        <v>43101.944548611114</v>
      </c>
      <c r="B207" s="20" t="s">
        <v>568</v>
      </c>
      <c r="C207" s="20" t="s">
        <v>868</v>
      </c>
      <c r="D207" s="137">
        <v>3340000</v>
      </c>
      <c r="E207" s="20" t="s">
        <v>461</v>
      </c>
      <c r="F207" s="20" t="s">
        <v>462</v>
      </c>
      <c r="G207" s="8" t="str">
        <f t="shared" si="6"/>
        <v>ELBAUM MIKE</v>
      </c>
      <c r="H207" s="20" t="str">
        <f t="shared" si="7"/>
        <v>4064</v>
      </c>
    </row>
    <row r="208" spans="1:8" x14ac:dyDescent="0.3">
      <c r="A208" s="8">
        <v>43101.949895833335</v>
      </c>
      <c r="B208" s="20" t="s">
        <v>566</v>
      </c>
      <c r="C208" s="20" t="s">
        <v>869</v>
      </c>
      <c r="D208" s="137">
        <v>3500000</v>
      </c>
      <c r="E208" s="20" t="s">
        <v>376</v>
      </c>
      <c r="F208" s="20" t="s">
        <v>377</v>
      </c>
      <c r="G208" s="8" t="str">
        <f t="shared" si="6"/>
        <v>GUNTHIER ERIC</v>
      </c>
      <c r="H208" s="20" t="str">
        <f t="shared" si="7"/>
        <v>4041</v>
      </c>
    </row>
    <row r="209" spans="1:8" x14ac:dyDescent="0.3">
      <c r="A209" s="8">
        <v>43101.956412037034</v>
      </c>
      <c r="B209" s="20" t="s">
        <v>661</v>
      </c>
      <c r="C209" s="20" t="s">
        <v>870</v>
      </c>
      <c r="D209" s="137">
        <v>2000000</v>
      </c>
      <c r="E209" s="20" t="s">
        <v>394</v>
      </c>
      <c r="F209" s="20" t="s">
        <v>395</v>
      </c>
      <c r="G209" s="8" t="str">
        <f t="shared" si="6"/>
        <v>STAMBAUGH JAMES</v>
      </c>
      <c r="H209" s="20" t="str">
        <f t="shared" si="7"/>
        <v>4056</v>
      </c>
    </row>
    <row r="210" spans="1:8" x14ac:dyDescent="0.3">
      <c r="A210" s="8">
        <v>43101.964270833334</v>
      </c>
      <c r="B210" s="20" t="s">
        <v>519</v>
      </c>
      <c r="C210" s="20" t="s">
        <v>871</v>
      </c>
      <c r="D210" s="137">
        <v>890000</v>
      </c>
      <c r="E210" s="20" t="s">
        <v>344</v>
      </c>
      <c r="F210" s="20" t="s">
        <v>345</v>
      </c>
      <c r="G210" s="8" t="str">
        <f t="shared" si="6"/>
        <v>LOZA FIDEL</v>
      </c>
      <c r="H210" s="20" t="str">
        <f t="shared" si="7"/>
        <v>4020</v>
      </c>
    </row>
    <row r="211" spans="1:8" x14ac:dyDescent="0.3">
      <c r="A211" s="8">
        <v>43101.969965277778</v>
      </c>
      <c r="B211" s="20" t="s">
        <v>443</v>
      </c>
      <c r="C211" s="20" t="s">
        <v>872</v>
      </c>
      <c r="D211" s="137">
        <v>3040000</v>
      </c>
      <c r="E211" s="20" t="s">
        <v>368</v>
      </c>
      <c r="F211" s="20" t="s">
        <v>485</v>
      </c>
      <c r="G211" s="8" t="str">
        <f t="shared" si="6"/>
        <v>WILLIAMS DONTE</v>
      </c>
      <c r="H211" s="20" t="str">
        <f t="shared" si="7"/>
        <v>4049</v>
      </c>
    </row>
    <row r="212" spans="1:8" x14ac:dyDescent="0.3">
      <c r="A212" s="8">
        <v>43101.974583333336</v>
      </c>
      <c r="B212" s="20" t="s">
        <v>351</v>
      </c>
      <c r="C212" s="20" t="s">
        <v>873</v>
      </c>
      <c r="D212" s="137">
        <v>2000000</v>
      </c>
      <c r="E212" s="20" t="s">
        <v>394</v>
      </c>
      <c r="F212" s="20" t="s">
        <v>395</v>
      </c>
      <c r="G212" s="8" t="str">
        <f t="shared" si="6"/>
        <v>STAMBAUGH JAMES</v>
      </c>
      <c r="H212" s="20" t="str">
        <f t="shared" si="7"/>
        <v>4055</v>
      </c>
    </row>
    <row r="213" spans="1:8" x14ac:dyDescent="0.3">
      <c r="A213" s="8">
        <v>43101.987858796296</v>
      </c>
      <c r="B213" s="20" t="s">
        <v>658</v>
      </c>
      <c r="C213" s="20" t="s">
        <v>874</v>
      </c>
      <c r="D213" s="137">
        <v>3340000</v>
      </c>
      <c r="E213" s="20" t="s">
        <v>461</v>
      </c>
      <c r="F213" s="20" t="s">
        <v>462</v>
      </c>
      <c r="G213" s="8" t="str">
        <f t="shared" si="6"/>
        <v>ELBAUM MIKE</v>
      </c>
      <c r="H213" s="20" t="str">
        <f t="shared" si="7"/>
        <v>4063</v>
      </c>
    </row>
    <row r="214" spans="1:8" x14ac:dyDescent="0.3">
      <c r="A214" s="8">
        <v>43101.988194444442</v>
      </c>
      <c r="B214" s="20" t="s">
        <v>446</v>
      </c>
      <c r="C214" s="20" t="s">
        <v>875</v>
      </c>
      <c r="D214" s="137">
        <v>3500000</v>
      </c>
      <c r="E214" s="20" t="s">
        <v>376</v>
      </c>
      <c r="F214" s="20" t="s">
        <v>377</v>
      </c>
      <c r="G214" s="8" t="str">
        <f t="shared" si="6"/>
        <v>GUNTHIER ERIC</v>
      </c>
      <c r="H214" s="20" t="str">
        <f t="shared" si="7"/>
        <v>4042</v>
      </c>
    </row>
    <row r="215" spans="1:8" x14ac:dyDescent="0.3">
      <c r="A215" s="8">
        <v>43102.010115740741</v>
      </c>
      <c r="B215" s="20" t="s">
        <v>518</v>
      </c>
      <c r="C215" s="20" t="s">
        <v>876</v>
      </c>
      <c r="D215" s="137">
        <v>3810000</v>
      </c>
      <c r="E215" s="20" t="s">
        <v>843</v>
      </c>
      <c r="F215" s="20" t="s">
        <v>844</v>
      </c>
      <c r="G215" s="8" t="str">
        <f t="shared" si="6"/>
        <v>LORI SANTOS</v>
      </c>
      <c r="H215" s="20" t="str">
        <f t="shared" si="7"/>
        <v>4019</v>
      </c>
    </row>
    <row r="216" spans="1:8" x14ac:dyDescent="0.3">
      <c r="A216" s="8">
        <v>43102.015034722222</v>
      </c>
      <c r="B216" s="20" t="s">
        <v>444</v>
      </c>
      <c r="C216" s="20" t="s">
        <v>877</v>
      </c>
      <c r="D216" s="137">
        <v>3040000</v>
      </c>
      <c r="E216" s="20" t="s">
        <v>368</v>
      </c>
      <c r="F216" s="20" t="s">
        <v>485</v>
      </c>
      <c r="G216" s="8" t="str">
        <f t="shared" si="6"/>
        <v>WILLIAMS DONTE</v>
      </c>
      <c r="H216" s="20" t="str">
        <f t="shared" si="7"/>
        <v>4050</v>
      </c>
    </row>
    <row r="217" spans="1:8" x14ac:dyDescent="0.3">
      <c r="A217" s="8">
        <v>43102.024085648147</v>
      </c>
      <c r="B217" s="20" t="s">
        <v>568</v>
      </c>
      <c r="C217" s="20" t="s">
        <v>868</v>
      </c>
      <c r="D217" s="137">
        <v>3340000</v>
      </c>
      <c r="E217" s="20" t="s">
        <v>461</v>
      </c>
      <c r="F217" s="20" t="s">
        <v>462</v>
      </c>
      <c r="G217" s="8" t="str">
        <f t="shared" si="6"/>
        <v>ELBAUM MIKE</v>
      </c>
      <c r="H217" s="20" t="str">
        <f t="shared" si="7"/>
        <v>4064</v>
      </c>
    </row>
    <row r="218" spans="1:8" x14ac:dyDescent="0.3">
      <c r="A218" s="8">
        <v>43102.033437500002</v>
      </c>
      <c r="B218" s="20" t="s">
        <v>566</v>
      </c>
      <c r="C218" s="20" t="s">
        <v>878</v>
      </c>
      <c r="D218" s="137">
        <v>3500000</v>
      </c>
      <c r="E218" s="20" t="s">
        <v>376</v>
      </c>
      <c r="F218" s="20" t="s">
        <v>377</v>
      </c>
      <c r="G218" s="8" t="str">
        <f t="shared" si="6"/>
        <v>GUNTHIER ERIC</v>
      </c>
      <c r="H218" s="20" t="str">
        <f t="shared" si="7"/>
        <v>4041</v>
      </c>
    </row>
    <row r="219" spans="1:8" x14ac:dyDescent="0.3">
      <c r="A219" s="8">
        <v>43102.049050925925</v>
      </c>
      <c r="B219" s="20" t="s">
        <v>519</v>
      </c>
      <c r="C219" s="20" t="s">
        <v>879</v>
      </c>
      <c r="D219" s="137">
        <v>3810000</v>
      </c>
      <c r="E219" s="20" t="s">
        <v>843</v>
      </c>
      <c r="F219" s="20" t="s">
        <v>844</v>
      </c>
      <c r="G219" s="8" t="str">
        <f t="shared" si="6"/>
        <v>LORI SANTOS</v>
      </c>
      <c r="H219" s="20" t="str">
        <f t="shared" si="7"/>
        <v>4020</v>
      </c>
    </row>
    <row r="220" spans="1:8" x14ac:dyDescent="0.3">
      <c r="A220" s="8">
        <v>43102.056909722225</v>
      </c>
      <c r="B220" s="20" t="s">
        <v>443</v>
      </c>
      <c r="C220" s="20" t="s">
        <v>880</v>
      </c>
      <c r="D220" s="137">
        <v>3040000</v>
      </c>
      <c r="E220" s="20" t="s">
        <v>368</v>
      </c>
      <c r="F220" s="20" t="s">
        <v>485</v>
      </c>
      <c r="G220" s="8" t="str">
        <f t="shared" si="6"/>
        <v>WILLIAMS DONTE</v>
      </c>
      <c r="H220" s="20" t="str">
        <f t="shared" si="7"/>
        <v>4049</v>
      </c>
    </row>
    <row r="221" spans="1:8" x14ac:dyDescent="0.3">
      <c r="A221" s="8">
        <v>43102.068310185183</v>
      </c>
      <c r="B221" s="20" t="s">
        <v>446</v>
      </c>
      <c r="C221" s="20" t="s">
        <v>881</v>
      </c>
      <c r="D221" s="137">
        <v>3500000</v>
      </c>
      <c r="E221" s="20" t="s">
        <v>376</v>
      </c>
      <c r="F221" s="20" t="s">
        <v>377</v>
      </c>
      <c r="G221" s="8" t="str">
        <f t="shared" si="6"/>
        <v>GUNTHIER ERIC</v>
      </c>
      <c r="H221" s="20" t="str">
        <f t="shared" si="7"/>
        <v>4042</v>
      </c>
    </row>
    <row r="222" spans="1:8" x14ac:dyDescent="0.3">
      <c r="A222" s="8">
        <v>43102.089004629626</v>
      </c>
      <c r="B222" s="20" t="s">
        <v>444</v>
      </c>
      <c r="C222" s="20" t="s">
        <v>882</v>
      </c>
      <c r="D222" s="137">
        <v>3040000</v>
      </c>
      <c r="E222" s="20" t="s">
        <v>368</v>
      </c>
      <c r="F222" s="20" t="s">
        <v>485</v>
      </c>
      <c r="G222" s="8" t="str">
        <f t="shared" si="6"/>
        <v>WILLIAMS DONTE</v>
      </c>
      <c r="H222" s="20" t="str">
        <f t="shared" si="7"/>
        <v>4050</v>
      </c>
    </row>
    <row r="223" spans="1:8" x14ac:dyDescent="0.3">
      <c r="A223" s="8">
        <v>43101.002233796295</v>
      </c>
      <c r="B223" s="20" t="s">
        <v>602</v>
      </c>
      <c r="C223" s="20" t="s">
        <v>608</v>
      </c>
      <c r="D223" s="137">
        <v>3670000</v>
      </c>
      <c r="E223" s="20" t="s">
        <v>382</v>
      </c>
      <c r="F223" s="20" t="s">
        <v>368</v>
      </c>
      <c r="G223" s="8" t="str">
        <f t="shared" si="6"/>
        <v>ANDREA WILLIAMS</v>
      </c>
      <c r="H223" s="20" t="str">
        <f t="shared" si="7"/>
        <v>4026</v>
      </c>
    </row>
    <row r="224" spans="1:8" x14ac:dyDescent="0.3">
      <c r="A224" s="8">
        <v>43101.016342592593</v>
      </c>
      <c r="B224" t="s">
        <v>493</v>
      </c>
      <c r="C224" t="s">
        <v>434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4043</v>
      </c>
    </row>
    <row r="225" spans="1:8" x14ac:dyDescent="0.3">
      <c r="A225" s="8">
        <v>43101.017337962963</v>
      </c>
      <c r="B225" t="s">
        <v>383</v>
      </c>
      <c r="C225" t="s">
        <v>435</v>
      </c>
      <c r="D225" s="137">
        <v>3220000</v>
      </c>
      <c r="E225" t="s">
        <v>378</v>
      </c>
      <c r="F225" s="20" t="s">
        <v>379</v>
      </c>
      <c r="G225" s="8" t="str">
        <f t="shared" si="6"/>
        <v>RESPASS AARON</v>
      </c>
      <c r="H225" s="20" t="str">
        <f t="shared" si="7"/>
        <v>4062</v>
      </c>
    </row>
    <row r="226" spans="1:8" x14ac:dyDescent="0.3">
      <c r="A226" s="8">
        <v>43101.026018518518</v>
      </c>
      <c r="B226" t="s">
        <v>570</v>
      </c>
      <c r="C226" t="s">
        <v>436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4004</v>
      </c>
    </row>
    <row r="227" spans="1:8" x14ac:dyDescent="0.3">
      <c r="A227" s="8">
        <v>43101.027870370373</v>
      </c>
      <c r="B227" t="s">
        <v>604</v>
      </c>
      <c r="C227" t="s">
        <v>437</v>
      </c>
      <c r="D227" s="137">
        <v>3340000</v>
      </c>
      <c r="E227" t="s">
        <v>461</v>
      </c>
      <c r="F227" s="20" t="s">
        <v>462</v>
      </c>
      <c r="G227" s="8" t="str">
        <f t="shared" si="6"/>
        <v>ELBAUM MIKE</v>
      </c>
      <c r="H227" s="20" t="str">
        <f t="shared" si="7"/>
        <v>4039</v>
      </c>
    </row>
    <row r="228" spans="1:8" x14ac:dyDescent="0.3">
      <c r="A228" s="8">
        <v>43101.03329861111</v>
      </c>
      <c r="B228" t="s">
        <v>603</v>
      </c>
      <c r="C228" t="s">
        <v>609</v>
      </c>
      <c r="D228" s="137">
        <v>3670000</v>
      </c>
      <c r="E228" t="s">
        <v>382</v>
      </c>
      <c r="F228" s="20" t="s">
        <v>368</v>
      </c>
      <c r="G228" s="8" t="str">
        <f t="shared" si="6"/>
        <v>ANDREA WILLIAMS</v>
      </c>
      <c r="H228" s="20" t="str">
        <f t="shared" si="7"/>
        <v>4025</v>
      </c>
    </row>
    <row r="229" spans="1:8" x14ac:dyDescent="0.3">
      <c r="A229" s="8">
        <v>43101.048877314817</v>
      </c>
      <c r="B229" t="s">
        <v>360</v>
      </c>
      <c r="C229" t="s">
        <v>438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4018</v>
      </c>
    </row>
    <row r="230" spans="1:8" x14ac:dyDescent="0.3">
      <c r="A230" s="8">
        <v>43101.05537037037</v>
      </c>
      <c r="B230" t="s">
        <v>567</v>
      </c>
      <c r="C230" t="s">
        <v>439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4033</v>
      </c>
    </row>
    <row r="231" spans="1:8" x14ac:dyDescent="0.3">
      <c r="A231" s="8">
        <v>43101.068055555559</v>
      </c>
      <c r="B231" t="s">
        <v>569</v>
      </c>
      <c r="C231" t="s">
        <v>440</v>
      </c>
      <c r="D231" s="137">
        <v>3340000</v>
      </c>
      <c r="E231" t="s">
        <v>461</v>
      </c>
      <c r="F231" s="20" t="s">
        <v>462</v>
      </c>
      <c r="G231" s="8" t="str">
        <f t="shared" si="6"/>
        <v>ELBAUM MIKE</v>
      </c>
      <c r="H231" s="20" t="str">
        <f t="shared" si="7"/>
        <v>4054</v>
      </c>
    </row>
    <row r="232" spans="1:8" x14ac:dyDescent="0.3">
      <c r="A232" s="8">
        <v>43101.091423611113</v>
      </c>
      <c r="B232" t="s">
        <v>383</v>
      </c>
      <c r="C232" t="s">
        <v>441</v>
      </c>
      <c r="D232" s="137">
        <v>3220000</v>
      </c>
      <c r="E232" t="s">
        <v>378</v>
      </c>
      <c r="F232" s="20" t="s">
        <v>379</v>
      </c>
      <c r="G232" s="8" t="str">
        <f t="shared" si="6"/>
        <v>RESPASS AARON</v>
      </c>
      <c r="H232" s="20" t="str">
        <f t="shared" si="7"/>
        <v>4062</v>
      </c>
    </row>
    <row r="233" spans="1:8" x14ac:dyDescent="0.3">
      <c r="A233" s="8">
        <v>43101.114525462966</v>
      </c>
      <c r="B233" t="s">
        <v>549</v>
      </c>
      <c r="C233" t="s">
        <v>610</v>
      </c>
      <c r="D233" s="137">
        <v>1090000</v>
      </c>
      <c r="E233" t="s">
        <v>517</v>
      </c>
      <c r="F233" s="20" t="s">
        <v>352</v>
      </c>
      <c r="G233" s="8" t="str">
        <f t="shared" si="6"/>
        <v>SPECTOR MICHAEL</v>
      </c>
      <c r="H233" s="20" t="str">
        <f t="shared" si="7"/>
        <v>4021</v>
      </c>
    </row>
    <row r="234" spans="1:8" x14ac:dyDescent="0.3">
      <c r="A234" s="8">
        <v>43091.920706018522</v>
      </c>
      <c r="B234" t="s">
        <v>471</v>
      </c>
      <c r="C234" t="s">
        <v>523</v>
      </c>
      <c r="D234" s="137">
        <v>3340000</v>
      </c>
      <c r="E234" t="s">
        <v>461</v>
      </c>
      <c r="F234" s="20" t="s">
        <v>462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493</v>
      </c>
      <c r="C235" t="s">
        <v>524</v>
      </c>
      <c r="D235" s="137">
        <v>2600000</v>
      </c>
      <c r="E235" t="s">
        <v>522</v>
      </c>
      <c r="F235" s="20" t="s">
        <v>510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470</v>
      </c>
      <c r="C236" t="s">
        <v>525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518</v>
      </c>
      <c r="C237" t="s">
        <v>526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442</v>
      </c>
      <c r="C238" t="s">
        <v>527</v>
      </c>
      <c r="D238" s="137">
        <v>3310000</v>
      </c>
      <c r="E238" t="s">
        <v>486</v>
      </c>
      <c r="F238" s="20" t="s">
        <v>487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472</v>
      </c>
      <c r="C239" t="s">
        <v>528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474</v>
      </c>
      <c r="C240" t="s">
        <v>529</v>
      </c>
      <c r="D240" s="137">
        <v>3340000</v>
      </c>
      <c r="E240" t="s">
        <v>461</v>
      </c>
      <c r="F240" s="20" t="s">
        <v>462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492</v>
      </c>
      <c r="C241" t="s">
        <v>530</v>
      </c>
      <c r="D241" s="137">
        <v>2600000</v>
      </c>
      <c r="E241" t="s">
        <v>522</v>
      </c>
      <c r="F241" s="20" t="s">
        <v>510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470</v>
      </c>
      <c r="C242" t="s">
        <v>531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488</v>
      </c>
      <c r="C243" t="s">
        <v>475</v>
      </c>
      <c r="D243" s="137">
        <v>3310000</v>
      </c>
      <c r="E243" t="s">
        <v>486</v>
      </c>
      <c r="F243" s="20" t="s">
        <v>487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519</v>
      </c>
      <c r="C244" t="s">
        <v>532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493</v>
      </c>
      <c r="C245" t="s">
        <v>473</v>
      </c>
      <c r="D245" s="137">
        <v>2600000</v>
      </c>
      <c r="E245" t="s">
        <v>522</v>
      </c>
      <c r="F245" s="20" t="s">
        <v>510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471</v>
      </c>
      <c r="C246" t="s">
        <v>476</v>
      </c>
      <c r="D246" s="137">
        <v>3340000</v>
      </c>
      <c r="E246" t="s">
        <v>461</v>
      </c>
      <c r="F246" s="20" t="s">
        <v>462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518</v>
      </c>
      <c r="C247" t="s">
        <v>478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442</v>
      </c>
      <c r="C248" t="s">
        <v>533</v>
      </c>
      <c r="D248" s="137">
        <v>3310000</v>
      </c>
      <c r="E248" t="s">
        <v>486</v>
      </c>
      <c r="F248" s="20" t="s">
        <v>487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474</v>
      </c>
      <c r="C249" t="s">
        <v>480</v>
      </c>
      <c r="D249" s="137">
        <v>3340000</v>
      </c>
      <c r="E249" t="s">
        <v>461</v>
      </c>
      <c r="F249" s="20" t="s">
        <v>462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492</v>
      </c>
      <c r="C250" t="s">
        <v>479</v>
      </c>
      <c r="D250" s="137">
        <v>2600000</v>
      </c>
      <c r="E250" t="s">
        <v>522</v>
      </c>
      <c r="F250" s="20" t="s">
        <v>510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519</v>
      </c>
      <c r="C251" t="s">
        <v>481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488</v>
      </c>
      <c r="C252" t="s">
        <v>534</v>
      </c>
      <c r="D252" s="137">
        <v>3310000</v>
      </c>
      <c r="E252" t="s">
        <v>486</v>
      </c>
      <c r="F252" s="20" t="s">
        <v>487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471</v>
      </c>
      <c r="C253" t="s">
        <v>482</v>
      </c>
      <c r="D253" s="137">
        <v>3340000</v>
      </c>
      <c r="E253" t="s">
        <v>461</v>
      </c>
      <c r="F253" s="20" t="s">
        <v>462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442</v>
      </c>
      <c r="C254" t="s">
        <v>477</v>
      </c>
      <c r="D254" s="137">
        <v>3310000</v>
      </c>
      <c r="E254" t="s">
        <v>486</v>
      </c>
      <c r="F254" s="20" t="s">
        <v>487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446</v>
      </c>
      <c r="C255" t="s">
        <v>467</v>
      </c>
      <c r="D255" s="137">
        <v>3340000</v>
      </c>
      <c r="E255" t="s">
        <v>461</v>
      </c>
      <c r="F255" s="20" t="s">
        <v>462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442</v>
      </c>
      <c r="C256" t="s">
        <v>468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443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448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442</v>
      </c>
      <c r="C259" t="s">
        <v>455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444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458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460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11.96</v>
      </c>
      <c r="B2" s="195">
        <v>0.98</v>
      </c>
      <c r="C2" s="195">
        <v>7.01</v>
      </c>
      <c r="D2" s="8">
        <v>43101</v>
      </c>
      <c r="E2" s="195">
        <v>0.8</v>
      </c>
      <c r="F2" s="195" t="s">
        <v>574</v>
      </c>
      <c r="G2" s="195">
        <v>355.23</v>
      </c>
      <c r="H2" s="195">
        <v>0</v>
      </c>
      <c r="I2" s="195">
        <v>0</v>
      </c>
      <c r="J2" s="195">
        <v>1034.8499999999999</v>
      </c>
      <c r="K2" s="195" t="s">
        <v>575</v>
      </c>
      <c r="L2" s="195">
        <v>11.96</v>
      </c>
      <c r="M2" s="195">
        <v>1514790000</v>
      </c>
      <c r="N2" s="195">
        <v>0</v>
      </c>
      <c r="O2" s="195">
        <v>3.59</v>
      </c>
      <c r="P2" s="195">
        <v>58</v>
      </c>
      <c r="Q2" s="195">
        <v>3.33</v>
      </c>
      <c r="R2" s="195">
        <v>1.0900000000000001</v>
      </c>
      <c r="S2"/>
      <c r="T2"/>
    </row>
    <row r="3" spans="1:20" x14ac:dyDescent="0.3">
      <c r="A3" s="195">
        <v>12.31</v>
      </c>
      <c r="B3" s="195">
        <v>0.99</v>
      </c>
      <c r="C3" s="195">
        <v>7.42</v>
      </c>
      <c r="D3" s="8">
        <v>43101.041666666664</v>
      </c>
      <c r="E3" s="195">
        <v>0.8</v>
      </c>
      <c r="F3" s="195" t="s">
        <v>574</v>
      </c>
      <c r="G3" s="195">
        <v>356.02</v>
      </c>
      <c r="H3" s="195">
        <v>0</v>
      </c>
      <c r="I3" s="195">
        <v>0</v>
      </c>
      <c r="J3" s="195">
        <v>1035.25</v>
      </c>
      <c r="K3" s="195" t="s">
        <v>575</v>
      </c>
      <c r="L3" s="195">
        <v>12.31</v>
      </c>
      <c r="M3" s="195">
        <v>1514793600</v>
      </c>
      <c r="N3" s="195">
        <v>0</v>
      </c>
      <c r="O3" s="195">
        <v>3.79</v>
      </c>
      <c r="P3" s="195">
        <v>71</v>
      </c>
      <c r="Q3" s="195">
        <v>2.02</v>
      </c>
      <c r="R3" s="195">
        <v>0.44</v>
      </c>
      <c r="S3"/>
      <c r="T3"/>
    </row>
    <row r="4" spans="1:20" x14ac:dyDescent="0.3">
      <c r="A4" s="195">
        <v>12.53</v>
      </c>
      <c r="B4" s="195">
        <v>0.97</v>
      </c>
      <c r="C4" s="195">
        <v>7.85</v>
      </c>
      <c r="D4" s="8">
        <v>43101.083333333336</v>
      </c>
      <c r="E4" s="195">
        <v>0.81</v>
      </c>
      <c r="F4" s="195" t="s">
        <v>574</v>
      </c>
      <c r="G4" s="195">
        <v>356.12</v>
      </c>
      <c r="H4" s="195">
        <v>0</v>
      </c>
      <c r="I4" s="195">
        <v>0</v>
      </c>
      <c r="J4" s="195">
        <v>1034.7</v>
      </c>
      <c r="K4" s="195" t="s">
        <v>575</v>
      </c>
      <c r="L4" s="195">
        <v>12.53</v>
      </c>
      <c r="M4" s="195">
        <v>1514797200</v>
      </c>
      <c r="N4" s="195">
        <v>0</v>
      </c>
      <c r="O4" s="195">
        <v>4.04</v>
      </c>
      <c r="P4" s="195">
        <v>142</v>
      </c>
      <c r="Q4" s="195">
        <v>1.93</v>
      </c>
      <c r="R4" s="195">
        <v>0.38</v>
      </c>
      <c r="S4"/>
      <c r="T4"/>
    </row>
    <row r="5" spans="1:20" x14ac:dyDescent="0.3">
      <c r="A5" s="195">
        <v>12.54</v>
      </c>
      <c r="B5" s="195">
        <v>0.89</v>
      </c>
      <c r="C5" s="195">
        <v>7.95</v>
      </c>
      <c r="D5" s="8">
        <v>43101.125</v>
      </c>
      <c r="E5" s="195">
        <v>0.81</v>
      </c>
      <c r="F5" s="195" t="s">
        <v>502</v>
      </c>
      <c r="G5" s="195">
        <v>354.91</v>
      </c>
      <c r="H5" s="195">
        <v>0</v>
      </c>
      <c r="I5" s="195">
        <v>0</v>
      </c>
      <c r="J5" s="195">
        <v>1034.5999999999999</v>
      </c>
      <c r="K5" s="195" t="s">
        <v>552</v>
      </c>
      <c r="L5" s="195">
        <v>12.54</v>
      </c>
      <c r="M5" s="195">
        <v>1514800800</v>
      </c>
      <c r="N5" s="195">
        <v>0</v>
      </c>
      <c r="O5" s="195">
        <v>3.37</v>
      </c>
      <c r="P5" s="195">
        <v>160</v>
      </c>
      <c r="Q5" s="195">
        <v>1.58</v>
      </c>
      <c r="R5" s="195">
        <v>0.2</v>
      </c>
      <c r="S5"/>
      <c r="T5"/>
    </row>
    <row r="6" spans="1:20" x14ac:dyDescent="0.3">
      <c r="A6" s="195">
        <v>12.08</v>
      </c>
      <c r="B6" s="195">
        <v>0.83</v>
      </c>
      <c r="C6" s="195">
        <v>7.69</v>
      </c>
      <c r="D6" s="8">
        <v>43101.166666666664</v>
      </c>
      <c r="E6" s="195">
        <v>0.82</v>
      </c>
      <c r="F6" s="195" t="s">
        <v>502</v>
      </c>
      <c r="G6" s="195">
        <v>352.81</v>
      </c>
      <c r="H6" s="195">
        <v>0</v>
      </c>
      <c r="I6" s="195">
        <v>0</v>
      </c>
      <c r="J6" s="195">
        <v>1033.43</v>
      </c>
      <c r="K6" s="195" t="s">
        <v>552</v>
      </c>
      <c r="L6" s="195">
        <v>12.08</v>
      </c>
      <c r="M6" s="195">
        <v>1514804400</v>
      </c>
      <c r="N6" s="195">
        <v>0</v>
      </c>
      <c r="O6" s="195">
        <v>3.21</v>
      </c>
      <c r="P6" s="195">
        <v>178</v>
      </c>
      <c r="Q6" s="195">
        <v>1.83</v>
      </c>
      <c r="R6" s="195">
        <v>0.36</v>
      </c>
      <c r="S6"/>
      <c r="T6"/>
    </row>
    <row r="7" spans="1:20" x14ac:dyDescent="0.3">
      <c r="A7" s="195">
        <v>11.77</v>
      </c>
      <c r="B7" s="195">
        <v>0.6</v>
      </c>
      <c r="C7" s="195">
        <v>7.62</v>
      </c>
      <c r="D7" s="8">
        <v>43101.208333333336</v>
      </c>
      <c r="E7" s="195">
        <v>0.83</v>
      </c>
      <c r="F7" s="195" t="s">
        <v>502</v>
      </c>
      <c r="G7" s="195">
        <v>351.21</v>
      </c>
      <c r="H7" s="195">
        <v>0</v>
      </c>
      <c r="I7" s="195">
        <v>0</v>
      </c>
      <c r="J7" s="195">
        <v>1033.3</v>
      </c>
      <c r="K7" s="195" t="s">
        <v>552</v>
      </c>
      <c r="L7" s="195">
        <v>11.77</v>
      </c>
      <c r="M7" s="195">
        <v>1514808000</v>
      </c>
      <c r="N7" s="195">
        <v>0</v>
      </c>
      <c r="O7" s="195">
        <v>3.39</v>
      </c>
      <c r="P7" s="195">
        <v>161</v>
      </c>
      <c r="Q7" s="195">
        <v>2.57</v>
      </c>
      <c r="R7" s="195">
        <v>0.97</v>
      </c>
      <c r="S7"/>
      <c r="T7"/>
    </row>
    <row r="8" spans="1:20" x14ac:dyDescent="0.3">
      <c r="A8" s="195">
        <v>11.63</v>
      </c>
      <c r="B8" s="195">
        <v>0.25</v>
      </c>
      <c r="C8" s="195">
        <v>7.52</v>
      </c>
      <c r="D8" s="8">
        <v>43101.25</v>
      </c>
      <c r="E8" s="195">
        <v>0.83</v>
      </c>
      <c r="F8" s="195" t="s">
        <v>502</v>
      </c>
      <c r="G8" s="195">
        <v>350.3</v>
      </c>
      <c r="H8" s="195">
        <v>0</v>
      </c>
      <c r="I8" s="195">
        <v>0</v>
      </c>
      <c r="J8" s="195">
        <v>1033.23</v>
      </c>
      <c r="K8" s="195" t="s">
        <v>503</v>
      </c>
      <c r="L8" s="195">
        <v>11.63</v>
      </c>
      <c r="M8" s="195">
        <v>1514811600</v>
      </c>
      <c r="N8" s="195">
        <v>0</v>
      </c>
      <c r="O8" s="195">
        <v>3.57</v>
      </c>
      <c r="P8" s="195">
        <v>162</v>
      </c>
      <c r="Q8" s="195">
        <v>2.2999999999999998</v>
      </c>
      <c r="R8" s="195">
        <v>0.56999999999999995</v>
      </c>
      <c r="S8"/>
      <c r="T8"/>
    </row>
    <row r="9" spans="1:20" x14ac:dyDescent="0.3">
      <c r="A9" s="195">
        <v>11.81</v>
      </c>
      <c r="B9" s="195">
        <v>0.28000000000000003</v>
      </c>
      <c r="C9" s="195">
        <v>7.78</v>
      </c>
      <c r="D9" s="8">
        <v>43101.291666666664</v>
      </c>
      <c r="E9" s="195">
        <v>0.83</v>
      </c>
      <c r="F9" s="195" t="s">
        <v>502</v>
      </c>
      <c r="G9" s="195">
        <v>349.7</v>
      </c>
      <c r="H9" s="195">
        <v>0</v>
      </c>
      <c r="I9" s="195">
        <v>0</v>
      </c>
      <c r="J9" s="195">
        <v>1033.49</v>
      </c>
      <c r="K9" s="195" t="s">
        <v>503</v>
      </c>
      <c r="L9" s="195">
        <v>11.81</v>
      </c>
      <c r="M9" s="195">
        <v>1514815200</v>
      </c>
      <c r="N9" s="195">
        <v>0</v>
      </c>
      <c r="O9" s="195">
        <v>3.3</v>
      </c>
      <c r="P9" s="195">
        <v>71</v>
      </c>
      <c r="Q9" s="195">
        <v>2.64</v>
      </c>
      <c r="R9" s="195">
        <v>0.22</v>
      </c>
      <c r="S9"/>
      <c r="T9"/>
    </row>
    <row r="10" spans="1:20" x14ac:dyDescent="0.3">
      <c r="A10" s="195">
        <v>12.58</v>
      </c>
      <c r="B10" s="195">
        <v>0.39</v>
      </c>
      <c r="C10" s="195">
        <v>8.4700000000000006</v>
      </c>
      <c r="D10" s="8">
        <v>43101.333333333336</v>
      </c>
      <c r="E10" s="195">
        <v>0.83</v>
      </c>
      <c r="F10" s="195" t="s">
        <v>576</v>
      </c>
      <c r="G10" s="195">
        <v>349.2</v>
      </c>
      <c r="H10" s="195">
        <v>0</v>
      </c>
      <c r="I10" s="195">
        <v>0</v>
      </c>
      <c r="J10" s="195">
        <v>1032.83</v>
      </c>
      <c r="K10" s="195" t="s">
        <v>503</v>
      </c>
      <c r="L10" s="195">
        <v>12.58</v>
      </c>
      <c r="M10" s="195">
        <v>1514818800</v>
      </c>
      <c r="N10" s="195">
        <v>0</v>
      </c>
      <c r="O10" s="195">
        <v>3.13</v>
      </c>
      <c r="P10" s="195">
        <v>62</v>
      </c>
      <c r="Q10" s="195">
        <v>2.4</v>
      </c>
      <c r="R10" s="195">
        <v>0.26</v>
      </c>
      <c r="S10"/>
      <c r="T10"/>
    </row>
    <row r="11" spans="1:20" x14ac:dyDescent="0.3">
      <c r="A11" s="195">
        <v>15.57</v>
      </c>
      <c r="B11" s="195">
        <v>0.45</v>
      </c>
      <c r="C11" s="195">
        <v>10.76</v>
      </c>
      <c r="D11" s="8">
        <v>43101.375</v>
      </c>
      <c r="E11" s="195">
        <v>0.81</v>
      </c>
      <c r="F11" s="195" t="s">
        <v>576</v>
      </c>
      <c r="G11" s="195">
        <v>348.7</v>
      </c>
      <c r="H11" s="195">
        <v>0</v>
      </c>
      <c r="I11" s="195">
        <v>0</v>
      </c>
      <c r="J11" s="195">
        <v>1031.44</v>
      </c>
      <c r="K11" s="195" t="s">
        <v>503</v>
      </c>
      <c r="L11" s="195">
        <v>15.57</v>
      </c>
      <c r="M11" s="195">
        <v>1514822400</v>
      </c>
      <c r="N11" s="195">
        <v>1</v>
      </c>
      <c r="O11" s="195">
        <v>2.67</v>
      </c>
      <c r="P11" s="195">
        <v>70</v>
      </c>
      <c r="Q11" s="195">
        <v>2.75</v>
      </c>
      <c r="R11" s="195">
        <v>0.44</v>
      </c>
      <c r="S11"/>
      <c r="T11"/>
    </row>
    <row r="12" spans="1:20" x14ac:dyDescent="0.3">
      <c r="A12" s="195">
        <v>17.86</v>
      </c>
      <c r="B12" s="195">
        <v>0.68</v>
      </c>
      <c r="C12" s="195">
        <v>11.66</v>
      </c>
      <c r="D12" s="8">
        <v>43101.416666666664</v>
      </c>
      <c r="E12" s="195">
        <v>0.76</v>
      </c>
      <c r="F12" s="195" t="s">
        <v>576</v>
      </c>
      <c r="G12" s="195">
        <v>348.3</v>
      </c>
      <c r="H12" s="195">
        <v>0</v>
      </c>
      <c r="I12" s="195">
        <v>0</v>
      </c>
      <c r="J12" s="195">
        <v>1030.42</v>
      </c>
      <c r="K12" s="195" t="s">
        <v>552</v>
      </c>
      <c r="L12" s="195">
        <v>17.86</v>
      </c>
      <c r="M12" s="195">
        <v>1514826000</v>
      </c>
      <c r="N12" s="195">
        <v>1</v>
      </c>
      <c r="O12" s="195">
        <v>2.5499999999999998</v>
      </c>
      <c r="P12" s="195">
        <v>24</v>
      </c>
      <c r="Q12" s="195">
        <v>4.8499999999999996</v>
      </c>
      <c r="R12" s="195">
        <v>1.22</v>
      </c>
      <c r="S12"/>
      <c r="T12"/>
    </row>
    <row r="13" spans="1:20" x14ac:dyDescent="0.3">
      <c r="A13" s="195">
        <v>20.3</v>
      </c>
      <c r="B13" s="195">
        <v>0.5</v>
      </c>
      <c r="C13" s="195">
        <v>12.63</v>
      </c>
      <c r="D13" s="8">
        <v>43101.458333333336</v>
      </c>
      <c r="E13" s="195">
        <v>0.72</v>
      </c>
      <c r="F13" s="195" t="s">
        <v>576</v>
      </c>
      <c r="G13" s="195">
        <v>346.79</v>
      </c>
      <c r="H13" s="195">
        <v>0</v>
      </c>
      <c r="I13" s="195">
        <v>0</v>
      </c>
      <c r="J13" s="195">
        <v>1029.31</v>
      </c>
      <c r="K13" s="195" t="s">
        <v>503</v>
      </c>
      <c r="L13" s="195">
        <v>20.3</v>
      </c>
      <c r="M13" s="195">
        <v>1514829600</v>
      </c>
      <c r="N13" s="195">
        <v>1</v>
      </c>
      <c r="O13" s="195">
        <v>2.68</v>
      </c>
      <c r="P13" s="195">
        <v>17</v>
      </c>
      <c r="Q13" s="195">
        <v>5.69</v>
      </c>
      <c r="R13" s="195">
        <v>2.0099999999999998</v>
      </c>
      <c r="S13"/>
      <c r="T13"/>
    </row>
    <row r="14" spans="1:20" x14ac:dyDescent="0.3">
      <c r="A14" s="195">
        <v>22.96</v>
      </c>
      <c r="B14" s="195">
        <v>0.45</v>
      </c>
      <c r="C14" s="195">
        <v>13.1</v>
      </c>
      <c r="D14" s="8">
        <v>43101.5</v>
      </c>
      <c r="E14" s="195">
        <v>0.65</v>
      </c>
      <c r="F14" s="195" t="s">
        <v>576</v>
      </c>
      <c r="G14" s="195">
        <v>346.79</v>
      </c>
      <c r="H14" s="195">
        <v>0</v>
      </c>
      <c r="I14" s="195">
        <v>0</v>
      </c>
      <c r="J14" s="195">
        <v>1027.46</v>
      </c>
      <c r="K14" s="195" t="s">
        <v>503</v>
      </c>
      <c r="L14" s="195">
        <v>22.96</v>
      </c>
      <c r="M14" s="195">
        <v>1514833200</v>
      </c>
      <c r="N14" s="195">
        <v>1</v>
      </c>
      <c r="O14" s="195">
        <v>2.7</v>
      </c>
      <c r="P14" s="195">
        <v>9</v>
      </c>
      <c r="Q14" s="195">
        <v>6.4</v>
      </c>
      <c r="R14" s="195">
        <v>2.15</v>
      </c>
      <c r="S14"/>
      <c r="T14"/>
    </row>
    <row r="15" spans="1:20" x14ac:dyDescent="0.3">
      <c r="A15" s="195">
        <v>25.47</v>
      </c>
      <c r="B15" s="195">
        <v>0.21</v>
      </c>
      <c r="C15" s="195">
        <v>13.76</v>
      </c>
      <c r="D15" s="8">
        <v>43101.541666666664</v>
      </c>
      <c r="E15" s="195">
        <v>0.61</v>
      </c>
      <c r="F15" s="195" t="s">
        <v>883</v>
      </c>
      <c r="G15" s="195">
        <v>347.08</v>
      </c>
      <c r="H15" s="195">
        <v>0</v>
      </c>
      <c r="I15" s="195">
        <v>0</v>
      </c>
      <c r="J15" s="195">
        <v>1025.8699999999999</v>
      </c>
      <c r="K15" s="195" t="s">
        <v>884</v>
      </c>
      <c r="L15" s="195">
        <v>25.47</v>
      </c>
      <c r="M15" s="195">
        <v>1514836800</v>
      </c>
      <c r="N15" s="195">
        <v>2</v>
      </c>
      <c r="O15" s="195">
        <v>3.25</v>
      </c>
      <c r="P15" s="195">
        <v>16</v>
      </c>
      <c r="Q15" s="195">
        <v>5.38</v>
      </c>
      <c r="R15" s="195">
        <v>1.79</v>
      </c>
      <c r="S15"/>
      <c r="T15"/>
    </row>
    <row r="16" spans="1:20" x14ac:dyDescent="0.3">
      <c r="A16" s="195">
        <v>28.65</v>
      </c>
      <c r="B16" s="195">
        <v>0.11</v>
      </c>
      <c r="C16" s="195">
        <v>14.29</v>
      </c>
      <c r="D16" s="8">
        <v>43101.583333333336</v>
      </c>
      <c r="E16" s="195">
        <v>0.54</v>
      </c>
      <c r="F16" s="195" t="s">
        <v>883</v>
      </c>
      <c r="G16" s="195">
        <v>346.98</v>
      </c>
      <c r="H16" s="195">
        <v>0</v>
      </c>
      <c r="I16" s="195">
        <v>0</v>
      </c>
      <c r="J16" s="195">
        <v>1024.1400000000001</v>
      </c>
      <c r="K16" s="195" t="s">
        <v>884</v>
      </c>
      <c r="L16" s="195">
        <v>28.65</v>
      </c>
      <c r="M16" s="195">
        <v>1514840400</v>
      </c>
      <c r="N16" s="195">
        <v>1</v>
      </c>
      <c r="O16" s="195">
        <v>3.47</v>
      </c>
      <c r="P16" s="195">
        <v>66</v>
      </c>
      <c r="Q16" s="195">
        <v>3.92</v>
      </c>
      <c r="R16" s="195">
        <v>0.52</v>
      </c>
      <c r="S16"/>
      <c r="T16"/>
    </row>
    <row r="17" spans="1:20" x14ac:dyDescent="0.3">
      <c r="A17" s="195">
        <v>30.6</v>
      </c>
      <c r="B17" s="195">
        <v>0.15</v>
      </c>
      <c r="C17" s="195">
        <v>14.68</v>
      </c>
      <c r="D17" s="8">
        <v>43101.625</v>
      </c>
      <c r="E17" s="195">
        <v>0.51</v>
      </c>
      <c r="F17" s="195" t="s">
        <v>883</v>
      </c>
      <c r="G17" s="195">
        <v>346.08</v>
      </c>
      <c r="H17" s="195">
        <v>0</v>
      </c>
      <c r="I17" s="195">
        <v>0</v>
      </c>
      <c r="J17" s="195">
        <v>1024.24</v>
      </c>
      <c r="K17" s="195" t="s">
        <v>884</v>
      </c>
      <c r="L17" s="195">
        <v>30.6</v>
      </c>
      <c r="M17" s="195">
        <v>1514844000</v>
      </c>
      <c r="N17" s="195">
        <v>1</v>
      </c>
      <c r="O17" s="195">
        <v>3.8</v>
      </c>
      <c r="P17" s="195">
        <v>49</v>
      </c>
      <c r="Q17" s="195">
        <v>4.29</v>
      </c>
      <c r="R17" s="195">
        <v>0.83</v>
      </c>
      <c r="S17"/>
      <c r="T17"/>
    </row>
    <row r="18" spans="1:20" x14ac:dyDescent="0.3">
      <c r="A18" s="195">
        <v>30.24</v>
      </c>
      <c r="B18" s="195">
        <v>0.09</v>
      </c>
      <c r="C18" s="195">
        <v>14.43</v>
      </c>
      <c r="D18" s="8">
        <v>43101.666666666664</v>
      </c>
      <c r="E18" s="195">
        <v>0.51</v>
      </c>
      <c r="F18" s="195" t="s">
        <v>883</v>
      </c>
      <c r="G18" s="195">
        <v>344.88</v>
      </c>
      <c r="H18" s="195">
        <v>0</v>
      </c>
      <c r="I18" s="195">
        <v>0</v>
      </c>
      <c r="J18" s="195">
        <v>1025.04</v>
      </c>
      <c r="K18" s="195" t="s">
        <v>884</v>
      </c>
      <c r="L18" s="195">
        <v>30.24</v>
      </c>
      <c r="M18" s="195">
        <v>1514847600</v>
      </c>
      <c r="N18" s="195">
        <v>0</v>
      </c>
      <c r="O18" s="195">
        <v>3.76</v>
      </c>
      <c r="P18" s="195">
        <v>27</v>
      </c>
      <c r="Q18" s="195">
        <v>6.04</v>
      </c>
      <c r="R18" s="195">
        <v>2.3199999999999998</v>
      </c>
      <c r="S18"/>
      <c r="T18"/>
    </row>
    <row r="19" spans="1:20" x14ac:dyDescent="0.3">
      <c r="A19" s="195">
        <v>20.5</v>
      </c>
      <c r="B19" s="195">
        <v>0.14000000000000001</v>
      </c>
      <c r="C19" s="195">
        <v>13.88</v>
      </c>
      <c r="D19" s="8">
        <v>43101.708333333336</v>
      </c>
      <c r="E19" s="195">
        <v>0.62</v>
      </c>
      <c r="F19" s="195" t="s">
        <v>885</v>
      </c>
      <c r="G19" s="195">
        <v>347.28</v>
      </c>
      <c r="H19" s="195">
        <v>0</v>
      </c>
      <c r="I19" s="195">
        <v>0</v>
      </c>
      <c r="J19" s="195">
        <v>1026.6600000000001</v>
      </c>
      <c r="K19" s="195" t="s">
        <v>884</v>
      </c>
      <c r="L19" s="195">
        <v>25.07</v>
      </c>
      <c r="M19" s="195">
        <v>1514851200</v>
      </c>
      <c r="N19" s="195">
        <v>0</v>
      </c>
      <c r="O19" s="195">
        <v>3.67</v>
      </c>
      <c r="P19" s="195">
        <v>19</v>
      </c>
      <c r="Q19" s="195">
        <v>8.64</v>
      </c>
      <c r="R19" s="195">
        <v>3.67</v>
      </c>
      <c r="S19"/>
      <c r="T19"/>
    </row>
    <row r="20" spans="1:20" x14ac:dyDescent="0.3">
      <c r="A20" s="195">
        <v>21.21</v>
      </c>
      <c r="B20" s="195">
        <v>0.14000000000000001</v>
      </c>
      <c r="C20" s="195">
        <v>13.16</v>
      </c>
      <c r="D20" s="8">
        <v>43101.75</v>
      </c>
      <c r="E20" s="195">
        <v>0.71</v>
      </c>
      <c r="F20" s="195" t="s">
        <v>885</v>
      </c>
      <c r="G20" s="195">
        <v>347.49</v>
      </c>
      <c r="H20" s="195">
        <v>0</v>
      </c>
      <c r="I20" s="195">
        <v>0</v>
      </c>
      <c r="J20" s="195">
        <v>1028.74</v>
      </c>
      <c r="K20" s="195" t="s">
        <v>884</v>
      </c>
      <c r="L20" s="195">
        <v>21.21</v>
      </c>
      <c r="M20" s="195">
        <v>1514854800</v>
      </c>
      <c r="N20" s="195">
        <v>0</v>
      </c>
      <c r="O20" s="195">
        <v>3.78</v>
      </c>
      <c r="P20" s="195">
        <v>26</v>
      </c>
      <c r="Q20" s="195">
        <v>6.35</v>
      </c>
      <c r="R20" s="195">
        <v>2.69</v>
      </c>
      <c r="S20"/>
      <c r="T20"/>
    </row>
    <row r="21" spans="1:20" x14ac:dyDescent="0.3">
      <c r="A21" s="195">
        <v>18.690000000000001</v>
      </c>
      <c r="B21" s="195">
        <v>0.19</v>
      </c>
      <c r="C21" s="195">
        <v>12.37</v>
      </c>
      <c r="D21" s="8">
        <v>43101.791666666664</v>
      </c>
      <c r="E21" s="195">
        <v>0.76</v>
      </c>
      <c r="F21" s="195" t="s">
        <v>885</v>
      </c>
      <c r="G21" s="195">
        <v>347.8</v>
      </c>
      <c r="H21" s="195">
        <v>0</v>
      </c>
      <c r="I21" s="195">
        <v>0</v>
      </c>
      <c r="J21" s="195">
        <v>1029.56</v>
      </c>
      <c r="K21" s="195" t="s">
        <v>884</v>
      </c>
      <c r="L21" s="195">
        <v>18.690000000000001</v>
      </c>
      <c r="M21" s="195">
        <v>1514858400</v>
      </c>
      <c r="N21" s="195">
        <v>0</v>
      </c>
      <c r="O21" s="195">
        <v>3.18</v>
      </c>
      <c r="P21" s="195">
        <v>25</v>
      </c>
      <c r="Q21" s="195">
        <v>2.4700000000000002</v>
      </c>
      <c r="R21" s="195">
        <v>1.0900000000000001</v>
      </c>
      <c r="S21"/>
      <c r="T21"/>
    </row>
    <row r="22" spans="1:20" x14ac:dyDescent="0.3">
      <c r="A22" s="195">
        <v>17.21</v>
      </c>
      <c r="B22" s="195">
        <v>0.26</v>
      </c>
      <c r="C22" s="195">
        <v>11.67</v>
      </c>
      <c r="D22" s="8">
        <v>43101.833333333336</v>
      </c>
      <c r="E22" s="195">
        <v>0.78</v>
      </c>
      <c r="F22" s="195" t="s">
        <v>502</v>
      </c>
      <c r="G22" s="195">
        <v>349.21</v>
      </c>
      <c r="H22" s="195">
        <v>0</v>
      </c>
      <c r="I22" s="195">
        <v>0</v>
      </c>
      <c r="J22" s="195">
        <v>1030.6500000000001</v>
      </c>
      <c r="K22" s="195" t="s">
        <v>503</v>
      </c>
      <c r="L22" s="195">
        <v>17.21</v>
      </c>
      <c r="M22" s="195">
        <v>1514862000</v>
      </c>
      <c r="N22" s="195">
        <v>0</v>
      </c>
      <c r="O22" s="195">
        <v>2.91</v>
      </c>
      <c r="P22" s="195">
        <v>359</v>
      </c>
      <c r="Q22" s="195">
        <v>1.47</v>
      </c>
      <c r="R22" s="195">
        <v>0.45</v>
      </c>
      <c r="S22"/>
      <c r="T22"/>
    </row>
    <row r="23" spans="1:20" x14ac:dyDescent="0.3">
      <c r="A23" s="195">
        <v>16.079999999999998</v>
      </c>
      <c r="B23" s="195">
        <v>0.14000000000000001</v>
      </c>
      <c r="C23" s="195">
        <v>11.15</v>
      </c>
      <c r="D23" s="8">
        <v>43101.875</v>
      </c>
      <c r="E23" s="195">
        <v>0.8</v>
      </c>
      <c r="F23" s="195" t="s">
        <v>885</v>
      </c>
      <c r="G23" s="195">
        <v>352.31</v>
      </c>
      <c r="H23" s="195">
        <v>0</v>
      </c>
      <c r="I23" s="195">
        <v>0</v>
      </c>
      <c r="J23" s="195">
        <v>1030.17</v>
      </c>
      <c r="K23" s="195" t="s">
        <v>884</v>
      </c>
      <c r="L23" s="195">
        <v>16.079999999999998</v>
      </c>
      <c r="M23" s="195">
        <v>1514865600</v>
      </c>
      <c r="N23" s="195">
        <v>0</v>
      </c>
      <c r="O23" s="195">
        <v>2.89</v>
      </c>
      <c r="P23" s="195">
        <v>289</v>
      </c>
      <c r="Q23" s="195">
        <v>1.1100000000000001</v>
      </c>
      <c r="R23" s="195">
        <v>0.2</v>
      </c>
      <c r="S23"/>
      <c r="T23"/>
    </row>
    <row r="24" spans="1:20" x14ac:dyDescent="0.3">
      <c r="A24" s="195">
        <v>15.66</v>
      </c>
      <c r="B24" s="195">
        <v>0.12</v>
      </c>
      <c r="C24" s="195">
        <v>11.08</v>
      </c>
      <c r="D24" s="8">
        <v>43101.916666666664</v>
      </c>
      <c r="E24" s="195">
        <v>0.82</v>
      </c>
      <c r="F24" s="195" t="s">
        <v>885</v>
      </c>
      <c r="G24" s="195">
        <v>356.4</v>
      </c>
      <c r="H24" s="195">
        <v>0</v>
      </c>
      <c r="I24" s="195">
        <v>0</v>
      </c>
      <c r="J24" s="195">
        <v>1030.07</v>
      </c>
      <c r="K24" s="195" t="s">
        <v>884</v>
      </c>
      <c r="L24" s="195">
        <v>15.66</v>
      </c>
      <c r="M24" s="195">
        <v>1514869200</v>
      </c>
      <c r="N24" s="195">
        <v>0</v>
      </c>
      <c r="O24" s="195">
        <v>2.88</v>
      </c>
      <c r="P24" s="195">
        <v>300</v>
      </c>
      <c r="Q24" s="195">
        <v>1.67</v>
      </c>
      <c r="R24" s="195">
        <v>0.44</v>
      </c>
      <c r="S24"/>
      <c r="T24"/>
    </row>
    <row r="25" spans="1:20" x14ac:dyDescent="0.3">
      <c r="A25" s="195">
        <v>14.94</v>
      </c>
      <c r="B25" s="195">
        <v>0.08</v>
      </c>
      <c r="C25" s="195">
        <v>10.85</v>
      </c>
      <c r="D25" s="8">
        <v>43101.958333333336</v>
      </c>
      <c r="E25" s="195">
        <v>0.83</v>
      </c>
      <c r="F25" s="195" t="s">
        <v>885</v>
      </c>
      <c r="G25" s="195">
        <v>360</v>
      </c>
      <c r="H25" s="195">
        <v>0</v>
      </c>
      <c r="I25" s="195">
        <v>0</v>
      </c>
      <c r="J25" s="195">
        <v>1030.77</v>
      </c>
      <c r="K25" s="195" t="s">
        <v>884</v>
      </c>
      <c r="L25" s="195">
        <v>14.94</v>
      </c>
      <c r="M25" s="195">
        <v>1514872800</v>
      </c>
      <c r="N25" s="195">
        <v>0</v>
      </c>
      <c r="O25" s="195">
        <v>2.77</v>
      </c>
      <c r="P25" s="195">
        <v>270</v>
      </c>
      <c r="Q25" s="195">
        <v>1.63</v>
      </c>
      <c r="R25" s="195">
        <v>0.24</v>
      </c>
      <c r="S25"/>
      <c r="T25"/>
    </row>
    <row r="26" spans="1:20" x14ac:dyDescent="0.3">
      <c r="A26" s="195">
        <v>15.2</v>
      </c>
      <c r="B26" s="195">
        <v>0.32</v>
      </c>
      <c r="C26" s="195">
        <v>10.9</v>
      </c>
      <c r="D26" s="8">
        <v>43102</v>
      </c>
      <c r="E26" s="195">
        <v>0.83</v>
      </c>
      <c r="F26" s="195" t="s">
        <v>502</v>
      </c>
      <c r="G26" s="195">
        <v>353.28</v>
      </c>
      <c r="H26" s="195">
        <v>0</v>
      </c>
      <c r="I26" s="195">
        <v>0</v>
      </c>
      <c r="J26" s="195">
        <v>1030.69</v>
      </c>
      <c r="K26" s="195" t="s">
        <v>503</v>
      </c>
      <c r="L26" s="195">
        <v>15.2</v>
      </c>
      <c r="M26" s="195">
        <v>1514876400</v>
      </c>
      <c r="N26" s="195">
        <v>0</v>
      </c>
      <c r="O26" s="195">
        <v>3</v>
      </c>
      <c r="P26" s="195">
        <v>322</v>
      </c>
      <c r="Q26" s="195">
        <v>1.98</v>
      </c>
      <c r="R26" s="195">
        <v>0.5</v>
      </c>
      <c r="S26"/>
      <c r="T26"/>
    </row>
    <row r="27" spans="1:20" x14ac:dyDescent="0.3">
      <c r="A27" s="195">
        <v>15.46</v>
      </c>
      <c r="B27" s="195">
        <v>0.56999999999999995</v>
      </c>
      <c r="C27" s="195">
        <v>11.38</v>
      </c>
      <c r="D27" s="8">
        <v>43102.041666666664</v>
      </c>
      <c r="E27" s="195">
        <v>0.84</v>
      </c>
      <c r="F27" s="195" t="s">
        <v>502</v>
      </c>
      <c r="G27" s="195">
        <v>355.68</v>
      </c>
      <c r="H27" s="195">
        <v>0</v>
      </c>
      <c r="I27" s="195">
        <v>0</v>
      </c>
      <c r="J27" s="195">
        <v>1031.1400000000001</v>
      </c>
      <c r="K27" s="195" t="s">
        <v>503</v>
      </c>
      <c r="L27" s="195">
        <v>15.46</v>
      </c>
      <c r="M27" s="195">
        <v>1514880000</v>
      </c>
      <c r="N27" s="195">
        <v>0</v>
      </c>
      <c r="O27" s="195">
        <v>2.76</v>
      </c>
      <c r="P27" s="195">
        <v>319</v>
      </c>
      <c r="Q27" s="195">
        <v>2.37</v>
      </c>
      <c r="R27" s="195">
        <v>0.71</v>
      </c>
      <c r="S27"/>
      <c r="T27"/>
    </row>
    <row r="28" spans="1:20" x14ac:dyDescent="0.3">
      <c r="A28" s="195">
        <v>15.35</v>
      </c>
      <c r="B28" s="195">
        <v>0.38</v>
      </c>
      <c r="C28" s="195">
        <v>11.12</v>
      </c>
      <c r="D28" s="8">
        <v>43102.083333333336</v>
      </c>
      <c r="E28" s="195">
        <v>0.83</v>
      </c>
      <c r="F28" s="195" t="s">
        <v>502</v>
      </c>
      <c r="G28" s="195">
        <v>357.27</v>
      </c>
      <c r="H28" s="195">
        <v>0</v>
      </c>
      <c r="I28" s="195">
        <v>0</v>
      </c>
      <c r="J28" s="195">
        <v>1032.06</v>
      </c>
      <c r="K28" s="195" t="s">
        <v>503</v>
      </c>
      <c r="L28" s="195">
        <v>15.35</v>
      </c>
      <c r="M28" s="195">
        <v>1514883600</v>
      </c>
      <c r="N28" s="195">
        <v>0</v>
      </c>
      <c r="O28" s="195">
        <v>2.82</v>
      </c>
      <c r="P28" s="195">
        <v>340</v>
      </c>
      <c r="Q28" s="195">
        <v>1.41</v>
      </c>
      <c r="R28" s="195">
        <v>0.44</v>
      </c>
      <c r="S28"/>
      <c r="T28"/>
    </row>
    <row r="29" spans="1:20" x14ac:dyDescent="0.3">
      <c r="A29" s="195">
        <v>14.3</v>
      </c>
      <c r="B29" s="195">
        <v>0.15</v>
      </c>
      <c r="C29" s="195">
        <v>10.14</v>
      </c>
      <c r="D29" s="8">
        <v>43102.125</v>
      </c>
      <c r="E29" s="195">
        <v>0.83</v>
      </c>
      <c r="F29" s="195" t="s">
        <v>885</v>
      </c>
      <c r="G29" s="195">
        <v>357.87</v>
      </c>
      <c r="H29" s="195">
        <v>0</v>
      </c>
      <c r="I29" s="195">
        <v>0</v>
      </c>
      <c r="J29" s="195">
        <v>1033</v>
      </c>
      <c r="K29" s="195" t="s">
        <v>884</v>
      </c>
      <c r="L29" s="195">
        <v>14.3</v>
      </c>
      <c r="M29" s="195">
        <v>1514887200</v>
      </c>
      <c r="N29" s="195">
        <v>0</v>
      </c>
      <c r="O29" s="195">
        <v>2.48</v>
      </c>
      <c r="P29" s="195">
        <v>276</v>
      </c>
      <c r="Q29" s="195">
        <v>1.22</v>
      </c>
      <c r="R29" s="195">
        <v>0.16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C18" sqref="C18:C32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43101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1048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1049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1050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1051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1052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1053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1054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1055</v>
      </c>
      <c r="J25" s="139" t="s">
        <v>144</v>
      </c>
      <c r="M25" s="153" t="b">
        <v>1</v>
      </c>
    </row>
    <row r="26" spans="3:24" x14ac:dyDescent="0.3">
      <c r="C26" t="s">
        <v>1056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%USERPROFILE%\Documents\GitHub\eaglep3-reporting\EC\2018-01-01-refined-times.txt</v>
      </c>
    </row>
    <row r="27" spans="3:24" x14ac:dyDescent="0.3">
      <c r="C27" t="s">
        <v>1057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%USERPROFILE%\Documents\GitHub\eaglep3-reporting\EC\2018-01-01-Enforcements.txt</v>
      </c>
    </row>
    <row r="28" spans="3:24" x14ac:dyDescent="0.3">
      <c r="C28" t="s">
        <v>1058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%USERPROFILE%\Documents\GitHub\eaglep3-reporting\EC\2018-01-01-Runs-refined.txt</v>
      </c>
    </row>
    <row r="29" spans="3:24" x14ac:dyDescent="0.3">
      <c r="C29" t="s">
        <v>1059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%USERPROFILE%\Documents\GitHub\eaglep3-reporting\EC\2018-01-01-Trips.txt</v>
      </c>
    </row>
    <row r="30" spans="3:24" x14ac:dyDescent="0.3">
      <c r="C30" t="s">
        <v>1060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%USERPROFILE%\Documents\GitHub\eaglep3-reporting\EC\2018-01-01-Weather.txt</v>
      </c>
    </row>
    <row r="31" spans="3:24" x14ac:dyDescent="0.3">
      <c r="C31" t="s">
        <v>1061</v>
      </c>
      <c r="J31" s="139" t="s">
        <v>188</v>
      </c>
      <c r="M31" s="153" t="s">
        <v>189</v>
      </c>
    </row>
    <row r="32" spans="3:24" x14ac:dyDescent="0.3">
      <c r="C32" t="s">
        <v>1062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2018-01-03T16:57:11Z</dcterms:modified>
</cp:coreProperties>
</file>