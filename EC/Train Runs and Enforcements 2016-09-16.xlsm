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Enforcements!$A$6:$AB$75</definedName>
    <definedName name="_xlnm._FilterDatabase" localSheetId="2" hidden="1">'Missing Trips'!$B$2:$I$2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V90" i="1"/>
  <c r="Y90" i="1"/>
  <c r="Z90" i="1"/>
  <c r="AB90" i="1"/>
  <c r="AC90" i="1"/>
  <c r="AD90" i="1"/>
  <c r="AG90" i="1" s="1"/>
  <c r="AE90" i="1"/>
  <c r="AF90" i="1"/>
  <c r="K91" i="1"/>
  <c r="L91" i="1"/>
  <c r="M91" i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P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P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P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P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P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P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N9" i="3"/>
  <c r="U9" i="3"/>
  <c r="T9" i="3" s="1"/>
  <c r="V9" i="3"/>
  <c r="W9" i="3"/>
  <c r="X9" i="3"/>
  <c r="N43" i="3"/>
  <c r="U43" i="3"/>
  <c r="T43" i="3" s="1"/>
  <c r="V43" i="3"/>
  <c r="W43" i="3"/>
  <c r="X43" i="3"/>
  <c r="N15" i="3"/>
  <c r="U15" i="3"/>
  <c r="T15" i="3" s="1"/>
  <c r="V15" i="3"/>
  <c r="W15" i="3"/>
  <c r="X15" i="3"/>
  <c r="N48" i="3"/>
  <c r="U48" i="3"/>
  <c r="T48" i="3" s="1"/>
  <c r="V48" i="3"/>
  <c r="W48" i="3"/>
  <c r="X48" i="3"/>
  <c r="N41" i="3"/>
  <c r="U41" i="3"/>
  <c r="T41" i="3" s="1"/>
  <c r="V41" i="3"/>
  <c r="W41" i="3"/>
  <c r="X41" i="3"/>
  <c r="N7" i="3"/>
  <c r="U7" i="3"/>
  <c r="T7" i="3" s="1"/>
  <c r="V7" i="3"/>
  <c r="W7" i="3"/>
  <c r="X7" i="3"/>
  <c r="N33" i="3"/>
  <c r="U33" i="3"/>
  <c r="T33" i="3" s="1"/>
  <c r="V33" i="3"/>
  <c r="W33" i="3"/>
  <c r="X33" i="3"/>
  <c r="N35" i="3"/>
  <c r="U35" i="3"/>
  <c r="T35" i="3" s="1"/>
  <c r="V35" i="3"/>
  <c r="W35" i="3"/>
  <c r="X35" i="3"/>
  <c r="N38" i="3"/>
  <c r="U38" i="3"/>
  <c r="T38" i="3" s="1"/>
  <c r="V38" i="3"/>
  <c r="W38" i="3"/>
  <c r="X38" i="3"/>
  <c r="N42" i="3"/>
  <c r="U42" i="3"/>
  <c r="T42" i="3" s="1"/>
  <c r="V42" i="3"/>
  <c r="W42" i="3"/>
  <c r="X42" i="3"/>
  <c r="N10" i="3"/>
  <c r="U10" i="3"/>
  <c r="T10" i="3" s="1"/>
  <c r="V10" i="3"/>
  <c r="W10" i="3"/>
  <c r="X10" i="3"/>
  <c r="N12" i="3"/>
  <c r="U12" i="3"/>
  <c r="T12" i="3" s="1"/>
  <c r="V12" i="3"/>
  <c r="W12" i="3"/>
  <c r="X12" i="3"/>
  <c r="N49" i="3"/>
  <c r="U49" i="3"/>
  <c r="T49" i="3" s="1"/>
  <c r="V49" i="3"/>
  <c r="W49" i="3"/>
  <c r="X49" i="3"/>
  <c r="N26" i="3"/>
  <c r="U26" i="3"/>
  <c r="T26" i="3" s="1"/>
  <c r="V26" i="3"/>
  <c r="W26" i="3"/>
  <c r="X26" i="3"/>
  <c r="N39" i="3"/>
  <c r="U39" i="3"/>
  <c r="T39" i="3" s="1"/>
  <c r="V39" i="3"/>
  <c r="W39" i="3"/>
  <c r="X39" i="3"/>
  <c r="N50" i="3"/>
  <c r="U50" i="3"/>
  <c r="T50" i="3" s="1"/>
  <c r="V50" i="3"/>
  <c r="W50" i="3"/>
  <c r="X50" i="3"/>
  <c r="N8" i="3"/>
  <c r="U8" i="3"/>
  <c r="T8" i="3" s="1"/>
  <c r="V8" i="3"/>
  <c r="W8" i="3"/>
  <c r="X8" i="3"/>
  <c r="N11" i="3"/>
  <c r="U11" i="3"/>
  <c r="T11" i="3" s="1"/>
  <c r="V11" i="3"/>
  <c r="W11" i="3"/>
  <c r="X11" i="3"/>
  <c r="N13" i="3"/>
  <c r="U13" i="3"/>
  <c r="T13" i="3" s="1"/>
  <c r="V13" i="3"/>
  <c r="W13" i="3"/>
  <c r="X13" i="3"/>
  <c r="N54" i="3"/>
  <c r="U54" i="3"/>
  <c r="T54" i="3" s="1"/>
  <c r="V54" i="3"/>
  <c r="W54" i="3"/>
  <c r="X54" i="3"/>
  <c r="N27" i="3"/>
  <c r="U27" i="3"/>
  <c r="T27" i="3" s="1"/>
  <c r="V27" i="3"/>
  <c r="W27" i="3"/>
  <c r="X27" i="3"/>
  <c r="N16" i="3"/>
  <c r="U16" i="3"/>
  <c r="T16" i="3" s="1"/>
  <c r="V16" i="3"/>
  <c r="W16" i="3"/>
  <c r="X16" i="3"/>
  <c r="N30" i="3"/>
  <c r="U30" i="3"/>
  <c r="T30" i="3" s="1"/>
  <c r="V30" i="3"/>
  <c r="W30" i="3"/>
  <c r="X30" i="3"/>
  <c r="N34" i="3"/>
  <c r="U34" i="3"/>
  <c r="T34" i="3" s="1"/>
  <c r="V34" i="3"/>
  <c r="W34" i="3"/>
  <c r="X34" i="3"/>
  <c r="N40" i="3"/>
  <c r="U40" i="3"/>
  <c r="T40" i="3" s="1"/>
  <c r="V40" i="3"/>
  <c r="W40" i="3"/>
  <c r="X40" i="3"/>
  <c r="N44" i="3"/>
  <c r="U44" i="3"/>
  <c r="T44" i="3" s="1"/>
  <c r="V44" i="3"/>
  <c r="W44" i="3"/>
  <c r="X44" i="3"/>
  <c r="N21" i="3"/>
  <c r="U21" i="3"/>
  <c r="T21" i="3" s="1"/>
  <c r="V21" i="3"/>
  <c r="W21" i="3"/>
  <c r="X21" i="3"/>
  <c r="N36" i="3"/>
  <c r="U36" i="3"/>
  <c r="T36" i="3" s="1"/>
  <c r="V36" i="3"/>
  <c r="W36" i="3"/>
  <c r="X36" i="3"/>
  <c r="N19" i="3"/>
  <c r="U19" i="3"/>
  <c r="T19" i="3" s="1"/>
  <c r="V19" i="3"/>
  <c r="W19" i="3"/>
  <c r="X19" i="3"/>
  <c r="N28" i="3"/>
  <c r="U28" i="3"/>
  <c r="T28" i="3" s="1"/>
  <c r="V28" i="3"/>
  <c r="W28" i="3"/>
  <c r="X28" i="3"/>
  <c r="N18" i="3"/>
  <c r="U18" i="3"/>
  <c r="T18" i="3" s="1"/>
  <c r="V18" i="3"/>
  <c r="W18" i="3"/>
  <c r="X18" i="3"/>
  <c r="N45" i="3"/>
  <c r="U45" i="3"/>
  <c r="T45" i="3" s="1"/>
  <c r="V45" i="3"/>
  <c r="W45" i="3"/>
  <c r="X45" i="3"/>
  <c r="N46" i="3"/>
  <c r="U46" i="3"/>
  <c r="T46" i="3" s="1"/>
  <c r="V46" i="3"/>
  <c r="W46" i="3"/>
  <c r="X46" i="3"/>
  <c r="N52" i="3"/>
  <c r="U52" i="3"/>
  <c r="T52" i="3" s="1"/>
  <c r="V52" i="3"/>
  <c r="W52" i="3"/>
  <c r="X52" i="3"/>
  <c r="N14" i="3"/>
  <c r="U14" i="3"/>
  <c r="T14" i="3" s="1"/>
  <c r="V14" i="3"/>
  <c r="W14" i="3"/>
  <c r="X14" i="3"/>
  <c r="N55" i="3"/>
  <c r="U55" i="3"/>
  <c r="T55" i="3" s="1"/>
  <c r="V55" i="3"/>
  <c r="W55" i="3"/>
  <c r="X55" i="3"/>
  <c r="N51" i="3"/>
  <c r="U51" i="3"/>
  <c r="T51" i="3" s="1"/>
  <c r="V51" i="3"/>
  <c r="W51" i="3"/>
  <c r="X51" i="3"/>
  <c r="N31" i="3"/>
  <c r="U31" i="3"/>
  <c r="T31" i="3" s="1"/>
  <c r="V31" i="3"/>
  <c r="W31" i="3"/>
  <c r="X31" i="3"/>
  <c r="N53" i="3"/>
  <c r="U53" i="3"/>
  <c r="T53" i="3" s="1"/>
  <c r="V53" i="3"/>
  <c r="W53" i="3"/>
  <c r="X53" i="3"/>
  <c r="N47" i="3"/>
  <c r="U47" i="3"/>
  <c r="T47" i="3" s="1"/>
  <c r="V47" i="3"/>
  <c r="W47" i="3"/>
  <c r="X47" i="3"/>
  <c r="N24" i="3"/>
  <c r="U24" i="3"/>
  <c r="T24" i="3" s="1"/>
  <c r="V24" i="3"/>
  <c r="W24" i="3"/>
  <c r="X24" i="3"/>
  <c r="N22" i="3"/>
  <c r="U22" i="3"/>
  <c r="T22" i="3" s="1"/>
  <c r="V22" i="3"/>
  <c r="W22" i="3"/>
  <c r="X22" i="3"/>
  <c r="N23" i="3"/>
  <c r="U23" i="3"/>
  <c r="T23" i="3" s="1"/>
  <c r="V23" i="3"/>
  <c r="W23" i="3"/>
  <c r="X23" i="3"/>
  <c r="N20" i="3"/>
  <c r="U20" i="3"/>
  <c r="T20" i="3" s="1"/>
  <c r="V20" i="3"/>
  <c r="W20" i="3"/>
  <c r="X20" i="3"/>
  <c r="N37" i="3"/>
  <c r="U37" i="3"/>
  <c r="T37" i="3" s="1"/>
  <c r="V37" i="3"/>
  <c r="W37" i="3"/>
  <c r="X37" i="3"/>
  <c r="N25" i="3"/>
  <c r="U25" i="3"/>
  <c r="T25" i="3" s="1"/>
  <c r="V25" i="3"/>
  <c r="W25" i="3"/>
  <c r="X25" i="3"/>
  <c r="N32" i="3"/>
  <c r="U32" i="3"/>
  <c r="T32" i="3" s="1"/>
  <c r="V32" i="3"/>
  <c r="W32" i="3"/>
  <c r="X32" i="3"/>
  <c r="N17" i="3"/>
  <c r="U17" i="3"/>
  <c r="T17" i="3" s="1"/>
  <c r="V17" i="3"/>
  <c r="W17" i="3"/>
  <c r="X17" i="3"/>
  <c r="X196" i="1" l="1"/>
  <c r="AI152" i="1"/>
  <c r="X208" i="1"/>
  <c r="P90" i="1"/>
  <c r="X16" i="1"/>
  <c r="X207" i="1"/>
  <c r="X206" i="1"/>
  <c r="X195" i="1"/>
  <c r="X82" i="1"/>
  <c r="X205" i="1"/>
  <c r="X197" i="1"/>
  <c r="X193" i="1"/>
  <c r="AA142" i="1"/>
  <c r="W142" i="1" s="1"/>
  <c r="X15" i="1"/>
  <c r="AA15" i="1"/>
  <c r="T197" i="1"/>
  <c r="T150" i="1"/>
  <c r="P153" i="1"/>
  <c r="P149" i="1"/>
  <c r="X30" i="1"/>
  <c r="X194" i="1"/>
  <c r="AA124" i="1"/>
  <c r="X81" i="1"/>
  <c r="AG209" i="1"/>
  <c r="U209" i="1" s="1"/>
  <c r="S209" i="1" s="1"/>
  <c r="AI104" i="1"/>
  <c r="AA88" i="1"/>
  <c r="X83" i="1"/>
  <c r="X84" i="1"/>
  <c r="AA186" i="1"/>
  <c r="AA170" i="1"/>
  <c r="AA152" i="1"/>
  <c r="AA148" i="1"/>
  <c r="T70" i="1"/>
  <c r="U70" i="1" s="1"/>
  <c r="S70" i="1" s="1"/>
  <c r="Y8" i="3"/>
  <c r="T167" i="1"/>
  <c r="X17" i="1"/>
  <c r="AA219" i="1"/>
  <c r="AA192" i="1"/>
  <c r="W192" i="1" s="1"/>
  <c r="X80" i="1"/>
  <c r="X189" i="1"/>
  <c r="X163" i="1"/>
  <c r="AG224" i="1"/>
  <c r="AI224" i="1" s="1"/>
  <c r="X224" i="1"/>
  <c r="AA156" i="1"/>
  <c r="W156" i="1" s="1"/>
  <c r="AI95" i="1"/>
  <c r="AI55" i="1"/>
  <c r="AI47" i="1"/>
  <c r="AG41" i="1"/>
  <c r="AI41" i="1" s="1"/>
  <c r="AA38" i="1"/>
  <c r="AI31" i="1"/>
  <c r="AA199" i="1"/>
  <c r="AG114" i="1"/>
  <c r="U114" i="1" s="1"/>
  <c r="S114" i="1" s="1"/>
  <c r="X114" i="1"/>
  <c r="AA201" i="1"/>
  <c r="T190" i="1"/>
  <c r="AA136" i="1"/>
  <c r="W136" i="1" s="1"/>
  <c r="AA99" i="1"/>
  <c r="AA95" i="1"/>
  <c r="W95" i="1" s="1"/>
  <c r="AI40" i="1"/>
  <c r="AA40" i="1"/>
  <c r="W40" i="1" s="1"/>
  <c r="AG30" i="1"/>
  <c r="AI30" i="1" s="1"/>
  <c r="AI27" i="1"/>
  <c r="Y11" i="3"/>
  <c r="Y26" i="3"/>
  <c r="Y42" i="3"/>
  <c r="Y7" i="3"/>
  <c r="AA180" i="1"/>
  <c r="AI167" i="1"/>
  <c r="AA167" i="1"/>
  <c r="W167" i="1" s="1"/>
  <c r="AG22" i="1"/>
  <c r="AI22" i="1" s="1"/>
  <c r="X22" i="1"/>
  <c r="AA213" i="1"/>
  <c r="AI151" i="1"/>
  <c r="AG218" i="1"/>
  <c r="U218" i="1" s="1"/>
  <c r="S218" i="1" s="1"/>
  <c r="AG201" i="1"/>
  <c r="U201" i="1" s="1"/>
  <c r="S201" i="1" s="1"/>
  <c r="X201" i="1"/>
  <c r="AA197" i="1"/>
  <c r="W197" i="1" s="1"/>
  <c r="AG186" i="1"/>
  <c r="AI186" i="1" s="1"/>
  <c r="AA182" i="1"/>
  <c r="X181" i="1"/>
  <c r="AA162" i="1"/>
  <c r="AA224" i="1"/>
  <c r="AA223" i="1"/>
  <c r="AI143" i="1"/>
  <c r="T134" i="1"/>
  <c r="AA126" i="1"/>
  <c r="AG106" i="1"/>
  <c r="X106" i="1"/>
  <c r="AI187" i="1"/>
  <c r="AA175" i="1"/>
  <c r="W175" i="1" s="1"/>
  <c r="T147" i="1"/>
  <c r="AA138" i="1"/>
  <c r="W138" i="1" s="1"/>
  <c r="AA111" i="1"/>
  <c r="W111" i="1" s="1"/>
  <c r="AG94" i="1"/>
  <c r="U94" i="1" s="1"/>
  <c r="S94" i="1" s="1"/>
  <c r="AA75" i="1"/>
  <c r="AI71" i="1"/>
  <c r="AA70" i="1"/>
  <c r="AA64" i="1"/>
  <c r="W64" i="1" s="1"/>
  <c r="AG61" i="1"/>
  <c r="U61" i="1" s="1"/>
  <c r="S61" i="1" s="1"/>
  <c r="AA59" i="1"/>
  <c r="W59" i="1" s="1"/>
  <c r="X58" i="1"/>
  <c r="T54" i="1"/>
  <c r="U54" i="1" s="1"/>
  <c r="S54" i="1" s="1"/>
  <c r="AA52" i="1"/>
  <c r="X23" i="1"/>
  <c r="AA221" i="1"/>
  <c r="AA104" i="1"/>
  <c r="W104" i="1" s="1"/>
  <c r="AA94" i="1"/>
  <c r="AA61" i="1"/>
  <c r="AA54" i="1"/>
  <c r="AA32" i="1"/>
  <c r="AA23" i="1"/>
  <c r="W23" i="1" s="1"/>
  <c r="AG21" i="1"/>
  <c r="AI21" i="1" s="1"/>
  <c r="AA18" i="1"/>
  <c r="Y32" i="3"/>
  <c r="Y23" i="3"/>
  <c r="Y53" i="3"/>
  <c r="Y14" i="3"/>
  <c r="Y18" i="3"/>
  <c r="Y21" i="3"/>
  <c r="Y25" i="3"/>
  <c r="Y22" i="3"/>
  <c r="Y31" i="3"/>
  <c r="Y52" i="3"/>
  <c r="Y28" i="3"/>
  <c r="Y44" i="3"/>
  <c r="Y16" i="3"/>
  <c r="Y27" i="3"/>
  <c r="Y33" i="3"/>
  <c r="AA16" i="1"/>
  <c r="AI111" i="1"/>
  <c r="AA205" i="1"/>
  <c r="AI198" i="1"/>
  <c r="AA198" i="1"/>
  <c r="W198" i="1" s="1"/>
  <c r="X186" i="1"/>
  <c r="T183" i="1"/>
  <c r="U183" i="1" s="1"/>
  <c r="S183" i="1" s="1"/>
  <c r="AA176" i="1"/>
  <c r="W176" i="1" s="1"/>
  <c r="AA174" i="1"/>
  <c r="X165" i="1"/>
  <c r="AA222" i="1"/>
  <c r="AI119" i="1"/>
  <c r="T118" i="1"/>
  <c r="U118" i="1" s="1"/>
  <c r="S118" i="1" s="1"/>
  <c r="AA113" i="1"/>
  <c r="AA105" i="1"/>
  <c r="AA102" i="1"/>
  <c r="W102" i="1" s="1"/>
  <c r="AA98" i="1"/>
  <c r="T90" i="1"/>
  <c r="U90" i="1" s="1"/>
  <c r="S90" i="1" s="1"/>
  <c r="AA87" i="1"/>
  <c r="W87" i="1" s="1"/>
  <c r="AA86" i="1"/>
  <c r="AA81" i="1"/>
  <c r="AA80" i="1"/>
  <c r="W80" i="1" s="1"/>
  <c r="AA65" i="1"/>
  <c r="AG62" i="1"/>
  <c r="U62" i="1" s="1"/>
  <c r="S62" i="1" s="1"/>
  <c r="X62" i="1"/>
  <c r="AA58" i="1"/>
  <c r="X51" i="1"/>
  <c r="X47" i="1"/>
  <c r="X43" i="1"/>
  <c r="X41" i="1"/>
  <c r="AA203" i="1"/>
  <c r="AA191" i="1"/>
  <c r="W191" i="1" s="1"/>
  <c r="X187" i="1"/>
  <c r="AA185" i="1"/>
  <c r="AI183" i="1"/>
  <c r="AA183" i="1"/>
  <c r="W183" i="1" s="1"/>
  <c r="X221" i="1"/>
  <c r="AA147" i="1"/>
  <c r="W147" i="1" s="1"/>
  <c r="AA145" i="1"/>
  <c r="T142" i="1"/>
  <c r="U142" i="1" s="1"/>
  <c r="S142" i="1" s="1"/>
  <c r="AA140" i="1"/>
  <c r="T138" i="1"/>
  <c r="U138" i="1" s="1"/>
  <c r="S138" i="1" s="1"/>
  <c r="AA135" i="1"/>
  <c r="AG126" i="1"/>
  <c r="AI120" i="1"/>
  <c r="X119" i="1"/>
  <c r="AG113" i="1"/>
  <c r="U113" i="1" s="1"/>
  <c r="S113" i="1" s="1"/>
  <c r="X113" i="1"/>
  <c r="AG105" i="1"/>
  <c r="AI105" i="1" s="1"/>
  <c r="X105" i="1"/>
  <c r="AA91" i="1"/>
  <c r="AA84" i="1"/>
  <c r="AA83" i="1"/>
  <c r="W83" i="1" s="1"/>
  <c r="AA77" i="1"/>
  <c r="AA73" i="1"/>
  <c r="AA63" i="1"/>
  <c r="AA60" i="1"/>
  <c r="AA51" i="1"/>
  <c r="W51" i="1" s="1"/>
  <c r="T51" i="1"/>
  <c r="U51" i="1" s="1"/>
  <c r="S51" i="1" s="1"/>
  <c r="AA47" i="1"/>
  <c r="W47" i="1" s="1"/>
  <c r="AA42" i="1"/>
  <c r="AA41" i="1"/>
  <c r="W41" i="1" s="1"/>
  <c r="AA31" i="1"/>
  <c r="W31" i="1" s="1"/>
  <c r="AG17" i="1"/>
  <c r="AI17" i="1" s="1"/>
  <c r="AI209" i="1"/>
  <c r="AI191" i="1"/>
  <c r="AG169" i="1"/>
  <c r="AI169" i="1" s="1"/>
  <c r="AI168" i="1"/>
  <c r="AG166" i="1"/>
  <c r="U166" i="1" s="1"/>
  <c r="S166" i="1" s="1"/>
  <c r="AI179" i="1"/>
  <c r="T170" i="1"/>
  <c r="X170" i="1"/>
  <c r="AA158" i="1"/>
  <c r="AG154" i="1"/>
  <c r="U154" i="1" s="1"/>
  <c r="U150" i="1"/>
  <c r="AA119" i="1"/>
  <c r="W119" i="1" s="1"/>
  <c r="AG66" i="1"/>
  <c r="AI66" i="1" s="1"/>
  <c r="T66" i="1"/>
  <c r="X174" i="1"/>
  <c r="AG171" i="1"/>
  <c r="X171" i="1"/>
  <c r="X161" i="1"/>
  <c r="AG160" i="1"/>
  <c r="AI160" i="1" s="1"/>
  <c r="T42" i="1"/>
  <c r="AG42" i="1"/>
  <c r="AI42" i="1" s="1"/>
  <c r="X42" i="1"/>
  <c r="AG15" i="1"/>
  <c r="AI15" i="1" s="1"/>
  <c r="AA207" i="1"/>
  <c r="AG177" i="1"/>
  <c r="U177" i="1" s="1"/>
  <c r="S177" i="1" s="1"/>
  <c r="X177" i="1"/>
  <c r="AG174" i="1"/>
  <c r="U174" i="1" s="1"/>
  <c r="S174" i="1" s="1"/>
  <c r="X219" i="1"/>
  <c r="AA206" i="1"/>
  <c r="AA204" i="1"/>
  <c r="W204" i="1" s="1"/>
  <c r="AG194" i="1"/>
  <c r="U194" i="1" s="1"/>
  <c r="S194" i="1" s="1"/>
  <c r="T182" i="1"/>
  <c r="AG182" i="1"/>
  <c r="AA216" i="1"/>
  <c r="AA200" i="1"/>
  <c r="T185" i="1"/>
  <c r="AG185" i="1"/>
  <c r="X175" i="1"/>
  <c r="AA171" i="1"/>
  <c r="AG170" i="1"/>
  <c r="AA164" i="1"/>
  <c r="AG162" i="1"/>
  <c r="AI162" i="1" s="1"/>
  <c r="X162" i="1"/>
  <c r="AG223" i="1"/>
  <c r="AA211" i="1"/>
  <c r="AA210" i="1"/>
  <c r="W210" i="1" s="1"/>
  <c r="T210" i="1"/>
  <c r="U210" i="1" s="1"/>
  <c r="S210" i="1" s="1"/>
  <c r="AA161" i="1"/>
  <c r="AA159" i="1"/>
  <c r="W159" i="1" s="1"/>
  <c r="AI159" i="1"/>
  <c r="AG158" i="1"/>
  <c r="U158" i="1" s="1"/>
  <c r="S158" i="1" s="1"/>
  <c r="X146" i="1"/>
  <c r="T146" i="1"/>
  <c r="AA131" i="1"/>
  <c r="T110" i="1"/>
  <c r="U110" i="1" s="1"/>
  <c r="S110" i="1" s="1"/>
  <c r="AG63" i="1"/>
  <c r="AI63" i="1" s="1"/>
  <c r="X63" i="1"/>
  <c r="AA39" i="1"/>
  <c r="W39" i="1" s="1"/>
  <c r="AI39" i="1"/>
  <c r="AG131" i="1"/>
  <c r="AI131" i="1" s="1"/>
  <c r="T131" i="1"/>
  <c r="AG213" i="1"/>
  <c r="U213" i="1" s="1"/>
  <c r="S213" i="1" s="1"/>
  <c r="X210" i="1"/>
  <c r="AA154" i="1"/>
  <c r="AI136" i="1"/>
  <c r="AG135" i="1"/>
  <c r="AI135" i="1" s="1"/>
  <c r="T135" i="1"/>
  <c r="AG115" i="1"/>
  <c r="AI115" i="1" s="1"/>
  <c r="X115" i="1"/>
  <c r="T49" i="1"/>
  <c r="AG49" i="1"/>
  <c r="AA19" i="1"/>
  <c r="W19" i="1" s="1"/>
  <c r="AI19" i="1"/>
  <c r="AA195" i="1"/>
  <c r="AA187" i="1"/>
  <c r="W187" i="1" s="1"/>
  <c r="X178" i="1"/>
  <c r="AA178" i="1"/>
  <c r="AA169" i="1"/>
  <c r="AA166" i="1"/>
  <c r="AA220" i="1"/>
  <c r="AA215" i="1"/>
  <c r="W215" i="1" s="1"/>
  <c r="AA143" i="1"/>
  <c r="W143" i="1" s="1"/>
  <c r="AA139" i="1"/>
  <c r="X130" i="1"/>
  <c r="AA129" i="1"/>
  <c r="AA127" i="1"/>
  <c r="AA122" i="1"/>
  <c r="AA120" i="1"/>
  <c r="W120" i="1" s="1"/>
  <c r="AA114" i="1"/>
  <c r="AA110" i="1"/>
  <c r="W110" i="1" s="1"/>
  <c r="AA106" i="1"/>
  <c r="X90" i="1"/>
  <c r="AG79" i="1"/>
  <c r="U79" i="1" s="1"/>
  <c r="S79" i="1" s="1"/>
  <c r="AA72" i="1"/>
  <c r="AI64" i="1"/>
  <c r="AA62" i="1"/>
  <c r="AI59" i="1"/>
  <c r="AA55" i="1"/>
  <c r="W55" i="1" s="1"/>
  <c r="AG50" i="1"/>
  <c r="U50" i="1" s="1"/>
  <c r="S50" i="1" s="1"/>
  <c r="X50" i="1"/>
  <c r="AA49" i="1"/>
  <c r="AA46" i="1"/>
  <c r="W46" i="1" s="1"/>
  <c r="AA44" i="1"/>
  <c r="AA43" i="1"/>
  <c r="AA27" i="1"/>
  <c r="W27" i="1" s="1"/>
  <c r="AI23" i="1"/>
  <c r="AG14" i="1"/>
  <c r="U14" i="1" s="1"/>
  <c r="S14" i="1" s="1"/>
  <c r="AA107" i="1"/>
  <c r="AA103" i="1"/>
  <c r="AA96" i="1"/>
  <c r="W96" i="1" s="1"/>
  <c r="T95" i="1"/>
  <c r="U95" i="1" s="1"/>
  <c r="S95" i="1" s="1"/>
  <c r="AA85" i="1"/>
  <c r="AA74" i="1"/>
  <c r="AA71" i="1"/>
  <c r="W71" i="1" s="1"/>
  <c r="AA56" i="1"/>
  <c r="W56" i="1" s="1"/>
  <c r="X49" i="1"/>
  <c r="AA36" i="1"/>
  <c r="AA29" i="1"/>
  <c r="AA28" i="1"/>
  <c r="X26" i="1"/>
  <c r="AA24" i="1"/>
  <c r="AA22" i="1"/>
  <c r="AA14" i="1"/>
  <c r="AA218" i="1"/>
  <c r="AA217" i="1"/>
  <c r="AG207" i="1"/>
  <c r="W140" i="1"/>
  <c r="AA208" i="1"/>
  <c r="AG205" i="1"/>
  <c r="AI205" i="1" s="1"/>
  <c r="AA202" i="1"/>
  <c r="X220" i="1"/>
  <c r="T219" i="1"/>
  <c r="U219" i="1" s="1"/>
  <c r="S219" i="1" s="1"/>
  <c r="AG208" i="1"/>
  <c r="AI208" i="1" s="1"/>
  <c r="X209" i="1"/>
  <c r="T204" i="1"/>
  <c r="U204" i="1" s="1"/>
  <c r="S204" i="1" s="1"/>
  <c r="W199" i="1"/>
  <c r="AI142" i="1"/>
  <c r="AI138" i="1"/>
  <c r="U197" i="1"/>
  <c r="S197" i="1" s="1"/>
  <c r="X191" i="1"/>
  <c r="AI201" i="1"/>
  <c r="X190" i="1"/>
  <c r="AA189" i="1"/>
  <c r="AA188" i="1"/>
  <c r="X185" i="1"/>
  <c r="AA177" i="1"/>
  <c r="AA172" i="1"/>
  <c r="X169" i="1"/>
  <c r="AA214" i="1"/>
  <c r="W214" i="1" s="1"/>
  <c r="T143" i="1"/>
  <c r="U143" i="1" s="1"/>
  <c r="S143" i="1" s="1"/>
  <c r="AA121" i="1"/>
  <c r="X118" i="1"/>
  <c r="T86" i="1"/>
  <c r="AG86" i="1"/>
  <c r="AI86" i="1" s="1"/>
  <c r="X87" i="1"/>
  <c r="T75" i="1"/>
  <c r="AG75" i="1"/>
  <c r="AI75" i="1" s="1"/>
  <c r="X76" i="1"/>
  <c r="AA193" i="1"/>
  <c r="T178" i="1"/>
  <c r="W221" i="1"/>
  <c r="T159" i="1"/>
  <c r="U159" i="1" s="1"/>
  <c r="S159" i="1" s="1"/>
  <c r="W152" i="1"/>
  <c r="AG133" i="1"/>
  <c r="U133" i="1" s="1"/>
  <c r="S133" i="1" s="1"/>
  <c r="AG127" i="1"/>
  <c r="AI127" i="1" s="1"/>
  <c r="X127" i="1"/>
  <c r="AA112" i="1"/>
  <c r="W112" i="1" s="1"/>
  <c r="X98" i="1"/>
  <c r="AG98" i="1"/>
  <c r="AI98" i="1" s="1"/>
  <c r="AG91" i="1"/>
  <c r="AI91" i="1" s="1"/>
  <c r="X91" i="1"/>
  <c r="AI70" i="1"/>
  <c r="T191" i="1"/>
  <c r="U191" i="1" s="1"/>
  <c r="S191" i="1" s="1"/>
  <c r="AI197" i="1"/>
  <c r="AA184" i="1"/>
  <c r="W184" i="1" s="1"/>
  <c r="AA168" i="1"/>
  <c r="W168" i="1" s="1"/>
  <c r="T221" i="1"/>
  <c r="U221" i="1" s="1"/>
  <c r="S221" i="1" s="1"/>
  <c r="T151" i="1"/>
  <c r="AG149" i="1"/>
  <c r="AI149" i="1" s="1"/>
  <c r="AI147" i="1"/>
  <c r="AA146" i="1"/>
  <c r="AG145" i="1"/>
  <c r="U145" i="1" s="1"/>
  <c r="S145" i="1" s="1"/>
  <c r="X143" i="1"/>
  <c r="AG137" i="1"/>
  <c r="AI137" i="1" s="1"/>
  <c r="X137" i="1"/>
  <c r="AA134" i="1"/>
  <c r="W134" i="1" s="1"/>
  <c r="X131" i="1"/>
  <c r="AG130" i="1"/>
  <c r="U130" i="1" s="1"/>
  <c r="S130" i="1" s="1"/>
  <c r="AG121" i="1"/>
  <c r="U121" i="1" s="1"/>
  <c r="S121" i="1" s="1"/>
  <c r="X121" i="1"/>
  <c r="AI110" i="1"/>
  <c r="AG103" i="1"/>
  <c r="AI103" i="1" s="1"/>
  <c r="X103" i="1"/>
  <c r="T102" i="1"/>
  <c r="U102" i="1" s="1"/>
  <c r="S102" i="1" s="1"/>
  <c r="AA97" i="1"/>
  <c r="AA76" i="1"/>
  <c r="W76" i="1" s="1"/>
  <c r="AI46" i="1"/>
  <c r="X200" i="1"/>
  <c r="AA194" i="1"/>
  <c r="AG193" i="1"/>
  <c r="U193" i="1" s="1"/>
  <c r="S193" i="1" s="1"/>
  <c r="AA190" i="1"/>
  <c r="W190" i="1" s="1"/>
  <c r="AA179" i="1"/>
  <c r="W179" i="1" s="1"/>
  <c r="AG178" i="1"/>
  <c r="T175" i="1"/>
  <c r="U175" i="1" s="1"/>
  <c r="S175" i="1" s="1"/>
  <c r="AA163" i="1"/>
  <c r="AG220" i="1"/>
  <c r="U220" i="1" s="1"/>
  <c r="S220" i="1" s="1"/>
  <c r="T214" i="1"/>
  <c r="AG212" i="1"/>
  <c r="AI212" i="1" s="1"/>
  <c r="AA209" i="1"/>
  <c r="AG161" i="1"/>
  <c r="U161" i="1" s="1"/>
  <c r="X159" i="1"/>
  <c r="AA155" i="1"/>
  <c r="AG153" i="1"/>
  <c r="U153" i="1" s="1"/>
  <c r="S153" i="1" s="1"/>
  <c r="X153" i="1"/>
  <c r="AA151" i="1"/>
  <c r="W151" i="1" s="1"/>
  <c r="AA150" i="1"/>
  <c r="W150" i="1" s="1"/>
  <c r="X147" i="1"/>
  <c r="AG146" i="1"/>
  <c r="X145" i="1"/>
  <c r="AA132" i="1"/>
  <c r="T129" i="1"/>
  <c r="X129" i="1"/>
  <c r="AG129" i="1"/>
  <c r="AI129" i="1" s="1"/>
  <c r="X122" i="1"/>
  <c r="AG122" i="1"/>
  <c r="AI122" i="1" s="1"/>
  <c r="AA116" i="1"/>
  <c r="AA115" i="1"/>
  <c r="AG99" i="1"/>
  <c r="AI99" i="1" s="1"/>
  <c r="X99" i="1"/>
  <c r="T97" i="1"/>
  <c r="X97" i="1"/>
  <c r="AG97" i="1"/>
  <c r="AI54" i="1"/>
  <c r="W70" i="1"/>
  <c r="W54" i="1"/>
  <c r="T46" i="1"/>
  <c r="U46" i="1" s="1"/>
  <c r="S46" i="1" s="1"/>
  <c r="T27" i="1"/>
  <c r="AG18" i="1"/>
  <c r="W18" i="1" s="1"/>
  <c r="X18" i="1"/>
  <c r="T15" i="1"/>
  <c r="T83" i="1"/>
  <c r="U83" i="1" s="1"/>
  <c r="S83" i="1" s="1"/>
  <c r="T58" i="1"/>
  <c r="AG52" i="1"/>
  <c r="AI52" i="1" s="1"/>
  <c r="AA48" i="1"/>
  <c r="AG38" i="1"/>
  <c r="AI38" i="1" s="1"/>
  <c r="AA34" i="1"/>
  <c r="T31" i="1"/>
  <c r="AA26" i="1"/>
  <c r="AG25" i="1"/>
  <c r="U25" i="1" s="1"/>
  <c r="T19" i="1"/>
  <c r="U19" i="1" s="1"/>
  <c r="S19" i="1" s="1"/>
  <c r="AA130" i="1"/>
  <c r="AA128" i="1"/>
  <c r="W128" i="1" s="1"/>
  <c r="AA123" i="1"/>
  <c r="T119" i="1"/>
  <c r="U119" i="1" s="1"/>
  <c r="S119" i="1" s="1"/>
  <c r="T111" i="1"/>
  <c r="U111" i="1" s="1"/>
  <c r="S111" i="1" s="1"/>
  <c r="AA100" i="1"/>
  <c r="AA92" i="1"/>
  <c r="AA90" i="1"/>
  <c r="W90" i="1" s="1"/>
  <c r="AA82" i="1"/>
  <c r="T80" i="1"/>
  <c r="U80" i="1" s="1"/>
  <c r="S80" i="1" s="1"/>
  <c r="X72" i="1"/>
  <c r="AA66" i="1"/>
  <c r="AG65" i="1"/>
  <c r="U65" i="1" s="1"/>
  <c r="S65" i="1" s="1"/>
  <c r="X65" i="1"/>
  <c r="T63" i="1"/>
  <c r="X59" i="1"/>
  <c r="AG58" i="1"/>
  <c r="AA50" i="1"/>
  <c r="W50" i="1" s="1"/>
  <c r="AG48" i="1"/>
  <c r="AI48" i="1" s="1"/>
  <c r="T47" i="1"/>
  <c r="U47" i="1" s="1"/>
  <c r="S47" i="1" s="1"/>
  <c r="U41" i="1"/>
  <c r="S41" i="1" s="1"/>
  <c r="AA35" i="1"/>
  <c r="AG34" i="1"/>
  <c r="AI34" i="1" s="1"/>
  <c r="AA30" i="1"/>
  <c r="W30" i="1" s="1"/>
  <c r="AG29" i="1"/>
  <c r="X27" i="1"/>
  <c r="AG26" i="1"/>
  <c r="U26" i="1" s="1"/>
  <c r="AA21" i="1"/>
  <c r="AA20" i="1"/>
  <c r="AA108" i="1"/>
  <c r="X102" i="1"/>
  <c r="AA89" i="1"/>
  <c r="T87" i="1"/>
  <c r="U87" i="1" s="1"/>
  <c r="S87" i="1" s="1"/>
  <c r="AA78" i="1"/>
  <c r="T76" i="1"/>
  <c r="U76" i="1" s="1"/>
  <c r="S76" i="1" s="1"/>
  <c r="AA67" i="1"/>
  <c r="X66" i="1"/>
  <c r="AA57" i="1"/>
  <c r="T39" i="1"/>
  <c r="U39" i="1" s="1"/>
  <c r="S39" i="1" s="1"/>
  <c r="X31" i="1"/>
  <c r="T23" i="1"/>
  <c r="U23" i="1" s="1"/>
  <c r="S23" i="1" s="1"/>
  <c r="X19" i="1"/>
  <c r="W219" i="1"/>
  <c r="T148" i="1"/>
  <c r="X148" i="1"/>
  <c r="X149" i="1"/>
  <c r="AG148" i="1"/>
  <c r="W148" i="1" s="1"/>
  <c r="X218" i="1"/>
  <c r="AG217" i="1"/>
  <c r="AI219" i="1"/>
  <c r="T198" i="1"/>
  <c r="U198" i="1" s="1"/>
  <c r="S198" i="1" s="1"/>
  <c r="T180" i="1"/>
  <c r="X180" i="1"/>
  <c r="X179" i="1"/>
  <c r="T173" i="1"/>
  <c r="T164" i="1"/>
  <c r="X164" i="1"/>
  <c r="T222" i="1"/>
  <c r="X222" i="1"/>
  <c r="AG222" i="1"/>
  <c r="AG155" i="1"/>
  <c r="X155" i="1"/>
  <c r="T155" i="1"/>
  <c r="AI150" i="1"/>
  <c r="AG139" i="1"/>
  <c r="X139" i="1"/>
  <c r="T139" i="1"/>
  <c r="AI134" i="1"/>
  <c r="AI128" i="1"/>
  <c r="T125" i="1"/>
  <c r="X126" i="1"/>
  <c r="X125" i="1"/>
  <c r="AG125" i="1"/>
  <c r="AG123" i="1"/>
  <c r="T123" i="1"/>
  <c r="X123" i="1"/>
  <c r="AA118" i="1"/>
  <c r="W118" i="1" s="1"/>
  <c r="T100" i="1"/>
  <c r="X100" i="1"/>
  <c r="AG100" i="1"/>
  <c r="T196" i="1"/>
  <c r="AI204" i="1"/>
  <c r="U190" i="1"/>
  <c r="S190" i="1" s="1"/>
  <c r="T181" i="1"/>
  <c r="T172" i="1"/>
  <c r="X172" i="1"/>
  <c r="T165" i="1"/>
  <c r="T163" i="1"/>
  <c r="AG163" i="1"/>
  <c r="AI163" i="1" s="1"/>
  <c r="T132" i="1"/>
  <c r="X132" i="1"/>
  <c r="X133" i="1"/>
  <c r="AG132" i="1"/>
  <c r="T124" i="1"/>
  <c r="X124" i="1"/>
  <c r="AG124" i="1"/>
  <c r="X204" i="1"/>
  <c r="AG203" i="1"/>
  <c r="AI203" i="1" s="1"/>
  <c r="T200" i="1"/>
  <c r="AG196" i="1"/>
  <c r="AI196" i="1" s="1"/>
  <c r="X217" i="1"/>
  <c r="AG216" i="1"/>
  <c r="AI216" i="1" s="1"/>
  <c r="AG206" i="1"/>
  <c r="AI206" i="1" s="1"/>
  <c r="AI215" i="1"/>
  <c r="X203" i="1"/>
  <c r="AG202" i="1"/>
  <c r="AI202" i="1" s="1"/>
  <c r="AG200" i="1"/>
  <c r="AI210" i="1"/>
  <c r="T195" i="1"/>
  <c r="T189" i="1"/>
  <c r="X216" i="1"/>
  <c r="X202" i="1"/>
  <c r="T199" i="1"/>
  <c r="U199" i="1" s="1"/>
  <c r="S199" i="1" s="1"/>
  <c r="X199" i="1"/>
  <c r="X198" i="1"/>
  <c r="AA196" i="1"/>
  <c r="AG195" i="1"/>
  <c r="AI195" i="1" s="1"/>
  <c r="AG189" i="1"/>
  <c r="AI189" i="1" s="1"/>
  <c r="T187" i="1"/>
  <c r="U187" i="1" s="1"/>
  <c r="S187" i="1" s="1"/>
  <c r="T184" i="1"/>
  <c r="U184" i="1" s="1"/>
  <c r="S184" i="1" s="1"/>
  <c r="X184" i="1"/>
  <c r="X183" i="1"/>
  <c r="X182" i="1"/>
  <c r="AA181" i="1"/>
  <c r="AG180" i="1"/>
  <c r="W180" i="1" s="1"/>
  <c r="AI190" i="1"/>
  <c r="AG173" i="1"/>
  <c r="AI173" i="1" s="1"/>
  <c r="X173" i="1"/>
  <c r="T171" i="1"/>
  <c r="T168" i="1"/>
  <c r="U168" i="1" s="1"/>
  <c r="S168" i="1" s="1"/>
  <c r="X168" i="1"/>
  <c r="X167" i="1"/>
  <c r="X166" i="1"/>
  <c r="AA165" i="1"/>
  <c r="AG164" i="1"/>
  <c r="U223" i="1"/>
  <c r="S223" i="1" s="1"/>
  <c r="AA160" i="1"/>
  <c r="AA144" i="1"/>
  <c r="W144" i="1" s="1"/>
  <c r="U134" i="1"/>
  <c r="S134" i="1" s="1"/>
  <c r="T188" i="1"/>
  <c r="X188" i="1"/>
  <c r="T211" i="1"/>
  <c r="X211" i="1"/>
  <c r="X212" i="1"/>
  <c r="AG211" i="1"/>
  <c r="T192" i="1"/>
  <c r="U192" i="1" s="1"/>
  <c r="S192" i="1" s="1"/>
  <c r="X192" i="1"/>
  <c r="AG188" i="1"/>
  <c r="AI188" i="1" s="1"/>
  <c r="AG181" i="1"/>
  <c r="AI181" i="1" s="1"/>
  <c r="T179" i="1"/>
  <c r="U179" i="1" s="1"/>
  <c r="S179" i="1" s="1"/>
  <c r="T176" i="1"/>
  <c r="U176" i="1" s="1"/>
  <c r="S176" i="1" s="1"/>
  <c r="X176" i="1"/>
  <c r="AA173" i="1"/>
  <c r="AG172" i="1"/>
  <c r="U167" i="1"/>
  <c r="S167" i="1" s="1"/>
  <c r="AG165" i="1"/>
  <c r="AI165" i="1" s="1"/>
  <c r="X158" i="1"/>
  <c r="X157" i="1"/>
  <c r="AG157" i="1"/>
  <c r="AI144" i="1"/>
  <c r="X142" i="1"/>
  <c r="X141" i="1"/>
  <c r="AG141" i="1"/>
  <c r="T93" i="1"/>
  <c r="X93" i="1"/>
  <c r="AG93" i="1"/>
  <c r="X94" i="1"/>
  <c r="X223" i="1"/>
  <c r="T215" i="1"/>
  <c r="U215" i="1" s="1"/>
  <c r="S215" i="1" s="1"/>
  <c r="X215" i="1"/>
  <c r="X214" i="1"/>
  <c r="X213" i="1"/>
  <c r="AA212" i="1"/>
  <c r="AI156" i="1"/>
  <c r="T152" i="1"/>
  <c r="U152" i="1" s="1"/>
  <c r="S152" i="1" s="1"/>
  <c r="X152" i="1"/>
  <c r="X151" i="1"/>
  <c r="X150" i="1"/>
  <c r="AA149" i="1"/>
  <c r="AI140" i="1"/>
  <c r="T136" i="1"/>
  <c r="U136" i="1" s="1"/>
  <c r="S136" i="1" s="1"/>
  <c r="X136" i="1"/>
  <c r="X135" i="1"/>
  <c r="X134" i="1"/>
  <c r="AA133" i="1"/>
  <c r="AI118" i="1"/>
  <c r="AI96" i="1"/>
  <c r="AA79" i="1"/>
  <c r="S161" i="1"/>
  <c r="T156" i="1"/>
  <c r="U156" i="1" s="1"/>
  <c r="S156" i="1" s="1"/>
  <c r="X156" i="1"/>
  <c r="X154" i="1"/>
  <c r="AA153" i="1"/>
  <c r="U147" i="1"/>
  <c r="S147" i="1" s="1"/>
  <c r="T140" i="1"/>
  <c r="U140" i="1" s="1"/>
  <c r="S140" i="1" s="1"/>
  <c r="X140" i="1"/>
  <c r="X138" i="1"/>
  <c r="AA137" i="1"/>
  <c r="T116" i="1"/>
  <c r="X116" i="1"/>
  <c r="AG116" i="1"/>
  <c r="X109" i="1"/>
  <c r="AG109" i="1"/>
  <c r="X110" i="1"/>
  <c r="AG107" i="1"/>
  <c r="T107" i="1"/>
  <c r="X107" i="1"/>
  <c r="T92" i="1"/>
  <c r="X92" i="1"/>
  <c r="AG92" i="1"/>
  <c r="T60" i="1"/>
  <c r="X60" i="1"/>
  <c r="AG60" i="1"/>
  <c r="X61" i="1"/>
  <c r="U214" i="1"/>
  <c r="S214" i="1" s="1"/>
  <c r="T160" i="1"/>
  <c r="X160" i="1"/>
  <c r="AA157" i="1"/>
  <c r="U151" i="1"/>
  <c r="S151" i="1" s="1"/>
  <c r="T144" i="1"/>
  <c r="U144" i="1" s="1"/>
  <c r="S144" i="1" s="1"/>
  <c r="X144" i="1"/>
  <c r="AA141" i="1"/>
  <c r="T128" i="1"/>
  <c r="U128" i="1" s="1"/>
  <c r="S128" i="1" s="1"/>
  <c r="X128" i="1"/>
  <c r="AI112" i="1"/>
  <c r="AI102" i="1"/>
  <c r="AG85" i="1"/>
  <c r="X86" i="1"/>
  <c r="T85" i="1"/>
  <c r="AI76" i="1"/>
  <c r="AI56" i="1"/>
  <c r="T117" i="1"/>
  <c r="T108" i="1"/>
  <c r="X108" i="1"/>
  <c r="T101" i="1"/>
  <c r="AI83" i="1"/>
  <c r="AG78" i="1"/>
  <c r="X79" i="1"/>
  <c r="T78" i="1"/>
  <c r="X78" i="1"/>
  <c r="AA125" i="1"/>
  <c r="AG117" i="1"/>
  <c r="X117" i="1"/>
  <c r="T115" i="1"/>
  <c r="T112" i="1"/>
  <c r="U112" i="1" s="1"/>
  <c r="S112" i="1" s="1"/>
  <c r="X112" i="1"/>
  <c r="X111" i="1"/>
  <c r="AA109" i="1"/>
  <c r="AG108" i="1"/>
  <c r="AG101" i="1"/>
  <c r="X101" i="1"/>
  <c r="T99" i="1"/>
  <c r="T96" i="1"/>
  <c r="U96" i="1" s="1"/>
  <c r="S96" i="1" s="1"/>
  <c r="X96" i="1"/>
  <c r="X95" i="1"/>
  <c r="AA93" i="1"/>
  <c r="AG89" i="1"/>
  <c r="T89" i="1"/>
  <c r="X89" i="1"/>
  <c r="AI80" i="1"/>
  <c r="AG74" i="1"/>
  <c r="X75" i="1"/>
  <c r="T74" i="1"/>
  <c r="X74" i="1"/>
  <c r="X69" i="1"/>
  <c r="AG69" i="1"/>
  <c r="X70" i="1"/>
  <c r="X53" i="1"/>
  <c r="AG53" i="1"/>
  <c r="X54" i="1"/>
  <c r="T120" i="1"/>
  <c r="U120" i="1" s="1"/>
  <c r="S120" i="1" s="1"/>
  <c r="X120" i="1"/>
  <c r="AA117" i="1"/>
  <c r="T104" i="1"/>
  <c r="U104" i="1" s="1"/>
  <c r="S104" i="1" s="1"/>
  <c r="X104" i="1"/>
  <c r="AA101" i="1"/>
  <c r="AI90" i="1"/>
  <c r="AI87" i="1"/>
  <c r="AG82" i="1"/>
  <c r="T82" i="1"/>
  <c r="AI79" i="1"/>
  <c r="AG67" i="1"/>
  <c r="T67" i="1"/>
  <c r="X67" i="1"/>
  <c r="AG88" i="1"/>
  <c r="AG84" i="1"/>
  <c r="AG81" i="1"/>
  <c r="AG77" i="1"/>
  <c r="AG73" i="1"/>
  <c r="T71" i="1"/>
  <c r="U71" i="1" s="1"/>
  <c r="S71" i="1" s="1"/>
  <c r="T68" i="1"/>
  <c r="X68" i="1"/>
  <c r="AG57" i="1"/>
  <c r="X57" i="1"/>
  <c r="T55" i="1"/>
  <c r="U55" i="1" s="1"/>
  <c r="S55" i="1" s="1"/>
  <c r="U52" i="1"/>
  <c r="S52" i="1" s="1"/>
  <c r="AI51" i="1"/>
  <c r="X46" i="1"/>
  <c r="X45" i="1"/>
  <c r="AG45" i="1"/>
  <c r="T33" i="1"/>
  <c r="X33" i="1"/>
  <c r="AG33" i="1"/>
  <c r="X34" i="1"/>
  <c r="X88" i="1"/>
  <c r="X77" i="1"/>
  <c r="X73" i="1"/>
  <c r="AG72" i="1"/>
  <c r="X71" i="1"/>
  <c r="AA69" i="1"/>
  <c r="AG68" i="1"/>
  <c r="AI61" i="1"/>
  <c r="T59" i="1"/>
  <c r="U59" i="1" s="1"/>
  <c r="S59" i="1" s="1"/>
  <c r="T56" i="1"/>
  <c r="U56" i="1" s="1"/>
  <c r="S56" i="1" s="1"/>
  <c r="X56" i="1"/>
  <c r="X55" i="1"/>
  <c r="AA53" i="1"/>
  <c r="T44" i="1"/>
  <c r="X44" i="1"/>
  <c r="AG44" i="1"/>
  <c r="AG43" i="1"/>
  <c r="T43" i="1"/>
  <c r="X37" i="1"/>
  <c r="AG37" i="1"/>
  <c r="X38" i="1"/>
  <c r="AG35" i="1"/>
  <c r="T35" i="1"/>
  <c r="X35" i="1"/>
  <c r="T64" i="1"/>
  <c r="U64" i="1" s="1"/>
  <c r="S64" i="1" s="1"/>
  <c r="X64" i="1"/>
  <c r="T37" i="1"/>
  <c r="U31" i="1"/>
  <c r="S31" i="1" s="1"/>
  <c r="T20" i="1"/>
  <c r="X20" i="1"/>
  <c r="AG20" i="1"/>
  <c r="T36" i="1"/>
  <c r="X36" i="1"/>
  <c r="T28" i="1"/>
  <c r="X28" i="1"/>
  <c r="AG28" i="1"/>
  <c r="X52" i="1"/>
  <c r="T40" i="1"/>
  <c r="U40" i="1" s="1"/>
  <c r="S40" i="1" s="1"/>
  <c r="X40" i="1"/>
  <c r="X39" i="1"/>
  <c r="AA37" i="1"/>
  <c r="AG36" i="1"/>
  <c r="AA33" i="1"/>
  <c r="T32" i="1"/>
  <c r="X32" i="1"/>
  <c r="AG32" i="1"/>
  <c r="T29" i="1"/>
  <c r="X29" i="1"/>
  <c r="U27" i="1"/>
  <c r="S27" i="1" s="1"/>
  <c r="T24" i="1"/>
  <c r="X24" i="1"/>
  <c r="AG24" i="1"/>
  <c r="AA17" i="1"/>
  <c r="T48" i="1"/>
  <c r="X48" i="1"/>
  <c r="AA45" i="1"/>
  <c r="AA25" i="1"/>
  <c r="T16" i="1"/>
  <c r="AG16" i="1"/>
  <c r="W16" i="1" s="1"/>
  <c r="X25" i="1"/>
  <c r="X21" i="1"/>
  <c r="Y49" i="3"/>
  <c r="Y37" i="3"/>
  <c r="Y24" i="3"/>
  <c r="Y51" i="3"/>
  <c r="Y46" i="3"/>
  <c r="Y19" i="3"/>
  <c r="Y40" i="3"/>
  <c r="Y38" i="3"/>
  <c r="Y41" i="3"/>
  <c r="Y43" i="3"/>
  <c r="Y9" i="3"/>
  <c r="Y17" i="3"/>
  <c r="Y20" i="3"/>
  <c r="Y47" i="3"/>
  <c r="Y55" i="3"/>
  <c r="Y45" i="3"/>
  <c r="Y36" i="3"/>
  <c r="Y34" i="3"/>
  <c r="Y30" i="3"/>
  <c r="Y54" i="3"/>
  <c r="Y13" i="3"/>
  <c r="Y50" i="3"/>
  <c r="Y39" i="3"/>
  <c r="Y12" i="3"/>
  <c r="Y10" i="3"/>
  <c r="Y35" i="3"/>
  <c r="Y48" i="3"/>
  <c r="Y15" i="3"/>
  <c r="N29" i="3"/>
  <c r="U29" i="3"/>
  <c r="T29" i="3" s="1"/>
  <c r="V29" i="3"/>
  <c r="W29" i="3"/>
  <c r="X29" i="3"/>
  <c r="S9" i="3"/>
  <c r="R9" i="3"/>
  <c r="S15" i="3"/>
  <c r="R15" i="3"/>
  <c r="S33" i="3"/>
  <c r="R33" i="3"/>
  <c r="S7" i="3"/>
  <c r="R7" i="3"/>
  <c r="S12" i="3"/>
  <c r="R12" i="3"/>
  <c r="S10" i="3"/>
  <c r="R10" i="3"/>
  <c r="S26" i="3"/>
  <c r="R26" i="3"/>
  <c r="S8" i="3"/>
  <c r="R8" i="3"/>
  <c r="S13" i="3"/>
  <c r="R13" i="3"/>
  <c r="S11" i="3"/>
  <c r="R11" i="3"/>
  <c r="S21" i="3"/>
  <c r="R21" i="3"/>
  <c r="S18" i="3"/>
  <c r="R18" i="3"/>
  <c r="S31" i="3"/>
  <c r="R31" i="3"/>
  <c r="S14" i="3"/>
  <c r="R14" i="3"/>
  <c r="S20" i="3"/>
  <c r="R20" i="3"/>
  <c r="S32" i="3"/>
  <c r="R32" i="3"/>
  <c r="S25" i="3"/>
  <c r="R25" i="3"/>
  <c r="S45" i="3"/>
  <c r="R45" i="3"/>
  <c r="S46" i="3"/>
  <c r="R46" i="3"/>
  <c r="S47" i="3"/>
  <c r="R47" i="3"/>
  <c r="S37" i="3"/>
  <c r="R37" i="3"/>
  <c r="S17" i="3"/>
  <c r="R17" i="3"/>
  <c r="S51" i="3"/>
  <c r="R51" i="3"/>
  <c r="S53" i="3"/>
  <c r="R53" i="3"/>
  <c r="S55" i="3"/>
  <c r="R55" i="3"/>
  <c r="S54" i="3"/>
  <c r="R54" i="3"/>
  <c r="S52" i="3"/>
  <c r="R52" i="3"/>
  <c r="S43" i="3"/>
  <c r="R43" i="3"/>
  <c r="S48" i="3"/>
  <c r="R48" i="3"/>
  <c r="S41" i="3"/>
  <c r="R41" i="3"/>
  <c r="S42" i="3"/>
  <c r="R42" i="3"/>
  <c r="S49" i="3"/>
  <c r="R49" i="3"/>
  <c r="S39" i="3"/>
  <c r="R39" i="3"/>
  <c r="S50" i="3"/>
  <c r="R50" i="3"/>
  <c r="S44" i="3"/>
  <c r="R44" i="3"/>
  <c r="S36" i="3"/>
  <c r="R36" i="3"/>
  <c r="W205" i="1" l="1"/>
  <c r="W218" i="1"/>
  <c r="U49" i="1"/>
  <c r="S49" i="1" s="1"/>
  <c r="U135" i="1"/>
  <c r="S135" i="1" s="1"/>
  <c r="AI121" i="1"/>
  <c r="AI145" i="1"/>
  <c r="W209" i="1"/>
  <c r="U224" i="1"/>
  <c r="S224" i="1" s="1"/>
  <c r="U22" i="1"/>
  <c r="S22" i="1" s="1"/>
  <c r="W88" i="1"/>
  <c r="U186" i="1"/>
  <c r="S186" i="1" s="1"/>
  <c r="W22" i="1"/>
  <c r="W124" i="1"/>
  <c r="U21" i="1"/>
  <c r="S21" i="1" s="1"/>
  <c r="U160" i="1"/>
  <c r="S160" i="1" s="1"/>
  <c r="W29" i="1"/>
  <c r="U169" i="1"/>
  <c r="S169" i="1" s="1"/>
  <c r="U30" i="1"/>
  <c r="S30" i="1" s="1"/>
  <c r="AI62" i="1"/>
  <c r="U17" i="1"/>
  <c r="S17" i="1" s="1"/>
  <c r="W213" i="1"/>
  <c r="W155" i="1"/>
  <c r="W106" i="1"/>
  <c r="AI14" i="1"/>
  <c r="AI50" i="1"/>
  <c r="W139" i="1"/>
  <c r="W89" i="1"/>
  <c r="AI114" i="1"/>
  <c r="W224" i="1"/>
  <c r="W114" i="1"/>
  <c r="W61" i="1"/>
  <c r="AI106" i="1"/>
  <c r="W123" i="1"/>
  <c r="U106" i="1"/>
  <c r="S106" i="1" s="1"/>
  <c r="W14" i="1"/>
  <c r="W60" i="1"/>
  <c r="U105" i="1"/>
  <c r="S105" i="1" s="1"/>
  <c r="W20" i="1"/>
  <c r="AI94" i="1"/>
  <c r="W188" i="1"/>
  <c r="W182" i="1"/>
  <c r="AI26" i="1"/>
  <c r="W32" i="1"/>
  <c r="W223" i="1"/>
  <c r="W105" i="1"/>
  <c r="W94" i="1"/>
  <c r="W17" i="1"/>
  <c r="AI133" i="1"/>
  <c r="U212" i="1"/>
  <c r="S212" i="1" s="1"/>
  <c r="U170" i="1"/>
  <c r="S170" i="1" s="1"/>
  <c r="W35" i="1"/>
  <c r="AI29" i="1"/>
  <c r="W141" i="1"/>
  <c r="W121" i="1"/>
  <c r="U137" i="1"/>
  <c r="S137" i="1" s="1"/>
  <c r="W196" i="1"/>
  <c r="AI223" i="1"/>
  <c r="W67" i="1"/>
  <c r="W21" i="1"/>
  <c r="W100" i="1"/>
  <c r="U15" i="1"/>
  <c r="S15" i="1" s="1"/>
  <c r="W220" i="1"/>
  <c r="W15" i="1"/>
  <c r="W185" i="1"/>
  <c r="W65" i="1"/>
  <c r="W222" i="1"/>
  <c r="W72" i="1"/>
  <c r="W133" i="1"/>
  <c r="U208" i="1"/>
  <c r="S208" i="1" s="1"/>
  <c r="W201" i="1"/>
  <c r="W129" i="1"/>
  <c r="W169" i="1"/>
  <c r="W186" i="1"/>
  <c r="W24" i="1"/>
  <c r="AI49" i="1"/>
  <c r="W116" i="1"/>
  <c r="W79" i="1"/>
  <c r="U98" i="1"/>
  <c r="S98" i="1" s="1"/>
  <c r="W212" i="1"/>
  <c r="W160" i="1"/>
  <c r="AI182" i="1"/>
  <c r="U18" i="1"/>
  <c r="S18" i="1" s="1"/>
  <c r="W107" i="1"/>
  <c r="W193" i="1"/>
  <c r="U205" i="1"/>
  <c r="S205" i="1" s="1"/>
  <c r="AI194" i="1"/>
  <c r="W194" i="1"/>
  <c r="W174" i="1"/>
  <c r="W207" i="1"/>
  <c r="W135" i="1"/>
  <c r="W73" i="1"/>
  <c r="W85" i="1"/>
  <c r="U207" i="1"/>
  <c r="S207" i="1" s="1"/>
  <c r="AI174" i="1"/>
  <c r="U162" i="1"/>
  <c r="S162" i="1" s="1"/>
  <c r="W162" i="1"/>
  <c r="U185" i="1"/>
  <c r="S185" i="1" s="1"/>
  <c r="U182" i="1"/>
  <c r="S182" i="1" s="1"/>
  <c r="U42" i="1"/>
  <c r="S42" i="1" s="1"/>
  <c r="AI113" i="1"/>
  <c r="W172" i="1"/>
  <c r="W113" i="1"/>
  <c r="W62" i="1"/>
  <c r="U29" i="1"/>
  <c r="S29" i="1" s="1"/>
  <c r="U63" i="1"/>
  <c r="S63" i="1" s="1"/>
  <c r="AI65" i="1"/>
  <c r="W92" i="1"/>
  <c r="W137" i="1"/>
  <c r="AI130" i="1"/>
  <c r="W149" i="1"/>
  <c r="U149" i="1"/>
  <c r="S149" i="1" s="1"/>
  <c r="U146" i="1"/>
  <c r="S146" i="1" s="1"/>
  <c r="AI154" i="1"/>
  <c r="W154" i="1"/>
  <c r="U131" i="1"/>
  <c r="S131" i="1" s="1"/>
  <c r="W42" i="1"/>
  <c r="U126" i="1"/>
  <c r="S126" i="1" s="1"/>
  <c r="AI126" i="1"/>
  <c r="W126" i="1"/>
  <c r="W57" i="1"/>
  <c r="W75" i="1"/>
  <c r="U91" i="1"/>
  <c r="AI161" i="1"/>
  <c r="U122" i="1"/>
  <c r="S122" i="1" s="1"/>
  <c r="AI146" i="1"/>
  <c r="U66" i="1"/>
  <c r="S66" i="1" s="1"/>
  <c r="W122" i="1"/>
  <c r="AI158" i="1"/>
  <c r="W49" i="1"/>
  <c r="W170" i="1"/>
  <c r="W103" i="1"/>
  <c r="W158" i="1"/>
  <c r="W53" i="1"/>
  <c r="W82" i="1"/>
  <c r="U75" i="1"/>
  <c r="S75" i="1" s="1"/>
  <c r="AI220" i="1"/>
  <c r="W66" i="1"/>
  <c r="W115" i="1"/>
  <c r="W163" i="1"/>
  <c r="AI170" i="1"/>
  <c r="W145" i="1"/>
  <c r="W177" i="1"/>
  <c r="W189" i="1"/>
  <c r="W202" i="1"/>
  <c r="W131" i="1"/>
  <c r="W171" i="1"/>
  <c r="W101" i="1"/>
  <c r="U103" i="1"/>
  <c r="S103" i="1" s="1"/>
  <c r="U115" i="1"/>
  <c r="S115" i="1" s="1"/>
  <c r="U171" i="1"/>
  <c r="S171" i="1" s="1"/>
  <c r="AI166" i="1"/>
  <c r="AI180" i="1"/>
  <c r="W130" i="1"/>
  <c r="W146" i="1"/>
  <c r="W217" i="1"/>
  <c r="W166" i="1"/>
  <c r="W63" i="1"/>
  <c r="U48" i="1"/>
  <c r="S48" i="1" s="1"/>
  <c r="AI18" i="1"/>
  <c r="S25" i="1"/>
  <c r="W69" i="1"/>
  <c r="U38" i="1"/>
  <c r="S38" i="1" s="1"/>
  <c r="W93" i="1"/>
  <c r="U99" i="1"/>
  <c r="S99" i="1" s="1"/>
  <c r="W125" i="1"/>
  <c r="W157" i="1"/>
  <c r="AI153" i="1"/>
  <c r="W173" i="1"/>
  <c r="W34" i="1"/>
  <c r="U129" i="1"/>
  <c r="S129" i="1" s="1"/>
  <c r="U178" i="1"/>
  <c r="S178" i="1" s="1"/>
  <c r="AI178" i="1"/>
  <c r="W99" i="1"/>
  <c r="W178" i="1"/>
  <c r="W161" i="1"/>
  <c r="U86" i="1"/>
  <c r="S86" i="1" s="1"/>
  <c r="W25" i="1"/>
  <c r="S26" i="1"/>
  <c r="U34" i="1"/>
  <c r="S34" i="1" s="1"/>
  <c r="AI97" i="1"/>
  <c r="W153" i="1"/>
  <c r="W26" i="1"/>
  <c r="W48" i="1"/>
  <c r="W52" i="1"/>
  <c r="W86" i="1"/>
  <c r="W91" i="1"/>
  <c r="W127" i="1"/>
  <c r="W38" i="1"/>
  <c r="W208" i="1"/>
  <c r="AI25" i="1"/>
  <c r="W117" i="1"/>
  <c r="U127" i="1"/>
  <c r="S127" i="1" s="1"/>
  <c r="W165" i="1"/>
  <c r="AI172" i="1"/>
  <c r="U58" i="1"/>
  <c r="S58" i="1" s="1"/>
  <c r="AI58" i="1"/>
  <c r="W58" i="1"/>
  <c r="U97" i="1"/>
  <c r="S97" i="1" s="1"/>
  <c r="W97" i="1"/>
  <c r="W98" i="1"/>
  <c r="AI44" i="1"/>
  <c r="U44" i="1"/>
  <c r="S44" i="1" s="1"/>
  <c r="W44" i="1"/>
  <c r="AI33" i="1"/>
  <c r="U33" i="1"/>
  <c r="S33" i="1" s="1"/>
  <c r="AI45" i="1"/>
  <c r="U45" i="1"/>
  <c r="S45" i="1" s="1"/>
  <c r="AI117" i="1"/>
  <c r="U117" i="1"/>
  <c r="S117" i="1" s="1"/>
  <c r="U78" i="1"/>
  <c r="S78" i="1" s="1"/>
  <c r="AI78" i="1"/>
  <c r="AI193" i="1"/>
  <c r="U181" i="1"/>
  <c r="S181" i="1" s="1"/>
  <c r="AI211" i="1"/>
  <c r="U200" i="1"/>
  <c r="S200" i="1" s="1"/>
  <c r="U206" i="1"/>
  <c r="S206" i="1" s="1"/>
  <c r="AI217" i="1"/>
  <c r="AI132" i="1"/>
  <c r="U132" i="1"/>
  <c r="S132" i="1" s="1"/>
  <c r="U155" i="1"/>
  <c r="S155" i="1" s="1"/>
  <c r="AI155" i="1"/>
  <c r="AI171" i="1"/>
  <c r="U222" i="1"/>
  <c r="S222" i="1" s="1"/>
  <c r="AI148" i="1"/>
  <c r="U148" i="1"/>
  <c r="S148" i="1" s="1"/>
  <c r="W206" i="1"/>
  <c r="W45" i="1"/>
  <c r="W37" i="1"/>
  <c r="U20" i="1"/>
  <c r="S20" i="1" s="1"/>
  <c r="AI20" i="1"/>
  <c r="AI57" i="1"/>
  <c r="U57" i="1"/>
  <c r="S57" i="1" s="1"/>
  <c r="U81" i="1"/>
  <c r="S81" i="1" s="1"/>
  <c r="AI81" i="1"/>
  <c r="W78" i="1"/>
  <c r="AI53" i="1"/>
  <c r="U53" i="1"/>
  <c r="S53" i="1" s="1"/>
  <c r="AI69" i="1"/>
  <c r="U69" i="1"/>
  <c r="S69" i="1" s="1"/>
  <c r="AI101" i="1"/>
  <c r="U101" i="1"/>
  <c r="S101" i="1" s="1"/>
  <c r="AI108" i="1"/>
  <c r="U108" i="1"/>
  <c r="S108" i="1" s="1"/>
  <c r="W108" i="1"/>
  <c r="U92" i="1"/>
  <c r="S92" i="1" s="1"/>
  <c r="AI92" i="1"/>
  <c r="U107" i="1"/>
  <c r="S107" i="1" s="1"/>
  <c r="AI107" i="1"/>
  <c r="W81" i="1"/>
  <c r="AI93" i="1"/>
  <c r="U93" i="1"/>
  <c r="S93" i="1" s="1"/>
  <c r="AI157" i="1"/>
  <c r="U157" i="1"/>
  <c r="S157" i="1" s="1"/>
  <c r="AI177" i="1"/>
  <c r="U165" i="1"/>
  <c r="S165" i="1" s="1"/>
  <c r="W132" i="1"/>
  <c r="AI213" i="1"/>
  <c r="U202" i="1"/>
  <c r="S202" i="1" s="1"/>
  <c r="AI214" i="1"/>
  <c r="U203" i="1"/>
  <c r="S203" i="1" s="1"/>
  <c r="U124" i="1"/>
  <c r="S124" i="1" s="1"/>
  <c r="AI124" i="1"/>
  <c r="U163" i="1"/>
  <c r="S163" i="1" s="1"/>
  <c r="AI175" i="1"/>
  <c r="U16" i="1"/>
  <c r="S16" i="1" s="1"/>
  <c r="AI16" i="1"/>
  <c r="AI36" i="1"/>
  <c r="U36" i="1"/>
  <c r="S36" i="1" s="1"/>
  <c r="U77" i="1"/>
  <c r="S77" i="1" s="1"/>
  <c r="W77" i="1"/>
  <c r="AI77" i="1"/>
  <c r="U85" i="1"/>
  <c r="S85" i="1" s="1"/>
  <c r="AI85" i="1"/>
  <c r="W33" i="1"/>
  <c r="U35" i="1"/>
  <c r="S35" i="1" s="1"/>
  <c r="AI35" i="1"/>
  <c r="AI72" i="1"/>
  <c r="U72" i="1"/>
  <c r="S72" i="1" s="1"/>
  <c r="U84" i="1"/>
  <c r="S84" i="1" s="1"/>
  <c r="AI84" i="1"/>
  <c r="W84" i="1"/>
  <c r="U74" i="1"/>
  <c r="S74" i="1" s="1"/>
  <c r="AI74" i="1"/>
  <c r="U89" i="1"/>
  <c r="S89" i="1" s="1"/>
  <c r="AI89" i="1"/>
  <c r="W109" i="1"/>
  <c r="W74" i="1"/>
  <c r="AI60" i="1"/>
  <c r="U60" i="1"/>
  <c r="S60" i="1" s="1"/>
  <c r="AI116" i="1"/>
  <c r="U116" i="1"/>
  <c r="S116" i="1" s="1"/>
  <c r="AI141" i="1"/>
  <c r="U141" i="1"/>
  <c r="S141" i="1" s="1"/>
  <c r="U188" i="1"/>
  <c r="S188" i="1" s="1"/>
  <c r="AI199" i="1"/>
  <c r="AI176" i="1"/>
  <c r="W164" i="1"/>
  <c r="U164" i="1"/>
  <c r="S164" i="1" s="1"/>
  <c r="AI185" i="1"/>
  <c r="U173" i="1"/>
  <c r="S173" i="1" s="1"/>
  <c r="AI192" i="1"/>
  <c r="U180" i="1"/>
  <c r="S180" i="1" s="1"/>
  <c r="AI200" i="1"/>
  <c r="U189" i="1"/>
  <c r="S189" i="1" s="1"/>
  <c r="U195" i="1"/>
  <c r="S195" i="1" s="1"/>
  <c r="W195" i="1"/>
  <c r="U216" i="1"/>
  <c r="S216" i="1" s="1"/>
  <c r="AI221" i="1"/>
  <c r="AI207" i="1"/>
  <c r="U196" i="1"/>
  <c r="S196" i="1" s="1"/>
  <c r="U123" i="1"/>
  <c r="S123" i="1" s="1"/>
  <c r="AI123" i="1"/>
  <c r="U139" i="1"/>
  <c r="S139" i="1" s="1"/>
  <c r="AI139" i="1"/>
  <c r="AI222" i="1"/>
  <c r="U217" i="1"/>
  <c r="S217" i="1" s="1"/>
  <c r="W200" i="1"/>
  <c r="W216" i="1"/>
  <c r="U24" i="1"/>
  <c r="S24" i="1" s="1"/>
  <c r="AI24" i="1"/>
  <c r="AI37" i="1"/>
  <c r="U37" i="1"/>
  <c r="S37" i="1" s="1"/>
  <c r="U32" i="1"/>
  <c r="S32" i="1" s="1"/>
  <c r="AI32" i="1"/>
  <c r="U28" i="1"/>
  <c r="S28" i="1" s="1"/>
  <c r="AI28" i="1"/>
  <c r="W28" i="1"/>
  <c r="U43" i="1"/>
  <c r="S43" i="1" s="1"/>
  <c r="AI43" i="1"/>
  <c r="AI68" i="1"/>
  <c r="U68" i="1"/>
  <c r="S68" i="1" s="1"/>
  <c r="W68" i="1"/>
  <c r="W43" i="1"/>
  <c r="U73" i="1"/>
  <c r="S73" i="1" s="1"/>
  <c r="AI73" i="1"/>
  <c r="U88" i="1"/>
  <c r="S88" i="1" s="1"/>
  <c r="AI88" i="1"/>
  <c r="U67" i="1"/>
  <c r="S67" i="1" s="1"/>
  <c r="AI67" i="1"/>
  <c r="U82" i="1"/>
  <c r="S82" i="1" s="1"/>
  <c r="AI82" i="1"/>
  <c r="W36" i="1"/>
  <c r="AI109" i="1"/>
  <c r="U109" i="1"/>
  <c r="S109" i="1" s="1"/>
  <c r="AI184" i="1"/>
  <c r="U172" i="1"/>
  <c r="S172" i="1" s="1"/>
  <c r="AI164" i="1"/>
  <c r="U211" i="1"/>
  <c r="S211" i="1" s="1"/>
  <c r="W211" i="1"/>
  <c r="W181" i="1"/>
  <c r="AI218" i="1"/>
  <c r="AI100" i="1"/>
  <c r="U100" i="1"/>
  <c r="S100" i="1" s="1"/>
  <c r="U125" i="1"/>
  <c r="S125" i="1" s="1"/>
  <c r="AI125" i="1"/>
  <c r="W203" i="1"/>
  <c r="R34" i="3"/>
  <c r="R40" i="3"/>
  <c r="R28" i="3"/>
  <c r="R19" i="3"/>
  <c r="R38" i="3"/>
  <c r="R35" i="3"/>
  <c r="R23" i="3"/>
  <c r="R22" i="3"/>
  <c r="R24" i="3"/>
  <c r="S19" i="3"/>
  <c r="S28" i="3"/>
  <c r="R30" i="3"/>
  <c r="R27" i="3"/>
  <c r="R16" i="3"/>
  <c r="S38" i="3"/>
  <c r="S35" i="3"/>
  <c r="S24" i="3"/>
  <c r="S22" i="3"/>
  <c r="S23" i="3"/>
  <c r="S27" i="3"/>
  <c r="S30" i="3"/>
  <c r="S16" i="3"/>
  <c r="S40" i="3"/>
  <c r="S34" i="3"/>
  <c r="S29" i="3"/>
  <c r="R29" i="3"/>
  <c r="Y29" i="3"/>
  <c r="M38" i="3"/>
  <c r="M30" i="3"/>
  <c r="M34" i="3"/>
  <c r="M9" i="3"/>
  <c r="M40" i="3"/>
  <c r="M22" i="3"/>
  <c r="M12" i="3"/>
  <c r="M42" i="3"/>
  <c r="M51" i="3"/>
  <c r="M32" i="3"/>
  <c r="M48" i="3"/>
  <c r="M43" i="3"/>
  <c r="M11" i="3"/>
  <c r="M44" i="3"/>
  <c r="M37" i="3"/>
  <c r="M10" i="3"/>
  <c r="M24" i="3"/>
  <c r="M21" i="3"/>
  <c r="M17" i="3"/>
  <c r="M29" i="3"/>
  <c r="M41" i="3"/>
  <c r="M23" i="3"/>
  <c r="M55" i="3"/>
  <c r="M33" i="3"/>
  <c r="M25" i="3"/>
  <c r="M39" i="3"/>
  <c r="M46" i="3"/>
  <c r="M26" i="3"/>
  <c r="M16" i="3"/>
  <c r="M36" i="3"/>
  <c r="M13" i="3"/>
  <c r="M54" i="3"/>
  <c r="M19" i="3"/>
  <c r="M27" i="3"/>
  <c r="M28" i="3"/>
  <c r="M35" i="3"/>
  <c r="M52" i="3"/>
  <c r="M31" i="3"/>
  <c r="M50" i="3"/>
  <c r="M8" i="3"/>
  <c r="M15" i="3"/>
  <c r="M53" i="3"/>
  <c r="M49" i="3"/>
  <c r="M7" i="3"/>
  <c r="M18" i="3"/>
  <c r="M20" i="3"/>
  <c r="M47" i="3"/>
  <c r="M14" i="3"/>
  <c r="M45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6" i="1"/>
  <c r="AH22" i="1"/>
  <c r="AH28" i="1"/>
  <c r="AH29" i="1"/>
  <c r="AH40" i="1"/>
  <c r="AH47" i="1"/>
  <c r="AH51" i="1"/>
  <c r="AH52" i="1"/>
  <c r="AH53" i="1"/>
  <c r="AH62" i="1"/>
  <c r="AH63" i="1"/>
  <c r="AH64" i="1"/>
  <c r="AH65" i="1"/>
  <c r="AH66" i="1"/>
  <c r="AH67" i="1"/>
  <c r="AH71" i="1"/>
  <c r="AH79" i="1"/>
  <c r="AH80" i="1"/>
  <c r="AH81" i="1"/>
  <c r="AH88" i="1"/>
  <c r="AH89" i="1"/>
  <c r="AH94" i="1"/>
  <c r="AH95" i="1"/>
  <c r="AH103" i="1"/>
  <c r="AH106" i="1"/>
  <c r="AH107" i="1"/>
  <c r="AH108" i="1"/>
  <c r="AH109" i="1"/>
  <c r="AH110" i="1"/>
  <c r="AH114" i="1"/>
  <c r="AH115" i="1"/>
  <c r="AH116" i="1"/>
  <c r="AH117" i="1"/>
  <c r="AH122" i="1"/>
  <c r="AH138" i="1"/>
  <c r="AH142" i="1"/>
  <c r="AH155" i="1"/>
  <c r="AH162" i="1"/>
  <c r="AH163" i="1"/>
  <c r="AH164" i="1"/>
  <c r="AH165" i="1"/>
  <c r="AH166" i="1"/>
  <c r="AH167" i="1"/>
  <c r="AH179" i="1"/>
  <c r="AH180" i="1"/>
  <c r="AH187" i="1"/>
  <c r="AH188" i="1"/>
  <c r="AH189" i="1"/>
  <c r="AH190" i="1"/>
  <c r="AH209" i="1"/>
  <c r="AH210" i="1"/>
  <c r="AH211" i="1"/>
  <c r="AH219" i="1"/>
  <c r="AH17" i="1"/>
  <c r="AH18" i="1"/>
  <c r="AH19" i="1"/>
  <c r="AH20" i="1"/>
  <c r="AH23" i="1"/>
  <c r="AH24" i="1"/>
  <c r="AH25" i="1"/>
  <c r="AH26" i="1"/>
  <c r="AH30" i="1"/>
  <c r="AH31" i="1"/>
  <c r="AH48" i="1"/>
  <c r="AH56" i="1"/>
  <c r="AH57" i="1"/>
  <c r="AH58" i="1"/>
  <c r="AH59" i="1"/>
  <c r="AH60" i="1"/>
  <c r="AH82" i="1"/>
  <c r="AH90" i="1"/>
  <c r="AH96" i="1"/>
  <c r="AH118" i="1"/>
  <c r="AH123" i="1"/>
  <c r="AH124" i="1"/>
  <c r="AH125" i="1"/>
  <c r="AH127" i="1"/>
  <c r="AH128" i="1"/>
  <c r="AH129" i="1"/>
  <c r="AH134" i="1"/>
  <c r="AH135" i="1"/>
  <c r="AH136" i="1"/>
  <c r="AH139" i="1"/>
  <c r="AH143" i="1"/>
  <c r="AH147" i="1"/>
  <c r="AH148" i="1"/>
  <c r="AH149" i="1"/>
  <c r="AH150" i="1"/>
  <c r="AH151" i="1"/>
  <c r="AH156" i="1"/>
  <c r="AH157" i="1"/>
  <c r="AH158" i="1"/>
  <c r="AH168" i="1"/>
  <c r="AH169" i="1"/>
  <c r="AH173" i="1"/>
  <c r="AH174" i="1"/>
  <c r="AH181" i="1"/>
  <c r="AH191" i="1"/>
  <c r="AH192" i="1"/>
  <c r="AH193" i="1"/>
  <c r="AH194" i="1"/>
  <c r="AH201" i="1"/>
  <c r="AH202" i="1"/>
  <c r="AH203" i="1"/>
  <c r="AH204" i="1"/>
  <c r="AH205" i="1"/>
  <c r="AH206" i="1"/>
  <c r="AH207" i="1"/>
  <c r="AH220" i="1"/>
  <c r="AH221" i="1"/>
  <c r="AH222" i="1"/>
  <c r="AH200" i="1"/>
  <c r="AH223" i="1"/>
  <c r="AH218" i="1"/>
  <c r="AH21" i="1"/>
  <c r="AH27" i="1"/>
  <c r="AH32" i="1"/>
  <c r="AH33" i="1"/>
  <c r="AH34" i="1"/>
  <c r="AH35" i="1"/>
  <c r="AH49" i="1"/>
  <c r="AH50" i="1"/>
  <c r="AH54" i="1"/>
  <c r="AH61" i="1"/>
  <c r="AH68" i="1"/>
  <c r="AH69" i="1"/>
  <c r="AH72" i="1"/>
  <c r="AH73" i="1"/>
  <c r="AH74" i="1"/>
  <c r="AH75" i="1"/>
  <c r="AH76" i="1"/>
  <c r="AH83" i="1"/>
  <c r="AH84" i="1"/>
  <c r="AH91" i="1"/>
  <c r="AH97" i="1"/>
  <c r="AH98" i="1"/>
  <c r="AH99" i="1"/>
  <c r="AH104" i="1"/>
  <c r="AH105" i="1"/>
  <c r="AH111" i="1"/>
  <c r="AH113" i="1"/>
  <c r="AH130" i="1"/>
  <c r="AH137" i="1"/>
  <c r="AH140" i="1"/>
  <c r="AH141" i="1"/>
  <c r="AH159" i="1"/>
  <c r="AH160" i="1"/>
  <c r="AH161" i="1"/>
  <c r="AH175" i="1"/>
  <c r="AH176" i="1"/>
  <c r="AH177" i="1"/>
  <c r="AH178" i="1"/>
  <c r="AH182" i="1"/>
  <c r="AH195" i="1"/>
  <c r="AH197" i="1"/>
  <c r="AH212" i="1"/>
  <c r="AH213" i="1"/>
  <c r="AH214" i="1"/>
  <c r="AH215" i="1"/>
  <c r="AH121" i="1"/>
  <c r="AH131" i="1"/>
  <c r="AH133" i="1"/>
  <c r="AH145" i="1"/>
  <c r="AH152" i="1"/>
  <c r="AH154" i="1"/>
  <c r="AH171" i="1"/>
  <c r="AH183" i="1"/>
  <c r="AH185" i="1"/>
  <c r="AH196" i="1"/>
  <c r="AH199" i="1"/>
  <c r="AH216" i="1"/>
  <c r="AH217" i="1"/>
  <c r="AH36" i="1"/>
  <c r="AH37" i="1"/>
  <c r="AH38" i="1"/>
  <c r="AH39" i="1"/>
  <c r="AH41" i="1"/>
  <c r="AH42" i="1"/>
  <c r="AH43" i="1"/>
  <c r="AH44" i="1"/>
  <c r="AH45" i="1"/>
  <c r="AH46" i="1"/>
  <c r="AH55" i="1"/>
  <c r="AH70" i="1"/>
  <c r="AH77" i="1"/>
  <c r="AH78" i="1"/>
  <c r="AH85" i="1"/>
  <c r="AH86" i="1"/>
  <c r="AH87" i="1"/>
  <c r="AH92" i="1"/>
  <c r="AH93" i="1"/>
  <c r="AH100" i="1"/>
  <c r="AH101" i="1"/>
  <c r="AH102" i="1"/>
  <c r="AH112" i="1"/>
  <c r="AH119" i="1"/>
  <c r="AH120" i="1"/>
  <c r="AH126" i="1"/>
  <c r="AH132" i="1"/>
  <c r="AH144" i="1"/>
  <c r="AH146" i="1"/>
  <c r="AH153" i="1"/>
  <c r="AH170" i="1"/>
  <c r="AH172" i="1"/>
  <c r="AH184" i="1"/>
  <c r="AH186" i="1"/>
  <c r="AH198" i="1"/>
  <c r="AH208" i="1"/>
  <c r="AH224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<sst xmlns="http://schemas.openxmlformats.org/spreadsheetml/2006/main" count="2269" uniqueCount="782">
  <si>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</si>
  <si>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</si>
  <si>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</si>
  <si>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</si>
  <si>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</si>
  <si>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</si>
  <si>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</si>
  <si>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</si>
  <si>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</si>
  <si>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</si>
  <si>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</si>
  <si>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</si>
  <si>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</si>
  <si>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</si>
  <si>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</si>
  <si>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</si>
  <si>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</si>
  <si>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</si>
  <si>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</si>
  <si>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</si>
  <si>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</si>
  <si>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</si>
  <si>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</si>
  <si>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</si>
  <si>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</si>
  <si>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</si>
  <si>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</si>
  <si>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</si>
  <si>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</si>
  <si>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</si>
  <si>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</si>
  <si>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</si>
  <si>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</si>
  <si>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</si>
  <si>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</si>
  <si>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</si>
  <si>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</si>
  <si>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</si>
  <si>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</si>
  <si>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</si>
  <si>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</si>
  <si>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</si>
  <si>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</si>
  <si>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</si>
  <si>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</si>
  <si>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</si>
  <si>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</si>
  <si>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</si>
  <si>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</si>
  <si>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</si>
  <si>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</si>
  <si>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</si>
  <si>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</si>
  <si>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</si>
  <si>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</si>
  <si>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</si>
  <si>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</si>
  <si>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</si>
  <si>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</si>
  <si>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</si>
  <si>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</si>
  <si>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</si>
  <si>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</si>
  <si>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</si>
  <si>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</si>
  <si>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</si>
  <si>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</si>
  <si>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</si>
  <si>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</si>
  <si>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</si>
  <si>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</si>
  <si>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</si>
  <si>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</si>
  <si>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</si>
  <si>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</si>
  <si>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</si>
  <si>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</si>
  <si>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</si>
  <si>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</si>
  <si>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</si>
  <si>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</si>
  <si>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</si>
  <si>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</si>
  <si>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</si>
  <si>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</si>
  <si>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</si>
  <si>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</si>
  <si>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</si>
  <si>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</si>
  <si>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</si>
  <si>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</si>
  <si>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</si>
  <si>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</si>
  <si>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</si>
  <si>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</si>
  <si>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</si>
  <si>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</si>
  <si>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</si>
  <si>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</si>
  <si>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</si>
  <si>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</si>
  <si>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</si>
  <si>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</si>
  <si>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</si>
  <si>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</si>
  <si>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</si>
  <si>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</si>
  <si>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</si>
  <si>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</si>
  <si>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</si>
  <si>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</si>
  <si>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</si>
  <si>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</si>
  <si>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</si>
  <si>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</si>
  <si>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</si>
  <si>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</si>
  <si>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</si>
  <si>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</si>
  <si>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</si>
  <si>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</si>
  <si>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</si>
  <si>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</si>
  <si>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</si>
  <si>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</si>
  <si>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</si>
  <si>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</si>
  <si>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</si>
  <si>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</si>
  <si>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</si>
  <si>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</si>
  <si>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</si>
  <si>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</si>
  <si>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</si>
  <si>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</si>
  <si>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</si>
  <si>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</si>
  <si>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</si>
  <si>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</si>
  <si>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</si>
  <si>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</si>
  <si>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</si>
  <si>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</si>
  <si>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</si>
  <si>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</si>
  <si>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</si>
  <si>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</si>
  <si>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</si>
  <si>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</si>
  <si>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</si>
  <si>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</si>
  <si>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</si>
  <si>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</si>
  <si>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</si>
  <si>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</si>
  <si>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</si>
  <si>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</si>
  <si>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</si>
  <si>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</si>
  <si>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</si>
  <si>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</si>
  <si>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</si>
  <si>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</si>
  <si>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</si>
  <si>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</si>
  <si>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</si>
  <si>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</si>
  <si>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</si>
  <si>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</si>
  <si>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</si>
  <si>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</si>
  <si>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</si>
  <si>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</si>
  <si>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</si>
  <si>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</si>
  <si>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</si>
  <si>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</si>
  <si>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</si>
  <si>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</si>
  <si>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</si>
  <si>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</si>
  <si>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</si>
  <si>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</si>
  <si>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</si>
  <si>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</si>
  <si>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</si>
  <si>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</si>
  <si>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</si>
  <si>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</si>
  <si>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</si>
  <si>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</si>
  <si>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</si>
  <si>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</si>
  <si>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</si>
  <si>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</si>
  <si>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</si>
  <si>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</si>
  <si>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</si>
  <si>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</si>
  <si>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</si>
  <si>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</si>
  <si>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</si>
  <si>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</si>
  <si>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</si>
  <si>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</si>
  <si>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</si>
  <si>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</si>
  <si>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</si>
  <si>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</si>
  <si>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</si>
  <si>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</si>
  <si>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</si>
  <si>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</si>
  <si>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</si>
  <si>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</si>
  <si>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</si>
  <si>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</si>
  <si>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</si>
  <si>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</si>
  <si>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</si>
  <si>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</si>
  <si>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</si>
  <si>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</si>
  <si>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</si>
  <si>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</si>
  <si>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204:233302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</si>
  <si>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</si>
  <si>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</si>
  <si>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</si>
  <si>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</si>
  <si>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</si>
  <si>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</si>
  <si>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</si>
  <si>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</si>
  <si>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</si>
  <si>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</si>
  <si>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</si>
  <si>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rtdc.l.rtdc.4015:itc</t>
  </si>
  <si>
    <t>204:139</t>
  </si>
  <si>
    <t>204:473</t>
  </si>
  <si>
    <t>204:458</t>
  </si>
  <si>
    <t>204:464</t>
  </si>
  <si>
    <t>204:232984</t>
  </si>
  <si>
    <t>204:232969</t>
  </si>
  <si>
    <t>204:467</t>
  </si>
  <si>
    <t>204:141</t>
  </si>
  <si>
    <t>204:460</t>
  </si>
  <si>
    <t>human_readable_time</t>
  </si>
  <si>
    <t>DELGADO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</si>
  <si>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</si>
  <si>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</si>
  <si>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</si>
  <si>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</si>
  <si>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</si>
  <si>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</si>
  <si>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</si>
  <si>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204:444</t>
  </si>
  <si>
    <t>204:449</t>
  </si>
  <si>
    <t>204:232967</t>
  </si>
  <si>
    <t>204:169</t>
  </si>
  <si>
    <t>204:475</t>
  </si>
  <si>
    <t>precipType</t>
  </si>
  <si>
    <t>rain</t>
  </si>
  <si>
    <t>partly-cloudy-night</t>
  </si>
  <si>
    <t>Drizzle</t>
  </si>
  <si>
    <t>Time (US/Mountain)</t>
  </si>
  <si>
    <t>Source</t>
  </si>
  <si>
    <t>Employee Identifier</t>
  </si>
  <si>
    <t>Employee Last Name</t>
  </si>
  <si>
    <t>Early arrival</t>
  </si>
  <si>
    <t>Pena 4S STOP, cleared shortly</t>
  </si>
  <si>
    <t>TEMPORARY SPEED RESTRICTION</t>
  </si>
  <si>
    <t>Reactive Warning (1)</t>
  </si>
  <si>
    <t>204:233299</t>
  </si>
  <si>
    <t>204:233278</t>
  </si>
  <si>
    <t>204:462</t>
  </si>
  <si>
    <t>204:435</t>
  </si>
  <si>
    <t>204:493</t>
  </si>
  <si>
    <t>204:446</t>
  </si>
  <si>
    <t>204:172</t>
  </si>
  <si>
    <t>204:233306</t>
  </si>
  <si>
    <t>300:58624</t>
  </si>
  <si>
    <t>204:979</t>
  </si>
  <si>
    <t>300:58617</t>
  </si>
  <si>
    <t>RICHARDSON</t>
  </si>
  <si>
    <t>SPECTOR</t>
  </si>
  <si>
    <t>ROCHA</t>
  </si>
  <si>
    <t>BERLING</t>
  </si>
  <si>
    <t>SMITH</t>
  </si>
  <si>
    <t>rtdc.l.rtdc.4054:itc</t>
  </si>
  <si>
    <t>rtdc.l.rtdc.4017:itc</t>
  </si>
  <si>
    <t>204:143</t>
  </si>
  <si>
    <t>204:233316</t>
  </si>
  <si>
    <t>204:232955</t>
  </si>
  <si>
    <t>204:484</t>
  </si>
  <si>
    <t>BRANDNER</t>
  </si>
  <si>
    <t>HILLS</t>
  </si>
  <si>
    <t>rtdc.l.rtdc.4022:itc</t>
  </si>
  <si>
    <t>rtdc.l.rtdc.4044:itc</t>
  </si>
  <si>
    <t>MAELZER</t>
  </si>
  <si>
    <t>STRICKLAND</t>
  </si>
  <si>
    <t>rtdc.l.rtdc.4043:itc</t>
  </si>
  <si>
    <t>BONDS</t>
  </si>
  <si>
    <t>MOSES</t>
  </si>
  <si>
    <t>STURGEON</t>
  </si>
  <si>
    <t>204:233276</t>
  </si>
  <si>
    <t>204:437</t>
  </si>
  <si>
    <t>204:232959</t>
  </si>
  <si>
    <t>204:232986</t>
  </si>
  <si>
    <t>204:233284</t>
  </si>
  <si>
    <t>204:123</t>
  </si>
  <si>
    <t>204:232998</t>
  </si>
  <si>
    <t>204:232971</t>
  </si>
  <si>
    <t>204:176</t>
  </si>
  <si>
    <t>204:232975</t>
  </si>
  <si>
    <t>204:233280</t>
  </si>
  <si>
    <t>300:58997</t>
  </si>
  <si>
    <t>300:58623</t>
  </si>
  <si>
    <t>204:685</t>
  </si>
  <si>
    <t>300:58943</t>
  </si>
  <si>
    <t>204:678</t>
  </si>
  <si>
    <t>204:937</t>
  </si>
  <si>
    <t>204:726</t>
  </si>
  <si>
    <t>204:969</t>
  </si>
  <si>
    <t>clear-night</t>
  </si>
  <si>
    <t>Clear</t>
  </si>
  <si>
    <t>Loco - PTC</t>
  </si>
  <si>
    <t>Power</t>
  </si>
  <si>
    <t>204:233305</t>
  </si>
  <si>
    <t>204:233301</t>
  </si>
  <si>
    <t>204:233312</t>
  </si>
  <si>
    <t>204:442</t>
  </si>
  <si>
    <t>204:170</t>
  </si>
  <si>
    <t>204:232953</t>
  </si>
  <si>
    <t>204:233007</t>
  </si>
  <si>
    <t>204:233297</t>
  </si>
  <si>
    <t>204:233244</t>
  </si>
  <si>
    <t>204:232934</t>
  </si>
  <si>
    <t>204:233264</t>
  </si>
  <si>
    <t>204:232976</t>
  </si>
  <si>
    <t>204:233251</t>
  </si>
  <si>
    <t>204:174</t>
  </si>
  <si>
    <t>204:233001</t>
  </si>
  <si>
    <t>204:233274</t>
  </si>
  <si>
    <t>204:232974</t>
  </si>
  <si>
    <t>204:130</t>
  </si>
  <si>
    <t>204:232957</t>
  </si>
  <si>
    <t>204:127</t>
  </si>
  <si>
    <t>204:232965</t>
  </si>
  <si>
    <t>204:136</t>
  </si>
  <si>
    <t>204:233318</t>
  </si>
  <si>
    <t>204:161</t>
  </si>
  <si>
    <t>204:233303</t>
  </si>
  <si>
    <t>204:477</t>
  </si>
  <si>
    <t>204:233263</t>
  </si>
  <si>
    <t>242-15</t>
  </si>
  <si>
    <t>244-15</t>
  </si>
  <si>
    <t>309-15</t>
  </si>
  <si>
    <t>204:478</t>
  </si>
  <si>
    <t>311-15</t>
  </si>
  <si>
    <t>313-15</t>
  </si>
  <si>
    <t>315-15</t>
  </si>
  <si>
    <t>204:486</t>
  </si>
  <si>
    <t>300:31295</t>
  </si>
  <si>
    <t>300:58636</t>
  </si>
  <si>
    <t>300:58609</t>
  </si>
  <si>
    <t>204:701</t>
  </si>
  <si>
    <t>300:58613</t>
  </si>
  <si>
    <t>204:682</t>
  </si>
  <si>
    <t>300:58926</t>
  </si>
  <si>
    <t>204:670</t>
  </si>
  <si>
    <t>300:58615</t>
  </si>
  <si>
    <t>300:58924</t>
  </si>
  <si>
    <t>300:58606</t>
  </si>
  <si>
    <t>204:724</t>
  </si>
  <si>
    <t>300:58608</t>
  </si>
  <si>
    <t>204:647</t>
  </si>
  <si>
    <t>300:58946</t>
  </si>
  <si>
    <t>rtdc.l.rtdc.4032:itc</t>
  </si>
  <si>
    <t>rtdc.l.rtdc.4001:itc</t>
  </si>
  <si>
    <t>rtdc.l.rtdc.4045:itc</t>
  </si>
  <si>
    <t>rtdc.l.rtdc.4005:itc</t>
  </si>
  <si>
    <t>rtdc.l.rtdc.4002:itc</t>
  </si>
  <si>
    <t>MALAVE</t>
  </si>
  <si>
    <t>rtdc.l.rtdc.4021:itc</t>
  </si>
  <si>
    <t>NEWELL</t>
  </si>
  <si>
    <t>rtdc.l.rtdc.4006:itc</t>
  </si>
  <si>
    <t>clear-day</t>
  </si>
  <si>
    <t>rtdc.l.rtdc.4003:itc</t>
  </si>
  <si>
    <t>101-16</t>
  </si>
  <si>
    <t>rtdc.l.rtdc.4038:itc</t>
  </si>
  <si>
    <t>103-16</t>
  </si>
  <si>
    <t>DAVIS</t>
  </si>
  <si>
    <t>102-16</t>
  </si>
  <si>
    <t>105-16</t>
  </si>
  <si>
    <t>107-16</t>
  </si>
  <si>
    <t>104-16</t>
  </si>
  <si>
    <t>109-16</t>
  </si>
  <si>
    <t>800-16</t>
  </si>
  <si>
    <t>111-16</t>
  </si>
  <si>
    <t>113-16</t>
  </si>
  <si>
    <t>106-16</t>
  </si>
  <si>
    <t>108-16</t>
  </si>
  <si>
    <t>110-16</t>
  </si>
  <si>
    <t>115-16</t>
  </si>
  <si>
    <t>117-16</t>
  </si>
  <si>
    <t>801-16</t>
  </si>
  <si>
    <t>rtdc.l.rtdc.4004:itc</t>
  </si>
  <si>
    <t>112-16</t>
  </si>
  <si>
    <t>119-16</t>
  </si>
  <si>
    <t>114-16</t>
  </si>
  <si>
    <t>121-16</t>
  </si>
  <si>
    <t>803-16</t>
  </si>
  <si>
    <t>ROBINSON</t>
  </si>
  <si>
    <t>802-16</t>
  </si>
  <si>
    <t>rtdc.l.rtdc.4037:itc</t>
  </si>
  <si>
    <t>116-16</t>
  </si>
  <si>
    <t>123-16</t>
  </si>
  <si>
    <t>118-16</t>
  </si>
  <si>
    <t>805-16</t>
  </si>
  <si>
    <t>125-16</t>
  </si>
  <si>
    <t>804-16</t>
  </si>
  <si>
    <t>127-16</t>
  </si>
  <si>
    <t>120-16</t>
  </si>
  <si>
    <t>122-16</t>
  </si>
  <si>
    <t>806-16</t>
  </si>
  <si>
    <t>129-16</t>
  </si>
  <si>
    <t>807-16</t>
  </si>
  <si>
    <t>124-16</t>
  </si>
  <si>
    <t>131-16</t>
  </si>
  <si>
    <t>126-16</t>
  </si>
  <si>
    <t>808-16</t>
  </si>
  <si>
    <t>133-16</t>
  </si>
  <si>
    <t>809-16</t>
  </si>
  <si>
    <t>128-16</t>
  </si>
  <si>
    <t>135-16</t>
  </si>
  <si>
    <t>810-16</t>
  </si>
  <si>
    <t>137-16</t>
  </si>
  <si>
    <t>130-16</t>
  </si>
  <si>
    <t>811-16</t>
  </si>
  <si>
    <t>132-16</t>
  </si>
  <si>
    <t>139-16</t>
  </si>
  <si>
    <t>134-16</t>
  </si>
  <si>
    <t>903-16</t>
  </si>
  <si>
    <t>812-16</t>
  </si>
  <si>
    <t>141-16</t>
  </si>
  <si>
    <t>136-16</t>
  </si>
  <si>
    <t>813-16</t>
  </si>
  <si>
    <t>143-16</t>
  </si>
  <si>
    <t>138-16</t>
  </si>
  <si>
    <t>145-16</t>
  </si>
  <si>
    <t>140-16</t>
  </si>
  <si>
    <t>147-16</t>
  </si>
  <si>
    <t>142-16</t>
  </si>
  <si>
    <t>814-16</t>
  </si>
  <si>
    <t>149-16</t>
  </si>
  <si>
    <t>151-16</t>
  </si>
  <si>
    <t>144-16</t>
  </si>
  <si>
    <t>815-16</t>
  </si>
  <si>
    <t>146-16</t>
  </si>
  <si>
    <t>153-16</t>
  </si>
  <si>
    <t>155-16</t>
  </si>
  <si>
    <t>50-16</t>
  </si>
  <si>
    <t>148-16</t>
  </si>
  <si>
    <t>150-16</t>
  </si>
  <si>
    <t>816-16</t>
  </si>
  <si>
    <t>157-16</t>
  </si>
  <si>
    <t>152-16</t>
  </si>
  <si>
    <t>159-16</t>
  </si>
  <si>
    <t>STEWART</t>
  </si>
  <si>
    <t>817-16</t>
  </si>
  <si>
    <t>154-16</t>
  </si>
  <si>
    <t>52-16</t>
  </si>
  <si>
    <t>161-16</t>
  </si>
  <si>
    <t>51-16</t>
  </si>
  <si>
    <t>GRASTON</t>
  </si>
  <si>
    <t>156-16</t>
  </si>
  <si>
    <t>163-16</t>
  </si>
  <si>
    <t>818-16</t>
  </si>
  <si>
    <t>158-16</t>
  </si>
  <si>
    <t>165-16</t>
  </si>
  <si>
    <t>160-16</t>
  </si>
  <si>
    <t>167-16</t>
  </si>
  <si>
    <t>HAITHCOX</t>
  </si>
  <si>
    <t>162-16</t>
  </si>
  <si>
    <t>819-16</t>
  </si>
  <si>
    <t>169-16</t>
  </si>
  <si>
    <t>SWANSON</t>
  </si>
  <si>
    <t>164-16</t>
  </si>
  <si>
    <t>53-16</t>
  </si>
  <si>
    <t>171-16</t>
  </si>
  <si>
    <t>166-16</t>
  </si>
  <si>
    <t>820-16</t>
  </si>
  <si>
    <t>173-16</t>
  </si>
  <si>
    <t>168-16</t>
  </si>
  <si>
    <t>175-16</t>
  </si>
  <si>
    <t>CLARK</t>
  </si>
  <si>
    <t>170-16</t>
  </si>
  <si>
    <t>821-16</t>
  </si>
  <si>
    <t>177-16</t>
  </si>
  <si>
    <t>172-16</t>
  </si>
  <si>
    <t>179-16</t>
  </si>
  <si>
    <t>174-16</t>
  </si>
  <si>
    <t>822-16</t>
  </si>
  <si>
    <t>181-16</t>
  </si>
  <si>
    <t>176-16</t>
  </si>
  <si>
    <t>183-16</t>
  </si>
  <si>
    <t>178-16</t>
  </si>
  <si>
    <t>823-16</t>
  </si>
  <si>
    <t>185-16</t>
  </si>
  <si>
    <t>180-16</t>
  </si>
  <si>
    <t>187-16</t>
  </si>
  <si>
    <t>182-16</t>
  </si>
  <si>
    <t>189-16</t>
  </si>
  <si>
    <t>824-16</t>
  </si>
  <si>
    <t>184-16</t>
  </si>
  <si>
    <t>186-16</t>
  </si>
  <si>
    <t>191-16</t>
  </si>
  <si>
    <t>825-16</t>
  </si>
  <si>
    <t>193-16</t>
  </si>
  <si>
    <t>188-16</t>
  </si>
  <si>
    <t>904-16</t>
  </si>
  <si>
    <t>195-16</t>
  </si>
  <si>
    <t>66-16</t>
  </si>
  <si>
    <t>POLLOCK</t>
  </si>
  <si>
    <t>190-16</t>
  </si>
  <si>
    <t>827-16</t>
  </si>
  <si>
    <t>826-16</t>
  </si>
  <si>
    <t>197-16</t>
  </si>
  <si>
    <t>192-16</t>
  </si>
  <si>
    <t>199-16</t>
  </si>
  <si>
    <t>829-16</t>
  </si>
  <si>
    <t>194-16</t>
  </si>
  <si>
    <t>828-16</t>
  </si>
  <si>
    <t>201-16</t>
  </si>
  <si>
    <t>196-16</t>
  </si>
  <si>
    <t>203-16</t>
  </si>
  <si>
    <t>198-16</t>
  </si>
  <si>
    <t>831-16</t>
  </si>
  <si>
    <t>205-16</t>
  </si>
  <si>
    <t>200-16</t>
  </si>
  <si>
    <t>830-16</t>
  </si>
  <si>
    <t>207-16</t>
  </si>
  <si>
    <t>202-16</t>
  </si>
  <si>
    <t>832-16</t>
  </si>
  <si>
    <t>209-16</t>
  </si>
  <si>
    <t>204-16</t>
  </si>
  <si>
    <t>833-16</t>
  </si>
  <si>
    <t>HELVIE</t>
  </si>
  <si>
    <t>211-16</t>
  </si>
  <si>
    <t>206-16</t>
  </si>
  <si>
    <t>835-16</t>
  </si>
  <si>
    <t>213-16</t>
  </si>
  <si>
    <t>YANAI</t>
  </si>
  <si>
    <t>834-16</t>
  </si>
  <si>
    <t>54-16</t>
  </si>
  <si>
    <t>CHANDLER</t>
  </si>
  <si>
    <t>208-16</t>
  </si>
  <si>
    <t>215-16</t>
  </si>
  <si>
    <t>210-16</t>
  </si>
  <si>
    <t>836-16</t>
  </si>
  <si>
    <t>212-16</t>
  </si>
  <si>
    <t>217-16</t>
  </si>
  <si>
    <t>837-16</t>
  </si>
  <si>
    <t>56-16</t>
  </si>
  <si>
    <t>219-16</t>
  </si>
  <si>
    <t>839-16</t>
  </si>
  <si>
    <t>214-16</t>
  </si>
  <si>
    <t>303-16</t>
  </si>
  <si>
    <t>838-16</t>
  </si>
  <si>
    <t>216-16</t>
  </si>
  <si>
    <t>221-16</t>
  </si>
  <si>
    <t>906-16</t>
  </si>
  <si>
    <t>841-16</t>
  </si>
  <si>
    <t>218-16</t>
  </si>
  <si>
    <t>305-16</t>
  </si>
  <si>
    <t>220-16</t>
  </si>
  <si>
    <t>223-16</t>
  </si>
  <si>
    <t>840-16</t>
  </si>
  <si>
    <t>307-16</t>
  </si>
  <si>
    <t>222-16</t>
  </si>
  <si>
    <t>225-16</t>
  </si>
  <si>
    <t>843-16</t>
  </si>
  <si>
    <t>224-16</t>
  </si>
  <si>
    <t>227-16</t>
  </si>
  <si>
    <t>842-16</t>
  </si>
  <si>
    <t>226-16</t>
  </si>
  <si>
    <t>229-16</t>
  </si>
  <si>
    <t>845-16</t>
  </si>
  <si>
    <t>231-16</t>
  </si>
  <si>
    <t>228-16</t>
  </si>
  <si>
    <t>844-16</t>
  </si>
  <si>
    <t>233-16</t>
  </si>
  <si>
    <t>230-16</t>
  </si>
  <si>
    <t>847-16</t>
  </si>
  <si>
    <t>232-16</t>
  </si>
  <si>
    <t>235-16</t>
  </si>
  <si>
    <t>908-16</t>
  </si>
  <si>
    <t>237-16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</si>
  <si>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</si>
  <si>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</si>
  <si>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</si>
  <si>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</si>
  <si>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</si>
  <si>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</si>
  <si>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</si>
  <si>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</si>
  <si>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</si>
  <si>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</si>
  <si>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</si>
  <si>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</si>
  <si>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</si>
  <si>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</si>
  <si>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</si>
  <si>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204:232675</t>
  </si>
  <si>
    <t>204:772</t>
  </si>
  <si>
    <t>204:232669</t>
  </si>
  <si>
    <t>204:763</t>
  </si>
  <si>
    <t>204:233347</t>
  </si>
  <si>
    <t>204:232209</t>
  </si>
  <si>
    <t>204:233123</t>
  </si>
  <si>
    <t>204:232802</t>
  </si>
  <si>
    <t>204:232973</t>
  </si>
  <si>
    <t>204:233287</t>
  </si>
  <si>
    <t>204:145</t>
  </si>
  <si>
    <t>204:2111</t>
  </si>
  <si>
    <t>204:233268</t>
  </si>
  <si>
    <t>204:129</t>
  </si>
  <si>
    <t>204:233130</t>
  </si>
  <si>
    <t>204:232811</t>
  </si>
  <si>
    <t>204:233242</t>
  </si>
  <si>
    <t>204:232923</t>
  </si>
  <si>
    <t>204:233285</t>
  </si>
  <si>
    <t>204:232949</t>
  </si>
  <si>
    <t>204:233249</t>
  </si>
  <si>
    <t>204:232963</t>
  </si>
  <si>
    <t>204:420</t>
  </si>
  <si>
    <t>204:233193</t>
  </si>
  <si>
    <t>204:232879</t>
  </si>
  <si>
    <t>204:232966</t>
  </si>
  <si>
    <t>204:232947</t>
  </si>
  <si>
    <t>204:156</t>
  </si>
  <si>
    <t>204:232982</t>
  </si>
  <si>
    <t>204:433</t>
  </si>
  <si>
    <t>204:233270</t>
  </si>
  <si>
    <t>204:232943</t>
  </si>
  <si>
    <t>204:440</t>
  </si>
  <si>
    <t>204:232928</t>
  </si>
  <si>
    <t>204:185</t>
  </si>
  <si>
    <t>204:233286</t>
  </si>
  <si>
    <t>204:233259</t>
  </si>
  <si>
    <t>204:233288</t>
  </si>
  <si>
    <t>204:233281</t>
  </si>
  <si>
    <t>204:232950</t>
  </si>
  <si>
    <t>204:233213</t>
  </si>
  <si>
    <t>204:232892</t>
  </si>
  <si>
    <t>204:232938</t>
  </si>
  <si>
    <t>204:233307</t>
  </si>
  <si>
    <t>204:233223</t>
  </si>
  <si>
    <t>204:232908</t>
  </si>
  <si>
    <t>204:233320</t>
  </si>
  <si>
    <t>204:127842</t>
  </si>
  <si>
    <t>204:232992</t>
  </si>
  <si>
    <t>204:191248</t>
  </si>
  <si>
    <t>204:232940</t>
  </si>
  <si>
    <t>204:233261</t>
  </si>
  <si>
    <t>204:165</t>
  </si>
  <si>
    <t>204:424</t>
  </si>
  <si>
    <t>204:233272</t>
  </si>
  <si>
    <t>204:232951</t>
  </si>
  <si>
    <t>204:438</t>
  </si>
  <si>
    <t>204:232925</t>
  </si>
  <si>
    <t>204:497</t>
  </si>
  <si>
    <t>204:232932</t>
  </si>
  <si>
    <t>204:233351</t>
  </si>
  <si>
    <t>204:233046</t>
  </si>
  <si>
    <t>204:233247</t>
  </si>
  <si>
    <t>204:232445</t>
  </si>
  <si>
    <t>204:233236</t>
  </si>
  <si>
    <t>204:232915</t>
  </si>
  <si>
    <t>204:233328</t>
  </si>
  <si>
    <t>204:37763</t>
  </si>
  <si>
    <t>204:233238</t>
  </si>
  <si>
    <t>204:232930</t>
  </si>
  <si>
    <t>204:167</t>
  </si>
  <si>
    <t>204:233337</t>
  </si>
  <si>
    <t>204:62034</t>
  </si>
  <si>
    <t>204:36785</t>
  </si>
  <si>
    <t>204:233009</t>
  </si>
  <si>
    <t>204:44984</t>
  </si>
  <si>
    <t>204:86375</t>
  </si>
  <si>
    <t>204:176865</t>
  </si>
  <si>
    <t>204:233332</t>
  </si>
  <si>
    <t>204:233015</t>
  </si>
  <si>
    <t>204:491</t>
  </si>
  <si>
    <t>300:23312</t>
  </si>
  <si>
    <t>300:23301</t>
  </si>
  <si>
    <t>300:23304</t>
  </si>
  <si>
    <t>204:480</t>
  </si>
  <si>
    <t>300:23102</t>
  </si>
  <si>
    <t>204:504</t>
  </si>
  <si>
    <t>300:23289</t>
  </si>
  <si>
    <t>300:22024</t>
  </si>
  <si>
    <t>204:922</t>
  </si>
  <si>
    <t>300:24070</t>
  </si>
  <si>
    <t>300:19254</t>
  </si>
  <si>
    <t>300:23366</t>
  </si>
  <si>
    <t>204:897</t>
  </si>
  <si>
    <t>204:1203</t>
  </si>
  <si>
    <t>300:24208</t>
  </si>
  <si>
    <t>300:24580</t>
  </si>
  <si>
    <t>300:24315</t>
  </si>
  <si>
    <t>300:58643</t>
  </si>
  <si>
    <t>204:659</t>
  </si>
  <si>
    <t>204:953</t>
  </si>
  <si>
    <t>300:58965</t>
  </si>
  <si>
    <t>300:58658</t>
  </si>
  <si>
    <t>204:715</t>
  </si>
  <si>
    <t>204:978</t>
  </si>
  <si>
    <t>204:680</t>
  </si>
  <si>
    <t>204:997</t>
  </si>
  <si>
    <t>300:58655</t>
  </si>
  <si>
    <t>300:58922</t>
  </si>
  <si>
    <t>204:666</t>
  </si>
  <si>
    <t>300:58630</t>
  </si>
  <si>
    <t>204:771</t>
  </si>
  <si>
    <t>204:960</t>
  </si>
  <si>
    <t>204:684</t>
  </si>
  <si>
    <t>204:971</t>
  </si>
  <si>
    <t>300:58875</t>
  </si>
  <si>
    <t>300:58557</t>
  </si>
  <si>
    <t>204:687</t>
  </si>
  <si>
    <t>204:957</t>
  </si>
  <si>
    <t>300:59001</t>
  </si>
  <si>
    <t>300:58688</t>
  </si>
  <si>
    <t>204:974</t>
  </si>
  <si>
    <t>300:58692</t>
  </si>
  <si>
    <t>300:58681</t>
  </si>
  <si>
    <t>204:967</t>
  </si>
  <si>
    <t>204:778</t>
  </si>
  <si>
    <t>204:1107</t>
  </si>
  <si>
    <t>300:58937</t>
  </si>
  <si>
    <t>204:698</t>
  </si>
  <si>
    <t>204:930</t>
  </si>
  <si>
    <t>300:57605</t>
  </si>
  <si>
    <t>300:58656</t>
  </si>
  <si>
    <t>204:657</t>
  </si>
  <si>
    <t>300:11856</t>
  </si>
  <si>
    <t>204:911</t>
  </si>
  <si>
    <t>300:10402</t>
  </si>
  <si>
    <t>300:57322</t>
  </si>
  <si>
    <t>204:759</t>
  </si>
  <si>
    <t>300:11609</t>
  </si>
  <si>
    <t>204:748</t>
  </si>
  <si>
    <t>204:1048</t>
  </si>
  <si>
    <t>300:14335</t>
  </si>
  <si>
    <t>204:619</t>
  </si>
  <si>
    <t>204:1035</t>
  </si>
  <si>
    <t>300:11629</t>
  </si>
  <si>
    <t>204:766</t>
  </si>
  <si>
    <t>204:932</t>
  </si>
  <si>
    <t>300:58084</t>
  </si>
  <si>
    <t>300:58611</t>
  </si>
  <si>
    <t>204:1041</t>
  </si>
  <si>
    <t>204:705</t>
  </si>
  <si>
    <t>204:964</t>
  </si>
  <si>
    <t>300:57318</t>
  </si>
  <si>
    <t>204:635</t>
  </si>
  <si>
    <t>204:995</t>
  </si>
  <si>
    <t>204:1049</t>
  </si>
  <si>
    <t>300:23540</t>
  </si>
  <si>
    <t>300:21983</t>
  </si>
  <si>
    <t>300:28772</t>
  </si>
  <si>
    <t>300:58566</t>
  </si>
  <si>
    <t>300:21784</t>
  </si>
  <si>
    <t>Summary for DUS 2016-09-16: Drizzle starting in the evening.</t>
  </si>
  <si>
    <t>Signaling failure at EC0365 40-2T 2S?</t>
  </si>
  <si>
    <t>Between 20:52:26 and 20:54:50, EC0365 40-2T 2S went back and forth between 0 and 270. Was this erroneous or as-designed?</t>
  </si>
  <si>
    <t>38th&amp;41st 4N was "stuck" at STOP</t>
  </si>
  <si>
    <t>From approx 16:25:00 to 18:26:20, 38th&amp;41st 4N was stuck at STOP. Anything look strange?</t>
  </si>
  <si>
    <t>Monaco Pkwy offline from 2016-09-16 23:50:55 - 2016-09-17 00:05:26</t>
  </si>
  <si>
    <t>Monaco Pkwy XWIU was offline from 2016-09-16 23:50:55 - 2016-09-17 00:05:26. Any insight as to why?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</si>
</sst>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6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0"/>
  <sheetViews>
    <sheetView tabSelected="1" workbookViewId="0">
      <selection activeCell="R156" sqref="R156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115</v>
      </c>
      <c r="J1" s="43"/>
      <c r="K1" s="30"/>
      <c r="L1" s="30"/>
      <c r="M1" s="42"/>
      <c r="N1" s="43"/>
      <c r="O1" s="2"/>
      <c r="P1" s="2"/>
      <c r="R1" s="40" t="s">
        <v>116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42629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COUNTIFS($N$13:$N$9403,"&gt;0",$AG$13:$AG$9403,I1)</f>
        <v>141</v>
      </c>
      <c r="K5" s="46"/>
      <c r="L5" s="46"/>
      <c r="M5" s="47">
        <f>AVERAGEIFS($N$13:$N$9403,$AG$13:$AG$9403,I1)</f>
        <v>38.793380615534261</v>
      </c>
      <c r="N5" s="45">
        <f t="array" ref="N5">MIN(IF($AG$13:$AG$9403=I1,IF(ISNUMBER($N$13:$N$9403),IF($N$13:$N$9403&gt;0,$N$13:$N$9403))))</f>
        <v>34.68333333148621</v>
      </c>
      <c r="O5" s="3">
        <f t="array" ref="O5">MAX(IF($AG$13:$AG$9403=I1,IF(ISNUMBER($N$13:$N$9403),IF($N$13:$N$9403&gt;0,$N$13:$N$9403))))</f>
        <v>52.783333340194076</v>
      </c>
      <c r="P5" s="2"/>
      <c r="R5" s="87" t="s">
        <v>17</v>
      </c>
      <c r="S5" s="57">
        <f>COUNTIFS($N$13:$N$9403,"&gt;0",$AG$13:$AG$9403,R1)</f>
        <v>41</v>
      </c>
      <c r="T5" s="46"/>
      <c r="U5" s="160"/>
      <c r="V5" s="47">
        <f>AVERAGEIFS($N$13:$N$9403,$AG$13:$AG$9403,R1)</f>
        <v>15.315873015622076</v>
      </c>
      <c r="W5" s="45">
        <f t="array" ref="W5">MIN(IF($AG$13:$AG$9403=R1,IF(ISNUMBER($N$13:$N$9403),IF($N$13:$N$9403&gt;0,$N$13:$N$9403))))</f>
        <v>13.016666671028361</v>
      </c>
      <c r="X5" s="165">
        <f t="array" ref="X5">MAX(IF($AG$13:$AG$9403=R1,IF(ISNUMBER($N$13:$N$9403),IF($N$13:$N$9403&gt;0,$N$13:$N$9403))))</f>
        <v>27.533333336468786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COUNT($O$13:$O$169)</f>
        <v>0</v>
      </c>
      <c r="K6" s="46"/>
      <c r="L6" s="46"/>
      <c r="M6" s="47">
        <f>IFERROR(AVERAGE($O$13:$O$169),0)</f>
        <v>0</v>
      </c>
      <c r="N6" s="45">
        <f>MIN($O$13:$O$169)</f>
        <v>0</v>
      </c>
      <c r="O6" s="3">
        <f>MAX($O$13:$O$169)</f>
        <v>0</v>
      </c>
      <c r="P6" s="2"/>
      <c r="R6" s="88" t="s">
        <v>43</v>
      </c>
      <c r="S6" s="57">
        <f>COUNT($O$13:$O$169)</f>
        <v>0</v>
      </c>
      <c r="T6" s="46"/>
      <c r="U6" s="160"/>
      <c r="V6" s="47">
        <f>IFERROR(AVERAGE($O$13:$O$169),0)</f>
        <v>0</v>
      </c>
      <c r="W6" s="45">
        <f>MIN($O$13:$O$169)</f>
        <v>0</v>
      </c>
      <c r="X6" s="165">
        <f>MAX($O$13:$O$169)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COUNTIFS($P$13:$P$9403,"&gt;0",$AG$13:$AG$9403,I1)</f>
        <v>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COUNTIFS($P$13:$P$9403,"&gt;0",$AG$13:$AG$9403,R1)</f>
        <v>5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38.793380615534261</v>
      </c>
      <c r="N8" s="45">
        <f>N5</f>
        <v>34.68333333148621</v>
      </c>
      <c r="O8" s="3">
        <f>O5</f>
        <v>52.783333340194076</v>
      </c>
      <c r="P8" s="2"/>
      <c r="R8" s="87" t="s">
        <v>16</v>
      </c>
      <c r="S8" s="57">
        <f>S5</f>
        <v>41</v>
      </c>
      <c r="T8" s="46"/>
      <c r="U8" s="160"/>
      <c r="V8" s="47">
        <f>V5</f>
        <v>15.315873015622076</v>
      </c>
      <c r="W8" s="45">
        <f>W5</f>
        <v>13.016666671028361</v>
      </c>
      <c r="X8" s="165">
        <f>X5</f>
        <v>27.533333336468786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0.96575342465753422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0.89130434782608692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- 2016-09-16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AVERAGE(S13:S114)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117</v>
      </c>
      <c r="AH12" s="101" t="s">
        <v>119</v>
      </c>
      <c r="AI12" s="133" t="s">
        <v>163</v>
      </c>
      <c r="AJ12" s="53" t="s">
        <v>164</v>
      </c>
      <c r="AK12" s="53" t="s">
        <v>137</v>
      </c>
      <c r="AL12" s="53" t="s">
        <v>165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389</v>
      </c>
      <c r="B13" s="7">
        <v>4003</v>
      </c>
      <c r="C13" s="24" t="s">
        <v>107</v>
      </c>
      <c r="D13" s="24" t="s">
        <v>322</v>
      </c>
      <c r="E13" s="15">
        <v>42629.128958333335</v>
      </c>
      <c r="F13" s="15">
        <v>42629.135659722226</v>
      </c>
      <c r="G13" s="7">
        <v>1</v>
      </c>
      <c r="H13" s="15" t="s">
        <v>280</v>
      </c>
      <c r="I13" s="15">
        <v>42629.164305555554</v>
      </c>
      <c r="J13" s="7">
        <v>0</v>
      </c>
      <c r="K13" s="121" t="str">
        <f t="shared" ref="K13:K76" si="0">IF(ISEVEN(B13),(B13-1)&amp;"/"&amp;B13,B13&amp;"/"&amp;(B13+1))</f>
        <v>4003/4004</v>
      </c>
      <c r="L13" s="24" t="str">
        <f>VLOOKUP(A13,'Trips&amp;Operators'!$C$1:$E$10000,3,FALSE)</f>
        <v>MAELZER</v>
      </c>
      <c r="M13" s="6">
        <f t="shared" ref="M13:M76" si="1">I13-F13</f>
        <v>2.8645833328482695E-2</v>
      </c>
      <c r="N13" s="7">
        <f t="shared" ref="N13:N44" si="2">24*60*SUM($M13:$M13)</f>
        <v>41.249999993015081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https://search-rtdc-monitor-bjffxe2xuh6vdkpspy63sjmuny.us-east-1.es.amazonaws.com/_plugin/kibana/#/discover/Steve-Slow-Train-Analysis-(2080s-and-2083s)?_g=(refreshInterval:(display:Off,section:0,value:0),time:(from:'2016-09-16 02:05:42-0600',mode:absolute,to:'2016-09-16 04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" s="54" t="str">
        <f t="shared" ref="W13:W76" si="6">IF(AA13&lt;IF(AG13="EC",23,5.65),"Y","N")</f>
        <v>N</v>
      </c>
      <c r="X13" s="168" t="e">
        <f>VALUE(LEFT(AD13,4))-VALUE(LEFT(AD12,4))</f>
        <v>#VALUE!</v>
      </c>
      <c r="Y13" s="69">
        <f t="shared" ref="Y13:Y76" si="7">RIGHT(D13,LEN(D13)-4)/10000</f>
        <v>7.2599999999999998E-2</v>
      </c>
      <c r="Z13" s="69">
        <f t="shared" ref="Z13:Z76" si="8">RIGHT(H13,LEN(H13)-4)/10000</f>
        <v>23.3306</v>
      </c>
      <c r="AA13" s="69">
        <f t="shared" ref="AA13:AA76" si="9">ABS(Z13-Y13)</f>
        <v>23.257999999999999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0">IF(LEN(A13)=6,"0"&amp;A13,A13)</f>
        <v>0101-16</v>
      </c>
      <c r="AE13" s="99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3" s="96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/stypes="app*4003*20160916*"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4003 --swversion DE.1.0.7.0 --startMP 204:726 --initTime 2016-09-16T03:05:42 --startdatetime 2016-09-16T03:15:21 --delay 1 --endMP 204:233306 --enddatetime 2016-09-16T03:56:36 --enforcementcount 0 &gt;&gt;C:\Users\stu\Documents\GitHub\eaglep3-reporting\EC\2016-09-16-refined-times.txt</v>
      </c>
      <c r="AI13" s="13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{"issue":{"subject":"","project_id":79,"tracker_id":40,"status_id":1,"priority_id":2,"assigned_to_id":23,"start_date":"2016-09-16","description":"","custom_fields":[{"id":1,"name":"Subdivision","value":"EC"},{"id":4,"name":"Milepost","value":"23.3306"},{"id":17,"name":"Train ID","value":"101-16"},{"id":16,"name":"Locomotive ID","value":"4003"},{"id":130,"name":"Impact","value":""},{"id":150,"name":"Time of Event (Mountain Time)","value":"03:56:36"},{"id":151,"name":"Denver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393</v>
      </c>
      <c r="B14" s="7">
        <v>4019</v>
      </c>
      <c r="C14" s="24" t="s">
        <v>107</v>
      </c>
      <c r="D14" s="24" t="s">
        <v>614</v>
      </c>
      <c r="E14" s="15">
        <v>42629.170254629629</v>
      </c>
      <c r="F14" s="15">
        <v>42629.175451388888</v>
      </c>
      <c r="G14" s="7">
        <v>1</v>
      </c>
      <c r="H14" s="15" t="s">
        <v>291</v>
      </c>
      <c r="I14" s="15">
        <v>42629.207928240743</v>
      </c>
      <c r="J14" s="7">
        <v>0</v>
      </c>
      <c r="K14" s="121" t="str">
        <f t="shared" si="0"/>
        <v>4019/4020</v>
      </c>
      <c r="L14" s="24" t="str">
        <f>VLOOKUP(A14,'Trips&amp;Operators'!$C$1:$E$10000,3,FALSE)</f>
        <v>MAELZER</v>
      </c>
      <c r="M14" s="6">
        <f t="shared" si="1"/>
        <v>3.2476851854880806E-2</v>
      </c>
      <c r="N14" s="7">
        <f t="shared" si="2"/>
        <v>46.766666671028361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03:05:10-0600',mode:absolute,to:'2016-09-16 05:59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" s="54" t="str">
        <f t="shared" si="6"/>
        <v>N</v>
      </c>
      <c r="X14" s="168">
        <f t="shared" ref="X14:X17" si="16">VALUE(LEFT(AD14,4))-VALUE(LEFT(AD13,4))</f>
        <v>1</v>
      </c>
      <c r="Y14" s="69">
        <f t="shared" si="7"/>
        <v>23.267499999999998</v>
      </c>
      <c r="Z14" s="69">
        <f t="shared" si="8"/>
        <v>1.43E-2</v>
      </c>
      <c r="AA14" s="69">
        <f t="shared" si="9"/>
        <v>23.2532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0"/>
        <v>0102-16</v>
      </c>
      <c r="AE14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4" s="96" t="str">
        <f t="shared" si="12"/>
        <v>"C:\Program Files (x86)\AstroGrep\AstroGrep.exe" /spath="%USERPROFILE%\AppData\Local\Temp\OnboardLogs" /stypes="app*4019*20160916*"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4019 --swversion DE.1.0.7.0 --startMP 204:232675 --initTime 2016-09-16T04:05:10 --startdatetime 2016-09-16T04:12:39 --delay 1 --endMP 204:143 --enddatetime 2016-09-16T04:59:25 --enforcementcount 0 &gt;&gt;C:\Users\stu\Documents\GitHub\eaglep3-reporting\EC\2016-09-16-refined-times.txt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ID","value":"102-16"},{"id":16,"name":"Locomotive ID","value":"4019"},{"id":130,"name":"Impact","value":""},{"id":150,"name":"Time of Event (Mountain Time)","value":"04:59:25"},{"id":151,"name":"Denver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391</v>
      </c>
      <c r="B15" s="7">
        <v>4038</v>
      </c>
      <c r="C15" s="24" t="s">
        <v>107</v>
      </c>
      <c r="D15" s="24" t="s">
        <v>615</v>
      </c>
      <c r="E15" s="15">
        <v>42629.147928240738</v>
      </c>
      <c r="F15" s="15">
        <v>42629.156423611108</v>
      </c>
      <c r="G15" s="7">
        <v>1</v>
      </c>
      <c r="H15" s="15" t="s">
        <v>292</v>
      </c>
      <c r="I15" s="15">
        <v>42629.185034722221</v>
      </c>
      <c r="J15" s="7">
        <v>0</v>
      </c>
      <c r="K15" s="121" t="str">
        <f t="shared" si="0"/>
        <v>4037/4038</v>
      </c>
      <c r="L15" s="24" t="str">
        <f>VLOOKUP(A15,'Trips&amp;Operators'!$C$1:$E$10000,3,FALSE)</f>
        <v>DAVIS</v>
      </c>
      <c r="M15" s="6">
        <f t="shared" si="1"/>
        <v>2.8611111112695653E-2</v>
      </c>
      <c r="N15" s="7">
        <f t="shared" si="2"/>
        <v>41.20000000228174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02:33:01-0600',mode:absolute,to:'2016-09-16 05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" s="54" t="str">
        <f t="shared" si="6"/>
        <v>N</v>
      </c>
      <c r="X15" s="168">
        <f t="shared" si="16"/>
        <v>1</v>
      </c>
      <c r="Y15" s="69">
        <f t="shared" si="7"/>
        <v>7.7200000000000005E-2</v>
      </c>
      <c r="Z15" s="69">
        <f t="shared" si="8"/>
        <v>23.331600000000002</v>
      </c>
      <c r="AA15" s="69">
        <f t="shared" si="9"/>
        <v>23.2544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0"/>
        <v>0103-16</v>
      </c>
      <c r="AE15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" s="96" t="str">
        <f t="shared" si="12"/>
        <v>"C:\Program Files (x86)\AstroGrep\AstroGrep.exe" /spath="%USERPROFILE%\AppData\Local\Temp\OnboardLogs" /stypes="app*4038*20160916*"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7"/>
        <v>"%USERPROFILE%\Documents\GitHub\eaglep3\Utilities\RefineRTDCRunTimes.py" --tripid 103-16 --locoid 4038 --swversion DE.1.0.7.0 --startMP 204:772 --initTime 2016-09-16T03:33:01 --startdatetime 2016-09-16T03:45:15 --delay 1 --endMP 204:233316 --enddatetime 2016-09-16T04:26:27 --enforcementcount 0 &gt;&gt;C:\Users\stu\Documents\GitHub\eaglep3-reporting\EC\2016-09-16-refined-times.txt</v>
      </c>
      <c r="AI1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{"issue":{"subject":"","project_id":79,"tracker_id":40,"status_id":1,"priority_id":2,"assigned_to_id":23,"start_date":"2016-09-16","description":"","custom_fields":[{"id":1,"name":"Subdivision","value":"EC"},{"id":4,"name":"Milepost","value":"23.3316"},{"id":17,"name":"Train ID","value":"103-16"},{"id":16,"name":"Locomotive ID","value":"4038"},{"id":130,"name":"Impact","value":""},{"id":150,"name":"Time of Event (Mountain Time)","value":"04:26:27"},{"id":151,"name":"Denver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396</v>
      </c>
      <c r="B16" s="7">
        <v>4001</v>
      </c>
      <c r="C16" s="24" t="s">
        <v>107</v>
      </c>
      <c r="D16" s="24" t="s">
        <v>616</v>
      </c>
      <c r="E16" s="15">
        <v>42629.190763888888</v>
      </c>
      <c r="F16" s="15">
        <v>42629.195405092592</v>
      </c>
      <c r="G16" s="7">
        <v>1</v>
      </c>
      <c r="H16" s="15" t="s">
        <v>129</v>
      </c>
      <c r="I16" s="15">
        <v>42629.228148148148</v>
      </c>
      <c r="J16" s="7">
        <v>0</v>
      </c>
      <c r="K16" s="121" t="str">
        <f t="shared" si="0"/>
        <v>4001/4002</v>
      </c>
      <c r="L16" s="24" t="str">
        <f>VLOOKUP(A16,'Trips&amp;Operators'!$C$1:$E$10000,3,FALSE)</f>
        <v>DAVIS</v>
      </c>
      <c r="M16" s="6">
        <f t="shared" si="1"/>
        <v>3.2743055555329192E-2</v>
      </c>
      <c r="N16" s="7">
        <f t="shared" si="2"/>
        <v>47.149999999674037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03:34:42-0600',mode:absolute,to:'2016-09-16 06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" s="54" t="str">
        <f t="shared" si="6"/>
        <v>N</v>
      </c>
      <c r="X16" s="168">
        <f t="shared" si="16"/>
        <v>1</v>
      </c>
      <c r="Y16" s="69">
        <f t="shared" si="7"/>
        <v>23.2669</v>
      </c>
      <c r="Z16" s="69">
        <f t="shared" si="8"/>
        <v>1.54E-2</v>
      </c>
      <c r="AA16" s="69">
        <f t="shared" si="9"/>
        <v>23.2515</v>
      </c>
      <c r="AB16" s="66" t="str">
        <f>VLOOKUP(A16,Enforcements!$C$7:$K$20,8,0)</f>
        <v>Bulletin (2)</v>
      </c>
      <c r="AC16" s="62" t="str">
        <f>VLOOKUP(A16,Enforcements!$C$7:$E$20,3,0)</f>
        <v>GRADE CROSSING</v>
      </c>
      <c r="AD16" s="63" t="str">
        <f t="shared" si="10"/>
        <v>0104-16</v>
      </c>
      <c r="AE16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6" s="96" t="str">
        <f t="shared" si="12"/>
        <v>"C:\Program Files (x86)\AstroGrep\AstroGrep.exe" /spath="%USERPROFILE%\AppData\Local\Temp\OnboardLogs" /stypes="app*4001*20160916*"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7"/>
        <v>"%USERPROFILE%\Documents\GitHub\eaglep3\Utilities\RefineRTDCRunTimes.py" --tripid 104-16 --locoid 4001 --swversion DE.1.0.7.0 --startMP 204:232669 --initTime 2016-09-16T04:34:42 --startdatetime 2016-09-16T04:41:23 --delay 1 --endMP 204:154 --enddatetime 2016-09-16T05:28:32 --enforcementcount 0 &gt;&gt;C:\Users\stu\Documents\GitHub\eaglep3-reporting\EC\2016-09-16-refined-times.txt</v>
      </c>
      <c r="AI1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{"issue":{"subject":"","project_id":79,"tracker_id":40,"status_id":1,"priority_id":2,"assigned_to_id":23,"start_date":"2016-09-16","description":"","custom_fields":[{"id":1,"name":"Subdivision","value":"EC"},{"id":4,"name":"Milepost","value":"0.0154"},{"id":17,"name":"Train ID","value":"104-16"},{"id":16,"name":"Locomotive ID","value":"4001"},{"id":130,"name":"Impact","value":""},{"id":150,"name":"Time of Event (Mountain Time)","value":"05:28:32"},{"id":151,"name":"Denver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394</v>
      </c>
      <c r="B17" s="7">
        <v>4044</v>
      </c>
      <c r="C17" s="24" t="s">
        <v>107</v>
      </c>
      <c r="D17" s="24" t="s">
        <v>617</v>
      </c>
      <c r="E17" s="15">
        <v>42629.178240740737</v>
      </c>
      <c r="F17" s="15">
        <v>42629.179363425923</v>
      </c>
      <c r="G17" s="7">
        <v>1</v>
      </c>
      <c r="H17" s="15" t="s">
        <v>618</v>
      </c>
      <c r="I17" s="15">
        <v>42629.207696759258</v>
      </c>
      <c r="J17" s="7">
        <v>0</v>
      </c>
      <c r="K17" s="121" t="str">
        <f t="shared" si="0"/>
        <v>4043/4044</v>
      </c>
      <c r="L17" s="24" t="str">
        <f>VLOOKUP(A17,'Trips&amp;Operators'!$C$1:$E$10000,3,FALSE)</f>
        <v>MALAVE</v>
      </c>
      <c r="M17" s="6">
        <f t="shared" si="1"/>
        <v>2.8333333335467614E-2</v>
      </c>
      <c r="N17" s="7">
        <f t="shared" si="2"/>
        <v>40.800000003073364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03:16:40-0600',mode:absolute,to:'2016-09-16 05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" s="54" t="str">
        <f t="shared" si="6"/>
        <v>N</v>
      </c>
      <c r="X17" s="168">
        <f t="shared" si="16"/>
        <v>1</v>
      </c>
      <c r="Y17" s="69">
        <f t="shared" si="7"/>
        <v>7.6300000000000007E-2</v>
      </c>
      <c r="Z17" s="69">
        <f t="shared" si="8"/>
        <v>23.334700000000002</v>
      </c>
      <c r="AA17" s="69">
        <f t="shared" si="9"/>
        <v>23.258400000000002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0"/>
        <v>0105-16</v>
      </c>
      <c r="AE17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7" s="96" t="str">
        <f t="shared" si="12"/>
        <v>"C:\Program Files (x86)\AstroGrep\AstroGrep.exe" /spath="%USERPROFILE%\AppData\Local\Temp\OnboardLogs" /stypes="app*4044*20160916*"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si="17"/>
        <v>"%USERPROFILE%\Documents\GitHub\eaglep3\Utilities\RefineRTDCRunTimes.py" --tripid 105-16 --locoid 4044 --swversion DE.1.0.7.0 --startMP 204:763 --initTime 2016-09-16T04:16:40 --startdatetime 2016-09-16T04:18:17 --delay 1 --endMP 204:233347 --enddatetime 2016-09-16T04:59:05 --enforcementcount 0 &gt;&gt;C:\Users\stu\Documents\GitHub\eaglep3-reporting\EC\2016-09-16-refined-times.txt</v>
      </c>
      <c r="AI1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{"issue":{"subject":"","project_id":79,"tracker_id":40,"status_id":1,"priority_id":2,"assigned_to_id":23,"start_date":"2016-09-16","description":"","custom_fields":[{"id":1,"name":"Subdivision","value":"EC"},{"id":4,"name":"Milepost","value":"23.3347"},{"id":17,"name":"Train ID","value":"105-16"},{"id":16,"name":"Locomotive ID","value":"4044"},{"id":130,"name":"Impact","value":""},{"id":150,"name":"Time of Event (Mountain Time)","value":"04:59:05"},{"id":151,"name":"Denver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401</v>
      </c>
      <c r="B18" s="7">
        <v>4054</v>
      </c>
      <c r="C18" s="24" t="s">
        <v>107</v>
      </c>
      <c r="D18" s="24" t="s">
        <v>619</v>
      </c>
      <c r="E18" s="15">
        <v>42629.216539351852</v>
      </c>
      <c r="F18" s="15">
        <v>42629.217905092592</v>
      </c>
      <c r="G18" s="7">
        <v>2</v>
      </c>
      <c r="H18" s="15" t="s">
        <v>291</v>
      </c>
      <c r="I18" s="15">
        <v>42629.247604166667</v>
      </c>
      <c r="J18" s="7">
        <v>0</v>
      </c>
      <c r="K18" s="121" t="str">
        <f t="shared" si="0"/>
        <v>4053/4054</v>
      </c>
      <c r="L18" s="24" t="str">
        <f>VLOOKUP(A18,'Trips&amp;Operators'!$C$1:$E$10000,3,FALSE)</f>
        <v>MALAVE</v>
      </c>
      <c r="M18" s="6">
        <f t="shared" si="1"/>
        <v>2.9699074075324461E-2</v>
      </c>
      <c r="N18" s="7">
        <f t="shared" si="2"/>
        <v>42.766666668467224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04:11:49-0600',mode:absolute,to:'2016-09-16 06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8" s="54" t="str">
        <f t="shared" si="6"/>
        <v>N</v>
      </c>
      <c r="X18" s="168">
        <f t="shared" ref="X18:X49" si="19">VALUE(LEFT(AD18,4))-VALUE(LEFT(AD17,4))</f>
        <v>1</v>
      </c>
      <c r="Y18" s="69">
        <f t="shared" si="7"/>
        <v>23.2209</v>
      </c>
      <c r="Z18" s="69">
        <f t="shared" si="8"/>
        <v>1.43E-2</v>
      </c>
      <c r="AA18" s="69">
        <f t="shared" si="9"/>
        <v>23.206600000000002</v>
      </c>
      <c r="AB18" s="66" t="str">
        <f>VLOOKUP(A18,Enforcements!$C$7:$K$20,8,0)</f>
        <v>Speed (6)</v>
      </c>
      <c r="AC18" s="62" t="str">
        <f>VLOOKUP(A18,Enforcements!$C$7:$E$20,3,0)</f>
        <v>PERMANENT SPEED RESTRICTION</v>
      </c>
      <c r="AD18" s="63" t="str">
        <f t="shared" si="10"/>
        <v>0106-16</v>
      </c>
      <c r="AE18" s="99" t="str">
        <f t="shared" si="11"/>
        <v>aws s3 cp s3://rtdc.mdm.uploadarchive/RTDC4054/2016-09-16/ "%USERPROFILE%\AppData\Local\Temp\OnboardLogs"\RTDC4054\2016-09-16 --recursive &amp; "%USERPROFILE%\Documents\GitHub\mrs-test-scripts\Headless Mode &amp; Sideloading\WalkAndUnGZ.bat" "%USERPROFILE%\AppData\Local\Temp\OnboardLogs"\RTDC4054\2016-09-16 &amp; 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</v>
      </c>
      <c r="AF18" s="96" t="str">
        <f t="shared" si="12"/>
        <v>"C:\Program Files (x86)\AstroGrep\AstroGrep.exe" /spath="%USERPROFILE%\AppData\Local\Temp\OnboardLogs" /stypes="app*4054*20160916*"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si="17"/>
        <v>"%USERPROFILE%\Documents\GitHub\eaglep3\Utilities\RefineRTDCRunTimes.py" --tripid 106-16 --locoid 4054 --swversion DE.1.0.7.0 --startMP 204:232209 --initTime 2016-09-16T05:11:49 --startdatetime 2016-09-16T05:13:47 --delay 2 --endMP 204:143 --enddatetime 2016-09-16T05:56:33 --enforcementcount 0 &gt;&gt;C:\Users\stu\Documents\GitHub\eaglep3-reporting\EC\2016-09-16-refined-times.txt</v>
      </c>
      <c r="AI1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ID","value":"106-16"},{"id":16,"name":"Locomotive ID","value":"4054"},{"id":130,"name":"Impact","value":""},{"id":150,"name":"Time of Event (Mountain Time)","value":"05:56:33"},{"id":151,"name":"Denver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395</v>
      </c>
      <c r="B19" s="7">
        <v>4009</v>
      </c>
      <c r="C19" s="24" t="s">
        <v>107</v>
      </c>
      <c r="D19" s="24" t="s">
        <v>233</v>
      </c>
      <c r="E19" s="15">
        <v>42629.179340277777</v>
      </c>
      <c r="F19" s="15">
        <v>42629.188831018517</v>
      </c>
      <c r="G19" s="7">
        <v>2</v>
      </c>
      <c r="H19" s="15" t="s">
        <v>620</v>
      </c>
      <c r="I19" s="15">
        <v>42629.216979166667</v>
      </c>
      <c r="J19" s="7">
        <v>0</v>
      </c>
      <c r="K19" s="121" t="str">
        <f t="shared" si="0"/>
        <v>4009/4010</v>
      </c>
      <c r="L19" s="24" t="str">
        <f>VLOOKUP(A19,'Trips&amp;Operators'!$C$1:$E$10000,3,FALSE)</f>
        <v>RICHARDSON</v>
      </c>
      <c r="M19" s="6">
        <f t="shared" si="1"/>
        <v>2.8148148150648922E-2</v>
      </c>
      <c r="N19" s="7">
        <f t="shared" si="2"/>
        <v>40.533333336934447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03:18:15-0600',mode:absolute,to:'2016-09-16 06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" s="54" t="str">
        <f t="shared" si="6"/>
        <v>N</v>
      </c>
      <c r="X19" s="168">
        <f t="shared" si="19"/>
        <v>1</v>
      </c>
      <c r="Y19" s="69">
        <f t="shared" si="7"/>
        <v>4.5499999999999999E-2</v>
      </c>
      <c r="Z19" s="69">
        <f t="shared" si="8"/>
        <v>23.3123</v>
      </c>
      <c r="AA19" s="69">
        <f t="shared" si="9"/>
        <v>23.2668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0"/>
        <v>0107-16</v>
      </c>
      <c r="AE19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9" s="96" t="str">
        <f t="shared" si="12"/>
        <v>"C:\Program Files (x86)\AstroGrep\AstroGrep.exe" /spath="%USERPROFILE%\AppData\Local\Temp\OnboardLogs" /stypes="app*4009*20160916*"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7"/>
        <v>"%USERPROFILE%\Documents\GitHub\eaglep3\Utilities\RefineRTDCRunTimes.py" --tripid 107-16 --locoid 4009 --swversion DE.1.0.7.0 --startMP 204:455 --initTime 2016-09-16T04:18:15 --startdatetime 2016-09-16T04:31:55 --delay 2 --endMP 204:233123 --enddatetime 2016-09-16T05:12:27 --enforcementcount 0 &gt;&gt;C:\Users\stu\Documents\GitHub\eaglep3-reporting\EC\2016-09-16-refined-times.txt</v>
      </c>
      <c r="AI1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{"issue":{"subject":"","project_id":79,"tracker_id":40,"status_id":1,"priority_id":2,"assigned_to_id":23,"start_date":"2016-09-16","description":"","custom_fields":[{"id":1,"name":"Subdivision","value":"EC"},{"id":4,"name":"Milepost","value":"23.3123"},{"id":17,"name":"Train ID","value":"107-16"},{"id":16,"name":"Locomotive ID","value":"4009"},{"id":130,"name":"Impact","value":""},{"id":150,"name":"Time of Event (Mountain Time)","value":"05:12:27"},{"id":151,"name":"Denver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402</v>
      </c>
      <c r="B20" s="7">
        <v>4010</v>
      </c>
      <c r="C20" s="24" t="s">
        <v>107</v>
      </c>
      <c r="D20" s="24" t="s">
        <v>621</v>
      </c>
      <c r="E20" s="15">
        <v>42629.224085648151</v>
      </c>
      <c r="F20" s="15">
        <v>42629.2265625</v>
      </c>
      <c r="G20" s="7">
        <v>1</v>
      </c>
      <c r="H20" s="15" t="s">
        <v>220</v>
      </c>
      <c r="I20" s="15">
        <v>42629.253472222219</v>
      </c>
      <c r="J20" s="7">
        <v>0</v>
      </c>
      <c r="K20" s="121" t="str">
        <f t="shared" si="0"/>
        <v>4009/4010</v>
      </c>
      <c r="L20" s="24" t="str">
        <f>VLOOKUP(A20,'Trips&amp;Operators'!$C$1:$E$10000,3,FALSE)</f>
        <v>RICHARDSON</v>
      </c>
      <c r="M20" s="6">
        <f t="shared" si="1"/>
        <v>2.6909722218988463E-2</v>
      </c>
      <c r="N20" s="7">
        <f t="shared" si="2"/>
        <v>38.749999995343387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04:22:41-0600',mode:absolute,to:'2016-09-16 07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 t="shared" si="6"/>
        <v>N</v>
      </c>
      <c r="X20" s="168">
        <f t="shared" si="19"/>
        <v>1</v>
      </c>
      <c r="Y20" s="69">
        <f t="shared" si="7"/>
        <v>23.280200000000001</v>
      </c>
      <c r="Z20" s="69">
        <f t="shared" si="8"/>
        <v>1.6299999999999999E-2</v>
      </c>
      <c r="AA20" s="69">
        <f t="shared" si="9"/>
        <v>23.2639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0"/>
        <v>0108-16</v>
      </c>
      <c r="AE20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20" s="96" t="str">
        <f t="shared" si="12"/>
        <v>"C:\Program Files (x86)\AstroGrep\AstroGrep.exe" /spath="%USERPROFILE%\AppData\Local\Temp\OnboardLogs" /stypes="app*4010*20160916*"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7"/>
        <v>"%USERPROFILE%\Documents\GitHub\eaglep3\Utilities\RefineRTDCRunTimes.py" --tripid 108-16 --locoid 4010 --swversion DE.1.0.7.0 --startMP 204:232802 --initTime 2016-09-16T05:22:41 --startdatetime 2016-09-16T05:26:15 --delay 1 --endMP 204:163 --enddatetime 2016-09-16T06:05:00 --enforcementcount 0 &gt;&gt;C:\Users\stu\Documents\GitHub\eaglep3-reporting\EC\2016-09-16-refined-times.txt</v>
      </c>
      <c r="AI2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ID","value":"108-16"},{"id":16,"name":"Locomotive ID","value":"4010"},{"id":130,"name":"Impact","value":""},{"id":150,"name":"Time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397</v>
      </c>
      <c r="B21" s="7">
        <v>4018</v>
      </c>
      <c r="C21" s="24" t="s">
        <v>107</v>
      </c>
      <c r="D21" s="24" t="s">
        <v>244</v>
      </c>
      <c r="E21" s="15">
        <v>42629.192476851851</v>
      </c>
      <c r="F21" s="15">
        <v>42629.198078703703</v>
      </c>
      <c r="G21" s="7">
        <v>1</v>
      </c>
      <c r="H21" s="15" t="s">
        <v>338</v>
      </c>
      <c r="I21" s="15">
        <v>42629.226388888892</v>
      </c>
      <c r="J21" s="7">
        <v>0</v>
      </c>
      <c r="K21" s="121" t="str">
        <f t="shared" si="0"/>
        <v>4017/4018</v>
      </c>
      <c r="L21" s="24" t="str">
        <f>VLOOKUP(A21,'Trips&amp;Operators'!$C$1:$E$10000,3,FALSE)</f>
        <v>BRANDNER</v>
      </c>
      <c r="M21" s="6">
        <f t="shared" si="1"/>
        <v>2.8310185189184267E-2</v>
      </c>
      <c r="N21" s="7">
        <f t="shared" si="2"/>
        <v>40.766666672425345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03:37:10-0600',mode:absolute,to:'2016-09-16 06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" s="54" t="str">
        <f t="shared" si="6"/>
        <v>N</v>
      </c>
      <c r="X21" s="168">
        <f t="shared" si="19"/>
        <v>1</v>
      </c>
      <c r="Y21" s="69">
        <f t="shared" si="7"/>
        <v>4.6699999999999998E-2</v>
      </c>
      <c r="Z21" s="69">
        <f t="shared" si="8"/>
        <v>23.3264</v>
      </c>
      <c r="AA21" s="69">
        <f t="shared" si="9"/>
        <v>23.279699999999998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0"/>
        <v>0109-16</v>
      </c>
      <c r="AE21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21" s="96" t="str">
        <f t="shared" si="12"/>
        <v>"C:\Program Files (x86)\AstroGrep\AstroGrep.exe" /spath="%USERPROFILE%\AppData\Local\Temp\OnboardLogs" /stypes="app*4018*20160916*"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7"/>
        <v>"%USERPROFILE%\Documents\GitHub\eaglep3\Utilities\RefineRTDCRunTimes.py" --tripid 109-16 --locoid 4018 --swversion DE.1.0.7.0 --startMP 204:467 --initTime 2016-09-16T04:37:10 --startdatetime 2016-09-16T04:45:14 --delay 1 --endMP 204:233264 --enddatetime 2016-09-16T05:26:00 --enforcementcount 0 &gt;&gt;C:\Users\stu\Documents\GitHub\eaglep3-reporting\EC\2016-09-16-refined-times.txt</v>
      </c>
      <c r="AI2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{"issue":{"subject":"","project_id":79,"tracker_id":40,"status_id":1,"priority_id":2,"assigned_to_id":23,"start_date":"2016-09-16","description":"","custom_fields":[{"id":1,"name":"Subdivision","value":"EC"},{"id":4,"name":"Milepost","value":"23.3264"},{"id":17,"name":"Train ID","value":"109-16"},{"id":16,"name":"Locomotive ID","value":"4018"},{"id":130,"name":"Impact","value":""},{"id":150,"name":"Time of Event (Mountain Time)","value":"05:26:00"},{"id":151,"name":"Denver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403</v>
      </c>
      <c r="B22" s="7">
        <v>4017</v>
      </c>
      <c r="C22" s="24" t="s">
        <v>107</v>
      </c>
      <c r="D22" s="24" t="s">
        <v>622</v>
      </c>
      <c r="E22" s="15">
        <v>42629.229131944441</v>
      </c>
      <c r="F22" s="15">
        <v>42629.237013888887</v>
      </c>
      <c r="G22" s="7">
        <v>2</v>
      </c>
      <c r="H22" s="15" t="s">
        <v>291</v>
      </c>
      <c r="I22" s="15">
        <v>42629.266157407408</v>
      </c>
      <c r="J22" s="7">
        <v>0</v>
      </c>
      <c r="K22" s="121" t="str">
        <f t="shared" si="0"/>
        <v>4017/4018</v>
      </c>
      <c r="L22" s="24" t="str">
        <f>VLOOKUP(A22,'Trips&amp;Operators'!$C$1:$E$10000,3,FALSE)</f>
        <v>BRANDNER</v>
      </c>
      <c r="M22" s="6">
        <f t="shared" si="1"/>
        <v>2.9143518520868383E-2</v>
      </c>
      <c r="N22" s="7">
        <f t="shared" si="2"/>
        <v>41.966666670050472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04:29:57-0600',mode:absolute,to:'2016-09-16 07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" s="54" t="str">
        <f t="shared" si="6"/>
        <v>N</v>
      </c>
      <c r="X22" s="168">
        <f t="shared" si="19"/>
        <v>1</v>
      </c>
      <c r="Y22" s="69">
        <f t="shared" si="7"/>
        <v>23.2973</v>
      </c>
      <c r="Z22" s="69">
        <f t="shared" si="8"/>
        <v>1.43E-2</v>
      </c>
      <c r="AA22" s="69">
        <f t="shared" si="9"/>
        <v>23.283000000000001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0"/>
        <v>0110-16</v>
      </c>
      <c r="AE22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22" s="96" t="str">
        <f t="shared" si="12"/>
        <v>"C:\Program Files (x86)\AstroGrep\AstroGrep.exe" /spath="%USERPROFILE%\AppData\Local\Temp\OnboardLogs" /stypes="app*4017*20160916*"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7"/>
        <v>"%USERPROFILE%\Documents\GitHub\eaglep3\Utilities\RefineRTDCRunTimes.py" --tripid 110-16 --locoid 4017 --swversion DE.1.0.7.0 --startMP 204:232973 --initTime 2016-09-16T05:29:57 --startdatetime 2016-09-16T05:41:18 --delay 2 --endMP 204:143 --enddatetime 2016-09-16T06:23:16 --enforcementcount 0 &gt;&gt;C:\Users\stu\Documents\GitHub\eaglep3-reporting\EC\2016-09-16-refined-times.txt</v>
      </c>
      <c r="AI2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ID","value":"110-16"},{"id":16,"name":"Locomotive ID","value":"4017"},{"id":130,"name":"Impact","value":""},{"id":150,"name":"Time of Event (Mountain Time)","value":"06:23:16"},{"id":151,"name":"Denver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399</v>
      </c>
      <c r="B23" s="7">
        <v>4003</v>
      </c>
      <c r="C23" s="24" t="s">
        <v>107</v>
      </c>
      <c r="D23" s="24" t="s">
        <v>617</v>
      </c>
      <c r="E23" s="15">
        <v>42629.2109375</v>
      </c>
      <c r="F23" s="15">
        <v>42629.212939814817</v>
      </c>
      <c r="G23" s="7">
        <v>1</v>
      </c>
      <c r="H23" s="15" t="s">
        <v>623</v>
      </c>
      <c r="I23" s="15">
        <v>42629.241342592592</v>
      </c>
      <c r="J23" s="7">
        <v>0</v>
      </c>
      <c r="K23" s="121" t="str">
        <f t="shared" si="0"/>
        <v>4003/4004</v>
      </c>
      <c r="L23" s="24" t="str">
        <f>VLOOKUP(A23,'Trips&amp;Operators'!$C$1:$E$10000,3,FALSE)</f>
        <v>SPECTOR</v>
      </c>
      <c r="M23" s="6">
        <f t="shared" si="1"/>
        <v>2.8402777774317656E-2</v>
      </c>
      <c r="N23" s="7">
        <f t="shared" si="2"/>
        <v>40.899999995017424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04:03:45-0600',mode:absolute,to:'2016-09-16 06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" s="54" t="str">
        <f t="shared" si="6"/>
        <v>N</v>
      </c>
      <c r="X23" s="168">
        <f t="shared" si="19"/>
        <v>1</v>
      </c>
      <c r="Y23" s="69">
        <f t="shared" si="7"/>
        <v>7.6300000000000007E-2</v>
      </c>
      <c r="Z23" s="69">
        <f t="shared" si="8"/>
        <v>23.328700000000001</v>
      </c>
      <c r="AA23" s="69">
        <f t="shared" si="9"/>
        <v>23.252400000000002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0"/>
        <v>0111-16</v>
      </c>
      <c r="AE23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23" s="96" t="str">
        <f t="shared" si="12"/>
        <v>"C:\Program Files (x86)\AstroGrep\AstroGrep.exe" /spath="%USERPROFILE%\AppData\Local\Temp\OnboardLogs" /stypes="app*4003*20160916*"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7"/>
        <v>"%USERPROFILE%\Documents\GitHub\eaglep3\Utilities\RefineRTDCRunTimes.py" --tripid 111-16 --locoid 4003 --swversion DE.1.0.7.0 --startMP 204:763 --initTime 2016-09-16T05:03:45 --startdatetime 2016-09-16T05:06:38 --delay 1 --endMP 204:233287 --enddatetime 2016-09-16T05:47:32 --enforcementcount 0 &gt;&gt;C:\Users\stu\Documents\GitHub\eaglep3-reporting\EC\2016-09-16-refined-times.txt</v>
      </c>
      <c r="AI2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{"issue":{"subject":"","project_id":79,"tracker_id":40,"status_id":1,"priority_id":2,"assigned_to_id":23,"start_date":"2016-09-16","description":"","custom_fields":[{"id":1,"name":"Subdivision","value":"EC"},{"id":4,"name":"Milepost","value":"23.3287"},{"id":17,"name":"Train ID","value":"111-16"},{"id":16,"name":"Locomotive ID","value":"4003"},{"id":130,"name":"Impact","value":""},{"id":150,"name":"Time of Event (Mountain Time)","value":"05:47:32"},{"id":151,"name":"Denver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408</v>
      </c>
      <c r="B24" s="7">
        <v>4004</v>
      </c>
      <c r="C24" s="24" t="s">
        <v>107</v>
      </c>
      <c r="D24" s="24" t="s">
        <v>339</v>
      </c>
      <c r="E24" s="15">
        <v>42629.246018518519</v>
      </c>
      <c r="F24" s="15">
        <v>42629.248576388891</v>
      </c>
      <c r="G24" s="7">
        <v>1</v>
      </c>
      <c r="H24" s="15" t="s">
        <v>245</v>
      </c>
      <c r="I24" s="15">
        <v>42629.276712962965</v>
      </c>
      <c r="J24" s="7">
        <v>0</v>
      </c>
      <c r="K24" s="121" t="str">
        <f t="shared" si="0"/>
        <v>4003/4004</v>
      </c>
      <c r="L24" s="24" t="str">
        <f>VLOOKUP(A24,'Trips&amp;Operators'!$C$1:$E$10000,3,FALSE)</f>
        <v>SPECTOR</v>
      </c>
      <c r="M24" s="6">
        <f t="shared" si="1"/>
        <v>2.8136574073869269E-2</v>
      </c>
      <c r="N24" s="7">
        <f t="shared" si="2"/>
        <v>40.516666666371748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04:54:16-0600',mode:absolute,to:'2016-09-16 07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4" s="54" t="str">
        <f t="shared" si="6"/>
        <v>N</v>
      </c>
      <c r="X24" s="168">
        <f t="shared" si="19"/>
        <v>1</v>
      </c>
      <c r="Y24" s="69">
        <f t="shared" si="7"/>
        <v>23.297599999999999</v>
      </c>
      <c r="Z24" s="69">
        <f t="shared" si="8"/>
        <v>1.41E-2</v>
      </c>
      <c r="AA24" s="69">
        <f t="shared" si="9"/>
        <v>23.2835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0"/>
        <v>0112-16</v>
      </c>
      <c r="AE24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24" s="96" t="str">
        <f t="shared" si="12"/>
        <v>"C:\Program Files (x86)\AstroGrep\AstroGrep.exe" /spath="%USERPROFILE%\AppData\Local\Temp\OnboardLogs" /stypes="app*4004*20160916*"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7"/>
        <v>"%USERPROFILE%\Documents\GitHub\eaglep3\Utilities\RefineRTDCRunTimes.py" --tripid 112-16 --locoid 4004 --swversion DE.1.0.7.0 --startMP 204:232976 --initTime 2016-09-16T05:54:16 --startdatetime 2016-09-16T05:57:57 --delay 1 --endMP 204:141 --enddatetime 2016-09-16T06:38:28 --enforcementcount 0 &gt;&gt;C:\Users\stu\Documents\GitHub\eaglep3-reporting\EC\2016-09-16-refined-times.txt</v>
      </c>
      <c r="AI2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ID","value":"112-16"},{"id":16,"name":"Locomotive ID","value":"4004"},{"id":130,"name":"Impact","value":""},{"id":150,"name":"Time of Event (Mountain Time)","value":"06:38:28"},{"id":151,"name":"Denver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400</v>
      </c>
      <c r="B25" s="7">
        <v>4020</v>
      </c>
      <c r="C25" s="24" t="s">
        <v>107</v>
      </c>
      <c r="D25" s="24" t="s">
        <v>276</v>
      </c>
      <c r="E25" s="15">
        <v>42629.214930555558</v>
      </c>
      <c r="F25" s="15">
        <v>42629.219548611109</v>
      </c>
      <c r="G25" s="7">
        <v>1</v>
      </c>
      <c r="H25" s="15" t="s">
        <v>309</v>
      </c>
      <c r="I25" s="15">
        <v>42629.246377314812</v>
      </c>
      <c r="J25" s="7">
        <v>0</v>
      </c>
      <c r="K25" s="121" t="str">
        <f t="shared" si="0"/>
        <v>4019/4020</v>
      </c>
      <c r="L25" s="24" t="str">
        <f>VLOOKUP(A25,'Trips&amp;Operators'!$C$1:$E$10000,3,FALSE)</f>
        <v>MAELZER</v>
      </c>
      <c r="M25" s="6">
        <f t="shared" si="1"/>
        <v>2.6828703703358769E-2</v>
      </c>
      <c r="N25" s="7">
        <f t="shared" si="2"/>
        <v>38.633333332836628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04:09:30-0600',mode:absolute,to:'2016-09-16 06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5" s="54" t="str">
        <f t="shared" si="6"/>
        <v>N</v>
      </c>
      <c r="X25" s="168">
        <f t="shared" si="19"/>
        <v>1</v>
      </c>
      <c r="Y25" s="69">
        <f t="shared" si="7"/>
        <v>4.3499999999999997E-2</v>
      </c>
      <c r="Z25" s="69">
        <f t="shared" si="8"/>
        <v>23.328399999999998</v>
      </c>
      <c r="AA25" s="69">
        <f t="shared" si="9"/>
        <v>23.284899999999997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0"/>
        <v>0113-16</v>
      </c>
      <c r="AE25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25" s="96" t="str">
        <f t="shared" si="12"/>
        <v>"C:\Program Files (x86)\AstroGrep\AstroGrep.exe" /spath="%USERPROFILE%\AppData\Local\Temp\OnboardLogs" /stypes="app*4020*20160916*"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7"/>
        <v>"%USERPROFILE%\Documents\GitHub\eaglep3\Utilities\RefineRTDCRunTimes.py" --tripid 113-16 --locoid 4020 --swversion DE.1.0.7.0 --startMP 204:435 --initTime 2016-09-16T05:09:30 --startdatetime 2016-09-16T05:16:09 --delay 1 --endMP 204:233284 --enddatetime 2016-09-16T05:54:47 --enforcementcount 0 &gt;&gt;C:\Users\stu\Documents\GitHub\eaglep3-reporting\EC\2016-09-16-refined-times.txt</v>
      </c>
      <c r="AI2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{"issue":{"subject":"","project_id":79,"tracker_id":40,"status_id":1,"priority_id":2,"assigned_to_id":23,"start_date":"2016-09-16","description":"","custom_fields":[{"id":1,"name":"Subdivision","value":"EC"},{"id":4,"name":"Milepost","value":"23.3284"},{"id":17,"name":"Train ID","value":"113-16"},{"id":16,"name":"Locomotive ID","value":"4020"},{"id":130,"name":"Impact","value":""},{"id":150,"name":"Time of Event (Mountain Time)","value":"05:54:47"},{"id":151,"name":"Denver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410</v>
      </c>
      <c r="B26" s="7">
        <v>4019</v>
      </c>
      <c r="C26" s="24" t="s">
        <v>107</v>
      </c>
      <c r="D26" s="24" t="s">
        <v>250</v>
      </c>
      <c r="E26" s="15">
        <v>42629.252986111111</v>
      </c>
      <c r="F26" s="15">
        <v>42629.258634259262</v>
      </c>
      <c r="G26" s="7">
        <v>1</v>
      </c>
      <c r="H26" s="15" t="s">
        <v>624</v>
      </c>
      <c r="I26" s="15">
        <v>42629.286145833335</v>
      </c>
      <c r="J26" s="7">
        <v>0</v>
      </c>
      <c r="K26" s="121" t="str">
        <f t="shared" si="0"/>
        <v>4019/4020</v>
      </c>
      <c r="L26" s="24" t="str">
        <f>VLOOKUP(A26,'Trips&amp;Operators'!$C$1:$E$10000,3,FALSE)</f>
        <v>MAELZER</v>
      </c>
      <c r="M26" s="6">
        <f t="shared" si="1"/>
        <v>2.7511574073287193E-2</v>
      </c>
      <c r="N26" s="7">
        <f t="shared" si="2"/>
        <v>39.616666665533558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05:04:18-0600',mode:absolute,to:'2016-09-16 07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6" s="54" t="str">
        <f t="shared" si="6"/>
        <v>N</v>
      </c>
      <c r="X26" s="168">
        <f t="shared" si="19"/>
        <v>1</v>
      </c>
      <c r="Y26" s="69">
        <f t="shared" si="7"/>
        <v>23.297799999999999</v>
      </c>
      <c r="Z26" s="69">
        <f t="shared" si="8"/>
        <v>1.4500000000000001E-2</v>
      </c>
      <c r="AA26" s="69">
        <f t="shared" si="9"/>
        <v>23.283299999999997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0"/>
        <v>0114-16</v>
      </c>
      <c r="AE26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26" s="96" t="str">
        <f t="shared" si="12"/>
        <v>"C:\Program Files (x86)\AstroGrep\AstroGrep.exe" /spath="%USERPROFILE%\AppData\Local\Temp\OnboardLogs" /stypes="app*4019*20160916*"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7"/>
        <v>"%USERPROFILE%\Documents\GitHub\eaglep3\Utilities\RefineRTDCRunTimes.py" --tripid 114-16 --locoid 4019 --swversion DE.1.0.7.0 --startMP 204:232978 --initTime 2016-09-16T06:04:18 --startdatetime 2016-09-16T06:12:26 --delay 1 --endMP 204:145 --enddatetime 2016-09-16T06:52:03 --enforcementcount 0 &gt;&gt;C:\Users\stu\Documents\GitHub\eaglep3-reporting\EC\2016-09-16-refined-times.txt</v>
      </c>
      <c r="AI2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ID","value":"114-16"},{"id":16,"name":"Locomotive ID","value":"4019"},{"id":130,"name":"Impact","value":""},{"id":150,"name":"Time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404</v>
      </c>
      <c r="B27" s="7">
        <v>4038</v>
      </c>
      <c r="C27" s="24" t="s">
        <v>107</v>
      </c>
      <c r="D27" s="24" t="s">
        <v>366</v>
      </c>
      <c r="E27" s="15">
        <v>42629.231354166666</v>
      </c>
      <c r="F27" s="15">
        <v>42629.232939814814</v>
      </c>
      <c r="G27" s="7">
        <v>1</v>
      </c>
      <c r="H27" s="15" t="s">
        <v>225</v>
      </c>
      <c r="I27" s="15">
        <v>42629.25854166667</v>
      </c>
      <c r="J27" s="7">
        <v>0</v>
      </c>
      <c r="K27" s="121" t="str">
        <f t="shared" si="0"/>
        <v>4037/4038</v>
      </c>
      <c r="L27" s="24" t="str">
        <f>VLOOKUP(A27,'Trips&amp;Operators'!$C$1:$E$10000,3,FALSE)</f>
        <v>ROCHA</v>
      </c>
      <c r="M27" s="6">
        <f t="shared" si="1"/>
        <v>2.5601851855753921E-2</v>
      </c>
      <c r="N27" s="7">
        <f t="shared" si="2"/>
        <v>36.866666672285646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04:33:09-0600',mode:absolute,to:'2016-09-16 07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7" s="54" t="str">
        <f t="shared" si="6"/>
        <v>N</v>
      </c>
      <c r="X27" s="168">
        <f t="shared" si="19"/>
        <v>1</v>
      </c>
      <c r="Y27" s="69">
        <f t="shared" si="7"/>
        <v>7.0099999999999996E-2</v>
      </c>
      <c r="Z27" s="69">
        <f t="shared" si="8"/>
        <v>23.330200000000001</v>
      </c>
      <c r="AA27" s="69">
        <f t="shared" si="9"/>
        <v>23.260100000000001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0"/>
        <v>0115-16</v>
      </c>
      <c r="AE27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27" s="96" t="str">
        <f t="shared" si="12"/>
        <v>"C:\Program Files (x86)\AstroGrep\AstroGrep.exe" /spath="%USERPROFILE%\AppData\Local\Temp\OnboardLogs" /stypes="app*4038*20160916*"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7"/>
        <v>"%USERPROFILE%\Documents\GitHub\eaglep3\Utilities\RefineRTDCRunTimes.py" --tripid 115-16 --locoid 4038 --swversion DE.1.0.7.0 --startMP 204:701 --initTime 2016-09-16T05:33:09 --startdatetime 2016-09-16T05:35:26 --delay 1 --endMP 204:233302 --enddatetime 2016-09-16T06:12:18 --enforcementcount 0 &gt;&gt;C:\Users\stu\Documents\GitHub\eaglep3-reporting\EC\2016-09-16-refined-times.txt</v>
      </c>
      <c r="AI2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{"issue":{"subject":"","project_id":79,"tracker_id":40,"status_id":1,"priority_id":2,"assigned_to_id":23,"start_date":"2016-09-16","description":"","custom_fields":[{"id":1,"name":"Subdivision","value":"EC"},{"id":4,"name":"Milepost","value":"23.3302"},{"id":17,"name":"Train ID","value":"115-16"},{"id":16,"name":"Locomotive ID","value":"4038"},{"id":130,"name":"Impact","value":""},{"id":150,"name":"Time of Event (Mountain Time)","value":"06:12:18"},{"id":151,"name":"Denver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416</v>
      </c>
      <c r="B28" s="7">
        <v>4037</v>
      </c>
      <c r="C28" s="24" t="s">
        <v>107</v>
      </c>
      <c r="D28" s="24" t="s">
        <v>344</v>
      </c>
      <c r="E28" s="15">
        <v>42629.267476851855</v>
      </c>
      <c r="F28" s="15">
        <v>42629.268958333334</v>
      </c>
      <c r="G28" s="7">
        <v>1</v>
      </c>
      <c r="H28" s="15" t="s">
        <v>218</v>
      </c>
      <c r="I28" s="15">
        <v>42629.295694444445</v>
      </c>
      <c r="J28" s="7">
        <v>0</v>
      </c>
      <c r="K28" s="121" t="str">
        <f t="shared" si="0"/>
        <v>4037/4038</v>
      </c>
      <c r="L28" s="24" t="str">
        <f>VLOOKUP(A28,'Trips&amp;Operators'!$C$1:$E$10000,3,FALSE)</f>
        <v>ROCHA</v>
      </c>
      <c r="M28" s="6">
        <f t="shared" si="1"/>
        <v>2.6736111110949423E-2</v>
      </c>
      <c r="N28" s="7">
        <f t="shared" si="2"/>
        <v>38.499999999767169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05:25:10-0600',mode:absolute,to:'2016-09-16 08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8" s="54" t="str">
        <f t="shared" si="6"/>
        <v>N</v>
      </c>
      <c r="X28" s="168">
        <f t="shared" si="19"/>
        <v>1</v>
      </c>
      <c r="Y28" s="69">
        <f t="shared" si="7"/>
        <v>23.2974</v>
      </c>
      <c r="Z28" s="69">
        <f t="shared" si="8"/>
        <v>1.49E-2</v>
      </c>
      <c r="AA28" s="69">
        <f t="shared" si="9"/>
        <v>23.282499999999999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0"/>
        <v>0116-16</v>
      </c>
      <c r="AE28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28" s="96" t="str">
        <f t="shared" si="12"/>
        <v>"C:\Program Files (x86)\AstroGrep\AstroGrep.exe" /spath="%USERPROFILE%\AppData\Local\Temp\OnboardLogs" /stypes="app*4037*20160916*"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7"/>
        <v>"%USERPROFILE%\Documents\GitHub\eaglep3\Utilities\RefineRTDCRunTimes.py" --tripid 116-16 --locoid 4037 --swversion DE.1.0.7.0 --startMP 204:232974 --initTime 2016-09-16T06:25:10 --startdatetime 2016-09-16T06:27:18 --delay 1 --endMP 204:149 --enddatetime 2016-09-16T07:05:48 --enforcementcount 0 &gt;&gt;C:\Users\stu\Documents\GitHub\eaglep3-reporting\EC\2016-09-16-refined-times.txt</v>
      </c>
      <c r="AI2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ID","value":"116-16"},{"id":16,"name":"Locomotive ID","value":"4037"},{"id":130,"name":"Impact","value":""},{"id":150,"name":"Time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405</v>
      </c>
      <c r="B29" s="7">
        <v>4002</v>
      </c>
      <c r="C29" s="24" t="s">
        <v>107</v>
      </c>
      <c r="D29" s="24" t="s">
        <v>278</v>
      </c>
      <c r="E29" s="15">
        <v>42629.232048611113</v>
      </c>
      <c r="F29" s="15">
        <v>42629.239814814813</v>
      </c>
      <c r="G29" s="7">
        <v>1</v>
      </c>
      <c r="H29" s="15" t="s">
        <v>335</v>
      </c>
      <c r="I29" s="15">
        <v>42629.265335648146</v>
      </c>
      <c r="J29" s="7">
        <v>0</v>
      </c>
      <c r="K29" s="121" t="str">
        <f t="shared" si="0"/>
        <v>4001/4002</v>
      </c>
      <c r="L29" s="24" t="str">
        <f>VLOOKUP(A29,'Trips&amp;Operators'!$C$1:$E$10000,3,FALSE)</f>
        <v>DAVIS</v>
      </c>
      <c r="M29" s="6">
        <f t="shared" si="1"/>
        <v>2.5520833332848269E-2</v>
      </c>
      <c r="N29" s="7">
        <f t="shared" si="2"/>
        <v>36.749999999301508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04:34:09-0600',mode:absolute,to:'2016-09-16 07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9" s="54" t="str">
        <f t="shared" si="6"/>
        <v>N</v>
      </c>
      <c r="X29" s="168">
        <f t="shared" si="19"/>
        <v>1</v>
      </c>
      <c r="Y29" s="69">
        <f t="shared" si="7"/>
        <v>4.4600000000000001E-2</v>
      </c>
      <c r="Z29" s="69">
        <f t="shared" si="8"/>
        <v>23.329699999999999</v>
      </c>
      <c r="AA29" s="69">
        <f t="shared" si="9"/>
        <v>23.2851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0"/>
        <v>0117-16</v>
      </c>
      <c r="AE29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29" s="96" t="str">
        <f t="shared" si="12"/>
        <v>"C:\Program Files (x86)\AstroGrep\AstroGrep.exe" /spath="%USERPROFILE%\AppData\Local\Temp\OnboardLogs" /stypes="app*4002*20160916*"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7"/>
        <v>"%USERPROFILE%\Documents\GitHub\eaglep3\Utilities\RefineRTDCRunTimes.py" --tripid 117-16 --locoid 4002 --swversion DE.1.0.7.0 --startMP 204:446 --initTime 2016-09-16T05:34:09 --startdatetime 2016-09-16T05:45:20 --delay 1 --endMP 204:233297 --enddatetime 2016-09-16T06:22:05 --enforcementcount 0 &gt;&gt;C:\Users\stu\Documents\GitHub\eaglep3-reporting\EC\2016-09-16-refined-times.txt</v>
      </c>
      <c r="AI2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ID","value":"117-16"},{"id":16,"name":"Locomotive ID","value":"4002"},{"id":130,"name":"Impact","value":""},{"id":150,"name":"Time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418</v>
      </c>
      <c r="B30" s="7">
        <v>4001</v>
      </c>
      <c r="C30" s="24" t="s">
        <v>107</v>
      </c>
      <c r="D30" s="24" t="s">
        <v>258</v>
      </c>
      <c r="E30" s="15">
        <v>42629.275104166663</v>
      </c>
      <c r="F30" s="15">
        <v>42629.278738425928</v>
      </c>
      <c r="G30" s="7">
        <v>1</v>
      </c>
      <c r="H30" s="15" t="s">
        <v>624</v>
      </c>
      <c r="I30" s="15">
        <v>42629.308020833334</v>
      </c>
      <c r="J30" s="7">
        <v>0</v>
      </c>
      <c r="K30" s="121" t="str">
        <f t="shared" si="0"/>
        <v>4001/4002</v>
      </c>
      <c r="L30" s="24" t="str">
        <f>VLOOKUP(A30,'Trips&amp;Operators'!$C$1:$E$10000,3,FALSE)</f>
        <v>DAVIS</v>
      </c>
      <c r="M30" s="6">
        <f t="shared" si="1"/>
        <v>2.9282407405844424E-2</v>
      </c>
      <c r="N30" s="7">
        <f t="shared" si="2"/>
        <v>42.16666666441597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05:36:09-0600',mode:absolute,to:'2016-09-16 08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0" s="54" t="str">
        <f t="shared" si="6"/>
        <v>N</v>
      </c>
      <c r="X30" s="168">
        <f t="shared" si="19"/>
        <v>1</v>
      </c>
      <c r="Y30" s="69">
        <f t="shared" si="7"/>
        <v>23.296700000000001</v>
      </c>
      <c r="Z30" s="69">
        <f t="shared" si="8"/>
        <v>1.4500000000000001E-2</v>
      </c>
      <c r="AA30" s="69">
        <f t="shared" si="9"/>
        <v>23.2822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0"/>
        <v>0118-16</v>
      </c>
      <c r="AE30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30" s="96" t="str">
        <f t="shared" si="12"/>
        <v>"C:\Program Files (x86)\AstroGrep\AstroGrep.exe" /spath="%USERPROFILE%\AppData\Local\Temp\OnboardLogs" /stypes="app*4001*20160916*"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7"/>
        <v>"%USERPROFILE%\Documents\GitHub\eaglep3\Utilities\RefineRTDCRunTimes.py" --tripid 118-16 --locoid 4001 --swversion DE.1.0.7.0 --startMP 204:232967 --initTime 2016-09-16T06:36:09 --startdatetime 2016-09-16T06:41:23 --delay 1 --endMP 204:145 --enddatetime 2016-09-16T07:23:33 --enforcementcount 0 &gt;&gt;C:\Users\stu\Documents\GitHub\eaglep3-reporting\EC\2016-09-16-refined-times.txt</v>
      </c>
      <c r="AI3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ID","value":"118-16"},{"id":16,"name":"Locomotive ID","value":"4001"},{"id":130,"name":"Impact","value":""},{"id":150,"name":"Time of Event (Mountain Time)","value":"07:23:33"},{"id":151,"name":"Denver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409</v>
      </c>
      <c r="B31" s="7">
        <v>4044</v>
      </c>
      <c r="C31" s="24" t="s">
        <v>107</v>
      </c>
      <c r="D31" s="24" t="s">
        <v>625</v>
      </c>
      <c r="E31" s="15">
        <v>42629.250810185185</v>
      </c>
      <c r="F31" s="15">
        <v>42629.252881944441</v>
      </c>
      <c r="G31" s="7">
        <v>3</v>
      </c>
      <c r="H31" s="15" t="s">
        <v>626</v>
      </c>
      <c r="I31" s="15">
        <v>42629.284409722219</v>
      </c>
      <c r="J31" s="7">
        <v>0</v>
      </c>
      <c r="K31" s="121" t="str">
        <f t="shared" si="0"/>
        <v>4043/4044</v>
      </c>
      <c r="L31" s="24" t="str">
        <f>VLOOKUP(A31,'Trips&amp;Operators'!$C$1:$E$10000,3,FALSE)</f>
        <v>MALAVE</v>
      </c>
      <c r="M31" s="6">
        <f t="shared" si="1"/>
        <v>3.1527777777228039E-2</v>
      </c>
      <c r="N31" s="7">
        <f t="shared" si="2"/>
        <v>45.399999999208376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05:01:10-0600',mode:absolute,to:'2016-09-16 07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1" s="54" t="str">
        <f t="shared" si="6"/>
        <v>N</v>
      </c>
      <c r="X31" s="168">
        <f t="shared" si="19"/>
        <v>1</v>
      </c>
      <c r="Y31" s="69">
        <f t="shared" si="7"/>
        <v>0.21110000000000001</v>
      </c>
      <c r="Z31" s="69">
        <f t="shared" si="8"/>
        <v>23.326799999999999</v>
      </c>
      <c r="AA31" s="69">
        <f t="shared" si="9"/>
        <v>23.1157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0"/>
        <v>0119-16</v>
      </c>
      <c r="AE31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31" s="96" t="str">
        <f t="shared" si="12"/>
        <v>"C:\Program Files (x86)\AstroGrep\AstroGrep.exe" /spath="%USERPROFILE%\AppData\Local\Temp\OnboardLogs" /stypes="app*4044*20160916*"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7"/>
        <v>"%USERPROFILE%\Documents\GitHub\eaglep3\Utilities\RefineRTDCRunTimes.py" --tripid 119-16 --locoid 4044 --swversion DE.1.0.7.0 --startMP 204:2111 --initTime 2016-09-16T06:01:10 --startdatetime 2016-09-16T06:04:09 --delay 3 --endMP 204:233268 --enddatetime 2016-09-16T06:49:33 --enforcementcount 0 &gt;&gt;C:\Users\stu\Documents\GitHub\eaglep3-reporting\EC\2016-09-16-refined-times.txt</v>
      </c>
      <c r="AI3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ID","value":"119-16"},{"id":16,"name":"Locomotive ID","value":"4044"},{"id":130,"name":"Impact","value":""},{"id":150,"name":"Time of Event (Mountain Time)","value":"06:49:33"},{"id":151,"name":"Denver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423</v>
      </c>
      <c r="B32" s="7">
        <v>4043</v>
      </c>
      <c r="C32" s="24" t="s">
        <v>107</v>
      </c>
      <c r="D32" s="24" t="s">
        <v>333</v>
      </c>
      <c r="E32" s="15">
        <v>42629.288587962961</v>
      </c>
      <c r="F32" s="15">
        <v>42629.289594907408</v>
      </c>
      <c r="G32" s="7">
        <v>1</v>
      </c>
      <c r="H32" s="15" t="s">
        <v>627</v>
      </c>
      <c r="I32" s="15">
        <v>42629.316365740742</v>
      </c>
      <c r="J32" s="7">
        <v>0</v>
      </c>
      <c r="K32" s="121" t="str">
        <f t="shared" si="0"/>
        <v>4043/4044</v>
      </c>
      <c r="L32" s="24" t="str">
        <f>VLOOKUP(A32,'Trips&amp;Operators'!$C$1:$E$10000,3,FALSE)</f>
        <v>MALAVE</v>
      </c>
      <c r="M32" s="6">
        <f t="shared" si="1"/>
        <v>2.6770833334012423E-2</v>
      </c>
      <c r="N32" s="7">
        <f t="shared" si="2"/>
        <v>38.550000000977889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05:55:34-0600',mode:absolute,to:'2016-09-16 08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2" s="54" t="str">
        <f t="shared" si="6"/>
        <v>N</v>
      </c>
      <c r="X32" s="168">
        <f t="shared" si="19"/>
        <v>1</v>
      </c>
      <c r="Y32" s="69">
        <f t="shared" si="7"/>
        <v>23.295300000000001</v>
      </c>
      <c r="Z32" s="69">
        <f t="shared" si="8"/>
        <v>1.29E-2</v>
      </c>
      <c r="AA32" s="69">
        <f t="shared" si="9"/>
        <v>23.282400000000003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0"/>
        <v>0120-16</v>
      </c>
      <c r="AE32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32" s="96" t="str">
        <f t="shared" si="12"/>
        <v>"C:\Program Files (x86)\AstroGrep\AstroGrep.exe" /spath="%USERPROFILE%\AppData\Local\Temp\OnboardLogs" /stypes="app*4043*20160916*"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si="17"/>
        <v>"%USERPROFILE%\Documents\GitHub\eaglep3\Utilities\RefineRTDCRunTimes.py" --tripid 120-16 --locoid 4043 --swversion DE.1.0.7.0 --startMP 204:232953 --initTime 2016-09-16T06:55:34 --startdatetime 2016-09-16T06:57:01 --delay 1 --endMP 204:129 --enddatetime 2016-09-16T07:35:34 --enforcementcount 0 &gt;&gt;C:\Users\stu\Documents\GitHub\eaglep3-reporting\EC\2016-09-16-refined-times.txt</v>
      </c>
      <c r="AI3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ID","value":"120-16"},{"id":16,"name":"Locomotive ID","value":"4043"},{"id":130,"name":"Impact","value":""},{"id":150,"name":"Time of Event (Mountain Time)","value":"07:35:34"},{"id":151,"name":"Denver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411</v>
      </c>
      <c r="B33" s="7">
        <v>4009</v>
      </c>
      <c r="C33" s="24" t="s">
        <v>107</v>
      </c>
      <c r="D33" s="24" t="s">
        <v>241</v>
      </c>
      <c r="E33" s="15">
        <v>42629.254849537036</v>
      </c>
      <c r="F33" s="15">
        <v>42629.260613425926</v>
      </c>
      <c r="G33" s="7">
        <v>1</v>
      </c>
      <c r="H33" s="15" t="s">
        <v>628</v>
      </c>
      <c r="I33" s="15">
        <v>42629.288287037038</v>
      </c>
      <c r="J33" s="7">
        <v>0</v>
      </c>
      <c r="K33" s="121" t="str">
        <f t="shared" si="0"/>
        <v>4009/4010</v>
      </c>
      <c r="L33" s="24" t="str">
        <f>VLOOKUP(A33,'Trips&amp;Operators'!$C$1:$E$10000,3,FALSE)</f>
        <v>RICHARDSON</v>
      </c>
      <c r="M33" s="6">
        <f t="shared" si="1"/>
        <v>2.7673611111822538E-2</v>
      </c>
      <c r="N33" s="7">
        <f t="shared" si="2"/>
        <v>39.850000001024455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05:06:59-0600',mode:absolute,to:'2016-09-16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3" s="54" t="str">
        <f t="shared" si="6"/>
        <v>N</v>
      </c>
      <c r="X33" s="168">
        <f t="shared" si="19"/>
        <v>1</v>
      </c>
      <c r="Y33" s="69">
        <f t="shared" si="7"/>
        <v>4.6399999999999997E-2</v>
      </c>
      <c r="Z33" s="69">
        <f t="shared" si="8"/>
        <v>23.312999999999999</v>
      </c>
      <c r="AA33" s="69">
        <f t="shared" si="9"/>
        <v>23.2666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0"/>
        <v>0121-16</v>
      </c>
      <c r="AE33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33" s="96" t="str">
        <f t="shared" si="12"/>
        <v>"C:\Program Files (x86)\AstroGrep\AstroGrep.exe" /spath="%USERPROFILE%\AppData\Local\Temp\OnboardLogs" /stypes="app*4009*20160916*"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7"/>
        <v>"%USERPROFILE%\Documents\GitHub\eaglep3\Utilities\RefineRTDCRunTimes.py" --tripid 121-16 --locoid 4009 --swversion DE.1.0.7.0 --startMP 204:464 --initTime 2016-09-16T06:06:59 --startdatetime 2016-09-16T06:15:17 --delay 1 --endMP 204:233130 --enddatetime 2016-09-16T06:55:08 --enforcementcount 0 &gt;&gt;C:\Users\stu\Documents\GitHub\eaglep3-reporting\EC\2016-09-16-refined-times.txt</v>
      </c>
      <c r="AI3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{"issue":{"subject":"","project_id":79,"tracker_id":40,"status_id":1,"priority_id":2,"assigned_to_id":23,"start_date":"2016-09-16","description":"","custom_fields":[{"id":1,"name":"Subdivision","value":"EC"},{"id":4,"name":"Milepost","value":"23.313"},{"id":17,"name":"Train ID","value":"121-16"},{"id":16,"name":"Locomotive ID","value":"4009"},{"id":130,"name":"Impact","value":""},{"id":150,"name":"Time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424</v>
      </c>
      <c r="B34" s="7">
        <v>4010</v>
      </c>
      <c r="C34" s="24" t="s">
        <v>107</v>
      </c>
      <c r="D34" s="24" t="s">
        <v>629</v>
      </c>
      <c r="E34" s="15">
        <v>42629.295972222222</v>
      </c>
      <c r="F34" s="15">
        <v>42629.299479166664</v>
      </c>
      <c r="G34" s="7">
        <v>1</v>
      </c>
      <c r="H34" s="15" t="s">
        <v>347</v>
      </c>
      <c r="I34" s="15">
        <v>42629.328819444447</v>
      </c>
      <c r="J34" s="7">
        <v>0</v>
      </c>
      <c r="K34" s="121" t="str">
        <f t="shared" si="0"/>
        <v>4009/4010</v>
      </c>
      <c r="L34" s="24" t="str">
        <f>VLOOKUP(A34,'Trips&amp;Operators'!$C$1:$E$10000,3,FALSE)</f>
        <v>RICHARDSON</v>
      </c>
      <c r="M34" s="6">
        <f t="shared" si="1"/>
        <v>2.9340277782466728E-2</v>
      </c>
      <c r="N34" s="7">
        <f t="shared" si="2"/>
        <v>42.250000006752089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06:06:12-0600',mode:absolute,to:'2016-09-16 08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4" s="54" t="str">
        <f t="shared" si="6"/>
        <v>N</v>
      </c>
      <c r="X34" s="168">
        <f t="shared" si="19"/>
        <v>1</v>
      </c>
      <c r="Y34" s="69">
        <f t="shared" si="7"/>
        <v>23.281099999999999</v>
      </c>
      <c r="Z34" s="69">
        <f t="shared" si="8"/>
        <v>1.2699999999999999E-2</v>
      </c>
      <c r="AA34" s="69">
        <f t="shared" si="9"/>
        <v>23.2684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0"/>
        <v>0122-16</v>
      </c>
      <c r="AE34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34" s="96" t="str">
        <f t="shared" si="12"/>
        <v>"C:\Program Files (x86)\AstroGrep\AstroGrep.exe" /spath="%USERPROFILE%\AppData\Local\Temp\OnboardLogs" /stypes="app*4010*20160916*"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7"/>
        <v>"%USERPROFILE%\Documents\GitHub\eaglep3\Utilities\RefineRTDCRunTimes.py" --tripid 122-16 --locoid 4010 --swversion DE.1.0.7.0 --startMP 204:232811 --initTime 2016-09-16T07:06:12 --startdatetime 2016-09-16T07:11:15 --delay 1 --endMP 204:127 --enddatetime 2016-09-16T07:53:30 --enforcementcount 0 &gt;&gt;C:\Users\stu\Documents\GitHub\eaglep3-reporting\EC\2016-09-16-refined-times.txt</v>
      </c>
      <c r="AI3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{"issue":{"subject":"","project_id":79,"tracker_id":40,"status_id":1,"priority_id":2,"assigned_to_id":23,"start_date":"2016-09-16","description":"","custom_fields":[{"id":1,"name":"Subdivision","value":"EC"},{"id":4,"name":"Milepost","value":"0.0127"},{"id":17,"name":"Train ID","value":"122-16"},{"id":16,"name":"Locomotive ID","value":"4010"},{"id":130,"name":"Impact","value":""},{"id":150,"name":"Time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417</v>
      </c>
      <c r="B35" s="7">
        <v>4018</v>
      </c>
      <c r="C35" s="24" t="s">
        <v>107</v>
      </c>
      <c r="D35" s="24" t="s">
        <v>232</v>
      </c>
      <c r="E35" s="15">
        <v>42629.268182870372</v>
      </c>
      <c r="F35" s="15">
        <v>42629.271018518521</v>
      </c>
      <c r="G35" s="7">
        <v>2</v>
      </c>
      <c r="H35" s="15" t="s">
        <v>630</v>
      </c>
      <c r="I35" s="15">
        <v>42629.298032407409</v>
      </c>
      <c r="J35" s="7">
        <v>0</v>
      </c>
      <c r="K35" s="121" t="str">
        <f t="shared" si="0"/>
        <v>4017/4018</v>
      </c>
      <c r="L35" s="24" t="str">
        <f>VLOOKUP(A35,'Trips&amp;Operators'!$C$1:$E$10000,3,FALSE)</f>
        <v>BRANDNER</v>
      </c>
      <c r="M35" s="6">
        <f t="shared" si="1"/>
        <v>2.7013888888177462E-2</v>
      </c>
      <c r="N35" s="7">
        <f t="shared" si="2"/>
        <v>38.899999998975545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05:26:11-0600',mode:absolute,to:'2016-09-16 08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5" s="54" t="str">
        <f t="shared" si="6"/>
        <v>N</v>
      </c>
      <c r="X35" s="168">
        <f t="shared" si="19"/>
        <v>1</v>
      </c>
      <c r="Y35" s="69">
        <f t="shared" si="7"/>
        <v>4.5100000000000001E-2</v>
      </c>
      <c r="Z35" s="69">
        <f t="shared" si="8"/>
        <v>23.324200000000001</v>
      </c>
      <c r="AA35" s="69">
        <f t="shared" si="9"/>
        <v>23.2791</v>
      </c>
      <c r="AB35" s="66" t="str">
        <f>VLOOKUP(A35,Enforcements!$C$7:$K$20,8,0)</f>
        <v>Bulletin (2)</v>
      </c>
      <c r="AC35" s="62" t="str">
        <f>VLOOKUP(A35,Enforcements!$C$7:$E$20,3,0)</f>
        <v>GRADE CROSSING</v>
      </c>
      <c r="AD35" s="63" t="str">
        <f t="shared" si="10"/>
        <v>0123-16</v>
      </c>
      <c r="AE35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35" s="96" t="str">
        <f t="shared" si="12"/>
        <v>"C:\Program Files (x86)\AstroGrep\AstroGrep.exe" /spath="%USERPROFILE%\AppData\Local\Temp\OnboardLogs" /stypes="app*4018*20160916*"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7"/>
        <v>"%USERPROFILE%\Documents\GitHub\eaglep3\Utilities\RefineRTDCRunTimes.py" --tripid 123-16 --locoid 4018 --swversion DE.1.0.7.0 --startMP 204:451 --initTime 2016-09-16T06:26:11 --startdatetime 2016-09-16T06:30:16 --delay 2 --endMP 204:233242 --enddatetime 2016-09-16T07:09:10 --enforcementcount 0 &gt;&gt;C:\Users\stu\Documents\GitHub\eaglep3-reporting\EC\2016-09-16-refined-times.txt</v>
      </c>
      <c r="AI3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{"issue":{"subject":"","project_id":79,"tracker_id":40,"status_id":1,"priority_id":2,"assigned_to_id":23,"start_date":"2016-09-16","description":"","custom_fields":[{"id":1,"name":"Subdivision","value":"EC"},{"id":4,"name":"Milepost","value":"23.3242"},{"id":17,"name":"Train ID","value":"123-16"},{"id":16,"name":"Locomotive ID","value":"4018"},{"id":130,"name":"Impact","value":""},{"id":150,"name":"Time of Event (Mountain Time)","value":"07:09:10"},{"id":151,"name":"Denver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428</v>
      </c>
      <c r="B36" s="7">
        <v>4017</v>
      </c>
      <c r="C36" s="24" t="s">
        <v>107</v>
      </c>
      <c r="D36" s="24" t="s">
        <v>631</v>
      </c>
      <c r="E36" s="15">
        <v>42629.303877314815</v>
      </c>
      <c r="F36" s="15">
        <v>42629.310011574074</v>
      </c>
      <c r="G36" s="7">
        <v>1</v>
      </c>
      <c r="H36" s="15" t="s">
        <v>223</v>
      </c>
      <c r="I36" s="15">
        <v>42629.337037037039</v>
      </c>
      <c r="J36" s="7">
        <v>0</v>
      </c>
      <c r="K36" s="121" t="str">
        <f t="shared" si="0"/>
        <v>4017/4018</v>
      </c>
      <c r="L36" s="24" t="str">
        <f>VLOOKUP(A36,'Trips&amp;Operators'!$C$1:$E$10000,3,FALSE)</f>
        <v>BRANDNER</v>
      </c>
      <c r="M36" s="6">
        <f t="shared" si="1"/>
        <v>2.7025462964957114E-2</v>
      </c>
      <c r="N36" s="7">
        <f t="shared" si="2"/>
        <v>38.916666669538245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06:17:35-0600',mode:absolute,to:'2016-09-16 09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6" s="54" t="str">
        <f t="shared" si="6"/>
        <v>N</v>
      </c>
      <c r="X36" s="168">
        <f t="shared" si="19"/>
        <v>1</v>
      </c>
      <c r="Y36" s="69">
        <f t="shared" si="7"/>
        <v>23.292300000000001</v>
      </c>
      <c r="Z36" s="69">
        <f t="shared" si="8"/>
        <v>1.47E-2</v>
      </c>
      <c r="AA36" s="69">
        <f t="shared" si="9"/>
        <v>23.2776</v>
      </c>
      <c r="AB36" s="66" t="str">
        <f>VLOOKUP(A36,Enforcements!$C$7:$K$20,8,0)</f>
        <v>Bulletin (2)</v>
      </c>
      <c r="AC36" s="62" t="str">
        <f>VLOOKUP(A36,Enforcements!$C$7:$E$20,3,0)</f>
        <v>GRADE CROSSING</v>
      </c>
      <c r="AD36" s="63" t="str">
        <f t="shared" si="10"/>
        <v>0124-16</v>
      </c>
      <c r="AE36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36" s="96" t="str">
        <f t="shared" si="12"/>
        <v>"C:\Program Files (x86)\AstroGrep\AstroGrep.exe" /spath="%USERPROFILE%\AppData\Local\Temp\OnboardLogs" /stypes="app*4017*20160916*"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7"/>
        <v>"%USERPROFILE%\Documents\GitHub\eaglep3\Utilities\RefineRTDCRunTimes.py" --tripid 124-16 --locoid 4017 --swversion DE.1.0.7.0 --startMP 204:232923 --initTime 2016-09-16T07:17:35 --startdatetime 2016-09-16T07:26:25 --delay 1 --endMP 204:147 --enddatetime 2016-09-16T08:05:20 --enforcementcount 0 &gt;&gt;C:\Users\stu\Documents\GitHub\eaglep3-reporting\EC\2016-09-16-refined-times.txt</v>
      </c>
      <c r="AI3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ID","value":"124-16"},{"id":16,"name":"Locomotive ID","value":"4017"},{"id":130,"name":"Impact","value":""},{"id":150,"name":"Time of Event (Mountain Time)","value":"08:05:20"},{"id":151,"name":"Denver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6.5" customHeight="1" x14ac:dyDescent="0.25">
      <c r="A37" s="39" t="s">
        <v>420</v>
      </c>
      <c r="B37" s="7">
        <v>4003</v>
      </c>
      <c r="C37" s="24" t="s">
        <v>107</v>
      </c>
      <c r="D37" s="24" t="s">
        <v>257</v>
      </c>
      <c r="E37" s="15">
        <v>42629.279849537037</v>
      </c>
      <c r="F37" s="15">
        <v>42629.281597222223</v>
      </c>
      <c r="G37" s="7">
        <v>1</v>
      </c>
      <c r="H37" s="15" t="s">
        <v>350</v>
      </c>
      <c r="I37" s="15">
        <v>42629.306481481479</v>
      </c>
      <c r="J37" s="7">
        <v>0</v>
      </c>
      <c r="K37" s="121" t="str">
        <f t="shared" si="0"/>
        <v>4003/4004</v>
      </c>
      <c r="L37" s="24" t="str">
        <f>VLOOKUP(A37,'Trips&amp;Operators'!$C$1:$E$10000,3,FALSE)</f>
        <v>SPECTOR</v>
      </c>
      <c r="M37" s="6">
        <f t="shared" si="1"/>
        <v>2.488425925548654E-2</v>
      </c>
      <c r="N37" s="7">
        <f t="shared" si="2"/>
        <v>35.833333327900618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05:42:59-0600',mode:absolute,to:'2016-09-16 08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7" s="54" t="str">
        <f t="shared" si="6"/>
        <v>N</v>
      </c>
      <c r="X37" s="168">
        <f t="shared" si="19"/>
        <v>1</v>
      </c>
      <c r="Y37" s="69">
        <f t="shared" si="7"/>
        <v>4.4900000000000002E-2</v>
      </c>
      <c r="Z37" s="69">
        <f t="shared" si="8"/>
        <v>23.331800000000001</v>
      </c>
      <c r="AA37" s="69">
        <f t="shared" si="9"/>
        <v>23.286900000000003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0"/>
        <v>0125-16</v>
      </c>
      <c r="AE37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37" s="96" t="str">
        <f t="shared" si="12"/>
        <v>"C:\Program Files (x86)\AstroGrep\AstroGrep.exe" /spath="%USERPROFILE%\AppData\Local\Temp\OnboardLogs" /stypes="app*4003*20160916*"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7"/>
        <v>"%USERPROFILE%\Documents\GitHub\eaglep3\Utilities\RefineRTDCRunTimes.py" --tripid 125-16 --locoid 4003 --swversion DE.1.0.7.0 --startMP 204:449 --initTime 2016-09-16T06:42:59 --startdatetime 2016-09-16T06:45:30 --delay 1 --endMP 204:233318 --enddatetime 2016-09-16T07:21:20 --enforcementcount 0 &gt;&gt;C:\Users\stu\Documents\GitHub\eaglep3-reporting\EC\2016-09-16-refined-times.txt</v>
      </c>
      <c r="AI3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{"issue":{"subject":"","project_id":79,"tracker_id":40,"status_id":1,"priority_id":2,"assigned_to_id":23,"start_date":"2016-09-16","description":"","custom_fields":[{"id":1,"name":"Subdivision","value":"EC"},{"id":4,"name":"Milepost","value":"23.3318"},{"id":17,"name":"Train ID","value":"125-16"},{"id":16,"name":"Locomotive ID","value":"4003"},{"id":130,"name":"Impact","value":""},{"id":150,"name":"Time of Event (Mountain Time)","value":"07:21:20"},{"id":151,"name":"Denver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430</v>
      </c>
      <c r="B38" s="7">
        <v>4004</v>
      </c>
      <c r="C38" s="24" t="s">
        <v>107</v>
      </c>
      <c r="D38" s="24" t="s">
        <v>253</v>
      </c>
      <c r="E38" s="15">
        <v>42629.312106481484</v>
      </c>
      <c r="F38" s="15">
        <v>42629.320300925923</v>
      </c>
      <c r="G38" s="7">
        <v>1</v>
      </c>
      <c r="H38" s="15" t="s">
        <v>223</v>
      </c>
      <c r="I38" s="15">
        <v>42629.346550925926</v>
      </c>
      <c r="J38" s="7">
        <v>0</v>
      </c>
      <c r="K38" s="121" t="str">
        <f t="shared" si="0"/>
        <v>4003/4004</v>
      </c>
      <c r="L38" s="24" t="str">
        <f>VLOOKUP(A38,'Trips&amp;Operators'!$C$1:$E$10000,3,FALSE)</f>
        <v>SPECTOR</v>
      </c>
      <c r="M38" s="6">
        <f t="shared" si="1"/>
        <v>2.6250000002619345E-2</v>
      </c>
      <c r="N38" s="7">
        <f t="shared" si="2"/>
        <v>37.800000003771856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06:29:26-0600',mode:absolute,to:'2016-09-16 09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8" s="54" t="str">
        <f t="shared" si="6"/>
        <v>N</v>
      </c>
      <c r="X38" s="168">
        <f t="shared" si="19"/>
        <v>1</v>
      </c>
      <c r="Y38" s="69">
        <f t="shared" si="7"/>
        <v>23.299399999999999</v>
      </c>
      <c r="Z38" s="69">
        <f t="shared" si="8"/>
        <v>1.47E-2</v>
      </c>
      <c r="AA38" s="69">
        <f t="shared" si="9"/>
        <v>23.284699999999997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0"/>
        <v>0126-16</v>
      </c>
      <c r="AE38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38" s="96" t="str">
        <f t="shared" si="12"/>
        <v>"C:\Program Files (x86)\AstroGrep\AstroGrep.exe" /spath="%USERPROFILE%\AppData\Local\Temp\OnboardLogs" /stypes="app*4004*20160916*"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7"/>
        <v>"%USERPROFILE%\Documents\GitHub\eaglep3\Utilities\RefineRTDCRunTimes.py" --tripid 126-16 --locoid 4004 --swversion DE.1.0.7.0 --startMP 204:232994 --initTime 2016-09-16T07:29:26 --startdatetime 2016-09-16T07:41:14 --delay 1 --endMP 204:147 --enddatetime 2016-09-16T08:19:02 --enforcementcount 0 &gt;&gt;C:\Users\stu\Documents\GitHub\eaglep3-reporting\EC\2016-09-16-refined-times.txt</v>
      </c>
      <c r="AI3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ID","value":"126-16"},{"id":16,"name":"Locomotive ID","value":"4004"},{"id":130,"name":"Impact","value":""},{"id":150,"name":"Time of Event (Mountain Time)","value":"08:19:02"},{"id":151,"name":"Denver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422</v>
      </c>
      <c r="B39" s="7">
        <v>4020</v>
      </c>
      <c r="C39" s="24" t="s">
        <v>107</v>
      </c>
      <c r="D39" s="24" t="s">
        <v>331</v>
      </c>
      <c r="E39" s="15">
        <v>42629.288541666669</v>
      </c>
      <c r="F39" s="15">
        <v>42629.291944444441</v>
      </c>
      <c r="G39" s="7">
        <v>1</v>
      </c>
      <c r="H39" s="15" t="s">
        <v>305</v>
      </c>
      <c r="I39" s="15">
        <v>42629.318020833336</v>
      </c>
      <c r="J39" s="7">
        <v>0</v>
      </c>
      <c r="K39" s="121" t="str">
        <f t="shared" si="0"/>
        <v>4019/4020</v>
      </c>
      <c r="L39" s="24" t="str">
        <f>VLOOKUP(A39,'Trips&amp;Operators'!$C$1:$E$10000,3,FALSE)</f>
        <v>MAELZER</v>
      </c>
      <c r="M39" s="6">
        <f t="shared" si="1"/>
        <v>2.6076388894580305E-2</v>
      </c>
      <c r="N39" s="7">
        <f t="shared" si="2"/>
        <v>37.550000008195639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05:55:30-0600',mode:absolute,to:'2016-09-16 08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9" s="54" t="str">
        <f t="shared" si="6"/>
        <v>N</v>
      </c>
      <c r="X39" s="168">
        <f t="shared" si="19"/>
        <v>1</v>
      </c>
      <c r="Y39" s="69">
        <f t="shared" si="7"/>
        <v>4.4200000000000003E-2</v>
      </c>
      <c r="Z39" s="69">
        <f t="shared" si="8"/>
        <v>23.3276</v>
      </c>
      <c r="AA39" s="69">
        <f t="shared" si="9"/>
        <v>23.2834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0"/>
        <v>0127-16</v>
      </c>
      <c r="AE39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39" s="96" t="str">
        <f t="shared" si="12"/>
        <v>"C:\Program Files (x86)\AstroGrep\AstroGrep.exe" /spath="%USERPROFILE%\AppData\Local\Temp\OnboardLogs" /stypes="app*4020*20160916*"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7"/>
        <v>"%USERPROFILE%\Documents\GitHub\eaglep3\Utilities\RefineRTDCRunTimes.py" --tripid 127-16 --locoid 4020 --swversion DE.1.0.7.0 --startMP 204:442 --initTime 2016-09-16T06:55:30 --startdatetime 2016-09-16T07:00:24 --delay 1 --endMP 204:233276 --enddatetime 2016-09-16T07:37:57 --enforcementcount 0 &gt;&gt;C:\Users\stu\Documents\GitHub\eaglep3-reporting\EC\2016-09-16-refined-times.txt</v>
      </c>
      <c r="AI3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{"issue":{"subject":"","project_id":79,"tracker_id":40,"status_id":1,"priority_id":2,"assigned_to_id":23,"start_date":"2016-09-16","description":"","custom_fields":[{"id":1,"name":"Subdivision","value":"EC"},{"id":4,"name":"Milepost","value":"23.3276"},{"id":17,"name":"Train ID","value":"127-16"},{"id":16,"name":"Locomotive ID","value":"4020"},{"id":130,"name":"Impact","value":""},{"id":150,"name":"Time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434</v>
      </c>
      <c r="B40" s="7">
        <v>4019</v>
      </c>
      <c r="C40" s="24" t="s">
        <v>107</v>
      </c>
      <c r="D40" s="24" t="s">
        <v>293</v>
      </c>
      <c r="E40" s="15">
        <v>42629.323611111111</v>
      </c>
      <c r="F40" s="15">
        <v>42629.330868055556</v>
      </c>
      <c r="G40" s="7">
        <v>1</v>
      </c>
      <c r="H40" s="15" t="s">
        <v>129</v>
      </c>
      <c r="I40" s="15">
        <v>42629.358298611114</v>
      </c>
      <c r="J40" s="7">
        <v>0</v>
      </c>
      <c r="K40" s="121" t="str">
        <f t="shared" si="0"/>
        <v>4019/4020</v>
      </c>
      <c r="L40" s="24" t="str">
        <f>VLOOKUP(A40,'Trips&amp;Operators'!$C$1:$E$10000,3,FALSE)</f>
        <v>MAELZER</v>
      </c>
      <c r="M40" s="6">
        <f t="shared" si="1"/>
        <v>2.7430555557657499E-2</v>
      </c>
      <c r="N40" s="7">
        <f t="shared" si="2"/>
        <v>39.500000003026798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06:46:00-0600',mode:absolute,to:'2016-09-16 09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0" s="54" t="str">
        <f t="shared" si="6"/>
        <v>N</v>
      </c>
      <c r="X40" s="168">
        <f t="shared" si="19"/>
        <v>1</v>
      </c>
      <c r="Y40" s="69">
        <f t="shared" si="7"/>
        <v>23.295500000000001</v>
      </c>
      <c r="Z40" s="69">
        <f t="shared" si="8"/>
        <v>1.54E-2</v>
      </c>
      <c r="AA40" s="69">
        <f t="shared" si="9"/>
        <v>23.280100000000001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0"/>
        <v>0128-16</v>
      </c>
      <c r="AE40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40" s="96" t="str">
        <f t="shared" si="12"/>
        <v>"C:\Program Files (x86)\AstroGrep\AstroGrep.exe" /spath="%USERPROFILE%\AppData\Local\Temp\OnboardLogs" /stypes="app*4019*20160916*"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7"/>
        <v>"%USERPROFILE%\Documents\GitHub\eaglep3\Utilities\RefineRTDCRunTimes.py" --tripid 128-16 --locoid 4019 --swversion DE.1.0.7.0 --startMP 204:232955 --initTime 2016-09-16T07:46:00 --startdatetime 2016-09-16T07:56:27 --delay 1 --endMP 204:154 --enddatetime 2016-09-16T08:35:57 --enforcementcount 0 &gt;&gt;C:\Users\stu\Documents\GitHub\eaglep3-reporting\EC\2016-09-16-refined-times.txt</v>
      </c>
      <c r="AI4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{"issue":{"subject":"","project_id":79,"tracker_id":40,"status_id":1,"priority_id":2,"assigned_to_id":23,"start_date":"2016-09-16","description":"","custom_fields":[{"id":1,"name":"Subdivision","value":"EC"},{"id":4,"name":"Milepost","value":"0.0154"},{"id":17,"name":"Train ID","value":"128-16"},{"id":16,"name":"Locomotive ID","value":"4019"},{"id":130,"name":"Impact","value":""},{"id":150,"name":"Time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426</v>
      </c>
      <c r="B41" s="7">
        <v>4038</v>
      </c>
      <c r="C41" s="24" t="s">
        <v>107</v>
      </c>
      <c r="D41" s="24" t="s">
        <v>231</v>
      </c>
      <c r="E41" s="15">
        <v>42629.298761574071</v>
      </c>
      <c r="F41" s="15">
        <v>42629.302291666667</v>
      </c>
      <c r="G41" s="7">
        <v>1</v>
      </c>
      <c r="H41" s="15" t="s">
        <v>343</v>
      </c>
      <c r="I41" s="15">
        <v>42629.326481481483</v>
      </c>
      <c r="J41" s="7">
        <v>0</v>
      </c>
      <c r="K41" s="121" t="str">
        <f t="shared" si="0"/>
        <v>4037/4038</v>
      </c>
      <c r="L41" s="24" t="str">
        <f>VLOOKUP(A41,'Trips&amp;Operators'!$C$1:$E$10000,3,FALSE)</f>
        <v>ROCHA</v>
      </c>
      <c r="M41" s="6">
        <f t="shared" si="1"/>
        <v>2.4189814816054422E-2</v>
      </c>
      <c r="N41" s="7">
        <f t="shared" si="2"/>
        <v>34.833333335118368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06:10:13-0600',mode:absolute,to:'2016-09-16 08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1" s="54" t="str">
        <f t="shared" si="6"/>
        <v>N</v>
      </c>
      <c r="X41" s="168">
        <f t="shared" si="19"/>
        <v>1</v>
      </c>
      <c r="Y41" s="69">
        <f t="shared" si="7"/>
        <v>4.6600000000000003E-2</v>
      </c>
      <c r="Z41" s="69">
        <f t="shared" si="8"/>
        <v>23.327400000000001</v>
      </c>
      <c r="AA41" s="69">
        <f t="shared" si="9"/>
        <v>23.280799999999999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0"/>
        <v>0129-16</v>
      </c>
      <c r="AE41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41" s="96" t="str">
        <f t="shared" si="12"/>
        <v>"C:\Program Files (x86)\AstroGrep\AstroGrep.exe" /spath="%USERPROFILE%\AppData\Local\Temp\OnboardLogs" /stypes="app*4038*20160916*"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7"/>
        <v>"%USERPROFILE%\Documents\GitHub\eaglep3\Utilities\RefineRTDCRunTimes.py" --tripid 129-16 --locoid 4038 --swversion DE.1.0.7.0 --startMP 204:466 --initTime 2016-09-16T07:10:13 --startdatetime 2016-09-16T07:15:18 --delay 1 --endMP 204:233274 --enddatetime 2016-09-16T07:50:08 --enforcementcount 0 &gt;&gt;C:\Users\stu\Documents\GitHub\eaglep3-reporting\EC\2016-09-16-refined-times.txt</v>
      </c>
      <c r="AI4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ID","value":"129-16"},{"id":16,"name":"Locomotive ID","value":"4038"},{"id":130,"name":"Impact","value":""},{"id":150,"name":"Time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438</v>
      </c>
      <c r="B42" s="7">
        <v>4037</v>
      </c>
      <c r="C42" s="24" t="s">
        <v>107</v>
      </c>
      <c r="D42" s="24" t="s">
        <v>307</v>
      </c>
      <c r="E42" s="15">
        <v>42629.34065972222</v>
      </c>
      <c r="F42" s="15">
        <v>42629.341782407406</v>
      </c>
      <c r="G42" s="7">
        <v>0</v>
      </c>
      <c r="H42" s="15" t="s">
        <v>228</v>
      </c>
      <c r="I42" s="15">
        <v>42629.368032407408</v>
      </c>
      <c r="J42" s="7">
        <v>0</v>
      </c>
      <c r="K42" s="121" t="str">
        <f t="shared" si="0"/>
        <v>4037/4038</v>
      </c>
      <c r="L42" s="24" t="str">
        <f>VLOOKUP(A42,'Trips&amp;Operators'!$C$1:$E$10000,3,FALSE)</f>
        <v>ROCHA</v>
      </c>
      <c r="M42" s="6">
        <f t="shared" si="1"/>
        <v>2.6250000002619345E-2</v>
      </c>
      <c r="N42" s="7">
        <f t="shared" si="2"/>
        <v>37.800000003771856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07:10:33-0600',mode:absolute,to:'2016-09-16 09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2" s="54" t="str">
        <f t="shared" si="6"/>
        <v>N</v>
      </c>
      <c r="X42" s="168">
        <f t="shared" si="19"/>
        <v>1</v>
      </c>
      <c r="Y42" s="69">
        <f t="shared" si="7"/>
        <v>23.2959</v>
      </c>
      <c r="Z42" s="69">
        <f t="shared" si="8"/>
        <v>1.52E-2</v>
      </c>
      <c r="AA42" s="69">
        <f t="shared" si="9"/>
        <v>23.2807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0"/>
        <v>0130-16</v>
      </c>
      <c r="AE42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42" s="96" t="str">
        <f t="shared" si="12"/>
        <v>"C:\Program Files (x86)\AstroGrep\AstroGrep.exe" /spath="%USERPROFILE%\AppData\Local\Temp\OnboardLogs" /stypes="app*4037*20160916*"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7"/>
        <v>"%USERPROFILE%\Documents\GitHub\eaglep3\Utilities\RefineRTDCRunTimes.py" --tripid 130-16 --locoid 4037 --swversion DE.1.0.7.0 --startMP 204:232959 --initTime 2016-09-16T08:10:33 --startdatetime 2016-09-16T08:12:10 --delay 0 --endMP 204:152 --enddatetime 2016-09-16T08:49:58 --enforcementcount 0 &gt;&gt;C:\Users\stu\Documents\GitHub\eaglep3-reporting\EC\2016-09-16-refined-times.txt</v>
      </c>
      <c r="AI4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ID","value":"130-16"},{"id":16,"name":"Locomotive ID","value":"4037"},{"id":130,"name":"Impact","value":""},{"id":150,"name":"Time of Event (Mountain Time)","value":"08:49:58"},{"id":151,"name":"Denver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429</v>
      </c>
      <c r="B43" s="7">
        <v>4002</v>
      </c>
      <c r="C43" s="24" t="s">
        <v>107</v>
      </c>
      <c r="D43" s="24" t="s">
        <v>229</v>
      </c>
      <c r="E43" s="15">
        <v>42629.309236111112</v>
      </c>
      <c r="F43" s="15">
        <v>42629.312708333331</v>
      </c>
      <c r="G43" s="7">
        <v>1</v>
      </c>
      <c r="H43" s="15" t="s">
        <v>632</v>
      </c>
      <c r="I43" s="15">
        <v>42629.339409722219</v>
      </c>
      <c r="J43" s="7">
        <v>0</v>
      </c>
      <c r="K43" s="121" t="str">
        <f t="shared" si="0"/>
        <v>4001/4002</v>
      </c>
      <c r="L43" s="24" t="str">
        <f>VLOOKUP(A43,'Trips&amp;Operators'!$C$1:$E$10000,3,FALSE)</f>
        <v>DAVIS</v>
      </c>
      <c r="M43" s="6">
        <f t="shared" si="1"/>
        <v>2.6701388887886424E-2</v>
      </c>
      <c r="N43" s="7">
        <f t="shared" si="2"/>
        <v>38.44999999855645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06:25:18-0600',mode:absolute,to:'2016-09-16 09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3" s="54" t="str">
        <f t="shared" si="6"/>
        <v>N</v>
      </c>
      <c r="X43" s="168">
        <f t="shared" si="19"/>
        <v>1</v>
      </c>
      <c r="Y43" s="69">
        <f t="shared" si="7"/>
        <v>4.5699999999999998E-2</v>
      </c>
      <c r="Z43" s="69">
        <f t="shared" si="8"/>
        <v>23.328499999999998</v>
      </c>
      <c r="AA43" s="69">
        <f t="shared" si="9"/>
        <v>23.282799999999998</v>
      </c>
      <c r="AB43" s="66" t="str">
        <f>VLOOKUP(A43,Enforcements!$C$7:$K$20,8,0)</f>
        <v>Bulletin (2)</v>
      </c>
      <c r="AC43" s="62" t="str">
        <f>VLOOKUP(A43,Enforcements!$C$7:$E$20,3,0)</f>
        <v>GRADE CROSSING</v>
      </c>
      <c r="AD43" s="63" t="str">
        <f t="shared" si="10"/>
        <v>0131-16</v>
      </c>
      <c r="AE43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43" s="96" t="str">
        <f t="shared" si="12"/>
        <v>"C:\Program Files (x86)\AstroGrep\AstroGrep.exe" /spath="%USERPROFILE%\AppData\Local\Temp\OnboardLogs" /stypes="app*4002*20160916*"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7"/>
        <v>"%USERPROFILE%\Documents\GitHub\eaglep3\Utilities\RefineRTDCRunTimes.py" --tripid 131-16 --locoid 4002 --swversion DE.1.0.7.0 --startMP 204:457 --initTime 2016-09-16T07:25:18 --startdatetime 2016-09-16T07:30:18 --delay 1 --endMP 204:233285 --enddatetime 2016-09-16T08:08:45 --enforcementcount 0 &gt;&gt;C:\Users\stu\Documents\GitHub\eaglep3-reporting\EC\2016-09-16-refined-times.txt</v>
      </c>
      <c r="AI4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{"issue":{"subject":"","project_id":79,"tracker_id":40,"status_id":1,"priority_id":2,"assigned_to_id":23,"start_date":"2016-09-16","description":"","custom_fields":[{"id":1,"name":"Subdivision","value":"EC"},{"id":4,"name":"Milepost","value":"23.3285"},{"id":17,"name":"Train ID","value":"131-16"},{"id":16,"name":"Locomotive ID","value":"4002"},{"id":130,"name":"Impact","value":""},{"id":150,"name":"Time of Event (Mountain Time)","value":"08:08:45"},{"id":151,"name":"Denver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440</v>
      </c>
      <c r="B44" s="7">
        <v>4001</v>
      </c>
      <c r="C44" s="24" t="s">
        <v>107</v>
      </c>
      <c r="D44" s="24" t="s">
        <v>633</v>
      </c>
      <c r="E44" s="15">
        <v>42629.347638888888</v>
      </c>
      <c r="F44" s="15">
        <v>42629.351655092592</v>
      </c>
      <c r="G44" s="7">
        <v>1</v>
      </c>
      <c r="H44" s="15" t="s">
        <v>259</v>
      </c>
      <c r="I44" s="15">
        <v>42629.381574074076</v>
      </c>
      <c r="J44" s="7">
        <v>0</v>
      </c>
      <c r="K44" s="121" t="str">
        <f t="shared" si="0"/>
        <v>4001/4002</v>
      </c>
      <c r="L44" s="24" t="str">
        <f>VLOOKUP(A44,'Trips&amp;Operators'!$C$1:$E$10000,3,FALSE)</f>
        <v>DAVIS</v>
      </c>
      <c r="M44" s="6">
        <f t="shared" si="1"/>
        <v>2.9918981483206153E-2</v>
      </c>
      <c r="N44" s="7">
        <f t="shared" si="2"/>
        <v>43.08333333581686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07:20:36-0600',mode:absolute,to:'2016-09-16 10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4" s="54" t="str">
        <f t="shared" si="6"/>
        <v>N</v>
      </c>
      <c r="X44" s="168">
        <f t="shared" si="19"/>
        <v>1</v>
      </c>
      <c r="Y44" s="69">
        <f t="shared" si="7"/>
        <v>23.294899999999998</v>
      </c>
      <c r="Z44" s="69">
        <f t="shared" si="8"/>
        <v>1.6899999999999998E-2</v>
      </c>
      <c r="AA44" s="69">
        <f t="shared" si="9"/>
        <v>23.277999999999999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0"/>
        <v>0132-16</v>
      </c>
      <c r="AE44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44" s="96" t="str">
        <f t="shared" si="12"/>
        <v>"C:\Program Files (x86)\AstroGrep\AstroGrep.exe" /spath="%USERPROFILE%\AppData\Local\Temp\OnboardLogs" /stypes="app*4001*20160916*"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7"/>
        <v>"%USERPROFILE%\Documents\GitHub\eaglep3\Utilities\RefineRTDCRunTimes.py" --tripid 132-16 --locoid 4001 --swversion DE.1.0.7.0 --startMP 204:232949 --initTime 2016-09-16T08:20:36 --startdatetime 2016-09-16T08:26:23 --delay 1 --endMP 204:169 --enddatetime 2016-09-16T09:09:28 --enforcementcount 0 &gt;&gt;C:\Users\stu\Documents\GitHub\eaglep3-reporting\EC\2016-09-16-refined-times.txt</v>
      </c>
      <c r="AI4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{"issue":{"subject":"","project_id":79,"tracker_id":40,"status_id":1,"priority_id":2,"assigned_to_id":23,"start_date":"2016-09-16","description":"","custom_fields":[{"id":1,"name":"Subdivision","value":"EC"},{"id":4,"name":"Milepost","value":"0.0169"},{"id":17,"name":"Train ID","value":"132-16"},{"id":16,"name":"Locomotive ID","value":"4001"},{"id":130,"name":"Impact","value":""},{"id":150,"name":"Time of Event (Mountain Time)","value":"09:09:28"},{"id":151,"name":"Denver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432</v>
      </c>
      <c r="B45" s="7">
        <v>4044</v>
      </c>
      <c r="C45" s="24" t="s">
        <v>107</v>
      </c>
      <c r="D45" s="24" t="s">
        <v>306</v>
      </c>
      <c r="E45" s="15">
        <v>42629.320601851854</v>
      </c>
      <c r="F45" s="15">
        <v>42629.323194444441</v>
      </c>
      <c r="G45" s="7">
        <v>1</v>
      </c>
      <c r="H45" s="15" t="s">
        <v>634</v>
      </c>
      <c r="I45" s="15">
        <v>42629.347951388889</v>
      </c>
      <c r="J45" s="7">
        <v>0</v>
      </c>
      <c r="K45" s="121" t="str">
        <f t="shared" si="0"/>
        <v>4043/4044</v>
      </c>
      <c r="L45" s="24" t="str">
        <f>VLOOKUP(A45,'Trips&amp;Operators'!$C$1:$E$10000,3,FALSE)</f>
        <v>MALAVE</v>
      </c>
      <c r="M45" s="6">
        <f t="shared" si="1"/>
        <v>2.4756944447290152E-2</v>
      </c>
      <c r="N45" s="7">
        <f t="shared" ref="N45:N76" si="20">24*60*SUM($M45:$M45)</f>
        <v>35.650000004097819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06:41:40-0600',mode:absolute,to:'2016-09-16 09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5" s="54" t="str">
        <f t="shared" si="6"/>
        <v>N</v>
      </c>
      <c r="X45" s="168">
        <f t="shared" si="19"/>
        <v>1</v>
      </c>
      <c r="Y45" s="69">
        <f t="shared" si="7"/>
        <v>4.3700000000000003E-2</v>
      </c>
      <c r="Z45" s="69">
        <f t="shared" si="8"/>
        <v>23.3249</v>
      </c>
      <c r="AA45" s="69">
        <f t="shared" si="9"/>
        <v>23.281199999999998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0"/>
        <v>0133-16</v>
      </c>
      <c r="AE45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45" s="96" t="str">
        <f t="shared" si="12"/>
        <v>"C:\Program Files (x86)\AstroGrep\AstroGrep.exe" /spath="%USERPROFILE%\AppData\Local\Temp\OnboardLogs" /stypes="app*4044*20160916*"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100" t="str">
        <f t="shared" si="17"/>
        <v>"%USERPROFILE%\Documents\GitHub\eaglep3\Utilities\RefineRTDCRunTimes.py" --tripid 133-16 --locoid 4044 --swversion DE.1.0.7.0 --startMP 204:437 --initTime 2016-09-16T07:41:40 --startdatetime 2016-09-16T07:45:24 --delay 1 --endMP 204:233249 --enddatetime 2016-09-16T08:21:03 --enforcementcount 0 &gt;&gt;C:\Users\stu\Documents\GitHub\eaglep3-reporting\EC\2016-09-16-refined-times.txt</v>
      </c>
      <c r="AI4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{"issue":{"subject":"","project_id":79,"tracker_id":40,"status_id":1,"priority_id":2,"assigned_to_id":23,"start_date":"2016-09-16","description":"","custom_fields":[{"id":1,"name":"Subdivision","value":"EC"},{"id":4,"name":"Milepost","value":"23.3249"},{"id":17,"name":"Train ID","value":"133-16"},{"id":16,"name":"Locomotive ID","value":"4044"},{"id":130,"name":"Impact","value":""},{"id":150,"name":"Time of Event (Mountain Time)","value":"08:21:03"},{"id":151,"name":"Denver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442</v>
      </c>
      <c r="B46" s="7">
        <v>4043</v>
      </c>
      <c r="C46" s="24" t="s">
        <v>107</v>
      </c>
      <c r="D46" s="24" t="s">
        <v>635</v>
      </c>
      <c r="E46" s="15">
        <v>42629.353900462964</v>
      </c>
      <c r="F46" s="15">
        <v>42629.361990740741</v>
      </c>
      <c r="G46" s="7">
        <v>1</v>
      </c>
      <c r="H46" s="15" t="s">
        <v>226</v>
      </c>
      <c r="I46" s="15">
        <v>42629.388923611114</v>
      </c>
      <c r="J46" s="7">
        <v>0</v>
      </c>
      <c r="K46" s="121" t="str">
        <f t="shared" si="0"/>
        <v>4043/4044</v>
      </c>
      <c r="L46" s="24" t="str">
        <f>VLOOKUP(A46,'Trips&amp;Operators'!$C$1:$E$10000,3,FALSE)</f>
        <v>MALAVE</v>
      </c>
      <c r="M46" s="6">
        <f t="shared" si="1"/>
        <v>2.6932870372547768E-2</v>
      </c>
      <c r="N46" s="7">
        <f t="shared" si="20"/>
        <v>38.783333336468786</v>
      </c>
      <c r="O46" s="7"/>
      <c r="P46" s="7"/>
      <c r="Q46" s="25"/>
      <c r="R46" s="25"/>
      <c r="S46" s="37">
        <f t="shared" si="21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07:29:37-0600',mode:absolute,to:'2016-09-16 10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6" s="54" t="str">
        <f t="shared" si="6"/>
        <v>N</v>
      </c>
      <c r="X46" s="168">
        <f t="shared" si="19"/>
        <v>1</v>
      </c>
      <c r="Y46" s="69">
        <f t="shared" si="7"/>
        <v>23.296299999999999</v>
      </c>
      <c r="Z46" s="69">
        <f t="shared" si="8"/>
        <v>1.4999999999999999E-2</v>
      </c>
      <c r="AA46" s="69">
        <f t="shared" si="9"/>
        <v>23.281299999999998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10"/>
        <v>0134-16</v>
      </c>
      <c r="AE46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46" s="96" t="str">
        <f t="shared" si="12"/>
        <v>"C:\Program Files (x86)\AstroGrep\AstroGrep.exe" /spath="%USERPROFILE%\AppData\Local\Temp\OnboardLogs" /stypes="app*4043*20160916*"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100" t="str">
        <f t="shared" si="17"/>
        <v>"%USERPROFILE%\Documents\GitHub\eaglep3\Utilities\RefineRTDCRunTimes.py" --tripid 134-16 --locoid 4043 --swversion DE.1.0.7.0 --startMP 204:232963 --initTime 2016-09-16T08:29:37 --startdatetime 2016-09-16T08:41:16 --delay 1 --endMP 204:150 --enddatetime 2016-09-16T09:20:03 --enforcementcount 0 &gt;&gt;C:\Users\stu\Documents\GitHub\eaglep3-reporting\EC\2016-09-16-refined-times.txt</v>
      </c>
      <c r="AI4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{"issue":{"subject":"","project_id":79,"tracker_id":40,"status_id":1,"priority_id":2,"assigned_to_id":23,"start_date":"2016-09-16","description":"","custom_fields":[{"id":1,"name":"Subdivision","value":"EC"},{"id":4,"name":"Milepost","value":"0.015"},{"id":17,"name":"Train ID","value":"134-16"},{"id":16,"name":"Locomotive ID","value":"4043"},{"id":130,"name":"Impact","value":""},{"id":150,"name":"Time of Event (Mountain Time)","value":"09:20:03"},{"id":151,"name":"Denver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435</v>
      </c>
      <c r="B47" s="7">
        <v>4009</v>
      </c>
      <c r="C47" s="24" t="s">
        <v>107</v>
      </c>
      <c r="D47" s="24" t="s">
        <v>636</v>
      </c>
      <c r="E47" s="15">
        <v>42629.331296296295</v>
      </c>
      <c r="F47" s="15">
        <v>42629.334629629629</v>
      </c>
      <c r="G47" s="7">
        <v>1</v>
      </c>
      <c r="H47" s="15" t="s">
        <v>637</v>
      </c>
      <c r="I47" s="15">
        <v>42629.361875000002</v>
      </c>
      <c r="J47" s="7">
        <v>0</v>
      </c>
      <c r="K47" s="121" t="str">
        <f t="shared" si="0"/>
        <v>4009/4010</v>
      </c>
      <c r="L47" s="24" t="str">
        <f>VLOOKUP(A47,'Trips&amp;Operators'!$C$1:$E$10000,3,FALSE)</f>
        <v>RICHARDSON</v>
      </c>
      <c r="M47" s="6">
        <f t="shared" si="1"/>
        <v>2.7245370372838806E-2</v>
      </c>
      <c r="N47" s="7">
        <f t="shared" si="20"/>
        <v>39.233333336887881</v>
      </c>
      <c r="O47" s="7"/>
      <c r="P47" s="7"/>
      <c r="Q47" s="25"/>
      <c r="R47" s="25"/>
      <c r="S47" s="37">
        <f t="shared" si="21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06:57:04-0600',mode:absolute,to:'2016-09-16 09:41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7" s="54" t="str">
        <f t="shared" si="6"/>
        <v>N</v>
      </c>
      <c r="X47" s="168">
        <f t="shared" si="19"/>
        <v>1</v>
      </c>
      <c r="Y47" s="69">
        <f t="shared" si="7"/>
        <v>4.2000000000000003E-2</v>
      </c>
      <c r="Z47" s="69">
        <f t="shared" si="8"/>
        <v>23.319299999999998</v>
      </c>
      <c r="AA47" s="69">
        <f t="shared" si="9"/>
        <v>23.277299999999997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10"/>
        <v>0135-16</v>
      </c>
      <c r="AE47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47" s="96" t="str">
        <f t="shared" si="12"/>
        <v>"C:\Program Files (x86)\AstroGrep\AstroGrep.exe" /spath="%USERPROFILE%\AppData\Local\Temp\OnboardLogs" /stypes="app*4009*20160916*"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100" t="str">
        <f t="shared" si="17"/>
        <v>"%USERPROFILE%\Documents\GitHub\eaglep3\Utilities\RefineRTDCRunTimes.py" --tripid 135-16 --locoid 4009 --swversion DE.1.0.7.0 --startMP 204:420 --initTime 2016-09-16T07:57:04 --startdatetime 2016-09-16T08:01:52 --delay 1 --endMP 204:233193 --enddatetime 2016-09-16T08:41:06 --enforcementcount 0 &gt;&gt;C:\Users\stu\Documents\GitHub\eaglep3-reporting\EC\2016-09-16-refined-times.txt</v>
      </c>
      <c r="AI4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{"issue":{"subject":"","project_id":79,"tracker_id":40,"status_id":1,"priority_id":2,"assigned_to_id":23,"start_date":"2016-09-16","description":"","custom_fields":[{"id":1,"name":"Subdivision","value":"EC"},{"id":4,"name":"Milepost","value":"23.3193"},{"id":17,"name":"Train ID","value":"135-16"},{"id":16,"name":"Locomotive ID","value":"4009"},{"id":130,"name":"Impact","value":""},{"id":150,"name":"Time of Event (Mountain Time)","value":"08:41:06"},{"id":151,"name":"Denver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446</v>
      </c>
      <c r="B48" s="7">
        <v>4010</v>
      </c>
      <c r="C48" s="24" t="s">
        <v>107</v>
      </c>
      <c r="D48" s="24" t="s">
        <v>638</v>
      </c>
      <c r="E48" s="15">
        <v>42629.368611111109</v>
      </c>
      <c r="F48" s="15">
        <v>42629.372395833336</v>
      </c>
      <c r="G48" s="7">
        <v>5</v>
      </c>
      <c r="H48" s="15" t="s">
        <v>279</v>
      </c>
      <c r="I48" s="15">
        <v>42629.399050925924</v>
      </c>
      <c r="J48" s="7">
        <v>0</v>
      </c>
      <c r="K48" s="121" t="str">
        <f t="shared" si="0"/>
        <v>4009/4010</v>
      </c>
      <c r="L48" s="24" t="str">
        <f>VLOOKUP(A48,'Trips&amp;Operators'!$C$1:$E$10000,3,FALSE)</f>
        <v>RICHARDSON</v>
      </c>
      <c r="M48" s="6">
        <f t="shared" si="1"/>
        <v>2.6655092588043772E-2</v>
      </c>
      <c r="N48" s="7">
        <f t="shared" si="20"/>
        <v>38.383333326783031</v>
      </c>
      <c r="O48" s="7"/>
      <c r="P48" s="7"/>
      <c r="Q48" s="25"/>
      <c r="R48" s="25"/>
      <c r="S48" s="37">
        <f t="shared" si="21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07:50:48-0600',mode:absolute,to:'2016-09-16 10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8" s="54" t="str">
        <f t="shared" si="6"/>
        <v>N</v>
      </c>
      <c r="X48" s="168">
        <f t="shared" si="19"/>
        <v>1</v>
      </c>
      <c r="Y48" s="69">
        <f t="shared" si="7"/>
        <v>23.2879</v>
      </c>
      <c r="Z48" s="69">
        <f t="shared" si="8"/>
        <v>1.72E-2</v>
      </c>
      <c r="AA48" s="69">
        <f t="shared" si="9"/>
        <v>23.270700000000001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0"/>
        <v>0136-16</v>
      </c>
      <c r="AE48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48" s="96" t="str">
        <f t="shared" si="12"/>
        <v>"C:\Program Files (x86)\AstroGrep\AstroGrep.exe" /spath="%USERPROFILE%\AppData\Local\Temp\OnboardLogs" /stypes="app*4010*20160916*"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100" t="str">
        <f t="shared" si="17"/>
        <v>"%USERPROFILE%\Documents\GitHub\eaglep3\Utilities\RefineRTDCRunTimes.py" --tripid 136-16 --locoid 4010 --swversion DE.1.0.7.0 --startMP 204:232879 --initTime 2016-09-16T08:50:48 --startdatetime 2016-09-16T08:56:15 --delay 5 --endMP 204:172 --enddatetime 2016-09-16T09:34:38 --enforcementcount 0 &gt;&gt;C:\Users\stu\Documents\GitHub\eaglep3-reporting\EC\2016-09-16-refined-times.txt</v>
      </c>
      <c r="AI4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{"issue":{"subject":"","project_id":79,"tracker_id":40,"status_id":1,"priority_id":2,"assigned_to_id":23,"start_date":"2016-09-16","description":"","custom_fields":[{"id":1,"name":"Subdivision","value":"EC"},{"id":4,"name":"Milepost","value":"0.0172"},{"id":17,"name":"Train ID","value":"136-16"},{"id":16,"name":"Locomotive ID","value":"4010"},{"id":130,"name":"Impact","value":""},{"id":150,"name":"Time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437</v>
      </c>
      <c r="B49" s="7">
        <v>4018</v>
      </c>
      <c r="C49" s="24" t="s">
        <v>107</v>
      </c>
      <c r="D49" s="24" t="s">
        <v>256</v>
      </c>
      <c r="E49" s="15">
        <v>42629.339201388888</v>
      </c>
      <c r="F49" s="15">
        <v>42629.343923611108</v>
      </c>
      <c r="G49" s="7">
        <v>1</v>
      </c>
      <c r="H49" s="15" t="s">
        <v>329</v>
      </c>
      <c r="I49" s="15">
        <v>42629.368506944447</v>
      </c>
      <c r="J49" s="7">
        <v>0</v>
      </c>
      <c r="K49" s="121" t="str">
        <f t="shared" si="0"/>
        <v>4017/4018</v>
      </c>
      <c r="L49" s="24" t="str">
        <f>VLOOKUP(A49,'Trips&amp;Operators'!$C$1:$E$10000,3,FALSE)</f>
        <v>BRANDNER</v>
      </c>
      <c r="M49" s="6">
        <f t="shared" si="1"/>
        <v>2.4583333339251112E-2</v>
      </c>
      <c r="N49" s="7">
        <f t="shared" si="20"/>
        <v>35.400000008521602</v>
      </c>
      <c r="O49" s="7"/>
      <c r="P49" s="7"/>
      <c r="Q49" s="25"/>
      <c r="R49" s="25"/>
      <c r="S49" s="37">
        <f t="shared" si="21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07:08:27-0600',mode:absolute,to:'2016-09-16 09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9" s="54" t="str">
        <f t="shared" si="6"/>
        <v>N</v>
      </c>
      <c r="X49" s="168">
        <f t="shared" si="19"/>
        <v>1</v>
      </c>
      <c r="Y49" s="69">
        <f t="shared" si="7"/>
        <v>4.4400000000000002E-2</v>
      </c>
      <c r="Z49" s="69">
        <f t="shared" si="8"/>
        <v>23.330100000000002</v>
      </c>
      <c r="AA49" s="69">
        <f t="shared" si="9"/>
        <v>23.285700000000002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0"/>
        <v>0137-16</v>
      </c>
      <c r="AE49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49" s="96" t="str">
        <f t="shared" si="12"/>
        <v>"C:\Program Files (x86)\AstroGrep\AstroGrep.exe" /spath="%USERPROFILE%\AppData\Local\Temp\OnboardLogs" /stypes="app*4018*20160916*"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100" t="str">
        <f t="shared" si="17"/>
        <v>"%USERPROFILE%\Documents\GitHub\eaglep3\Utilities\RefineRTDCRunTimes.py" --tripid 137-16 --locoid 4018 --swversion DE.1.0.7.0 --startMP 204:444 --initTime 2016-09-16T08:08:27 --startdatetime 2016-09-16T08:15:15 --delay 1 --endMP 204:233301 --enddatetime 2016-09-16T08:50:39 --enforcementcount 0 &gt;&gt;C:\Users\stu\Documents\GitHub\eaglep3-reporting\EC\2016-09-16-refined-times.txt</v>
      </c>
      <c r="AI4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ID","value":"137-16"},{"id":16,"name":"Locomotive ID","value":"4018"},{"id":130,"name":"Impact","value":""},{"id":150,"name":"Time of Event (Mountain Time)","value":"08:50:39"},{"id":151,"name":"Denver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449</v>
      </c>
      <c r="B50" s="7">
        <v>4017</v>
      </c>
      <c r="C50" s="24" t="s">
        <v>107</v>
      </c>
      <c r="D50" s="24" t="s">
        <v>252</v>
      </c>
      <c r="E50" s="15">
        <v>42629.374340277776</v>
      </c>
      <c r="F50" s="15">
        <v>42629.382881944446</v>
      </c>
      <c r="G50" s="7">
        <v>1</v>
      </c>
      <c r="H50" s="15" t="s">
        <v>245</v>
      </c>
      <c r="I50" s="15">
        <v>42629.409212962964</v>
      </c>
      <c r="J50" s="7">
        <v>0</v>
      </c>
      <c r="K50" s="121" t="str">
        <f t="shared" si="0"/>
        <v>4017/4018</v>
      </c>
      <c r="L50" s="24" t="str">
        <f>VLOOKUP(A50,'Trips&amp;Operators'!$C$1:$E$10000,3,FALSE)</f>
        <v>BRANDNER</v>
      </c>
      <c r="M50" s="6">
        <f t="shared" si="1"/>
        <v>2.6331018518249039E-2</v>
      </c>
      <c r="N50" s="7">
        <f t="shared" si="20"/>
        <v>37.916666666278616</v>
      </c>
      <c r="O50" s="7"/>
      <c r="P50" s="7"/>
      <c r="Q50" s="25"/>
      <c r="R50" s="25"/>
      <c r="S50" s="37">
        <f t="shared" si="21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07:59:03-0600',mode:absolute,to:'2016-09-16 10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0" s="54" t="str">
        <f t="shared" si="6"/>
        <v>N</v>
      </c>
      <c r="X50" s="168">
        <f t="shared" ref="X50:X80" si="22">VALUE(LEFT(AD50,4))-VALUE(LEFT(AD49,4))</f>
        <v>1</v>
      </c>
      <c r="Y50" s="69">
        <f t="shared" si="7"/>
        <v>23.297999999999998</v>
      </c>
      <c r="Z50" s="69">
        <f t="shared" si="8"/>
        <v>1.41E-2</v>
      </c>
      <c r="AA50" s="69">
        <f t="shared" si="9"/>
        <v>23.283899999999999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0"/>
        <v>0138-16</v>
      </c>
      <c r="AE50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50" s="96" t="str">
        <f t="shared" si="12"/>
        <v>"C:\Program Files (x86)\AstroGrep\AstroGrep.exe" /spath="%USERPROFILE%\AppData\Local\Temp\OnboardLogs" /stypes="app*4017*20160916*"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100" t="str">
        <f t="shared" si="17"/>
        <v>"%USERPROFILE%\Documents\GitHub\eaglep3\Utilities\RefineRTDCRunTimes.py" --tripid 138-16 --locoid 4017 --swversion DE.1.0.7.0 --startMP 204:232980 --initTime 2016-09-16T08:59:03 --startdatetime 2016-09-16T09:11:21 --delay 1 --endMP 204:141 --enddatetime 2016-09-16T09:49:16 --enforcementcount 0 &gt;&gt;C:\Users\stu\Documents\GitHub\eaglep3-reporting\EC\2016-09-16-refined-times.txt</v>
      </c>
      <c r="AI5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ID","value":"138-16"},{"id":16,"name":"Locomotive ID","value":"4017"},{"id":130,"name":"Impact","value":""},{"id":150,"name":"Time of Event (Mountain Time)","value":"09:49:16"},{"id":151,"name":"Denver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441</v>
      </c>
      <c r="B51" s="7">
        <v>4003</v>
      </c>
      <c r="C51" s="24" t="s">
        <v>107</v>
      </c>
      <c r="D51" s="24" t="s">
        <v>224</v>
      </c>
      <c r="E51" s="15">
        <v>42629.349756944444</v>
      </c>
      <c r="F51" s="15">
        <v>42629.35434027778</v>
      </c>
      <c r="G51" s="7">
        <v>1</v>
      </c>
      <c r="H51" s="15" t="s">
        <v>274</v>
      </c>
      <c r="I51" s="15">
        <v>42629.380057870374</v>
      </c>
      <c r="J51" s="7">
        <v>0</v>
      </c>
      <c r="K51" s="121" t="str">
        <f t="shared" si="0"/>
        <v>4003/4004</v>
      </c>
      <c r="L51" s="24" t="str">
        <f>VLOOKUP(A51,'Trips&amp;Operators'!$C$1:$E$10000,3,FALSE)</f>
        <v>SPECTOR</v>
      </c>
      <c r="M51" s="6">
        <f t="shared" si="1"/>
        <v>2.5717592594446614E-2</v>
      </c>
      <c r="N51" s="7">
        <f t="shared" si="20"/>
        <v>37.033333336003125</v>
      </c>
      <c r="O51" s="7"/>
      <c r="P51" s="7"/>
      <c r="Q51" s="25"/>
      <c r="R51" s="25"/>
      <c r="S51" s="37">
        <f t="shared" si="21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07:23:39-0600',mode:absolute,to:'2016-09-16 10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1" s="54" t="str">
        <f t="shared" si="6"/>
        <v>N</v>
      </c>
      <c r="X51" s="168">
        <f t="shared" si="22"/>
        <v>1</v>
      </c>
      <c r="Y51" s="69">
        <f t="shared" si="7"/>
        <v>4.53E-2</v>
      </c>
      <c r="Z51" s="69">
        <f t="shared" si="8"/>
        <v>23.3278</v>
      </c>
      <c r="AA51" s="69">
        <f t="shared" si="9"/>
        <v>23.282499999999999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0"/>
        <v>0139-16</v>
      </c>
      <c r="AE51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51" s="96" t="str">
        <f t="shared" si="12"/>
        <v>"C:\Program Files (x86)\AstroGrep\AstroGrep.exe" /spath="%USERPROFILE%\AppData\Local\Temp\OnboardLogs" /stypes="app*4003*20160916*"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100" t="str">
        <f t="shared" si="17"/>
        <v>"%USERPROFILE%\Documents\GitHub\eaglep3\Utilities\RefineRTDCRunTimes.py" --tripid 139-16 --locoid 4003 --swversion DE.1.0.7.0 --startMP 204:453 --initTime 2016-09-16T08:23:39 --startdatetime 2016-09-16T08:30:15 --delay 1 --endMP 204:233278 --enddatetime 2016-09-16T09:07:17 --enforcementcount 0 &gt;&gt;C:\Users\stu\Documents\GitHub\eaglep3-reporting\EC\2016-09-16-refined-times.txt</v>
      </c>
      <c r="AI5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{"issue":{"subject":"","project_id":79,"tracker_id":40,"status_id":1,"priority_id":2,"assigned_to_id":23,"start_date":"2016-09-16","description":"","custom_fields":[{"id":1,"name":"Subdivision","value":"EC"},{"id":4,"name":"Milepost","value":"23.3278"},{"id":17,"name":"Train ID","value":"139-16"},{"id":16,"name":"Locomotive ID","value":"4003"},{"id":130,"name":"Impact","value":""},{"id":150,"name":"Time of Event (Mountain Time)","value":"09:07:17"},{"id":151,"name":"Denver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451</v>
      </c>
      <c r="B52" s="7">
        <v>4004</v>
      </c>
      <c r="C52" s="24" t="s">
        <v>107</v>
      </c>
      <c r="D52" s="24" t="s">
        <v>307</v>
      </c>
      <c r="E52" s="15">
        <v>42629.386099537034</v>
      </c>
      <c r="F52" s="15">
        <v>42629.393275462964</v>
      </c>
      <c r="G52" s="7">
        <v>1</v>
      </c>
      <c r="H52" s="15" t="s">
        <v>222</v>
      </c>
      <c r="I52" s="15">
        <v>42629.420243055552</v>
      </c>
      <c r="J52" s="7">
        <v>0</v>
      </c>
      <c r="K52" s="121" t="str">
        <f t="shared" si="0"/>
        <v>4003/4004</v>
      </c>
      <c r="L52" s="24" t="str">
        <f>VLOOKUP(A52,'Trips&amp;Operators'!$C$1:$E$10000,3,FALSE)</f>
        <v>SPECTOR</v>
      </c>
      <c r="M52" s="6">
        <f t="shared" si="1"/>
        <v>2.696759258833481E-2</v>
      </c>
      <c r="N52" s="7">
        <f t="shared" si="20"/>
        <v>38.833333327202126</v>
      </c>
      <c r="O52" s="7"/>
      <c r="P52" s="7"/>
      <c r="Q52" s="25"/>
      <c r="R52" s="25"/>
      <c r="S52" s="37">
        <f t="shared" si="21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08:15:59-0600',mode:absolute,to:'2016-09-16 11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2" s="54" t="str">
        <f t="shared" si="6"/>
        <v>N</v>
      </c>
      <c r="X52" s="168">
        <f t="shared" si="22"/>
        <v>1</v>
      </c>
      <c r="Y52" s="69">
        <f t="shared" si="7"/>
        <v>23.2959</v>
      </c>
      <c r="Z52" s="69">
        <f t="shared" si="8"/>
        <v>1.5800000000000002E-2</v>
      </c>
      <c r="AA52" s="69">
        <f t="shared" si="9"/>
        <v>23.280100000000001</v>
      </c>
      <c r="AB52" s="66" t="str">
        <f>VLOOKUP(A52,Enforcements!$C$7:$K$20,8,0)</f>
        <v>Bulletin (2)</v>
      </c>
      <c r="AC52" s="62" t="str">
        <f>VLOOKUP(A52,Enforcements!$C$7:$E$20,3,0)</f>
        <v>GRADE CROSSING</v>
      </c>
      <c r="AD52" s="63" t="str">
        <f t="shared" si="10"/>
        <v>0140-16</v>
      </c>
      <c r="AE52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52" s="96" t="str">
        <f t="shared" si="12"/>
        <v>"C:\Program Files (x86)\AstroGrep\AstroGrep.exe" /spath="%USERPROFILE%\AppData\Local\Temp\OnboardLogs" /stypes="app*4004*20160916*"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100" t="str">
        <f t="shared" si="17"/>
        <v>"%USERPROFILE%\Documents\GitHub\eaglep3\Utilities\RefineRTDCRunTimes.py" --tripid 140-16 --locoid 4004 --swversion DE.1.0.7.0 --startMP 204:232959 --initTime 2016-09-16T09:15:59 --startdatetime 2016-09-16T09:26:19 --delay 1 --endMP 204:158 --enddatetime 2016-09-16T10:05:09 --enforcementcount 0 &gt;&gt;C:\Users\stu\Documents\GitHub\eaglep3-reporting\EC\2016-09-16-refined-times.txt</v>
      </c>
      <c r="AI5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ID","value":"140-16"},{"id":16,"name":"Locomotive ID","value":"4004"},{"id":130,"name":"Impact","value":""},{"id":150,"name":"Time of Event (Mountain Time)","value":"10:05:09"},{"id":151,"name":"Denver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445</v>
      </c>
      <c r="B53" s="7">
        <v>4020</v>
      </c>
      <c r="C53" s="24" t="s">
        <v>107</v>
      </c>
      <c r="D53" s="24" t="s">
        <v>224</v>
      </c>
      <c r="E53" s="15">
        <v>42629.361990740741</v>
      </c>
      <c r="F53" s="15">
        <v>42629.36482638889</v>
      </c>
      <c r="G53" s="7">
        <v>1</v>
      </c>
      <c r="H53" s="15" t="s">
        <v>273</v>
      </c>
      <c r="I53" s="15">
        <v>42629.390138888892</v>
      </c>
      <c r="J53" s="7">
        <v>0</v>
      </c>
      <c r="K53" s="121" t="str">
        <f t="shared" si="0"/>
        <v>4019/4020</v>
      </c>
      <c r="L53" s="24" t="str">
        <f>VLOOKUP(A53,'Trips&amp;Operators'!$C$1:$E$10000,3,FALSE)</f>
        <v>MAELZER</v>
      </c>
      <c r="M53" s="6">
        <f t="shared" si="1"/>
        <v>2.531250000174623E-2</v>
      </c>
      <c r="N53" s="7">
        <f t="shared" si="20"/>
        <v>36.450000002514571</v>
      </c>
      <c r="O53" s="7"/>
      <c r="P53" s="7"/>
      <c r="Q53" s="25"/>
      <c r="R53" s="25"/>
      <c r="S53" s="37">
        <f t="shared" si="21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07:41:16-0600',mode:absolute,to:'2016-09-16 10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3" s="54" t="str">
        <f t="shared" si="6"/>
        <v>N</v>
      </c>
      <c r="X53" s="168">
        <f t="shared" si="22"/>
        <v>1</v>
      </c>
      <c r="Y53" s="69">
        <f t="shared" si="7"/>
        <v>4.53E-2</v>
      </c>
      <c r="Z53" s="69">
        <f t="shared" si="8"/>
        <v>23.329899999999999</v>
      </c>
      <c r="AA53" s="69">
        <f t="shared" si="9"/>
        <v>23.284599999999998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0"/>
        <v>0141-16</v>
      </c>
      <c r="AE53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53" s="96" t="str">
        <f t="shared" si="12"/>
        <v>"C:\Program Files (x86)\AstroGrep\AstroGrep.exe" /spath="%USERPROFILE%\AppData\Local\Temp\OnboardLogs" /stypes="app*4020*20160916*"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100" t="str">
        <f t="shared" si="17"/>
        <v>"%USERPROFILE%\Documents\GitHub\eaglep3\Utilities\RefineRTDCRunTimes.py" --tripid 141-16 --locoid 4020 --swversion DE.1.0.7.0 --startMP 204:453 --initTime 2016-09-16T08:41:16 --startdatetime 2016-09-16T08:45:21 --delay 1 --endMP 204:233299 --enddatetime 2016-09-16T09:21:48 --enforcementcount 0 &gt;&gt;C:\Users\stu\Documents\GitHub\eaglep3-reporting\EC\2016-09-16-refined-times.txt</v>
      </c>
      <c r="AI5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ID","value":"141-16"},{"id":16,"name":"Locomotive ID","value":"4020"},{"id":130,"name":"Impact","value":""},{"id":150,"name":"Time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453</v>
      </c>
      <c r="B54" s="7">
        <v>4019</v>
      </c>
      <c r="C54" s="24" t="s">
        <v>107</v>
      </c>
      <c r="D54" s="24" t="s">
        <v>234</v>
      </c>
      <c r="E54" s="15">
        <v>42629.396064814813</v>
      </c>
      <c r="F54" s="15">
        <v>42629.403657407405</v>
      </c>
      <c r="G54" s="7">
        <v>1</v>
      </c>
      <c r="H54" s="15" t="s">
        <v>218</v>
      </c>
      <c r="I54" s="15">
        <v>42629.430405092593</v>
      </c>
      <c r="J54" s="7">
        <v>0</v>
      </c>
      <c r="K54" s="121" t="str">
        <f t="shared" si="0"/>
        <v>4019/4020</v>
      </c>
      <c r="L54" s="24" t="str">
        <f>VLOOKUP(A54,'Trips&amp;Operators'!$C$1:$E$10000,3,FALSE)</f>
        <v>MAELZER</v>
      </c>
      <c r="M54" s="6">
        <f t="shared" si="1"/>
        <v>2.6747685187729076E-2</v>
      </c>
      <c r="N54" s="7">
        <f t="shared" si="20"/>
        <v>38.516666670329869</v>
      </c>
      <c r="O54" s="7"/>
      <c r="P54" s="7"/>
      <c r="Q54" s="25"/>
      <c r="R54" s="25"/>
      <c r="S54" s="37">
        <f t="shared" si="21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08:30:20-0600',mode:absolute,to:'2016-09-16 11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4" s="54" t="str">
        <f t="shared" si="6"/>
        <v>N</v>
      </c>
      <c r="X54" s="168">
        <f t="shared" si="22"/>
        <v>1</v>
      </c>
      <c r="Y54" s="69">
        <f t="shared" si="7"/>
        <v>23.297699999999999</v>
      </c>
      <c r="Z54" s="69">
        <f t="shared" si="8"/>
        <v>1.49E-2</v>
      </c>
      <c r="AA54" s="69">
        <f t="shared" si="9"/>
        <v>23.282799999999998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0"/>
        <v>0142-16</v>
      </c>
      <c r="AE54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54" s="96" t="str">
        <f t="shared" si="12"/>
        <v>"C:\Program Files (x86)\AstroGrep\AstroGrep.exe" /spath="%USERPROFILE%\AppData\Local\Temp\OnboardLogs" /stypes="app*4019*20160916*"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100" t="str">
        <f t="shared" si="17"/>
        <v>"%USERPROFILE%\Documents\GitHub\eaglep3\Utilities\RefineRTDCRunTimes.py" --tripid 142-16 --locoid 4019 --swversion DE.1.0.7.0 --startMP 204:232977 --initTime 2016-09-16T09:30:20 --startdatetime 2016-09-16T09:41:16 --delay 1 --endMP 204:149 --enddatetime 2016-09-16T10:19:47 --enforcementcount 0 &gt;&gt;C:\Users\stu\Documents\GitHub\eaglep3-reporting\EC\2016-09-16-refined-times.txt</v>
      </c>
      <c r="AI5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ID","value":"142-16"},{"id":16,"name":"Locomotive ID","value":"4019"},{"id":130,"name":"Impact","value":""},{"id":150,"name":"Time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448</v>
      </c>
      <c r="B55" s="7">
        <v>4038</v>
      </c>
      <c r="C55" s="24" t="s">
        <v>107</v>
      </c>
      <c r="D55" s="24" t="s">
        <v>276</v>
      </c>
      <c r="E55" s="15">
        <v>42629.373900462961</v>
      </c>
      <c r="F55" s="15">
        <v>42629.375358796293</v>
      </c>
      <c r="G55" s="7">
        <v>1</v>
      </c>
      <c r="H55" s="15" t="s">
        <v>280</v>
      </c>
      <c r="I55" s="15">
        <v>42629.400439814817</v>
      </c>
      <c r="J55" s="7">
        <v>0</v>
      </c>
      <c r="K55" s="121" t="str">
        <f t="shared" si="0"/>
        <v>4037/4038</v>
      </c>
      <c r="L55" s="24" t="str">
        <f>VLOOKUP(A55,'Trips&amp;Operators'!$C$1:$E$10000,3,FALSE)</f>
        <v>ROCHA</v>
      </c>
      <c r="M55" s="6">
        <f t="shared" si="1"/>
        <v>2.5081018524360843E-2</v>
      </c>
      <c r="N55" s="7">
        <f t="shared" si="20"/>
        <v>36.116666675079614</v>
      </c>
      <c r="O55" s="7"/>
      <c r="P55" s="7"/>
      <c r="Q55" s="25"/>
      <c r="R55" s="25"/>
      <c r="S55" s="37">
        <f t="shared" si="21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07:58:25-0600',mode:absolute,to:'2016-09-16 10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5" s="54" t="str">
        <f t="shared" si="6"/>
        <v>N</v>
      </c>
      <c r="X55" s="168">
        <f t="shared" si="22"/>
        <v>1</v>
      </c>
      <c r="Y55" s="69">
        <f t="shared" si="7"/>
        <v>4.3499999999999997E-2</v>
      </c>
      <c r="Z55" s="69">
        <f t="shared" si="8"/>
        <v>23.3306</v>
      </c>
      <c r="AA55" s="69">
        <f t="shared" si="9"/>
        <v>23.287099999999999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0"/>
        <v>0143-16</v>
      </c>
      <c r="AE55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55" s="96" t="str">
        <f t="shared" si="12"/>
        <v>"C:\Program Files (x86)\AstroGrep\AstroGrep.exe" /spath="%USERPROFILE%\AppData\Local\Temp\OnboardLogs" /stypes="app*4038*20160916*"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100" t="str">
        <f t="shared" si="17"/>
        <v>"%USERPROFILE%\Documents\GitHub\eaglep3\Utilities\RefineRTDCRunTimes.py" --tripid 143-16 --locoid 4038 --swversion DE.1.0.7.0 --startMP 204:435 --initTime 2016-09-16T08:58:25 --startdatetime 2016-09-16T09:00:31 --delay 1 --endMP 204:233306 --enddatetime 2016-09-16T09:36:38 --enforcementcount 0 &gt;&gt;C:\Users\stu\Documents\GitHub\eaglep3-reporting\EC\2016-09-16-refined-times.txt</v>
      </c>
      <c r="AI5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{"issue":{"subject":"","project_id":79,"tracker_id":40,"status_id":1,"priority_id":2,"assigned_to_id":23,"start_date":"2016-09-16","description":"","custom_fields":[{"id":1,"name":"Subdivision","value":"EC"},{"id":4,"name":"Milepost","value":"23.3306"},{"id":17,"name":"Train ID","value":"143-16"},{"id":16,"name":"Locomotive ID","value":"4038"},{"id":130,"name":"Impact","value":""},{"id":150,"name":"Time of Event (Mountain Time)","value":"09:36:38"},{"id":151,"name":"Denver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457</v>
      </c>
      <c r="B56" s="7">
        <v>4037</v>
      </c>
      <c r="C56" s="24" t="s">
        <v>107</v>
      </c>
      <c r="D56" s="24" t="s">
        <v>639</v>
      </c>
      <c r="E56" s="15">
        <v>42629.41265046296</v>
      </c>
      <c r="F56" s="15">
        <v>42629.414236111108</v>
      </c>
      <c r="G56" s="7">
        <v>1</v>
      </c>
      <c r="H56" s="15" t="s">
        <v>223</v>
      </c>
      <c r="I56" s="15">
        <v>42629.441076388888</v>
      </c>
      <c r="J56" s="7">
        <v>0</v>
      </c>
      <c r="K56" s="121" t="str">
        <f t="shared" si="0"/>
        <v>4037/4038</v>
      </c>
      <c r="L56" s="24" t="str">
        <f>VLOOKUP(A56,'Trips&amp;Operators'!$C$1:$E$10000,3,FALSE)</f>
        <v>ROCHA</v>
      </c>
      <c r="M56" s="6">
        <f t="shared" si="1"/>
        <v>2.6840277780138422E-2</v>
      </c>
      <c r="N56" s="7">
        <f t="shared" si="20"/>
        <v>38.650000003399327</v>
      </c>
      <c r="O56" s="7"/>
      <c r="P56" s="7"/>
      <c r="Q56" s="25"/>
      <c r="R56" s="25"/>
      <c r="S56" s="37">
        <f t="shared" si="21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08:54:13-0600',mode:absolute,to:'2016-09-16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6" s="54" t="str">
        <f t="shared" si="6"/>
        <v>N</v>
      </c>
      <c r="X56" s="168">
        <f t="shared" si="22"/>
        <v>1</v>
      </c>
      <c r="Y56" s="69">
        <f t="shared" si="7"/>
        <v>23.296600000000002</v>
      </c>
      <c r="Z56" s="69">
        <f t="shared" si="8"/>
        <v>1.47E-2</v>
      </c>
      <c r="AA56" s="69">
        <f t="shared" si="9"/>
        <v>23.2819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0"/>
        <v>0144-16</v>
      </c>
      <c r="AE56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56" s="96" t="str">
        <f t="shared" si="12"/>
        <v>"C:\Program Files (x86)\AstroGrep\AstroGrep.exe" /spath="%USERPROFILE%\AppData\Local\Temp\OnboardLogs" /stypes="app*4037*20160916*"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100" t="str">
        <f t="shared" si="17"/>
        <v>"%USERPROFILE%\Documents\GitHub\eaglep3\Utilities\RefineRTDCRunTimes.py" --tripid 144-16 --locoid 4037 --swversion DE.1.0.7.0 --startMP 204:232966 --initTime 2016-09-16T09:54:13 --startdatetime 2016-09-16T09:56:30 --delay 1 --endMP 204:147 --enddatetime 2016-09-16T10:35:09 --enforcementcount 0 &gt;&gt;C:\Users\stu\Documents\GitHub\eaglep3-reporting\EC\2016-09-16-refined-times.txt</v>
      </c>
      <c r="AI5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ID","value":"144-16"},{"id":16,"name":"Locomotive ID","value":"4037"},{"id":130,"name":"Impact","value":""},{"id":150,"name":"Time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450</v>
      </c>
      <c r="B57" s="7">
        <v>4002</v>
      </c>
      <c r="C57" s="24" t="s">
        <v>107</v>
      </c>
      <c r="D57" s="24" t="s">
        <v>229</v>
      </c>
      <c r="E57" s="15">
        <v>42629.382974537039</v>
      </c>
      <c r="F57" s="15">
        <v>42629.385833333334</v>
      </c>
      <c r="G57" s="7">
        <v>1</v>
      </c>
      <c r="H57" s="15" t="s">
        <v>273</v>
      </c>
      <c r="I57" s="15">
        <v>42629.411041666666</v>
      </c>
      <c r="J57" s="7">
        <v>0</v>
      </c>
      <c r="K57" s="121" t="str">
        <f t="shared" si="0"/>
        <v>4001/4002</v>
      </c>
      <c r="L57" s="24" t="str">
        <f>VLOOKUP(A57,'Trips&amp;Operators'!$C$1:$E$10000,3,FALSE)</f>
        <v>DAVIS</v>
      </c>
      <c r="M57" s="6">
        <f t="shared" si="1"/>
        <v>2.5208333332557231E-2</v>
      </c>
      <c r="N57" s="7">
        <f t="shared" si="20"/>
        <v>36.299999998882413</v>
      </c>
      <c r="O57" s="7"/>
      <c r="P57" s="7"/>
      <c r="Q57" s="25"/>
      <c r="R57" s="25"/>
      <c r="S57" s="37">
        <f t="shared" si="21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08:11:29-0600',mode:absolute,to:'2016-09-16 10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7" s="54" t="str">
        <f t="shared" si="6"/>
        <v>N</v>
      </c>
      <c r="X57" s="168">
        <f t="shared" si="22"/>
        <v>1</v>
      </c>
      <c r="Y57" s="69">
        <f t="shared" si="7"/>
        <v>4.5699999999999998E-2</v>
      </c>
      <c r="Z57" s="69">
        <f t="shared" si="8"/>
        <v>23.329899999999999</v>
      </c>
      <c r="AA57" s="69">
        <f t="shared" si="9"/>
        <v>23.284199999999998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0"/>
        <v>0145-16</v>
      </c>
      <c r="AE57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57" s="96" t="str">
        <f t="shared" si="12"/>
        <v>"C:\Program Files (x86)\AstroGrep\AstroGrep.exe" /spath="%USERPROFILE%\AppData\Local\Temp\OnboardLogs" /stypes="app*4002*20160916*"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100" t="str">
        <f t="shared" si="17"/>
        <v>"%USERPROFILE%\Documents\GitHub\eaglep3\Utilities\RefineRTDCRunTimes.py" --tripid 145-16 --locoid 4002 --swversion DE.1.0.7.0 --startMP 204:457 --initTime 2016-09-16T09:11:29 --startdatetime 2016-09-16T09:15:36 --delay 1 --endMP 204:233299 --enddatetime 2016-09-16T09:51:54 --enforcementcount 0 &gt;&gt;C:\Users\stu\Documents\GitHub\eaglep3-reporting\EC\2016-09-16-refined-times.txt</v>
      </c>
      <c r="AI5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ID","value":"145-16"},{"id":16,"name":"Locomotive ID","value":"4002"},{"id":130,"name":"Impact","value":""},{"id":150,"name":"Time of Event (Mountain Time)","value":"09:51:54"},{"id":151,"name":"Denver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459</v>
      </c>
      <c r="B58" s="7">
        <v>4001</v>
      </c>
      <c r="C58" s="24" t="s">
        <v>107</v>
      </c>
      <c r="D58" s="24" t="s">
        <v>250</v>
      </c>
      <c r="E58" s="15">
        <v>42629.419814814813</v>
      </c>
      <c r="F58" s="15">
        <v>42629.424641203703</v>
      </c>
      <c r="G58" s="7">
        <v>1</v>
      </c>
      <c r="H58" s="15" t="s">
        <v>291</v>
      </c>
      <c r="I58" s="15">
        <v>42629.453229166669</v>
      </c>
      <c r="J58" s="7">
        <v>0</v>
      </c>
      <c r="K58" s="121" t="str">
        <f t="shared" si="0"/>
        <v>4001/4002</v>
      </c>
      <c r="L58" s="24" t="str">
        <f>VLOOKUP(A58,'Trips&amp;Operators'!$C$1:$E$10000,3,FALSE)</f>
        <v>DAVIS</v>
      </c>
      <c r="M58" s="6">
        <f t="shared" si="1"/>
        <v>2.8587962966412306E-2</v>
      </c>
      <c r="N58" s="7">
        <f t="shared" si="20"/>
        <v>41.16666667163372</v>
      </c>
      <c r="O58" s="7"/>
      <c r="P58" s="7"/>
      <c r="Q58" s="25"/>
      <c r="R58" s="25"/>
      <c r="S58" s="37">
        <f t="shared" si="21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09:04:32-0600',mode:absolute,to:'2016-09-16 11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8" s="54" t="str">
        <f t="shared" si="6"/>
        <v>N</v>
      </c>
      <c r="X58" s="168">
        <f t="shared" si="22"/>
        <v>1</v>
      </c>
      <c r="Y58" s="69">
        <f t="shared" si="7"/>
        <v>23.297799999999999</v>
      </c>
      <c r="Z58" s="69">
        <f t="shared" si="8"/>
        <v>1.43E-2</v>
      </c>
      <c r="AA58" s="69">
        <f t="shared" si="9"/>
        <v>23.2835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0"/>
        <v>0146-16</v>
      </c>
      <c r="AE58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58" s="96" t="str">
        <f t="shared" si="12"/>
        <v>"C:\Program Files (x86)\AstroGrep\AstroGrep.exe" /spath="%USERPROFILE%\AppData\Local\Temp\OnboardLogs" /stypes="app*4001*20160916*"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100" t="str">
        <f t="shared" si="17"/>
        <v>"%USERPROFILE%\Documents\GitHub\eaglep3\Utilities\RefineRTDCRunTimes.py" --tripid 146-16 --locoid 4001 --swversion DE.1.0.7.0 --startMP 204:232978 --initTime 2016-09-16T10:04:32 --startdatetime 2016-09-16T10:11:29 --delay 1 --endMP 204:143 --enddatetime 2016-09-16T10:52:39 --enforcementcount 0 &gt;&gt;C:\Users\stu\Documents\GitHub\eaglep3-reporting\EC\2016-09-16-refined-times.txt</v>
      </c>
      <c r="AI5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ID","value":"146-16"},{"id":16,"name":"Locomotive ID","value":"4001"},{"id":130,"name":"Impact","value":""},{"id":150,"name":"Time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452</v>
      </c>
      <c r="B59" s="7">
        <v>4044</v>
      </c>
      <c r="C59" s="24" t="s">
        <v>107</v>
      </c>
      <c r="D59" s="24" t="s">
        <v>230</v>
      </c>
      <c r="E59" s="15">
        <v>42629.394097222219</v>
      </c>
      <c r="F59" s="15">
        <v>42629.396307870367</v>
      </c>
      <c r="G59" s="7">
        <v>1</v>
      </c>
      <c r="H59" s="15" t="s">
        <v>626</v>
      </c>
      <c r="I59" s="15">
        <v>42629.422951388886</v>
      </c>
      <c r="J59" s="7">
        <v>0</v>
      </c>
      <c r="K59" s="121" t="str">
        <f t="shared" si="0"/>
        <v>4043/4044</v>
      </c>
      <c r="L59" s="24" t="str">
        <f>VLOOKUP(A59,'Trips&amp;Operators'!$C$1:$E$10000,3,FALSE)</f>
        <v>MALAVE</v>
      </c>
      <c r="M59" s="6">
        <f t="shared" si="1"/>
        <v>2.6643518518540077E-2</v>
      </c>
      <c r="N59" s="7">
        <f t="shared" si="20"/>
        <v>38.366666666697711</v>
      </c>
      <c r="O59" s="7"/>
      <c r="P59" s="7"/>
      <c r="Q59" s="25"/>
      <c r="R59" s="25"/>
      <c r="S59" s="37">
        <f t="shared" si="21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08:27:30-0600',mode:absolute,to:'2016-09-16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9" s="54" t="str">
        <f t="shared" si="6"/>
        <v>N</v>
      </c>
      <c r="X59" s="168">
        <f t="shared" si="22"/>
        <v>1</v>
      </c>
      <c r="Y59" s="69">
        <f t="shared" si="7"/>
        <v>4.4699999999999997E-2</v>
      </c>
      <c r="Z59" s="69">
        <f t="shared" si="8"/>
        <v>23.326799999999999</v>
      </c>
      <c r="AA59" s="69">
        <f t="shared" si="9"/>
        <v>23.2821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0"/>
        <v>0147-16</v>
      </c>
      <c r="AE59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59" s="96" t="str">
        <f t="shared" si="12"/>
        <v>"C:\Program Files (x86)\AstroGrep\AstroGrep.exe" /spath="%USERPROFILE%\AppData\Local\Temp\OnboardLogs" /stypes="app*4044*20160916*"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100" t="str">
        <f t="shared" si="17"/>
        <v>"%USERPROFILE%\Documents\GitHub\eaglep3\Utilities\RefineRTDCRunTimes.py" --tripid 147-16 --locoid 4044 --swversion DE.1.0.7.0 --startMP 204:447 --initTime 2016-09-16T09:27:30 --startdatetime 2016-09-16T09:30:41 --delay 1 --endMP 204:233268 --enddatetime 2016-09-16T10:09:03 --enforcementcount 0 &gt;&gt;C:\Users\stu\Documents\GitHub\eaglep3-reporting\EC\2016-09-16-refined-times.txt</v>
      </c>
      <c r="AI5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ID","value":"147-16"},{"id":16,"name":"Locomotive ID","value":"4044"},{"id":130,"name":"Impact","value":""},{"id":150,"name":"Time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463</v>
      </c>
      <c r="B60" s="7">
        <v>4043</v>
      </c>
      <c r="C60" s="24" t="s">
        <v>107</v>
      </c>
      <c r="D60" s="24" t="s">
        <v>640</v>
      </c>
      <c r="E60" s="15">
        <v>42629.43378472222</v>
      </c>
      <c r="F60" s="15">
        <v>42629.435011574074</v>
      </c>
      <c r="G60" s="7">
        <v>1</v>
      </c>
      <c r="H60" s="15" t="s">
        <v>641</v>
      </c>
      <c r="I60" s="15">
        <v>42629.462939814817</v>
      </c>
      <c r="J60" s="7">
        <v>0</v>
      </c>
      <c r="K60" s="121" t="str">
        <f t="shared" si="0"/>
        <v>4043/4044</v>
      </c>
      <c r="L60" s="24" t="str">
        <f>VLOOKUP(A60,'Trips&amp;Operators'!$C$1:$E$10000,3,FALSE)</f>
        <v>MALAVE</v>
      </c>
      <c r="M60" s="6">
        <f t="shared" si="1"/>
        <v>2.792824074276723E-2</v>
      </c>
      <c r="N60" s="7">
        <f t="shared" si="20"/>
        <v>40.216666669584811</v>
      </c>
      <c r="O60" s="7"/>
      <c r="P60" s="7"/>
      <c r="Q60" s="25"/>
      <c r="R60" s="25"/>
      <c r="S60" s="37">
        <f t="shared" si="21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09:24:39-0600',mode:absolute,to:'2016-09-16 12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0" s="54" t="str">
        <f t="shared" si="6"/>
        <v>N</v>
      </c>
      <c r="X60" s="168">
        <f t="shared" si="22"/>
        <v>1</v>
      </c>
      <c r="Y60" s="69">
        <f t="shared" si="7"/>
        <v>23.294699999999999</v>
      </c>
      <c r="Z60" s="69">
        <f t="shared" si="8"/>
        <v>1.5599999999999999E-2</v>
      </c>
      <c r="AA60" s="69">
        <f t="shared" si="9"/>
        <v>23.2791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0"/>
        <v>0148-16</v>
      </c>
      <c r="AE60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60" s="96" t="str">
        <f t="shared" si="12"/>
        <v>"C:\Program Files (x86)\AstroGrep\AstroGrep.exe" /spath="%USERPROFILE%\AppData\Local\Temp\OnboardLogs" /stypes="app*4043*20160916*"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100" t="str">
        <f t="shared" si="17"/>
        <v>"%USERPROFILE%\Documents\GitHub\eaglep3\Utilities\RefineRTDCRunTimes.py" --tripid 148-16 --locoid 4043 --swversion DE.1.0.7.0 --startMP 204:232947 --initTime 2016-09-16T10:24:39 --startdatetime 2016-09-16T10:26:25 --delay 1 --endMP 204:156 --enddatetime 2016-09-16T11:06:38 --enforcementcount 0 &gt;&gt;C:\Users\stu\Documents\GitHub\eaglep3-reporting\EC\2016-09-16-refined-times.txt</v>
      </c>
      <c r="AI6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{"issue":{"subject":"","project_id":79,"tracker_id":40,"status_id":1,"priority_id":2,"assigned_to_id":23,"start_date":"2016-09-16","description":"","custom_fields":[{"id":1,"name":"Subdivision","value":"EC"},{"id":4,"name":"Milepost","value":"0.0156"},{"id":17,"name":"Train ID","value":"148-16"},{"id":16,"name":"Locomotive ID","value":"4043"},{"id":130,"name":"Impact","value":""},{"id":150,"name":"Time of Event (Mountain Time)","value":"11:06:38"},{"id":151,"name":"Denver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455</v>
      </c>
      <c r="B61" s="7">
        <v>4009</v>
      </c>
      <c r="C61" s="24" t="s">
        <v>107</v>
      </c>
      <c r="D61" s="24" t="s">
        <v>229</v>
      </c>
      <c r="E61" s="15">
        <v>42629.403437499997</v>
      </c>
      <c r="F61" s="15">
        <v>42629.406759259262</v>
      </c>
      <c r="G61" s="7">
        <v>1</v>
      </c>
      <c r="H61" s="15" t="s">
        <v>329</v>
      </c>
      <c r="I61" s="15">
        <v>42629.433275462965</v>
      </c>
      <c r="J61" s="7">
        <v>0</v>
      </c>
      <c r="K61" s="121" t="str">
        <f t="shared" si="0"/>
        <v>4009/4010</v>
      </c>
      <c r="L61" s="24" t="str">
        <f>VLOOKUP(A61,'Trips&amp;Operators'!$C$1:$E$10000,3,FALSE)</f>
        <v>RICHARDSON</v>
      </c>
      <c r="M61" s="6">
        <f t="shared" si="1"/>
        <v>2.6516203703067731E-2</v>
      </c>
      <c r="N61" s="7">
        <f t="shared" si="20"/>
        <v>38.183333332417533</v>
      </c>
      <c r="O61" s="7"/>
      <c r="P61" s="7"/>
      <c r="Q61" s="25"/>
      <c r="R61" s="25"/>
      <c r="S61" s="37">
        <f t="shared" si="21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08:40:57-0600',mode:absolute,to:'2016-09-16 11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1" s="54" t="str">
        <f t="shared" si="6"/>
        <v>N</v>
      </c>
      <c r="X61" s="168">
        <f t="shared" si="22"/>
        <v>1</v>
      </c>
      <c r="Y61" s="69">
        <f t="shared" si="7"/>
        <v>4.5699999999999998E-2</v>
      </c>
      <c r="Z61" s="69">
        <f t="shared" si="8"/>
        <v>23.330100000000002</v>
      </c>
      <c r="AA61" s="69">
        <f t="shared" si="9"/>
        <v>23.284400000000002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0"/>
        <v>0149-16</v>
      </c>
      <c r="AE61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61" s="96" t="str">
        <f t="shared" si="12"/>
        <v>"C:\Program Files (x86)\AstroGrep\AstroGrep.exe" /spath="%USERPROFILE%\AppData\Local\Temp\OnboardLogs" /stypes="app*4009*20160916*"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100" t="str">
        <f t="shared" si="17"/>
        <v>"%USERPROFILE%\Documents\GitHub\eaglep3\Utilities\RefineRTDCRunTimes.py" --tripid 149-16 --locoid 4009 --swversion DE.1.0.7.0 --startMP 204:457 --initTime 2016-09-16T09:40:57 --startdatetime 2016-09-16T09:45:44 --delay 1 --endMP 204:233301 --enddatetime 2016-09-16T10:23:55 --enforcementcount 0 &gt;&gt;C:\Users\stu\Documents\GitHub\eaglep3-reporting\EC\2016-09-16-refined-times.txt</v>
      </c>
      <c r="AI6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ID","value":"149-16"},{"id":16,"name":"Locomotive ID","value":"4009"},{"id":130,"name":"Impact","value":""},{"id":150,"name":"Time of Event (Mountain Time)","value":"10:23:55"},{"id":151,"name":"Denver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464</v>
      </c>
      <c r="B62" s="7">
        <v>4010</v>
      </c>
      <c r="C62" s="24" t="s">
        <v>107</v>
      </c>
      <c r="D62" s="24" t="s">
        <v>642</v>
      </c>
      <c r="E62" s="15">
        <v>42629.441203703704</v>
      </c>
      <c r="F62" s="15">
        <v>42629.445671296293</v>
      </c>
      <c r="G62" s="7">
        <v>1</v>
      </c>
      <c r="H62" s="15" t="s">
        <v>219</v>
      </c>
      <c r="I62" s="15">
        <v>42629.474062499998</v>
      </c>
      <c r="J62" s="7">
        <v>0</v>
      </c>
      <c r="K62" s="121" t="str">
        <f t="shared" si="0"/>
        <v>4009/4010</v>
      </c>
      <c r="L62" s="24" t="str">
        <f>VLOOKUP(A62,'Trips&amp;Operators'!$C$1:$E$10000,3,FALSE)</f>
        <v>RICHARDSON</v>
      </c>
      <c r="M62" s="6">
        <f t="shared" si="1"/>
        <v>2.8391203704813961E-2</v>
      </c>
      <c r="N62" s="7">
        <f t="shared" si="20"/>
        <v>40.883333334932104</v>
      </c>
      <c r="O62" s="7"/>
      <c r="P62" s="7"/>
      <c r="Q62" s="25"/>
      <c r="R62" s="25"/>
      <c r="S62" s="37">
        <f t="shared" si="21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09:35:20-0600',mode:absolute,to:'2016-09-16 12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2" s="54" t="str">
        <f t="shared" si="6"/>
        <v>N</v>
      </c>
      <c r="X62" s="168">
        <f t="shared" si="22"/>
        <v>1</v>
      </c>
      <c r="Y62" s="69">
        <f t="shared" si="7"/>
        <v>23.298200000000001</v>
      </c>
      <c r="Z62" s="69">
        <f t="shared" si="8"/>
        <v>1.6E-2</v>
      </c>
      <c r="AA62" s="69">
        <f t="shared" si="9"/>
        <v>23.282200000000003</v>
      </c>
      <c r="AB62" s="66" t="str">
        <f>VLOOKUP(A62,Enforcements!$C$7:$K$20,8,0)</f>
        <v>Bulletin (2)</v>
      </c>
      <c r="AC62" s="62" t="str">
        <f>VLOOKUP(A62,Enforcements!$C$7:$E$20,3,0)</f>
        <v>GRADE CROSSING</v>
      </c>
      <c r="AD62" s="63" t="str">
        <f t="shared" si="10"/>
        <v>0150-16</v>
      </c>
      <c r="AE62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62" s="96" t="str">
        <f t="shared" si="12"/>
        <v>"C:\Program Files (x86)\AstroGrep\AstroGrep.exe" /spath="%USERPROFILE%\AppData\Local\Temp\OnboardLogs" /stypes="app*4010*20160916*"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100" t="str">
        <f t="shared" si="17"/>
        <v>"%USERPROFILE%\Documents\GitHub\eaglep3\Utilities\RefineRTDCRunTimes.py" --tripid 150-16 --locoid 4010 --swversion DE.1.0.7.0 --startMP 204:232982 --initTime 2016-09-16T10:35:20 --startdatetime 2016-09-16T10:41:46 --delay 1 --endMP 204:160 --enddatetime 2016-09-16T11:22:39 --enforcementcount 0 &gt;&gt;C:\Users\stu\Documents\GitHub\eaglep3-reporting\EC\2016-09-16-refined-times.txt</v>
      </c>
      <c r="AI6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{"issue":{"subject":"","project_id":79,"tracker_id":40,"status_id":1,"priority_id":2,"assigned_to_id":23,"start_date":"2016-09-16","description":"","custom_fields":[{"id":1,"name":"Subdivision","value":"EC"},{"id":4,"name":"Milepost","value":"0.016"},{"id":17,"name":"Train ID","value":"150-16"},{"id":16,"name":"Locomotive ID","value":"4010"},{"id":130,"name":"Impact","value":""},{"id":150,"name":"Time of Event (Mountain Time)","value":"11:22:39"},{"id":151,"name":"Denver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456</v>
      </c>
      <c r="B63" s="7">
        <v>4018</v>
      </c>
      <c r="C63" s="24" t="s">
        <v>107</v>
      </c>
      <c r="D63" s="24" t="s">
        <v>643</v>
      </c>
      <c r="E63" s="15">
        <v>42629.411585648151</v>
      </c>
      <c r="F63" s="15">
        <v>42629.416875000003</v>
      </c>
      <c r="G63" s="7">
        <v>6</v>
      </c>
      <c r="H63" s="15" t="s">
        <v>644</v>
      </c>
      <c r="I63" s="15">
        <v>42629.444849537038</v>
      </c>
      <c r="J63" s="7">
        <v>0</v>
      </c>
      <c r="K63" s="121" t="str">
        <f t="shared" si="0"/>
        <v>4017/4018</v>
      </c>
      <c r="L63" s="24" t="str">
        <f>VLOOKUP(A63,'Trips&amp;Operators'!$C$1:$E$10000,3,FALSE)</f>
        <v>BRANDNER</v>
      </c>
      <c r="M63" s="6">
        <f t="shared" si="1"/>
        <v>2.7974537035333924E-2</v>
      </c>
      <c r="N63" s="7">
        <f t="shared" si="20"/>
        <v>40.283333330880851</v>
      </c>
      <c r="O63" s="7"/>
      <c r="P63" s="7"/>
      <c r="Q63" s="25"/>
      <c r="R63" s="25"/>
      <c r="S63" s="37">
        <f t="shared" si="21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08:52:41-0600',mode:absolute,to:'2016-09-16 11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3" s="54" t="str">
        <f t="shared" si="6"/>
        <v>N</v>
      </c>
      <c r="X63" s="168">
        <f t="shared" si="22"/>
        <v>1</v>
      </c>
      <c r="Y63" s="69">
        <f t="shared" si="7"/>
        <v>4.3299999999999998E-2</v>
      </c>
      <c r="Z63" s="69">
        <f t="shared" si="8"/>
        <v>23.327000000000002</v>
      </c>
      <c r="AA63" s="69">
        <f t="shared" si="9"/>
        <v>23.283700000000003</v>
      </c>
      <c r="AB63" s="66" t="str">
        <f>VLOOKUP(A63,Enforcements!$C$7:$K$20,8,0)</f>
        <v>Bulletin (2)</v>
      </c>
      <c r="AC63" s="62" t="str">
        <f>VLOOKUP(A63,Enforcements!$C$7:$E$20,3,0)</f>
        <v>GRADE CROSSING</v>
      </c>
      <c r="AD63" s="63" t="str">
        <f t="shared" si="10"/>
        <v>0151-16</v>
      </c>
      <c r="AE63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63" s="96" t="str">
        <f t="shared" si="12"/>
        <v>"C:\Program Files (x86)\AstroGrep\AstroGrep.exe" /spath="%USERPROFILE%\AppData\Local\Temp\OnboardLogs" /stypes="app*4018*20160916*"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100" t="str">
        <f t="shared" si="17"/>
        <v>"%USERPROFILE%\Documents\GitHub\eaglep3\Utilities\RefineRTDCRunTimes.py" --tripid 151-16 --locoid 4018 --swversion DE.1.0.7.0 --startMP 204:433 --initTime 2016-09-16T09:52:41 --startdatetime 2016-09-16T10:00:18 --delay 6 --endMP 204:233270 --enddatetime 2016-09-16T10:40:35 --enforcementcount 0 &gt;&gt;C:\Users\stu\Documents\GitHub\eaglep3-reporting\EC\2016-09-16-refined-times.txt</v>
      </c>
      <c r="AI6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{"issue":{"subject":"","project_id":79,"tracker_id":40,"status_id":1,"priority_id":2,"assigned_to_id":23,"start_date":"2016-09-16","description":"","custom_fields":[{"id":1,"name":"Subdivision","value":"EC"},{"id":4,"name":"Milepost","value":"23.327"},{"id":17,"name":"Train ID","value":"151-16"},{"id":16,"name":"Locomotive ID","value":"4018"},{"id":130,"name":"Impact","value":""},{"id":150,"name":"Time of Event (Mountain Time)","value":"10:40:35"},{"id":151,"name":"Denver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467</v>
      </c>
      <c r="B64" s="7">
        <v>4017</v>
      </c>
      <c r="C64" s="24" t="s">
        <v>107</v>
      </c>
      <c r="D64" s="24" t="s">
        <v>645</v>
      </c>
      <c r="E64" s="15">
        <v>42629.449965277781</v>
      </c>
      <c r="F64" s="15">
        <v>42629.455729166664</v>
      </c>
      <c r="G64" s="7">
        <v>1</v>
      </c>
      <c r="H64" s="15" t="s">
        <v>228</v>
      </c>
      <c r="I64" s="15">
        <v>42629.484282407408</v>
      </c>
      <c r="J64" s="7">
        <v>0</v>
      </c>
      <c r="K64" s="121" t="str">
        <f t="shared" si="0"/>
        <v>4017/4018</v>
      </c>
      <c r="L64" s="24" t="str">
        <f>VLOOKUP(A64,'Trips&amp;Operators'!$C$1:$E$10000,3,FALSE)</f>
        <v>BRANDNER</v>
      </c>
      <c r="M64" s="6">
        <f t="shared" si="1"/>
        <v>2.8553240743349306E-2</v>
      </c>
      <c r="N64" s="7">
        <f t="shared" si="20"/>
        <v>41.116666670423001</v>
      </c>
      <c r="O64" s="7"/>
      <c r="P64" s="7"/>
      <c r="Q64" s="25"/>
      <c r="R64" s="25"/>
      <c r="S64" s="37">
        <f t="shared" si="21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09:47:57-0600',mode:absolute,to:'2016-09-16 12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4" s="54" t="str">
        <f t="shared" si="6"/>
        <v>N</v>
      </c>
      <c r="X64" s="168">
        <f t="shared" si="22"/>
        <v>1</v>
      </c>
      <c r="Y64" s="69">
        <f t="shared" si="7"/>
        <v>23.2943</v>
      </c>
      <c r="Z64" s="69">
        <f t="shared" si="8"/>
        <v>1.52E-2</v>
      </c>
      <c r="AA64" s="69">
        <f t="shared" si="9"/>
        <v>23.2791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0"/>
        <v>0152-16</v>
      </c>
      <c r="AE64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64" s="96" t="str">
        <f t="shared" si="12"/>
        <v>"C:\Program Files (x86)\AstroGrep\AstroGrep.exe" /spath="%USERPROFILE%\AppData\Local\Temp\OnboardLogs" /stypes="app*4017*20160916*"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100" t="str">
        <f t="shared" si="17"/>
        <v>"%USERPROFILE%\Documents\GitHub\eaglep3\Utilities\RefineRTDCRunTimes.py" --tripid 152-16 --locoid 4017 --swversion DE.1.0.7.0 --startMP 204:232943 --initTime 2016-09-16T10:47:57 --startdatetime 2016-09-16T10:56:15 --delay 1 --endMP 204:152 --enddatetime 2016-09-16T11:37:22 --enforcementcount 0 &gt;&gt;C:\Users\stu\Documents\GitHub\eaglep3-reporting\EC\2016-09-16-refined-times.txt</v>
      </c>
      <c r="AI6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ID","value":"152-16"},{"id":16,"name":"Locomotive ID","value":"4017"},{"id":130,"name":"Impact","value":""},{"id":150,"name":"Time of Event (Mountain Time)","value":"11:37:22"},{"id":151,"name":"Denver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460</v>
      </c>
      <c r="B65" s="7">
        <v>4003</v>
      </c>
      <c r="C65" s="24" t="s">
        <v>107</v>
      </c>
      <c r="D65" s="24" t="s">
        <v>646</v>
      </c>
      <c r="E65" s="15">
        <v>42629.424120370371</v>
      </c>
      <c r="F65" s="15">
        <v>42629.427546296298</v>
      </c>
      <c r="G65" s="7">
        <v>2</v>
      </c>
      <c r="H65" s="15" t="s">
        <v>330</v>
      </c>
      <c r="I65" s="15">
        <v>42629.452372685184</v>
      </c>
      <c r="J65" s="7">
        <v>0</v>
      </c>
      <c r="K65" s="121" t="str">
        <f t="shared" si="0"/>
        <v>4003/4004</v>
      </c>
      <c r="L65" s="24" t="str">
        <f>VLOOKUP(A65,'Trips&amp;Operators'!$C$1:$E$10000,3,FALSE)</f>
        <v>SPECTOR</v>
      </c>
      <c r="M65" s="6">
        <f t="shared" si="1"/>
        <v>2.4826388886140194E-2</v>
      </c>
      <c r="N65" s="7">
        <f t="shared" si="20"/>
        <v>35.749999996041879</v>
      </c>
      <c r="O65" s="7"/>
      <c r="P65" s="7"/>
      <c r="Q65" s="25"/>
      <c r="R65" s="25"/>
      <c r="S65" s="37">
        <f t="shared" si="21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09:10:44-0600',mode:absolute,to:'2016-09-16 11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5" s="54" t="str">
        <f t="shared" si="6"/>
        <v>N</v>
      </c>
      <c r="X65" s="168">
        <f t="shared" si="22"/>
        <v>1</v>
      </c>
      <c r="Y65" s="69">
        <f t="shared" si="7"/>
        <v>4.3999999999999997E-2</v>
      </c>
      <c r="Z65" s="69">
        <f t="shared" si="8"/>
        <v>23.331199999999999</v>
      </c>
      <c r="AA65" s="69">
        <f t="shared" si="9"/>
        <v>23.287199999999999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0"/>
        <v>0153-16</v>
      </c>
      <c r="AE65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65" s="96" t="str">
        <f t="shared" si="12"/>
        <v>"C:\Program Files (x86)\AstroGrep\AstroGrep.exe" /spath="%USERPROFILE%\AppData\Local\Temp\OnboardLogs" /stypes="app*4003*20160916*"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100" t="str">
        <f t="shared" si="17"/>
        <v>"%USERPROFILE%\Documents\GitHub\eaglep3\Utilities\RefineRTDCRunTimes.py" --tripid 153-16 --locoid 4003 --swversion DE.1.0.7.0 --startMP 204:440 --initTime 2016-09-16T10:10:44 --startdatetime 2016-09-16T10:15:40 --delay 2 --endMP 204:233312 --enddatetime 2016-09-16T10:51:25 --enforcementcount 0 &gt;&gt;C:\Users\stu\Documents\GitHub\eaglep3-reporting\EC\2016-09-16-refined-times.txt</v>
      </c>
      <c r="AI6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{"issue":{"subject":"","project_id":79,"tracker_id":40,"status_id":1,"priority_id":2,"assigned_to_id":23,"start_date":"2016-09-16","description":"","custom_fields":[{"id":1,"name":"Subdivision","value":"EC"},{"id":4,"name":"Milepost","value":"23.3312"},{"id":17,"name":"Train ID","value":"153-16"},{"id":16,"name":"Locomotive ID","value":"4003"},{"id":130,"name":"Impact","value":""},{"id":150,"name":"Time of Event (Mountain Time)","value":"10:51:25"},{"id":151,"name":"Denver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471</v>
      </c>
      <c r="B66" s="7">
        <v>4004</v>
      </c>
      <c r="C66" s="24" t="s">
        <v>107</v>
      </c>
      <c r="D66" s="24" t="s">
        <v>311</v>
      </c>
      <c r="E66" s="15">
        <v>42629.45894675926</v>
      </c>
      <c r="F66" s="15">
        <v>42629.466134259259</v>
      </c>
      <c r="G66" s="7">
        <v>1</v>
      </c>
      <c r="H66" s="15" t="s">
        <v>641</v>
      </c>
      <c r="I66" s="15">
        <v>42629.492326388892</v>
      </c>
      <c r="J66" s="7">
        <v>0</v>
      </c>
      <c r="K66" s="121" t="str">
        <f t="shared" si="0"/>
        <v>4003/4004</v>
      </c>
      <c r="L66" s="24" t="str">
        <f>VLOOKUP(A66,'Trips&amp;Operators'!$C$1:$E$10000,3,FALSE)</f>
        <v>SPECTOR</v>
      </c>
      <c r="M66" s="6">
        <f t="shared" si="1"/>
        <v>2.6192129633272998E-2</v>
      </c>
      <c r="N66" s="7">
        <f t="shared" si="20"/>
        <v>37.716666671913117</v>
      </c>
      <c r="O66" s="7"/>
      <c r="P66" s="7"/>
      <c r="Q66" s="25"/>
      <c r="R66" s="25"/>
      <c r="S66" s="37">
        <f t="shared" si="21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10:00:53-0600',mode:absolute,to:'2016-09-16 12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6" s="54" t="str">
        <f t="shared" si="6"/>
        <v>N</v>
      </c>
      <c r="X66" s="168">
        <f t="shared" si="22"/>
        <v>1</v>
      </c>
      <c r="Y66" s="69">
        <f t="shared" si="7"/>
        <v>23.299800000000001</v>
      </c>
      <c r="Z66" s="69">
        <f t="shared" si="8"/>
        <v>1.5599999999999999E-2</v>
      </c>
      <c r="AA66" s="69">
        <f t="shared" si="9"/>
        <v>23.284200000000002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0"/>
        <v>0154-16</v>
      </c>
      <c r="AE66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66" s="96" t="str">
        <f t="shared" si="12"/>
        <v>"C:\Program Files (x86)\AstroGrep\AstroGrep.exe" /spath="%USERPROFILE%\AppData\Local\Temp\OnboardLogs" /stypes="app*4004*20160916*"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100" t="str">
        <f t="shared" si="17"/>
        <v>"%USERPROFILE%\Documents\GitHub\eaglep3\Utilities\RefineRTDCRunTimes.py" --tripid 154-16 --locoid 4004 --swversion DE.1.0.7.0 --startMP 204:232998 --initTime 2016-09-16T11:00:53 --startdatetime 2016-09-16T11:11:14 --delay 1 --endMP 204:156 --enddatetime 2016-09-16T11:48:57 --enforcementcount 0 &gt;&gt;C:\Users\stu\Documents\GitHub\eaglep3-reporting\EC\2016-09-16-refined-times.txt</v>
      </c>
      <c r="AI6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{"issue":{"subject":"","project_id":79,"tracker_id":40,"status_id":1,"priority_id":2,"assigned_to_id":23,"start_date":"2016-09-16","description":"","custom_fields":[{"id":1,"name":"Subdivision","value":"EC"},{"id":4,"name":"Milepost","value":"0.0156"},{"id":17,"name":"Train ID","value":"154-16"},{"id":16,"name":"Locomotive ID","value":"4004"},{"id":130,"name":"Impact","value":""},{"id":150,"name":"Time of Event (Mountain Time)","value":"11:48:57"},{"id":151,"name":"Denver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461</v>
      </c>
      <c r="B67" s="7">
        <v>4020</v>
      </c>
      <c r="C67" s="24" t="s">
        <v>107</v>
      </c>
      <c r="D67" s="24" t="s">
        <v>230</v>
      </c>
      <c r="E67" s="15">
        <v>42629.43204861111</v>
      </c>
      <c r="F67" s="15">
        <v>42629.437858796293</v>
      </c>
      <c r="G67" s="7">
        <v>1</v>
      </c>
      <c r="H67" s="15" t="s">
        <v>336</v>
      </c>
      <c r="I67" s="15">
        <v>42629.465127314812</v>
      </c>
      <c r="J67" s="7">
        <v>0</v>
      </c>
      <c r="K67" s="121" t="str">
        <f t="shared" si="0"/>
        <v>4019/4020</v>
      </c>
      <c r="L67" s="24" t="str">
        <f>VLOOKUP(A67,'Trips&amp;Operators'!$C$1:$E$10000,3,FALSE)</f>
        <v>STRICKLAND</v>
      </c>
      <c r="M67" s="6">
        <f t="shared" si="1"/>
        <v>2.7268518519122154E-2</v>
      </c>
      <c r="N67" s="7">
        <f t="shared" si="20"/>
        <v>39.266666667535901</v>
      </c>
      <c r="O67" s="7"/>
      <c r="P67" s="7"/>
      <c r="Q67" s="25"/>
      <c r="R67" s="25"/>
      <c r="S67" s="37">
        <f t="shared" si="21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09:22:09-0600',mode:absolute,to:'2016-09-16 12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7" s="54" t="str">
        <f t="shared" si="6"/>
        <v>N</v>
      </c>
      <c r="X67" s="168">
        <f t="shared" si="22"/>
        <v>1</v>
      </c>
      <c r="Y67" s="69">
        <f t="shared" si="7"/>
        <v>4.4699999999999997E-2</v>
      </c>
      <c r="Z67" s="69">
        <f t="shared" si="8"/>
        <v>23.324400000000001</v>
      </c>
      <c r="AA67" s="69">
        <f t="shared" si="9"/>
        <v>23.279700000000002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0"/>
        <v>0155-16</v>
      </c>
      <c r="AE67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67" s="96" t="str">
        <f t="shared" si="12"/>
        <v>"C:\Program Files (x86)\AstroGrep\AstroGrep.exe" /spath="%USERPROFILE%\AppData\Local\Temp\OnboardLogs" /stypes="app*4020*20160916*"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100" t="str">
        <f t="shared" si="17"/>
        <v>"%USERPROFILE%\Documents\GitHub\eaglep3\Utilities\RefineRTDCRunTimes.py" --tripid 155-16 --locoid 4020 --swversion DE.1.0.7.0 --startMP 204:447 --initTime 2016-09-16T10:22:09 --startdatetime 2016-09-16T10:30:31 --delay 1 --endMP 204:233244 --enddatetime 2016-09-16T11:09:47 --enforcementcount 0 &gt;&gt;C:\Users\stu\Documents\GitHub\eaglep3-reporting\EC\2016-09-16-refined-times.txt</v>
      </c>
      <c r="AI6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{"issue":{"subject":"","project_id":79,"tracker_id":40,"status_id":1,"priority_id":2,"assigned_to_id":23,"start_date":"2016-09-16","description":"","custom_fields":[{"id":1,"name":"Subdivision","value":"EC"},{"id":4,"name":"Milepost","value":"23.3244"},{"id":17,"name":"Train ID","value":"155-16"},{"id":16,"name":"Locomotive ID","value":"4020"},{"id":130,"name":"Impact","value":""},{"id":150,"name":"Time of Event (Mountain Time)","value":"11:09:47"},{"id":151,"name":"Denver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476</v>
      </c>
      <c r="B68" s="7">
        <v>4019</v>
      </c>
      <c r="C68" s="24" t="s">
        <v>107</v>
      </c>
      <c r="D68" s="24" t="s">
        <v>647</v>
      </c>
      <c r="E68" s="15">
        <v>42629.472488425927</v>
      </c>
      <c r="F68" s="15">
        <v>42629.477164351854</v>
      </c>
      <c r="G68" s="7">
        <v>1</v>
      </c>
      <c r="H68" s="15" t="s">
        <v>648</v>
      </c>
      <c r="I68" s="15">
        <v>42629.505266203705</v>
      </c>
      <c r="J68" s="7">
        <v>0</v>
      </c>
      <c r="K68" s="121" t="str">
        <f t="shared" si="0"/>
        <v>4019/4020</v>
      </c>
      <c r="L68" s="24" t="str">
        <f>VLOOKUP(A68,'Trips&amp;Operators'!$C$1:$E$10000,3,FALSE)</f>
        <v>STRICKLAND</v>
      </c>
      <c r="M68" s="6">
        <f t="shared" si="1"/>
        <v>2.810185185080627E-2</v>
      </c>
      <c r="N68" s="7">
        <f t="shared" si="20"/>
        <v>40.466666665161029</v>
      </c>
      <c r="O68" s="7"/>
      <c r="P68" s="7"/>
      <c r="Q68" s="25"/>
      <c r="R68" s="25"/>
      <c r="S68" s="37">
        <f t="shared" si="21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8" s="54" t="str">
        <f t="shared" si="6"/>
        <v>N</v>
      </c>
      <c r="X68" s="168">
        <f t="shared" si="22"/>
        <v>1</v>
      </c>
      <c r="Y68" s="69">
        <f t="shared" si="7"/>
        <v>23.2928</v>
      </c>
      <c r="Z68" s="69">
        <f t="shared" si="8"/>
        <v>1.8499999999999999E-2</v>
      </c>
      <c r="AA68" s="69">
        <f t="shared" si="9"/>
        <v>23.2743</v>
      </c>
      <c r="AB68" s="66" t="str">
        <f>VLOOKUP(A68,Enforcements!$C$7:$K$20,8,0)</f>
        <v>Speed (6)</v>
      </c>
      <c r="AC68" s="62" t="str">
        <f>VLOOKUP(A68,Enforcements!$C$7:$E$20,3,0)</f>
        <v>PERMANENT SPEED RESTRICTION</v>
      </c>
      <c r="AD68" s="63" t="str">
        <f t="shared" si="10"/>
        <v>0156-16</v>
      </c>
      <c r="AE68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68" s="96" t="str">
        <f t="shared" si="12"/>
        <v>"C:\Program Files (x86)\AstroGrep\AstroGrep.exe" /spath="%USERPROFILE%\AppData\Local\Temp\OnboardLogs" /stypes="app*4019*20160916*"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100" t="str">
        <f t="shared" si="17"/>
        <v>"%USERPROFILE%\Documents\GitHub\eaglep3\Utilities\RefineRTDCRunTimes.py" --tripid 156-16 --locoid 4019 --swversion DE.1.0.7.0 --startMP 204:232928 --initTime 2016-09-16T11:20:23 --startdatetime 2016-09-16T11:27:07 --delay 1 --endMP 204:185 --enddatetime 2016-09-16T12:07:35 --enforcementcount 0 &gt;&gt;C:\Users\stu\Documents\GitHub\eaglep3-reporting\EC\2016-09-16-refined-times.txt</v>
      </c>
      <c r="AI6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{"issue":{"subject":"","project_id":79,"tracker_id":40,"status_id":1,"priority_id":2,"assigned_to_id":23,"start_date":"2016-09-16","description":"","custom_fields":[{"id":1,"name":"Subdivision","value":"EC"},{"id":4,"name":"Milepost","value":"0.0185"},{"id":17,"name":"Train ID","value":"156-16"},{"id":16,"name":"Locomotive ID","value":"4019"},{"id":130,"name":"Impact","value":""},{"id":150,"name":"Time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466</v>
      </c>
      <c r="B69" s="7">
        <v>4038</v>
      </c>
      <c r="C69" s="24" t="s">
        <v>107</v>
      </c>
      <c r="D69" s="24" t="s">
        <v>232</v>
      </c>
      <c r="E69" s="15">
        <v>42629.446122685185</v>
      </c>
      <c r="F69" s="15">
        <v>42629.448171296295</v>
      </c>
      <c r="G69" s="7">
        <v>1</v>
      </c>
      <c r="H69" s="15" t="s">
        <v>649</v>
      </c>
      <c r="I69" s="15">
        <v>42629.472268518519</v>
      </c>
      <c r="J69" s="7">
        <v>0</v>
      </c>
      <c r="K69" s="121" t="str">
        <f t="shared" si="0"/>
        <v>4037/4038</v>
      </c>
      <c r="L69" s="24" t="str">
        <f>VLOOKUP(A69,'Trips&amp;Operators'!$C$1:$E$10000,3,FALSE)</f>
        <v>ROCHA</v>
      </c>
      <c r="M69" s="6">
        <f t="shared" si="1"/>
        <v>2.4097222223645076E-2</v>
      </c>
      <c r="N69" s="7">
        <f t="shared" si="20"/>
        <v>34.70000000204891</v>
      </c>
      <c r="O69" s="7"/>
      <c r="P69" s="7"/>
      <c r="Q69" s="25"/>
      <c r="R69" s="25"/>
      <c r="S69" s="37">
        <f t="shared" si="21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09:42:25-0600',mode:absolute,to:'2016-09-16 12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9" s="54" t="str">
        <f t="shared" si="6"/>
        <v>N</v>
      </c>
      <c r="X69" s="168">
        <f t="shared" si="22"/>
        <v>1</v>
      </c>
      <c r="Y69" s="69">
        <f t="shared" si="7"/>
        <v>4.5100000000000001E-2</v>
      </c>
      <c r="Z69" s="69">
        <f t="shared" si="8"/>
        <v>23.328600000000002</v>
      </c>
      <c r="AA69" s="69">
        <f t="shared" si="9"/>
        <v>23.2835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10"/>
        <v>0157-16</v>
      </c>
      <c r="AE69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69" s="96" t="str">
        <f t="shared" si="12"/>
        <v>"C:\Program Files (x86)\AstroGrep\AstroGrep.exe" /spath="%USERPROFILE%\AppData\Local\Temp\OnboardLogs" /stypes="app*4038*20160916*"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100" t="str">
        <f t="shared" si="17"/>
        <v>"%USERPROFILE%\Documents\GitHub\eaglep3\Utilities\RefineRTDCRunTimes.py" --tripid 157-16 --locoid 4038 --swversion DE.1.0.7.0 --startMP 204:451 --initTime 2016-09-16T10:42:25 --startdatetime 2016-09-16T10:45:22 --delay 1 --endMP 204:233286 --enddatetime 2016-09-16T11:20:04 --enforcementcount 0 &gt;&gt;C:\Users\stu\Documents\GitHub\eaglep3-reporting\EC\2016-09-16-refined-times.txt</v>
      </c>
      <c r="AI6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{"issue":{"subject":"","project_id":79,"tracker_id":40,"status_id":1,"priority_id":2,"assigned_to_id":23,"start_date":"2016-09-16","description":"","custom_fields":[{"id":1,"name":"Subdivision","value":"EC"},{"id":4,"name":"Milepost","value":"23.3286"},{"id":17,"name":"Train ID","value":"157-16"},{"id":16,"name":"Locomotive ID","value":"4038"},{"id":130,"name":"Impact","value":""},{"id":150,"name":"Time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479</v>
      </c>
      <c r="B70" s="7">
        <v>4037</v>
      </c>
      <c r="C70" s="24" t="s">
        <v>107</v>
      </c>
      <c r="D70" s="24" t="s">
        <v>348</v>
      </c>
      <c r="E70" s="15">
        <v>42629.485868055555</v>
      </c>
      <c r="F70" s="15">
        <v>42629.487129629626</v>
      </c>
      <c r="G70" s="7">
        <v>0</v>
      </c>
      <c r="H70" s="15" t="s">
        <v>218</v>
      </c>
      <c r="I70" s="15">
        <v>42629.514386574076</v>
      </c>
      <c r="J70" s="7">
        <v>0</v>
      </c>
      <c r="K70" s="121" t="str">
        <f t="shared" si="0"/>
        <v>4037/4038</v>
      </c>
      <c r="L70" s="24" t="str">
        <f>VLOOKUP(A70,'Trips&amp;Operators'!$C$1:$E$10000,3,FALSE)</f>
        <v>ROCHA</v>
      </c>
      <c r="M70" s="6">
        <f t="shared" si="1"/>
        <v>2.7256944449618459E-2</v>
      </c>
      <c r="N70" s="7">
        <f t="shared" si="20"/>
        <v>39.250000007450581</v>
      </c>
      <c r="O70" s="7"/>
      <c r="P70" s="7"/>
      <c r="Q70" s="25"/>
      <c r="R70" s="25"/>
      <c r="S70" s="37">
        <f t="shared" si="21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10:39:39-0600',mode:absolute,to:'2016-09-16 13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70" s="54" t="str">
        <f t="shared" si="6"/>
        <v>N</v>
      </c>
      <c r="X70" s="168">
        <f t="shared" si="22"/>
        <v>1</v>
      </c>
      <c r="Y70" s="69">
        <f t="shared" si="7"/>
        <v>23.296500000000002</v>
      </c>
      <c r="Z70" s="69">
        <f t="shared" si="8"/>
        <v>1.49E-2</v>
      </c>
      <c r="AA70" s="69">
        <f t="shared" si="9"/>
        <v>23.281600000000001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0"/>
        <v>0158-16</v>
      </c>
      <c r="AE70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70" s="96" t="str">
        <f t="shared" si="12"/>
        <v>"C:\Program Files (x86)\AstroGrep\AstroGrep.exe" /spath="%USERPROFILE%\AppData\Local\Temp\OnboardLogs" /stypes="app*4037*20160916*"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100" t="str">
        <f t="shared" si="17"/>
        <v>"%USERPROFILE%\Documents\GitHub\eaglep3\Utilities\RefineRTDCRunTimes.py" --tripid 158-16 --locoid 4037 --swversion DE.1.0.7.0 --startMP 204:232965 --initTime 2016-09-16T11:39:39 --startdatetime 2016-09-16T11:41:28 --delay 0 --endMP 204:149 --enddatetime 2016-09-16T12:20:43 --enforcementcount 0 &gt;&gt;C:\Users\stu\Documents\GitHub\eaglep3-reporting\EC\2016-09-16-refined-times.txt</v>
      </c>
      <c r="AI7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ID","value":"158-16"},{"id":16,"name":"Locomotive ID","value":"4037"},{"id":130,"name":"Impact","value":""},{"id":150,"name":"Time of Event (Mountain Time)","value":"12:20:43"},{"id":151,"name":"Denver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468</v>
      </c>
      <c r="B71" s="7">
        <v>4002</v>
      </c>
      <c r="C71" s="24" t="s">
        <v>107</v>
      </c>
      <c r="D71" s="24" t="s">
        <v>246</v>
      </c>
      <c r="E71" s="15">
        <v>42629.455509259256</v>
      </c>
      <c r="F71" s="15">
        <v>42629.458657407406</v>
      </c>
      <c r="G71" s="7">
        <v>1</v>
      </c>
      <c r="H71" s="15" t="s">
        <v>650</v>
      </c>
      <c r="I71" s="15">
        <v>42629.486064814817</v>
      </c>
      <c r="J71" s="7">
        <v>0</v>
      </c>
      <c r="K71" s="121" t="str">
        <f t="shared" si="0"/>
        <v>4001/4002</v>
      </c>
      <c r="L71" s="24" t="str">
        <f>VLOOKUP(A71,'Trips&amp;Operators'!$C$1:$E$10000,3,FALSE)</f>
        <v>STEWART</v>
      </c>
      <c r="M71" s="6">
        <f t="shared" si="1"/>
        <v>2.7407407411374152E-2</v>
      </c>
      <c r="N71" s="7">
        <f t="shared" si="20"/>
        <v>39.466666672378778</v>
      </c>
      <c r="O71" s="7"/>
      <c r="P71" s="7"/>
      <c r="Q71" s="25"/>
      <c r="R71" s="25"/>
      <c r="S71" s="37">
        <f t="shared" si="21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09:55:56-0600',mode:absolute,to:'2016-09-16 12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1" s="54" t="str">
        <f t="shared" si="6"/>
        <v>N</v>
      </c>
      <c r="X71" s="168">
        <f t="shared" si="22"/>
        <v>1</v>
      </c>
      <c r="Y71" s="69">
        <f t="shared" si="7"/>
        <v>4.5999999999999999E-2</v>
      </c>
      <c r="Z71" s="69">
        <f t="shared" si="8"/>
        <v>23.325900000000001</v>
      </c>
      <c r="AA71" s="69">
        <f t="shared" si="9"/>
        <v>23.279900000000001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0"/>
        <v>0159-16</v>
      </c>
      <c r="AE71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71" s="96" t="str">
        <f t="shared" si="12"/>
        <v>"C:\Program Files (x86)\AstroGrep\AstroGrep.exe" /spath="%USERPROFILE%\AppData\Local\Temp\OnboardLogs" /stypes="app*4002*20160916*"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100" t="str">
        <f t="shared" si="17"/>
        <v>"%USERPROFILE%\Documents\GitHub\eaglep3\Utilities\RefineRTDCRunTimes.py" --tripid 159-16 --locoid 4002 --swversion DE.1.0.7.0 --startMP 204:460 --initTime 2016-09-16T10:55:56 --startdatetime 2016-09-16T11:00:28 --delay 1 --endMP 204:233259 --enddatetime 2016-09-16T11:39:56 --enforcementcount 0 &gt;&gt;C:\Users\stu\Documents\GitHub\eaglep3-reporting\EC\2016-09-16-refined-times.txt</v>
      </c>
      <c r="AI7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{"issue":{"subject":"","project_id":79,"tracker_id":40,"status_id":1,"priority_id":2,"assigned_to_id":23,"start_date":"2016-09-16","description":"","custom_fields":[{"id":1,"name":"Subdivision","value":"EC"},{"id":4,"name":"Milepost","value":"23.3259"},{"id":17,"name":"Train ID","value":"159-16"},{"id":16,"name":"Locomotive ID","value":"4002"},{"id":130,"name":"Impact","value":""},{"id":150,"name":"Time of Event (Mountain Time)","value":"11:39:56"},{"id":151,"name":"Denver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481</v>
      </c>
      <c r="B72" s="7">
        <v>4001</v>
      </c>
      <c r="C72" s="24" t="s">
        <v>107</v>
      </c>
      <c r="D72" s="24" t="s">
        <v>346</v>
      </c>
      <c r="E72" s="15">
        <v>42629.493958333333</v>
      </c>
      <c r="F72" s="15">
        <v>42629.497534722221</v>
      </c>
      <c r="G72" s="7">
        <v>2</v>
      </c>
      <c r="H72" s="15" t="s">
        <v>238</v>
      </c>
      <c r="I72" s="15">
        <v>42629.524328703701</v>
      </c>
      <c r="J72" s="7">
        <v>0</v>
      </c>
      <c r="K72" s="121" t="str">
        <f t="shared" si="0"/>
        <v>4001/4002</v>
      </c>
      <c r="L72" s="24" t="str">
        <f>VLOOKUP(A72,'Trips&amp;Operators'!$C$1:$E$10000,3,FALSE)</f>
        <v>STEWART</v>
      </c>
      <c r="M72" s="6">
        <f t="shared" si="1"/>
        <v>2.679398148029577E-2</v>
      </c>
      <c r="N72" s="7">
        <f t="shared" si="20"/>
        <v>38.583333331625909</v>
      </c>
      <c r="O72" s="7"/>
      <c r="P72" s="7"/>
      <c r="Q72" s="25"/>
      <c r="R72" s="25"/>
      <c r="S72" s="37">
        <f t="shared" si="21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10:51:18-0600',mode:absolute,to:'2016-09-16 13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72" s="54" t="str">
        <f t="shared" si="6"/>
        <v>N</v>
      </c>
      <c r="X72" s="168">
        <f t="shared" si="22"/>
        <v>1</v>
      </c>
      <c r="Y72" s="69">
        <f t="shared" si="7"/>
        <v>23.2957</v>
      </c>
      <c r="Z72" s="69">
        <f t="shared" si="8"/>
        <v>1.3899999999999999E-2</v>
      </c>
      <c r="AA72" s="69">
        <f t="shared" si="9"/>
        <v>23.2818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0"/>
        <v>0160-16</v>
      </c>
      <c r="AE72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72" s="96" t="str">
        <f t="shared" si="12"/>
        <v>"C:\Program Files (x86)\AstroGrep\AstroGrep.exe" /spath="%USERPROFILE%\AppData\Local\Temp\OnboardLogs" /stypes="app*4001*20160916*"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100" t="str">
        <f t="shared" si="17"/>
        <v>"%USERPROFILE%\Documents\GitHub\eaglep3\Utilities\RefineRTDCRunTimes.py" --tripid 160-16 --locoid 4001 --swversion DE.1.0.7.0 --startMP 204:232957 --initTime 2016-09-16T11:51:18 --startdatetime 2016-09-16T11:56:27 --delay 2 --endMP 204:139 --enddatetime 2016-09-16T12:35:02 --enforcementcount 0 &gt;&gt;C:\Users\stu\Documents\GitHub\eaglep3-reporting\EC\2016-09-16-refined-times.txt</v>
      </c>
      <c r="AI7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ID","value":"160-16"},{"id":16,"name":"Locomotive ID","value":"4001"},{"id":130,"name":"Impact","value":""},{"id":150,"name":"Time of Event (Mountain Time)","value":"12:35:02"},{"id":151,"name":"Denver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473</v>
      </c>
      <c r="B73" s="7">
        <v>4044</v>
      </c>
      <c r="C73" s="24" t="s">
        <v>107</v>
      </c>
      <c r="D73" s="24" t="s">
        <v>257</v>
      </c>
      <c r="E73" s="15">
        <v>42629.468900462962</v>
      </c>
      <c r="F73" s="15">
        <v>42629.470567129632</v>
      </c>
      <c r="G73" s="7">
        <v>1</v>
      </c>
      <c r="H73" s="15" t="s">
        <v>651</v>
      </c>
      <c r="I73" s="15">
        <v>42629.495775462965</v>
      </c>
      <c r="J73" s="7">
        <v>0</v>
      </c>
      <c r="K73" s="121" t="str">
        <f t="shared" si="0"/>
        <v>4043/4044</v>
      </c>
      <c r="L73" s="24" t="str">
        <f>VLOOKUP(A73,'Trips&amp;Operators'!$C$1:$E$10000,3,FALSE)</f>
        <v>SMITH</v>
      </c>
      <c r="M73" s="6">
        <f t="shared" si="1"/>
        <v>2.5208333332557231E-2</v>
      </c>
      <c r="N73" s="7">
        <f t="shared" si="20"/>
        <v>36.299999998882413</v>
      </c>
      <c r="O73" s="7"/>
      <c r="P73" s="7"/>
      <c r="Q73" s="25"/>
      <c r="R73" s="25"/>
      <c r="S73" s="37">
        <f t="shared" si="21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10:15:13-0600',mode:absolute,to:'2016-09-16 12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3" s="54" t="str">
        <f t="shared" si="6"/>
        <v>N</v>
      </c>
      <c r="X73" s="168">
        <f t="shared" si="22"/>
        <v>1</v>
      </c>
      <c r="Y73" s="69">
        <f t="shared" si="7"/>
        <v>4.4900000000000002E-2</v>
      </c>
      <c r="Z73" s="69">
        <f t="shared" si="8"/>
        <v>23.328800000000001</v>
      </c>
      <c r="AA73" s="69">
        <f t="shared" si="9"/>
        <v>23.283900000000003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0"/>
        <v>0161-16</v>
      </c>
      <c r="AE73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73" s="96" t="str">
        <f t="shared" si="12"/>
        <v>"C:\Program Files (x86)\AstroGrep\AstroGrep.exe" /spath="%USERPROFILE%\AppData\Local\Temp\OnboardLogs" /stypes="app*4044*20160916*"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100" t="str">
        <f t="shared" si="17"/>
        <v>"%USERPROFILE%\Documents\GitHub\eaglep3\Utilities\RefineRTDCRunTimes.py" --tripid 161-16 --locoid 4044 --swversion DE.1.0.7.0 --startMP 204:449 --initTime 2016-09-16T11:15:13 --startdatetime 2016-09-16T11:17:37 --delay 1 --endMP 204:233288 --enddatetime 2016-09-16T11:53:55 --enforcementcount 0 &gt;&gt;C:\Users\stu\Documents\GitHub\eaglep3-reporting\EC\2016-09-16-refined-times.txt</v>
      </c>
      <c r="AI7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ID","value":"161-16"},{"id":16,"name":"Locomotive ID","value":"4044"},{"id":130,"name":"Impact","value":""},{"id":150,"name":"Time of Event (Mountain Time)","value":"11:53:55"},{"id":151,"name":"Denver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484</v>
      </c>
      <c r="B74" s="7">
        <v>4043</v>
      </c>
      <c r="C74" s="24" t="s">
        <v>107</v>
      </c>
      <c r="D74" s="24" t="s">
        <v>252</v>
      </c>
      <c r="E74" s="15">
        <v>42629.501180555555</v>
      </c>
      <c r="F74" s="15">
        <v>42629.508645833332</v>
      </c>
      <c r="G74" s="7">
        <v>1</v>
      </c>
      <c r="H74" s="15" t="s">
        <v>259</v>
      </c>
      <c r="I74" s="15">
        <v>42629.53565972222</v>
      </c>
      <c r="J74" s="7">
        <v>0</v>
      </c>
      <c r="K74" s="121" t="str">
        <f t="shared" si="0"/>
        <v>4043/4044</v>
      </c>
      <c r="L74" s="24" t="str">
        <f>VLOOKUP(A74,'Trips&amp;Operators'!$C$1:$E$10000,3,FALSE)</f>
        <v>SMITH</v>
      </c>
      <c r="M74" s="6">
        <f t="shared" si="1"/>
        <v>2.7013888888177462E-2</v>
      </c>
      <c r="N74" s="7">
        <f t="shared" si="20"/>
        <v>38.899999998975545</v>
      </c>
      <c r="O74" s="7"/>
      <c r="P74" s="7"/>
      <c r="Q74" s="25"/>
      <c r="R74" s="25"/>
      <c r="S74" s="37">
        <f t="shared" si="21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11:01:42-0600',mode:absolute,to:'2016-09-16 13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74" s="54" t="str">
        <f t="shared" si="6"/>
        <v>N</v>
      </c>
      <c r="X74" s="168">
        <f t="shared" si="22"/>
        <v>1</v>
      </c>
      <c r="Y74" s="69">
        <f t="shared" si="7"/>
        <v>23.297999999999998</v>
      </c>
      <c r="Z74" s="69">
        <f t="shared" si="8"/>
        <v>1.6899999999999998E-2</v>
      </c>
      <c r="AA74" s="69">
        <f t="shared" si="9"/>
        <v>23.281099999999999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0"/>
        <v>0162-16</v>
      </c>
      <c r="AE74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74" s="96" t="str">
        <f t="shared" si="12"/>
        <v>"C:\Program Files (x86)\AstroGrep\AstroGrep.exe" /spath="%USERPROFILE%\AppData\Local\Temp\OnboardLogs" /stypes="app*4043*20160916*"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100" t="str">
        <f t="shared" si="17"/>
        <v>"%USERPROFILE%\Documents\GitHub\eaglep3\Utilities\RefineRTDCRunTimes.py" --tripid 162-16 --locoid 4043 --swversion DE.1.0.7.0 --startMP 204:232980 --initTime 2016-09-16T12:01:42 --startdatetime 2016-09-16T12:12:27 --delay 1 --endMP 204:169 --enddatetime 2016-09-16T12:51:21 --enforcementcount 0 &gt;&gt;C:\Users\stu\Documents\GitHub\eaglep3-reporting\EC\2016-09-16-refined-times.txt</v>
      </c>
      <c r="AI7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{"issue":{"subject":"","project_id":79,"tracker_id":40,"status_id":1,"priority_id":2,"assigned_to_id":23,"start_date":"2016-09-16","description":"","custom_fields":[{"id":1,"name":"Subdivision","value":"EC"},{"id":4,"name":"Milepost","value":"0.0169"},{"id":17,"name":"Train ID","value":"162-16"},{"id":16,"name":"Locomotive ID","value":"4043"},{"id":130,"name":"Impact","value":""},{"id":150,"name":"Time of Event (Mountain Time)","value":"12:51:21"},{"id":151,"name":"Denver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477</v>
      </c>
      <c r="B75" s="7">
        <v>4009</v>
      </c>
      <c r="C75" s="24" t="s">
        <v>107</v>
      </c>
      <c r="D75" s="24" t="s">
        <v>232</v>
      </c>
      <c r="E75" s="15">
        <v>42629.476180555554</v>
      </c>
      <c r="F75" s="15">
        <v>42629.479375000003</v>
      </c>
      <c r="G75" s="7">
        <v>1</v>
      </c>
      <c r="H75" s="15" t="s">
        <v>652</v>
      </c>
      <c r="I75" s="15">
        <v>42629.505289351851</v>
      </c>
      <c r="J75" s="7">
        <v>0</v>
      </c>
      <c r="K75" s="121" t="str">
        <f t="shared" si="0"/>
        <v>4009/4010</v>
      </c>
      <c r="L75" s="24" t="str">
        <f>VLOOKUP(A75,'Trips&amp;Operators'!$C$1:$E$10000,3,FALSE)</f>
        <v>BONDS</v>
      </c>
      <c r="M75" s="6">
        <f t="shared" si="1"/>
        <v>2.5914351848769002E-2</v>
      </c>
      <c r="N75" s="7">
        <f t="shared" si="20"/>
        <v>37.316666662227362</v>
      </c>
      <c r="O75" s="7"/>
      <c r="P75" s="7"/>
      <c r="Q75" s="25"/>
      <c r="R75" s="25"/>
      <c r="S75" s="37">
        <f t="shared" si="21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10:25:42-0600',mode:absolute,to:'2016-09-16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6"/>
        <v>N</v>
      </c>
      <c r="X75" s="168">
        <f t="shared" si="22"/>
        <v>1</v>
      </c>
      <c r="Y75" s="69">
        <f t="shared" si="7"/>
        <v>4.5100000000000001E-2</v>
      </c>
      <c r="Z75" s="69">
        <f t="shared" si="8"/>
        <v>23.328099999999999</v>
      </c>
      <c r="AA75" s="69">
        <f t="shared" si="9"/>
        <v>23.282999999999998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0"/>
        <v>0163-16</v>
      </c>
      <c r="AE75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75" s="96" t="str">
        <f t="shared" si="12"/>
        <v>"C:\Program Files (x86)\AstroGrep\AstroGrep.exe" /spath="%USERPROFILE%\AppData\Local\Temp\OnboardLogs" /stypes="app*4009*20160916*"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100" t="str">
        <f t="shared" si="17"/>
        <v>"%USERPROFILE%\Documents\GitHub\eaglep3\Utilities\RefineRTDCRunTimes.py" --tripid 163-16 --locoid 4009 --swversion DE.1.0.7.0 --startMP 204:451 --initTime 2016-09-16T11:25:42 --startdatetime 2016-09-16T11:30:18 --delay 1 --endMP 204:233281 --enddatetime 2016-09-16T12:07:37 --enforcementcount 0 &gt;&gt;C:\Users\stu\Documents\GitHub\eaglep3-reporting\EC\2016-09-16-refined-times.txt</v>
      </c>
      <c r="AI7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{"issue":{"subject":"","project_id":79,"tracker_id":40,"status_id":1,"priority_id":2,"assigned_to_id":23,"start_date":"2016-09-16","description":"","custom_fields":[{"id":1,"name":"Subdivision","value":"EC"},{"id":4,"name":"Milepost","value":"23.3281"},{"id":17,"name":"Train ID","value":"163-16"},{"id":16,"name":"Locomotive ID","value":"4009"},{"id":130,"name":"Impact","value":""},{"id":150,"name":"Time of Event (Mountain Time)","value":"12:07:37"},{"id":151,"name":"Denver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488</v>
      </c>
      <c r="B76" s="7">
        <v>4010</v>
      </c>
      <c r="C76" s="24" t="s">
        <v>107</v>
      </c>
      <c r="D76" s="24" t="s">
        <v>633</v>
      </c>
      <c r="E76" s="15">
        <v>42629.510682870372</v>
      </c>
      <c r="F76" s="15">
        <v>42629.518217592595</v>
      </c>
      <c r="G76" s="7">
        <v>1</v>
      </c>
      <c r="H76" s="15" t="s">
        <v>291</v>
      </c>
      <c r="I76" s="15">
        <v>42629.544907407406</v>
      </c>
      <c r="J76" s="7">
        <v>0</v>
      </c>
      <c r="K76" s="121" t="str">
        <f t="shared" si="0"/>
        <v>4009/4010</v>
      </c>
      <c r="L76" s="24" t="str">
        <f>VLOOKUP(A76,'Trips&amp;Operators'!$C$1:$E$10000,3,FALSE)</f>
        <v>BONDS</v>
      </c>
      <c r="M76" s="6">
        <f t="shared" si="1"/>
        <v>2.6689814811106771E-2</v>
      </c>
      <c r="N76" s="7">
        <f t="shared" si="20"/>
        <v>38.433333327993751</v>
      </c>
      <c r="O76" s="7"/>
      <c r="P76" s="7"/>
      <c r="Q76" s="25"/>
      <c r="R76" s="25"/>
      <c r="S76" s="37">
        <f t="shared" si="21"/>
        <v>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11:15:23-0600',mode:absolute,to:'2016-09-16 14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6"/>
        <v>N</v>
      </c>
      <c r="X76" s="168">
        <f t="shared" si="22"/>
        <v>1</v>
      </c>
      <c r="Y76" s="69">
        <f t="shared" si="7"/>
        <v>23.294899999999998</v>
      </c>
      <c r="Z76" s="69">
        <f t="shared" si="8"/>
        <v>1.43E-2</v>
      </c>
      <c r="AA76" s="69">
        <f t="shared" si="9"/>
        <v>23.2806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0"/>
        <v>0164-16</v>
      </c>
      <c r="AE76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76" s="96" t="str">
        <f t="shared" si="12"/>
        <v>"C:\Program Files (x86)\AstroGrep\AstroGrep.exe" /spath="%USERPROFILE%\AppData\Local\Temp\OnboardLogs" /stypes="app*4010*20160916*"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100" t="str">
        <f t="shared" si="17"/>
        <v>"%USERPROFILE%\Documents\GitHub\eaglep3\Utilities\RefineRTDCRunTimes.py" --tripid 164-16 --locoid 4010 --swversion DE.1.0.7.0 --startMP 204:232949 --initTime 2016-09-16T12:15:23 --startdatetime 2016-09-16T12:26:14 --delay 1 --endMP 204:143 --enddatetime 2016-09-16T13:04:40 --enforcementcount 0 &gt;&gt;C:\Users\stu\Documents\GitHub\eaglep3-reporting\EC\2016-09-16-refined-times.txt</v>
      </c>
      <c r="AI7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ID","value":"164-16"},{"id":16,"name":"Locomotive ID","value":"4010"},{"id":130,"name":"Impact","value":""},{"id":150,"name":"Time of Event (Mountain Time)","value":"13:04:40"},{"id":151,"name":"Denver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480</v>
      </c>
      <c r="B77" s="7">
        <v>4018</v>
      </c>
      <c r="C77" s="24" t="s">
        <v>107</v>
      </c>
      <c r="D77" s="24" t="s">
        <v>255</v>
      </c>
      <c r="E77" s="15">
        <v>42629.489247685182</v>
      </c>
      <c r="F77" s="15">
        <v>42629.49082175926</v>
      </c>
      <c r="G77" s="7">
        <v>1</v>
      </c>
      <c r="H77" s="15" t="s">
        <v>644</v>
      </c>
      <c r="I77" s="15">
        <v>42629.515798611108</v>
      </c>
      <c r="J77" s="7">
        <v>0</v>
      </c>
      <c r="K77" s="121" t="str">
        <f t="shared" ref="K77:K140" si="23">IF(ISEVEN(B77),(B77-1)&amp;"/"&amp;B77,B77&amp;"/"&amp;(B77+1))</f>
        <v>4017/4018</v>
      </c>
      <c r="L77" s="24" t="str">
        <f>VLOOKUP(A77,'Trips&amp;Operators'!$C$1:$E$10000,3,FALSE)</f>
        <v>MOSES</v>
      </c>
      <c r="M77" s="6">
        <f t="shared" ref="M77:M140" si="24">I77-F77</f>
        <v>2.4976851847895887E-2</v>
      </c>
      <c r="N77" s="7">
        <f t="shared" ref="N77:N89" si="25">24*60*SUM($M77:$M77)</f>
        <v>35.966666660970077</v>
      </c>
      <c r="O77" s="7"/>
      <c r="P77" s="7"/>
      <c r="Q77" s="25"/>
      <c r="R77" s="25"/>
      <c r="S77" s="37">
        <f t="shared" ref="S77:S90" si="26">SUM(U77:U77)/IF(AG77="EC",12,1)</f>
        <v>1</v>
      </c>
      <c r="T77" s="52" t="str">
        <f t="shared" ref="T77:T140" si="27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https://search-rtdc-monitor-bjffxe2xuh6vdkpspy63sjmuny.us-east-1.es.amazonaws.com/_plugin/kibana/#/discover/Steve-Slow-Train-Analysis-(2080s-and-2083s)?_g=(refreshInterval:(display:Off,section:0,value:0),time:(from:'2016-09-16 10:44:31-0600',mode:absolute,to:'2016-09-16 13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7" s="54" t="str">
        <f t="shared" ref="W77:W140" si="29">IF(AA77&lt;IF(AG77="EC",23,5.65),"Y","N")</f>
        <v>N</v>
      </c>
      <c r="X77" s="168">
        <f t="shared" si="22"/>
        <v>1</v>
      </c>
      <c r="Y77" s="69">
        <f t="shared" ref="Y77:Y140" si="30">RIGHT(D77,LEN(D77)-4)/10000</f>
        <v>4.6899999999999997E-2</v>
      </c>
      <c r="Z77" s="69">
        <f t="shared" ref="Z77:Z140" si="31">RIGHT(H77,LEN(H77)-4)/10000</f>
        <v>23.327000000000002</v>
      </c>
      <c r="AA77" s="69">
        <f t="shared" ref="AA77:AA140" si="32">ABS(Z77-Y77)</f>
        <v>23.280100000000001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3">IF(LEN(A77)=6,"0"&amp;A77,A77)</f>
        <v>0165-16</v>
      </c>
      <c r="AE77" s="99" t="str">
        <f t="shared" ref="AE77:AE140" si="3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77" s="96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/stypes="app*4018*20160916*" /stext=" 18:.+((SYSTEM_STATE.+slice.+state.+changed )|(ment ac)|(system.+state.+changed )|(\|lc)|(penalty)|(\[timeout)|(PRM\|1\|D)|(kpr)|(kdp))"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100" t="str">
        <f t="shared" ref="AH77:AH139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165-16 --locoid 4018 --swversion DE.1.0.7.0 --startMP 204:469 --initTime 2016-09-16T11:44:31 --startdatetime 2016-09-16T11:46:47 --delay 1 --endMP 204:233270 --enddatetime 2016-09-16T12:22:45 --enforcementcount 0 &gt;&gt;C:\Users\stu\Documents\GitHub\eaglep3-reporting\EC\2016-09-16-refined-times.txt</v>
      </c>
      <c r="AI77" s="134" t="str">
        <f t="shared" ref="AI77:AI139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{"issue":{"subject":"","project_id":79,"tracker_id":40,"status_id":1,"priority_id":2,"assigned_to_id":23,"start_date":"2016-09-16","description":"","custom_fields":[{"id":1,"name":"Subdivision","value":"EC"},{"id":4,"name":"Milepost","value":"23.327"},{"id":17,"name":"Train ID","value":"165-16"},{"id":16,"name":"Locomotive ID","value":"4018"},{"id":130,"name":"Impact","value":""},{"id":150,"name":"Time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491</v>
      </c>
      <c r="B78" s="7">
        <v>4017</v>
      </c>
      <c r="C78" s="24" t="s">
        <v>107</v>
      </c>
      <c r="D78" s="24" t="s">
        <v>653</v>
      </c>
      <c r="E78" s="15">
        <v>42629.523969907408</v>
      </c>
      <c r="F78" s="15">
        <v>42629.528738425928</v>
      </c>
      <c r="G78" s="7">
        <v>2</v>
      </c>
      <c r="H78" s="15" t="s">
        <v>345</v>
      </c>
      <c r="I78" s="15">
        <v>42629.555775462963</v>
      </c>
      <c r="J78" s="7">
        <v>0</v>
      </c>
      <c r="K78" s="121" t="str">
        <f t="shared" si="23"/>
        <v>4017/4018</v>
      </c>
      <c r="L78" s="24" t="str">
        <f>VLOOKUP(A78,'Trips&amp;Operators'!$C$1:$E$10000,3,FALSE)</f>
        <v>MOSES</v>
      </c>
      <c r="M78" s="6">
        <f t="shared" si="24"/>
        <v>2.7037037034460809E-2</v>
      </c>
      <c r="N78" s="7">
        <f t="shared" si="25"/>
        <v>38.933333329623565</v>
      </c>
      <c r="O78" s="7"/>
      <c r="P78" s="7"/>
      <c r="Q78" s="25"/>
      <c r="R78" s="25"/>
      <c r="S78" s="37">
        <f t="shared" si="26"/>
        <v>1</v>
      </c>
      <c r="T78" s="52" t="str">
        <f t="shared" si="27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11:34:31-0600',mode:absolute,to:'2016-09-16 14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8" s="54" t="str">
        <f t="shared" si="29"/>
        <v>N</v>
      </c>
      <c r="X78" s="168">
        <f t="shared" si="22"/>
        <v>1</v>
      </c>
      <c r="Y78" s="69">
        <f t="shared" si="30"/>
        <v>23.295000000000002</v>
      </c>
      <c r="Z78" s="69">
        <f t="shared" si="31"/>
        <v>1.2999999999999999E-2</v>
      </c>
      <c r="AA78" s="69">
        <f t="shared" si="32"/>
        <v>23.282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3"/>
        <v>0166-16</v>
      </c>
      <c r="AE78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78" s="96" t="str">
        <f t="shared" si="35"/>
        <v>"C:\Program Files (x86)\AstroGrep\AstroGrep.exe" /spath="%USERPROFILE%\AppData\Local\Temp\OnboardLogs" /stypes="app*4017*20160916*" /stext=" 19:.+((SYSTEM_STATE.+slice.+state.+changed )|(ment ac)|(system.+state.+changed )|(\|lc)|(penalty)|(\[timeout)|(PRM\|1\|D)|(kpr)|(kdp))" /e /r /s</v>
      </c>
      <c r="AG78" s="1" t="str">
        <f t="shared" si="36"/>
        <v>EC</v>
      </c>
      <c r="AH78" s="100" t="str">
        <f t="shared" si="37"/>
        <v>"%USERPROFILE%\Documents\GitHub\eaglep3\Utilities\RefineRTDCRunTimes.py" --tripid 166-16 --locoid 4017 --swversion DE.1.0.7.0 --startMP 204:232950 --initTime 2016-09-16T12:34:31 --startdatetime 2016-09-16T12:41:23 --delay 2 --endMP 204:130 --enddatetime 2016-09-16T13:20:19 --enforcementcount 0 &gt;&gt;C:\Users\stu\Documents\GitHub\eaglep3-reporting\EC\2016-09-16-refined-times.txt</v>
      </c>
      <c r="AI7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{"issue":{"subject":"","project_id":79,"tracker_id":40,"status_id":1,"priority_id":2,"assigned_to_id":23,"start_date":"2016-09-16","description":"","custom_fields":[{"id":1,"name":"Subdivision","value":"EC"},{"id":4,"name":"Milepost","value":"0.013"},{"id":17,"name":"Train ID","value":"166-16"},{"id":16,"name":"Locomotive ID","value":"4017"},{"id":130,"name":"Impact","value":""},{"id":150,"name":"Time of Event (Mountain Time)","value":"13:20:19"},{"id":151,"name":"Denver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482</v>
      </c>
      <c r="B79" s="7">
        <v>4003</v>
      </c>
      <c r="C79" s="24" t="s">
        <v>107</v>
      </c>
      <c r="D79" s="24" t="s">
        <v>255</v>
      </c>
      <c r="E79" s="15">
        <v>42629.495625000003</v>
      </c>
      <c r="F79" s="15">
        <v>42629.500358796293</v>
      </c>
      <c r="G79" s="7">
        <v>6</v>
      </c>
      <c r="H79" s="15" t="s">
        <v>654</v>
      </c>
      <c r="I79" s="15">
        <v>42629.52579861111</v>
      </c>
      <c r="J79" s="7">
        <v>0</v>
      </c>
      <c r="K79" s="121" t="str">
        <f t="shared" si="23"/>
        <v>4003/4004</v>
      </c>
      <c r="L79" s="24" t="str">
        <f>VLOOKUP(A79,'Trips&amp;Operators'!$C$1:$E$10000,3,FALSE)</f>
        <v>HAITHCOX</v>
      </c>
      <c r="M79" s="6">
        <f t="shared" si="24"/>
        <v>2.5439814817218576E-2</v>
      </c>
      <c r="N79" s="7">
        <f t="shared" si="25"/>
        <v>36.633333336794749</v>
      </c>
      <c r="O79" s="7"/>
      <c r="P79" s="7"/>
      <c r="Q79" s="25"/>
      <c r="R79" s="25"/>
      <c r="S79" s="37">
        <f t="shared" si="26"/>
        <v>1</v>
      </c>
      <c r="T79" s="52" t="str">
        <f t="shared" si="27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10:53:42-0600',mode:absolute,to:'2016-09-16 13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9" s="54" t="str">
        <f t="shared" si="29"/>
        <v>N</v>
      </c>
      <c r="X79" s="168">
        <f t="shared" si="22"/>
        <v>1</v>
      </c>
      <c r="Y79" s="69">
        <f t="shared" si="30"/>
        <v>4.6899999999999997E-2</v>
      </c>
      <c r="Z79" s="69">
        <f t="shared" si="31"/>
        <v>23.321300000000001</v>
      </c>
      <c r="AA79" s="69">
        <f t="shared" si="32"/>
        <v>23.2744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3"/>
        <v>0167-16</v>
      </c>
      <c r="AE79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79" s="96" t="str">
        <f t="shared" si="35"/>
        <v>"C:\Program Files (x86)\AstroGrep\AstroGrep.exe" /spath="%USERPROFILE%\AppData\Local\Temp\OnboardLogs" /stypes="app*4003*20160916*" /stext=" 18:.+((SYSTEM_STATE.+slice.+state.+changed )|(ment ac)|(system.+state.+changed )|(\|lc)|(penalty)|(\[timeout)|(PRM\|1\|D)|(kpr)|(kdp))" /e /r /s</v>
      </c>
      <c r="AG79" s="1" t="str">
        <f t="shared" si="36"/>
        <v>EC</v>
      </c>
      <c r="AH79" s="100" t="str">
        <f t="shared" si="37"/>
        <v>"%USERPROFILE%\Documents\GitHub\eaglep3\Utilities\RefineRTDCRunTimes.py" --tripid 167-16 --locoid 4003 --swversion DE.1.0.7.0 --startMP 204:469 --initTime 2016-09-16T11:53:42 --startdatetime 2016-09-16T12:00:31 --delay 6 --endMP 204:233213 --enddatetime 2016-09-16T12:37:09 --enforcementcount 0 &gt;&gt;C:\Users\stu\Documents\GitHub\eaglep3-reporting\EC\2016-09-16-refined-times.txt</v>
      </c>
      <c r="AI7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{"issue":{"subject":"","project_id":79,"tracker_id":40,"status_id":1,"priority_id":2,"assigned_to_id":23,"start_date":"2016-09-16","description":"","custom_fields":[{"id":1,"name":"Subdivision","value":"EC"},{"id":4,"name":"Milepost","value":"23.3213"},{"id":17,"name":"Train ID","value":"167-16"},{"id":16,"name":"Locomotive ID","value":"4003"},{"id":130,"name":"Impact","value":""},{"id":150,"name":"Time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494</v>
      </c>
      <c r="B80" s="7">
        <v>4004</v>
      </c>
      <c r="C80" s="24" t="s">
        <v>107</v>
      </c>
      <c r="D80" s="24" t="s">
        <v>655</v>
      </c>
      <c r="E80" s="15">
        <v>42629.53502314815</v>
      </c>
      <c r="F80" s="15">
        <v>42629.539270833331</v>
      </c>
      <c r="G80" s="7">
        <v>4</v>
      </c>
      <c r="H80" s="15" t="s">
        <v>627</v>
      </c>
      <c r="I80" s="15">
        <v>42629.566666666666</v>
      </c>
      <c r="J80" s="7">
        <v>0</v>
      </c>
      <c r="K80" s="121" t="str">
        <f t="shared" si="23"/>
        <v>4003/4004</v>
      </c>
      <c r="L80" s="24" t="str">
        <f>VLOOKUP(A80,'Trips&amp;Operators'!$C$1:$E$10000,3,FALSE)</f>
        <v>HAITHCOX</v>
      </c>
      <c r="M80" s="6">
        <f t="shared" si="24"/>
        <v>2.7395833334594499E-2</v>
      </c>
      <c r="N80" s="7">
        <f t="shared" si="25"/>
        <v>39.450000001816079</v>
      </c>
      <c r="O80" s="7"/>
      <c r="P80" s="7"/>
      <c r="Q80" s="25"/>
      <c r="R80" s="25"/>
      <c r="S80" s="37">
        <f t="shared" si="26"/>
        <v>1</v>
      </c>
      <c r="T80" s="52" t="str">
        <f t="shared" si="27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11:50:26-0600',mode:absolute,to:'2016-09-16 14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0" s="54" t="str">
        <f t="shared" si="29"/>
        <v>N</v>
      </c>
      <c r="X80" s="168">
        <f t="shared" si="22"/>
        <v>1</v>
      </c>
      <c r="Y80" s="69">
        <f t="shared" si="30"/>
        <v>23.289200000000001</v>
      </c>
      <c r="Z80" s="69">
        <f t="shared" si="31"/>
        <v>1.29E-2</v>
      </c>
      <c r="AA80" s="69">
        <f t="shared" si="32"/>
        <v>23.276300000000003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3"/>
        <v>0168-16</v>
      </c>
      <c r="AE80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80" s="96" t="str">
        <f t="shared" si="35"/>
        <v>"C:\Program Files (x86)\AstroGrep\AstroGrep.exe" /spath="%USERPROFILE%\AppData\Local\Temp\OnboardLogs" /stypes="app*4004*20160916*" /stext=" 19:.+((SYSTEM_STATE.+slice.+state.+changed )|(ment ac)|(system.+state.+changed )|(\|lc)|(penalty)|(\[timeout)|(PRM\|1\|D)|(kpr)|(kdp))" /e /r /s</v>
      </c>
      <c r="AG80" s="1" t="str">
        <f t="shared" si="36"/>
        <v>EC</v>
      </c>
      <c r="AH80" s="100" t="str">
        <f t="shared" si="37"/>
        <v>"%USERPROFILE%\Documents\GitHub\eaglep3\Utilities\RefineRTDCRunTimes.py" --tripid 168-16 --locoid 4004 --swversion DE.1.0.7.0 --startMP 204:232892 --initTime 2016-09-16T12:50:26 --startdatetime 2016-09-16T12:56:33 --delay 4 --endMP 204:129 --enddatetime 2016-09-16T13:36:00 --enforcementcount 0 &gt;&gt;C:\Users\stu\Documents\GitHub\eaglep3-reporting\EC\2016-09-16-refined-times.txt</v>
      </c>
      <c r="AI8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ID","value":"168-16"},{"id":16,"name":"Locomotive ID","value":"4004"},{"id":130,"name":"Impact","value":""},{"id":150,"name":"Time of Event (Mountain Time)","value":"13:36:00"},{"id":151,"name":"Denver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486</v>
      </c>
      <c r="B81" s="7">
        <v>4020</v>
      </c>
      <c r="C81" s="24" t="s">
        <v>107</v>
      </c>
      <c r="D81" s="24" t="s">
        <v>277</v>
      </c>
      <c r="E81" s="15">
        <v>42629.508206018516</v>
      </c>
      <c r="F81" s="15">
        <v>42629.510752314818</v>
      </c>
      <c r="G81" s="7">
        <v>1</v>
      </c>
      <c r="H81" s="15" t="s">
        <v>335</v>
      </c>
      <c r="I81" s="15">
        <v>42629.536261574074</v>
      </c>
      <c r="J81" s="7">
        <v>0</v>
      </c>
      <c r="K81" s="121" t="str">
        <f t="shared" si="23"/>
        <v>4019/4020</v>
      </c>
      <c r="L81" s="24" t="str">
        <f>VLOOKUP(A81,'Trips&amp;Operators'!$C$1:$E$10000,3,FALSE)</f>
        <v>SWANSON</v>
      </c>
      <c r="M81" s="6">
        <f t="shared" si="24"/>
        <v>2.5509259256068617E-2</v>
      </c>
      <c r="N81" s="7">
        <f t="shared" si="25"/>
        <v>36.733333328738809</v>
      </c>
      <c r="O81" s="7"/>
      <c r="P81" s="7"/>
      <c r="Q81" s="25"/>
      <c r="R81" s="25"/>
      <c r="S81" s="37">
        <f t="shared" si="26"/>
        <v>1</v>
      </c>
      <c r="T81" s="52" t="str">
        <f t="shared" si="27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11:11:49-0600',mode:absolute,to:'2016-09-16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1" s="54" t="str">
        <f t="shared" si="29"/>
        <v>N</v>
      </c>
      <c r="X81" s="168">
        <f t="shared" ref="X81:X85" si="39">VALUE(LEFT(AD81,4))-VALUE(LEFT(AD80,4))</f>
        <v>1</v>
      </c>
      <c r="Y81" s="69">
        <f t="shared" si="30"/>
        <v>4.9299999999999997E-2</v>
      </c>
      <c r="Z81" s="69">
        <f t="shared" si="31"/>
        <v>23.329699999999999</v>
      </c>
      <c r="AA81" s="69">
        <f t="shared" si="32"/>
        <v>23.2804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3"/>
        <v>0169-16</v>
      </c>
      <c r="AE81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81" s="96" t="str">
        <f t="shared" si="35"/>
        <v>"C:\Program Files (x86)\AstroGrep\AstroGrep.exe" /spath="%USERPROFILE%\AppData\Local\Temp\OnboardLogs" /stypes="app*4020*20160916*" /stext=" 18:.+((SYSTEM_STATE.+slice.+state.+changed )|(ment ac)|(system.+state.+changed )|(\|lc)|(penalty)|(\[timeout)|(PRM\|1\|D)|(kpr)|(kdp))" /e /r /s</v>
      </c>
      <c r="AG81" s="1" t="str">
        <f t="shared" si="36"/>
        <v>EC</v>
      </c>
      <c r="AH81" s="100" t="str">
        <f t="shared" si="37"/>
        <v>"%USERPROFILE%\Documents\GitHub\eaglep3\Utilities\RefineRTDCRunTimes.py" --tripid 169-16 --locoid 4020 --swversion DE.1.0.7.0 --startMP 204:493 --initTime 2016-09-16T12:11:49 --startdatetime 2016-09-16T12:15:29 --delay 1 --endMP 204:233297 --enddatetime 2016-09-16T12:52:13 --enforcementcount 0 &gt;&gt;C:\Users\stu\Documents\GitHub\eaglep3-reporting\EC\2016-09-16-refined-times.txt</v>
      </c>
      <c r="AI8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ID","value":"169-16"},{"id":16,"name":"Locomotive ID","value":"4020"},{"id":130,"name":"Impact","value":""},{"id":150,"name":"Time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497</v>
      </c>
      <c r="B82" s="7">
        <v>4019</v>
      </c>
      <c r="C82" s="24" t="s">
        <v>107</v>
      </c>
      <c r="D82" s="24" t="s">
        <v>258</v>
      </c>
      <c r="E82" s="15">
        <v>42629.538530092592</v>
      </c>
      <c r="F82" s="15">
        <v>42629.549745370372</v>
      </c>
      <c r="G82" s="7">
        <v>1</v>
      </c>
      <c r="H82" s="15" t="s">
        <v>226</v>
      </c>
      <c r="I82" s="15">
        <v>42629.57739583333</v>
      </c>
      <c r="J82" s="7">
        <v>0</v>
      </c>
      <c r="K82" s="121" t="str">
        <f t="shared" si="23"/>
        <v>4019/4020</v>
      </c>
      <c r="L82" s="24" t="str">
        <f>VLOOKUP(A82,'Trips&amp;Operators'!$C$1:$E$10000,3,FALSE)</f>
        <v>SWANSON</v>
      </c>
      <c r="M82" s="6">
        <f t="shared" si="24"/>
        <v>2.7650462958263233E-2</v>
      </c>
      <c r="N82" s="7">
        <f t="shared" si="25"/>
        <v>39.816666659899056</v>
      </c>
      <c r="O82" s="7"/>
      <c r="P82" s="7"/>
      <c r="Q82" s="25"/>
      <c r="R82" s="25"/>
      <c r="S82" s="37">
        <f t="shared" si="26"/>
        <v>1</v>
      </c>
      <c r="T82" s="52" t="str">
        <f t="shared" si="27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11:55:29-0600',mode:absolute,to:'2016-09-16 14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2" s="54" t="str">
        <f t="shared" si="29"/>
        <v>N</v>
      </c>
      <c r="X82" s="168">
        <f t="shared" si="39"/>
        <v>1</v>
      </c>
      <c r="Y82" s="69">
        <f t="shared" si="30"/>
        <v>23.296700000000001</v>
      </c>
      <c r="Z82" s="69">
        <f t="shared" si="31"/>
        <v>1.4999999999999999E-2</v>
      </c>
      <c r="AA82" s="69">
        <f t="shared" si="32"/>
        <v>23.281700000000001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3"/>
        <v>0170-16</v>
      </c>
      <c r="AE82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82" s="96" t="str">
        <f t="shared" si="35"/>
        <v>"C:\Program Files (x86)\AstroGrep\AstroGrep.exe" /spath="%USERPROFILE%\AppData\Local\Temp\OnboardLogs" /stypes="app*4019*20160916*" /stext=" 19:.+((SYSTEM_STATE.+slice.+state.+changed )|(ment ac)|(system.+state.+changed )|(\|lc)|(penalty)|(\[timeout)|(PRM\|1\|D)|(kpr)|(kdp))" /e /r /s</v>
      </c>
      <c r="AG82" s="1" t="str">
        <f t="shared" si="36"/>
        <v>EC</v>
      </c>
      <c r="AH82" s="100" t="str">
        <f t="shared" si="37"/>
        <v>"%USERPROFILE%\Documents\GitHub\eaglep3\Utilities\RefineRTDCRunTimes.py" --tripid 170-16 --locoid 4019 --swversion DE.1.0.7.0 --startMP 204:232967 --initTime 2016-09-16T12:55:29 --startdatetime 2016-09-16T13:11:38 --delay 1 --endMP 204:150 --enddatetime 2016-09-16T13:51:27 --enforcementcount 0 &gt;&gt;C:\Users\stu\Documents\GitHub\eaglep3-reporting\EC\2016-09-16-refined-times.txt</v>
      </c>
      <c r="AI8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{"issue":{"subject":"","project_id":79,"tracker_id":40,"status_id":1,"priority_id":2,"assigned_to_id":23,"start_date":"2016-09-16","description":"","custom_fields":[{"id":1,"name":"Subdivision","value":"EC"},{"id":4,"name":"Milepost","value":"0.015"},{"id":17,"name":"Train ID","value":"170-16"},{"id":16,"name":"Locomotive ID","value":"4019"},{"id":130,"name":"Impact","value":""},{"id":150,"name":"Time of Event (Mountain Time)","value":"13:51:27"},{"id":151,"name":"Denver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490</v>
      </c>
      <c r="B83" s="7">
        <v>4038</v>
      </c>
      <c r="C83" s="24" t="s">
        <v>107</v>
      </c>
      <c r="D83" s="24" t="s">
        <v>233</v>
      </c>
      <c r="E83" s="15">
        <v>42629.516643518517</v>
      </c>
      <c r="F83" s="15">
        <v>42629.520983796298</v>
      </c>
      <c r="G83" s="7">
        <v>1</v>
      </c>
      <c r="H83" s="15" t="s">
        <v>354</v>
      </c>
      <c r="I83" s="15">
        <v>42629.546886574077</v>
      </c>
      <c r="J83" s="7">
        <v>0</v>
      </c>
      <c r="K83" s="121" t="str">
        <f t="shared" si="23"/>
        <v>4037/4038</v>
      </c>
      <c r="L83" s="24" t="str">
        <f>VLOOKUP(A83,'Trips&amp;Operators'!$C$1:$E$10000,3,FALSE)</f>
        <v>HILLS</v>
      </c>
      <c r="M83" s="6">
        <f t="shared" si="24"/>
        <v>2.5902777779265307E-2</v>
      </c>
      <c r="N83" s="7">
        <f t="shared" si="25"/>
        <v>37.300000002142042</v>
      </c>
      <c r="O83" s="7"/>
      <c r="P83" s="7"/>
      <c r="Q83" s="25"/>
      <c r="R83" s="25"/>
      <c r="S83" s="37">
        <f t="shared" si="26"/>
        <v>1</v>
      </c>
      <c r="T83" s="52" t="str">
        <f t="shared" si="27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11:23:58-0600',mode:absolute,to:'2016-09-16 14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3" s="54" t="str">
        <f t="shared" si="29"/>
        <v>N</v>
      </c>
      <c r="X83" s="168">
        <f t="shared" si="39"/>
        <v>1</v>
      </c>
      <c r="Y83" s="69">
        <f t="shared" si="30"/>
        <v>4.5499999999999999E-2</v>
      </c>
      <c r="Z83" s="69">
        <f t="shared" si="31"/>
        <v>23.3263</v>
      </c>
      <c r="AA83" s="69">
        <f t="shared" si="32"/>
        <v>23.280799999999999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3"/>
        <v>0171-16</v>
      </c>
      <c r="AE83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83" s="96" t="str">
        <f t="shared" si="35"/>
        <v>"C:\Program Files (x86)\AstroGrep\AstroGrep.exe" /spath="%USERPROFILE%\AppData\Local\Temp\OnboardLogs" /stypes="app*4038*20160916*" /stext=" 19:.+((SYSTEM_STATE.+slice.+state.+changed )|(ment ac)|(system.+state.+changed )|(\|lc)|(penalty)|(\[timeout)|(PRM\|1\|D)|(kpr)|(kdp))" /e /r /s</v>
      </c>
      <c r="AG83" s="1" t="str">
        <f t="shared" si="36"/>
        <v>EC</v>
      </c>
      <c r="AH83" s="100" t="str">
        <f t="shared" si="37"/>
        <v>"%USERPROFILE%\Documents\GitHub\eaglep3\Utilities\RefineRTDCRunTimes.py" --tripid 171-16 --locoid 4038 --swversion DE.1.0.7.0 --startMP 204:455 --initTime 2016-09-16T12:23:58 --startdatetime 2016-09-16T12:30:13 --delay 1 --endMP 204:233263 --enddatetime 2016-09-16T13:07:31 --enforcementcount 0 &gt;&gt;C:\Users\stu\Documents\GitHub\eaglep3-reporting\EC\2016-09-16-refined-times.txt</v>
      </c>
      <c r="AI8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{"issue":{"subject":"","project_id":79,"tracker_id":40,"status_id":1,"priority_id":2,"assigned_to_id":23,"start_date":"2016-09-16","description":"","custom_fields":[{"id":1,"name":"Subdivision","value":"EC"},{"id":4,"name":"Milepost","value":"23.3263"},{"id":17,"name":"Train ID","value":"171-16"},{"id":16,"name":"Locomotive ID","value":"4038"},{"id":130,"name":"Impact","value":""},{"id":150,"name":"Time of Event (Mountain Time)","value":"13:07:31"},{"id":151,"name":"Denver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500</v>
      </c>
      <c r="B84" s="7">
        <v>4037</v>
      </c>
      <c r="C84" s="24" t="s">
        <v>107</v>
      </c>
      <c r="D84" s="24" t="s">
        <v>656</v>
      </c>
      <c r="E84" s="15">
        <v>42629.548958333333</v>
      </c>
      <c r="F84" s="15">
        <v>42629.560115740744</v>
      </c>
      <c r="G84" s="7">
        <v>1</v>
      </c>
      <c r="H84" s="15" t="s">
        <v>220</v>
      </c>
      <c r="I84" s="15">
        <v>42629.587777777779</v>
      </c>
      <c r="J84" s="7">
        <v>0</v>
      </c>
      <c r="K84" s="121" t="str">
        <f t="shared" si="23"/>
        <v>4037/4038</v>
      </c>
      <c r="L84" s="24" t="str">
        <f>VLOOKUP(A84,'Trips&amp;Operators'!$C$1:$E$10000,3,FALSE)</f>
        <v>HILLS</v>
      </c>
      <c r="M84" s="6">
        <f t="shared" si="24"/>
        <v>2.7662037035042886E-2</v>
      </c>
      <c r="N84" s="7">
        <f t="shared" si="25"/>
        <v>39.833333330461755</v>
      </c>
      <c r="O84" s="7"/>
      <c r="P84" s="7"/>
      <c r="Q84" s="25"/>
      <c r="R84" s="25"/>
      <c r="S84" s="37">
        <f t="shared" si="26"/>
        <v>1</v>
      </c>
      <c r="T84" s="52" t="str">
        <f t="shared" si="27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12:10:30-0600',mode:absolute,to:'2016-09-16 15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4" s="54" t="str">
        <f t="shared" si="29"/>
        <v>N</v>
      </c>
      <c r="X84" s="168">
        <f t="shared" si="39"/>
        <v>1</v>
      </c>
      <c r="Y84" s="69">
        <f t="shared" si="30"/>
        <v>23.293800000000001</v>
      </c>
      <c r="Z84" s="69">
        <f t="shared" si="31"/>
        <v>1.6299999999999999E-2</v>
      </c>
      <c r="AA84" s="69">
        <f t="shared" si="32"/>
        <v>23.2775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3"/>
        <v>0172-16</v>
      </c>
      <c r="AE84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84" s="96" t="str">
        <f t="shared" si="35"/>
        <v>"C:\Program Files (x86)\AstroGrep\AstroGrep.exe" /spath="%USERPROFILE%\AppData\Local\Temp\OnboardLogs" /stypes="app*4037*20160916*" /stext=" 20:.+((SYSTEM_STATE.+slice.+state.+changed )|(ment ac)|(system.+state.+changed )|(\|lc)|(penalty)|(\[timeout)|(PRM\|1\|D)|(kpr)|(kdp))" /e /r /s</v>
      </c>
      <c r="AG84" s="1" t="str">
        <f t="shared" si="36"/>
        <v>EC</v>
      </c>
      <c r="AH84" s="100" t="str">
        <f t="shared" si="37"/>
        <v>"%USERPROFILE%\Documents\GitHub\eaglep3\Utilities\RefineRTDCRunTimes.py" --tripid 172-16 --locoid 4037 --swversion DE.1.0.7.0 --startMP 204:232938 --initTime 2016-09-16T13:10:30 --startdatetime 2016-09-16T13:26:34 --delay 1 --endMP 204:163 --enddatetime 2016-09-16T14:06:24 --enforcementcount 0 &gt;&gt;C:\Users\stu\Documents\GitHub\eaglep3-reporting\EC\2016-09-16-refined-times.txt</v>
      </c>
      <c r="AI8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ID","value":"172-16"},{"id":16,"name":"Locomotive ID","value":"4037"},{"id":130,"name":"Impact","value":""},{"id":150,"name":"Time of Event (Mountain Time)","value":"14:06:24"},{"id":151,"name":"Denver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493</v>
      </c>
      <c r="B85" s="7">
        <v>4002</v>
      </c>
      <c r="C85" s="24" t="s">
        <v>107</v>
      </c>
      <c r="D85" s="24" t="s">
        <v>221</v>
      </c>
      <c r="E85" s="15">
        <v>42629.526076388887</v>
      </c>
      <c r="F85" s="15">
        <v>42629.531782407408</v>
      </c>
      <c r="G85" s="7">
        <v>2</v>
      </c>
      <c r="H85" s="15" t="s">
        <v>657</v>
      </c>
      <c r="I85" s="15">
        <v>42629.556875000002</v>
      </c>
      <c r="J85" s="7">
        <v>0</v>
      </c>
      <c r="K85" s="121" t="str">
        <f t="shared" si="23"/>
        <v>4001/4002</v>
      </c>
      <c r="L85" s="24" t="str">
        <f>VLOOKUP(A85,'Trips&amp;Operators'!$C$1:$E$10000,3,FALSE)</f>
        <v>STEWART</v>
      </c>
      <c r="M85" s="6">
        <f t="shared" si="24"/>
        <v>2.5092592593864538E-2</v>
      </c>
      <c r="N85" s="7">
        <f t="shared" si="25"/>
        <v>36.133333335164934</v>
      </c>
      <c r="O85" s="7"/>
      <c r="P85" s="7"/>
      <c r="Q85" s="25"/>
      <c r="R85" s="25"/>
      <c r="S85" s="37">
        <f t="shared" si="26"/>
        <v>1</v>
      </c>
      <c r="T85" s="52" t="str">
        <f t="shared" si="27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11:37:33-0600',mode:absolute,to:'2016-09-16 14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5" s="54" t="str">
        <f t="shared" si="29"/>
        <v>N</v>
      </c>
      <c r="X85" s="168">
        <f t="shared" si="39"/>
        <v>1</v>
      </c>
      <c r="Y85" s="69">
        <f t="shared" si="30"/>
        <v>4.7100000000000003E-2</v>
      </c>
      <c r="Z85" s="69">
        <f t="shared" si="31"/>
        <v>23.3307</v>
      </c>
      <c r="AA85" s="69">
        <f t="shared" si="32"/>
        <v>23.2836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3"/>
        <v>0173-16</v>
      </c>
      <c r="AE85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85" s="96" t="str">
        <f t="shared" si="35"/>
        <v>"C:\Program Files (x86)\AstroGrep\AstroGrep.exe" /spath="%USERPROFILE%\AppData\Local\Temp\OnboardLogs" /stypes="app*4002*20160916*" /stext=" 19:.+((SYSTEM_STATE.+slice.+state.+changed )|(ment ac)|(system.+state.+changed )|(\|lc)|(penalty)|(\[timeout)|(PRM\|1\|D)|(kpr)|(kdp))" /e /r /s</v>
      </c>
      <c r="AG85" s="1" t="str">
        <f t="shared" si="36"/>
        <v>EC</v>
      </c>
      <c r="AH85" s="100" t="str">
        <f t="shared" si="37"/>
        <v>"%USERPROFILE%\Documents\GitHub\eaglep3\Utilities\RefineRTDCRunTimes.py" --tripid 173-16 --locoid 4002 --swversion DE.1.0.7.0 --startMP 204:471 --initTime 2016-09-16T12:37:33 --startdatetime 2016-09-16T12:45:46 --delay 2 --endMP 204:233307 --enddatetime 2016-09-16T13:21:54 --enforcementcount 0 &gt;&gt;C:\Users\stu\Documents\GitHub\eaglep3-reporting\EC\2016-09-16-refined-times.txt</v>
      </c>
      <c r="AI8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{"issue":{"subject":"","project_id":79,"tracker_id":40,"status_id":1,"priority_id":2,"assigned_to_id":23,"start_date":"2016-09-16","description":"","custom_fields":[{"id":1,"name":"Subdivision","value":"EC"},{"id":4,"name":"Milepost","value":"23.3307"},{"id":17,"name":"Train ID","value":"173-16"},{"id":16,"name":"Locomotive ID","value":"4002"},{"id":130,"name":"Impact","value":""},{"id":150,"name":"Time of Event (Mountain Time)","value":"13:21:54"},{"id":151,"name":"Denver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502</v>
      </c>
      <c r="B86" s="7">
        <v>4001</v>
      </c>
      <c r="C86" s="24" t="s">
        <v>107</v>
      </c>
      <c r="D86" s="24" t="s">
        <v>314</v>
      </c>
      <c r="E86" s="15">
        <v>42629.567013888889</v>
      </c>
      <c r="F86" s="15">
        <v>42629.570509259262</v>
      </c>
      <c r="G86" s="7">
        <v>1</v>
      </c>
      <c r="H86" s="15" t="s">
        <v>218</v>
      </c>
      <c r="I86" s="15">
        <v>42629.597048611111</v>
      </c>
      <c r="J86" s="7">
        <v>0</v>
      </c>
      <c r="K86" s="121" t="str">
        <f t="shared" si="23"/>
        <v>4001/4002</v>
      </c>
      <c r="L86" s="24" t="str">
        <f>VLOOKUP(A86,'Trips&amp;Operators'!$C$1:$E$10000,3,FALSE)</f>
        <v>STEWART</v>
      </c>
      <c r="M86" s="6">
        <f t="shared" si="24"/>
        <v>2.6539351849351078E-2</v>
      </c>
      <c r="N86" s="7">
        <f t="shared" si="25"/>
        <v>38.216666663065553</v>
      </c>
      <c r="O86" s="7"/>
      <c r="P86" s="7"/>
      <c r="Q86" s="25"/>
      <c r="R86" s="25"/>
      <c r="S86" s="37">
        <f t="shared" si="26"/>
        <v>1</v>
      </c>
      <c r="T86" s="52" t="str">
        <f t="shared" si="27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12:36:30-0600',mode:absolute,to:'2016-09-16 15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6" s="54" t="str">
        <f t="shared" si="29"/>
        <v>N</v>
      </c>
      <c r="X86" s="168">
        <f t="shared" ref="X86:X117" si="40">VALUE(LEFT(AD86,4))-VALUE(LEFT(AD85,4))</f>
        <v>1</v>
      </c>
      <c r="Y86" s="69">
        <f t="shared" si="30"/>
        <v>23.297499999999999</v>
      </c>
      <c r="Z86" s="69">
        <f t="shared" si="31"/>
        <v>1.49E-2</v>
      </c>
      <c r="AA86" s="69">
        <f t="shared" si="32"/>
        <v>23.282599999999999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3"/>
        <v>0174-16</v>
      </c>
      <c r="AE86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86" s="96" t="str">
        <f t="shared" si="35"/>
        <v>"C:\Program Files (x86)\AstroGrep\AstroGrep.exe" /spath="%USERPROFILE%\AppData\Local\Temp\OnboardLogs" /stypes="app*4001*20160916*" /stext=" 20:.+((SYSTEM_STATE.+slice.+state.+changed )|(ment ac)|(system.+state.+changed )|(\|lc)|(penalty)|(\[timeout)|(PRM\|1\|D)|(kpr)|(kdp))" /e /r /s</v>
      </c>
      <c r="AG86" s="1" t="str">
        <f t="shared" si="36"/>
        <v>EC</v>
      </c>
      <c r="AH86" s="100" t="str">
        <f t="shared" si="37"/>
        <v>"%USERPROFILE%\Documents\GitHub\eaglep3\Utilities\RefineRTDCRunTimes.py" --tripid 174-16 --locoid 4001 --swversion DE.1.0.7.0 --startMP 204:232975 --initTime 2016-09-16T13:36:30 --startdatetime 2016-09-16T13:41:32 --delay 1 --endMP 204:149 --enddatetime 2016-09-16T14:19:45 --enforcementcount 0 &gt;&gt;C:\Users\stu\Documents\GitHub\eaglep3-reporting\EC\2016-09-16-refined-times.txt</v>
      </c>
      <c r="AI8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ID","value":"174-16"},{"id":16,"name":"Locomotive ID","value":"4001"},{"id":130,"name":"Impact","value":""},{"id":150,"name":"Time of Event (Mountain Time)","value":"14:19:45"},{"id":151,"name":"Denver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495</v>
      </c>
      <c r="B87" s="7">
        <v>4044</v>
      </c>
      <c r="C87" s="24" t="s">
        <v>107</v>
      </c>
      <c r="D87" s="24" t="s">
        <v>244</v>
      </c>
      <c r="E87" s="15">
        <v>42629.537789351853</v>
      </c>
      <c r="F87" s="15">
        <v>42629.541956018518</v>
      </c>
      <c r="G87" s="7">
        <v>1</v>
      </c>
      <c r="H87" s="15" t="s">
        <v>658</v>
      </c>
      <c r="I87" s="15">
        <v>42629.568576388891</v>
      </c>
      <c r="J87" s="7">
        <v>0</v>
      </c>
      <c r="K87" s="121" t="str">
        <f t="shared" si="23"/>
        <v>4043/4044</v>
      </c>
      <c r="L87" s="24" t="str">
        <f>VLOOKUP(A87,'Trips&amp;Operators'!$C$1:$E$10000,3,FALSE)</f>
        <v>CLARK</v>
      </c>
      <c r="M87" s="6">
        <f t="shared" si="24"/>
        <v>2.662037037225673E-2</v>
      </c>
      <c r="N87" s="7">
        <f t="shared" si="25"/>
        <v>38.333333336049691</v>
      </c>
      <c r="O87" s="7"/>
      <c r="P87" s="7"/>
      <c r="Q87" s="25"/>
      <c r="R87" s="25"/>
      <c r="S87" s="37">
        <f t="shared" si="26"/>
        <v>1</v>
      </c>
      <c r="T87" s="52" t="str">
        <f t="shared" si="27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11:54:25-0600',mode:absolute,to:'2016-09-16 14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7" s="54" t="str">
        <f t="shared" si="29"/>
        <v>N</v>
      </c>
      <c r="X87" s="168">
        <f t="shared" si="40"/>
        <v>1</v>
      </c>
      <c r="Y87" s="69">
        <f t="shared" si="30"/>
        <v>4.6699999999999998E-2</v>
      </c>
      <c r="Z87" s="69">
        <f t="shared" si="31"/>
        <v>23.322299999999998</v>
      </c>
      <c r="AA87" s="69">
        <f t="shared" si="32"/>
        <v>23.275599999999997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3"/>
        <v>0175-16</v>
      </c>
      <c r="AE87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87" s="96" t="str">
        <f t="shared" si="35"/>
        <v>"C:\Program Files (x86)\AstroGrep\AstroGrep.exe" /spath="%USERPROFILE%\AppData\Local\Temp\OnboardLogs" /stypes="app*4044*20160916*" /stext=" 19:.+((SYSTEM_STATE.+slice.+state.+changed )|(ment ac)|(system.+state.+changed )|(\|lc)|(penalty)|(\[timeout)|(PRM\|1\|D)|(kpr)|(kdp))" /e /r /s</v>
      </c>
      <c r="AG87" s="1" t="str">
        <f t="shared" si="36"/>
        <v>EC</v>
      </c>
      <c r="AH87" s="100" t="str">
        <f t="shared" si="37"/>
        <v>"%USERPROFILE%\Documents\GitHub\eaglep3\Utilities\RefineRTDCRunTimes.py" --tripid 175-16 --locoid 4044 --swversion DE.1.0.7.0 --startMP 204:467 --initTime 2016-09-16T12:54:25 --startdatetime 2016-09-16T13:00:25 --delay 1 --endMP 204:233223 --enddatetime 2016-09-16T13:38:45 --enforcementcount 0 &gt;&gt;C:\Users\stu\Documents\GitHub\eaglep3-reporting\EC\2016-09-16-refined-times.txt</v>
      </c>
      <c r="AI8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{"issue":{"subject":"","project_id":79,"tracker_id":40,"status_id":1,"priority_id":2,"assigned_to_id":23,"start_date":"2016-09-16","description":"","custom_fields":[{"id":1,"name":"Subdivision","value":"EC"},{"id":4,"name":"Milepost","value":"23.3223"},{"id":17,"name":"Train ID","value":"175-16"},{"id":16,"name":"Locomotive ID","value":"4044"},{"id":130,"name":"Impact","value":""},{"id":150,"name":"Time of Event (Mountain Time)","value":"13:38:45"},{"id":151,"name":"Denver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505</v>
      </c>
      <c r="B88" s="7">
        <v>4043</v>
      </c>
      <c r="C88" s="24" t="s">
        <v>107</v>
      </c>
      <c r="D88" s="24" t="s">
        <v>659</v>
      </c>
      <c r="E88" s="15">
        <v>42629.575381944444</v>
      </c>
      <c r="F88" s="15">
        <v>42629.580740740741</v>
      </c>
      <c r="G88" s="7">
        <v>1</v>
      </c>
      <c r="H88" s="15" t="s">
        <v>351</v>
      </c>
      <c r="I88" s="15">
        <v>42629.608981481484</v>
      </c>
      <c r="J88" s="7">
        <v>0</v>
      </c>
      <c r="K88" s="121" t="str">
        <f t="shared" si="23"/>
        <v>4043/4044</v>
      </c>
      <c r="L88" s="24" t="str">
        <f>VLOOKUP(A88,'Trips&amp;Operators'!$C$1:$E$10000,3,FALSE)</f>
        <v>CLARK</v>
      </c>
      <c r="M88" s="6">
        <f t="shared" si="24"/>
        <v>2.8240740743058268E-2</v>
      </c>
      <c r="N88" s="7">
        <f t="shared" si="25"/>
        <v>40.666666670003906</v>
      </c>
      <c r="O88" s="7"/>
      <c r="P88" s="7"/>
      <c r="Q88" s="25"/>
      <c r="R88" s="25"/>
      <c r="S88" s="37">
        <f t="shared" si="26"/>
        <v>1</v>
      </c>
      <c r="T88" s="52" t="str">
        <f t="shared" si="27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12:48:33-0600',mode:absolute,to:'2016-09-16 15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8" s="54" t="str">
        <f t="shared" si="29"/>
        <v>N</v>
      </c>
      <c r="X88" s="168">
        <f t="shared" si="40"/>
        <v>1</v>
      </c>
      <c r="Y88" s="69">
        <f t="shared" si="30"/>
        <v>23.290800000000001</v>
      </c>
      <c r="Z88" s="69">
        <f t="shared" si="31"/>
        <v>1.61E-2</v>
      </c>
      <c r="AA88" s="69">
        <f t="shared" si="32"/>
        <v>23.274699999999999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3"/>
        <v>0176-16</v>
      </c>
      <c r="AE88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88" s="96" t="str">
        <f t="shared" si="35"/>
        <v>"C:\Program Files (x86)\AstroGrep\AstroGrep.exe" /spath="%USERPROFILE%\AppData\Local\Temp\OnboardLogs" /stypes="app*4043*20160916*" /stext=" 20:.+((SYSTEM_STATE.+slice.+state.+changed )|(ment ac)|(system.+state.+changed )|(\|lc)|(penalty)|(\[timeout)|(PRM\|1\|D)|(kpr)|(kdp))" /e /r /s</v>
      </c>
      <c r="AG88" s="1" t="str">
        <f t="shared" si="36"/>
        <v>EC</v>
      </c>
      <c r="AH88" s="100" t="str">
        <f t="shared" si="37"/>
        <v>"%USERPROFILE%\Documents\GitHub\eaglep3\Utilities\RefineRTDCRunTimes.py" --tripid 176-16 --locoid 4043 --swversion DE.1.0.7.0 --startMP 204:232908 --initTime 2016-09-16T13:48:33 --startdatetime 2016-09-16T13:56:16 --delay 1 --endMP 204:161 --enddatetime 2016-09-16T14:36:56 --enforcementcount 0 &gt;&gt;C:\Users\stu\Documents\GitHub\eaglep3-reporting\EC\2016-09-16-refined-times.txt</v>
      </c>
      <c r="AI8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ID","value":"176-16"},{"id":16,"name":"Locomotive ID","value":"4043"},{"id":130,"name":"Impact","value":""},{"id":150,"name":"Time of Event (Mountain Time)","value":"14:36:56"},{"id":151,"name":"Denver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499</v>
      </c>
      <c r="B89" s="7">
        <v>4009</v>
      </c>
      <c r="C89" s="24" t="s">
        <v>107</v>
      </c>
      <c r="D89" s="24" t="s">
        <v>231</v>
      </c>
      <c r="E89" s="15">
        <v>42629.546435185184</v>
      </c>
      <c r="F89" s="15">
        <v>42629.552453703705</v>
      </c>
      <c r="G89" s="7">
        <v>1</v>
      </c>
      <c r="H89" s="15" t="s">
        <v>660</v>
      </c>
      <c r="I89" s="15">
        <v>42629.578090277777</v>
      </c>
      <c r="J89" s="7">
        <v>0</v>
      </c>
      <c r="K89" s="121" t="str">
        <f t="shared" si="23"/>
        <v>4009/4010</v>
      </c>
      <c r="L89" s="24" t="str">
        <f>VLOOKUP(A89,'Trips&amp;Operators'!$C$1:$E$10000,3,FALSE)</f>
        <v>BONDS</v>
      </c>
      <c r="M89" s="6">
        <f t="shared" si="24"/>
        <v>2.5636574071540963E-2</v>
      </c>
      <c r="N89" s="7">
        <f t="shared" si="25"/>
        <v>36.916666663018987</v>
      </c>
      <c r="O89" s="7"/>
      <c r="P89" s="7"/>
      <c r="Q89" s="25"/>
      <c r="R89" s="25"/>
      <c r="S89" s="37">
        <f t="shared" si="26"/>
        <v>1</v>
      </c>
      <c r="T89" s="52" t="str">
        <f t="shared" si="27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12:06:52-0600',mode:absolute,to:'2016-09-16 14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9" s="54" t="str">
        <f t="shared" si="29"/>
        <v>N</v>
      </c>
      <c r="X89" s="168">
        <f t="shared" si="40"/>
        <v>1</v>
      </c>
      <c r="Y89" s="69">
        <f t="shared" si="30"/>
        <v>4.6600000000000003E-2</v>
      </c>
      <c r="Z89" s="69">
        <f t="shared" si="31"/>
        <v>23.332000000000001</v>
      </c>
      <c r="AA89" s="69">
        <f t="shared" si="32"/>
        <v>23.285399999999999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3"/>
        <v>0177-16</v>
      </c>
      <c r="AE89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89" s="96" t="str">
        <f t="shared" si="35"/>
        <v>"C:\Program Files (x86)\AstroGrep\AstroGrep.exe" /spath="%USERPROFILE%\AppData\Local\Temp\OnboardLogs" /stypes="app*4009*20160916*" /stext=" 19:.+((SYSTEM_STATE.+slice.+state.+changed )|(ment ac)|(system.+state.+changed )|(\|lc)|(penalty)|(\[timeout)|(PRM\|1\|D)|(kpr)|(kdp))" /e /r /s</v>
      </c>
      <c r="AG89" s="1" t="str">
        <f t="shared" si="36"/>
        <v>EC</v>
      </c>
      <c r="AH89" s="100" t="str">
        <f t="shared" si="37"/>
        <v>"%USERPROFILE%\Documents\GitHub\eaglep3\Utilities\RefineRTDCRunTimes.py" --tripid 177-16 --locoid 4009 --swversion DE.1.0.7.0 --startMP 204:466 --initTime 2016-09-16T13:06:52 --startdatetime 2016-09-16T13:15:32 --delay 1 --endMP 204:233320 --enddatetime 2016-09-16T13:52:27 --enforcementcount 0 &gt;&gt;C:\Users\stu\Documents\GitHub\eaglep3-reporting\EC\2016-09-16-refined-times.txt</v>
      </c>
      <c r="AI8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{"issue":{"subject":"","project_id":79,"tracker_id":40,"status_id":1,"priority_id":2,"assigned_to_id":23,"start_date":"2016-09-16","description":"","custom_fields":[{"id":1,"name":"Subdivision","value":"EC"},{"id":4,"name":"Milepost","value":"23.332"},{"id":17,"name":"Train ID","value":"177-16"},{"id":16,"name":"Locomotive ID","value":"4009"},{"id":130,"name":"Impact","value":""},{"id":150,"name":"Time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507</v>
      </c>
      <c r="B90" s="7">
        <v>4010</v>
      </c>
      <c r="C90" s="24" t="s">
        <v>107</v>
      </c>
      <c r="D90" s="24" t="s">
        <v>661</v>
      </c>
      <c r="E90" s="15">
        <v>42629.602673611109</v>
      </c>
      <c r="F90" s="15">
        <v>42629.60359953704</v>
      </c>
      <c r="G90" s="7">
        <v>0</v>
      </c>
      <c r="H90" s="15" t="s">
        <v>341</v>
      </c>
      <c r="I90" s="15">
        <v>42629.619791666664</v>
      </c>
      <c r="J90" s="7">
        <v>0</v>
      </c>
      <c r="K90" s="121" t="str">
        <f t="shared" si="23"/>
        <v>4009/4010</v>
      </c>
      <c r="L90" s="24" t="str">
        <f>VLOOKUP(A90,'Trips&amp;Operators'!$C$1:$E$10000,3,FALSE)</f>
        <v>BONDS</v>
      </c>
      <c r="M90" s="6">
        <f t="shared" si="24"/>
        <v>1.6192129623959772E-2</v>
      </c>
      <c r="N90" s="7"/>
      <c r="O90" s="7"/>
      <c r="P90" s="7">
        <f>24*60*SUM($M90:$M91)</f>
        <v>41.949999989010394</v>
      </c>
      <c r="Q90" s="25"/>
      <c r="R90" s="25" t="s">
        <v>179</v>
      </c>
      <c r="S90" s="37">
        <f t="shared" si="26"/>
        <v>1</v>
      </c>
      <c r="T90" s="52" t="str">
        <f t="shared" si="27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13:27:51-0600',mode:absolute,to:'2016-09-16 15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0" s="54" t="str">
        <f t="shared" si="29"/>
        <v>Y</v>
      </c>
      <c r="X90" s="168">
        <f t="shared" si="40"/>
        <v>1</v>
      </c>
      <c r="Y90" s="69">
        <f t="shared" si="30"/>
        <v>12.7842</v>
      </c>
      <c r="Z90" s="69">
        <f t="shared" si="31"/>
        <v>1.7399999999999999E-2</v>
      </c>
      <c r="AA90" s="69">
        <f t="shared" si="32"/>
        <v>12.7668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3"/>
        <v>0178-16</v>
      </c>
      <c r="AE90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90" s="96" t="str">
        <f t="shared" si="35"/>
        <v>"C:\Program Files (x86)\AstroGrep\AstroGrep.exe" /spath="%USERPROFILE%\AppData\Local\Temp\OnboardLogs" /stypes="app*4010*20160916*" /stext=" 20:.+((SYSTEM_STATE.+slice.+state.+changed )|(ment ac)|(system.+state.+changed )|(\|lc)|(penalty)|(\[timeout)|(PRM\|1\|D)|(kpr)|(kdp))" /e /r /s</v>
      </c>
      <c r="AG90" s="1" t="str">
        <f t="shared" si="36"/>
        <v>EC</v>
      </c>
      <c r="AH90" s="100" t="str">
        <f t="shared" si="37"/>
        <v>"%USERPROFILE%\Documents\GitHub\eaglep3\Utilities\RefineRTDCRunTimes.py" --tripid 178-16 --locoid 4010 --swversion DE.1.0.7.0 --startMP 204:127842 --initTime 2016-09-16T14:27:51 --startdatetime 2016-09-16T14:29:11 --delay 0 --endMP 204:174 --enddatetime 2016-09-16T14:52:30 --enforcementcount 0 &gt;&gt;C:\Users\stu\Documents\GitHub\eaglep3-reporting\EC\2016-09-16-refined-times.txt</v>
      </c>
      <c r="AI90" s="134" t="str">
        <f t="shared" si="38"/>
        <v>echo {"issue":{"subject":"Wi-MAX outage","project_id":79,"tracker_id":40,"status_id":1,"priority_id":2,"assigned_to_id":23,"start_date":"2016-09-16","description":"","custom_fields":[{"id":1,"name":"Subdivision","value":"EC"},{"id":4,"name":"Milepost","value":"0.0174"},{"id":17,"name":"Train ID","value":"178-16"},{"id":16,"name":"Locomotive ID","value":"4010"},{"id":130,"name":"Impact","value":""},{"id":150,"name":"Time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507</v>
      </c>
      <c r="B91" s="7">
        <v>4010</v>
      </c>
      <c r="C91" s="24" t="s">
        <v>107</v>
      </c>
      <c r="D91" s="24" t="s">
        <v>662</v>
      </c>
      <c r="E91" s="15">
        <v>42629.582673611112</v>
      </c>
      <c r="F91" s="15">
        <v>42629.583321759259</v>
      </c>
      <c r="G91" s="7">
        <v>0</v>
      </c>
      <c r="H91" s="15" t="s">
        <v>663</v>
      </c>
      <c r="I91" s="15">
        <v>42629.596261574072</v>
      </c>
      <c r="J91" s="7">
        <v>0</v>
      </c>
      <c r="K91" s="121" t="str">
        <f t="shared" si="23"/>
        <v>4009/4010</v>
      </c>
      <c r="L91" s="24" t="str">
        <f>VLOOKUP(A91,'Trips&amp;Operators'!$C$1:$E$10000,3,FALSE)</f>
        <v>BONDS</v>
      </c>
      <c r="M91" s="6">
        <f t="shared" si="24"/>
        <v>1.2939814812853001E-2</v>
      </c>
      <c r="N91" s="7"/>
      <c r="O91" s="7"/>
      <c r="P91" s="7"/>
      <c r="Q91" s="25"/>
      <c r="R91" s="25"/>
      <c r="S91" s="37"/>
      <c r="T91" s="52" t="str">
        <f t="shared" si="27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12:59:03-0600',mode:absolute,to:'2016-09-16 15:18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1" s="54" t="str">
        <f t="shared" si="29"/>
        <v>Y</v>
      </c>
      <c r="X91" s="168">
        <f t="shared" si="40"/>
        <v>0</v>
      </c>
      <c r="Y91" s="69">
        <f t="shared" si="30"/>
        <v>23.299199999999999</v>
      </c>
      <c r="Z91" s="69">
        <f t="shared" si="31"/>
        <v>19.1248</v>
      </c>
      <c r="AA91" s="69">
        <f t="shared" si="32"/>
        <v>4.1743999999999986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3"/>
        <v>0178-16</v>
      </c>
      <c r="AE91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91" s="96" t="str">
        <f t="shared" si="35"/>
        <v>"C:\Program Files (x86)\AstroGrep\AstroGrep.exe" /spath="%USERPROFILE%\AppData\Local\Temp\OnboardLogs" /stypes="app*4010*20160916*" /stext=" 20:.+((SYSTEM_STATE.+slice.+state.+changed )|(ment ac)|(system.+state.+changed )|(\|lc)|(penalty)|(\[timeout)|(PRM\|1\|D)|(kpr)|(kdp))" /e /r /s</v>
      </c>
      <c r="AG91" s="1" t="str">
        <f t="shared" si="36"/>
        <v>EC</v>
      </c>
      <c r="AH91" s="100" t="str">
        <f t="shared" si="37"/>
        <v>"%USERPROFILE%\Documents\GitHub\eaglep3\Utilities\RefineRTDCRunTimes.py" --tripid 178-16 --locoid 4010 --swversion DE.1.0.7.0 --startMP 204:232992 --initTime 2016-09-16T13:59:03 --startdatetime 2016-09-16T13:59:59 --delay 0 --endMP 204:191248 --enddatetime 2016-09-16T14:18:37 --enforcementcount 0 &gt;&gt;C:\Users\stu\Documents\GitHub\eaglep3-reporting\EC\2016-09-16-refined-times.txt</v>
      </c>
      <c r="AI9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{"issue":{"subject":"","project_id":79,"tracker_id":40,"status_id":1,"priority_id":2,"assigned_to_id":23,"start_date":"2016-09-16","description":"","custom_fields":[{"id":1,"name":"Subdivision","value":"EC"},{"id":4,"name":"Milepost","value":"19.1248"},{"id":17,"name":"Train ID","value":"178-16"},{"id":16,"name":"Locomotive ID","value":"4010"},{"id":130,"name":"Impact","value":""},{"id":150,"name":"Time of Event (Mountain Time)","value":"14:18:37"},{"id":151,"name":"Denver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501</v>
      </c>
      <c r="B92" s="7">
        <v>4018</v>
      </c>
      <c r="C92" s="24" t="s">
        <v>107</v>
      </c>
      <c r="D92" s="24" t="s">
        <v>276</v>
      </c>
      <c r="E92" s="15">
        <v>42629.559965277775</v>
      </c>
      <c r="F92" s="15">
        <v>42629.56287037037</v>
      </c>
      <c r="G92" s="7">
        <v>1</v>
      </c>
      <c r="H92" s="15" t="s">
        <v>340</v>
      </c>
      <c r="I92" s="15">
        <v>42629.587881944448</v>
      </c>
      <c r="J92" s="7">
        <v>0</v>
      </c>
      <c r="K92" s="121" t="str">
        <f t="shared" si="23"/>
        <v>4017/4018</v>
      </c>
      <c r="L92" s="24" t="str">
        <f>VLOOKUP(A92,'Trips&amp;Operators'!$C$1:$E$10000,3,FALSE)</f>
        <v>MOSES</v>
      </c>
      <c r="M92" s="6">
        <f t="shared" si="24"/>
        <v>2.5011574078234844E-2</v>
      </c>
      <c r="N92" s="7">
        <f t="shared" ref="N92:N136" si="41">24*60*SUM($M92:$M92)</f>
        <v>36.016666672658175</v>
      </c>
      <c r="O92" s="7"/>
      <c r="P92" s="7"/>
      <c r="Q92" s="25"/>
      <c r="R92" s="25"/>
      <c r="S92" s="37">
        <f t="shared" ref="S92:S123" si="42">SUM(U92:U92)/IF(AG92="EC",12,1)</f>
        <v>1</v>
      </c>
      <c r="T92" s="52" t="str">
        <f t="shared" si="27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12:26:21-0600',mode:absolute,to:'2016-09-16 15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2" s="54" t="str">
        <f t="shared" si="29"/>
        <v>N</v>
      </c>
      <c r="X92" s="168">
        <f t="shared" si="40"/>
        <v>1</v>
      </c>
      <c r="Y92" s="69">
        <f t="shared" si="30"/>
        <v>4.3499999999999997E-2</v>
      </c>
      <c r="Z92" s="69">
        <f t="shared" si="31"/>
        <v>23.325099999999999</v>
      </c>
      <c r="AA92" s="69">
        <f t="shared" si="32"/>
        <v>23.281599999999997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3"/>
        <v>0179-16</v>
      </c>
      <c r="AE92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92" s="96" t="str">
        <f t="shared" si="35"/>
        <v>"C:\Program Files (x86)\AstroGrep\AstroGrep.exe" /spath="%USERPROFILE%\AppData\Local\Temp\OnboardLogs" /stypes="app*4018*20160916*" /stext=" 20:.+((SYSTEM_STATE.+slice.+state.+changed )|(ment ac)|(system.+state.+changed )|(\|lc)|(penalty)|(\[timeout)|(PRM\|1\|D)|(kpr)|(kdp))" /e /r /s</v>
      </c>
      <c r="AG92" s="1" t="str">
        <f t="shared" si="36"/>
        <v>EC</v>
      </c>
      <c r="AH92" s="100" t="str">
        <f t="shared" si="37"/>
        <v>"%USERPROFILE%\Documents\GitHub\eaglep3\Utilities\RefineRTDCRunTimes.py" --tripid 179-16 --locoid 4018 --swversion DE.1.0.7.0 --startMP 204:435 --initTime 2016-09-16T13:26:21 --startdatetime 2016-09-16T13:30:32 --delay 1 --endMP 204:233251 --enddatetime 2016-09-16T14:06:33 --enforcementcount 0 &gt;&gt;C:\Users\stu\Documents\GitHub\eaglep3-reporting\EC\2016-09-16-refined-times.txt</v>
      </c>
      <c r="AI9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{"issue":{"subject":"","project_id":79,"tracker_id":40,"status_id":1,"priority_id":2,"assigned_to_id":23,"start_date":"2016-09-16","description":"","custom_fields":[{"id":1,"name":"Subdivision","value":"EC"},{"id":4,"name":"Milepost","value":"23.3251"},{"id":17,"name":"Train ID","value":"179-16"},{"id":16,"name":"Locomotive ID","value":"4018"},{"id":130,"name":"Impact","value":""},{"id":150,"name":"Time of Event (Mountain Time)","value":"14:06:33"},{"id":151,"name":"Denver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510</v>
      </c>
      <c r="B93" s="7">
        <v>4017</v>
      </c>
      <c r="C93" s="24" t="s">
        <v>107</v>
      </c>
      <c r="D93" s="24" t="s">
        <v>664</v>
      </c>
      <c r="E93" s="15">
        <v>42629.597488425927</v>
      </c>
      <c r="F93" s="15">
        <v>42629.601678240739</v>
      </c>
      <c r="G93" s="7">
        <v>1</v>
      </c>
      <c r="H93" s="15" t="s">
        <v>251</v>
      </c>
      <c r="I93" s="15">
        <v>42629.628530092596</v>
      </c>
      <c r="J93" s="7">
        <v>0</v>
      </c>
      <c r="K93" s="121" t="str">
        <f t="shared" si="23"/>
        <v>4017/4018</v>
      </c>
      <c r="L93" s="24" t="str">
        <f>VLOOKUP(A93,'Trips&amp;Operators'!$C$1:$E$10000,3,FALSE)</f>
        <v>MOSES</v>
      </c>
      <c r="M93" s="6">
        <f t="shared" si="24"/>
        <v>2.6851851856918074E-2</v>
      </c>
      <c r="N93" s="7">
        <f t="shared" si="41"/>
        <v>38.666666673962027</v>
      </c>
      <c r="O93" s="7"/>
      <c r="P93" s="7"/>
      <c r="Q93" s="25"/>
      <c r="R93" s="25"/>
      <c r="S93" s="37">
        <f t="shared" si="42"/>
        <v>1</v>
      </c>
      <c r="T93" s="52" t="str">
        <f t="shared" si="27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13:20:23-0600',mode:absolute,to:'2016-09-16 16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3" s="54" t="str">
        <f t="shared" si="29"/>
        <v>N</v>
      </c>
      <c r="X93" s="168">
        <f t="shared" si="40"/>
        <v>1</v>
      </c>
      <c r="Y93" s="69">
        <f t="shared" si="30"/>
        <v>23.294</v>
      </c>
      <c r="Z93" s="69">
        <f t="shared" si="31"/>
        <v>1.38E-2</v>
      </c>
      <c r="AA93" s="69">
        <f t="shared" si="32"/>
        <v>23.280200000000001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3"/>
        <v>0180-16</v>
      </c>
      <c r="AE93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93" s="96" t="str">
        <f t="shared" si="35"/>
        <v>"C:\Program Files (x86)\AstroGrep\AstroGrep.exe" /spath="%USERPROFILE%\AppData\Local\Temp\OnboardLogs" /stypes="app*4017*20160916*" /stext=" 21:.+((SYSTEM_STATE.+slice.+state.+changed )|(ment ac)|(system.+state.+changed )|(\|lc)|(penalty)|(\[timeout)|(PRM\|1\|D)|(kpr)|(kdp))" /e /r /s</v>
      </c>
      <c r="AG93" s="1" t="str">
        <f t="shared" si="36"/>
        <v>EC</v>
      </c>
      <c r="AH93" s="100" t="str">
        <f t="shared" si="37"/>
        <v>"%USERPROFILE%\Documents\GitHub\eaglep3\Utilities\RefineRTDCRunTimes.py" --tripid 180-16 --locoid 4017 --swversion DE.1.0.7.0 --startMP 204:232940 --initTime 2016-09-16T14:20:23 --startdatetime 2016-09-16T14:26:25 --delay 1 --endMP 204:138 --enddatetime 2016-09-16T15:05:05 --enforcementcount 0 &gt;&gt;C:\Users\stu\Documents\GitHub\eaglep3-reporting\EC\2016-09-16-refined-times.txt</v>
      </c>
      <c r="AI9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ID","value":"180-16"},{"id":16,"name":"Locomotive ID","value":"4017"},{"id":130,"name":"Impact","value":""},{"id":150,"name":"Time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504</v>
      </c>
      <c r="B94" s="7">
        <v>4003</v>
      </c>
      <c r="C94" s="24" t="s">
        <v>107</v>
      </c>
      <c r="D94" s="24" t="s">
        <v>232</v>
      </c>
      <c r="E94" s="15">
        <v>42629.569687499999</v>
      </c>
      <c r="F94" s="15">
        <v>42629.573263888888</v>
      </c>
      <c r="G94" s="7">
        <v>1</v>
      </c>
      <c r="H94" s="15" t="s">
        <v>352</v>
      </c>
      <c r="I94" s="15">
        <v>42629.598252314812</v>
      </c>
      <c r="J94" s="7">
        <v>0</v>
      </c>
      <c r="K94" s="121" t="str">
        <f t="shared" si="23"/>
        <v>4003/4004</v>
      </c>
      <c r="L94" s="24" t="str">
        <f>VLOOKUP(A94,'Trips&amp;Operators'!$C$1:$E$10000,3,FALSE)</f>
        <v>HAITHCOX</v>
      </c>
      <c r="M94" s="6">
        <f t="shared" si="24"/>
        <v>2.4988425924675539E-2</v>
      </c>
      <c r="N94" s="7">
        <f t="shared" si="41"/>
        <v>35.983333331532776</v>
      </c>
      <c r="O94" s="7"/>
      <c r="P94" s="7"/>
      <c r="Q94" s="25"/>
      <c r="R94" s="25"/>
      <c r="S94" s="37">
        <f t="shared" si="42"/>
        <v>1</v>
      </c>
      <c r="T94" s="52" t="str">
        <f t="shared" si="27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12:40:21-0600',mode:absolute,to:'2016-09-16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4" s="54" t="str">
        <f t="shared" si="29"/>
        <v>N</v>
      </c>
      <c r="X94" s="168">
        <f t="shared" si="40"/>
        <v>1</v>
      </c>
      <c r="Y94" s="69">
        <f t="shared" si="30"/>
        <v>4.5100000000000001E-2</v>
      </c>
      <c r="Z94" s="69">
        <f t="shared" si="31"/>
        <v>23.330300000000001</v>
      </c>
      <c r="AA94" s="69">
        <f t="shared" si="32"/>
        <v>23.2852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3"/>
        <v>0181-16</v>
      </c>
      <c r="AE94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94" s="96" t="str">
        <f t="shared" si="35"/>
        <v>"C:\Program Files (x86)\AstroGrep\AstroGrep.exe" /spath="%USERPROFILE%\AppData\Local\Temp\OnboardLogs" /stypes="app*4003*20160916*" /stext=" 20:.+((SYSTEM_STATE.+slice.+state.+changed )|(ment ac)|(system.+state.+changed )|(\|lc)|(penalty)|(\[timeout)|(PRM\|1\|D)|(kpr)|(kdp))" /e /r /s</v>
      </c>
      <c r="AG94" s="1" t="str">
        <f t="shared" si="36"/>
        <v>EC</v>
      </c>
      <c r="AH94" s="100" t="str">
        <f t="shared" si="37"/>
        <v>"%USERPROFILE%\Documents\GitHub\eaglep3\Utilities\RefineRTDCRunTimes.py" --tripid 181-16 --locoid 4003 --swversion DE.1.0.7.0 --startMP 204:451 --initTime 2016-09-16T13:40:21 --startdatetime 2016-09-16T13:45:30 --delay 1 --endMP 204:233303 --enddatetime 2016-09-16T14:21:29 --enforcementcount 0 &gt;&gt;C:\Users\stu\Documents\GitHub\eaglep3-reporting\EC\2016-09-16-refined-times.txt</v>
      </c>
      <c r="AI9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{"issue":{"subject":"","project_id":79,"tracker_id":40,"status_id":1,"priority_id":2,"assigned_to_id":23,"start_date":"2016-09-16","description":"","custom_fields":[{"id":1,"name":"Subdivision","value":"EC"},{"id":4,"name":"Milepost","value":"23.3303"},{"id":17,"name":"Train ID","value":"181-16"},{"id":16,"name":"Locomotive ID","value":"4003"},{"id":130,"name":"Impact","value":""},{"id":150,"name":"Time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512</v>
      </c>
      <c r="B95" s="7">
        <v>4004</v>
      </c>
      <c r="C95" s="24" t="s">
        <v>107</v>
      </c>
      <c r="D95" s="24" t="s">
        <v>242</v>
      </c>
      <c r="E95" s="15">
        <v>42629.607488425929</v>
      </c>
      <c r="F95" s="15">
        <v>42629.612129629626</v>
      </c>
      <c r="G95" s="7">
        <v>1</v>
      </c>
      <c r="H95" s="15" t="s">
        <v>238</v>
      </c>
      <c r="I95" s="15">
        <v>42629.639861111114</v>
      </c>
      <c r="J95" s="7">
        <v>0</v>
      </c>
      <c r="K95" s="121" t="str">
        <f t="shared" si="23"/>
        <v>4003/4004</v>
      </c>
      <c r="L95" s="24" t="str">
        <f>VLOOKUP(A95,'Trips&amp;Operators'!$C$1:$E$10000,3,FALSE)</f>
        <v>HAITHCOX</v>
      </c>
      <c r="M95" s="6">
        <f t="shared" si="24"/>
        <v>2.7731481488444842E-2</v>
      </c>
      <c r="N95" s="7">
        <f t="shared" si="41"/>
        <v>39.933333343360573</v>
      </c>
      <c r="O95" s="7"/>
      <c r="P95" s="7"/>
      <c r="Q95" s="25"/>
      <c r="R95" s="25"/>
      <c r="S95" s="37">
        <f t="shared" si="42"/>
        <v>1</v>
      </c>
      <c r="T95" s="52" t="str">
        <f t="shared" si="27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13:34:47-0600',mode:absolute,to:'2016-09-16 16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5" s="54" t="str">
        <f t="shared" si="29"/>
        <v>N</v>
      </c>
      <c r="X95" s="168">
        <f t="shared" si="40"/>
        <v>1</v>
      </c>
      <c r="Y95" s="69">
        <f t="shared" si="30"/>
        <v>23.298400000000001</v>
      </c>
      <c r="Z95" s="69">
        <f t="shared" si="31"/>
        <v>1.3899999999999999E-2</v>
      </c>
      <c r="AA95" s="69">
        <f t="shared" si="32"/>
        <v>23.284500000000001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3"/>
        <v>0182-16</v>
      </c>
      <c r="AE95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95" s="96" t="str">
        <f t="shared" si="35"/>
        <v>"C:\Program Files (x86)\AstroGrep\AstroGrep.exe" /spath="%USERPROFILE%\AppData\Local\Temp\OnboardLogs" /stypes="app*4004*20160916*" /stext=" 21:.+((SYSTEM_STATE.+slice.+state.+changed )|(ment ac)|(system.+state.+changed )|(\|lc)|(penalty)|(\[timeout)|(PRM\|1\|D)|(kpr)|(kdp))" /e /r /s</v>
      </c>
      <c r="AG95" s="1" t="str">
        <f t="shared" si="36"/>
        <v>EC</v>
      </c>
      <c r="AH95" s="100" t="str">
        <f t="shared" si="37"/>
        <v>"%USERPROFILE%\Documents\GitHub\eaglep3\Utilities\RefineRTDCRunTimes.py" --tripid 182-16 --locoid 4004 --swversion DE.1.0.7.0 --startMP 204:232984 --initTime 2016-09-16T14:34:47 --startdatetime 2016-09-16T14:41:28 --delay 1 --endMP 204:139 --enddatetime 2016-09-16T15:21:24 --enforcementcount 0 &gt;&gt;C:\Users\stu\Documents\GitHub\eaglep3-reporting\EC\2016-09-16-refined-times.txt</v>
      </c>
      <c r="AI9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ID","value":"182-16"},{"id":16,"name":"Locomotive ID","value":"4004"},{"id":130,"name":"Impact","value":""},{"id":150,"name":"Time of Event (Mountain Time)","value":"15:21:24"},{"id":151,"name":"Denver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506</v>
      </c>
      <c r="B96" s="7">
        <v>4020</v>
      </c>
      <c r="C96" s="24" t="s">
        <v>107</v>
      </c>
      <c r="D96" s="24" t="s">
        <v>331</v>
      </c>
      <c r="E96" s="15">
        <v>42629.579062500001</v>
      </c>
      <c r="F96" s="15">
        <v>42629.583703703705</v>
      </c>
      <c r="G96" s="7">
        <v>1</v>
      </c>
      <c r="H96" s="15" t="s">
        <v>338</v>
      </c>
      <c r="I96" s="15">
        <v>42629.609571759262</v>
      </c>
      <c r="J96" s="7">
        <v>0</v>
      </c>
      <c r="K96" s="121" t="str">
        <f t="shared" si="23"/>
        <v>4019/4020</v>
      </c>
      <c r="L96" s="24" t="str">
        <f>VLOOKUP(A96,'Trips&amp;Operators'!$C$1:$E$10000,3,FALSE)</f>
        <v>SWANSON</v>
      </c>
      <c r="M96" s="6">
        <f t="shared" si="24"/>
        <v>2.5868055556202307E-2</v>
      </c>
      <c r="N96" s="7">
        <f t="shared" si="41"/>
        <v>37.250000000931323</v>
      </c>
      <c r="O96" s="7"/>
      <c r="P96" s="7"/>
      <c r="Q96" s="25"/>
      <c r="R96" s="25"/>
      <c r="S96" s="37">
        <f t="shared" si="42"/>
        <v>1</v>
      </c>
      <c r="T96" s="52" t="str">
        <f t="shared" si="27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12:53:51-0600',mode:absolute,to:'2016-09-16 15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6" s="54" t="str">
        <f t="shared" si="29"/>
        <v>N</v>
      </c>
      <c r="X96" s="168">
        <f t="shared" si="40"/>
        <v>1</v>
      </c>
      <c r="Y96" s="69">
        <f t="shared" si="30"/>
        <v>4.4200000000000003E-2</v>
      </c>
      <c r="Z96" s="69">
        <f t="shared" si="31"/>
        <v>23.3264</v>
      </c>
      <c r="AA96" s="69">
        <f t="shared" si="32"/>
        <v>23.2822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3"/>
        <v>0183-16</v>
      </c>
      <c r="AE96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96" s="96" t="str">
        <f t="shared" si="35"/>
        <v>"C:\Program Files (x86)\AstroGrep\AstroGrep.exe" /spath="%USERPROFILE%\AppData\Local\Temp\OnboardLogs" /stypes="app*4020*20160916*" /stext=" 20:.+((SYSTEM_STATE.+slice.+state.+changed )|(ment ac)|(system.+state.+changed )|(\|lc)|(penalty)|(\[timeout)|(PRM\|1\|D)|(kpr)|(kdp))" /e /r /s</v>
      </c>
      <c r="AG96" s="1" t="str">
        <f t="shared" si="36"/>
        <v>EC</v>
      </c>
      <c r="AH96" s="100" t="str">
        <f t="shared" si="37"/>
        <v>"%USERPROFILE%\Documents\GitHub\eaglep3\Utilities\RefineRTDCRunTimes.py" --tripid 183-16 --locoid 4020 --swversion DE.1.0.7.0 --startMP 204:442 --initTime 2016-09-16T13:53:51 --startdatetime 2016-09-16T14:00:32 --delay 1 --endMP 204:233264 --enddatetime 2016-09-16T14:37:47 --enforcementcount 0 &gt;&gt;C:\Users\stu\Documents\GitHub\eaglep3-reporting\EC\2016-09-16-refined-times.txt</v>
      </c>
      <c r="AI9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{"issue":{"subject":"","project_id":79,"tracker_id":40,"status_id":1,"priority_id":2,"assigned_to_id":23,"start_date":"2016-09-16","description":"","custom_fields":[{"id":1,"name":"Subdivision","value":"EC"},{"id":4,"name":"Milepost","value":"23.3264"},{"id":17,"name":"Train ID","value":"183-16"},{"id":16,"name":"Locomotive ID","value":"4020"},{"id":130,"name":"Impact","value":""},{"id":150,"name":"Time of Event (Mountain Time)","value":"14:37:47"},{"id":151,"name":"Denver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515</v>
      </c>
      <c r="B97" s="7">
        <v>4019</v>
      </c>
      <c r="C97" s="24" t="s">
        <v>107</v>
      </c>
      <c r="D97" s="24" t="s">
        <v>633</v>
      </c>
      <c r="E97" s="15">
        <v>42629.612430555557</v>
      </c>
      <c r="F97" s="15">
        <v>42629.622766203705</v>
      </c>
      <c r="G97" s="7">
        <v>1</v>
      </c>
      <c r="H97" s="15" t="s">
        <v>218</v>
      </c>
      <c r="I97" s="15">
        <v>42629.651388888888</v>
      </c>
      <c r="J97" s="7">
        <v>0</v>
      </c>
      <c r="K97" s="121" t="str">
        <f t="shared" si="23"/>
        <v>4019/4020</v>
      </c>
      <c r="L97" s="24" t="str">
        <f>VLOOKUP(A97,'Trips&amp;Operators'!$C$1:$E$10000,3,FALSE)</f>
        <v>SWANSON</v>
      </c>
      <c r="M97" s="6">
        <f t="shared" si="24"/>
        <v>2.8622685182199348E-2</v>
      </c>
      <c r="N97" s="7">
        <f t="shared" si="41"/>
        <v>41.216666662367061</v>
      </c>
      <c r="O97" s="7"/>
      <c r="P97" s="7"/>
      <c r="Q97" s="25"/>
      <c r="R97" s="25"/>
      <c r="S97" s="37">
        <f t="shared" si="42"/>
        <v>1</v>
      </c>
      <c r="T97" s="52" t="str">
        <f t="shared" si="27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13:41:54-0600',mode:absolute,to:'2016-09-16 16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7" s="54" t="str">
        <f t="shared" si="29"/>
        <v>N</v>
      </c>
      <c r="X97" s="168">
        <f t="shared" si="40"/>
        <v>1</v>
      </c>
      <c r="Y97" s="69">
        <f t="shared" si="30"/>
        <v>23.294899999999998</v>
      </c>
      <c r="Z97" s="69">
        <f t="shared" si="31"/>
        <v>1.49E-2</v>
      </c>
      <c r="AA97" s="69">
        <f t="shared" si="32"/>
        <v>23.279999999999998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3"/>
        <v>0184-16</v>
      </c>
      <c r="AE97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97" s="96" t="str">
        <f t="shared" si="35"/>
        <v>"C:\Program Files (x86)\AstroGrep\AstroGrep.exe" /spath="%USERPROFILE%\AppData\Local\Temp\OnboardLogs" /stypes="app*4019*20160916*" /stext=" 21:.+((SYSTEM_STATE.+slice.+state.+changed )|(ment ac)|(system.+state.+changed )|(\|lc)|(penalty)|(\[timeout)|(PRM\|1\|D)|(kpr)|(kdp))" /e /r /s</v>
      </c>
      <c r="AG97" s="1" t="str">
        <f t="shared" si="36"/>
        <v>EC</v>
      </c>
      <c r="AH97" s="100" t="str">
        <f t="shared" si="37"/>
        <v>"%USERPROFILE%\Documents\GitHub\eaglep3\Utilities\RefineRTDCRunTimes.py" --tripid 184-16 --locoid 4019 --swversion DE.1.0.7.0 --startMP 204:232949 --initTime 2016-09-16T14:41:54 --startdatetime 2016-09-16T14:56:47 --delay 1 --endMP 204:149 --enddatetime 2016-09-16T15:38:00 --enforcementcount 0 &gt;&gt;C:\Users\stu\Documents\GitHub\eaglep3-reporting\EC\2016-09-16-refined-times.txt</v>
      </c>
      <c r="AI9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ID","value":"184-16"},{"id":16,"name":"Locomotive ID","value":"4019"},{"id":130,"name":"Impact","value":""},{"id":150,"name":"Time of Event (Mountain Time)","value":"15:38:00"},{"id":151,"name":"Denver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509</v>
      </c>
      <c r="B98" s="7">
        <v>4038</v>
      </c>
      <c r="C98" s="24" t="s">
        <v>107</v>
      </c>
      <c r="D98" s="24" t="s">
        <v>231</v>
      </c>
      <c r="E98" s="15">
        <v>42629.58929398148</v>
      </c>
      <c r="F98" s="15">
        <v>42629.594027777777</v>
      </c>
      <c r="G98" s="7">
        <v>1</v>
      </c>
      <c r="H98" s="15" t="s">
        <v>273</v>
      </c>
      <c r="I98" s="15">
        <v>42629.61855324074</v>
      </c>
      <c r="J98" s="7">
        <v>0</v>
      </c>
      <c r="K98" s="121" t="str">
        <f t="shared" si="23"/>
        <v>4037/4038</v>
      </c>
      <c r="L98" s="24" t="str">
        <f>VLOOKUP(A98,'Trips&amp;Operators'!$C$1:$E$10000,3,FALSE)</f>
        <v>HILLS</v>
      </c>
      <c r="M98" s="6">
        <f t="shared" si="24"/>
        <v>2.4525462962628808E-2</v>
      </c>
      <c r="N98" s="7">
        <f t="shared" si="41"/>
        <v>35.316666666185483</v>
      </c>
      <c r="O98" s="7"/>
      <c r="P98" s="7"/>
      <c r="Q98" s="25"/>
      <c r="R98" s="25"/>
      <c r="S98" s="37">
        <f t="shared" si="42"/>
        <v>1</v>
      </c>
      <c r="T98" s="52" t="str">
        <f t="shared" si="27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13:08:35-0600',mode:absolute,to:'2016-09-16 15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8" s="54" t="str">
        <f t="shared" si="29"/>
        <v>N</v>
      </c>
      <c r="X98" s="168">
        <f t="shared" si="40"/>
        <v>1</v>
      </c>
      <c r="Y98" s="69">
        <f t="shared" si="30"/>
        <v>4.6600000000000003E-2</v>
      </c>
      <c r="Z98" s="69">
        <f t="shared" si="31"/>
        <v>23.329899999999999</v>
      </c>
      <c r="AA98" s="69">
        <f t="shared" si="32"/>
        <v>23.283299999999997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3"/>
        <v>0185-16</v>
      </c>
      <c r="AE98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98" s="96" t="str">
        <f t="shared" si="35"/>
        <v>"C:\Program Files (x86)\AstroGrep\AstroGrep.exe" /spath="%USERPROFILE%\AppData\Local\Temp\OnboardLogs" /stypes="app*4038*20160916*" /stext=" 20:.+((SYSTEM_STATE.+slice.+state.+changed )|(ment ac)|(system.+state.+changed )|(\|lc)|(penalty)|(\[timeout)|(PRM\|1\|D)|(kpr)|(kdp))" /e /r /s</v>
      </c>
      <c r="AG98" s="1" t="str">
        <f t="shared" si="36"/>
        <v>EC</v>
      </c>
      <c r="AH98" s="100" t="str">
        <f t="shared" si="37"/>
        <v>"%USERPROFILE%\Documents\GitHub\eaglep3\Utilities\RefineRTDCRunTimes.py" --tripid 185-16 --locoid 4038 --swversion DE.1.0.7.0 --startMP 204:466 --initTime 2016-09-16T14:08:35 --startdatetime 2016-09-16T14:15:24 --delay 1 --endMP 204:233299 --enddatetime 2016-09-16T14:50:43 --enforcementcount 0 &gt;&gt;C:\Users\stu\Documents\GitHub\eaglep3-reporting\EC\2016-09-16-refined-times.txt</v>
      </c>
      <c r="AI9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ID","value":"185-16"},{"id":16,"name":"Locomotive ID","value":"4038"},{"id":130,"name":"Impact","value":""},{"id":150,"name":"Time of Event (Mountain Time)","value":"14:50:43"},{"id":151,"name":"Denver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516</v>
      </c>
      <c r="B99" s="7">
        <v>4037</v>
      </c>
      <c r="C99" s="24" t="s">
        <v>107</v>
      </c>
      <c r="D99" s="24" t="s">
        <v>342</v>
      </c>
      <c r="E99" s="15">
        <v>42629.620185185187</v>
      </c>
      <c r="F99" s="15">
        <v>42629.632789351854</v>
      </c>
      <c r="G99" s="7">
        <v>1</v>
      </c>
      <c r="H99" s="15" t="s">
        <v>245</v>
      </c>
      <c r="I99" s="15">
        <v>42629.660474537035</v>
      </c>
      <c r="J99" s="7">
        <v>0</v>
      </c>
      <c r="K99" s="121" t="str">
        <f t="shared" si="23"/>
        <v>4037/4038</v>
      </c>
      <c r="L99" s="24" t="str">
        <f>VLOOKUP(A99,'Trips&amp;Operators'!$C$1:$E$10000,3,FALSE)</f>
        <v>HILLS</v>
      </c>
      <c r="M99" s="6">
        <f t="shared" si="24"/>
        <v>2.7685185181326233E-2</v>
      </c>
      <c r="N99" s="7">
        <f t="shared" si="41"/>
        <v>39.866666661109775</v>
      </c>
      <c r="O99" s="7"/>
      <c r="P99" s="7"/>
      <c r="Q99" s="25"/>
      <c r="R99" s="25"/>
      <c r="S99" s="37">
        <f t="shared" si="42"/>
        <v>1</v>
      </c>
      <c r="T99" s="52" t="str">
        <f t="shared" si="27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13:53:04-0600',mode:absolute,to:'2016-09-16 16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9" s="54" t="str">
        <f t="shared" si="29"/>
        <v>N</v>
      </c>
      <c r="X99" s="168">
        <f t="shared" si="40"/>
        <v>1</v>
      </c>
      <c r="Y99" s="69">
        <f t="shared" si="30"/>
        <v>23.3001</v>
      </c>
      <c r="Z99" s="69">
        <f t="shared" si="31"/>
        <v>1.41E-2</v>
      </c>
      <c r="AA99" s="69">
        <f t="shared" si="32"/>
        <v>23.286000000000001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3"/>
        <v>0186-16</v>
      </c>
      <c r="AE99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99" s="96" t="str">
        <f t="shared" si="35"/>
        <v>"C:\Program Files (x86)\AstroGrep\AstroGrep.exe" /spath="%USERPROFILE%\AppData\Local\Temp\OnboardLogs" /stypes="app*4037*20160916*" /stext=" 21:.+((SYSTEM_STATE.+slice.+state.+changed )|(ment ac)|(system.+state.+changed )|(\|lc)|(penalty)|(\[timeout)|(PRM\|1\|D)|(kpr)|(kdp))" /e /r /s</v>
      </c>
      <c r="AG99" s="1" t="str">
        <f t="shared" si="36"/>
        <v>EC</v>
      </c>
      <c r="AH99" s="100" t="str">
        <f t="shared" si="37"/>
        <v>"%USERPROFILE%\Documents\GitHub\eaglep3\Utilities\RefineRTDCRunTimes.py" --tripid 186-16 --locoid 4037 --swversion DE.1.0.7.0 --startMP 204:233001 --initTime 2016-09-16T14:53:04 --startdatetime 2016-09-16T15:11:13 --delay 1 --endMP 204:141 --enddatetime 2016-09-16T15:51:05 --enforcementcount 0 &gt;&gt;C:\Users\stu\Documents\GitHub\eaglep3-reporting\EC\2016-09-16-refined-times.txt</v>
      </c>
      <c r="AI9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ID","value":"186-16"},{"id":16,"name":"Locomotive ID","value":"4037"},{"id":130,"name":"Impact","value":""},{"id":150,"name":"Time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511</v>
      </c>
      <c r="B100" s="7">
        <v>4002</v>
      </c>
      <c r="C100" s="24" t="s">
        <v>107</v>
      </c>
      <c r="D100" s="24" t="s">
        <v>231</v>
      </c>
      <c r="E100" s="15">
        <v>42629.600300925929</v>
      </c>
      <c r="F100" s="15">
        <v>42629.60460648148</v>
      </c>
      <c r="G100" s="7">
        <v>1</v>
      </c>
      <c r="H100" s="15" t="s">
        <v>315</v>
      </c>
      <c r="I100" s="15">
        <v>42629.630949074075</v>
      </c>
      <c r="J100" s="7">
        <v>0</v>
      </c>
      <c r="K100" s="121" t="str">
        <f t="shared" si="23"/>
        <v>4001/4002</v>
      </c>
      <c r="L100" s="24" t="str">
        <f>VLOOKUP(A100,'Trips&amp;Operators'!$C$1:$E$10000,3,FALSE)</f>
        <v>STEWART</v>
      </c>
      <c r="M100" s="6">
        <f t="shared" si="24"/>
        <v>2.6342592595028691E-2</v>
      </c>
      <c r="N100" s="7">
        <f t="shared" si="41"/>
        <v>37.933333336841315</v>
      </c>
      <c r="O100" s="7"/>
      <c r="P100" s="7"/>
      <c r="Q100" s="25"/>
      <c r="R100" s="25"/>
      <c r="S100" s="37">
        <f t="shared" si="42"/>
        <v>1</v>
      </c>
      <c r="T100" s="52" t="str">
        <f t="shared" si="27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13:24:26-0600',mode:absolute,to:'2016-09-16 16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0" s="54" t="str">
        <f t="shared" si="29"/>
        <v>N</v>
      </c>
      <c r="X100" s="168">
        <f t="shared" si="40"/>
        <v>1</v>
      </c>
      <c r="Y100" s="69">
        <f t="shared" si="30"/>
        <v>4.6600000000000003E-2</v>
      </c>
      <c r="Z100" s="69">
        <f t="shared" si="31"/>
        <v>23.327999999999999</v>
      </c>
      <c r="AA100" s="69">
        <f t="shared" si="32"/>
        <v>23.281399999999998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3"/>
        <v>0187-16</v>
      </c>
      <c r="AE100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00" s="96" t="str">
        <f t="shared" si="35"/>
        <v>"C:\Program Files (x86)\AstroGrep\AstroGrep.exe" /spath="%USERPROFILE%\AppData\Local\Temp\OnboardLogs" /stypes="app*4002*20160916*" /stext=" 21:.+((SYSTEM_STATE.+slice.+state.+changed )|(ment ac)|(system.+state.+changed )|(\|lc)|(penalty)|(\[timeout)|(PRM\|1\|D)|(kpr)|(kdp))" /e /r /s</v>
      </c>
      <c r="AG100" s="1" t="str">
        <f t="shared" si="36"/>
        <v>EC</v>
      </c>
      <c r="AH100" s="100" t="str">
        <f t="shared" si="37"/>
        <v>"%USERPROFILE%\Documents\GitHub\eaglep3\Utilities\RefineRTDCRunTimes.py" --tripid 187-16 --locoid 4002 --swversion DE.1.0.7.0 --startMP 204:466 --initTime 2016-09-16T14:24:26 --startdatetime 2016-09-16T14:30:38 --delay 1 --endMP 204:233280 --enddatetime 2016-09-16T15:08:34 --enforcementcount 0 &gt;&gt;C:\Users\stu\Documents\GitHub\eaglep3-reporting\EC\2016-09-16-refined-times.txt</v>
      </c>
      <c r="AI10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{"issue":{"subject":"","project_id":79,"tracker_id":40,"status_id":1,"priority_id":2,"assigned_to_id":23,"start_date":"2016-09-16","description":"","custom_fields":[{"id":1,"name":"Subdivision","value":"EC"},{"id":4,"name":"Milepost","value":"23.328"},{"id":17,"name":"Train ID","value":"187-16"},{"id":16,"name":"Locomotive ID","value":"4002"},{"id":130,"name":"Impact","value":""},{"id":150,"name":"Time of Event (Mountain Time)","value":"15:08:34"},{"id":151,"name":"Denver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520</v>
      </c>
      <c r="B101" s="7">
        <v>4001</v>
      </c>
      <c r="C101" s="24" t="s">
        <v>107</v>
      </c>
      <c r="D101" s="24" t="s">
        <v>639</v>
      </c>
      <c r="E101" s="15">
        <v>42629.639421296299</v>
      </c>
      <c r="F101" s="15">
        <v>42629.643321759257</v>
      </c>
      <c r="G101" s="7">
        <v>5</v>
      </c>
      <c r="H101" s="15" t="s">
        <v>228</v>
      </c>
      <c r="I101" s="15">
        <v>42629.669849537036</v>
      </c>
      <c r="J101" s="7">
        <v>0</v>
      </c>
      <c r="K101" s="121" t="str">
        <f t="shared" si="23"/>
        <v>4001/4002</v>
      </c>
      <c r="L101" s="24" t="str">
        <f>VLOOKUP(A101,'Trips&amp;Operators'!$C$1:$E$10000,3,FALSE)</f>
        <v>STEWART</v>
      </c>
      <c r="M101" s="6">
        <f t="shared" si="24"/>
        <v>2.6527777779847383E-2</v>
      </c>
      <c r="N101" s="7">
        <f t="shared" si="41"/>
        <v>38.200000002980232</v>
      </c>
      <c r="O101" s="7"/>
      <c r="P101" s="7"/>
      <c r="Q101" s="25"/>
      <c r="R101" s="25"/>
      <c r="S101" s="37">
        <f t="shared" si="42"/>
        <v>1</v>
      </c>
      <c r="T101" s="52" t="str">
        <f t="shared" si="27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14:20:46-0600',mode:absolute,to:'2016-09-16 17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01" s="54" t="str">
        <f t="shared" si="29"/>
        <v>N</v>
      </c>
      <c r="X101" s="168">
        <f t="shared" si="40"/>
        <v>1</v>
      </c>
      <c r="Y101" s="69">
        <f t="shared" si="30"/>
        <v>23.296600000000002</v>
      </c>
      <c r="Z101" s="69">
        <f t="shared" si="31"/>
        <v>1.52E-2</v>
      </c>
      <c r="AA101" s="69">
        <f t="shared" si="32"/>
        <v>23.281400000000001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3"/>
        <v>0188-16</v>
      </c>
      <c r="AE101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01" s="96" t="str">
        <f t="shared" si="35"/>
        <v>"C:\Program Files (x86)\AstroGrep\AstroGrep.exe" /spath="%USERPROFILE%\AppData\Local\Temp\OnboardLogs" /stypes="app*4001*20160916*" /stext=" 22:.+((SYSTEM_STATE.+slice.+state.+changed )|(ment ac)|(system.+state.+changed )|(\|lc)|(penalty)|(\[timeout)|(PRM\|1\|D)|(kpr)|(kdp))" /e /r /s</v>
      </c>
      <c r="AG101" s="1" t="str">
        <f t="shared" si="36"/>
        <v>EC</v>
      </c>
      <c r="AH101" s="100" t="str">
        <f t="shared" si="37"/>
        <v>"%USERPROFILE%\Documents\GitHub\eaglep3\Utilities\RefineRTDCRunTimes.py" --tripid 188-16 --locoid 4001 --swversion DE.1.0.7.0 --startMP 204:232966 --initTime 2016-09-16T15:20:46 --startdatetime 2016-09-16T15:26:23 --delay 5 --endMP 204:152 --enddatetime 2016-09-16T16:04:35 --enforcementcount 0 &gt;&gt;C:\Users\stu\Documents\GitHub\eaglep3-reporting\EC\2016-09-16-refined-times.txt</v>
      </c>
      <c r="AI10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ID","value":"188-16"},{"id":16,"name":"Locomotive ID","value":"4001"},{"id":130,"name":"Impact","value":""},{"id":150,"name":"Time of Event (Mountain Time)","value":"16:04:35"},{"id":151,"name":"Denver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513</v>
      </c>
      <c r="B102" s="7">
        <v>4044</v>
      </c>
      <c r="C102" s="24" t="s">
        <v>107</v>
      </c>
      <c r="D102" s="24" t="s">
        <v>240</v>
      </c>
      <c r="E102" s="15">
        <v>42629.610613425924</v>
      </c>
      <c r="F102" s="15">
        <v>42629.614699074074</v>
      </c>
      <c r="G102" s="7">
        <v>1</v>
      </c>
      <c r="H102" s="15" t="s">
        <v>665</v>
      </c>
      <c r="I102" s="15">
        <v>42629.640567129631</v>
      </c>
      <c r="J102" s="7">
        <v>0</v>
      </c>
      <c r="K102" s="121" t="str">
        <f t="shared" si="23"/>
        <v>4043/4044</v>
      </c>
      <c r="L102" s="24" t="str">
        <f>VLOOKUP(A102,'Trips&amp;Operators'!$C$1:$E$10000,3,FALSE)</f>
        <v>CLARK</v>
      </c>
      <c r="M102" s="6">
        <f t="shared" si="24"/>
        <v>2.5868055556202307E-2</v>
      </c>
      <c r="N102" s="7">
        <f t="shared" si="41"/>
        <v>37.250000000931323</v>
      </c>
      <c r="O102" s="7"/>
      <c r="P102" s="7"/>
      <c r="Q102" s="25"/>
      <c r="R102" s="25"/>
      <c r="S102" s="37">
        <f t="shared" si="42"/>
        <v>1</v>
      </c>
      <c r="T102" s="52" t="str">
        <f t="shared" si="27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13:39:17-0600',mode:absolute,to:'2016-09-16 16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2" s="54" t="str">
        <f t="shared" si="29"/>
        <v>N</v>
      </c>
      <c r="X102" s="168">
        <f t="shared" si="40"/>
        <v>1</v>
      </c>
      <c r="Y102" s="69">
        <f t="shared" si="30"/>
        <v>4.58E-2</v>
      </c>
      <c r="Z102" s="69">
        <f t="shared" si="31"/>
        <v>23.3261</v>
      </c>
      <c r="AA102" s="69">
        <f t="shared" si="32"/>
        <v>23.2803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3"/>
        <v>0189-16</v>
      </c>
      <c r="AE102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02" s="96" t="str">
        <f t="shared" si="35"/>
        <v>"C:\Program Files (x86)\AstroGrep\AstroGrep.exe" /spath="%USERPROFILE%\AppData\Local\Temp\OnboardLogs" /stypes="app*4044*20160916*" /stext=" 21:.+((SYSTEM_STATE.+slice.+state.+changed )|(ment ac)|(system.+state.+changed )|(\|lc)|(penalty)|(\[timeout)|(PRM\|1\|D)|(kpr)|(kdp))" /e /r /s</v>
      </c>
      <c r="AG102" s="1" t="str">
        <f t="shared" si="36"/>
        <v>EC</v>
      </c>
      <c r="AH102" s="100" t="str">
        <f t="shared" si="37"/>
        <v>"%USERPROFILE%\Documents\GitHub\eaglep3\Utilities\RefineRTDCRunTimes.py" --tripid 189-16 --locoid 4044 --swversion DE.1.0.7.0 --startMP 204:458 --initTime 2016-09-16T14:39:17 --startdatetime 2016-09-16T14:45:10 --delay 1 --endMP 204:233261 --enddatetime 2016-09-16T15:22:25 --enforcementcount 0 &gt;&gt;C:\Users\stu\Documents\GitHub\eaglep3-reporting\EC\2016-09-16-refined-times.txt</v>
      </c>
      <c r="AI10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{"issue":{"subject":"","project_id":79,"tracker_id":40,"status_id":1,"priority_id":2,"assigned_to_id":23,"start_date":"2016-09-16","description":"","custom_fields":[{"id":1,"name":"Subdivision","value":"EC"},{"id":4,"name":"Milepost","value":"23.3261"},{"id":17,"name":"Train ID","value":"189-16"},{"id":16,"name":"Locomotive ID","value":"4044"},{"id":130,"name":"Impact","value":""},{"id":150,"name":"Time of Event (Mountain Time)","value":"15:22:25"},{"id":151,"name":"Denver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525</v>
      </c>
      <c r="B103" s="7">
        <v>4043</v>
      </c>
      <c r="C103" s="24" t="s">
        <v>107</v>
      </c>
      <c r="D103" s="24" t="s">
        <v>333</v>
      </c>
      <c r="E103" s="15">
        <v>42629.647858796299</v>
      </c>
      <c r="F103" s="15">
        <v>42629.653634259259</v>
      </c>
      <c r="G103" s="7">
        <v>1</v>
      </c>
      <c r="H103" s="15" t="s">
        <v>666</v>
      </c>
      <c r="I103" s="15">
        <v>42629.681909722225</v>
      </c>
      <c r="J103" s="7">
        <v>0</v>
      </c>
      <c r="K103" s="121" t="str">
        <f t="shared" si="23"/>
        <v>4043/4044</v>
      </c>
      <c r="L103" s="24" t="str">
        <f>VLOOKUP(A103,'Trips&amp;Operators'!$C$1:$E$10000,3,FALSE)</f>
        <v>CLARK</v>
      </c>
      <c r="M103" s="6">
        <f t="shared" si="24"/>
        <v>2.8275462966121268E-2</v>
      </c>
      <c r="N103" s="7">
        <f t="shared" si="41"/>
        <v>40.716666671214625</v>
      </c>
      <c r="O103" s="7"/>
      <c r="P103" s="7"/>
      <c r="Q103" s="25"/>
      <c r="R103" s="25"/>
      <c r="S103" s="37">
        <f t="shared" si="42"/>
        <v>1</v>
      </c>
      <c r="T103" s="52" t="str">
        <f t="shared" si="27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14:32:55-0600',mode:absolute,to:'2016-09-16 17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3" s="54" t="str">
        <f t="shared" si="29"/>
        <v>N</v>
      </c>
      <c r="X103" s="168">
        <f t="shared" si="40"/>
        <v>1</v>
      </c>
      <c r="Y103" s="69">
        <f t="shared" si="30"/>
        <v>23.295300000000001</v>
      </c>
      <c r="Z103" s="69">
        <f t="shared" si="31"/>
        <v>1.6500000000000001E-2</v>
      </c>
      <c r="AA103" s="69">
        <f t="shared" si="32"/>
        <v>23.2788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3"/>
        <v>0190-16</v>
      </c>
      <c r="AE103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03" s="96" t="str">
        <f t="shared" si="35"/>
        <v>"C:\Program Files (x86)\AstroGrep\AstroGrep.exe" /spath="%USERPROFILE%\AppData\Local\Temp\OnboardLogs" /stypes="app*4043*20160916*" /stext=" 22:.+((SYSTEM_STATE.+slice.+state.+changed )|(ment ac)|(system.+state.+changed )|(\|lc)|(penalty)|(\[timeout)|(PRM\|1\|D)|(kpr)|(kdp))" /e /r /s</v>
      </c>
      <c r="AG103" s="1" t="str">
        <f t="shared" si="36"/>
        <v>EC</v>
      </c>
      <c r="AH103" s="100" t="str">
        <f t="shared" si="37"/>
        <v>"%USERPROFILE%\Documents\GitHub\eaglep3\Utilities\RefineRTDCRunTimes.py" --tripid 190-16 --locoid 4043 --swversion DE.1.0.7.0 --startMP 204:232953 --initTime 2016-09-16T15:32:55 --startdatetime 2016-09-16T15:41:14 --delay 1 --endMP 204:165 --enddatetime 2016-09-16T16:21:57 --enforcementcount 0 &gt;&gt;C:\Users\stu\Documents\GitHub\eaglep3-reporting\EC\2016-09-16-refined-times.txt</v>
      </c>
      <c r="AI10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{"issue":{"subject":"","project_id":79,"tracker_id":40,"status_id":1,"priority_id":2,"assigned_to_id":23,"start_date":"2016-09-16","description":"","custom_fields":[{"id":1,"name":"Subdivision","value":"EC"},{"id":4,"name":"Milepost","value":"0.0165"},{"id":17,"name":"Train ID","value":"190-16"},{"id":16,"name":"Locomotive ID","value":"4043"},{"id":130,"name":"Impact","value":""},{"id":150,"name":"Time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517</v>
      </c>
      <c r="B104" s="7">
        <v>4009</v>
      </c>
      <c r="C104" s="24" t="s">
        <v>107</v>
      </c>
      <c r="D104" s="24" t="s">
        <v>353</v>
      </c>
      <c r="E104" s="15">
        <v>42629.621365740742</v>
      </c>
      <c r="F104" s="15">
        <v>42629.625254629631</v>
      </c>
      <c r="G104" s="7">
        <v>1</v>
      </c>
      <c r="H104" s="15" t="s">
        <v>305</v>
      </c>
      <c r="I104" s="15">
        <v>42629.650995370372</v>
      </c>
      <c r="J104" s="7">
        <v>0</v>
      </c>
      <c r="K104" s="121" t="str">
        <f t="shared" si="23"/>
        <v>4009/4010</v>
      </c>
      <c r="L104" s="24" t="str">
        <f>VLOOKUP(A104,'Trips&amp;Operators'!$C$1:$E$10000,3,FALSE)</f>
        <v>BONDS</v>
      </c>
      <c r="M104" s="6">
        <f t="shared" si="24"/>
        <v>2.5740740740729962E-2</v>
      </c>
      <c r="N104" s="7">
        <f t="shared" si="41"/>
        <v>37.066666666651145</v>
      </c>
      <c r="O104" s="7"/>
      <c r="P104" s="7"/>
      <c r="Q104" s="25"/>
      <c r="R104" s="25"/>
      <c r="S104" s="37">
        <f t="shared" si="42"/>
        <v>1</v>
      </c>
      <c r="T104" s="52" t="str">
        <f t="shared" si="27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13:54:46-0600',mode:absolute,to:'2016-09-16 16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4" s="54" t="str">
        <f t="shared" si="29"/>
        <v>N</v>
      </c>
      <c r="X104" s="168">
        <f t="shared" si="40"/>
        <v>1</v>
      </c>
      <c r="Y104" s="69">
        <f t="shared" si="30"/>
        <v>4.7699999999999999E-2</v>
      </c>
      <c r="Z104" s="69">
        <f t="shared" si="31"/>
        <v>23.3276</v>
      </c>
      <c r="AA104" s="69">
        <f t="shared" si="32"/>
        <v>23.279900000000001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3"/>
        <v>0191-16</v>
      </c>
      <c r="AE104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04" s="96" t="str">
        <f t="shared" si="35"/>
        <v>"C:\Program Files (x86)\AstroGrep\AstroGrep.exe" /spath="%USERPROFILE%\AppData\Local\Temp\OnboardLogs" /stypes="app*4009*20160916*" /stext=" 21:.+((SYSTEM_STATE.+slice.+state.+changed )|(ment ac)|(system.+state.+changed )|(\|lc)|(penalty)|(\[timeout)|(PRM\|1\|D)|(kpr)|(kdp))" /e /r /s</v>
      </c>
      <c r="AG104" s="1" t="str">
        <f t="shared" si="36"/>
        <v>EC</v>
      </c>
      <c r="AH104" s="100" t="str">
        <f t="shared" si="37"/>
        <v>"%USERPROFILE%\Documents\GitHub\eaglep3\Utilities\RefineRTDCRunTimes.py" --tripid 191-16 --locoid 4009 --swversion DE.1.0.7.0 --startMP 204:477 --initTime 2016-09-16T14:54:46 --startdatetime 2016-09-16T15:00:22 --delay 1 --endMP 204:233276 --enddatetime 2016-09-16T15:37:26 --enforcementcount 0 &gt;&gt;C:\Users\stu\Documents\GitHub\eaglep3-reporting\EC\2016-09-16-refined-times.txt</v>
      </c>
      <c r="AI10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{"issue":{"subject":"","project_id":79,"tracker_id":40,"status_id":1,"priority_id":2,"assigned_to_id":23,"start_date":"2016-09-16","description":"","custom_fields":[{"id":1,"name":"Subdivision","value":"EC"},{"id":4,"name":"Milepost","value":"23.3276"},{"id":17,"name":"Train ID","value":"191-16"},{"id":16,"name":"Locomotive ID","value":"4009"},{"id":130,"name":"Impact","value":""},{"id":150,"name":"Time of Event (Mountain Time)","value":"15:37:26"},{"id":151,"name":"Denver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529</v>
      </c>
      <c r="B105" s="7">
        <v>4010</v>
      </c>
      <c r="C105" s="24" t="s">
        <v>107</v>
      </c>
      <c r="D105" s="24" t="s">
        <v>333</v>
      </c>
      <c r="E105" s="15">
        <v>42629.656319444446</v>
      </c>
      <c r="F105" s="15">
        <v>42629.664525462962</v>
      </c>
      <c r="G105" s="7">
        <v>1</v>
      </c>
      <c r="H105" s="15" t="s">
        <v>341</v>
      </c>
      <c r="I105" s="15">
        <v>42629.691388888888</v>
      </c>
      <c r="J105" s="7">
        <v>0</v>
      </c>
      <c r="K105" s="121" t="str">
        <f t="shared" si="23"/>
        <v>4009/4010</v>
      </c>
      <c r="L105" s="24" t="str">
        <f>VLOOKUP(A105,'Trips&amp;Operators'!$C$1:$E$10000,3,FALSE)</f>
        <v>BONDS</v>
      </c>
      <c r="M105" s="6">
        <f t="shared" si="24"/>
        <v>2.6863425926421769E-2</v>
      </c>
      <c r="N105" s="7">
        <f t="shared" si="41"/>
        <v>38.683333334047347</v>
      </c>
      <c r="O105" s="7"/>
      <c r="P105" s="7"/>
      <c r="Q105" s="25"/>
      <c r="R105" s="25"/>
      <c r="S105" s="37">
        <f t="shared" si="42"/>
        <v>1</v>
      </c>
      <c r="T105" s="52" t="str">
        <f t="shared" si="27"/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14:45:06-0600',mode:absolute,to:'2016-09-16 17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5" s="54" t="str">
        <f t="shared" si="29"/>
        <v>N</v>
      </c>
      <c r="X105" s="168">
        <f t="shared" si="40"/>
        <v>1</v>
      </c>
      <c r="Y105" s="69">
        <f t="shared" si="30"/>
        <v>23.295300000000001</v>
      </c>
      <c r="Z105" s="69">
        <f t="shared" si="31"/>
        <v>1.7399999999999999E-2</v>
      </c>
      <c r="AA105" s="69">
        <f t="shared" si="32"/>
        <v>23.277900000000002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3"/>
        <v>0192-16</v>
      </c>
      <c r="AE105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05" s="96" t="str">
        <f t="shared" si="35"/>
        <v>"C:\Program Files (x86)\AstroGrep\AstroGrep.exe" /spath="%USERPROFILE%\AppData\Local\Temp\OnboardLogs" /stypes="app*4010*20160916*" /stext=" 22:.+((SYSTEM_STATE.+slice.+state.+changed )|(ment ac)|(system.+state.+changed )|(\|lc)|(penalty)|(\[timeout)|(PRM\|1\|D)|(kpr)|(kdp))" /e /r /s</v>
      </c>
      <c r="AG105" s="1" t="str">
        <f t="shared" si="36"/>
        <v>EC</v>
      </c>
      <c r="AH105" s="100" t="str">
        <f t="shared" si="37"/>
        <v>"%USERPROFILE%\Documents\GitHub\eaglep3\Utilities\RefineRTDCRunTimes.py" --tripid 192-16 --locoid 4010 --swversion DE.1.0.7.0 --startMP 204:232953 --initTime 2016-09-16T15:45:06 --startdatetime 2016-09-16T15:56:55 --delay 1 --endMP 204:174 --enddatetime 2016-09-16T16:35:36 --enforcementcount 0 &gt;&gt;C:\Users\stu\Documents\GitHub\eaglep3-reporting\EC\2016-09-16-refined-times.txt</v>
      </c>
      <c r="AI10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{"issue":{"subject":"","project_id":79,"tracker_id":40,"status_id":1,"priority_id":2,"assigned_to_id":23,"start_date":"2016-09-16","description":"","custom_fields":[{"id":1,"name":"Subdivision","value":"EC"},{"id":4,"name":"Milepost","value":"0.0174"},{"id":17,"name":"Train ID","value":"192-16"},{"id":16,"name":"Locomotive ID","value":"4010"},{"id":130,"name":"Impact","value":""},{"id":150,"name":"Time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519</v>
      </c>
      <c r="B106" s="7">
        <v>4018</v>
      </c>
      <c r="C106" s="24" t="s">
        <v>107</v>
      </c>
      <c r="D106" s="24" t="s">
        <v>275</v>
      </c>
      <c r="E106" s="15">
        <v>42629.6328587963</v>
      </c>
      <c r="F106" s="15">
        <v>42629.635601851849</v>
      </c>
      <c r="G106" s="7">
        <v>1</v>
      </c>
      <c r="H106" s="15" t="s">
        <v>227</v>
      </c>
      <c r="I106" s="15">
        <v>42629.660856481481</v>
      </c>
      <c r="J106" s="7">
        <v>0</v>
      </c>
      <c r="K106" s="121" t="str">
        <f t="shared" si="23"/>
        <v>4017/4018</v>
      </c>
      <c r="L106" s="24" t="str">
        <f>VLOOKUP(A106,'Trips&amp;Operators'!$C$1:$E$10000,3,FALSE)</f>
        <v>MOSES</v>
      </c>
      <c r="M106" s="6">
        <f t="shared" si="24"/>
        <v>2.5254629632399883E-2</v>
      </c>
      <c r="N106" s="7">
        <f t="shared" si="41"/>
        <v>36.366666670655832</v>
      </c>
      <c r="O106" s="7"/>
      <c r="P106" s="7"/>
      <c r="Q106" s="25"/>
      <c r="R106" s="25"/>
      <c r="S106" s="37">
        <f t="shared" si="42"/>
        <v>1</v>
      </c>
      <c r="T106" s="52" t="str">
        <f t="shared" si="27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14:11:19-0600',mode:absolute,to:'2016-09-16 16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6" s="54" t="str">
        <f t="shared" si="29"/>
        <v>N</v>
      </c>
      <c r="X106" s="168">
        <f t="shared" si="40"/>
        <v>1</v>
      </c>
      <c r="Y106" s="69">
        <f t="shared" si="30"/>
        <v>4.6199999999999998E-2</v>
      </c>
      <c r="Z106" s="69">
        <f t="shared" si="31"/>
        <v>23.3291</v>
      </c>
      <c r="AA106" s="69">
        <f t="shared" si="32"/>
        <v>23.282900000000001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3"/>
        <v>0193-16</v>
      </c>
      <c r="AE106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106" s="96" t="str">
        <f t="shared" si="35"/>
        <v>"C:\Program Files (x86)\AstroGrep\AstroGrep.exe" /spath="%USERPROFILE%\AppData\Local\Temp\OnboardLogs" /stypes="app*4018*20160916*" /stext=" 21:.+((SYSTEM_STATE.+slice.+state.+changed )|(ment ac)|(system.+state.+changed )|(\|lc)|(penalty)|(\[timeout)|(PRM\|1\|D)|(kpr)|(kdp))" /e /r /s</v>
      </c>
      <c r="AG106" s="1" t="str">
        <f t="shared" si="36"/>
        <v>EC</v>
      </c>
      <c r="AH106" s="100" t="str">
        <f t="shared" si="37"/>
        <v>"%USERPROFILE%\Documents\GitHub\eaglep3\Utilities\RefineRTDCRunTimes.py" --tripid 193-16 --locoid 4018 --swversion DE.1.0.7.0 --startMP 204:462 --initTime 2016-09-16T15:11:19 --startdatetime 2016-09-16T15:15:16 --delay 1 --endMP 204:233291 --enddatetime 2016-09-16T15:51:38 --enforcementcount 0 &gt;&gt;C:\Users\stu\Documents\GitHub\eaglep3-reporting\EC\2016-09-16-refined-times.txt</v>
      </c>
      <c r="AI10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{"issue":{"subject":"","project_id":79,"tracker_id":40,"status_id":1,"priority_id":2,"assigned_to_id":23,"start_date":"2016-09-16","description":"","custom_fields":[{"id":1,"name":"Subdivision","value":"EC"},{"id":4,"name":"Milepost","value":"23.3291"},{"id":17,"name":"Train ID","value":"193-16"},{"id":16,"name":"Locomotive ID","value":"4018"},{"id":130,"name":"Impact","value":""},{"id":150,"name":"Time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532</v>
      </c>
      <c r="B107" s="7">
        <v>4017</v>
      </c>
      <c r="C107" s="24" t="s">
        <v>107</v>
      </c>
      <c r="D107" s="24" t="s">
        <v>622</v>
      </c>
      <c r="E107" s="15">
        <v>42629.671053240738</v>
      </c>
      <c r="F107" s="15">
        <v>42629.674571759257</v>
      </c>
      <c r="G107" s="7">
        <v>1</v>
      </c>
      <c r="H107" s="15" t="s">
        <v>310</v>
      </c>
      <c r="I107" s="15">
        <v>42629.701979166668</v>
      </c>
      <c r="J107" s="7">
        <v>0</v>
      </c>
      <c r="K107" s="121" t="str">
        <f t="shared" si="23"/>
        <v>4017/4018</v>
      </c>
      <c r="L107" s="24" t="str">
        <f>VLOOKUP(A107,'Trips&amp;Operators'!$C$1:$E$10000,3,FALSE)</f>
        <v>MOSES</v>
      </c>
      <c r="M107" s="6">
        <f t="shared" si="24"/>
        <v>2.7407407411374152E-2</v>
      </c>
      <c r="N107" s="7">
        <f t="shared" si="41"/>
        <v>39.466666672378778</v>
      </c>
      <c r="O107" s="7"/>
      <c r="P107" s="7"/>
      <c r="Q107" s="25"/>
      <c r="R107" s="25"/>
      <c r="S107" s="37">
        <f t="shared" si="42"/>
        <v>1</v>
      </c>
      <c r="T107" s="52" t="str">
        <f t="shared" si="27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15:06:19-0600',mode:absolute,to:'2016-09-16 17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7" s="54" t="str">
        <f t="shared" si="29"/>
        <v>N</v>
      </c>
      <c r="X107" s="168">
        <f t="shared" si="40"/>
        <v>1</v>
      </c>
      <c r="Y107" s="69">
        <f t="shared" si="30"/>
        <v>23.2973</v>
      </c>
      <c r="Z107" s="69">
        <f t="shared" si="31"/>
        <v>1.23E-2</v>
      </c>
      <c r="AA107" s="69">
        <f t="shared" si="32"/>
        <v>23.285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3"/>
        <v>0194-16</v>
      </c>
      <c r="AE107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07" s="96" t="str">
        <f t="shared" si="35"/>
        <v>"C:\Program Files (x86)\AstroGrep\AstroGrep.exe" /spath="%USERPROFILE%\AppData\Local\Temp\OnboardLogs" /stypes="app*4017*20160916*" /stext=" 22:.+((SYSTEM_STATE.+slice.+state.+changed )|(ment ac)|(system.+state.+changed )|(\|lc)|(penalty)|(\[timeout)|(PRM\|1\|D)|(kpr)|(kdp))" /e /r /s</v>
      </c>
      <c r="AG107" s="1" t="str">
        <f t="shared" si="36"/>
        <v>EC</v>
      </c>
      <c r="AH107" s="100" t="str">
        <f t="shared" si="37"/>
        <v>"%USERPROFILE%\Documents\GitHub\eaglep3\Utilities\RefineRTDCRunTimes.py" --tripid 194-16 --locoid 4017 --swversion DE.1.0.7.0 --startMP 204:232973 --initTime 2016-09-16T16:06:19 --startdatetime 2016-09-16T16:11:23 --delay 1 --endMP 204:123 --enddatetime 2016-09-16T16:50:51 --enforcementcount 0 &gt;&gt;C:\Users\stu\Documents\GitHub\eaglep3-reporting\EC\2016-09-16-refined-times.txt</v>
      </c>
      <c r="AI10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{"issue":{"subject":"","project_id":79,"tracker_id":40,"status_id":1,"priority_id":2,"assigned_to_id":23,"start_date":"2016-09-16","description":"","custom_fields":[{"id":1,"name":"Subdivision","value":"EC"},{"id":4,"name":"Milepost","value":"0.0123"},{"id":17,"name":"Train ID","value":"194-16"},{"id":16,"name":"Locomotive ID","value":"4017"},{"id":130,"name":"Impact","value":""},{"id":150,"name":"Time of Event (Mountain Time)","value":"16:50:51"},{"id":151,"name":"Denver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522</v>
      </c>
      <c r="B108" s="7">
        <v>4003</v>
      </c>
      <c r="C108" s="24" t="s">
        <v>107</v>
      </c>
      <c r="D108" s="24" t="s">
        <v>667</v>
      </c>
      <c r="E108" s="15">
        <v>42629.643055555556</v>
      </c>
      <c r="F108" s="15">
        <v>42629.646099537036</v>
      </c>
      <c r="G108" s="7">
        <v>1</v>
      </c>
      <c r="H108" s="15" t="s">
        <v>668</v>
      </c>
      <c r="I108" s="15">
        <v>42629.672175925924</v>
      </c>
      <c r="J108" s="7">
        <v>0</v>
      </c>
      <c r="K108" s="121" t="str">
        <f t="shared" si="23"/>
        <v>4003/4004</v>
      </c>
      <c r="L108" s="24" t="str">
        <f>VLOOKUP(A108,'Trips&amp;Operators'!$C$1:$E$10000,3,FALSE)</f>
        <v>HAITHCOX</v>
      </c>
      <c r="M108" s="6">
        <f t="shared" si="24"/>
        <v>2.6076388887304347E-2</v>
      </c>
      <c r="N108" s="7">
        <f t="shared" si="41"/>
        <v>37.54999999771826</v>
      </c>
      <c r="O108" s="7"/>
      <c r="P108" s="7"/>
      <c r="Q108" s="25"/>
      <c r="R108" s="25"/>
      <c r="S108" s="37">
        <f t="shared" si="42"/>
        <v>1</v>
      </c>
      <c r="T108" s="52" t="str">
        <f t="shared" si="27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14:26:00-0600',mode:absolute,to:'2016-09-16 17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8" s="54" t="str">
        <f t="shared" si="29"/>
        <v>N</v>
      </c>
      <c r="X108" s="168">
        <f t="shared" si="40"/>
        <v>1</v>
      </c>
      <c r="Y108" s="69">
        <f t="shared" si="30"/>
        <v>4.24E-2</v>
      </c>
      <c r="Z108" s="69">
        <f t="shared" si="31"/>
        <v>23.327200000000001</v>
      </c>
      <c r="AA108" s="69">
        <f t="shared" si="32"/>
        <v>23.284800000000001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3"/>
        <v>0195-16</v>
      </c>
      <c r="AE108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08" s="96" t="str">
        <f t="shared" si="35"/>
        <v>"C:\Program Files (x86)\AstroGrep\AstroGrep.exe" /spath="%USERPROFILE%\AppData\Local\Temp\OnboardLogs" /stypes="app*4003*20160916*" /stext=" 22:.+((SYSTEM_STATE.+slice.+state.+changed )|(ment ac)|(system.+state.+changed )|(\|lc)|(penalty)|(\[timeout)|(PRM\|1\|D)|(kpr)|(kdp))" /e /r /s</v>
      </c>
      <c r="AG108" s="1" t="str">
        <f t="shared" si="36"/>
        <v>EC</v>
      </c>
      <c r="AH108" s="100" t="str">
        <f t="shared" si="37"/>
        <v>"%USERPROFILE%\Documents\GitHub\eaglep3\Utilities\RefineRTDCRunTimes.py" --tripid 195-16 --locoid 4003 --swversion DE.1.0.7.0 --startMP 204:424 --initTime 2016-09-16T15:26:00 --startdatetime 2016-09-16T15:30:23 --delay 1 --endMP 204:233272 --enddatetime 2016-09-16T16:07:56 --enforcementcount 0 &gt;&gt;C:\Users\stu\Documents\GitHub\eaglep3-reporting\EC\2016-09-16-refined-times.txt</v>
      </c>
      <c r="AI10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{"issue":{"subject":"","project_id":79,"tracker_id":40,"status_id":1,"priority_id":2,"assigned_to_id":23,"start_date":"2016-09-16","description":"","custom_fields":[{"id":1,"name":"Subdivision","value":"EC"},{"id":4,"name":"Milepost","value":"23.3272"},{"id":17,"name":"Train ID","value":"195-16"},{"id":16,"name":"Locomotive ID","value":"4003"},{"id":130,"name":"Impact","value":""},{"id":150,"name":"Time of Event (Mountain Time)","value":"16:07:56"},{"id":151,"name":"Denver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535</v>
      </c>
      <c r="B109" s="7">
        <v>4004</v>
      </c>
      <c r="C109" s="24" t="s">
        <v>107</v>
      </c>
      <c r="D109" s="24" t="s">
        <v>346</v>
      </c>
      <c r="E109" s="15">
        <v>42629.680787037039</v>
      </c>
      <c r="F109" s="15">
        <v>42629.685081018521</v>
      </c>
      <c r="G109" s="7">
        <v>1</v>
      </c>
      <c r="H109" s="15" t="s">
        <v>238</v>
      </c>
      <c r="I109" s="15">
        <v>42629.712893518517</v>
      </c>
      <c r="J109" s="7">
        <v>0</v>
      </c>
      <c r="K109" s="121" t="str">
        <f t="shared" si="23"/>
        <v>4003/4004</v>
      </c>
      <c r="L109" s="24" t="str">
        <f>VLOOKUP(A109,'Trips&amp;Operators'!$C$1:$E$10000,3,FALSE)</f>
        <v>HAITHCOX</v>
      </c>
      <c r="M109" s="6">
        <f t="shared" si="24"/>
        <v>2.7812499996798579E-2</v>
      </c>
      <c r="N109" s="7">
        <f t="shared" si="41"/>
        <v>40.049999995389953</v>
      </c>
      <c r="O109" s="7"/>
      <c r="P109" s="7"/>
      <c r="Q109" s="25"/>
      <c r="R109" s="25"/>
      <c r="S109" s="37">
        <f t="shared" si="42"/>
        <v>1</v>
      </c>
      <c r="T109" s="52" t="str">
        <f t="shared" si="27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9" s="54" t="str">
        <f t="shared" si="29"/>
        <v>N</v>
      </c>
      <c r="X109" s="168">
        <f t="shared" si="40"/>
        <v>1</v>
      </c>
      <c r="Y109" s="69">
        <f t="shared" si="30"/>
        <v>23.2957</v>
      </c>
      <c r="Z109" s="69">
        <f t="shared" si="31"/>
        <v>1.3899999999999999E-2</v>
      </c>
      <c r="AA109" s="69">
        <f t="shared" si="32"/>
        <v>23.2818</v>
      </c>
      <c r="AB109" s="66" t="str">
        <f>VLOOKUP(A109,Enforcements!$C$7:$K$20,8,0)</f>
        <v>Speed (6)</v>
      </c>
      <c r="AC109" s="62" t="str">
        <f>VLOOKUP(A109,Enforcements!$C$7:$E$20,3,0)</f>
        <v>PERMANENT SPEED RESTRICTION</v>
      </c>
      <c r="AD109" s="63" t="str">
        <f t="shared" si="33"/>
        <v>0196-16</v>
      </c>
      <c r="AE109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09" s="96" t="str">
        <f t="shared" si="35"/>
        <v>"C:\Program Files (x86)\AstroGrep\AstroGrep.exe" /spath="%USERPROFILE%\AppData\Local\Temp\OnboardLogs" /stypes="app*4004*20160916*" /stext=" 23:.+((SYSTEM_STATE.+slice.+state.+changed )|(ment ac)|(system.+state.+changed )|(\|lc)|(penalty)|(\[timeout)|(PRM\|1\|D)|(kpr)|(kdp))" /e /r /s</v>
      </c>
      <c r="AG109" s="1" t="str">
        <f t="shared" si="36"/>
        <v>EC</v>
      </c>
      <c r="AH109" s="100" t="str">
        <f t="shared" si="37"/>
        <v>"%USERPROFILE%\Documents\GitHub\eaglep3\Utilities\RefineRTDCRunTimes.py" --tripid 196-16 --locoid 4004 --swversion DE.1.0.7.0 --startMP 204:232957 --initTime 2016-09-16T16:20:20 --startdatetime 2016-09-16T16:26:31 --delay 1 --endMP 204:139 --enddatetime 2016-09-16T17:06:34 --enforcementcount 0 &gt;&gt;C:\Users\stu\Documents\GitHub\eaglep3-reporting\EC\2016-09-16-refined-times.txt</v>
      </c>
      <c r="AI10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ID","value":"196-16"},{"id":16,"name":"Locomotive ID","value":"4004"},{"id":130,"name":"Impact","value":""},{"id":150,"name":"Time of Event (Mountain Time)","value":"17:06:34"},{"id":151,"name":"Denver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528</v>
      </c>
      <c r="B110" s="7">
        <v>4020</v>
      </c>
      <c r="C110" s="24" t="s">
        <v>107</v>
      </c>
      <c r="D110" s="24" t="s">
        <v>240</v>
      </c>
      <c r="E110" s="15">
        <v>42629.653101851851</v>
      </c>
      <c r="F110" s="15">
        <v>42629.656712962962</v>
      </c>
      <c r="G110" s="7">
        <v>1</v>
      </c>
      <c r="H110" s="15" t="s">
        <v>651</v>
      </c>
      <c r="I110" s="15">
        <v>42629.682453703703</v>
      </c>
      <c r="J110" s="7">
        <v>0</v>
      </c>
      <c r="K110" s="121" t="str">
        <f t="shared" si="23"/>
        <v>4019/4020</v>
      </c>
      <c r="L110" s="24" t="str">
        <f>VLOOKUP(A110,'Trips&amp;Operators'!$C$1:$E$10000,3,FALSE)</f>
        <v>SWANSON</v>
      </c>
      <c r="M110" s="6">
        <f t="shared" si="24"/>
        <v>2.5740740740729962E-2</v>
      </c>
      <c r="N110" s="7">
        <f t="shared" si="41"/>
        <v>37.066666666651145</v>
      </c>
      <c r="O110" s="7"/>
      <c r="P110" s="7"/>
      <c r="Q110" s="25"/>
      <c r="R110" s="25"/>
      <c r="S110" s="37">
        <f t="shared" si="42"/>
        <v>1</v>
      </c>
      <c r="T110" s="52" t="str">
        <f t="shared" si="27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14:40:28-0600',mode:absolute,to:'2016-09-16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0" s="54" t="str">
        <f t="shared" si="29"/>
        <v>N</v>
      </c>
      <c r="X110" s="168">
        <f t="shared" si="40"/>
        <v>1</v>
      </c>
      <c r="Y110" s="69">
        <f t="shared" si="30"/>
        <v>4.58E-2</v>
      </c>
      <c r="Z110" s="69">
        <f t="shared" si="31"/>
        <v>23.328800000000001</v>
      </c>
      <c r="AA110" s="69">
        <f t="shared" si="32"/>
        <v>23.283000000000001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33"/>
        <v>0197-16</v>
      </c>
      <c r="AE110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110" s="96" t="str">
        <f t="shared" si="35"/>
        <v>"C:\Program Files (x86)\AstroGrep\AstroGrep.exe" /spath="%USERPROFILE%\AppData\Local\Temp\OnboardLogs" /stypes="app*4020*20160916*" /stext=" 22:.+((SYSTEM_STATE.+slice.+state.+changed )|(ment ac)|(system.+state.+changed )|(\|lc)|(penalty)|(\[timeout)|(PRM\|1\|D)|(kpr)|(kdp))" /e /r /s</v>
      </c>
      <c r="AG110" s="1" t="str">
        <f t="shared" si="36"/>
        <v>EC</v>
      </c>
      <c r="AH110" s="100" t="str">
        <f t="shared" si="37"/>
        <v>"%USERPROFILE%\Documents\GitHub\eaglep3\Utilities\RefineRTDCRunTimes.py" --tripid 197-16 --locoid 4020 --swversion DE.1.0.7.0 --startMP 204:458 --initTime 2016-09-16T15:40:28 --startdatetime 2016-09-16T15:45:40 --delay 1 --endMP 204:233288 --enddatetime 2016-09-16T16:22:44 --enforcementcount 0 &gt;&gt;C:\Users\stu\Documents\GitHub\eaglep3-reporting\EC\2016-09-16-refined-times.txt</v>
      </c>
      <c r="AI11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ID","value":"197-16"},{"id":16,"name":"Locomotive ID","value":"4020"},{"id":130,"name":"Impact","value":""},{"id":150,"name":"Time of Event (Mountain Time)","value":"16:22:44"},{"id":151,"name":"Denver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537</v>
      </c>
      <c r="B111" s="7">
        <v>4019</v>
      </c>
      <c r="C111" s="24" t="s">
        <v>107</v>
      </c>
      <c r="D111" s="24" t="s">
        <v>312</v>
      </c>
      <c r="E111" s="15">
        <v>42629.684363425928</v>
      </c>
      <c r="F111" s="15">
        <v>42629.695393518516</v>
      </c>
      <c r="G111" s="7">
        <v>1</v>
      </c>
      <c r="H111" s="15" t="s">
        <v>218</v>
      </c>
      <c r="I111" s="15">
        <v>42629.723090277781</v>
      </c>
      <c r="J111" s="7">
        <v>0</v>
      </c>
      <c r="K111" s="121" t="str">
        <f t="shared" si="23"/>
        <v>4019/4020</v>
      </c>
      <c r="L111" s="24" t="str">
        <f>VLOOKUP(A111,'Trips&amp;Operators'!$C$1:$E$10000,3,FALSE)</f>
        <v>SWANSON</v>
      </c>
      <c r="M111" s="6">
        <f t="shared" si="24"/>
        <v>2.7696759265381843E-2</v>
      </c>
      <c r="N111" s="7">
        <f t="shared" si="41"/>
        <v>39.883333342149854</v>
      </c>
      <c r="O111" s="7"/>
      <c r="P111" s="7"/>
      <c r="Q111" s="25"/>
      <c r="R111" s="25"/>
      <c r="S111" s="37">
        <f t="shared" si="42"/>
        <v>1</v>
      </c>
      <c r="T111" s="52" t="str">
        <f t="shared" si="27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15:25:29-0600',mode:absolute,to:'2016-09-16 18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1" s="54" t="str">
        <f t="shared" si="29"/>
        <v>N</v>
      </c>
      <c r="X111" s="168">
        <f t="shared" si="40"/>
        <v>1</v>
      </c>
      <c r="Y111" s="69">
        <f t="shared" si="30"/>
        <v>23.2971</v>
      </c>
      <c r="Z111" s="69">
        <f t="shared" si="31"/>
        <v>1.49E-2</v>
      </c>
      <c r="AA111" s="69">
        <f t="shared" si="32"/>
        <v>23.2822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3"/>
        <v>0198-16</v>
      </c>
      <c r="AE111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11" s="96" t="str">
        <f t="shared" si="35"/>
        <v>"C:\Program Files (x86)\AstroGrep\AstroGrep.exe" /spath="%USERPROFILE%\AppData\Local\Temp\OnboardLogs" /stypes="app*4019*20160916*" /stext=" 23:.+((SYSTEM_STATE.+slice.+state.+changed )|(ment ac)|(system.+state.+changed )|(\|lc)|(penalty)|(\[timeout)|(PRM\|1\|D)|(kpr)|(kdp))" /e /r /s</v>
      </c>
      <c r="AG111" s="1" t="str">
        <f t="shared" si="36"/>
        <v>EC</v>
      </c>
      <c r="AH111" s="100" t="str">
        <f t="shared" si="37"/>
        <v>"%USERPROFILE%\Documents\GitHub\eaglep3\Utilities\RefineRTDCRunTimes.py" --tripid 198-16 --locoid 4019 --swversion DE.1.0.7.0 --startMP 204:232971 --initTime 2016-09-16T16:25:29 --startdatetime 2016-09-16T16:41:22 --delay 1 --endMP 204:149 --enddatetime 2016-09-16T17:21:15 --enforcementcount 0 &gt;&gt;C:\Users\stu\Documents\GitHub\eaglep3-reporting\EC\2016-09-16-refined-times.txt</v>
      </c>
      <c r="AI11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ID","value":"198-16"},{"id":16,"name":"Locomotive ID","value":"4019"},{"id":130,"name":"Impact","value":""},{"id":150,"name":"Time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530</v>
      </c>
      <c r="B112" s="7">
        <v>4038</v>
      </c>
      <c r="C112" s="24" t="s">
        <v>107</v>
      </c>
      <c r="D112" s="24" t="s">
        <v>246</v>
      </c>
      <c r="E112" s="15">
        <v>42629.663263888891</v>
      </c>
      <c r="F112" s="15">
        <v>42629.667303240742</v>
      </c>
      <c r="G112" s="7">
        <v>2</v>
      </c>
      <c r="H112" s="15" t="s">
        <v>626</v>
      </c>
      <c r="I112" s="15">
        <v>42629.692986111113</v>
      </c>
      <c r="J112" s="7">
        <v>0</v>
      </c>
      <c r="K112" s="121" t="str">
        <f t="shared" si="23"/>
        <v>4037/4038</v>
      </c>
      <c r="L112" s="24" t="str">
        <f>VLOOKUP(A112,'Trips&amp;Operators'!$C$1:$E$10000,3,FALSE)</f>
        <v>HILLS</v>
      </c>
      <c r="M112" s="6">
        <f t="shared" si="24"/>
        <v>2.5682870371383615E-2</v>
      </c>
      <c r="N112" s="7">
        <f t="shared" si="41"/>
        <v>36.983333334792405</v>
      </c>
      <c r="O112" s="7"/>
      <c r="P112" s="7"/>
      <c r="Q112" s="25"/>
      <c r="R112" s="25"/>
      <c r="S112" s="37">
        <f t="shared" si="42"/>
        <v>1</v>
      </c>
      <c r="T112" s="52" t="str">
        <f t="shared" si="27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14:55:06-0600',mode:absolute,to:'2016-09-16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12" s="54" t="str">
        <f t="shared" si="29"/>
        <v>N</v>
      </c>
      <c r="X112" s="168">
        <f t="shared" si="40"/>
        <v>1</v>
      </c>
      <c r="Y112" s="69">
        <f t="shared" si="30"/>
        <v>4.5999999999999999E-2</v>
      </c>
      <c r="Z112" s="69">
        <f t="shared" si="31"/>
        <v>23.326799999999999</v>
      </c>
      <c r="AA112" s="69">
        <f t="shared" si="32"/>
        <v>23.280799999999999</v>
      </c>
      <c r="AB112" s="66" t="str">
        <f>VLOOKUP(A112,Enforcements!$C$7:$K$20,8,0)</f>
        <v>Speed (6)</v>
      </c>
      <c r="AC112" s="62" t="str">
        <f>VLOOKUP(A112,Enforcements!$C$7:$E$20,3,0)</f>
        <v>PERMANENT SPEED RESTRICTION</v>
      </c>
      <c r="AD112" s="63" t="str">
        <f t="shared" si="33"/>
        <v>0199-16</v>
      </c>
      <c r="AE112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12" s="96" t="str">
        <f t="shared" si="35"/>
        <v>"C:\Program Files (x86)\AstroGrep\AstroGrep.exe" /spath="%USERPROFILE%\AppData\Local\Temp\OnboardLogs" /stypes="app*4038*20160916*" /stext=" 22:.+((SYSTEM_STATE.+slice.+state.+changed )|(ment ac)|(system.+state.+changed )|(\|lc)|(penalty)|(\[timeout)|(PRM\|1\|D)|(kpr)|(kdp))" /e /r /s</v>
      </c>
      <c r="AG112" s="1" t="str">
        <f t="shared" si="36"/>
        <v>EC</v>
      </c>
      <c r="AH112" s="100" t="str">
        <f t="shared" si="37"/>
        <v>"%USERPROFILE%\Documents\GitHub\eaglep3\Utilities\RefineRTDCRunTimes.py" --tripid 199-16 --locoid 4038 --swversion DE.1.0.7.0 --startMP 204:460 --initTime 2016-09-16T15:55:06 --startdatetime 2016-09-16T16:00:55 --delay 2 --endMP 204:233268 --enddatetime 2016-09-16T16:37:54 --enforcementcount 0 &gt;&gt;C:\Users\stu\Documents\GitHub\eaglep3-reporting\EC\2016-09-16-refined-times.txt</v>
      </c>
      <c r="AI11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ID","value":"199-16"},{"id":16,"name":"Locomotive ID","value":"4038"},{"id":130,"name":"Impact","value":""},{"id":150,"name":"Time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540</v>
      </c>
      <c r="B113" s="7">
        <v>4037</v>
      </c>
      <c r="C113" s="24" t="s">
        <v>107</v>
      </c>
      <c r="D113" s="24" t="s">
        <v>669</v>
      </c>
      <c r="E113" s="15">
        <v>42629.694479166668</v>
      </c>
      <c r="F113" s="15">
        <v>42629.705729166664</v>
      </c>
      <c r="G113" s="7">
        <v>1</v>
      </c>
      <c r="H113" s="15" t="s">
        <v>251</v>
      </c>
      <c r="I113" s="15">
        <v>42629.732870370368</v>
      </c>
      <c r="J113" s="7">
        <v>0</v>
      </c>
      <c r="K113" s="121" t="str">
        <f t="shared" si="23"/>
        <v>4037/4038</v>
      </c>
      <c r="L113" s="24" t="str">
        <f>VLOOKUP(A113,'Trips&amp;Operators'!$C$1:$E$10000,3,FALSE)</f>
        <v>HILLS</v>
      </c>
      <c r="M113" s="6">
        <f t="shared" si="24"/>
        <v>2.7141203703649808E-2</v>
      </c>
      <c r="N113" s="7">
        <f t="shared" si="41"/>
        <v>39.083333333255723</v>
      </c>
      <c r="O113" s="7"/>
      <c r="P113" s="7"/>
      <c r="Q113" s="25"/>
      <c r="R113" s="25"/>
      <c r="S113" s="37">
        <f t="shared" si="42"/>
        <v>1</v>
      </c>
      <c r="T113" s="52" t="str">
        <f t="shared" si="27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15:40:03-0600',mode:absolute,to:'2016-09-16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3" s="54" t="str">
        <f t="shared" si="29"/>
        <v>N</v>
      </c>
      <c r="X113" s="168">
        <f t="shared" si="40"/>
        <v>1</v>
      </c>
      <c r="Y113" s="69">
        <f t="shared" si="30"/>
        <v>23.295100000000001</v>
      </c>
      <c r="Z113" s="69">
        <f t="shared" si="31"/>
        <v>1.38E-2</v>
      </c>
      <c r="AA113" s="69">
        <f t="shared" si="32"/>
        <v>23.281300000000002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3"/>
        <v>0200-16</v>
      </c>
      <c r="AE113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13" s="96" t="str">
        <f t="shared" si="35"/>
        <v>"C:\Program Files (x86)\AstroGrep\AstroGrep.exe" /spath="%USERPROFILE%\AppData\Local\Temp\OnboardLogs" /stypes="app*4037*20160916*" /stext=" 23:.+((SYSTEM_STATE.+slice.+state.+changed )|(ment ac)|(system.+state.+changed )|(\|lc)|(penalty)|(\[timeout)|(PRM\|1\|D)|(kpr)|(kdp))" /e /r /s</v>
      </c>
      <c r="AG113" s="1" t="str">
        <f t="shared" si="36"/>
        <v>EC</v>
      </c>
      <c r="AH113" s="100" t="str">
        <f t="shared" si="37"/>
        <v>"%USERPROFILE%\Documents\GitHub\eaglep3\Utilities\RefineRTDCRunTimes.py" --tripid 200-16 --locoid 4037 --swversion DE.1.0.7.0 --startMP 204:232951 --initTime 2016-09-16T16:40:03 --startdatetime 2016-09-16T16:56:15 --delay 1 --endMP 204:138 --enddatetime 2016-09-16T17:35:20 --enforcementcount 0 &gt;&gt;C:\Users\stu\Documents\GitHub\eaglep3-reporting\EC\2016-09-16-refined-times.txt</v>
      </c>
      <c r="AI11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ID","value":"200-16"},{"id":16,"name":"Locomotive ID","value":"4037"},{"id":130,"name":"Impact","value":""},{"id":150,"name":"Time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534</v>
      </c>
      <c r="B114" s="7">
        <v>4002</v>
      </c>
      <c r="C114" s="24" t="s">
        <v>107</v>
      </c>
      <c r="D114" s="24" t="s">
        <v>670</v>
      </c>
      <c r="E114" s="15">
        <v>42629.673171296294</v>
      </c>
      <c r="F114" s="15">
        <v>42629.677534722221</v>
      </c>
      <c r="G114" s="7">
        <v>1</v>
      </c>
      <c r="H114" s="15" t="s">
        <v>649</v>
      </c>
      <c r="I114" s="15">
        <v>42629.702465277776</v>
      </c>
      <c r="J114" s="7">
        <v>0</v>
      </c>
      <c r="K114" s="121" t="str">
        <f t="shared" si="23"/>
        <v>4001/4002</v>
      </c>
      <c r="L114" s="24" t="str">
        <f>VLOOKUP(A114,'Trips&amp;Operators'!$C$1:$E$10000,3,FALSE)</f>
        <v>STEWART</v>
      </c>
      <c r="M114" s="6">
        <f t="shared" si="24"/>
        <v>2.4930555555329192E-2</v>
      </c>
      <c r="N114" s="7">
        <f t="shared" si="41"/>
        <v>35.899999999674037</v>
      </c>
      <c r="O114" s="7"/>
      <c r="P114" s="7"/>
      <c r="Q114" s="25"/>
      <c r="R114" s="25"/>
      <c r="S114" s="37">
        <f t="shared" si="42"/>
        <v>1</v>
      </c>
      <c r="T114" s="52" t="str">
        <f t="shared" si="27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15:09:22-0600',mode:absolute,to:'2016-09-16 17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4" s="54" t="str">
        <f t="shared" si="29"/>
        <v>N</v>
      </c>
      <c r="X114" s="168">
        <f t="shared" si="40"/>
        <v>1</v>
      </c>
      <c r="Y114" s="69">
        <f t="shared" si="30"/>
        <v>4.3799999999999999E-2</v>
      </c>
      <c r="Z114" s="69">
        <f t="shared" si="31"/>
        <v>23.328600000000002</v>
      </c>
      <c r="AA114" s="69">
        <f t="shared" si="32"/>
        <v>23.284800000000001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3"/>
        <v>0201-16</v>
      </c>
      <c r="AE114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14" s="96" t="str">
        <f t="shared" si="35"/>
        <v>"C:\Program Files (x86)\AstroGrep\AstroGrep.exe" /spath="%USERPROFILE%\AppData\Local\Temp\OnboardLogs" /stypes="app*4002*20160916*" /stext=" 22:.+((SYSTEM_STATE.+slice.+state.+changed )|(ment ac)|(system.+state.+changed )|(\|lc)|(penalty)|(\[timeout)|(PRM\|1\|D)|(kpr)|(kdp))" /e /r /s</v>
      </c>
      <c r="AG114" s="1" t="str">
        <f t="shared" si="36"/>
        <v>EC</v>
      </c>
      <c r="AH114" s="100" t="str">
        <f t="shared" si="37"/>
        <v>"%USERPROFILE%\Documents\GitHub\eaglep3\Utilities\RefineRTDCRunTimes.py" --tripid 201-16 --locoid 4002 --swversion DE.1.0.7.0 --startMP 204:438 --initTime 2016-09-16T16:09:22 --startdatetime 2016-09-16T16:15:39 --delay 1 --endMP 204:233286 --enddatetime 2016-09-16T16:51:33 --enforcementcount 0 &gt;&gt;C:\Users\stu\Documents\GitHub\eaglep3-reporting\EC\2016-09-16-refined-times.txt</v>
      </c>
      <c r="AI11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{"issue":{"subject":"","project_id":79,"tracker_id":40,"status_id":1,"priority_id":2,"assigned_to_id":23,"start_date":"2016-09-16","description":"","custom_fields":[{"id":1,"name":"Subdivision","value":"EC"},{"id":4,"name":"Milepost","value":"23.3286"},{"id":17,"name":"Train ID","value":"201-16"},{"id":16,"name":"Locomotive ID","value":"4002"},{"id":130,"name":"Impact","value":""},{"id":150,"name":"Time of Event (Mountain Time)","value":"16:51:33"},{"id":151,"name":"Denver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543</v>
      </c>
      <c r="B115" s="7">
        <v>4001</v>
      </c>
      <c r="C115" s="24" t="s">
        <v>107</v>
      </c>
      <c r="D115" s="24" t="s">
        <v>622</v>
      </c>
      <c r="E115" s="15">
        <v>42629.711296296293</v>
      </c>
      <c r="F115" s="15">
        <v>42629.716215277775</v>
      </c>
      <c r="G115" s="7">
        <v>1</v>
      </c>
      <c r="H115" s="15" t="s">
        <v>228</v>
      </c>
      <c r="I115" s="15">
        <v>42629.742962962962</v>
      </c>
      <c r="J115" s="7">
        <v>0</v>
      </c>
      <c r="K115" s="121" t="str">
        <f t="shared" si="23"/>
        <v>4001/4002</v>
      </c>
      <c r="L115" s="24" t="str">
        <f>VLOOKUP(A115,'Trips&amp;Operators'!$C$1:$E$10000,3,FALSE)</f>
        <v>STEWART</v>
      </c>
      <c r="M115" s="6">
        <f t="shared" si="24"/>
        <v>2.6747685187729076E-2</v>
      </c>
      <c r="N115" s="7">
        <f t="shared" si="41"/>
        <v>38.516666670329869</v>
      </c>
      <c r="O115" s="7"/>
      <c r="P115" s="7"/>
      <c r="Q115" s="25"/>
      <c r="R115" s="25"/>
      <c r="S115" s="37">
        <f t="shared" si="42"/>
        <v>1</v>
      </c>
      <c r="T115" s="52" t="str">
        <f t="shared" si="27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16:04:16-0600',mode:absolute,to:'2016-09-16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5" s="54" t="str">
        <f t="shared" si="29"/>
        <v>N</v>
      </c>
      <c r="X115" s="168">
        <f t="shared" si="40"/>
        <v>1</v>
      </c>
      <c r="Y115" s="69">
        <f t="shared" si="30"/>
        <v>23.2973</v>
      </c>
      <c r="Z115" s="69">
        <f t="shared" si="31"/>
        <v>1.52E-2</v>
      </c>
      <c r="AA115" s="69">
        <f t="shared" si="32"/>
        <v>23.2821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3"/>
        <v>0202-16</v>
      </c>
      <c r="AE115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15" s="96" t="str">
        <f t="shared" si="35"/>
        <v>"C:\Program Files (x86)\AstroGrep\AstroGrep.exe" /spath="%USERPROFILE%\AppData\Local\Temp\OnboardLogs" /stypes="app*4001*20160916*" /stext=" 23:.+((SYSTEM_STATE.+slice.+state.+changed )|(ment ac)|(system.+state.+changed )|(\|lc)|(penalty)|(\[timeout)|(PRM\|1\|D)|(kpr)|(kdp))" /e /r /s</v>
      </c>
      <c r="AG115" s="1" t="str">
        <f t="shared" si="36"/>
        <v>EC</v>
      </c>
      <c r="AH115" s="100" t="str">
        <f t="shared" si="37"/>
        <v>"%USERPROFILE%\Documents\GitHub\eaglep3\Utilities\RefineRTDCRunTimes.py" --tripid 202-16 --locoid 4001 --swversion DE.1.0.7.0 --startMP 204:232973 --initTime 2016-09-16T17:04:16 --startdatetime 2016-09-16T17:11:21 --delay 1 --endMP 204:152 --enddatetime 2016-09-16T17:49:52 --enforcementcount 0 &gt;&gt;C:\Users\stu\Documents\GitHub\eaglep3-reporting\EC\2016-09-16-refined-times.txt</v>
      </c>
      <c r="AI11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ID","value":"202-16"},{"id":16,"name":"Locomotive ID","value":"4001"},{"id":130,"name":"Impact","value":""},{"id":150,"name":"Time of Event (Mountain Time)","value":"17:49:52"},{"id":151,"name":"Denver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536</v>
      </c>
      <c r="B116" s="7">
        <v>4044</v>
      </c>
      <c r="C116" s="24" t="s">
        <v>107</v>
      </c>
      <c r="D116" s="24" t="s">
        <v>353</v>
      </c>
      <c r="E116" s="15">
        <v>42629.684270833335</v>
      </c>
      <c r="F116" s="15">
        <v>42629.687673611108</v>
      </c>
      <c r="G116" s="7">
        <v>1</v>
      </c>
      <c r="H116" s="15" t="s">
        <v>630</v>
      </c>
      <c r="I116" s="15">
        <v>42629.713969907411</v>
      </c>
      <c r="J116" s="7">
        <v>0</v>
      </c>
      <c r="K116" s="121" t="str">
        <f t="shared" si="23"/>
        <v>4043/4044</v>
      </c>
      <c r="L116" s="24" t="str">
        <f>VLOOKUP(A116,'Trips&amp;Operators'!$C$1:$E$10000,3,FALSE)</f>
        <v>CLARK</v>
      </c>
      <c r="M116" s="6">
        <f t="shared" si="24"/>
        <v>2.6296296302461997E-2</v>
      </c>
      <c r="N116" s="7">
        <f t="shared" si="41"/>
        <v>37.866666675545275</v>
      </c>
      <c r="O116" s="7"/>
      <c r="P116" s="7"/>
      <c r="Q116" s="25"/>
      <c r="R116" s="25"/>
      <c r="S116" s="37">
        <f t="shared" si="42"/>
        <v>1</v>
      </c>
      <c r="T116" s="52" t="str">
        <f t="shared" si="27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15:25:21-0600',mode:absolute,to:'2016-09-16 18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16" s="54" t="str">
        <f t="shared" si="29"/>
        <v>N</v>
      </c>
      <c r="X116" s="168">
        <f t="shared" si="40"/>
        <v>1</v>
      </c>
      <c r="Y116" s="69">
        <f t="shared" si="30"/>
        <v>4.7699999999999999E-2</v>
      </c>
      <c r="Z116" s="69">
        <f t="shared" si="31"/>
        <v>23.324200000000001</v>
      </c>
      <c r="AA116" s="69">
        <f t="shared" si="32"/>
        <v>23.276500000000002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3"/>
        <v>0203-16</v>
      </c>
      <c r="AE116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16" s="96" t="str">
        <f t="shared" si="35"/>
        <v>"C:\Program Files (x86)\AstroGrep\AstroGrep.exe" /spath="%USERPROFILE%\AppData\Local\Temp\OnboardLogs" /stypes="app*4044*20160916*" /stext=" 23:.+((SYSTEM_STATE.+slice.+state.+changed )|(ment ac)|(system.+state.+changed )|(\|lc)|(penalty)|(\[timeout)|(PRM\|1\|D)|(kpr)|(kdp))" /e /r /s</v>
      </c>
      <c r="AG116" s="1" t="str">
        <f t="shared" si="36"/>
        <v>EC</v>
      </c>
      <c r="AH116" s="100" t="str">
        <f t="shared" si="37"/>
        <v>"%USERPROFILE%\Documents\GitHub\eaglep3\Utilities\RefineRTDCRunTimes.py" --tripid 203-16 --locoid 4044 --swversion DE.1.0.7.0 --startMP 204:477 --initTime 2016-09-16T16:25:21 --startdatetime 2016-09-16T16:30:15 --delay 1 --endMP 204:233242 --enddatetime 2016-09-16T17:08:07 --enforcementcount 0 &gt;&gt;C:\Users\stu\Documents\GitHub\eaglep3-reporting\EC\2016-09-16-refined-times.txt</v>
      </c>
      <c r="AI11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{"issue":{"subject":"","project_id":79,"tracker_id":40,"status_id":1,"priority_id":2,"assigned_to_id":23,"start_date":"2016-09-16","description":"","custom_fields":[{"id":1,"name":"Subdivision","value":"EC"},{"id":4,"name":"Milepost","value":"23.3242"},{"id":17,"name":"Train ID","value":"203-16"},{"id":16,"name":"Locomotive ID","value":"4044"},{"id":130,"name":"Impact","value":""},{"id":150,"name":"Time of Event (Mountain Time)","value":"17:08:07"},{"id":151,"name":"Denver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546</v>
      </c>
      <c r="B117" s="7">
        <v>4043</v>
      </c>
      <c r="C117" s="24" t="s">
        <v>107</v>
      </c>
      <c r="D117" s="24" t="s">
        <v>671</v>
      </c>
      <c r="E117" s="15">
        <v>42629.720682870371</v>
      </c>
      <c r="F117" s="15">
        <v>42629.7265625</v>
      </c>
      <c r="G117" s="7">
        <v>1</v>
      </c>
      <c r="H117" s="15" t="s">
        <v>220</v>
      </c>
      <c r="I117" s="15">
        <v>42629.755266203705</v>
      </c>
      <c r="J117" s="7">
        <v>0</v>
      </c>
      <c r="K117" s="121" t="str">
        <f t="shared" si="23"/>
        <v>4043/4044</v>
      </c>
      <c r="L117" s="24" t="str">
        <f>VLOOKUP(A117,'Trips&amp;Operators'!$C$1:$E$10000,3,FALSE)</f>
        <v>CLARK</v>
      </c>
      <c r="M117" s="6">
        <f t="shared" si="24"/>
        <v>2.8703703705104999E-2</v>
      </c>
      <c r="N117" s="7">
        <f t="shared" si="41"/>
        <v>41.333333335351199</v>
      </c>
      <c r="O117" s="7"/>
      <c r="P117" s="7"/>
      <c r="Q117" s="25"/>
      <c r="R117" s="25"/>
      <c r="S117" s="37">
        <f t="shared" si="42"/>
        <v>1</v>
      </c>
      <c r="T117" s="52" t="str">
        <f t="shared" si="27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16:17:47-0600',mode:absolute,to:'2016-09-16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17" s="54" t="str">
        <f t="shared" si="29"/>
        <v>N</v>
      </c>
      <c r="X117" s="168">
        <f t="shared" si="40"/>
        <v>1</v>
      </c>
      <c r="Y117" s="69">
        <f t="shared" si="30"/>
        <v>23.2925</v>
      </c>
      <c r="Z117" s="69">
        <f t="shared" si="31"/>
        <v>1.6299999999999999E-2</v>
      </c>
      <c r="AA117" s="69">
        <f t="shared" si="32"/>
        <v>23.276199999999999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3"/>
        <v>0204-16</v>
      </c>
      <c r="AE117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17" s="96" t="str">
        <f t="shared" si="35"/>
        <v>"C:\Program Files (x86)\AstroGrep\AstroGrep.exe" /spath="%USERPROFILE%\AppData\Local\Temp\OnboardLogs" /stypes="app*4043*20160917*" /stext=" 00:.+((SYSTEM_STATE.+slice.+state.+changed )|(ment ac)|(system.+state.+changed )|(\|lc)|(penalty)|(\[timeout)|(PRM\|1\|D)|(kpr)|(kdp))" /e /r /s</v>
      </c>
      <c r="AG117" s="1" t="str">
        <f t="shared" si="36"/>
        <v>EC</v>
      </c>
      <c r="AH117" s="100" t="str">
        <f t="shared" si="37"/>
        <v>"%USERPROFILE%\Documents\GitHub\eaglep3\Utilities\RefineRTDCRunTimes.py" --tripid 204-16 --locoid 4043 --swversion DE.1.0.7.0 --startMP 204:232925 --initTime 2016-09-16T17:17:47 --startdatetime 2016-09-16T17:26:15 --delay 1 --endMP 204:163 --enddatetime 2016-09-16T18:07:35 --enforcementcount 0 &gt;&gt;C:\Users\stu\Documents\GitHub\eaglep3-reporting\EC\2016-09-16-refined-times.txt</v>
      </c>
      <c r="AI11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ID","value":"204-16"},{"id":16,"name":"Locomotive ID","value":"4043"},{"id":130,"name":"Impact","value":""},{"id":150,"name":"Time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539</v>
      </c>
      <c r="B118" s="7">
        <v>4009</v>
      </c>
      <c r="C118" s="24" t="s">
        <v>107</v>
      </c>
      <c r="D118" s="24" t="s">
        <v>672</v>
      </c>
      <c r="E118" s="15">
        <v>42629.693344907406</v>
      </c>
      <c r="F118" s="15">
        <v>42629.698159722226</v>
      </c>
      <c r="G118" s="7">
        <v>1</v>
      </c>
      <c r="H118" s="15" t="s">
        <v>328</v>
      </c>
      <c r="I118" s="15">
        <v>42629.723009259258</v>
      </c>
      <c r="J118" s="7">
        <v>0</v>
      </c>
      <c r="K118" s="121" t="str">
        <f t="shared" si="23"/>
        <v>4009/4010</v>
      </c>
      <c r="L118" s="24" t="str">
        <f>VLOOKUP(A118,'Trips&amp;Operators'!$C$1:$E$10000,3,FALSE)</f>
        <v>OUN</v>
      </c>
      <c r="M118" s="6">
        <f t="shared" si="24"/>
        <v>2.4849537032423541E-2</v>
      </c>
      <c r="N118" s="7">
        <f t="shared" si="41"/>
        <v>35.783333326689899</v>
      </c>
      <c r="O118" s="7"/>
      <c r="P118" s="7"/>
      <c r="Q118" s="25"/>
      <c r="R118" s="25"/>
      <c r="S118" s="37">
        <f t="shared" si="42"/>
        <v>1</v>
      </c>
      <c r="T118" s="52" t="str">
        <f t="shared" si="27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15:38:25-0600',mode:absolute,to:'2016-09-16 18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8" s="54" t="str">
        <f t="shared" si="29"/>
        <v>N</v>
      </c>
      <c r="X118" s="168">
        <f t="shared" ref="X118:X149" si="43">VALUE(LEFT(AD118,4))-VALUE(LEFT(AD117,4))</f>
        <v>1</v>
      </c>
      <c r="Y118" s="69">
        <f t="shared" si="30"/>
        <v>4.9700000000000001E-2</v>
      </c>
      <c r="Z118" s="69">
        <f t="shared" si="31"/>
        <v>23.330500000000001</v>
      </c>
      <c r="AA118" s="69">
        <f t="shared" si="32"/>
        <v>23.280799999999999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3"/>
        <v>0205-16</v>
      </c>
      <c r="AE118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18" s="96" t="str">
        <f t="shared" si="35"/>
        <v>"C:\Program Files (x86)\AstroGrep\AstroGrep.exe" /spath="%USERPROFILE%\AppData\Local\Temp\OnboardLogs" /stypes="app*4009*20160916*" /stext=" 23:.+((SYSTEM_STATE.+slice.+state.+changed )|(ment ac)|(system.+state.+changed )|(\|lc)|(penalty)|(\[timeout)|(PRM\|1\|D)|(kpr)|(kdp))" /e /r /s</v>
      </c>
      <c r="AG118" s="1" t="str">
        <f t="shared" si="36"/>
        <v>EC</v>
      </c>
      <c r="AH118" s="100" t="str">
        <f t="shared" si="37"/>
        <v>"%USERPROFILE%\Documents\GitHub\eaglep3\Utilities\RefineRTDCRunTimes.py" --tripid 205-16 --locoid 4009 --swversion DE.1.0.7.0 --startMP 204:497 --initTime 2016-09-16T16:38:25 --startdatetime 2016-09-16T16:45:21 --delay 1 --endMP 204:233305 --enddatetime 2016-09-16T17:21:08 --enforcementcount 0 &gt;&gt;C:\Users\stu\Documents\GitHub\eaglep3-reporting\EC\2016-09-16-refined-times.txt</v>
      </c>
      <c r="AI11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{"issue":{"subject":"","project_id":79,"tracker_id":40,"status_id":1,"priority_id":2,"assigned_to_id":23,"start_date":"2016-09-16","description":"","custom_fields":[{"id":1,"name":"Subdivision","value":"EC"},{"id":4,"name":"Milepost","value":"23.3305"},{"id":17,"name":"Train ID","value":"205-16"},{"id":16,"name":"Locomotive ID","value":"4009"},{"id":130,"name":"Impact","value":""},{"id":150,"name":"Time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550</v>
      </c>
      <c r="B119" s="7">
        <v>4010</v>
      </c>
      <c r="C119" s="24" t="s">
        <v>107</v>
      </c>
      <c r="D119" s="24" t="s">
        <v>312</v>
      </c>
      <c r="E119" s="15">
        <v>42629.730937499997</v>
      </c>
      <c r="F119" s="15">
        <v>42629.737002314818</v>
      </c>
      <c r="G119" s="7">
        <v>1</v>
      </c>
      <c r="H119" s="15" t="s">
        <v>238</v>
      </c>
      <c r="I119" s="15">
        <v>42629.764282407406</v>
      </c>
      <c r="J119" s="7">
        <v>0</v>
      </c>
      <c r="K119" s="121" t="str">
        <f t="shared" si="23"/>
        <v>4009/4010</v>
      </c>
      <c r="L119" s="24" t="str">
        <f>VLOOKUP(A119,'Trips&amp;Operators'!$C$1:$E$10000,3,FALSE)</f>
        <v>OUN</v>
      </c>
      <c r="M119" s="6">
        <f t="shared" si="24"/>
        <v>2.7280092588625848E-2</v>
      </c>
      <c r="N119" s="7">
        <f t="shared" si="41"/>
        <v>39.283333327621222</v>
      </c>
      <c r="O119" s="7"/>
      <c r="P119" s="7"/>
      <c r="Q119" s="25"/>
      <c r="R119" s="25"/>
      <c r="S119" s="37">
        <f t="shared" si="42"/>
        <v>1</v>
      </c>
      <c r="T119" s="52" t="str">
        <f t="shared" si="27"/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16:32:33-0600',mode:absolute,to:'2016-09-16 19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9" s="54" t="str">
        <f t="shared" si="29"/>
        <v>N</v>
      </c>
      <c r="X119" s="168">
        <f t="shared" si="43"/>
        <v>1</v>
      </c>
      <c r="Y119" s="69">
        <f t="shared" si="30"/>
        <v>23.2971</v>
      </c>
      <c r="Z119" s="69">
        <f t="shared" si="31"/>
        <v>1.3899999999999999E-2</v>
      </c>
      <c r="AA119" s="69">
        <f t="shared" si="32"/>
        <v>23.283200000000001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3"/>
        <v>0206-16</v>
      </c>
      <c r="AE119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19" s="96" t="str">
        <f t="shared" si="35"/>
        <v>"C:\Program Files (x86)\AstroGrep\AstroGrep.exe" /spath="%USERPROFILE%\AppData\Local\Temp\OnboardLogs" /stypes="app*4010*20160917*" /stext=" 00:.+((SYSTEM_STATE.+slice.+state.+changed )|(ment ac)|(system.+state.+changed )|(\|lc)|(penalty)|(\[timeout)|(PRM\|1\|D)|(kpr)|(kdp))" /e /r /s</v>
      </c>
      <c r="AG119" s="1" t="str">
        <f t="shared" si="36"/>
        <v>EC</v>
      </c>
      <c r="AH119" s="100" t="str">
        <f t="shared" si="37"/>
        <v>"%USERPROFILE%\Documents\GitHub\eaglep3\Utilities\RefineRTDCRunTimes.py" --tripid 206-16 --locoid 4010 --swversion DE.1.0.7.0 --startMP 204:232971 --initTime 2016-09-16T17:32:33 --startdatetime 2016-09-16T17:41:17 --delay 1 --endMP 204:139 --enddatetime 2016-09-16T18:20:34 --enforcementcount 0 &gt;&gt;C:\Users\stu\Documents\GitHub\eaglep3-reporting\EC\2016-09-16-refined-times.txt</v>
      </c>
      <c r="AI11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ID","value":"206-16"},{"id":16,"name":"Locomotive ID","value":"4010"},{"id":130,"name":"Impact","value":""},{"id":150,"name":"Time of Event (Mountain Time)","value":"18:20:34"},{"id":151,"name":"Denver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542</v>
      </c>
      <c r="B120" s="7">
        <v>4018</v>
      </c>
      <c r="C120" s="24" t="s">
        <v>107</v>
      </c>
      <c r="D120" s="24" t="s">
        <v>257</v>
      </c>
      <c r="E120" s="15">
        <v>42629.705057870371</v>
      </c>
      <c r="F120" s="15">
        <v>42629.708622685182</v>
      </c>
      <c r="G120" s="7">
        <v>1</v>
      </c>
      <c r="H120" s="15" t="s">
        <v>336</v>
      </c>
      <c r="I120" s="15">
        <v>42629.733796296299</v>
      </c>
      <c r="J120" s="7">
        <v>0</v>
      </c>
      <c r="K120" s="121" t="str">
        <f t="shared" si="23"/>
        <v>4017/4018</v>
      </c>
      <c r="L120" s="24" t="str">
        <f>VLOOKUP(A120,'Trips&amp;Operators'!$C$1:$E$10000,3,FALSE)</f>
        <v>MOSES</v>
      </c>
      <c r="M120" s="6">
        <f t="shared" si="24"/>
        <v>2.5173611116770189E-2</v>
      </c>
      <c r="N120" s="7">
        <f t="shared" si="41"/>
        <v>36.250000008149073</v>
      </c>
      <c r="O120" s="7"/>
      <c r="P120" s="7"/>
      <c r="Q120" s="25"/>
      <c r="R120" s="25"/>
      <c r="S120" s="37">
        <f t="shared" si="42"/>
        <v>1</v>
      </c>
      <c r="T120" s="52" t="str">
        <f t="shared" si="27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15:55:17-0600',mode:absolute,to:'2016-09-16 18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0" s="54" t="str">
        <f t="shared" si="29"/>
        <v>N</v>
      </c>
      <c r="X120" s="168">
        <f t="shared" si="43"/>
        <v>1</v>
      </c>
      <c r="Y120" s="69">
        <f t="shared" si="30"/>
        <v>4.4900000000000002E-2</v>
      </c>
      <c r="Z120" s="69">
        <f t="shared" si="31"/>
        <v>23.324400000000001</v>
      </c>
      <c r="AA120" s="69">
        <f t="shared" si="32"/>
        <v>23.279500000000002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3"/>
        <v>0207-16</v>
      </c>
      <c r="AE120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120" s="96" t="str">
        <f t="shared" si="35"/>
        <v>"C:\Program Files (x86)\AstroGrep\AstroGrep.exe" /spath="%USERPROFILE%\AppData\Local\Temp\OnboardLogs" /stypes="app*4018*20160916*" /stext=" 23:.+((SYSTEM_STATE.+slice.+state.+changed )|(ment ac)|(system.+state.+changed )|(\|lc)|(penalty)|(\[timeout)|(PRM\|1\|D)|(kpr)|(kdp))" /e /r /s</v>
      </c>
      <c r="AG120" s="1" t="str">
        <f t="shared" si="36"/>
        <v>EC</v>
      </c>
      <c r="AH120" s="100" t="str">
        <f t="shared" si="37"/>
        <v>"%USERPROFILE%\Documents\GitHub\eaglep3\Utilities\RefineRTDCRunTimes.py" --tripid 207-16 --locoid 4018 --swversion DE.1.0.7.0 --startMP 204:449 --initTime 2016-09-16T16:55:17 --startdatetime 2016-09-16T17:00:25 --delay 1 --endMP 204:233244 --enddatetime 2016-09-16T17:36:40 --enforcementcount 0 &gt;&gt;C:\Users\stu\Documents\GitHub\eaglep3-reporting\EC\2016-09-16-refined-times.txt</v>
      </c>
      <c r="AI12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{"issue":{"subject":"","project_id":79,"tracker_id":40,"status_id":1,"priority_id":2,"assigned_to_id":23,"start_date":"2016-09-16","description":"","custom_fields":[{"id":1,"name":"Subdivision","value":"EC"},{"id":4,"name":"Milepost","value":"23.3244"},{"id":17,"name":"Train ID","value":"207-16"},{"id":16,"name":"Locomotive ID","value":"4018"},{"id":130,"name":"Impact","value":""},{"id":150,"name":"Time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557</v>
      </c>
      <c r="B121" s="7">
        <v>4017</v>
      </c>
      <c r="C121" s="24" t="s">
        <v>107</v>
      </c>
      <c r="D121" s="24" t="s">
        <v>673</v>
      </c>
      <c r="E121" s="15">
        <v>42629.741701388892</v>
      </c>
      <c r="F121" s="15">
        <v>42629.747546296298</v>
      </c>
      <c r="G121" s="7">
        <v>2</v>
      </c>
      <c r="H121" s="15" t="s">
        <v>351</v>
      </c>
      <c r="I121" s="15">
        <v>42629.775069444448</v>
      </c>
      <c r="J121" s="7">
        <v>0</v>
      </c>
      <c r="K121" s="121" t="str">
        <f t="shared" si="23"/>
        <v>4017/4018</v>
      </c>
      <c r="L121" s="24" t="str">
        <f>VLOOKUP(A121,'Trips&amp;Operators'!$C$1:$E$10000,3,FALSE)</f>
        <v>MOSES</v>
      </c>
      <c r="M121" s="6">
        <f t="shared" si="24"/>
        <v>2.7523148150066845E-2</v>
      </c>
      <c r="N121" s="7">
        <f t="shared" si="41"/>
        <v>39.633333336096257</v>
      </c>
      <c r="O121" s="7"/>
      <c r="P121" s="7"/>
      <c r="Q121" s="25"/>
      <c r="R121" s="25"/>
      <c r="S121" s="37">
        <f t="shared" si="42"/>
        <v>1</v>
      </c>
      <c r="T121" s="52" t="str">
        <f t="shared" si="27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16:48:03-0600',mode:absolute,to:'2016-09-16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1" s="54" t="str">
        <f t="shared" si="29"/>
        <v>N</v>
      </c>
      <c r="X121" s="168">
        <f t="shared" si="43"/>
        <v>1</v>
      </c>
      <c r="Y121" s="69">
        <f t="shared" si="30"/>
        <v>23.293199999999999</v>
      </c>
      <c r="Z121" s="69">
        <f t="shared" si="31"/>
        <v>1.61E-2</v>
      </c>
      <c r="AA121" s="69">
        <f t="shared" si="32"/>
        <v>23.277099999999997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3"/>
        <v>0208-16</v>
      </c>
      <c r="AE121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21" s="96" t="str">
        <f t="shared" si="35"/>
        <v>"C:\Program Files (x86)\AstroGrep\AstroGrep.exe" /spath="%USERPROFILE%\AppData\Local\Temp\OnboardLogs" /stypes="app*4017*20160917*" /stext=" 00:.+((SYSTEM_STATE.+slice.+state.+changed )|(ment ac)|(system.+state.+changed )|(\|lc)|(penalty)|(\[timeout)|(PRM\|1\|D)|(kpr)|(kdp))" /e /r /s</v>
      </c>
      <c r="AG121" s="1" t="str">
        <f t="shared" si="36"/>
        <v>EC</v>
      </c>
      <c r="AH121" s="100" t="str">
        <f t="shared" si="37"/>
        <v>"%USERPROFILE%\Documents\GitHub\eaglep3\Utilities\RefineRTDCRunTimes.py" --tripid 208-16 --locoid 4017 --swversion DE.1.0.7.0 --startMP 204:232932 --initTime 2016-09-16T17:48:03 --startdatetime 2016-09-16T17:56:28 --delay 2 --endMP 204:161 --enddatetime 2016-09-16T18:36:06 --enforcementcount 0 &gt;&gt;C:\Users\stu\Documents\GitHub\eaglep3-reporting\EC\2016-09-16-refined-times.txt</v>
      </c>
      <c r="AI12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ID","value":"208-16"},{"id":16,"name":"Locomotive ID","value":"4017"},{"id":130,"name":"Impact","value":""},{"id":150,"name":"Time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545</v>
      </c>
      <c r="B122" s="7">
        <v>4003</v>
      </c>
      <c r="C122" s="24" t="s">
        <v>107</v>
      </c>
      <c r="D122" s="24" t="s">
        <v>239</v>
      </c>
      <c r="E122" s="15">
        <v>42629.716006944444</v>
      </c>
      <c r="F122" s="15">
        <v>42629.71912037037</v>
      </c>
      <c r="G122" s="7">
        <v>1</v>
      </c>
      <c r="H122" s="15" t="s">
        <v>674</v>
      </c>
      <c r="I122" s="15">
        <v>42629.744745370372</v>
      </c>
      <c r="J122" s="7">
        <v>0</v>
      </c>
      <c r="K122" s="121" t="str">
        <f t="shared" si="23"/>
        <v>4003/4004</v>
      </c>
      <c r="L122" s="24" t="str">
        <f>VLOOKUP(A122,'Trips&amp;Operators'!$C$1:$E$10000,3,FALSE)</f>
        <v>HAITHCOX</v>
      </c>
      <c r="M122" s="6">
        <f t="shared" si="24"/>
        <v>2.5625000002037268E-2</v>
      </c>
      <c r="N122" s="7">
        <f t="shared" si="41"/>
        <v>36.900000002933666</v>
      </c>
      <c r="O122" s="7"/>
      <c r="P122" s="7"/>
      <c r="Q122" s="25"/>
      <c r="R122" s="25"/>
      <c r="S122" s="37">
        <f t="shared" si="42"/>
        <v>1</v>
      </c>
      <c r="T122" s="52" t="str">
        <f t="shared" si="27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16:11:03-0600',mode:absolute,to:'2016-09-16 18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2" s="54" t="str">
        <f t="shared" si="29"/>
        <v>N</v>
      </c>
      <c r="X122" s="168">
        <f t="shared" si="43"/>
        <v>1</v>
      </c>
      <c r="Y122" s="69">
        <f t="shared" si="30"/>
        <v>4.7300000000000002E-2</v>
      </c>
      <c r="Z122" s="69">
        <f t="shared" si="31"/>
        <v>23.335100000000001</v>
      </c>
      <c r="AA122" s="69">
        <f t="shared" si="32"/>
        <v>23.287800000000001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3"/>
        <v>0209-16</v>
      </c>
      <c r="AE122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22" s="96" t="str">
        <f t="shared" si="35"/>
        <v>"C:\Program Files (x86)\AstroGrep\AstroGrep.exe" /spath="%USERPROFILE%\AppData\Local\Temp\OnboardLogs" /stypes="app*4003*20160916*" /stext=" 23:.+((SYSTEM_STATE.+slice.+state.+changed )|(ment ac)|(system.+state.+changed )|(\|lc)|(penalty)|(\[timeout)|(PRM\|1\|D)|(kpr)|(kdp))" /e /r /s</v>
      </c>
      <c r="AG122" s="1" t="str">
        <f t="shared" si="36"/>
        <v>EC</v>
      </c>
      <c r="AH122" s="100" t="str">
        <f t="shared" si="37"/>
        <v>"%USERPROFILE%\Documents\GitHub\eaglep3\Utilities\RefineRTDCRunTimes.py" --tripid 209-16 --locoid 4003 --swversion DE.1.0.7.0 --startMP 204:473 --initTime 2016-09-16T17:11:03 --startdatetime 2016-09-16T17:15:32 --delay 1 --endMP 204:233351 --enddatetime 2016-09-16T17:52:26 --enforcementcount 0 &gt;&gt;C:\Users\stu\Documents\GitHub\eaglep3-reporting\EC\2016-09-16-refined-times.txt</v>
      </c>
      <c r="AI12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{"issue":{"subject":"","project_id":79,"tracker_id":40,"status_id":1,"priority_id":2,"assigned_to_id":23,"start_date":"2016-09-16","description":"","custom_fields":[{"id":1,"name":"Subdivision","value":"EC"},{"id":4,"name":"Milepost","value":"23.3351"},{"id":17,"name":"Train ID","value":"209-16"},{"id":16,"name":"Locomotive ID","value":"4003"},{"id":130,"name":"Impact","value":""},{"id":150,"name":"Time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559</v>
      </c>
      <c r="B123" s="7">
        <v>4004</v>
      </c>
      <c r="C123" s="24" t="s">
        <v>107</v>
      </c>
      <c r="D123" s="24" t="s">
        <v>675</v>
      </c>
      <c r="E123" s="15">
        <v>42629.753217592595</v>
      </c>
      <c r="F123" s="15">
        <v>42629.758287037039</v>
      </c>
      <c r="G123" s="7">
        <v>2</v>
      </c>
      <c r="H123" s="15" t="s">
        <v>624</v>
      </c>
      <c r="I123" s="15">
        <v>42629.785578703704</v>
      </c>
      <c r="J123" s="7">
        <v>0</v>
      </c>
      <c r="K123" s="121" t="str">
        <f t="shared" si="23"/>
        <v>4003/4004</v>
      </c>
      <c r="L123" s="24" t="str">
        <f>VLOOKUP(A123,'Trips&amp;Operators'!$C$1:$E$10000,3,FALSE)</f>
        <v>HAITHCOX</v>
      </c>
      <c r="M123" s="6">
        <f t="shared" si="24"/>
        <v>2.7291666665405501E-2</v>
      </c>
      <c r="N123" s="7">
        <f t="shared" si="41"/>
        <v>39.299999998183921</v>
      </c>
      <c r="O123" s="7"/>
      <c r="P123" s="7"/>
      <c r="Q123" s="25"/>
      <c r="R123" s="25"/>
      <c r="S123" s="37">
        <f t="shared" si="42"/>
        <v>1</v>
      </c>
      <c r="T123" s="52" t="str">
        <f t="shared" si="27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17:04:38-0600',mode:absolute,to:'2016-09-16 19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3" s="54" t="str">
        <f t="shared" si="29"/>
        <v>N</v>
      </c>
      <c r="X123" s="168">
        <f t="shared" si="43"/>
        <v>1</v>
      </c>
      <c r="Y123" s="69">
        <f t="shared" si="30"/>
        <v>23.304600000000001</v>
      </c>
      <c r="Z123" s="69">
        <f t="shared" si="31"/>
        <v>1.4500000000000001E-2</v>
      </c>
      <c r="AA123" s="69">
        <f t="shared" si="32"/>
        <v>23.290099999999999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3"/>
        <v>0210-16</v>
      </c>
      <c r="AE123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23" s="96" t="str">
        <f t="shared" si="35"/>
        <v>"C:\Program Files (x86)\AstroGrep\AstroGrep.exe" /spath="%USERPROFILE%\AppData\Local\Temp\OnboardLogs" /stypes="app*4004*20160917*" /stext=" 00:.+((SYSTEM_STATE.+slice.+state.+changed )|(ment ac)|(system.+state.+changed )|(\|lc)|(penalty)|(\[timeout)|(PRM\|1\|D)|(kpr)|(kdp))" /e /r /s</v>
      </c>
      <c r="AG123" s="1" t="str">
        <f t="shared" si="36"/>
        <v>EC</v>
      </c>
      <c r="AH123" s="100" t="str">
        <f t="shared" si="37"/>
        <v>"%USERPROFILE%\Documents\GitHub\eaglep3\Utilities\RefineRTDCRunTimes.py" --tripid 210-16 --locoid 4004 --swversion DE.1.0.7.0 --startMP 204:233046 --initTime 2016-09-16T18:04:38 --startdatetime 2016-09-16T18:11:56 --delay 2 --endMP 204:145 --enddatetime 2016-09-16T18:51:14 --enforcementcount 0 &gt;&gt;C:\Users\stu\Documents\GitHub\eaglep3-reporting\EC\2016-09-16-refined-times.txt</v>
      </c>
      <c r="AI12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ID","value":"210-16"},{"id":16,"name":"Locomotive ID","value":"4004"},{"id":130,"name":"Impact","value":""},{"id":150,"name":"Time of Event (Mountain Time)","value":"18:51:14"},{"id":151,"name":"Denver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549</v>
      </c>
      <c r="B124" s="7">
        <v>4020</v>
      </c>
      <c r="C124" s="24" t="s">
        <v>107</v>
      </c>
      <c r="D124" s="24" t="s">
        <v>353</v>
      </c>
      <c r="E124" s="15">
        <v>42629.724502314813</v>
      </c>
      <c r="F124" s="15">
        <v>42629.729479166665</v>
      </c>
      <c r="G124" s="7">
        <v>1</v>
      </c>
      <c r="H124" s="15" t="s">
        <v>354</v>
      </c>
      <c r="I124" s="15">
        <v>42629.755682870367</v>
      </c>
      <c r="J124" s="7">
        <v>0</v>
      </c>
      <c r="K124" s="121" t="str">
        <f t="shared" si="23"/>
        <v>4019/4020</v>
      </c>
      <c r="L124" s="24" t="str">
        <f>VLOOKUP(A124,'Trips&amp;Operators'!$C$1:$E$10000,3,FALSE)</f>
        <v>SWANSON</v>
      </c>
      <c r="M124" s="6">
        <f t="shared" si="24"/>
        <v>2.6203703702776693E-2</v>
      </c>
      <c r="N124" s="7">
        <f t="shared" si="41"/>
        <v>37.733333331998438</v>
      </c>
      <c r="O124" s="7"/>
      <c r="P124" s="7"/>
      <c r="Q124" s="25"/>
      <c r="R124" s="25"/>
      <c r="S124" s="37">
        <f t="shared" ref="S124:S148" si="44">SUM(U124:U124)/IF(AG124="EC",12,1)</f>
        <v>1</v>
      </c>
      <c r="T124" s="52" t="str">
        <f t="shared" si="27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16:23:17-0600',mode:absolute,to:'2016-09-16 19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4" s="54" t="str">
        <f t="shared" si="29"/>
        <v>N</v>
      </c>
      <c r="X124" s="168">
        <f t="shared" si="43"/>
        <v>1</v>
      </c>
      <c r="Y124" s="69">
        <f t="shared" si="30"/>
        <v>4.7699999999999999E-2</v>
      </c>
      <c r="Z124" s="69">
        <f t="shared" si="31"/>
        <v>23.3263</v>
      </c>
      <c r="AA124" s="69">
        <f t="shared" si="32"/>
        <v>23.278600000000001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3"/>
        <v>0211-16</v>
      </c>
      <c r="AE124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124" s="96" t="str">
        <f t="shared" si="35"/>
        <v>"C:\Program Files (x86)\AstroGrep\AstroGrep.exe" /spath="%USERPROFILE%\AppData\Local\Temp\OnboardLogs" /stypes="app*4020*20160917*" /stext=" 00:.+((SYSTEM_STATE.+slice.+state.+changed )|(ment ac)|(system.+state.+changed )|(\|lc)|(penalty)|(\[timeout)|(PRM\|1\|D)|(kpr)|(kdp))" /e /r /s</v>
      </c>
      <c r="AG124" s="1" t="str">
        <f t="shared" si="36"/>
        <v>EC</v>
      </c>
      <c r="AH124" s="100" t="str">
        <f t="shared" si="37"/>
        <v>"%USERPROFILE%\Documents\GitHub\eaglep3\Utilities\RefineRTDCRunTimes.py" --tripid 211-16 --locoid 4020 --swversion DE.1.0.7.0 --startMP 204:477 --initTime 2016-09-16T17:23:17 --startdatetime 2016-09-16T17:30:27 --delay 1 --endMP 204:233263 --enddatetime 2016-09-16T18:08:11 --enforcementcount 0 &gt;&gt;C:\Users\stu\Documents\GitHub\eaglep3-reporting\EC\2016-09-16-refined-times.txt</v>
      </c>
      <c r="AI12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{"issue":{"subject":"","project_id":79,"tracker_id":40,"status_id":1,"priority_id":2,"assigned_to_id":23,"start_date":"2016-09-16","description":"","custom_fields":[{"id":1,"name":"Subdivision","value":"EC"},{"id":4,"name":"Milepost","value":"23.3263"},{"id":17,"name":"Train ID","value":"211-16"},{"id":16,"name":"Locomotive ID","value":"4020"},{"id":130,"name":"Impact","value":""},{"id":150,"name":"Time of Event (Mountain Time)","value":"18:08:11"},{"id":151,"name":"Denver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561</v>
      </c>
      <c r="B125" s="7">
        <v>4019</v>
      </c>
      <c r="C125" s="24" t="s">
        <v>107</v>
      </c>
      <c r="D125" s="24" t="s">
        <v>307</v>
      </c>
      <c r="E125" s="15">
        <v>42629.758321759262</v>
      </c>
      <c r="F125" s="15">
        <v>42629.768379629626</v>
      </c>
      <c r="G125" s="7">
        <v>1</v>
      </c>
      <c r="H125" s="15" t="s">
        <v>251</v>
      </c>
      <c r="I125" s="15">
        <v>42629.796909722223</v>
      </c>
      <c r="J125" s="7">
        <v>0</v>
      </c>
      <c r="K125" s="121" t="str">
        <f t="shared" si="23"/>
        <v>4019/4020</v>
      </c>
      <c r="L125" s="24" t="str">
        <f>VLOOKUP(A125,'Trips&amp;Operators'!$C$1:$E$10000,3,FALSE)</f>
        <v>SWANSON</v>
      </c>
      <c r="M125" s="6">
        <f t="shared" si="24"/>
        <v>2.8530092597065959E-2</v>
      </c>
      <c r="N125" s="7">
        <f t="shared" si="41"/>
        <v>41.083333339774981</v>
      </c>
      <c r="O125" s="7"/>
      <c r="P125" s="7"/>
      <c r="Q125" s="25"/>
      <c r="R125" s="25"/>
      <c r="S125" s="37">
        <f t="shared" si="44"/>
        <v>1</v>
      </c>
      <c r="T125" s="52" t="str">
        <f t="shared" si="27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17:11:59-0600',mode:absolute,to:'2016-09-16 20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5" s="54" t="str">
        <f t="shared" si="29"/>
        <v>N</v>
      </c>
      <c r="X125" s="168">
        <f t="shared" si="43"/>
        <v>1</v>
      </c>
      <c r="Y125" s="69">
        <f t="shared" si="30"/>
        <v>23.2959</v>
      </c>
      <c r="Z125" s="69">
        <f t="shared" si="31"/>
        <v>1.38E-2</v>
      </c>
      <c r="AA125" s="69">
        <f t="shared" si="32"/>
        <v>23.2821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3"/>
        <v>0212-16</v>
      </c>
      <c r="AE125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25" s="96" t="str">
        <f t="shared" si="35"/>
        <v>"C:\Program Files (x86)\AstroGrep\AstroGrep.exe" /spath="%USERPROFILE%\AppData\Local\Temp\OnboardLogs" /stypes="app*4019*20160917*" /stext=" 01:.+((SYSTEM_STATE.+slice.+state.+changed )|(ment ac)|(system.+state.+changed )|(\|lc)|(penalty)|(\[timeout)|(PRM\|1\|D)|(kpr)|(kdp))" /e /r /s</v>
      </c>
      <c r="AG125" s="1" t="str">
        <f t="shared" si="36"/>
        <v>EC</v>
      </c>
      <c r="AH125" s="100" t="str">
        <f t="shared" si="37"/>
        <v>"%USERPROFILE%\Documents\GitHub\eaglep3\Utilities\RefineRTDCRunTimes.py" --tripid 212-16 --locoid 4019 --swversion DE.1.0.7.0 --startMP 204:232959 --initTime 2016-09-16T18:11:59 --startdatetime 2016-09-16T18:26:28 --delay 1 --endMP 204:138 --enddatetime 2016-09-16T19:07:33 --enforcementcount 0 &gt;&gt;C:\Users\stu\Documents\GitHub\eaglep3-reporting\EC\2016-09-16-refined-times.txt</v>
      </c>
      <c r="AI12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ID","value":"212-16"},{"id":16,"name":"Locomotive ID","value":"4019"},{"id":130,"name":"Impact","value":""},{"id":150,"name":"Time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552</v>
      </c>
      <c r="B126" s="7">
        <v>4038</v>
      </c>
      <c r="C126" s="24" t="s">
        <v>107</v>
      </c>
      <c r="D126" s="24" t="s">
        <v>231</v>
      </c>
      <c r="E126" s="15">
        <v>42629.734293981484</v>
      </c>
      <c r="F126" s="15">
        <v>42629.739733796298</v>
      </c>
      <c r="G126" s="7">
        <v>1</v>
      </c>
      <c r="H126" s="15" t="s">
        <v>352</v>
      </c>
      <c r="I126" s="15">
        <v>42629.763819444444</v>
      </c>
      <c r="J126" s="7">
        <v>0</v>
      </c>
      <c r="K126" s="121" t="str">
        <f t="shared" si="23"/>
        <v>4037/4038</v>
      </c>
      <c r="L126" s="24" t="str">
        <f>VLOOKUP(A126,'Trips&amp;Operators'!$C$1:$E$10000,3,FALSE)</f>
        <v>YANAI</v>
      </c>
      <c r="M126" s="6">
        <f t="shared" si="24"/>
        <v>2.4085648146865424E-2</v>
      </c>
      <c r="N126" s="7">
        <f t="shared" si="41"/>
        <v>34.68333333148621</v>
      </c>
      <c r="O126" s="7"/>
      <c r="P126" s="7"/>
      <c r="Q126" s="25"/>
      <c r="R126" s="25"/>
      <c r="S126" s="37">
        <f t="shared" si="44"/>
        <v>1</v>
      </c>
      <c r="T126" s="52" t="str">
        <f t="shared" si="27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16:37:23-0600',mode:absolute,to:'2016-09-16 19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26" s="54" t="str">
        <f t="shared" si="29"/>
        <v>N</v>
      </c>
      <c r="X126" s="168">
        <f t="shared" si="43"/>
        <v>1</v>
      </c>
      <c r="Y126" s="69">
        <f t="shared" si="30"/>
        <v>4.6600000000000003E-2</v>
      </c>
      <c r="Z126" s="69">
        <f t="shared" si="31"/>
        <v>23.330300000000001</v>
      </c>
      <c r="AA126" s="69">
        <f t="shared" si="32"/>
        <v>23.2837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3"/>
        <v>0213-16</v>
      </c>
      <c r="AE126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26" s="96" t="str">
        <f t="shared" si="35"/>
        <v>"C:\Program Files (x86)\AstroGrep\AstroGrep.exe" /spath="%USERPROFILE%\AppData\Local\Temp\OnboardLogs" /stypes="app*4038*20160917*" /stext=" 00:.+((SYSTEM_STATE.+slice.+state.+changed )|(ment ac)|(system.+state.+changed )|(\|lc)|(penalty)|(\[timeout)|(PRM\|1\|D)|(kpr)|(kdp))" /e /r /s</v>
      </c>
      <c r="AG126" s="1" t="str">
        <f t="shared" si="36"/>
        <v>EC</v>
      </c>
      <c r="AH126" s="100" t="str">
        <f t="shared" si="37"/>
        <v>"%USERPROFILE%\Documents\GitHub\eaglep3\Utilities\RefineRTDCRunTimes.py" --tripid 213-16 --locoid 4038 --swversion DE.1.0.7.0 --startMP 204:466 --initTime 2016-09-16T17:37:23 --startdatetime 2016-09-16T17:45:13 --delay 1 --endMP 204:233303 --enddatetime 2016-09-16T18:19:54 --enforcementcount 0 &gt;&gt;C:\Users\stu\Documents\GitHub\eaglep3-reporting\EC\2016-09-16-refined-times.txt</v>
      </c>
      <c r="AI12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{"issue":{"subject":"","project_id":79,"tracker_id":40,"status_id":1,"priority_id":2,"assigned_to_id":23,"start_date":"2016-09-16","description":"","custom_fields":[{"id":1,"name":"Subdivision","value":"EC"},{"id":4,"name":"Milepost","value":"23.3303"},{"id":17,"name":"Train ID","value":"213-16"},{"id":16,"name":"Locomotive ID","value":"4038"},{"id":130,"name":"Impact","value":""},{"id":150,"name":"Time of Event (Mountain Time)","value":"18:19:54"},{"id":151,"name":"Denver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567</v>
      </c>
      <c r="B127" s="7">
        <v>4037</v>
      </c>
      <c r="C127" s="24" t="s">
        <v>107</v>
      </c>
      <c r="D127" s="24" t="s">
        <v>308</v>
      </c>
      <c r="E127" s="15">
        <v>42629.774710648147</v>
      </c>
      <c r="F127" s="15">
        <v>42629.778645833336</v>
      </c>
      <c r="G127" s="7">
        <v>1</v>
      </c>
      <c r="H127" s="15" t="s">
        <v>222</v>
      </c>
      <c r="I127" s="15">
        <v>42629.804305555554</v>
      </c>
      <c r="J127" s="7">
        <v>0</v>
      </c>
      <c r="K127" s="121" t="str">
        <f t="shared" si="23"/>
        <v>4037/4038</v>
      </c>
      <c r="L127" s="24" t="str">
        <f>VLOOKUP(A127,'Trips&amp;Operators'!$C$1:$E$10000,3,FALSE)</f>
        <v>YANAI</v>
      </c>
      <c r="M127" s="6">
        <f t="shared" si="24"/>
        <v>2.565972221782431E-2</v>
      </c>
      <c r="N127" s="7">
        <f t="shared" si="41"/>
        <v>36.949999993667006</v>
      </c>
      <c r="O127" s="7"/>
      <c r="P127" s="7"/>
      <c r="Q127" s="25"/>
      <c r="R127" s="25"/>
      <c r="S127" s="37">
        <f t="shared" si="44"/>
        <v>1</v>
      </c>
      <c r="T127" s="52" t="str">
        <f t="shared" si="27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17:35:35-0600',mode:absolute,to:'2016-09-16 20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27" s="54" t="str">
        <f t="shared" si="29"/>
        <v>N</v>
      </c>
      <c r="X127" s="168">
        <f t="shared" si="43"/>
        <v>1</v>
      </c>
      <c r="Y127" s="69">
        <f t="shared" si="30"/>
        <v>23.2986</v>
      </c>
      <c r="Z127" s="69">
        <f t="shared" si="31"/>
        <v>1.5800000000000002E-2</v>
      </c>
      <c r="AA127" s="69">
        <f t="shared" si="32"/>
        <v>23.282800000000002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3"/>
        <v>0214-16</v>
      </c>
      <c r="AE127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27" s="96" t="str">
        <f t="shared" si="35"/>
        <v>"C:\Program Files (x86)\AstroGrep\AstroGrep.exe" /spath="%USERPROFILE%\AppData\Local\Temp\OnboardLogs" /stypes="app*4037*20160917*" /stext=" 01:.+((SYSTEM_STATE.+slice.+state.+changed )|(ment ac)|(system.+state.+changed )|(\|lc)|(penalty)|(\[timeout)|(PRM\|1\|D)|(kpr)|(kdp))" /e /r /s</v>
      </c>
      <c r="AG127" s="1" t="str">
        <f t="shared" si="36"/>
        <v>EC</v>
      </c>
      <c r="AH127" s="100" t="str">
        <f t="shared" si="37"/>
        <v>"%USERPROFILE%\Documents\GitHub\eaglep3\Utilities\RefineRTDCRunTimes.py" --tripid 214-16 --locoid 4037 --swversion DE.1.0.7.0 --startMP 204:232986 --initTime 2016-09-16T18:35:35 --startdatetime 2016-09-16T18:41:15 --delay 1 --endMP 204:158 --enddatetime 2016-09-16T19:18:12 --enforcementcount 0 &gt;&gt;C:\Users\stu\Documents\GitHub\eaglep3-reporting\EC\2016-09-16-refined-times.txt</v>
      </c>
      <c r="AI12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ID","value":"214-16"},{"id":16,"name":"Locomotive ID","value":"4037"},{"id":130,"name":"Impact","value":""},{"id":150,"name":"Time of Event (Mountain Time)","value":"19:18:12"},{"id":151,"name":"Denver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558</v>
      </c>
      <c r="B128" s="7">
        <v>4002</v>
      </c>
      <c r="C128" s="24" t="s">
        <v>107</v>
      </c>
      <c r="D128" s="24" t="s">
        <v>246</v>
      </c>
      <c r="E128" s="15">
        <v>42629.745671296296</v>
      </c>
      <c r="F128" s="15">
        <v>42629.750381944446</v>
      </c>
      <c r="G128" s="7">
        <v>1</v>
      </c>
      <c r="H128" s="15" t="s">
        <v>676</v>
      </c>
      <c r="I128" s="15">
        <v>42629.776388888888</v>
      </c>
      <c r="J128" s="7">
        <v>0</v>
      </c>
      <c r="K128" s="121" t="str">
        <f t="shared" si="23"/>
        <v>4001/4002</v>
      </c>
      <c r="L128" s="24" t="str">
        <f>VLOOKUP(A128,'Trips&amp;Operators'!$C$1:$E$10000,3,FALSE)</f>
        <v>HILLS</v>
      </c>
      <c r="M128" s="6">
        <f t="shared" si="24"/>
        <v>2.6006944441178348E-2</v>
      </c>
      <c r="N128" s="7">
        <f t="shared" si="41"/>
        <v>37.449999995296821</v>
      </c>
      <c r="O128" s="7"/>
      <c r="P128" s="7"/>
      <c r="Q128" s="25"/>
      <c r="R128" s="25"/>
      <c r="S128" s="37">
        <f t="shared" si="44"/>
        <v>1</v>
      </c>
      <c r="T128" s="52" t="str">
        <f t="shared" si="27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16:53:46-0600',mode:absolute,to:'2016-09-16 19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8" s="54" t="str">
        <f t="shared" si="29"/>
        <v>N</v>
      </c>
      <c r="X128" s="168">
        <f t="shared" si="43"/>
        <v>1</v>
      </c>
      <c r="Y128" s="69">
        <f t="shared" si="30"/>
        <v>4.5999999999999999E-2</v>
      </c>
      <c r="Z128" s="69">
        <f t="shared" si="31"/>
        <v>23.3247</v>
      </c>
      <c r="AA128" s="69">
        <f t="shared" si="32"/>
        <v>23.278700000000001</v>
      </c>
      <c r="AB128" s="66" t="str">
        <f>VLOOKUP(A128,Enforcements!$C$7:$K$20,8,0)</f>
        <v>Speed (6)</v>
      </c>
      <c r="AC128" s="62" t="str">
        <f>VLOOKUP(A128,Enforcements!$C$7:$E$20,3,0)</f>
        <v>PERMANENT SPEED RESTRICTION</v>
      </c>
      <c r="AD128" s="63" t="str">
        <f t="shared" si="33"/>
        <v>0215-16</v>
      </c>
      <c r="AE128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28" s="96" t="str">
        <f t="shared" si="35"/>
        <v>"C:\Program Files (x86)\AstroGrep\AstroGrep.exe" /spath="%USERPROFILE%\AppData\Local\Temp\OnboardLogs" /stypes="app*4002*20160917*" /stext=" 00:.+((SYSTEM_STATE.+slice.+state.+changed )|(ment ac)|(system.+state.+changed )|(\|lc)|(penalty)|(\[timeout)|(PRM\|1\|D)|(kpr)|(kdp))" /e /r /s</v>
      </c>
      <c r="AG128" s="1" t="str">
        <f t="shared" si="36"/>
        <v>EC</v>
      </c>
      <c r="AH128" s="100" t="str">
        <f t="shared" si="37"/>
        <v>"%USERPROFILE%\Documents\GitHub\eaglep3\Utilities\RefineRTDCRunTimes.py" --tripid 215-16 --locoid 4002 --swversion DE.1.0.7.0 --startMP 204:460 --initTime 2016-09-16T17:53:46 --startdatetime 2016-09-16T18:00:33 --delay 1 --endMP 204:233247 --enddatetime 2016-09-16T18:38:00 --enforcementcount 0 &gt;&gt;C:\Users\stu\Documents\GitHub\eaglep3-reporting\EC\2016-09-16-refined-times.txt</v>
      </c>
      <c r="AI12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{"issue":{"subject":"","project_id":79,"tracker_id":40,"status_id":1,"priority_id":2,"assigned_to_id":23,"start_date":"2016-09-16","description":"","custom_fields":[{"id":1,"name":"Subdivision","value":"EC"},{"id":4,"name":"Milepost","value":"23.3247"},{"id":17,"name":"Train ID","value":"215-16"},{"id":16,"name":"Locomotive ID","value":"4002"},{"id":130,"name":"Impact","value":""},{"id":150,"name":"Time of Event (Mountain Time)","value":"18:38:00"},{"id":151,"name":"Denver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570</v>
      </c>
      <c r="B129" s="7">
        <v>4001</v>
      </c>
      <c r="C129" s="24" t="s">
        <v>107</v>
      </c>
      <c r="D129" s="24" t="s">
        <v>337</v>
      </c>
      <c r="E129" s="15">
        <v>42629.778194444443</v>
      </c>
      <c r="F129" s="15">
        <v>42629.789375</v>
      </c>
      <c r="G129" s="7">
        <v>1</v>
      </c>
      <c r="H129" s="15" t="s">
        <v>220</v>
      </c>
      <c r="I129" s="15">
        <v>42629.816250000003</v>
      </c>
      <c r="J129" s="7">
        <v>0</v>
      </c>
      <c r="K129" s="121" t="str">
        <f t="shared" si="23"/>
        <v>4001/4002</v>
      </c>
      <c r="L129" s="24" t="str">
        <f>VLOOKUP(A129,'Trips&amp;Operators'!$C$1:$E$10000,3,FALSE)</f>
        <v>HILLS</v>
      </c>
      <c r="M129" s="6">
        <f t="shared" si="24"/>
        <v>2.6875000003201421E-2</v>
      </c>
      <c r="N129" s="7">
        <f t="shared" si="41"/>
        <v>38.700000004610047</v>
      </c>
      <c r="O129" s="7"/>
      <c r="P129" s="7"/>
      <c r="Q129" s="25"/>
      <c r="R129" s="25"/>
      <c r="S129" s="37">
        <f t="shared" si="44"/>
        <v>1</v>
      </c>
      <c r="T129" s="52" t="str">
        <f t="shared" si="27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17:40:36-0600',mode:absolute,to:'2016-09-16 20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9" s="54" t="str">
        <f t="shared" si="29"/>
        <v>N</v>
      </c>
      <c r="X129" s="168">
        <f t="shared" si="43"/>
        <v>1</v>
      </c>
      <c r="Y129" s="69">
        <f t="shared" si="30"/>
        <v>23.293399999999998</v>
      </c>
      <c r="Z129" s="69">
        <f t="shared" si="31"/>
        <v>1.6299999999999999E-2</v>
      </c>
      <c r="AA129" s="69">
        <f t="shared" si="32"/>
        <v>23.277099999999997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3"/>
        <v>0216-16</v>
      </c>
      <c r="AE129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29" s="96" t="str">
        <f t="shared" si="35"/>
        <v>"C:\Program Files (x86)\AstroGrep\AstroGrep.exe" /spath="%USERPROFILE%\AppData\Local\Temp\OnboardLogs" /stypes="app*4001*20160917*" /stext=" 01:.+((SYSTEM_STATE.+slice.+state.+changed )|(ment ac)|(system.+state.+changed )|(\|lc)|(penalty)|(\[timeout)|(PRM\|1\|D)|(kpr)|(kdp))" /e /r /s</v>
      </c>
      <c r="AG129" s="1" t="str">
        <f t="shared" si="36"/>
        <v>EC</v>
      </c>
      <c r="AH129" s="100" t="str">
        <f t="shared" si="37"/>
        <v>"%USERPROFILE%\Documents\GitHub\eaglep3\Utilities\RefineRTDCRunTimes.py" --tripid 216-16 --locoid 4001 --swversion DE.1.0.7.0 --startMP 204:232934 --initTime 2016-09-16T18:40:36 --startdatetime 2016-09-16T18:56:42 --delay 1 --endMP 204:163 --enddatetime 2016-09-16T19:35:24 --enforcementcount 0 &gt;&gt;C:\Users\stu\Documents\GitHub\eaglep3-reporting\EC\2016-09-16-refined-times.txt</v>
      </c>
      <c r="AI12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ID","value":"216-16"},{"id":16,"name":"Locomotive ID","value":"4001"},{"id":130,"name":"Impact","value":""},{"id":150,"name":"Time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562</v>
      </c>
      <c r="B130" s="7">
        <v>4044</v>
      </c>
      <c r="C130" s="24" t="s">
        <v>107</v>
      </c>
      <c r="D130" s="24" t="s">
        <v>244</v>
      </c>
      <c r="E130" s="15">
        <v>42629.75949074074</v>
      </c>
      <c r="F130" s="15">
        <v>42629.760763888888</v>
      </c>
      <c r="G130" s="7">
        <v>1</v>
      </c>
      <c r="H130" s="15" t="s">
        <v>273</v>
      </c>
      <c r="I130" s="15">
        <v>42629.786134259259</v>
      </c>
      <c r="J130" s="7">
        <v>0</v>
      </c>
      <c r="K130" s="121" t="str">
        <f t="shared" si="23"/>
        <v>4043/4044</v>
      </c>
      <c r="L130" s="24" t="str">
        <f>VLOOKUP(A130,'Trips&amp;Operators'!$C$1:$E$10000,3,FALSE)</f>
        <v>CHANDLER</v>
      </c>
      <c r="M130" s="6">
        <f t="shared" si="24"/>
        <v>2.5370370371092577E-2</v>
      </c>
      <c r="N130" s="7">
        <f t="shared" si="41"/>
        <v>36.53333333437331</v>
      </c>
      <c r="O130" s="7"/>
      <c r="P130" s="7"/>
      <c r="Q130" s="25"/>
      <c r="R130" s="25"/>
      <c r="S130" s="37">
        <f t="shared" si="44"/>
        <v>1</v>
      </c>
      <c r="T130" s="52" t="str">
        <f t="shared" si="27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17:13:40-0600',mode:absolute,to:'2016-09-16 19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0" s="54" t="str">
        <f t="shared" si="29"/>
        <v>N</v>
      </c>
      <c r="X130" s="168">
        <f t="shared" si="43"/>
        <v>1</v>
      </c>
      <c r="Y130" s="69">
        <f t="shared" si="30"/>
        <v>4.6699999999999998E-2</v>
      </c>
      <c r="Z130" s="69">
        <f t="shared" si="31"/>
        <v>23.329899999999999</v>
      </c>
      <c r="AA130" s="69">
        <f t="shared" si="32"/>
        <v>23.283199999999997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3"/>
        <v>0217-16</v>
      </c>
      <c r="AE130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30" s="96" t="str">
        <f t="shared" si="35"/>
        <v>"C:\Program Files (x86)\AstroGrep\AstroGrep.exe" /spath="%USERPROFILE%\AppData\Local\Temp\OnboardLogs" /stypes="app*4044*20160917*" /stext=" 00:.+((SYSTEM_STATE.+slice.+state.+changed )|(ment ac)|(system.+state.+changed )|(\|lc)|(penalty)|(\[timeout)|(PRM\|1\|D)|(kpr)|(kdp))" /e /r /s</v>
      </c>
      <c r="AG130" s="1" t="str">
        <f t="shared" si="36"/>
        <v>EC</v>
      </c>
      <c r="AH130" s="100" t="str">
        <f t="shared" si="37"/>
        <v>"%USERPROFILE%\Documents\GitHub\eaglep3\Utilities\RefineRTDCRunTimes.py" --tripid 217-16 --locoid 4044 --swversion DE.1.0.7.0 --startMP 204:467 --initTime 2016-09-16T18:13:40 --startdatetime 2016-09-16T18:15:30 --delay 1 --endMP 204:233299 --enddatetime 2016-09-16T18:52:02 --enforcementcount 0 &gt;&gt;C:\Users\stu\Documents\GitHub\eaglep3-reporting\EC\2016-09-16-refined-times.txt</v>
      </c>
      <c r="AI13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ID","value":"217-16"},{"id":16,"name":"Locomotive ID","value":"4044"},{"id":130,"name":"Impact","value":""},{"id":150,"name":"Time of Event (Mountain Time)","value":"18:52:02"},{"id":151,"name":"Denver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574</v>
      </c>
      <c r="B131" s="7">
        <v>4043</v>
      </c>
      <c r="C131" s="24" t="s">
        <v>107</v>
      </c>
      <c r="D131" s="24" t="s">
        <v>677</v>
      </c>
      <c r="E131" s="15">
        <v>42629.798252314817</v>
      </c>
      <c r="F131" s="15">
        <v>42629.800092592595</v>
      </c>
      <c r="G131" s="7">
        <v>2</v>
      </c>
      <c r="H131" s="15" t="s">
        <v>351</v>
      </c>
      <c r="I131" s="15">
        <v>42629.827233796299</v>
      </c>
      <c r="J131" s="7">
        <v>0</v>
      </c>
      <c r="K131" s="121" t="str">
        <f t="shared" si="23"/>
        <v>4043/4044</v>
      </c>
      <c r="L131" s="24" t="str">
        <f>VLOOKUP(A131,'Trips&amp;Operators'!$C$1:$E$10000,3,FALSE)</f>
        <v>CHANDLER</v>
      </c>
      <c r="M131" s="6">
        <f t="shared" si="24"/>
        <v>2.7141203703649808E-2</v>
      </c>
      <c r="N131" s="7">
        <f t="shared" si="41"/>
        <v>39.083333333255723</v>
      </c>
      <c r="O131" s="7"/>
      <c r="P131" s="7"/>
      <c r="Q131" s="25"/>
      <c r="R131" s="25"/>
      <c r="S131" s="37">
        <f t="shared" si="44"/>
        <v>1</v>
      </c>
      <c r="T131" s="52" t="str">
        <f t="shared" si="27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18:09:29-0600',mode:absolute,to:'2016-09-16 20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1" s="54" t="str">
        <f t="shared" si="29"/>
        <v>N</v>
      </c>
      <c r="X131" s="168">
        <f t="shared" si="43"/>
        <v>1</v>
      </c>
      <c r="Y131" s="69">
        <f t="shared" si="30"/>
        <v>23.244499999999999</v>
      </c>
      <c r="Z131" s="69">
        <f t="shared" si="31"/>
        <v>1.61E-2</v>
      </c>
      <c r="AA131" s="69">
        <f t="shared" si="32"/>
        <v>23.228399999999997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3"/>
        <v>0218-16</v>
      </c>
      <c r="AE131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31" s="96" t="str">
        <f t="shared" si="35"/>
        <v>"C:\Program Files (x86)\AstroGrep\AstroGrep.exe" /spath="%USERPROFILE%\AppData\Local\Temp\OnboardLogs" /stypes="app*4043*20160917*" /stext=" 01:.+((SYSTEM_STATE.+slice.+state.+changed )|(ment ac)|(system.+state.+changed )|(\|lc)|(penalty)|(\[timeout)|(PRM\|1\|D)|(kpr)|(kdp))" /e /r /s</v>
      </c>
      <c r="AG131" s="1" t="str">
        <f t="shared" si="36"/>
        <v>EC</v>
      </c>
      <c r="AH131" s="100" t="str">
        <f t="shared" si="37"/>
        <v>"%USERPROFILE%\Documents\GitHub\eaglep3\Utilities\RefineRTDCRunTimes.py" --tripid 218-16 --locoid 4043 --swversion DE.1.0.7.0 --startMP 204:232445 --initTime 2016-09-16T19:09:29 --startdatetime 2016-09-16T19:12:08 --delay 2 --endMP 204:161 --enddatetime 2016-09-16T19:51:13 --enforcementcount 0 &gt;&gt;C:\Users\stu\Documents\GitHub\eaglep3-reporting\EC\2016-09-16-refined-times.txt</v>
      </c>
      <c r="AI13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ID","value":"218-16"},{"id":16,"name":"Locomotive ID","value":"4043"},{"id":130,"name":"Impact","value":""},{"id":150,"name":"Time of Event (Mountain Time)","value":"19:51:13"},{"id":151,"name":"Denver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565</v>
      </c>
      <c r="B132" s="7">
        <v>4009</v>
      </c>
      <c r="C132" s="24" t="s">
        <v>107</v>
      </c>
      <c r="D132" s="24" t="s">
        <v>278</v>
      </c>
      <c r="E132" s="15">
        <v>42629.767962962964</v>
      </c>
      <c r="F132" s="15">
        <v>42629.771064814813</v>
      </c>
      <c r="G132" s="7">
        <v>1</v>
      </c>
      <c r="H132" s="15" t="s">
        <v>678</v>
      </c>
      <c r="I132" s="15">
        <v>42629.796585648146</v>
      </c>
      <c r="J132" s="7">
        <v>0</v>
      </c>
      <c r="K132" s="121" t="str">
        <f t="shared" si="23"/>
        <v>4009/4010</v>
      </c>
      <c r="L132" s="24" t="str">
        <f>VLOOKUP(A132,'Trips&amp;Operators'!$C$1:$E$10000,3,FALSE)</f>
        <v>STURGEON</v>
      </c>
      <c r="M132" s="6">
        <f t="shared" si="24"/>
        <v>2.5520833332848269E-2</v>
      </c>
      <c r="N132" s="7">
        <f t="shared" si="41"/>
        <v>36.749999999301508</v>
      </c>
      <c r="O132" s="7"/>
      <c r="P132" s="7"/>
      <c r="Q132" s="25"/>
      <c r="R132" s="25"/>
      <c r="S132" s="37">
        <f t="shared" si="44"/>
        <v>1</v>
      </c>
      <c r="T132" s="52" t="str">
        <f t="shared" si="27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17:25:52-0600',mode:absolute,to:'2016-09-16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2" s="54" t="str">
        <f t="shared" si="29"/>
        <v>N</v>
      </c>
      <c r="X132" s="168">
        <f t="shared" si="43"/>
        <v>1</v>
      </c>
      <c r="Y132" s="69">
        <f t="shared" si="30"/>
        <v>4.4600000000000001E-2</v>
      </c>
      <c r="Z132" s="69">
        <f t="shared" si="31"/>
        <v>23.323599999999999</v>
      </c>
      <c r="AA132" s="69">
        <f t="shared" si="32"/>
        <v>23.279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3"/>
        <v>0219-16</v>
      </c>
      <c r="AE132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32" s="96" t="str">
        <f t="shared" si="35"/>
        <v>"C:\Program Files (x86)\AstroGrep\AstroGrep.exe" /spath="%USERPROFILE%\AppData\Local\Temp\OnboardLogs" /stypes="app*4009*20160917*" /stext=" 01:.+((SYSTEM_STATE.+slice.+state.+changed )|(ment ac)|(system.+state.+changed )|(\|lc)|(penalty)|(\[timeout)|(PRM\|1\|D)|(kpr)|(kdp))" /e /r /s</v>
      </c>
      <c r="AG132" s="1" t="str">
        <f t="shared" si="36"/>
        <v>EC</v>
      </c>
      <c r="AH132" s="100" t="str">
        <f t="shared" si="37"/>
        <v>"%USERPROFILE%\Documents\GitHub\eaglep3\Utilities\RefineRTDCRunTimes.py" --tripid 219-16 --locoid 4009 --swversion DE.1.0.7.0 --startMP 204:446 --initTime 2016-09-16T18:25:52 --startdatetime 2016-09-16T18:30:20 --delay 1 --endMP 204:233236 --enddatetime 2016-09-16T19:07:05 --enforcementcount 0 &gt;&gt;C:\Users\stu\Documents\GitHub\eaglep3-reporting\EC\2016-09-16-refined-times.txt</v>
      </c>
      <c r="AI13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{"issue":{"subject":"","project_id":79,"tracker_id":40,"status_id":1,"priority_id":2,"assigned_to_id":23,"start_date":"2016-09-16","description":"","custom_fields":[{"id":1,"name":"Subdivision","value":"EC"},{"id":4,"name":"Milepost","value":"23.3236"},{"id":17,"name":"Train ID","value":"219-16"},{"id":16,"name":"Locomotive ID","value":"4009"},{"id":130,"name":"Impact","value":""},{"id":150,"name":"Time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576</v>
      </c>
      <c r="B133" s="7">
        <v>4010</v>
      </c>
      <c r="C133" s="24" t="s">
        <v>107</v>
      </c>
      <c r="D133" s="24" t="s">
        <v>679</v>
      </c>
      <c r="E133" s="15">
        <v>42629.800416666665</v>
      </c>
      <c r="F133" s="15">
        <v>42629.810243055559</v>
      </c>
      <c r="G133" s="7">
        <v>1</v>
      </c>
      <c r="H133" s="15" t="s">
        <v>332</v>
      </c>
      <c r="I133" s="15">
        <v>42629.837199074071</v>
      </c>
      <c r="J133" s="7">
        <v>0</v>
      </c>
      <c r="K133" s="121" t="str">
        <f t="shared" si="23"/>
        <v>4009/4010</v>
      </c>
      <c r="L133" s="24" t="str">
        <f>VLOOKUP(A133,'Trips&amp;Operators'!$C$1:$E$10000,3,FALSE)</f>
        <v>DELGADO</v>
      </c>
      <c r="M133" s="6">
        <f t="shared" si="24"/>
        <v>2.6956018511555158E-2</v>
      </c>
      <c r="N133" s="7">
        <f t="shared" si="41"/>
        <v>38.816666656639427</v>
      </c>
      <c r="O133" s="7"/>
      <c r="P133" s="7"/>
      <c r="Q133" s="25"/>
      <c r="R133" s="25"/>
      <c r="S133" s="37">
        <f t="shared" si="44"/>
        <v>1</v>
      </c>
      <c r="T133" s="52" t="str">
        <f t="shared" si="27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18:12:36-0600',mode:absolute,to:'2016-09-16 21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3" s="54" t="str">
        <f t="shared" si="29"/>
        <v>N</v>
      </c>
      <c r="X133" s="168">
        <f t="shared" si="43"/>
        <v>1</v>
      </c>
      <c r="Y133" s="69">
        <f t="shared" si="30"/>
        <v>23.291499999999999</v>
      </c>
      <c r="Z133" s="69">
        <f t="shared" si="31"/>
        <v>1.7000000000000001E-2</v>
      </c>
      <c r="AA133" s="69">
        <f t="shared" si="32"/>
        <v>23.2745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3"/>
        <v>0220-16</v>
      </c>
      <c r="AE133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33" s="96" t="str">
        <f t="shared" si="35"/>
        <v>"C:\Program Files (x86)\AstroGrep\AstroGrep.exe" /spath="%USERPROFILE%\AppData\Local\Temp\OnboardLogs" /stypes="app*4010*20160917*" /stext=" 02:.+((SYSTEM_STATE.+slice.+state.+changed )|(ment ac)|(system.+state.+changed )|(\|lc)|(penalty)|(\[timeout)|(PRM\|1\|D)|(kpr)|(kdp))" /e /r /s</v>
      </c>
      <c r="AG133" s="1" t="str">
        <f t="shared" si="36"/>
        <v>EC</v>
      </c>
      <c r="AH133" s="100" t="str">
        <f t="shared" si="37"/>
        <v>"%USERPROFILE%\Documents\GitHub\eaglep3\Utilities\RefineRTDCRunTimes.py" --tripid 220-16 --locoid 4010 --swversion DE.1.0.7.0 --startMP 204:232915 --initTime 2016-09-16T19:12:36 --startdatetime 2016-09-16T19:26:45 --delay 1 --endMP 204:170 --enddatetime 2016-09-16T20:05:34 --enforcementcount 0 &gt;&gt;C:\Users\stu\Documents\GitHub\eaglep3-reporting\EC\2016-09-16-refined-times.txt</v>
      </c>
      <c r="AI13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{"issue":{"subject":"","project_id":79,"tracker_id":40,"status_id":1,"priority_id":2,"assigned_to_id":23,"start_date":"2016-09-16","description":"","custom_fields":[{"id":1,"name":"Subdivision","value":"EC"},{"id":4,"name":"Milepost","value":"0.017"},{"id":17,"name":"Train ID","value":"220-16"},{"id":16,"name":"Locomotive ID","value":"4010"},{"id":130,"name":"Impact","value":""},{"id":150,"name":"Time of Event (Mountain Time)","value":"20:05:34"},{"id":151,"name":"Denver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571</v>
      </c>
      <c r="B134" s="7">
        <v>4003</v>
      </c>
      <c r="C134" s="24" t="s">
        <v>107</v>
      </c>
      <c r="D134" s="24" t="s">
        <v>257</v>
      </c>
      <c r="E134" s="15">
        <v>42629.787546296298</v>
      </c>
      <c r="F134" s="15">
        <v>42629.791863425926</v>
      </c>
      <c r="G134" s="7">
        <v>2</v>
      </c>
      <c r="H134" s="15" t="s">
        <v>680</v>
      </c>
      <c r="I134" s="15">
        <v>42629.816493055558</v>
      </c>
      <c r="J134" s="7">
        <v>0</v>
      </c>
      <c r="K134" s="121" t="str">
        <f t="shared" si="23"/>
        <v>4003/4004</v>
      </c>
      <c r="L134" s="24" t="str">
        <f>VLOOKUP(A134,'Trips&amp;Operators'!$C$1:$E$10000,3,FALSE)</f>
        <v>LEVIN</v>
      </c>
      <c r="M134" s="6">
        <f t="shared" si="24"/>
        <v>2.4629629631817807E-2</v>
      </c>
      <c r="N134" s="7">
        <f t="shared" si="41"/>
        <v>35.466666669817641</v>
      </c>
      <c r="O134" s="7"/>
      <c r="P134" s="7"/>
      <c r="Q134" s="25"/>
      <c r="R134" s="25"/>
      <c r="S134" s="37">
        <f t="shared" si="44"/>
        <v>1</v>
      </c>
      <c r="T134" s="52" t="str">
        <f t="shared" si="27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17:54:04-0600',mode:absolute,to:'2016-09-16 20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4" s="54" t="str">
        <f t="shared" si="29"/>
        <v>N</v>
      </c>
      <c r="X134" s="168">
        <f t="shared" si="43"/>
        <v>1</v>
      </c>
      <c r="Y134" s="69">
        <f t="shared" si="30"/>
        <v>4.4900000000000002E-2</v>
      </c>
      <c r="Z134" s="69">
        <f t="shared" si="31"/>
        <v>23.332799999999999</v>
      </c>
      <c r="AA134" s="69">
        <f t="shared" si="32"/>
        <v>23.2879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3"/>
        <v>0221-16</v>
      </c>
      <c r="AE134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34" s="96" t="str">
        <f t="shared" si="35"/>
        <v>"C:\Program Files (x86)\AstroGrep\AstroGrep.exe" /spath="%USERPROFILE%\AppData\Local\Temp\OnboardLogs" /stypes="app*4003*20160917*" /stext=" 01:.+((SYSTEM_STATE.+slice.+state.+changed )|(ment ac)|(system.+state.+changed )|(\|lc)|(penalty)|(\[timeout)|(PRM\|1\|D)|(kpr)|(kdp))" /e /r /s</v>
      </c>
      <c r="AG134" s="1" t="str">
        <f t="shared" si="36"/>
        <v>EC</v>
      </c>
      <c r="AH134" s="100" t="str">
        <f t="shared" si="37"/>
        <v>"%USERPROFILE%\Documents\GitHub\eaglep3\Utilities\RefineRTDCRunTimes.py" --tripid 221-16 --locoid 4003 --swversion DE.1.0.7.0 --startMP 204:449 --initTime 2016-09-16T18:54:04 --startdatetime 2016-09-16T19:00:17 --delay 2 --endMP 204:233328 --enddatetime 2016-09-16T19:35:45 --enforcementcount 0 &gt;&gt;C:\Users\stu\Documents\GitHub\eaglep3-reporting\EC\2016-09-16-refined-times.txt</v>
      </c>
      <c r="AI13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{"issue":{"subject":"","project_id":79,"tracker_id":40,"status_id":1,"priority_id":2,"assigned_to_id":23,"start_date":"2016-09-16","description":"","custom_fields":[{"id":1,"name":"Subdivision","value":"EC"},{"id":4,"name":"Milepost","value":"23.3328"},{"id":17,"name":"Train ID","value":"221-16"},{"id":16,"name":"Locomotive ID","value":"4003"},{"id":130,"name":"Impact","value":""},{"id":150,"name":"Time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580</v>
      </c>
      <c r="B135" s="7">
        <v>4004</v>
      </c>
      <c r="C135" s="24" t="s">
        <v>107</v>
      </c>
      <c r="D135" s="24" t="s">
        <v>334</v>
      </c>
      <c r="E135" s="15">
        <v>42629.825590277775</v>
      </c>
      <c r="F135" s="15">
        <v>42629.830937500003</v>
      </c>
      <c r="G135" s="7">
        <v>1</v>
      </c>
      <c r="H135" s="15" t="s">
        <v>627</v>
      </c>
      <c r="I135" s="15">
        <v>42629.858912037038</v>
      </c>
      <c r="J135" s="7">
        <v>0</v>
      </c>
      <c r="K135" s="121" t="str">
        <f t="shared" si="23"/>
        <v>4003/4004</v>
      </c>
      <c r="L135" s="24" t="str">
        <f>VLOOKUP(A135,'Trips&amp;Operators'!$C$1:$E$10000,3,FALSE)</f>
        <v>LEVIN</v>
      </c>
      <c r="M135" s="6">
        <f t="shared" si="24"/>
        <v>2.7974537035333924E-2</v>
      </c>
      <c r="N135" s="7">
        <f t="shared" si="41"/>
        <v>40.283333330880851</v>
      </c>
      <c r="O135" s="7"/>
      <c r="P135" s="7"/>
      <c r="Q135" s="25"/>
      <c r="R135" s="25"/>
      <c r="S135" s="37">
        <f t="shared" si="44"/>
        <v>1</v>
      </c>
      <c r="T135" s="52" t="str">
        <f t="shared" si="27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35" s="54" t="str">
        <f t="shared" si="29"/>
        <v>N</v>
      </c>
      <c r="X135" s="168">
        <f t="shared" si="43"/>
        <v>1</v>
      </c>
      <c r="Y135" s="69">
        <f t="shared" si="30"/>
        <v>23.300699999999999</v>
      </c>
      <c r="Z135" s="69">
        <f t="shared" si="31"/>
        <v>1.29E-2</v>
      </c>
      <c r="AA135" s="69">
        <f t="shared" si="32"/>
        <v>23.287800000000001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3"/>
        <v>0222-16</v>
      </c>
      <c r="AE135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35" s="96" t="str">
        <f t="shared" si="35"/>
        <v>"C:\Program Files (x86)\AstroGrep\AstroGrep.exe" /spath="%USERPROFILE%\AppData\Local\Temp\OnboardLogs" /stypes="app*4004*20160917*" /stext=" 02:.+((SYSTEM_STATE.+slice.+state.+changed )|(ment ac)|(system.+state.+changed )|(\|lc)|(penalty)|(\[timeout)|(PRM\|1\|D)|(kpr)|(kdp))" /e /r /s</v>
      </c>
      <c r="AG135" s="1" t="str">
        <f t="shared" si="36"/>
        <v>EC</v>
      </c>
      <c r="AH135" s="100" t="str">
        <f t="shared" si="37"/>
        <v>"%USERPROFILE%\Documents\GitHub\eaglep3\Utilities\RefineRTDCRunTimes.py" --tripid 222-16 --locoid 4004 --swversion DE.1.0.7.0 --startMP 204:233007 --initTime 2016-09-16T19:48:51 --startdatetime 2016-09-16T19:56:33 --delay 1 --endMP 204:129 --enddatetime 2016-09-16T20:36:50 --enforcementcount 0 &gt;&gt;C:\Users\stu\Documents\GitHub\eaglep3-reporting\EC\2016-09-16-refined-times.txt</v>
      </c>
      <c r="AI13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ID","value":"222-16"},{"id":16,"name":"Locomotive ID","value":"4004"},{"id":130,"name":"Impact","value":""},{"id":150,"name":"Time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577</v>
      </c>
      <c r="B136" s="7">
        <v>4038</v>
      </c>
      <c r="C136" s="24" t="s">
        <v>107</v>
      </c>
      <c r="D136" s="24" t="s">
        <v>294</v>
      </c>
      <c r="E136" s="15">
        <v>42629.806377314817</v>
      </c>
      <c r="F136" s="15">
        <v>42629.812673611108</v>
      </c>
      <c r="G136" s="7">
        <v>1</v>
      </c>
      <c r="H136" s="15" t="s">
        <v>651</v>
      </c>
      <c r="I136" s="15">
        <v>42629.836770833332</v>
      </c>
      <c r="J136" s="7">
        <v>0</v>
      </c>
      <c r="K136" s="121" t="str">
        <f t="shared" si="23"/>
        <v>4037/4038</v>
      </c>
      <c r="L136" s="24" t="str">
        <f>VLOOKUP(A136,'Trips&amp;Operators'!$C$1:$E$10000,3,FALSE)</f>
        <v>YANAI</v>
      </c>
      <c r="M136" s="6">
        <f t="shared" si="24"/>
        <v>2.4097222223645076E-2</v>
      </c>
      <c r="N136" s="7">
        <f t="shared" si="41"/>
        <v>34.70000000204891</v>
      </c>
      <c r="O136" s="7"/>
      <c r="P136" s="7"/>
      <c r="Q136" s="25"/>
      <c r="R136" s="25"/>
      <c r="S136" s="37">
        <f t="shared" si="44"/>
        <v>1</v>
      </c>
      <c r="T136" s="52" t="str">
        <f t="shared" si="27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18:21:11-0600',mode:absolute,to:'2016-09-16 21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36" s="54" t="str">
        <f t="shared" si="29"/>
        <v>N</v>
      </c>
      <c r="X136" s="168">
        <f t="shared" si="43"/>
        <v>1</v>
      </c>
      <c r="Y136" s="69">
        <f t="shared" si="30"/>
        <v>4.8399999999999999E-2</v>
      </c>
      <c r="Z136" s="69">
        <f t="shared" si="31"/>
        <v>23.328800000000001</v>
      </c>
      <c r="AA136" s="69">
        <f t="shared" si="32"/>
        <v>23.2804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3"/>
        <v>0223-16</v>
      </c>
      <c r="AE136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36" s="96" t="str">
        <f t="shared" si="35"/>
        <v>"C:\Program Files (x86)\AstroGrep\AstroGrep.exe" /spath="%USERPROFILE%\AppData\Local\Temp\OnboardLogs" /stypes="app*4038*20160917*" /stext=" 02:.+((SYSTEM_STATE.+slice.+state.+changed )|(ment ac)|(system.+state.+changed )|(\|lc)|(penalty)|(\[timeout)|(PRM\|1\|D)|(kpr)|(kdp))" /e /r /s</v>
      </c>
      <c r="AG136" s="1" t="str">
        <f t="shared" si="36"/>
        <v>EC</v>
      </c>
      <c r="AH136" s="100" t="str">
        <f t="shared" si="37"/>
        <v>"%USERPROFILE%\Documents\GitHub\eaglep3\Utilities\RefineRTDCRunTimes.py" --tripid 223-16 --locoid 4038 --swversion DE.1.0.7.0 --startMP 204:484 --initTime 2016-09-16T19:21:11 --startdatetime 2016-09-16T19:30:15 --delay 1 --endMP 204:233288 --enddatetime 2016-09-16T20:04:57 --enforcementcount 0 &gt;&gt;C:\Users\stu\Documents\GitHub\eaglep3-reporting\EC\2016-09-16-refined-times.txt</v>
      </c>
      <c r="AI13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ID","value":"223-16"},{"id":16,"name":"Locomotive ID","value":"4038"},{"id":130,"name":"Impact","value":""},{"id":150,"name":"Time of Event (Mountain Time)","value":"20:04:57"},{"id":151,"name":"Denver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583</v>
      </c>
      <c r="B137" s="7">
        <v>4037</v>
      </c>
      <c r="C137" s="24" t="s">
        <v>107</v>
      </c>
      <c r="D137" s="24" t="s">
        <v>243</v>
      </c>
      <c r="E137" s="15">
        <v>42629.848182870373</v>
      </c>
      <c r="F137" s="15">
        <v>42629.851539351854</v>
      </c>
      <c r="G137" s="7">
        <v>1</v>
      </c>
      <c r="H137" s="15" t="s">
        <v>681</v>
      </c>
      <c r="I137" s="15">
        <v>42629.87159722222</v>
      </c>
      <c r="J137" s="7">
        <v>0</v>
      </c>
      <c r="K137" s="121" t="str">
        <f t="shared" si="23"/>
        <v>4037/4038</v>
      </c>
      <c r="L137" s="24" t="str">
        <f>VLOOKUP(A137,'Trips&amp;Operators'!$C$1:$E$10000,3,FALSE)</f>
        <v>YANAI</v>
      </c>
      <c r="M137" s="6">
        <f t="shared" si="24"/>
        <v>2.0057870366144925E-2</v>
      </c>
      <c r="N137" s="7"/>
      <c r="O137" s="7"/>
      <c r="P137" s="7">
        <f>24*60*SUM($M137:$M137)</f>
        <v>28.883333327248693</v>
      </c>
      <c r="Q137" s="25"/>
      <c r="R137" s="25" t="s">
        <v>776</v>
      </c>
      <c r="S137" s="37">
        <f t="shared" si="44"/>
        <v>0.75</v>
      </c>
      <c r="T137" s="52" t="str">
        <f t="shared" si="27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9</v>
      </c>
      <c r="V13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19:21:23-0600',mode:absolute,to:'2016-09-16 21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37" s="54" t="str">
        <f t="shared" si="29"/>
        <v>Y</v>
      </c>
      <c r="X137" s="168">
        <f t="shared" si="43"/>
        <v>1</v>
      </c>
      <c r="Y137" s="69">
        <f t="shared" si="30"/>
        <v>23.296900000000001</v>
      </c>
      <c r="Z137" s="69">
        <f t="shared" si="31"/>
        <v>3.7763</v>
      </c>
      <c r="AA137" s="69">
        <f t="shared" si="32"/>
        <v>19.520600000000002</v>
      </c>
      <c r="AB137" s="66" t="str">
        <f>VLOOKUP(A137,Enforcements!$C$7:$K$20,8,0)</f>
        <v>Signal based authority (5)</v>
      </c>
      <c r="AC137" s="62" t="str">
        <f>VLOOKUP(A137,Enforcements!$C$7:$E$20,3,0)</f>
        <v>SIGNAL</v>
      </c>
      <c r="AD137" s="63" t="str">
        <f t="shared" si="33"/>
        <v>0224-16</v>
      </c>
      <c r="AE137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37" s="96" t="str">
        <f t="shared" si="35"/>
        <v>"C:\Program Files (x86)\AstroGrep\AstroGrep.exe" /spath="%USERPROFILE%\AppData\Local\Temp\OnboardLogs" /stypes="app*4037*20160917*" /stext=" 02:.+((SYSTEM_STATE.+slice.+state.+changed )|(ment ac)|(system.+state.+changed )|(\|lc)|(penalty)|(\[timeout)|(PRM\|1\|D)|(kpr)|(kdp))" /e /r /s</v>
      </c>
      <c r="AG137" s="1" t="str">
        <f t="shared" si="36"/>
        <v>EC</v>
      </c>
      <c r="AH137" s="100" t="str">
        <f t="shared" si="37"/>
        <v>"%USERPROFILE%\Documents\GitHub\eaglep3\Utilities\RefineRTDCRunTimes.py" --tripid 224-16 --locoid 4037 --swversion DE.1.0.7.0 --startMP 204:232969 --initTime 2016-09-16T20:21:23 --startdatetime 2016-09-16T20:26:13 --delay 1 --endMP 204:37763 --enddatetime 2016-09-16T20:55:06 --enforcementcount 0 &gt;&gt;C:\Users\stu\Documents\GitHub\eaglep3-reporting\EC\2016-09-16-refined-times.txt</v>
      </c>
      <c r="AI137" s="134" t="str">
        <f t="shared" si="38"/>
        <v>echo {"issue":{"subject":"Signaling failure at EC0365 40-2T 2S?","project_id":79,"tracker_id":40,"status_id":1,"priority_id":2,"assigned_to_id":23,"start_date":"2016-09-16","description":"Between 20:52:26 and 20:54:50, EC0365 40-2T 2S went back and forth between 0 and 270. Was this erroneous or as-designed?","custom_fields":[{"id":1,"name":"Subdivision","value":"EC"},{"id":4,"name":"Milepost","value":"3.7763"},{"id":17,"name":"Train ID","value":"224-16"},{"id":16,"name":"Locomotive ID","value":"4037"},{"id":130,"name":"Impact","value":"Enforcement"},{"id":150,"name":"Time of Event (Mountain Time)","value":"20:55:06"},{"id":151,"name":"Denver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7" s="55" t="s">
        <v>777</v>
      </c>
      <c r="AK137" s="55" t="s">
        <v>140</v>
      </c>
      <c r="AL137" s="55" t="s">
        <v>145</v>
      </c>
    </row>
    <row r="138" spans="1:38" x14ac:dyDescent="0.25">
      <c r="A138" s="39" t="s">
        <v>581</v>
      </c>
      <c r="B138" s="7">
        <v>4044</v>
      </c>
      <c r="C138" s="24" t="s">
        <v>107</v>
      </c>
      <c r="D138" s="24" t="s">
        <v>241</v>
      </c>
      <c r="E138" s="15">
        <v>42629.830891203703</v>
      </c>
      <c r="F138" s="15">
        <v>42629.833587962959</v>
      </c>
      <c r="G138" s="7">
        <v>1</v>
      </c>
      <c r="H138" s="15" t="s">
        <v>682</v>
      </c>
      <c r="I138" s="15">
        <v>42629.859131944446</v>
      </c>
      <c r="J138" s="7">
        <v>0</v>
      </c>
      <c r="K138" s="121" t="str">
        <f t="shared" si="23"/>
        <v>4043/4044</v>
      </c>
      <c r="L138" s="24" t="str">
        <f>VLOOKUP(A138,'Trips&amp;Operators'!$C$1:$E$10000,3,FALSE)</f>
        <v>CHANDLER</v>
      </c>
      <c r="M138" s="6">
        <f t="shared" si="24"/>
        <v>2.5543981486407574E-2</v>
      </c>
      <c r="N138" s="7">
        <f t="shared" ref="N138:N148" si="45">24*60*SUM($M138:$M138)</f>
        <v>36.783333340426907</v>
      </c>
      <c r="O138" s="7"/>
      <c r="P138" s="7"/>
      <c r="Q138" s="25"/>
      <c r="R138" s="25"/>
      <c r="S138" s="37">
        <f t="shared" si="44"/>
        <v>1</v>
      </c>
      <c r="T138" s="52" t="str">
        <f t="shared" si="27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18:56:29-0600',mode:absolute,to:'2016-09-16 21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8" s="54" t="str">
        <f t="shared" si="29"/>
        <v>N</v>
      </c>
      <c r="X138" s="168">
        <f t="shared" si="43"/>
        <v>1</v>
      </c>
      <c r="Y138" s="69">
        <f t="shared" si="30"/>
        <v>4.6399999999999997E-2</v>
      </c>
      <c r="Z138" s="69">
        <f t="shared" si="31"/>
        <v>23.323799999999999</v>
      </c>
      <c r="AA138" s="69">
        <f t="shared" si="32"/>
        <v>23.2774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3"/>
        <v>0225-16</v>
      </c>
      <c r="AE138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38" s="96" t="str">
        <f t="shared" si="35"/>
        <v>"C:\Program Files (x86)\AstroGrep\AstroGrep.exe" /spath="%USERPROFILE%\AppData\Local\Temp\OnboardLogs" /stypes="app*4044*20160917*" /stext=" 02:.+((SYSTEM_STATE.+slice.+state.+changed )|(ment ac)|(system.+state.+changed )|(\|lc)|(penalty)|(\[timeout)|(PRM\|1\|D)|(kpr)|(kdp))" /e /r /s</v>
      </c>
      <c r="AG138" s="1" t="str">
        <f t="shared" si="36"/>
        <v>EC</v>
      </c>
      <c r="AH138" s="100" t="str">
        <f t="shared" si="37"/>
        <v>"%USERPROFILE%\Documents\GitHub\eaglep3\Utilities\RefineRTDCRunTimes.py" --tripid 225-16 --locoid 4044 --swversion DE.1.0.7.0 --startMP 204:464 --initTime 2016-09-16T19:56:29 --startdatetime 2016-09-16T20:00:22 --delay 1 --endMP 204:233238 --enddatetime 2016-09-16T20:37:09 --enforcementcount 0 &gt;&gt;C:\Users\stu\Documents\GitHub\eaglep3-reporting\EC\2016-09-16-refined-times.txt</v>
      </c>
      <c r="AI13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{"issue":{"subject":"","project_id":79,"tracker_id":40,"status_id":1,"priority_id":2,"assigned_to_id":23,"start_date":"2016-09-16","description":"","custom_fields":[{"id":1,"name":"Subdivision","value":"EC"},{"id":4,"name":"Milepost","value":"23.3238"},{"id":17,"name":"Train ID","value":"225-16"},{"id":16,"name":"Locomotive ID","value":"4044"},{"id":130,"name":"Impact","value":""},{"id":150,"name":"Time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586</v>
      </c>
      <c r="B139" s="7">
        <v>4043</v>
      </c>
      <c r="C139" s="24" t="s">
        <v>107</v>
      </c>
      <c r="D139" s="24" t="s">
        <v>683</v>
      </c>
      <c r="E139" s="15">
        <v>42629.869629629633</v>
      </c>
      <c r="F139" s="15">
        <v>42629.872453703705</v>
      </c>
      <c r="G139" s="7">
        <v>1</v>
      </c>
      <c r="H139" s="15" t="s">
        <v>666</v>
      </c>
      <c r="I139" s="15">
        <v>42629.900324074071</v>
      </c>
      <c r="J139" s="7">
        <v>0</v>
      </c>
      <c r="K139" s="121" t="str">
        <f t="shared" si="23"/>
        <v>4043/4044</v>
      </c>
      <c r="L139" s="24" t="str">
        <f>VLOOKUP(A139,'Trips&amp;Operators'!$C$1:$E$10000,3,FALSE)</f>
        <v>CHANDLER</v>
      </c>
      <c r="M139" s="6">
        <f t="shared" si="24"/>
        <v>2.7870370366144925E-2</v>
      </c>
      <c r="N139" s="7">
        <f t="shared" si="45"/>
        <v>40.133333327248693</v>
      </c>
      <c r="O139" s="7"/>
      <c r="P139" s="7"/>
      <c r="Q139" s="25"/>
      <c r="R139" s="25"/>
      <c r="S139" s="37">
        <f t="shared" si="44"/>
        <v>1</v>
      </c>
      <c r="T139" s="52" t="str">
        <f t="shared" si="27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19:52:16-0600',mode:absolute,to:'2016-09-16 22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9" s="54" t="str">
        <f t="shared" si="29"/>
        <v>N</v>
      </c>
      <c r="X139" s="168">
        <f t="shared" si="43"/>
        <v>1</v>
      </c>
      <c r="Y139" s="69">
        <f t="shared" si="30"/>
        <v>23.292999999999999</v>
      </c>
      <c r="Z139" s="69">
        <f t="shared" si="31"/>
        <v>1.6500000000000001E-2</v>
      </c>
      <c r="AA139" s="69">
        <f t="shared" si="32"/>
        <v>23.276499999999999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3"/>
        <v>0226-16</v>
      </c>
      <c r="AE139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39" s="96" t="str">
        <f t="shared" si="35"/>
        <v>"C:\Program Files (x86)\AstroGrep\AstroGrep.exe" /spath="%USERPROFILE%\AppData\Local\Temp\OnboardLogs" /stypes="app*4043*20160917*" /stext=" 03:.+((SYSTEM_STATE.+slice.+state.+changed )|(ment ac)|(system.+state.+changed )|(\|lc)|(penalty)|(\[timeout)|(PRM\|1\|D)|(kpr)|(kdp))" /e /r /s</v>
      </c>
      <c r="AG139" s="1" t="str">
        <f t="shared" si="36"/>
        <v>EC</v>
      </c>
      <c r="AH139" s="100" t="str">
        <f t="shared" si="37"/>
        <v>"%USERPROFILE%\Documents\GitHub\eaglep3\Utilities\RefineRTDCRunTimes.py" --tripid 226-16 --locoid 4043 --swversion DE.1.0.7.0 --startMP 204:232930 --initTime 2016-09-16T20:52:16 --startdatetime 2016-09-16T20:56:20 --delay 1 --endMP 204:165 --enddatetime 2016-09-16T21:36:28 --enforcementcount 0 &gt;&gt;C:\Users\stu\Documents\GitHub\eaglep3-reporting\EC\2016-09-16-refined-times.txt</v>
      </c>
      <c r="AI13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{"issue":{"subject":"","project_id":79,"tracker_id":40,"status_id":1,"priority_id":2,"assigned_to_id":23,"start_date":"2016-09-16","description":"","custom_fields":[{"id":1,"name":"Subdivision","value":"EC"},{"id":4,"name":"Milepost","value":"0.0165"},{"id":17,"name":"Train ID","value":"226-16"},{"id":16,"name":"Locomotive ID","value":"4043"},{"id":130,"name":"Impact","value":""},{"id":150,"name":"Time of Event (Mountain Time)","value":"21:36:28"},{"id":151,"name":"Denver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584</v>
      </c>
      <c r="B140" s="7">
        <v>4009</v>
      </c>
      <c r="C140" s="24" t="s">
        <v>107</v>
      </c>
      <c r="D140" s="24" t="s">
        <v>229</v>
      </c>
      <c r="E140" s="15">
        <v>42629.84851851852</v>
      </c>
      <c r="F140" s="15">
        <v>42629.854467592595</v>
      </c>
      <c r="G140" s="7">
        <v>2</v>
      </c>
      <c r="H140" s="15" t="s">
        <v>335</v>
      </c>
      <c r="I140" s="15">
        <v>42629.87945601852</v>
      </c>
      <c r="J140" s="7">
        <v>0</v>
      </c>
      <c r="K140" s="121" t="str">
        <f t="shared" si="23"/>
        <v>4009/4010</v>
      </c>
      <c r="L140" s="24" t="str">
        <f>VLOOKUP(A140,'Trips&amp;Operators'!$C$1:$E$10000,3,FALSE)</f>
        <v>STURGEON</v>
      </c>
      <c r="M140" s="6">
        <f t="shared" si="24"/>
        <v>2.4988425924675539E-2</v>
      </c>
      <c r="N140" s="7">
        <f t="shared" si="45"/>
        <v>35.983333331532776</v>
      </c>
      <c r="O140" s="7"/>
      <c r="P140" s="7"/>
      <c r="Q140" s="25"/>
      <c r="R140" s="25"/>
      <c r="S140" s="37">
        <f t="shared" si="44"/>
        <v>1</v>
      </c>
      <c r="T140" s="52" t="str">
        <f t="shared" si="27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19:21:52-0600',mode:absolute,to:'2016-09-16 22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0" s="54" t="str">
        <f t="shared" si="29"/>
        <v>N</v>
      </c>
      <c r="X140" s="168">
        <f t="shared" si="43"/>
        <v>1</v>
      </c>
      <c r="Y140" s="69">
        <f t="shared" si="30"/>
        <v>4.5699999999999998E-2</v>
      </c>
      <c r="Z140" s="69">
        <f t="shared" si="31"/>
        <v>23.329699999999999</v>
      </c>
      <c r="AA140" s="69">
        <f t="shared" si="32"/>
        <v>23.283999999999999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3"/>
        <v>0227-16</v>
      </c>
      <c r="AE140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40" s="96" t="str">
        <f t="shared" si="35"/>
        <v>"C:\Program Files (x86)\AstroGrep\AstroGrep.exe" /spath="%USERPROFILE%\AppData\Local\Temp\OnboardLogs" /stypes="app*4009*20160917*" /stext=" 03:.+((SYSTEM_STATE.+slice.+state.+changed )|(ment ac)|(system.+state.+changed )|(\|lc)|(penalty)|(\[timeout)|(PRM\|1\|D)|(kpr)|(kdp))" /e /r /s</v>
      </c>
      <c r="AG140" s="1" t="str">
        <f t="shared" si="36"/>
        <v>EC</v>
      </c>
      <c r="AH140" s="100" t="str">
        <f t="shared" ref="AH140:AH202" si="4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227-16 --locoid 4009 --swversion DE.1.0.7.0 --startMP 204:457 --initTime 2016-09-16T20:21:52 --startdatetime 2016-09-16T20:30:26 --delay 2 --endMP 204:233297 --enddatetime 2016-09-16T21:06:25 --enforcementcount 0 &gt;&gt;C:\Users\stu\Documents\GitHub\eaglep3-reporting\EC\2016-09-16-refined-times.txt</v>
      </c>
      <c r="AI140" s="134" t="str">
        <f t="shared" ref="AI140:AI202" si="4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ID","value":"227-16"},{"id":16,"name":"Locomotive ID","value":"4009"},{"id":130,"name":"Impact","value":""},{"id":150,"name":"Time of Event (Mountain Time)","value":"21:06:25"},{"id":151,"name":"Denver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590</v>
      </c>
      <c r="B141" s="7">
        <v>4010</v>
      </c>
      <c r="C141" s="24" t="s">
        <v>107</v>
      </c>
      <c r="D141" s="24" t="s">
        <v>635</v>
      </c>
      <c r="E141" s="15">
        <v>42629.887835648151</v>
      </c>
      <c r="F141" s="15">
        <v>42629.893333333333</v>
      </c>
      <c r="G141" s="7">
        <v>1</v>
      </c>
      <c r="H141" s="15" t="s">
        <v>684</v>
      </c>
      <c r="I141" s="15">
        <v>42629.920613425929</v>
      </c>
      <c r="J141" s="7">
        <v>0</v>
      </c>
      <c r="K141" s="121" t="str">
        <f t="shared" ref="K141:K204" si="48">IF(ISEVEN(B141),(B141-1)&amp;"/"&amp;B141,B141&amp;"/"&amp;(B141+1))</f>
        <v>4009/4010</v>
      </c>
      <c r="L141" s="24" t="str">
        <f>VLOOKUP(A141,'Trips&amp;Operators'!$C$1:$E$10000,3,FALSE)</f>
        <v>STURGEON</v>
      </c>
      <c r="M141" s="6">
        <f t="shared" ref="M141:M204" si="49">I141-F141</f>
        <v>2.7280092595901806E-2</v>
      </c>
      <c r="N141" s="7">
        <f t="shared" si="45"/>
        <v>39.283333338098601</v>
      </c>
      <c r="O141" s="7"/>
      <c r="P141" s="7"/>
      <c r="Q141" s="25"/>
      <c r="R141" s="25"/>
      <c r="S141" s="37">
        <f t="shared" si="44"/>
        <v>1</v>
      </c>
      <c r="T141" s="52" t="str">
        <f t="shared" ref="T141:T204" si="50">IF(ISEVEN(LEFT(AD141,4)),"Southbound","NorthBound")</f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https://search-rtdc-monitor-bjffxe2xuh6vdkpspy63sjmuny.us-east-1.es.amazonaws.com/_plugin/kibana/#/discover/Steve-Slow-Train-Analysis-(2080s-and-2083s)?_g=(refreshInterval:(display:Off,section:0,value:0),time:(from:'2016-09-16 20:18:29-0600',mode:absolute,to:'2016-09-16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1" s="54" t="str">
        <f t="shared" ref="W141:W204" si="52">IF(AA141&lt;IF(AG141="EC",23,5.65),"Y","N")</f>
        <v>N</v>
      </c>
      <c r="X141" s="168">
        <f t="shared" si="43"/>
        <v>1</v>
      </c>
      <c r="Y141" s="69">
        <f t="shared" ref="Y141:Y204" si="53">RIGHT(D141,LEN(D141)-4)/10000</f>
        <v>23.296299999999999</v>
      </c>
      <c r="Z141" s="69">
        <f t="shared" ref="Z141:Z204" si="54">RIGHT(H141,LEN(H141)-4)/10000</f>
        <v>1.67E-2</v>
      </c>
      <c r="AA141" s="69">
        <f t="shared" ref="AA141:AA204" si="55">ABS(Z141-Y141)</f>
        <v>23.279599999999999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56">IF(LEN(A141)=6,"0"&amp;A141,A141)</f>
        <v>0228-16</v>
      </c>
      <c r="AE141" s="99" t="str">
        <f t="shared" ref="AE141:AE204" si="57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41" s="96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/stypes="app*4010*20160917*" /stext=" 04:.+((SYSTEM_STATE.+slice.+state.+changed )|(ment ac)|(system.+state.+changed )|(\|lc)|(penalty)|(\[timeout)|(PRM\|1\|D)|(kpr)|(kdp))"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100" t="str">
        <f t="shared" si="46"/>
        <v>"%USERPROFILE%\Documents\GitHub\eaglep3\Utilities\RefineRTDCRunTimes.py" --tripid 228-16 --locoid 4010 --swversion DE.1.0.7.0 --startMP 204:232963 --initTime 2016-09-16T21:18:29 --startdatetime 2016-09-16T21:26:24 --delay 1 --endMP 204:167 --enddatetime 2016-09-16T22:05:41 --enforcementcount 0 &gt;&gt;C:\Users\stu\Documents\GitHub\eaglep3-reporting\EC\2016-09-16-refined-times.txt</v>
      </c>
      <c r="AI141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{"issue":{"subject":"","project_id":79,"tracker_id":40,"status_id":1,"priority_id":2,"assigned_to_id":23,"start_date":"2016-09-16","description":"","custom_fields":[{"id":1,"name":"Subdivision","value":"EC"},{"id":4,"name":"Milepost","value":"0.0167"},{"id":17,"name":"Train ID","value":"228-16"},{"id":16,"name":"Locomotive ID","value":"4010"},{"id":130,"name":"Impact","value":""},{"id":150,"name":"Time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587</v>
      </c>
      <c r="B142" s="7">
        <v>4003</v>
      </c>
      <c r="C142" s="24" t="s">
        <v>107</v>
      </c>
      <c r="D142" s="24" t="s">
        <v>230</v>
      </c>
      <c r="E142" s="15">
        <v>42629.870150462964</v>
      </c>
      <c r="F142" s="15">
        <v>42629.875428240739</v>
      </c>
      <c r="G142" s="7">
        <v>1</v>
      </c>
      <c r="H142" s="15" t="s">
        <v>685</v>
      </c>
      <c r="I142" s="15">
        <v>42629.899976851855</v>
      </c>
      <c r="J142" s="7">
        <v>0</v>
      </c>
      <c r="K142" s="121" t="str">
        <f t="shared" si="48"/>
        <v>4003/4004</v>
      </c>
      <c r="L142" s="24" t="str">
        <f>VLOOKUP(A142,'Trips&amp;Operators'!$C$1:$E$10000,3,FALSE)</f>
        <v>LEVIN</v>
      </c>
      <c r="M142" s="6">
        <f t="shared" si="49"/>
        <v>2.4548611116188113E-2</v>
      </c>
      <c r="N142" s="7">
        <f t="shared" si="45"/>
        <v>35.350000007310882</v>
      </c>
      <c r="O142" s="7"/>
      <c r="P142" s="7"/>
      <c r="Q142" s="25"/>
      <c r="R142" s="25"/>
      <c r="S142" s="37">
        <f t="shared" si="44"/>
        <v>1</v>
      </c>
      <c r="T142" s="52" t="str">
        <f t="shared" si="50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19:53:01-0600',mode:absolute,to:'2016-09-16 22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2" s="54" t="str">
        <f t="shared" si="52"/>
        <v>N</v>
      </c>
      <c r="X142" s="168">
        <f t="shared" si="43"/>
        <v>1</v>
      </c>
      <c r="Y142" s="69">
        <f t="shared" si="53"/>
        <v>4.4699999999999997E-2</v>
      </c>
      <c r="Z142" s="69">
        <f t="shared" si="54"/>
        <v>23.3337</v>
      </c>
      <c r="AA142" s="69">
        <f t="shared" si="55"/>
        <v>23.289000000000001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56"/>
        <v>0229-16</v>
      </c>
      <c r="AE142" s="99" t="str">
        <f t="shared" si="57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42" s="96" t="str">
        <f t="shared" si="58"/>
        <v>"C:\Program Files (x86)\AstroGrep\AstroGrep.exe" /spath="%USERPROFILE%\AppData\Local\Temp\OnboardLogs" /stypes="app*4003*20160917*" /stext=" 03:.+((SYSTEM_STATE.+slice.+state.+changed )|(ment ac)|(system.+state.+changed )|(\|lc)|(penalty)|(\[timeout)|(PRM\|1\|D)|(kpr)|(kdp))" /e /r /s</v>
      </c>
      <c r="AG142" s="1" t="str">
        <f t="shared" si="59"/>
        <v>EC</v>
      </c>
      <c r="AH142" s="100" t="str">
        <f t="shared" si="46"/>
        <v>"%USERPROFILE%\Documents\GitHub\eaglep3\Utilities\RefineRTDCRunTimes.py" --tripid 229-16 --locoid 4003 --swversion DE.1.0.7.0 --startMP 204:447 --initTime 2016-09-16T20:53:01 --startdatetime 2016-09-16T21:00:37 --delay 1 --endMP 204:233337 --enddatetime 2016-09-16T21:35:58 --enforcementcount 0 &gt;&gt;C:\Users\stu\Documents\GitHub\eaglep3-reporting\EC\2016-09-16-refined-times.txt</v>
      </c>
      <c r="AI142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{"issue":{"subject":"","project_id":79,"tracker_id":40,"status_id":1,"priority_id":2,"assigned_to_id":23,"start_date":"2016-09-16","description":"","custom_fields":[{"id":1,"name":"Subdivision","value":"EC"},{"id":4,"name":"Milepost","value":"23.3337"},{"id":17,"name":"Train ID","value":"229-16"},{"id":16,"name":"Locomotive ID","value":"4003"},{"id":130,"name":"Impact","value":""},{"id":150,"name":"Time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593</v>
      </c>
      <c r="B143" s="7">
        <v>4004</v>
      </c>
      <c r="C143" s="24" t="s">
        <v>107</v>
      </c>
      <c r="D143" s="24" t="s">
        <v>334</v>
      </c>
      <c r="E143" s="15">
        <v>42629.91207175926</v>
      </c>
      <c r="F143" s="15">
        <v>42629.914201388892</v>
      </c>
      <c r="G143" s="7">
        <v>1</v>
      </c>
      <c r="H143" s="15" t="s">
        <v>245</v>
      </c>
      <c r="I143" s="15">
        <v>42629.940694444442</v>
      </c>
      <c r="J143" s="7">
        <v>0</v>
      </c>
      <c r="K143" s="121" t="str">
        <f t="shared" si="48"/>
        <v>4003/4004</v>
      </c>
      <c r="L143" s="24" t="str">
        <f>VLOOKUP(A143,'Trips&amp;Operators'!$C$1:$E$10000,3,FALSE)</f>
        <v>LEVIN</v>
      </c>
      <c r="M143" s="6">
        <f t="shared" si="49"/>
        <v>2.6493055549508426E-2</v>
      </c>
      <c r="N143" s="7">
        <f t="shared" si="45"/>
        <v>38.149999991292134</v>
      </c>
      <c r="O143" s="7"/>
      <c r="P143" s="7"/>
      <c r="Q143" s="25"/>
      <c r="R143" s="25"/>
      <c r="S143" s="37">
        <f t="shared" si="44"/>
        <v>1</v>
      </c>
      <c r="T143" s="52" t="str">
        <f t="shared" si="50"/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20:53:23-0600',mode:absolute,to:'2016-09-16 23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3" s="54" t="str">
        <f t="shared" si="52"/>
        <v>N</v>
      </c>
      <c r="X143" s="168">
        <f t="shared" si="43"/>
        <v>1</v>
      </c>
      <c r="Y143" s="69">
        <f t="shared" si="53"/>
        <v>23.300699999999999</v>
      </c>
      <c r="Z143" s="69">
        <f t="shared" si="54"/>
        <v>1.41E-2</v>
      </c>
      <c r="AA143" s="69">
        <f t="shared" si="55"/>
        <v>23.2866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56"/>
        <v>0230-16</v>
      </c>
      <c r="AE143" s="99" t="str">
        <f t="shared" si="57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43" s="96" t="str">
        <f t="shared" si="58"/>
        <v>"C:\Program Files (x86)\AstroGrep\AstroGrep.exe" /spath="%USERPROFILE%\AppData\Local\Temp\OnboardLogs" /stypes="app*4004*20160917*" /stext=" 04:.+((SYSTEM_STATE.+slice.+state.+changed )|(ment ac)|(system.+state.+changed )|(\|lc)|(penalty)|(\[timeout)|(PRM\|1\|D)|(kpr)|(kdp))" /e /r /s</v>
      </c>
      <c r="AG143" s="1" t="str">
        <f t="shared" si="59"/>
        <v>EC</v>
      </c>
      <c r="AH143" s="100" t="str">
        <f t="shared" si="46"/>
        <v>"%USERPROFILE%\Documents\GitHub\eaglep3\Utilities\RefineRTDCRunTimes.py" --tripid 230-16 --locoid 4004 --swversion DE.1.0.7.0 --startMP 204:233007 --initTime 2016-09-16T21:53:23 --startdatetime 2016-09-16T21:56:27 --delay 1 --endMP 204:141 --enddatetime 2016-09-16T22:34:36 --enforcementcount 0 &gt;&gt;C:\Users\stu\Documents\GitHub\eaglep3-reporting\EC\2016-09-16-refined-times.txt</v>
      </c>
      <c r="AI143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ID","value":"230-16"},{"id":16,"name":"Locomotive ID","value":"4004"},{"id":130,"name":"Impact","value":""},{"id":150,"name":"Time of Event (Mountain Time)","value":"22:34:36"},{"id":151,"name":"Denver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589</v>
      </c>
      <c r="B144" s="7">
        <v>4038</v>
      </c>
      <c r="C144" s="24" t="s">
        <v>107</v>
      </c>
      <c r="D144" s="24" t="s">
        <v>230</v>
      </c>
      <c r="E144" s="15">
        <v>42629.880532407406</v>
      </c>
      <c r="F144" s="15">
        <v>42629.895972222221</v>
      </c>
      <c r="G144" s="7">
        <v>0</v>
      </c>
      <c r="H144" s="15" t="s">
        <v>329</v>
      </c>
      <c r="I144" s="15">
        <v>42629.921087962961</v>
      </c>
      <c r="J144" s="7">
        <v>0</v>
      </c>
      <c r="K144" s="121" t="str">
        <f t="shared" si="48"/>
        <v>4037/4038</v>
      </c>
      <c r="L144" s="24" t="str">
        <f>VLOOKUP(A144,'Trips&amp;Operators'!$C$1:$E$10000,3,FALSE)</f>
        <v>YANAI</v>
      </c>
      <c r="M144" s="6">
        <f t="shared" si="49"/>
        <v>2.5115740740147885E-2</v>
      </c>
      <c r="N144" s="7">
        <f t="shared" si="45"/>
        <v>36.166666665812954</v>
      </c>
      <c r="O144" s="7"/>
      <c r="P144" s="7"/>
      <c r="Q144" s="25"/>
      <c r="R144" s="25"/>
      <c r="S144" s="37">
        <f t="shared" si="44"/>
        <v>1</v>
      </c>
      <c r="T144" s="52" t="str">
        <f t="shared" si="50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20:07:58-0600',mode:absolute,to:'2016-09-16 23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44" s="54" t="str">
        <f t="shared" si="52"/>
        <v>N</v>
      </c>
      <c r="X144" s="168">
        <f t="shared" si="43"/>
        <v>1</v>
      </c>
      <c r="Y144" s="69">
        <f t="shared" si="53"/>
        <v>4.4699999999999997E-2</v>
      </c>
      <c r="Z144" s="69">
        <f t="shared" si="54"/>
        <v>23.330100000000002</v>
      </c>
      <c r="AA144" s="69">
        <f t="shared" si="55"/>
        <v>23.285400000000003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56"/>
        <v>0231-16</v>
      </c>
      <c r="AE144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44" s="96" t="str">
        <f t="shared" si="58"/>
        <v>"C:\Program Files (x86)\AstroGrep\AstroGrep.exe" /spath="%USERPROFILE%\AppData\Local\Temp\OnboardLogs" /stypes="app*4038*20160917*" /stext=" 04:.+((SYSTEM_STATE.+slice.+state.+changed )|(ment ac)|(system.+state.+changed )|(\|lc)|(penalty)|(\[timeout)|(PRM\|1\|D)|(kpr)|(kdp))" /e /r /s</v>
      </c>
      <c r="AG144" s="1" t="str">
        <f t="shared" si="59"/>
        <v>EC</v>
      </c>
      <c r="AH144" s="100" t="str">
        <f t="shared" si="46"/>
        <v>"%USERPROFILE%\Documents\GitHub\eaglep3\Utilities\RefineRTDCRunTimes.py" --tripid 231-16 --locoid 4038 --swversion DE.1.0.7.0 --startMP 204:447 --initTime 2016-09-16T21:07:58 --startdatetime 2016-09-16T21:30:12 --delay 0 --endMP 204:233301 --enddatetime 2016-09-16T22:06:22 --enforcementcount 0 &gt;&gt;C:\Users\stu\Documents\GitHub\eaglep3-reporting\EC\2016-09-16-refined-times.txt</v>
      </c>
      <c r="AI144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ID","value":"231-16"},{"id":16,"name":"Locomotive ID","value":"4038"},{"id":130,"name":"Impact","value":""},{"id":150,"name":"Time of Event (Mountain Time)","value":"22:06:22"},{"id":151,"name":"Denver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595</v>
      </c>
      <c r="B145" s="7">
        <v>4037</v>
      </c>
      <c r="C145" s="24" t="s">
        <v>107</v>
      </c>
      <c r="D145" s="24" t="s">
        <v>252</v>
      </c>
      <c r="E145" s="15">
        <v>42629.929942129631</v>
      </c>
      <c r="F145" s="15">
        <v>42629.934872685182</v>
      </c>
      <c r="G145" s="7">
        <v>1</v>
      </c>
      <c r="H145" s="15" t="s">
        <v>291</v>
      </c>
      <c r="I145" s="15">
        <v>42629.96361111111</v>
      </c>
      <c r="J145" s="7">
        <v>0</v>
      </c>
      <c r="K145" s="121" t="str">
        <f t="shared" si="48"/>
        <v>4037/4038</v>
      </c>
      <c r="L145" s="24" t="str">
        <f>VLOOKUP(A145,'Trips&amp;Operators'!$C$1:$E$10000,3,FALSE)</f>
        <v>YANAI</v>
      </c>
      <c r="M145" s="6">
        <f t="shared" si="49"/>
        <v>2.8738425928167999E-2</v>
      </c>
      <c r="N145" s="7">
        <f t="shared" si="45"/>
        <v>41.383333336561918</v>
      </c>
      <c r="O145" s="7"/>
      <c r="P145" s="7"/>
      <c r="Q145" s="25"/>
      <c r="R145" s="25"/>
      <c r="S145" s="37">
        <f t="shared" si="44"/>
        <v>1</v>
      </c>
      <c r="T145" s="52" t="str">
        <f t="shared" si="50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21:19:07-0600',mode:absolute,to:'2016-09-17 00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5" s="54" t="str">
        <f t="shared" si="52"/>
        <v>N</v>
      </c>
      <c r="X145" s="168">
        <f t="shared" si="43"/>
        <v>1</v>
      </c>
      <c r="Y145" s="69">
        <f t="shared" si="53"/>
        <v>23.297999999999998</v>
      </c>
      <c r="Z145" s="69">
        <f t="shared" si="54"/>
        <v>1.43E-2</v>
      </c>
      <c r="AA145" s="69">
        <f t="shared" si="55"/>
        <v>23.2837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56"/>
        <v>0232-16</v>
      </c>
      <c r="AE145" s="99" t="str">
        <f t="shared" si="57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45" s="96" t="str">
        <f t="shared" si="58"/>
        <v>"C:\Program Files (x86)\AstroGrep\AstroGrep.exe" /spath="%USERPROFILE%\AppData\Local\Temp\OnboardLogs" /stypes="app*4037*20160917*" /stext=" 05:.+((SYSTEM_STATE.+slice.+state.+changed )|(ment ac)|(system.+state.+changed )|(\|lc)|(penalty)|(\[timeout)|(PRM\|1\|D)|(kpr)|(kdp))" /e /r /s</v>
      </c>
      <c r="AG145" s="1" t="str">
        <f t="shared" si="59"/>
        <v>EC</v>
      </c>
      <c r="AH145" s="100" t="str">
        <f t="shared" si="46"/>
        <v>"%USERPROFILE%\Documents\GitHub\eaglep3\Utilities\RefineRTDCRunTimes.py" --tripid 232-16 --locoid 4037 --swversion DE.1.0.7.0 --startMP 204:232980 --initTime 2016-09-16T22:19:07 --startdatetime 2016-09-16T22:26:13 --delay 1 --endMP 204:143 --enddatetime 2016-09-16T23:07:36 --enforcementcount 0 &gt;&gt;C:\Users\stu\Documents\GitHub\eaglep3-reporting\EC\2016-09-16-refined-times.txt</v>
      </c>
      <c r="AI145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ID","value":"232-16"},{"id":16,"name":"Locomotive ID","value":"4037"},{"id":130,"name":"Impact","value":""},{"id":150,"name":"Time of Event (Mountain Time)","value":"23:07:36"},{"id":151,"name":"Denver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592</v>
      </c>
      <c r="B146" s="7">
        <v>4044</v>
      </c>
      <c r="C146" s="24" t="s">
        <v>107</v>
      </c>
      <c r="D146" s="24" t="s">
        <v>241</v>
      </c>
      <c r="E146" s="15">
        <v>42629.909224537034</v>
      </c>
      <c r="F146" s="15">
        <v>42629.91710648148</v>
      </c>
      <c r="G146" s="7">
        <v>1</v>
      </c>
      <c r="H146" s="15" t="s">
        <v>343</v>
      </c>
      <c r="I146" s="15">
        <v>42629.945</v>
      </c>
      <c r="J146" s="7">
        <v>0</v>
      </c>
      <c r="K146" s="121" t="str">
        <f t="shared" si="48"/>
        <v>4043/4044</v>
      </c>
      <c r="L146" s="24" t="str">
        <f>VLOOKUP(A146,'Trips&amp;Operators'!$C$1:$E$10000,3,FALSE)</f>
        <v>CHANDLER</v>
      </c>
      <c r="M146" s="6">
        <f t="shared" si="49"/>
        <v>2.789351851970423E-2</v>
      </c>
      <c r="N146" s="7">
        <f t="shared" si="45"/>
        <v>40.166666668374091</v>
      </c>
      <c r="O146" s="7"/>
      <c r="P146" s="7"/>
      <c r="Q146" s="25"/>
      <c r="R146" s="25"/>
      <c r="S146" s="37">
        <f t="shared" si="44"/>
        <v>1</v>
      </c>
      <c r="T146" s="52" t="str">
        <f t="shared" si="50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20:49:17-0600',mode:absolute,to:'2016-09-16 23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6" s="54" t="str">
        <f t="shared" si="52"/>
        <v>N</v>
      </c>
      <c r="X146" s="168">
        <f t="shared" si="43"/>
        <v>1</v>
      </c>
      <c r="Y146" s="69">
        <f t="shared" si="53"/>
        <v>4.6399999999999997E-2</v>
      </c>
      <c r="Z146" s="69">
        <f t="shared" si="54"/>
        <v>23.327400000000001</v>
      </c>
      <c r="AA146" s="69">
        <f t="shared" si="55"/>
        <v>23.281000000000002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56"/>
        <v>0233-16</v>
      </c>
      <c r="AE146" s="99" t="str">
        <f t="shared" si="57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46" s="96" t="str">
        <f t="shared" si="58"/>
        <v>"C:\Program Files (x86)\AstroGrep\AstroGrep.exe" /spath="%USERPROFILE%\AppData\Local\Temp\OnboardLogs" /stypes="app*4044*20160917*" /stext=" 04:.+((SYSTEM_STATE.+slice.+state.+changed )|(ment ac)|(system.+state.+changed )|(\|lc)|(penalty)|(\[timeout)|(PRM\|1\|D)|(kpr)|(kdp))" /e /r /s</v>
      </c>
      <c r="AG146" s="1" t="str">
        <f t="shared" si="59"/>
        <v>EC</v>
      </c>
      <c r="AH146" s="100" t="str">
        <f t="shared" si="46"/>
        <v>"%USERPROFILE%\Documents\GitHub\eaglep3\Utilities\RefineRTDCRunTimes.py" --tripid 233-16 --locoid 4044 --swversion DE.1.0.7.0 --startMP 204:464 --initTime 2016-09-16T21:49:17 --startdatetime 2016-09-16T22:00:38 --delay 1 --endMP 204:233274 --enddatetime 2016-09-16T22:40:48 --enforcementcount 0 &gt;&gt;C:\Users\stu\Documents\GitHub\eaglep3-reporting\EC\2016-09-16-refined-times.txt</v>
      </c>
      <c r="AI146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ID","value":"233-16"},{"id":16,"name":"Locomotive ID","value":"4044"},{"id":130,"name":"Impact","value":""},{"id":150,"name":"Time of Event (Mountain Time)","value":"22:40:48"},{"id":151,"name":"Denver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599</v>
      </c>
      <c r="B147" s="7">
        <v>4043</v>
      </c>
      <c r="C147" s="24" t="s">
        <v>107</v>
      </c>
      <c r="D147" s="24" t="s">
        <v>346</v>
      </c>
      <c r="E147" s="15">
        <v>42629.953634259262</v>
      </c>
      <c r="F147" s="15">
        <v>42629.955868055556</v>
      </c>
      <c r="G147" s="7">
        <v>1</v>
      </c>
      <c r="H147" s="15" t="s">
        <v>228</v>
      </c>
      <c r="I147" s="15">
        <v>42629.983981481484</v>
      </c>
      <c r="J147" s="7">
        <v>0</v>
      </c>
      <c r="K147" s="121" t="str">
        <f t="shared" si="48"/>
        <v>4043/4044</v>
      </c>
      <c r="L147" s="24" t="str">
        <f>VLOOKUP(A147,'Trips&amp;Operators'!$C$1:$E$10000,3,FALSE)</f>
        <v>CHANDLER</v>
      </c>
      <c r="M147" s="6">
        <f t="shared" si="49"/>
        <v>2.8113425927585922E-2</v>
      </c>
      <c r="N147" s="7">
        <f t="shared" si="45"/>
        <v>40.483333335723728</v>
      </c>
      <c r="O147" s="7"/>
      <c r="P147" s="7"/>
      <c r="Q147" s="25"/>
      <c r="R147" s="25"/>
      <c r="S147" s="37">
        <f t="shared" si="44"/>
        <v>1</v>
      </c>
      <c r="T147" s="52" t="str">
        <f t="shared" si="50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21:53:14-0600',mode:absolute,to:'2016-09-17 00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7" s="54" t="str">
        <f t="shared" si="52"/>
        <v>N</v>
      </c>
      <c r="X147" s="168">
        <f t="shared" si="43"/>
        <v>1</v>
      </c>
      <c r="Y147" s="69">
        <f t="shared" si="53"/>
        <v>23.2957</v>
      </c>
      <c r="Z147" s="69">
        <f t="shared" si="54"/>
        <v>1.52E-2</v>
      </c>
      <c r="AA147" s="69">
        <f t="shared" si="55"/>
        <v>23.2805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56"/>
        <v>0234-16</v>
      </c>
      <c r="AE147" s="99" t="str">
        <f t="shared" si="57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47" s="96" t="str">
        <f t="shared" si="58"/>
        <v>"C:\Program Files (x86)\AstroGrep\AstroGrep.exe" /spath="%USERPROFILE%\AppData\Local\Temp\OnboardLogs" /stypes="app*4043*20160917*" /stext=" 05:.+((SYSTEM_STATE.+slice.+state.+changed )|(ment ac)|(system.+state.+changed )|(\|lc)|(penalty)|(\[timeout)|(PRM\|1\|D)|(kpr)|(kdp))" /e /r /s</v>
      </c>
      <c r="AG147" s="1" t="str">
        <f t="shared" si="59"/>
        <v>EC</v>
      </c>
      <c r="AH147" s="100" t="str">
        <f t="shared" si="46"/>
        <v>"%USERPROFILE%\Documents\GitHub\eaglep3\Utilities\RefineRTDCRunTimes.py" --tripid 234-16 --locoid 4043 --swversion DE.1.0.7.0 --startMP 204:232957 --initTime 2016-09-16T22:53:14 --startdatetime 2016-09-16T22:56:27 --delay 1 --endMP 204:152 --enddatetime 2016-09-16T23:36:56 --enforcementcount 0 &gt;&gt;C:\Users\stu\Documents\GitHub\eaglep3-reporting\EC\2016-09-16-refined-times.txt</v>
      </c>
      <c r="AI147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ID","value":"234-16"},{"id":16,"name":"Locomotive ID","value":"4043"},{"id":130,"name":"Impact","value":""},{"id":150,"name":"Time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596</v>
      </c>
      <c r="B148" s="7">
        <v>4009</v>
      </c>
      <c r="C148" s="24" t="s">
        <v>107</v>
      </c>
      <c r="D148" s="24" t="s">
        <v>358</v>
      </c>
      <c r="E148" s="15">
        <v>42629.931145833332</v>
      </c>
      <c r="F148" s="15">
        <v>42629.937719907408</v>
      </c>
      <c r="G148" s="7">
        <v>1</v>
      </c>
      <c r="H148" s="15" t="s">
        <v>335</v>
      </c>
      <c r="I148" s="15">
        <v>42629.96365740741</v>
      </c>
      <c r="J148" s="7">
        <v>0</v>
      </c>
      <c r="K148" s="121" t="str">
        <f t="shared" si="48"/>
        <v>4009/4010</v>
      </c>
      <c r="L148" s="24" t="str">
        <f>VLOOKUP(A148,'Trips&amp;Operators'!$C$1:$E$10000,3,FALSE)</f>
        <v>STURGEON</v>
      </c>
      <c r="M148" s="6">
        <f t="shared" si="49"/>
        <v>2.5937500002328306E-2</v>
      </c>
      <c r="N148" s="7">
        <f t="shared" si="45"/>
        <v>37.350000003352761</v>
      </c>
      <c r="O148" s="7"/>
      <c r="P148" s="7"/>
      <c r="Q148" s="25"/>
      <c r="R148" s="25"/>
      <c r="S148" s="37">
        <f t="shared" si="44"/>
        <v>1</v>
      </c>
      <c r="T148" s="52" t="str">
        <f t="shared" si="50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21:20:51-0600',mode:absolute,to:'2016-09-17 00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8" s="54" t="str">
        <f t="shared" si="52"/>
        <v>N</v>
      </c>
      <c r="X148" s="168">
        <f t="shared" si="43"/>
        <v>1</v>
      </c>
      <c r="Y148" s="69">
        <f t="shared" si="53"/>
        <v>4.7800000000000002E-2</v>
      </c>
      <c r="Z148" s="69">
        <f t="shared" si="54"/>
        <v>23.329699999999999</v>
      </c>
      <c r="AA148" s="69">
        <f t="shared" si="55"/>
        <v>23.2819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56"/>
        <v>0235-16</v>
      </c>
      <c r="AE148" s="99" t="str">
        <f t="shared" si="57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48" s="96" t="str">
        <f t="shared" si="58"/>
        <v>"C:\Program Files (x86)\AstroGrep\AstroGrep.exe" /spath="%USERPROFILE%\AppData\Local\Temp\OnboardLogs" /stypes="app*4009*20160917*" /stext=" 05:.+((SYSTEM_STATE.+slice.+state.+changed )|(ment ac)|(system.+state.+changed )|(\|lc)|(penalty)|(\[timeout)|(PRM\|1\|D)|(kpr)|(kdp))" /e /r /s</v>
      </c>
      <c r="AG148" s="1" t="str">
        <f t="shared" si="59"/>
        <v>EC</v>
      </c>
      <c r="AH148" s="100" t="str">
        <f t="shared" si="46"/>
        <v>"%USERPROFILE%\Documents\GitHub\eaglep3\Utilities\RefineRTDCRunTimes.py" --tripid 235-16 --locoid 4009 --swversion DE.1.0.7.0 --startMP 204:478 --initTime 2016-09-16T22:20:51 --startdatetime 2016-09-16T22:30:19 --delay 1 --endMP 204:233297 --enddatetime 2016-09-16T23:07:40 --enforcementcount 0 &gt;&gt;C:\Users\stu\Documents\GitHub\eaglep3-reporting\EC\2016-09-16-refined-times.txt</v>
      </c>
      <c r="AI148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ID","value":"235-16"},{"id":16,"name":"Locomotive ID","value":"4009"},{"id":130,"name":"Impact","value":""},{"id":150,"name":"Time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600</v>
      </c>
      <c r="B149" s="7">
        <v>4010</v>
      </c>
      <c r="C149" s="24" t="s">
        <v>107</v>
      </c>
      <c r="D149" s="24" t="s">
        <v>242</v>
      </c>
      <c r="E149" s="15">
        <v>42629.971064814818</v>
      </c>
      <c r="F149" s="15">
        <v>42629.976898148147</v>
      </c>
      <c r="G149" s="7">
        <v>1</v>
      </c>
      <c r="H149" s="15" t="s">
        <v>686</v>
      </c>
      <c r="I149" s="15">
        <v>42629.995625000003</v>
      </c>
      <c r="J149" s="7">
        <v>0</v>
      </c>
      <c r="K149" s="121" t="str">
        <f t="shared" si="48"/>
        <v>4009/4010</v>
      </c>
      <c r="L149" s="24" t="str">
        <f>VLOOKUP(A149,'Trips&amp;Operators'!$C$1:$E$10000,3,FALSE)</f>
        <v>STURGEON</v>
      </c>
      <c r="M149" s="6">
        <f t="shared" si="49"/>
        <v>1.8726851856627036E-2</v>
      </c>
      <c r="N149" s="7"/>
      <c r="O149" s="7"/>
      <c r="P149" s="7">
        <f>24*60*SUM($M149:$M150)</f>
        <v>38.100000011036173</v>
      </c>
      <c r="Q149" s="25"/>
      <c r="R149" s="25" t="s">
        <v>179</v>
      </c>
      <c r="S149" s="37">
        <f>SUM(U149:U150)/IF(AG149="EC",12,1)</f>
        <v>0.58333333333333337</v>
      </c>
      <c r="T149" s="52" t="str">
        <f t="shared" si="50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4</v>
      </c>
      <c r="V14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22:18:20-0600',mode:absolute,to:'2016-09-17 00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9" s="54" t="str">
        <f t="shared" si="52"/>
        <v>Y</v>
      </c>
      <c r="X149" s="168">
        <f t="shared" si="43"/>
        <v>1</v>
      </c>
      <c r="Y149" s="69">
        <f t="shared" si="53"/>
        <v>23.298400000000001</v>
      </c>
      <c r="Z149" s="69">
        <f t="shared" si="54"/>
        <v>6.2034000000000002</v>
      </c>
      <c r="AA149" s="69">
        <f t="shared" si="55"/>
        <v>17.094999999999999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56"/>
        <v>0236-16</v>
      </c>
      <c r="AE149" s="99" t="str">
        <f t="shared" si="57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49" s="96" t="str">
        <f t="shared" si="58"/>
        <v>"C:\Program Files (x86)\AstroGrep\AstroGrep.exe" /spath="%USERPROFILE%\AppData\Local\Temp\OnboardLogs" /stypes="app*4010*20160917*" /stext=" 05:.+((SYSTEM_STATE.+slice.+state.+changed )|(ment ac)|(system.+state.+changed )|(\|lc)|(penalty)|(\[timeout)|(PRM\|1\|D)|(kpr)|(kdp))" /e /r /s</v>
      </c>
      <c r="AG149" s="1" t="str">
        <f t="shared" si="59"/>
        <v>EC</v>
      </c>
      <c r="AH149" s="100" t="str">
        <f t="shared" si="46"/>
        <v>"%USERPROFILE%\Documents\GitHub\eaglep3\Utilities\RefineRTDCRunTimes.py" --tripid 236-16 --locoid 4010 --swversion DE.1.0.7.0 --startMP 204:232984 --initTime 2016-09-16T23:18:20 --startdatetime 2016-09-16T23:26:44 --delay 1 --endMP 204:62034 --enddatetime 2016-09-16T23:53:42 --enforcementcount 0 &gt;&gt;C:\Users\stu\Documents\GitHub\eaglep3-reporting\EC\2016-09-16-refined-times.txt</v>
      </c>
      <c r="AI149" s="134" t="str">
        <f t="shared" si="47"/>
        <v>echo {"issue":{"subject":"Wi-MAX outage","project_id":79,"tracker_id":40,"status_id":1,"priority_id":2,"assigned_to_id":23,"start_date":"2016-09-16","description":"","custom_fields":[{"id":1,"name":"Subdivision","value":"EC"},{"id":4,"name":"Milepost","value":"6.2034"},{"id":17,"name":"Train ID","value":"236-16"},{"id":16,"name":"Locomotive ID","value":"4010"},{"id":130,"name":"Impact","value":""},{"id":150,"name":"Time of Event (Mountain Time)","value":"23:53:42"},{"id":151,"name":"Denver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600</v>
      </c>
      <c r="B150" s="7">
        <v>4010</v>
      </c>
      <c r="C150" s="24" t="s">
        <v>107</v>
      </c>
      <c r="D150" s="24" t="s">
        <v>687</v>
      </c>
      <c r="E150" s="15">
        <v>42630.002395833333</v>
      </c>
      <c r="F150" s="15">
        <v>42630.003518518519</v>
      </c>
      <c r="G150" s="7">
        <v>1</v>
      </c>
      <c r="H150" s="15" t="s">
        <v>129</v>
      </c>
      <c r="I150" s="15">
        <v>42630.011250000003</v>
      </c>
      <c r="J150" s="7">
        <v>0</v>
      </c>
      <c r="K150" s="121" t="str">
        <f t="shared" si="48"/>
        <v>4009/4010</v>
      </c>
      <c r="L150" s="24" t="str">
        <f>VLOOKUP(A150,'Trips&amp;Operators'!$C$1:$E$10000,3,FALSE)</f>
        <v>STURGEON</v>
      </c>
      <c r="M150" s="6">
        <f t="shared" si="49"/>
        <v>7.7314814843703061E-3</v>
      </c>
      <c r="N150" s="7"/>
      <c r="O150" s="7"/>
      <c r="P150" s="7"/>
      <c r="Q150" s="25"/>
      <c r="R150" s="25"/>
      <c r="S150" s="37"/>
      <c r="T150" s="52" t="str">
        <f t="shared" si="50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3</v>
      </c>
      <c r="V15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23:03:27-0600',mode:absolute,to:'2016-09-17 01:16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0" s="54" t="str">
        <f t="shared" si="52"/>
        <v>Y</v>
      </c>
      <c r="X150" s="168">
        <f t="shared" ref="X150:X181" si="60">VALUE(LEFT(AD150,4))-VALUE(LEFT(AD149,4))</f>
        <v>0</v>
      </c>
      <c r="Y150" s="69">
        <f t="shared" si="53"/>
        <v>3.6785000000000001</v>
      </c>
      <c r="Z150" s="69">
        <f t="shared" si="54"/>
        <v>1.54E-2</v>
      </c>
      <c r="AA150" s="69">
        <f t="shared" si="55"/>
        <v>3.6631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56"/>
        <v>0236-16</v>
      </c>
      <c r="AE150" s="99" t="str">
        <f t="shared" si="57"/>
        <v>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 &amp; 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</v>
      </c>
      <c r="AF150" s="96" t="str">
        <f t="shared" si="58"/>
        <v>"C:\Program Files (x86)\AstroGrep\AstroGrep.exe" /spath="%USERPROFILE%\AppData\Local\Temp\OnboardLogs" /stypes="app*4010*20160917*" /stext=" 06:.+((SYSTEM_STATE.+slice.+state.+changed )|(ment ac)|(system.+state.+changed )|(\|lc)|(penalty)|(\[timeout)|(PRM\|1\|D)|(kpr)|(kdp))" /e /r /s</v>
      </c>
      <c r="AG150" s="1" t="str">
        <f t="shared" si="59"/>
        <v>EC</v>
      </c>
      <c r="AH150" s="100" t="str">
        <f t="shared" si="46"/>
        <v>"%USERPROFILE%\Documents\GitHub\eaglep3\Utilities\RefineRTDCRunTimes.py" --tripid 236-16 --locoid 4010 --swversion DE.1.0.7.0 --startMP 204:36785 --initTime 2016-09-17T00:03:27 --startdatetime 2016-09-17T00:05:04 --delay 1 --endMP 204:154 --enddatetime 2016-09-17T00:16:12 --enforcementcount 0 &gt;&gt;C:\Users\stu\Documents\GitHub\eaglep3-reporting\EC\2016-09-16-refined-times.txt</v>
      </c>
      <c r="AI150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ID","value":"236-16"},{"id":16,"name":"Locomotive ID","value":"4010"},{"id":130,"name":"Impact","value":""},{"id":150,"name":"Time of Event (Mountain Time)","value":"00:16:12"},{"id":151,"name":"Denver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598</v>
      </c>
      <c r="B151" s="7">
        <v>4003</v>
      </c>
      <c r="C151" s="24" t="s">
        <v>107</v>
      </c>
      <c r="D151" s="24" t="s">
        <v>643</v>
      </c>
      <c r="E151" s="15">
        <v>42629.953136574077</v>
      </c>
      <c r="F151" s="15">
        <v>42629.958506944444</v>
      </c>
      <c r="G151" s="7">
        <v>1</v>
      </c>
      <c r="H151" s="15" t="s">
        <v>329</v>
      </c>
      <c r="I151" s="15">
        <v>42629.983368055553</v>
      </c>
      <c r="J151" s="7">
        <v>0</v>
      </c>
      <c r="K151" s="121" t="str">
        <f t="shared" si="48"/>
        <v>4003/4004</v>
      </c>
      <c r="L151" s="24" t="str">
        <f>VLOOKUP(A151,'Trips&amp;Operators'!$C$1:$E$10000,3,FALSE)</f>
        <v>LEVIN</v>
      </c>
      <c r="M151" s="6">
        <f t="shared" si="49"/>
        <v>2.4861111109203193E-2</v>
      </c>
      <c r="N151" s="7">
        <f>24*60*SUM($M151:$M151)</f>
        <v>35.799999997252598</v>
      </c>
      <c r="O151" s="7"/>
      <c r="P151" s="7"/>
      <c r="Q151" s="25"/>
      <c r="R151" s="25"/>
      <c r="S151" s="37">
        <f>SUM(U151:U151)/IF(AG151="EC",12,1)</f>
        <v>1</v>
      </c>
      <c r="T151" s="52" t="str">
        <f t="shared" si="50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21:52:31-0600',mode:absolute,to:'2016-09-17 00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1" s="54" t="str">
        <f t="shared" si="52"/>
        <v>N</v>
      </c>
      <c r="X151" s="168">
        <f t="shared" si="60"/>
        <v>1</v>
      </c>
      <c r="Y151" s="69">
        <f t="shared" si="53"/>
        <v>4.3299999999999998E-2</v>
      </c>
      <c r="Z151" s="69">
        <f t="shared" si="54"/>
        <v>23.330100000000002</v>
      </c>
      <c r="AA151" s="69">
        <f t="shared" si="55"/>
        <v>23.286800000000003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56"/>
        <v>0237-16</v>
      </c>
      <c r="AE151" s="99" t="str">
        <f t="shared" si="57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51" s="96" t="str">
        <f t="shared" si="58"/>
        <v>"C:\Program Files (x86)\AstroGrep\AstroGrep.exe" /spath="%USERPROFILE%\AppData\Local\Temp\OnboardLogs" /stypes="app*4003*20160917*" /stext=" 05:.+((SYSTEM_STATE.+slice.+state.+changed )|(ment ac)|(system.+state.+changed )|(\|lc)|(penalty)|(\[timeout)|(PRM\|1\|D)|(kpr)|(kdp))" /e /r /s</v>
      </c>
      <c r="AG151" s="1" t="str">
        <f t="shared" si="59"/>
        <v>EC</v>
      </c>
      <c r="AH151" s="100" t="str">
        <f t="shared" si="46"/>
        <v>"%USERPROFILE%\Documents\GitHub\eaglep3\Utilities\RefineRTDCRunTimes.py" --tripid 237-16 --locoid 4003 --swversion DE.1.0.7.0 --startMP 204:433 --initTime 2016-09-16T22:52:31 --startdatetime 2016-09-16T23:00:15 --delay 1 --endMP 204:233301 --enddatetime 2016-09-16T23:36:03 --enforcementcount 0 &gt;&gt;C:\Users\stu\Documents\GitHub\eaglep3-reporting\EC\2016-09-16-refined-times.txt</v>
      </c>
      <c r="AI151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ID","value":"237-16"},{"id":16,"name":"Locomotive ID","value":"4003"},{"id":130,"name":"Impact","value":""},{"id":150,"name":"Time of Event (Mountain Time)","value":"23:36:03"},{"id":151,"name":"Denver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602</v>
      </c>
      <c r="B152" s="7">
        <v>4004</v>
      </c>
      <c r="C152" s="24" t="s">
        <v>107</v>
      </c>
      <c r="D152" s="24" t="s">
        <v>688</v>
      </c>
      <c r="E152" s="15">
        <v>42629.991400462961</v>
      </c>
      <c r="F152" s="15">
        <v>42629.997719907406</v>
      </c>
      <c r="G152" s="7">
        <v>1</v>
      </c>
      <c r="H152" s="15" t="s">
        <v>349</v>
      </c>
      <c r="I152" s="15">
        <v>42630.023634259262</v>
      </c>
      <c r="J152" s="7">
        <v>0</v>
      </c>
      <c r="K152" s="121" t="str">
        <f t="shared" si="48"/>
        <v>4003/4004</v>
      </c>
      <c r="L152" s="24" t="str">
        <f>VLOOKUP(A152,'Trips&amp;Operators'!$C$1:$E$10000,3,FALSE)</f>
        <v>LEVIN</v>
      </c>
      <c r="M152" s="6">
        <f t="shared" si="49"/>
        <v>2.5914351856044959E-2</v>
      </c>
      <c r="N152" s="7">
        <f>24*60*SUM($M152:$M152)</f>
        <v>37.316666672704741</v>
      </c>
      <c r="O152" s="7"/>
      <c r="P152" s="7"/>
      <c r="Q152" s="25"/>
      <c r="R152" s="25"/>
      <c r="S152" s="37">
        <f>SUM(U152:U152)/IF(AG152="EC",12,1)</f>
        <v>1</v>
      </c>
      <c r="T152" s="52" t="str">
        <f t="shared" si="50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22:47:37-0600',mode:absolute,to:'2016-09-17 01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2" s="54" t="str">
        <f t="shared" si="52"/>
        <v>N</v>
      </c>
      <c r="X152" s="168">
        <f t="shared" si="60"/>
        <v>1</v>
      </c>
      <c r="Y152" s="69">
        <f t="shared" si="53"/>
        <v>23.300899999999999</v>
      </c>
      <c r="Z152" s="69">
        <f t="shared" si="54"/>
        <v>1.3599999999999999E-2</v>
      </c>
      <c r="AA152" s="69">
        <f t="shared" si="55"/>
        <v>23.287299999999998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56"/>
        <v>0238-16</v>
      </c>
      <c r="AE152" s="99" t="str">
        <f t="shared" si="57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52" s="96" t="str">
        <f t="shared" si="58"/>
        <v>"C:\Program Files (x86)\AstroGrep\AstroGrep.exe" /spath="%USERPROFILE%\AppData\Local\Temp\OnboardLogs" /stypes="app*4004*20160917*" /stext=" 06:.+((SYSTEM_STATE.+slice.+state.+changed )|(ment ac)|(system.+state.+changed )|(\|lc)|(penalty)|(\[timeout)|(PRM\|1\|D)|(kpr)|(kdp))" /e /r /s</v>
      </c>
      <c r="AG152" s="1" t="str">
        <f t="shared" si="59"/>
        <v>EC</v>
      </c>
      <c r="AH152" s="100" t="str">
        <f t="shared" si="46"/>
        <v>"%USERPROFILE%\Documents\GitHub\eaglep3\Utilities\RefineRTDCRunTimes.py" --tripid 238-16 --locoid 4004 --swversion DE.1.0.7.0 --startMP 204:233009 --initTime 2016-09-16T23:47:37 --startdatetime 2016-09-16T23:56:43 --delay 1 --endMP 204:136 --enddatetime 2016-09-17T00:34:02 --enforcementcount 0 &gt;&gt;C:\Users\stu\Documents\GitHub\eaglep3-reporting\EC\2016-09-16-refined-times.txt</v>
      </c>
      <c r="AI152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{"issue":{"subject":"","project_id":79,"tracker_id":40,"status_id":1,"priority_id":2,"assigned_to_id":23,"start_date":"2016-09-17","description":"","custom_fields":[{"id":1,"name":"Subdivision","value":"EC"},{"id":4,"name":"Milepost","value":"0.0136"},{"id":17,"name":"Train ID","value":"238-16"},{"id":16,"name":"Locomotive ID","value":"4004"},{"id":130,"name":"Impact","value":""},{"id":150,"name":"Time of Event (Mountain Time)","value":"00:34:02"},{"id":151,"name":"Denver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601</v>
      </c>
      <c r="B153" s="7">
        <v>4038</v>
      </c>
      <c r="C153" s="24" t="s">
        <v>107</v>
      </c>
      <c r="D153" s="24" t="s">
        <v>670</v>
      </c>
      <c r="E153" s="15">
        <v>42629.974675925929</v>
      </c>
      <c r="F153" s="15">
        <v>42629.979305555556</v>
      </c>
      <c r="G153" s="7">
        <v>1</v>
      </c>
      <c r="H153" s="15" t="s">
        <v>689</v>
      </c>
      <c r="I153" s="15">
        <v>42629.986909722225</v>
      </c>
      <c r="J153" s="7">
        <v>0</v>
      </c>
      <c r="K153" s="121" t="str">
        <f t="shared" si="48"/>
        <v>4037/4038</v>
      </c>
      <c r="L153" s="24" t="str">
        <f>VLOOKUP(A153,'Trips&amp;Operators'!$C$1:$E$10000,3,FALSE)</f>
        <v>YANAI</v>
      </c>
      <c r="M153" s="6">
        <f t="shared" si="49"/>
        <v>7.6041666688979603E-3</v>
      </c>
      <c r="N153" s="7"/>
      <c r="O153" s="7"/>
      <c r="P153" s="7">
        <f>24*60*SUM($M153:$M154)</f>
        <v>28.300000004237518</v>
      </c>
      <c r="Q153" s="25"/>
      <c r="R153" s="25" t="s">
        <v>780</v>
      </c>
      <c r="S153" s="37">
        <f>SUM(U153:U154)/IF(AG153="EC",12,1)</f>
        <v>0.5</v>
      </c>
      <c r="T153" s="52" t="str">
        <f t="shared" si="50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4</v>
      </c>
      <c r="V15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22:23:32-0600',mode:absolute,to:'2016-09-17 00:41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3" s="54" t="str">
        <f t="shared" si="52"/>
        <v>Y</v>
      </c>
      <c r="X153" s="168">
        <f t="shared" si="60"/>
        <v>1</v>
      </c>
      <c r="Y153" s="69">
        <f t="shared" si="53"/>
        <v>4.3799999999999999E-2</v>
      </c>
      <c r="Z153" s="69">
        <f t="shared" si="54"/>
        <v>4.4984000000000002</v>
      </c>
      <c r="AA153" s="69">
        <f t="shared" si="55"/>
        <v>4.4546000000000001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56"/>
        <v>0239-16</v>
      </c>
      <c r="AE153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3" s="96" t="str">
        <f t="shared" si="58"/>
        <v>"C:\Program Files (x86)\AstroGrep\AstroGrep.exe" /spath="%USERPROFILE%\AppData\Local\Temp\OnboardLogs" /stypes="app*4038*20160917*" /stext=" 05:.+((SYSTEM_STATE.+slice.+state.+changed )|(ment ac)|(system.+state.+changed )|(\|lc)|(penalty)|(\[timeout)|(PRM\|1\|D)|(kpr)|(kdp))" /e /r /s</v>
      </c>
      <c r="AG153" s="1" t="str">
        <f t="shared" si="59"/>
        <v>EC</v>
      </c>
      <c r="AH153" s="100" t="str">
        <f t="shared" si="46"/>
        <v>"%USERPROFILE%\Documents\GitHub\eaglep3\Utilities\RefineRTDCRunTimes.py" --tripid 239-16 --locoid 4038 --swversion DE.1.0.7.0 --startMP 204:438 --initTime 2016-09-16T23:23:32 --startdatetime 2016-09-16T23:30:12 --delay 1 --endMP 204:44984 --enddatetime 2016-09-16T23:41:09 --enforcementcount 0 &gt;&gt;C:\Users\stu\Documents\GitHub\eaglep3-reporting\EC\2016-09-16-refined-times.txt</v>
      </c>
      <c r="AI153" s="134" t="str">
        <f t="shared" si="47"/>
        <v>echo {"issue":{"subject":"Monaco Pkwy offline from 2016-09-16 23:50:55 - 2016-09-17 00:05:26","project_id":79,"tracker_id":40,"status_id":1,"priority_id":2,"assigned_to_id":23,"start_date":"2016-09-16","description":"Monaco Pkwy XWIU was offline from 2016-09-16 23:50:55 - 2016-09-17 00:05:26. Any insight as to why?","custom_fields":[{"id":1,"name":"Subdivision","value":"EC"},{"id":4,"name":"Milepost","value":"4.4984"},{"id":17,"name":"Train ID","value":"239-16"},{"id":16,"name":"Locomotive ID","value":"4038"},{"id":130,"name":"Impact","value":"Enforcement"},{"id":150,"name":"Time of Event (Mountain Time)","value":"23:41:09"},{"id":151,"name":"Denver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AJ153" s="55" t="s">
        <v>781</v>
      </c>
      <c r="AK153" s="55" t="s">
        <v>140</v>
      </c>
      <c r="AL153" s="55" t="s">
        <v>147</v>
      </c>
    </row>
    <row r="154" spans="1:38" x14ac:dyDescent="0.25">
      <c r="A154" s="39" t="s">
        <v>601</v>
      </c>
      <c r="B154" s="7">
        <v>4038</v>
      </c>
      <c r="C154" s="24" t="s">
        <v>107</v>
      </c>
      <c r="D154" s="24" t="s">
        <v>690</v>
      </c>
      <c r="E154" s="15">
        <v>42629.991585648146</v>
      </c>
      <c r="F154" s="15">
        <v>42629.992488425924</v>
      </c>
      <c r="G154" s="7">
        <v>0</v>
      </c>
      <c r="H154" s="15" t="s">
        <v>273</v>
      </c>
      <c r="I154" s="15">
        <v>42630.004537037035</v>
      </c>
      <c r="J154" s="7">
        <v>0</v>
      </c>
      <c r="K154" s="121" t="str">
        <f t="shared" si="48"/>
        <v>4037/4038</v>
      </c>
      <c r="L154" s="24" t="str">
        <f>VLOOKUP(A154,'Trips&amp;Operators'!$C$1:$E$10000,3,FALSE)</f>
        <v>YANAI</v>
      </c>
      <c r="M154" s="6">
        <f t="shared" si="49"/>
        <v>1.2048611111822538E-2</v>
      </c>
      <c r="N154" s="7"/>
      <c r="O154" s="7"/>
      <c r="P154" s="7"/>
      <c r="Q154" s="25"/>
      <c r="R154" s="25"/>
      <c r="S154" s="37"/>
      <c r="T154" s="52" t="str">
        <f t="shared" si="50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2</v>
      </c>
      <c r="V15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22:47:53-0600',mode:absolute,to:'2016-09-17 01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4" s="54" t="str">
        <f t="shared" si="52"/>
        <v>Y</v>
      </c>
      <c r="X154" s="168">
        <f t="shared" si="60"/>
        <v>0</v>
      </c>
      <c r="Y154" s="69">
        <f t="shared" si="53"/>
        <v>8.6374999999999993</v>
      </c>
      <c r="Z154" s="69">
        <f t="shared" si="54"/>
        <v>23.329899999999999</v>
      </c>
      <c r="AA154" s="69">
        <f t="shared" si="55"/>
        <v>14.692399999999999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56"/>
        <v>0239-16</v>
      </c>
      <c r="AE154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4" s="96" t="str">
        <f t="shared" si="58"/>
        <v>"C:\Program Files (x86)\AstroGrep\AstroGrep.exe" /spath="%USERPROFILE%\AppData\Local\Temp\OnboardLogs" /stypes="app*4038*20160917*" /stext=" 06:.+((SYSTEM_STATE.+slice.+state.+changed )|(ment ac)|(system.+state.+changed )|(\|lc)|(penalty)|(\[timeout)|(PRM\|1\|D)|(kpr)|(kdp))" /e /r /s</v>
      </c>
      <c r="AG154" s="1" t="str">
        <f t="shared" si="59"/>
        <v>EC</v>
      </c>
      <c r="AH154" s="100" t="str">
        <f t="shared" si="46"/>
        <v>"%USERPROFILE%\Documents\GitHub\eaglep3\Utilities\RefineRTDCRunTimes.py" --tripid 239-16 --locoid 4038 --swversion DE.1.0.7.0 --startMP 204:86375 --initTime 2016-09-16T23:47:53 --startdatetime 2016-09-16T23:49:11 --delay 0 --endMP 204:233299 --enddatetime 2016-09-17T00:06:32 --enforcementcount 0 &gt;&gt;C:\Users\stu\Documents\GitHub\eaglep3-reporting\EC\2016-09-16-refined-times.txt</v>
      </c>
      <c r="AI154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ID","value":"239-16"},{"id":16,"name":"Locomotive ID","value":"4038"},{"id":130,"name":"Impact","value":""},{"id":150,"name":"Time of Event (Mountain Time)","value":"00:06:32"},{"id":151,"name":"Denver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604</v>
      </c>
      <c r="B155" s="7">
        <v>4037</v>
      </c>
      <c r="C155" s="24" t="s">
        <v>107</v>
      </c>
      <c r="D155" s="24" t="s">
        <v>314</v>
      </c>
      <c r="E155" s="15">
        <v>42630.011006944442</v>
      </c>
      <c r="F155" s="15">
        <v>42630.018229166664</v>
      </c>
      <c r="G155" s="7">
        <v>1</v>
      </c>
      <c r="H155" s="15" t="s">
        <v>259</v>
      </c>
      <c r="I155" s="15">
        <v>42630.048171296294</v>
      </c>
      <c r="J155" s="7">
        <v>0</v>
      </c>
      <c r="K155" s="121" t="str">
        <f t="shared" si="48"/>
        <v>4037/4038</v>
      </c>
      <c r="L155" s="24" t="str">
        <f>VLOOKUP(A155,'Trips&amp;Operators'!$C$1:$E$10000,3,FALSE)</f>
        <v>YANAI</v>
      </c>
      <c r="M155" s="6">
        <f t="shared" si="49"/>
        <v>2.99421296294895E-2</v>
      </c>
      <c r="N155" s="7">
        <f>24*60*SUM($M155:$M155)</f>
        <v>43.11666666646488</v>
      </c>
      <c r="O155" s="7"/>
      <c r="P155" s="7"/>
      <c r="Q155" s="25"/>
      <c r="R155" s="25"/>
      <c r="S155" s="37">
        <f t="shared" ref="S155:S186" si="61">SUM(U155:U155)/IF(AG155="EC",12,1)</f>
        <v>1</v>
      </c>
      <c r="T155" s="52" t="str">
        <f t="shared" si="50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23:15:51-0600',mode:absolute,to:'2016-09-17 02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5" s="54" t="str">
        <f t="shared" si="52"/>
        <v>N</v>
      </c>
      <c r="X155" s="168">
        <f t="shared" si="60"/>
        <v>1</v>
      </c>
      <c r="Y155" s="69">
        <f t="shared" si="53"/>
        <v>23.297499999999999</v>
      </c>
      <c r="Z155" s="69">
        <f t="shared" si="54"/>
        <v>1.6899999999999998E-2</v>
      </c>
      <c r="AA155" s="69">
        <f t="shared" si="55"/>
        <v>23.2806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56"/>
        <v>0240-16</v>
      </c>
      <c r="AE155" s="99" t="str">
        <f t="shared" si="57"/>
        <v>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 &amp; 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</v>
      </c>
      <c r="AF155" s="96" t="str">
        <f t="shared" si="58"/>
        <v>"C:\Program Files (x86)\AstroGrep\AstroGrep.exe" /spath="%USERPROFILE%\AppData\Local\Temp\OnboardLogs" /stypes="app*4037*20160917*" /stext=" 07:.+((SYSTEM_STATE.+slice.+state.+changed )|(ment ac)|(system.+state.+changed )|(\|lc)|(penalty)|(\[timeout)|(PRM\|1\|D)|(kpr)|(kdp))" /e /r /s</v>
      </c>
      <c r="AG155" s="1" t="str">
        <f t="shared" si="59"/>
        <v>EC</v>
      </c>
      <c r="AH155" s="100" t="str">
        <f t="shared" si="46"/>
        <v>"%USERPROFILE%\Documents\GitHub\eaglep3\Utilities\RefineRTDCRunTimes.py" --tripid 240-16 --locoid 4037 --swversion DE.1.0.7.0 --startMP 204:232975 --initTime 2016-09-17T00:15:51 --startdatetime 2016-09-17T00:26:15 --delay 1 --endMP 204:169 --enddatetime 2016-09-17T01:09:22 --enforcementcount 0 &gt;&gt;C:\Users\stu\Documents\GitHub\eaglep3-reporting\EC\2016-09-16-refined-times.txt</v>
      </c>
      <c r="AI155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{"issue":{"subject":"","project_id":79,"tracker_id":40,"status_id":1,"priority_id":2,"assigned_to_id":23,"start_date":"2016-09-17","description":"","custom_fields":[{"id":1,"name":"Subdivision","value":"EC"},{"id":4,"name":"Milepost","value":"0.0169"},{"id":17,"name":"Train ID","value":"240-16"},{"id":16,"name":"Locomotive ID","value":"4037"},{"id":130,"name":"Impact","value":""},{"id":150,"name":"Time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603</v>
      </c>
      <c r="B156" s="7">
        <v>4044</v>
      </c>
      <c r="C156" s="24" t="s">
        <v>107</v>
      </c>
      <c r="D156" s="24" t="s">
        <v>224</v>
      </c>
      <c r="E156" s="15">
        <v>42629.996249999997</v>
      </c>
      <c r="F156" s="15">
        <v>42630.000231481485</v>
      </c>
      <c r="G156" s="7">
        <v>5</v>
      </c>
      <c r="H156" s="15" t="s">
        <v>691</v>
      </c>
      <c r="I156" s="15">
        <v>42630.021921296298</v>
      </c>
      <c r="J156" s="7">
        <v>0</v>
      </c>
      <c r="K156" s="121" t="str">
        <f t="shared" si="48"/>
        <v>4043/4044</v>
      </c>
      <c r="L156" s="24" t="str">
        <f>VLOOKUP(A156,'Trips&amp;Operators'!$C$1:$E$10000,3,FALSE)</f>
        <v>CHANDLER</v>
      </c>
      <c r="M156" s="6">
        <f t="shared" si="49"/>
        <v>2.1689814813726116E-2</v>
      </c>
      <c r="N156" s="7"/>
      <c r="O156" s="7"/>
      <c r="P156" s="7">
        <f>24*60*SUM($M156:$M156)</f>
        <v>31.233333331765607</v>
      </c>
      <c r="Q156" s="25"/>
      <c r="R156" s="25" t="s">
        <v>179</v>
      </c>
      <c r="S156" s="37">
        <f t="shared" si="61"/>
        <v>1</v>
      </c>
      <c r="T156" s="52" t="str">
        <f t="shared" si="50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22:54:36-0600',mode:absolute,to:'2016-09-17 01:31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56" s="54" t="str">
        <f t="shared" si="52"/>
        <v>Y</v>
      </c>
      <c r="X156" s="168">
        <f t="shared" si="60"/>
        <v>1</v>
      </c>
      <c r="Y156" s="69">
        <f t="shared" si="53"/>
        <v>4.53E-2</v>
      </c>
      <c r="Z156" s="69">
        <f t="shared" si="54"/>
        <v>17.686499999999999</v>
      </c>
      <c r="AA156" s="69">
        <f t="shared" si="55"/>
        <v>17.641199999999998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56"/>
        <v>0241-16</v>
      </c>
      <c r="AE156" s="99" t="str">
        <f t="shared" si="57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156" s="96" t="str">
        <f t="shared" si="58"/>
        <v>"C:\Program Files (x86)\AstroGrep\AstroGrep.exe" /spath="%USERPROFILE%\AppData\Local\Temp\OnboardLogs" /stypes="app*4044*20160917*" /stext=" 06:.+((SYSTEM_STATE.+slice.+state.+changed )|(ment ac)|(system.+state.+changed )|(\|lc)|(penalty)|(\[timeout)|(PRM\|1\|D)|(kpr)|(kdp))" /e /r /s</v>
      </c>
      <c r="AG156" s="1" t="str">
        <f t="shared" si="59"/>
        <v>EC</v>
      </c>
      <c r="AH156" s="100" t="str">
        <f t="shared" si="46"/>
        <v>"%USERPROFILE%\Documents\GitHub\eaglep3\Utilities\RefineRTDCRunTimes.py" --tripid 241-16 --locoid 4044 --swversion DE.1.0.7.0 --startMP 204:453 --initTime 2016-09-16T23:54:36 --startdatetime 2016-09-17T00:00:20 --delay 5 --endMP 204:176865 --enddatetime 2016-09-17T00:31:34 --enforcementcount 0 &gt;&gt;C:\Users\stu\Documents\GitHub\eaglep3-reporting\EC\2016-09-16-refined-times.txt</v>
      </c>
      <c r="AI156" s="134" t="str">
        <f t="shared" si="47"/>
        <v>echo {"issue":{"subject":"Wi-MAX outage","project_id":79,"tracker_id":40,"status_id":1,"priority_id":2,"assigned_to_id":23,"start_date":"2016-09-17","description":"","custom_fields":[{"id":1,"name":"Subdivision","value":"EC"},{"id":4,"name":"Milepost","value":"17.6865"},{"id":17,"name":"Train ID","value":"241-16"},{"id":16,"name":"Locomotive ID","value":"4044"},{"id":130,"name":"Impact","value":""},{"id":150,"name":"Time of Event (Mountain Time)","value":"00:31:34"},{"id":151,"name":"Denver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607</v>
      </c>
      <c r="B157" s="7">
        <v>4043</v>
      </c>
      <c r="C157" s="24" t="s">
        <v>107</v>
      </c>
      <c r="D157" s="24" t="s">
        <v>293</v>
      </c>
      <c r="E157" s="15">
        <v>42630.036979166667</v>
      </c>
      <c r="F157" s="15">
        <v>42630.039178240739</v>
      </c>
      <c r="G157" s="7">
        <v>1</v>
      </c>
      <c r="H157" s="15" t="s">
        <v>313</v>
      </c>
      <c r="I157" s="15">
        <v>42630.075833333336</v>
      </c>
      <c r="J157" s="7">
        <v>0</v>
      </c>
      <c r="K157" s="121" t="str">
        <f t="shared" si="48"/>
        <v>4043/4044</v>
      </c>
      <c r="L157" s="24" t="str">
        <f>VLOOKUP(A157,'Trips&amp;Operators'!$C$1:$E$10000,3,FALSE)</f>
        <v>CHANDLER</v>
      </c>
      <c r="M157" s="6">
        <f t="shared" si="49"/>
        <v>3.6655092597356997E-2</v>
      </c>
      <c r="N157" s="7">
        <f t="shared" ref="N157:N190" si="62">24*60*SUM($M157:$M157)</f>
        <v>52.783333340194076</v>
      </c>
      <c r="O157" s="7"/>
      <c r="P157" s="7"/>
      <c r="Q157" s="25"/>
      <c r="R157" s="25"/>
      <c r="S157" s="37">
        <f t="shared" si="61"/>
        <v>1</v>
      </c>
      <c r="T157" s="52" t="str">
        <f t="shared" si="50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23:53:15-0600',mode:absolute,to:'2016-09-17 02:49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7" s="54" t="str">
        <f t="shared" si="52"/>
        <v>N</v>
      </c>
      <c r="X157" s="168">
        <f t="shared" si="60"/>
        <v>1</v>
      </c>
      <c r="Y157" s="69">
        <f t="shared" si="53"/>
        <v>23.295500000000001</v>
      </c>
      <c r="Z157" s="69">
        <f t="shared" si="54"/>
        <v>1.7600000000000001E-2</v>
      </c>
      <c r="AA157" s="69">
        <f t="shared" si="55"/>
        <v>23.277899999999999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56"/>
        <v>0242-16</v>
      </c>
      <c r="AE157" s="99" t="str">
        <f t="shared" si="57"/>
        <v>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 &amp; 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</v>
      </c>
      <c r="AF157" s="96" t="str">
        <f t="shared" si="58"/>
        <v>"C:\Program Files (x86)\AstroGrep\AstroGrep.exe" /spath="%USERPROFILE%\AppData\Local\Temp\OnboardLogs" /stypes="app*4043*20160917*" /stext=" 07:.+((SYSTEM_STATE.+slice.+state.+changed )|(ment ac)|(system.+state.+changed )|(\|lc)|(penalty)|(\[timeout)|(PRM\|1\|D)|(kpr)|(kdp))" /e /r /s</v>
      </c>
      <c r="AG157" s="1" t="str">
        <f t="shared" si="59"/>
        <v>EC</v>
      </c>
      <c r="AH157" s="100" t="str">
        <f t="shared" si="46"/>
        <v>"%USERPROFILE%\Documents\GitHub\eaglep3\Utilities\RefineRTDCRunTimes.py" --tripid 242-16 --locoid 4043 --swversion DE.1.0.7.0 --startMP 204:232955 --initTime 2016-09-17T00:53:15 --startdatetime 2016-09-17T00:56:25 --delay 1 --endMP 204:176 --enddatetime 2016-09-17T01:49:12 --enforcementcount 0 &gt;&gt;C:\Users\stu\Documents\GitHub\eaglep3-reporting\EC\2016-09-16-refined-times.txt</v>
      </c>
      <c r="AI157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{"issue":{"subject":"","project_id":79,"tracker_id":40,"status_id":1,"priority_id":2,"assigned_to_id":23,"start_date":"2016-09-17","description":"","custom_fields":[{"id":1,"name":"Subdivision","value":"EC"},{"id":4,"name":"Milepost","value":"0.0176"},{"id":17,"name":"Train ID","value":"242-16"},{"id":16,"name":"Locomotive ID","value":"4043"},{"id":130,"name":"Impact","value":""},{"id":150,"name":"Time of Event (Mountain Time)","value":"01:49:12"},{"id":151,"name":"Denver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605</v>
      </c>
      <c r="B158" s="7">
        <v>4009</v>
      </c>
      <c r="C158" s="24" t="s">
        <v>107</v>
      </c>
      <c r="D158" s="24" t="s">
        <v>331</v>
      </c>
      <c r="E158" s="15">
        <v>42630.014131944445</v>
      </c>
      <c r="F158" s="15">
        <v>42630.021134259259</v>
      </c>
      <c r="G158" s="7">
        <v>1</v>
      </c>
      <c r="H158" s="15" t="s">
        <v>227</v>
      </c>
      <c r="I158" s="15">
        <v>42630.051620370374</v>
      </c>
      <c r="J158" s="7">
        <v>0</v>
      </c>
      <c r="K158" s="121" t="str">
        <f t="shared" si="48"/>
        <v>4009/4010</v>
      </c>
      <c r="L158" s="24" t="str">
        <f>VLOOKUP(A158,'Trips&amp;Operators'!$C$1:$E$10000,3,FALSE)</f>
        <v>STURGEON</v>
      </c>
      <c r="M158" s="6">
        <f t="shared" si="49"/>
        <v>3.0486111114441883E-2</v>
      </c>
      <c r="N158" s="7">
        <f t="shared" si="62"/>
        <v>43.900000004796311</v>
      </c>
      <c r="O158" s="7"/>
      <c r="P158" s="7"/>
      <c r="Q158" s="25"/>
      <c r="R158" s="25"/>
      <c r="S158" s="37">
        <f t="shared" si="61"/>
        <v>1</v>
      </c>
      <c r="T158" s="52" t="str">
        <f t="shared" si="50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23:20:21-0600',mode:absolute,to:'2016-09-17 02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52"/>
        <v>N</v>
      </c>
      <c r="X158" s="168">
        <f t="shared" si="60"/>
        <v>1</v>
      </c>
      <c r="Y158" s="69">
        <f t="shared" si="53"/>
        <v>4.4200000000000003E-2</v>
      </c>
      <c r="Z158" s="69">
        <f t="shared" si="54"/>
        <v>23.3291</v>
      </c>
      <c r="AA158" s="69">
        <f t="shared" si="55"/>
        <v>23.2849</v>
      </c>
      <c r="AB158" s="66" t="str">
        <f>VLOOKUP(A158,Enforcements!$C$7:$K$20,8,0)</f>
        <v>Speed (6)</v>
      </c>
      <c r="AC158" s="62" t="str">
        <f>VLOOKUP(A158,Enforcements!$C$7:$E$20,3,0)</f>
        <v>PERMANENT SPEED RESTRICTION</v>
      </c>
      <c r="AD158" s="63" t="str">
        <f t="shared" si="56"/>
        <v>0243-16</v>
      </c>
      <c r="AE158" s="99" t="str">
        <f t="shared" si="57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158" s="96" t="str">
        <f t="shared" si="58"/>
        <v>"C:\Program Files (x86)\AstroGrep\AstroGrep.exe" /spath="%USERPROFILE%\AppData\Local\Temp\OnboardLogs" /stypes="app*4009*20160917*" /stext=" 07:.+((SYSTEM_STATE.+slice.+state.+changed )|(ment ac)|(system.+state.+changed )|(\|lc)|(penalty)|(\[timeout)|(PRM\|1\|D)|(kpr)|(kdp))" /e /r /s</v>
      </c>
      <c r="AG158" s="1" t="str">
        <f t="shared" si="59"/>
        <v>EC</v>
      </c>
      <c r="AH158" s="100" t="str">
        <f t="shared" si="46"/>
        <v>"%USERPROFILE%\Documents\GitHub\eaglep3\Utilities\RefineRTDCRunTimes.py" --tripid 243-16 --locoid 4009 --swversion DE.1.0.7.0 --startMP 204:442 --initTime 2016-09-17T00:20:21 --startdatetime 2016-09-17T00:30:26 --delay 1 --endMP 204:233291 --enddatetime 2016-09-17T01:14:20 --enforcementcount 0 &gt;&gt;C:\Users\stu\Documents\GitHub\eaglep3-reporting\EC\2016-09-16-refined-times.txt</v>
      </c>
      <c r="AI158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ID","value":"243-16"},{"id":16,"name":"Locomotive ID","value":"4009"},{"id":130,"name":"Impact","value":""},{"id":150,"name":"Time of Event (Mountain Time)","value":"01:14:20"},{"id":151,"name":"Denver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609</v>
      </c>
      <c r="B159" s="7">
        <v>4010</v>
      </c>
      <c r="C159" s="24" t="s">
        <v>107</v>
      </c>
      <c r="D159" s="24" t="s">
        <v>243</v>
      </c>
      <c r="E159" s="15">
        <v>42630.053472222222</v>
      </c>
      <c r="F159" s="15">
        <v>42630.059918981482</v>
      </c>
      <c r="G159" s="7">
        <v>1</v>
      </c>
      <c r="H159" s="15" t="s">
        <v>129</v>
      </c>
      <c r="I159" s="15">
        <v>42630.091354166667</v>
      </c>
      <c r="J159" s="7">
        <v>0</v>
      </c>
      <c r="K159" s="121" t="str">
        <f t="shared" si="48"/>
        <v>4009/4010</v>
      </c>
      <c r="L159" s="24" t="str">
        <f>VLOOKUP(A159,'Trips&amp;Operators'!$C$1:$E$10000,3,FALSE)</f>
        <v>STURGEON</v>
      </c>
      <c r="M159" s="6">
        <f t="shared" si="49"/>
        <v>3.1435185184818693E-2</v>
      </c>
      <c r="N159" s="7">
        <f t="shared" si="62"/>
        <v>45.266666666138917</v>
      </c>
      <c r="O159" s="7"/>
      <c r="P159" s="7"/>
      <c r="Q159" s="25"/>
      <c r="R159" s="25"/>
      <c r="S159" s="37">
        <f t="shared" si="61"/>
        <v>1</v>
      </c>
      <c r="T159" s="52" t="str">
        <f t="shared" si="50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https://search-rtdc-monitor-bjffxe2xuh6vdkpspy63sjmuny.us-east-1.es.amazonaws.com/_plugin/kibana/#/discover/Steve-Slow-Train-Analysis-(2080s-and-2083s)?_g=(refreshInterval:(display:Off,section:0,value:0),time:(from:'2016-09-17 00:17:00-0600',mode:absolute,to:'2016-09-17 03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52"/>
        <v>N</v>
      </c>
      <c r="X159" s="168">
        <f t="shared" si="60"/>
        <v>1</v>
      </c>
      <c r="Y159" s="69">
        <f t="shared" si="53"/>
        <v>23.296900000000001</v>
      </c>
      <c r="Z159" s="69">
        <f t="shared" si="54"/>
        <v>1.54E-2</v>
      </c>
      <c r="AA159" s="69">
        <f t="shared" si="55"/>
        <v>23.281500000000001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56"/>
        <v>0244-16</v>
      </c>
      <c r="AE159" s="99" t="str">
        <f t="shared" si="57"/>
        <v>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 &amp; 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</v>
      </c>
      <c r="AF159" s="96" t="str">
        <f t="shared" si="58"/>
        <v>"C:\Program Files (x86)\AstroGrep\AstroGrep.exe" /spath="%USERPROFILE%\AppData\Local\Temp\OnboardLogs" /stypes="app*4010*20160917*" /stext=" 08:.+((SYSTEM_STATE.+slice.+state.+changed )|(ment ac)|(system.+state.+changed )|(\|lc)|(penalty)|(\[timeout)|(PRM\|1\|D)|(kpr)|(kdp))" /e /r /s</v>
      </c>
      <c r="AG159" s="1" t="str">
        <f t="shared" si="59"/>
        <v>EC</v>
      </c>
      <c r="AH159" s="100" t="str">
        <f t="shared" si="46"/>
        <v>"%USERPROFILE%\Documents\GitHub\eaglep3\Utilities\RefineRTDCRunTimes.py" --tripid 244-16 --locoid 4010 --swversion DE.1.0.7.0 --startMP 204:232969 --initTime 2016-09-17T01:17:00 --startdatetime 2016-09-17T01:26:17 --delay 1 --endMP 204:154 --enddatetime 2016-09-17T02:11:33 --enforcementcount 0 &gt;&gt;C:\Users\stu\Documents\GitHub\eaglep3-reporting\EC\2016-09-16-refined-times.txt</v>
      </c>
      <c r="AI159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ID","value":"244-16"},{"id":16,"name":"Locomotive ID","value":"4010"},{"id":130,"name":"Impact","value":""},{"id":150,"name":"Time of Event (Mountain Time)","value":"02:11:33"},{"id":151,"name":"Denver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606</v>
      </c>
      <c r="B160" s="7">
        <v>4003</v>
      </c>
      <c r="C160" s="24" t="s">
        <v>107</v>
      </c>
      <c r="D160" s="24" t="s">
        <v>257</v>
      </c>
      <c r="E160" s="15">
        <v>42630.036226851851</v>
      </c>
      <c r="F160" s="15">
        <v>42630.042013888888</v>
      </c>
      <c r="G160" s="7">
        <v>1</v>
      </c>
      <c r="H160" s="15" t="s">
        <v>692</v>
      </c>
      <c r="I160" s="15">
        <v>42630.069178240738</v>
      </c>
      <c r="J160" s="7">
        <v>0</v>
      </c>
      <c r="K160" s="121" t="str">
        <f t="shared" si="48"/>
        <v>4003/4004</v>
      </c>
      <c r="L160" s="24" t="str">
        <f>VLOOKUP(A160,'Trips&amp;Operators'!$C$1:$E$10000,3,FALSE)</f>
        <v>LEVIN</v>
      </c>
      <c r="M160" s="6">
        <f t="shared" si="49"/>
        <v>2.7164351849933155E-2</v>
      </c>
      <c r="N160" s="7">
        <f t="shared" si="62"/>
        <v>39.116666663903743</v>
      </c>
      <c r="O160" s="7"/>
      <c r="P160" s="7"/>
      <c r="Q160" s="25"/>
      <c r="R160" s="25"/>
      <c r="S160" s="37">
        <f t="shared" si="61"/>
        <v>1</v>
      </c>
      <c r="T160" s="52" t="str">
        <f t="shared" si="50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23:52:10-0600',mode:absolute,to:'2016-09-17 02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0" s="54" t="str">
        <f t="shared" si="52"/>
        <v>N</v>
      </c>
      <c r="X160" s="168">
        <f t="shared" si="60"/>
        <v>1</v>
      </c>
      <c r="Y160" s="69">
        <f t="shared" si="53"/>
        <v>4.4900000000000002E-2</v>
      </c>
      <c r="Z160" s="69">
        <f t="shared" si="54"/>
        <v>23.333200000000001</v>
      </c>
      <c r="AA160" s="69">
        <f t="shared" si="55"/>
        <v>23.288300000000003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56"/>
        <v>0245-16</v>
      </c>
      <c r="AE160" s="99" t="str">
        <f t="shared" si="57"/>
        <v>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 &amp; 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</v>
      </c>
      <c r="AF160" s="96" t="str">
        <f t="shared" si="58"/>
        <v>"C:\Program Files (x86)\AstroGrep\AstroGrep.exe" /spath="%USERPROFILE%\AppData\Local\Temp\OnboardLogs" /stypes="app*4003*20160917*" /stext=" 07:.+((SYSTEM_STATE.+slice.+state.+changed )|(ment ac)|(system.+state.+changed )|(\|lc)|(penalty)|(\[timeout)|(PRM\|1\|D)|(kpr)|(kdp))" /e /r /s</v>
      </c>
      <c r="AG160" s="1" t="str">
        <f t="shared" si="59"/>
        <v>EC</v>
      </c>
      <c r="AH160" s="100" t="str">
        <f t="shared" si="46"/>
        <v>"%USERPROFILE%\Documents\GitHub\eaglep3\Utilities\RefineRTDCRunTimes.py" --tripid 245-16 --locoid 4003 --swversion DE.1.0.7.0 --startMP 204:449 --initTime 2016-09-17T00:52:10 --startdatetime 2016-09-17T01:00:30 --delay 1 --endMP 204:233332 --enddatetime 2016-09-17T01:39:37 --enforcementcount 0 &gt;&gt;C:\Users\stu\Documents\GitHub\eaglep3-reporting\EC\2016-09-16-refined-times.txt</v>
      </c>
      <c r="AI160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{"issue":{"subject":"","project_id":79,"tracker_id":40,"status_id":1,"priority_id":2,"assigned_to_id":23,"start_date":"2016-09-17","description":"","custom_fields":[{"id":1,"name":"Subdivision","value":"EC"},{"id":4,"name":"Milepost","value":"23.3332"},{"id":17,"name":"Train ID","value":"245-16"},{"id":16,"name":"Locomotive ID","value":"4003"},{"id":130,"name":"Impact","value":""},{"id":150,"name":"Time of Event (Mountain Time)","value":"01:39:37"},{"id":151,"name":"Denver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610</v>
      </c>
      <c r="B161" s="7">
        <v>4004</v>
      </c>
      <c r="C161" s="24" t="s">
        <v>107</v>
      </c>
      <c r="D161" s="24" t="s">
        <v>693</v>
      </c>
      <c r="E161" s="15">
        <v>42630.078136574077</v>
      </c>
      <c r="F161" s="15">
        <v>42630.081018518518</v>
      </c>
      <c r="G161" s="7">
        <v>1</v>
      </c>
      <c r="H161" s="15" t="s">
        <v>345</v>
      </c>
      <c r="I161" s="15">
        <v>42630.107824074075</v>
      </c>
      <c r="J161" s="7">
        <v>0</v>
      </c>
      <c r="K161" s="121" t="str">
        <f t="shared" si="48"/>
        <v>4003/4004</v>
      </c>
      <c r="L161" s="24" t="str">
        <f>VLOOKUP(A161,'Trips&amp;Operators'!$C$1:$E$10000,3,FALSE)</f>
        <v>LEVIN</v>
      </c>
      <c r="M161" s="6">
        <f t="shared" si="49"/>
        <v>2.6805555557075422E-2</v>
      </c>
      <c r="N161" s="7">
        <f t="shared" si="62"/>
        <v>38.600000002188608</v>
      </c>
      <c r="O161" s="7"/>
      <c r="P161" s="7"/>
      <c r="Q161" s="25"/>
      <c r="R161" s="25"/>
      <c r="S161" s="37">
        <f t="shared" si="61"/>
        <v>1</v>
      </c>
      <c r="T161" s="52" t="str">
        <f t="shared" si="50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https://search-rtdc-monitor-bjffxe2xuh6vdkpspy63sjmuny.us-east-1.es.amazonaws.com/_plugin/kibana/#/discover/Steve-Slow-Train-Analysis-(2080s-and-2083s)?_g=(refreshInterval:(display:Off,section:0,value:0),time:(from:'2016-09-17 00:52:31-0600',mode:absolute,to:'2016-09-17 03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1" s="54" t="str">
        <f t="shared" si="52"/>
        <v>N</v>
      </c>
      <c r="X161" s="168">
        <f t="shared" si="60"/>
        <v>1</v>
      </c>
      <c r="Y161" s="69">
        <f t="shared" si="53"/>
        <v>23.301500000000001</v>
      </c>
      <c r="Z161" s="69">
        <f t="shared" si="54"/>
        <v>1.2999999999999999E-2</v>
      </c>
      <c r="AA161" s="69">
        <f t="shared" si="55"/>
        <v>23.288499999999999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56"/>
        <v>0246-16</v>
      </c>
      <c r="AE161" s="99" t="str">
        <f t="shared" si="57"/>
        <v>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 &amp; 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</v>
      </c>
      <c r="AF161" s="96" t="str">
        <f t="shared" si="58"/>
        <v>"C:\Program Files (x86)\AstroGrep\AstroGrep.exe" /spath="%USERPROFILE%\AppData\Local\Temp\OnboardLogs" /stypes="app*4004*20160917*" /stext=" 08:.+((SYSTEM_STATE.+slice.+state.+changed )|(ment ac)|(system.+state.+changed )|(\|lc)|(penalty)|(\[timeout)|(PRM\|1\|D)|(kpr)|(kdp))" /e /r /s</v>
      </c>
      <c r="AG161" s="1" t="str">
        <f t="shared" si="59"/>
        <v>EC</v>
      </c>
      <c r="AH161" s="100" t="str">
        <f t="shared" si="46"/>
        <v>"%USERPROFILE%\Documents\GitHub\eaglep3\Utilities\RefineRTDCRunTimes.py" --tripid 246-16 --locoid 4004 --swversion DE.1.0.7.0 --startMP 204:233015 --initTime 2016-09-17T01:52:31 --startdatetime 2016-09-17T01:56:40 --delay 1 --endMP 204:130 --enddatetime 2016-09-17T02:35:16 --enforcementcount 0 &gt;&gt;C:\Users\stu\Documents\GitHub\eaglep3-reporting\EC\2016-09-16-refined-times.txt</v>
      </c>
      <c r="AI161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{"issue":{"subject":"","project_id":79,"tracker_id":40,"status_id":1,"priority_id":2,"assigned_to_id":23,"start_date":"2016-09-17","description":"","custom_fields":[{"id":1,"name":"Subdivision","value":"EC"},{"id":4,"name":"Milepost","value":"0.013"},{"id":17,"name":"Train ID","value":"246-16"},{"id":16,"name":"Locomotive ID","value":"4004"},{"id":130,"name":"Impact","value":""},{"id":150,"name":"Time of Event (Mountain Time)","value":"02:35:16"},{"id":151,"name":"Denver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398</v>
      </c>
      <c r="B162" s="7">
        <v>4032</v>
      </c>
      <c r="C162" s="24" t="s">
        <v>107</v>
      </c>
      <c r="D162" s="24" t="s">
        <v>712</v>
      </c>
      <c r="E162" s="15">
        <v>42629.205740740741</v>
      </c>
      <c r="F162" s="15">
        <v>42629.207766203705</v>
      </c>
      <c r="G162" s="7">
        <v>1</v>
      </c>
      <c r="H162" s="15" t="s">
        <v>713</v>
      </c>
      <c r="I162" s="15">
        <v>42629.226886574077</v>
      </c>
      <c r="J162" s="7">
        <v>0</v>
      </c>
      <c r="K162" s="121" t="str">
        <f t="shared" si="48"/>
        <v>4031/4032</v>
      </c>
      <c r="L162" s="24" t="str">
        <f>VLOOKUP(A162,'Trips&amp;Operators'!$C$1:$E$10000,3,FALSE)</f>
        <v>STRICKLAND</v>
      </c>
      <c r="M162" s="6">
        <f t="shared" si="49"/>
        <v>1.9120370372547768E-2</v>
      </c>
      <c r="N162" s="7">
        <f t="shared" si="62"/>
        <v>27.533333336468786</v>
      </c>
      <c r="O162" s="7"/>
      <c r="P162" s="7"/>
      <c r="Q162" s="25"/>
      <c r="R162" s="25"/>
      <c r="S162" s="37">
        <f t="shared" si="61"/>
        <v>1</v>
      </c>
      <c r="T162" s="52" t="str">
        <f t="shared" si="50"/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03:56:16-0600',mode:absolute,to:'2016-09-16 06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2" s="54" t="str">
        <f t="shared" si="52"/>
        <v>N</v>
      </c>
      <c r="X162" s="168">
        <f t="shared" si="60"/>
        <v>554</v>
      </c>
      <c r="Y162" s="69">
        <f t="shared" si="53"/>
        <v>5.8643000000000001</v>
      </c>
      <c r="Z162" s="69">
        <f t="shared" si="54"/>
        <v>6.59E-2</v>
      </c>
      <c r="AA162" s="69">
        <f t="shared" si="55"/>
        <v>5.7984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56"/>
        <v>0800-16</v>
      </c>
      <c r="AE162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2" s="96" t="str">
        <f t="shared" si="58"/>
        <v>"C:\Program Files (x86)\AstroGrep\AstroGrep.exe" /spath="%USERPROFILE%\AppData\Local\Temp\OnboardLogs" /stypes="app*4032*20160916*" /stext=" 11:.+((SYSTEM_STATE.+slice.+state.+changed )|(ment ac)|(system.+state.+changed )|(\|lc)|(penalty)|(\[timeout)|(PRM\|1\|D)|(kpr)|(kdp))" /e /r /s</v>
      </c>
      <c r="AG162" s="1" t="str">
        <f t="shared" si="59"/>
        <v>NW</v>
      </c>
      <c r="AH162" s="100" t="str">
        <f t="shared" si="46"/>
        <v>"%USERPROFILE%\Documents\GitHub\eaglep3\Utilities\RefineRTDCRunTimes.py" --tripid 800-16 --locoid 4032 --swversion DE.1.0.7.0 --startMP 300:58643 --initTime 2016-09-16T04:56:16 --startdatetime 2016-09-16T04:59:11 --delay 1 --endMP 204:659 --enddatetime 2016-09-16T05:26:43 --enforcementcount 0 &gt;&gt;C:\Users\stu\Documents\GitHub\eaglep3-reporting\EC\2016-09-16-refined-times.txt</v>
      </c>
      <c r="AI16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{"issue":{"subject":"","project_id":79,"tracker_id":40,"status_id":1,"priority_id":2,"assigned_to_id":23,"start_date":"2016-09-16","description":"","custom_fields":[{"id":1,"name":"Subdivision","value":"NW"},{"id":4,"name":"Milepost","value":"0.0659"},{"id":17,"name":"Train ID","value":"800-16"},{"id":16,"name":"Locomotive ID","value":"4032"},{"id":130,"name":"Impact","value":""},{"id":150,"name":"Time of Event (Mountain Time)","value":"05:26:43"},{"id":151,"name":"Denver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406</v>
      </c>
      <c r="B163" s="7">
        <v>4031</v>
      </c>
      <c r="C163" s="24" t="s">
        <v>107</v>
      </c>
      <c r="D163" s="24" t="s">
        <v>714</v>
      </c>
      <c r="E163" s="15">
        <v>42629.236076388886</v>
      </c>
      <c r="F163" s="15">
        <v>42629.244004629632</v>
      </c>
      <c r="G163" s="7">
        <v>2</v>
      </c>
      <c r="H163" s="15" t="s">
        <v>715</v>
      </c>
      <c r="I163" s="15">
        <v>42629.254953703705</v>
      </c>
      <c r="J163" s="7">
        <v>0</v>
      </c>
      <c r="K163" s="121" t="str">
        <f t="shared" si="48"/>
        <v>4031/4032</v>
      </c>
      <c r="L163" s="24" t="str">
        <f>VLOOKUP(A163,'Trips&amp;Operators'!$C$1:$E$10000,3,FALSE)</f>
        <v>STRICKLAND</v>
      </c>
      <c r="M163" s="6">
        <f t="shared" si="49"/>
        <v>1.0949074072414078E-2</v>
      </c>
      <c r="N163" s="7">
        <f t="shared" si="62"/>
        <v>15.766666664276272</v>
      </c>
      <c r="O163" s="7"/>
      <c r="P163" s="7"/>
      <c r="Q163" s="25"/>
      <c r="R163" s="25"/>
      <c r="S163" s="37">
        <f t="shared" si="61"/>
        <v>1</v>
      </c>
      <c r="T163" s="52" t="str">
        <f t="shared" si="50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04:39:57-0600',mode:absolute,to:'2016-09-16 07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3" s="54" t="str">
        <f t="shared" si="52"/>
        <v>N</v>
      </c>
      <c r="X163" s="168">
        <f t="shared" si="60"/>
        <v>1</v>
      </c>
      <c r="Y163" s="69">
        <f t="shared" si="53"/>
        <v>9.5299999999999996E-2</v>
      </c>
      <c r="Z163" s="69">
        <f t="shared" si="54"/>
        <v>5.8964999999999996</v>
      </c>
      <c r="AA163" s="69">
        <f t="shared" si="55"/>
        <v>5.8011999999999997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56"/>
        <v>0801-16</v>
      </c>
      <c r="AE163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63" s="96" t="str">
        <f t="shared" si="58"/>
        <v>"C:\Program Files (x86)\AstroGrep\AstroGrep.exe" /spath="%USERPROFILE%\AppData\Local\Temp\OnboardLogs" /stypes="app*4031*20160916*" /stext=" 12:.+((SYSTEM_STATE.+slice.+state.+changed )|(ment ac)|(system.+state.+changed )|(\|lc)|(penalty)|(\[timeout)|(PRM\|1\|D)|(kpr)|(kdp))" /e /r /s</v>
      </c>
      <c r="AG163" s="1" t="str">
        <f t="shared" si="59"/>
        <v>NW</v>
      </c>
      <c r="AH163" s="100" t="str">
        <f t="shared" si="46"/>
        <v>"%USERPROFILE%\Documents\GitHub\eaglep3\Utilities\RefineRTDCRunTimes.py" --tripid 801-16 --locoid 4031 --swversion DE.1.0.7.0 --startMP 204:953 --initTime 2016-09-16T05:39:57 --startdatetime 2016-09-16T05:51:22 --delay 2 --endMP 300:58965 --enddatetime 2016-09-16T06:07:08 --enforcementcount 0 &gt;&gt;C:\Users\stu\Documents\GitHub\eaglep3-reporting\EC\2016-09-16-refined-times.txt</v>
      </c>
      <c r="AI16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{"issue":{"subject":"","project_id":79,"tracker_id":40,"status_id":1,"priority_id":2,"assigned_to_id":23,"start_date":"2016-09-16","description":"","custom_fields":[{"id":1,"name":"Subdivision","value":"NW"},{"id":4,"name":"Milepost","value":"5.8965"},{"id":17,"name":"Train ID","value":"801-16"},{"id":16,"name":"Locomotive ID","value":"4031"},{"id":130,"name":"Impact","value":""},{"id":150,"name":"Time of Event (Mountain Time)","value":"06:07:08"},{"id":151,"name":"Denver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414</v>
      </c>
      <c r="B164" s="7">
        <v>4032</v>
      </c>
      <c r="C164" s="24" t="s">
        <v>107</v>
      </c>
      <c r="D164" s="24" t="s">
        <v>716</v>
      </c>
      <c r="E164" s="15">
        <v>42629.255856481483</v>
      </c>
      <c r="F164" s="15">
        <v>42629.257106481484</v>
      </c>
      <c r="G164" s="7">
        <v>1</v>
      </c>
      <c r="H164" s="15" t="s">
        <v>717</v>
      </c>
      <c r="I164" s="15">
        <v>42629.268657407411</v>
      </c>
      <c r="J164" s="7">
        <v>0</v>
      </c>
      <c r="K164" s="121" t="str">
        <f t="shared" si="48"/>
        <v>4031/4032</v>
      </c>
      <c r="L164" s="24" t="str">
        <f>VLOOKUP(A164,'Trips&amp;Operators'!$C$1:$E$10000,3,FALSE)</f>
        <v>STRICKLAND</v>
      </c>
      <c r="M164" s="6">
        <f t="shared" si="49"/>
        <v>1.1550925926712807E-2</v>
      </c>
      <c r="N164" s="7">
        <f t="shared" si="62"/>
        <v>16.633333334466442</v>
      </c>
      <c r="O164" s="7"/>
      <c r="P164" s="7"/>
      <c r="Q164" s="25"/>
      <c r="R164" s="25"/>
      <c r="S164" s="37">
        <f t="shared" si="61"/>
        <v>1</v>
      </c>
      <c r="T164" s="52" t="str">
        <f t="shared" si="50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05:08:26-0600',mode:absolute,to:'2016-09-16 07:26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4" s="54" t="str">
        <f t="shared" si="52"/>
        <v>N</v>
      </c>
      <c r="X164" s="168">
        <f t="shared" si="60"/>
        <v>1</v>
      </c>
      <c r="Y164" s="69">
        <f t="shared" si="53"/>
        <v>5.8658000000000001</v>
      </c>
      <c r="Z164" s="69">
        <f t="shared" si="54"/>
        <v>7.1499999999999994E-2</v>
      </c>
      <c r="AA164" s="69">
        <f t="shared" si="55"/>
        <v>5.7942999999999998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56"/>
        <v>0802-16</v>
      </c>
      <c r="AE164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4" s="96" t="str">
        <f t="shared" si="58"/>
        <v>"C:\Program Files (x86)\AstroGrep\AstroGrep.exe" /spath="%USERPROFILE%\AppData\Local\Temp\OnboardLogs" /stypes="app*4032*20160916*" /stext=" 12:.+((SYSTEM_STATE.+slice.+state.+changed )|(ment ac)|(system.+state.+changed )|(\|lc)|(penalty)|(\[timeout)|(PRM\|1\|D)|(kpr)|(kdp))" /e /r /s</v>
      </c>
      <c r="AG164" s="1" t="str">
        <f t="shared" si="59"/>
        <v>NW</v>
      </c>
      <c r="AH164" s="100" t="str">
        <f t="shared" si="46"/>
        <v>"%USERPROFILE%\Documents\GitHub\eaglep3\Utilities\RefineRTDCRunTimes.py" --tripid 802-16 --locoid 4032 --swversion DE.1.0.7.0 --startMP 300:58658 --initTime 2016-09-16T06:08:26 --startdatetime 2016-09-16T06:10:14 --delay 1 --endMP 204:715 --enddatetime 2016-09-16T06:26:52 --enforcementcount 0 &gt;&gt;C:\Users\stu\Documents\GitHub\eaglep3-reporting\EC\2016-09-16-refined-times.txt</v>
      </c>
      <c r="AI16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{"issue":{"subject":"","project_id":79,"tracker_id":40,"status_id":1,"priority_id":2,"assigned_to_id":23,"start_date":"2016-09-16","description":"","custom_fields":[{"id":1,"name":"Subdivision","value":"NW"},{"id":4,"name":"Milepost","value":"0.0715"},{"id":17,"name":"Train ID","value":"802-16"},{"id":16,"name":"Locomotive ID","value":"4032"},{"id":130,"name":"Impact","value":""},{"id":150,"name":"Time of Event (Mountain Time)","value":"06:26:52"},{"id":151,"name":"Denver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412</v>
      </c>
      <c r="B165" s="7">
        <v>4014</v>
      </c>
      <c r="C165" s="24" t="s">
        <v>107</v>
      </c>
      <c r="D165" s="24" t="s">
        <v>718</v>
      </c>
      <c r="E165" s="15">
        <v>42629.255069444444</v>
      </c>
      <c r="F165" s="15">
        <v>42629.264803240738</v>
      </c>
      <c r="G165" s="7">
        <v>2</v>
      </c>
      <c r="H165" s="15" t="s">
        <v>369</v>
      </c>
      <c r="I165" s="15">
        <v>42629.277685185189</v>
      </c>
      <c r="J165" s="7">
        <v>0</v>
      </c>
      <c r="K165" s="121" t="str">
        <f t="shared" si="48"/>
        <v>4013/4014</v>
      </c>
      <c r="L165" s="24" t="str">
        <f>VLOOKUP(A165,'Trips&amp;Operators'!$C$1:$E$10000,3,FALSE)</f>
        <v>ROBINSON</v>
      </c>
      <c r="M165" s="6">
        <f t="shared" si="49"/>
        <v>1.2881944450782612E-2</v>
      </c>
      <c r="N165" s="7">
        <f t="shared" si="62"/>
        <v>18.550000009126961</v>
      </c>
      <c r="O165" s="7"/>
      <c r="P165" s="7"/>
      <c r="Q165" s="25"/>
      <c r="R165" s="25"/>
      <c r="S165" s="37">
        <f t="shared" si="61"/>
        <v>1</v>
      </c>
      <c r="T165" s="52" t="str">
        <f t="shared" si="50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05:07:18-0600',mode:absolute,to:'2016-09-16 07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5" s="54" t="str">
        <f t="shared" si="52"/>
        <v>N</v>
      </c>
      <c r="X165" s="168">
        <f t="shared" si="60"/>
        <v>1</v>
      </c>
      <c r="Y165" s="69">
        <f t="shared" si="53"/>
        <v>9.7799999999999998E-2</v>
      </c>
      <c r="Z165" s="69">
        <f t="shared" si="54"/>
        <v>5.8925999999999998</v>
      </c>
      <c r="AA165" s="69">
        <f t="shared" si="55"/>
        <v>5.7947999999999995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56"/>
        <v>0803-16</v>
      </c>
      <c r="AE16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65" s="96" t="str">
        <f t="shared" si="58"/>
        <v>"C:\Program Files (x86)\AstroGrep\AstroGrep.exe" /spath="%USERPROFILE%\AppData\Local\Temp\OnboardLogs" /stypes="app*4014*20160916*" /stext=" 12:.+((SYSTEM_STATE.+slice.+state.+changed )|(ment ac)|(system.+state.+changed )|(\|lc)|(penalty)|(\[timeout)|(PRM\|1\|D)|(kpr)|(kdp))" /e /r /s</v>
      </c>
      <c r="AG165" s="1" t="str">
        <f t="shared" si="59"/>
        <v>NW</v>
      </c>
      <c r="AH165" s="100" t="str">
        <f t="shared" si="46"/>
        <v>"%USERPROFILE%\Documents\GitHub\eaglep3\Utilities\RefineRTDCRunTimes.py" --tripid 803-16 --locoid 4014 --swversion DE.1.0.7.0 --startMP 204:978 --initTime 2016-09-16T06:07:18 --startdatetime 2016-09-16T06:21:19 --delay 2 --endMP 300:58926 --enddatetime 2016-09-16T06:39:52 --enforcementcount 0 &gt;&gt;C:\Users\stu\Documents\GitHub\eaglep3-reporting\EC\2016-09-16-refined-times.txt</v>
      </c>
      <c r="AI16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ID","value":"803-16"},{"id":16,"name":"Locomotive ID","value":"4014"},{"id":130,"name":"Impact","value":""},{"id":150,"name":"Time of Event (Mountain Time)","value":"06:39:52"},{"id":151,"name":"Denver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421</v>
      </c>
      <c r="B166" s="7">
        <v>4013</v>
      </c>
      <c r="C166" s="24" t="s">
        <v>107</v>
      </c>
      <c r="D166" s="24" t="s">
        <v>375</v>
      </c>
      <c r="E166" s="15">
        <v>42629.278784722221</v>
      </c>
      <c r="F166" s="15">
        <v>42629.281875000001</v>
      </c>
      <c r="G166" s="7">
        <v>3</v>
      </c>
      <c r="H166" s="15" t="s">
        <v>719</v>
      </c>
      <c r="I166" s="15">
        <v>42629.292951388888</v>
      </c>
      <c r="J166" s="7">
        <v>0</v>
      </c>
      <c r="K166" s="121" t="str">
        <f t="shared" si="48"/>
        <v>4013/4014</v>
      </c>
      <c r="L166" s="24" t="str">
        <f>VLOOKUP(A166,'Trips&amp;Operators'!$C$1:$E$10000,3,FALSE)</f>
        <v>ROBINSON</v>
      </c>
      <c r="M166" s="6">
        <f t="shared" si="49"/>
        <v>1.1076388887886424E-2</v>
      </c>
      <c r="N166" s="7">
        <f t="shared" si="62"/>
        <v>15.94999999855645</v>
      </c>
      <c r="O166" s="7"/>
      <c r="P166" s="7"/>
      <c r="Q166" s="25"/>
      <c r="R166" s="25"/>
      <c r="S166" s="37">
        <f t="shared" si="61"/>
        <v>1</v>
      </c>
      <c r="T166" s="52" t="str">
        <f t="shared" si="50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05:41:27-0600',mode:absolute,to:'2016-09-16 08:01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6" s="54" t="str">
        <f t="shared" si="52"/>
        <v>N</v>
      </c>
      <c r="X166" s="168">
        <f t="shared" si="60"/>
        <v>1</v>
      </c>
      <c r="Y166" s="69">
        <f t="shared" si="53"/>
        <v>5.8608000000000002</v>
      </c>
      <c r="Z166" s="69">
        <f t="shared" si="54"/>
        <v>6.8000000000000005E-2</v>
      </c>
      <c r="AA166" s="69">
        <f t="shared" si="55"/>
        <v>5.7928000000000006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56"/>
        <v>0804-16</v>
      </c>
      <c r="AE16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66" s="96" t="str">
        <f t="shared" si="58"/>
        <v>"C:\Program Files (x86)\AstroGrep\AstroGrep.exe" /spath="%USERPROFILE%\AppData\Local\Temp\OnboardLogs" /stypes="app*4013*20160916*" /stext=" 13:.+((SYSTEM_STATE.+slice.+state.+changed )|(ment ac)|(system.+state.+changed )|(\|lc)|(penalty)|(\[timeout)|(PRM\|1\|D)|(kpr)|(kdp))" /e /r /s</v>
      </c>
      <c r="AG166" s="1" t="str">
        <f t="shared" si="59"/>
        <v>NW</v>
      </c>
      <c r="AH166" s="100" t="str">
        <f t="shared" si="46"/>
        <v>"%USERPROFILE%\Documents\GitHub\eaglep3\Utilities\RefineRTDCRunTimes.py" --tripid 804-16 --locoid 4013 --swversion DE.1.0.7.0 --startMP 300:58608 --initTime 2016-09-16T06:41:27 --startdatetime 2016-09-16T06:45:54 --delay 3 --endMP 204:680 --enddatetime 2016-09-16T07:01:51 --enforcementcount 0 &gt;&gt;C:\Users\stu\Documents\GitHub\eaglep3-reporting\EC\2016-09-16-refined-times.txt</v>
      </c>
      <c r="AI16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{"issue":{"subject":"","project_id":79,"tracker_id":40,"status_id":1,"priority_id":2,"assigned_to_id":23,"start_date":"2016-09-16","description":"","custom_fields":[{"id":1,"name":"Subdivision","value":"NW"},{"id":4,"name":"Milepost","value":"0.068"},{"id":17,"name":"Train ID","value":"804-16"},{"id":16,"name":"Locomotive ID","value":"4013"},{"id":130,"name":"Impact","value":""},{"id":150,"name":"Time of Event (Mountain Time)","value":"07:01:51"},{"id":151,"name":"Denver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419</v>
      </c>
      <c r="B167" s="7">
        <v>4031</v>
      </c>
      <c r="C167" s="24" t="s">
        <v>107</v>
      </c>
      <c r="D167" s="24" t="s">
        <v>720</v>
      </c>
      <c r="E167" s="15">
        <v>42629.279583333337</v>
      </c>
      <c r="F167" s="15">
        <v>42629.28564814815</v>
      </c>
      <c r="G167" s="7">
        <v>1</v>
      </c>
      <c r="H167" s="15" t="s">
        <v>715</v>
      </c>
      <c r="I167" s="15">
        <v>42629.296331018515</v>
      </c>
      <c r="J167" s="7">
        <v>0</v>
      </c>
      <c r="K167" s="121" t="str">
        <f t="shared" si="48"/>
        <v>4031/4032</v>
      </c>
      <c r="L167" s="24" t="str">
        <f>VLOOKUP(A167,'Trips&amp;Operators'!$C$1:$E$10000,3,FALSE)</f>
        <v>STRICKLAND</v>
      </c>
      <c r="M167" s="6">
        <f t="shared" si="49"/>
        <v>1.0682870364689734E-2</v>
      </c>
      <c r="N167" s="7">
        <f t="shared" si="62"/>
        <v>15.383333325153217</v>
      </c>
      <c r="O167" s="7"/>
      <c r="P167" s="7"/>
      <c r="Q167" s="25"/>
      <c r="R167" s="25"/>
      <c r="S167" s="37">
        <f t="shared" si="61"/>
        <v>1</v>
      </c>
      <c r="T167" s="52" t="str">
        <f t="shared" si="50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7" s="54" t="str">
        <f t="shared" si="52"/>
        <v>N</v>
      </c>
      <c r="X167" s="168">
        <f t="shared" si="60"/>
        <v>1</v>
      </c>
      <c r="Y167" s="69">
        <f t="shared" si="53"/>
        <v>9.9699999999999997E-2</v>
      </c>
      <c r="Z167" s="69">
        <f t="shared" si="54"/>
        <v>5.8964999999999996</v>
      </c>
      <c r="AA167" s="69">
        <f t="shared" si="55"/>
        <v>5.7967999999999993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56"/>
        <v>0805-16</v>
      </c>
      <c r="AE167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67" s="96" t="str">
        <f t="shared" si="58"/>
        <v>"C:\Program Files (x86)\AstroGrep\AstroGrep.exe" /spath="%USERPROFILE%\AppData\Local\Temp\OnboardLogs" /stypes="app*4031*20160916*" /stext=" 13:.+((SYSTEM_STATE.+slice.+state.+changed )|(ment ac)|(system.+state.+changed )|(\|lc)|(penalty)|(\[timeout)|(PRM\|1\|D)|(kpr)|(kdp))" /e /r /s</v>
      </c>
      <c r="AG167" s="1" t="str">
        <f t="shared" si="59"/>
        <v>NW</v>
      </c>
      <c r="AH167" s="100" t="str">
        <f t="shared" si="46"/>
        <v>"%USERPROFILE%\Documents\GitHub\eaglep3\Utilities\RefineRTDCRunTimes.py" --tripid 805-16 --locoid 4031 --swversion DE.1.0.7.0 --startMP 204:997 --initTime 2016-09-16T06:42:36 --startdatetime 2016-09-16T06:51:20 --delay 1 --endMP 300:58965 --enddatetime 2016-09-16T07:06:43 --enforcementcount 0 &gt;&gt;C:\Users\stu\Documents\GitHub\eaglep3-reporting\EC\2016-09-16-refined-times.txt</v>
      </c>
      <c r="AI16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{"issue":{"subject":"","project_id":79,"tracker_id":40,"status_id":1,"priority_id":2,"assigned_to_id":23,"start_date":"2016-09-16","description":"","custom_fields":[{"id":1,"name":"Subdivision","value":"NW"},{"id":4,"name":"Milepost","value":"5.8965"},{"id":17,"name":"Train ID","value":"805-16"},{"id":16,"name":"Locomotive ID","value":"4031"},{"id":130,"name":"Impact","value":""},{"id":150,"name":"Time of Event (Mountain Time)","value":"07:06:43"},{"id":151,"name":"Denver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425</v>
      </c>
      <c r="B168" s="7">
        <v>4032</v>
      </c>
      <c r="C168" s="24" t="s">
        <v>107</v>
      </c>
      <c r="D168" s="24" t="s">
        <v>721</v>
      </c>
      <c r="E168" s="15">
        <v>42629.297199074077</v>
      </c>
      <c r="F168" s="15">
        <v>42629.298611111109</v>
      </c>
      <c r="G168" s="7">
        <v>1</v>
      </c>
      <c r="H168" s="15" t="s">
        <v>320</v>
      </c>
      <c r="I168" s="15">
        <v>42629.31040509259</v>
      </c>
      <c r="J168" s="7">
        <v>0</v>
      </c>
      <c r="K168" s="121" t="str">
        <f t="shared" si="48"/>
        <v>4031/4032</v>
      </c>
      <c r="L168" s="24" t="str">
        <f>VLOOKUP(A168,'Trips&amp;Operators'!$C$1:$E$10000,3,FALSE)</f>
        <v>STRICKLAND</v>
      </c>
      <c r="M168" s="6">
        <f t="shared" si="49"/>
        <v>1.1793981480877846E-2</v>
      </c>
      <c r="N168" s="7">
        <f t="shared" si="62"/>
        <v>16.983333332464099</v>
      </c>
      <c r="O168" s="7"/>
      <c r="P168" s="7"/>
      <c r="Q168" s="25"/>
      <c r="R168" s="25"/>
      <c r="S168" s="37">
        <f t="shared" si="61"/>
        <v>1</v>
      </c>
      <c r="T168" s="52" t="str">
        <f t="shared" si="50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06:07:58-0600',mode:absolute,to:'2016-09-16 08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8" s="54" t="str">
        <f t="shared" si="52"/>
        <v>N</v>
      </c>
      <c r="X168" s="168">
        <f t="shared" si="60"/>
        <v>1</v>
      </c>
      <c r="Y168" s="69">
        <f t="shared" si="53"/>
        <v>5.8654999999999999</v>
      </c>
      <c r="Z168" s="69">
        <f t="shared" si="54"/>
        <v>6.7799999999999999E-2</v>
      </c>
      <c r="AA168" s="69">
        <f t="shared" si="55"/>
        <v>5.7976999999999999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56"/>
        <v>0806-16</v>
      </c>
      <c r="AE168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8" s="96" t="str">
        <f t="shared" si="58"/>
        <v>"C:\Program Files (x86)\AstroGrep\AstroGrep.exe" /spath="%USERPROFILE%\AppData\Local\Temp\OnboardLogs" /stypes="app*4032*20160916*" /stext=" 13:.+((SYSTEM_STATE.+slice.+state.+changed )|(ment ac)|(system.+state.+changed )|(\|lc)|(penalty)|(\[timeout)|(PRM\|1\|D)|(kpr)|(kdp))" /e /r /s</v>
      </c>
      <c r="AG168" s="1" t="str">
        <f t="shared" si="59"/>
        <v>NW</v>
      </c>
      <c r="AH168" s="100" t="str">
        <f t="shared" si="46"/>
        <v>"%USERPROFILE%\Documents\GitHub\eaglep3\Utilities\RefineRTDCRunTimes.py" --tripid 806-16 --locoid 4032 --swversion DE.1.0.7.0 --startMP 300:58655 --initTime 2016-09-16T07:07:58 --startdatetime 2016-09-16T07:10:00 --delay 1 --endMP 204:678 --enddatetime 2016-09-16T07:26:59 --enforcementcount 0 &gt;&gt;C:\Users\stu\Documents\GitHub\eaglep3-reporting\EC\2016-09-16-refined-times.txt</v>
      </c>
      <c r="AI16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{"issue":{"subject":"","project_id":79,"tracker_id":40,"status_id":1,"priority_id":2,"assigned_to_id":23,"start_date":"2016-09-16","description":"","custom_fields":[{"id":1,"name":"Subdivision","value":"NW"},{"id":4,"name":"Milepost","value":"0.0678"},{"id":17,"name":"Train ID","value":"806-16"},{"id":16,"name":"Locomotive ID","value":"4032"},{"id":130,"name":"Impact","value":""},{"id":150,"name":"Time of Event (Mountain Time)","value":"07:26:59"},{"id":151,"name":"Denver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427</v>
      </c>
      <c r="B169" s="7">
        <v>4014</v>
      </c>
      <c r="C169" s="24" t="s">
        <v>107</v>
      </c>
      <c r="D169" s="24" t="s">
        <v>282</v>
      </c>
      <c r="E169" s="15">
        <v>42629.299351851849</v>
      </c>
      <c r="F169" s="15">
        <v>42629.306516203702</v>
      </c>
      <c r="G169" s="7">
        <v>1</v>
      </c>
      <c r="H169" s="15" t="s">
        <v>722</v>
      </c>
      <c r="I169" s="15">
        <v>42629.316423611112</v>
      </c>
      <c r="J169" s="7">
        <v>0</v>
      </c>
      <c r="K169" s="121" t="str">
        <f t="shared" si="48"/>
        <v>4013/4014</v>
      </c>
      <c r="L169" s="24" t="str">
        <f>VLOOKUP(A169,'Trips&amp;Operators'!$C$1:$E$10000,3,FALSE)</f>
        <v>ROBINSON</v>
      </c>
      <c r="M169" s="6">
        <f t="shared" si="49"/>
        <v>9.9074074096279219E-3</v>
      </c>
      <c r="N169" s="7">
        <f t="shared" si="62"/>
        <v>14.266666669864208</v>
      </c>
      <c r="O169" s="7"/>
      <c r="P169" s="7"/>
      <c r="Q169" s="25"/>
      <c r="R169" s="25"/>
      <c r="S169" s="37">
        <f t="shared" si="61"/>
        <v>1</v>
      </c>
      <c r="T169" s="52" t="str">
        <f t="shared" si="50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06:11:04-0600',mode:absolute,to:'2016-09-16 08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9" s="54" t="str">
        <f t="shared" si="52"/>
        <v>N</v>
      </c>
      <c r="X169" s="168">
        <f t="shared" si="60"/>
        <v>1</v>
      </c>
      <c r="Y169" s="69">
        <f t="shared" si="53"/>
        <v>9.7900000000000001E-2</v>
      </c>
      <c r="Z169" s="69">
        <f t="shared" si="54"/>
        <v>5.8921999999999999</v>
      </c>
      <c r="AA169" s="69">
        <f t="shared" si="55"/>
        <v>5.7942999999999998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56"/>
        <v>0807-16</v>
      </c>
      <c r="AE16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69" s="96" t="str">
        <f t="shared" si="58"/>
        <v>"C:\Program Files (x86)\AstroGrep\AstroGrep.exe" /spath="%USERPROFILE%\AppData\Local\Temp\OnboardLogs" /stypes="app*4014*20160916*" /stext=" 13:.+((SYSTEM_STATE.+slice.+state.+changed )|(ment ac)|(system.+state.+changed )|(\|lc)|(penalty)|(\[timeout)|(PRM\|1\|D)|(kpr)|(kdp))" /e /r /s</v>
      </c>
      <c r="AG169" s="1" t="str">
        <f t="shared" si="59"/>
        <v>NW</v>
      </c>
      <c r="AH169" s="100" t="str">
        <f t="shared" si="46"/>
        <v>"%USERPROFILE%\Documents\GitHub\eaglep3\Utilities\RefineRTDCRunTimes.py" --tripid 807-16 --locoid 4014 --swversion DE.1.0.7.0 --startMP 204:979 --initTime 2016-09-16T07:11:04 --startdatetime 2016-09-16T07:21:23 --delay 1 --endMP 300:58922 --enddatetime 2016-09-16T07:35:39 --enforcementcount 0 &gt;&gt;C:\Users\stu\Documents\GitHub\eaglep3-reporting\EC\2016-09-16-refined-times.txt</v>
      </c>
      <c r="AI16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{"issue":{"subject":"","project_id":79,"tracker_id":40,"status_id":1,"priority_id":2,"assigned_to_id":23,"start_date":"2016-09-16","description":"","custom_fields":[{"id":1,"name":"Subdivision","value":"NW"},{"id":4,"name":"Milepost","value":"5.8922"},{"id":17,"name":"Train ID","value":"807-16"},{"id":16,"name":"Locomotive ID","value":"4014"},{"id":130,"name":"Impact","value":""},{"id":150,"name":"Time of Event (Mountain Time)","value":"07:35:39"},{"id":151,"name":"Denver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431</v>
      </c>
      <c r="B170" s="7">
        <v>4013</v>
      </c>
      <c r="C170" s="24" t="s">
        <v>107</v>
      </c>
      <c r="D170" s="24" t="s">
        <v>373</v>
      </c>
      <c r="E170" s="15">
        <v>42629.318067129629</v>
      </c>
      <c r="F170" s="15">
        <v>42629.319502314815</v>
      </c>
      <c r="G170" s="7">
        <v>0</v>
      </c>
      <c r="H170" s="15" t="s">
        <v>723</v>
      </c>
      <c r="I170" s="15">
        <v>42629.330891203703</v>
      </c>
      <c r="J170" s="7">
        <v>0</v>
      </c>
      <c r="K170" s="121" t="str">
        <f t="shared" si="48"/>
        <v>4013/4014</v>
      </c>
      <c r="L170" s="24" t="str">
        <f>VLOOKUP(A170,'Trips&amp;Operators'!$C$1:$E$10000,3,FALSE)</f>
        <v>ROBINSON</v>
      </c>
      <c r="M170" s="6">
        <f t="shared" si="49"/>
        <v>1.1388888888177462E-2</v>
      </c>
      <c r="N170" s="7">
        <f t="shared" si="62"/>
        <v>16.399999998975545</v>
      </c>
      <c r="O170" s="7"/>
      <c r="P170" s="7"/>
      <c r="Q170" s="25"/>
      <c r="R170" s="25"/>
      <c r="S170" s="37">
        <f t="shared" si="61"/>
        <v>1</v>
      </c>
      <c r="T170" s="52" t="str">
        <f t="shared" si="50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06:38:01-0600',mode:absolute,to:'2016-09-16 08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0" s="54" t="str">
        <f t="shared" si="52"/>
        <v>N</v>
      </c>
      <c r="X170" s="168">
        <f t="shared" si="60"/>
        <v>1</v>
      </c>
      <c r="Y170" s="69">
        <f t="shared" si="53"/>
        <v>5.8605999999999998</v>
      </c>
      <c r="Z170" s="69">
        <f t="shared" si="54"/>
        <v>6.6600000000000006E-2</v>
      </c>
      <c r="AA170" s="69">
        <f t="shared" si="55"/>
        <v>5.7939999999999996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56"/>
        <v>0808-16</v>
      </c>
      <c r="AE17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0" s="96" t="str">
        <f t="shared" si="58"/>
        <v>"C:\Program Files (x86)\AstroGrep\AstroGrep.exe" /spath="%USERPROFILE%\AppData\Local\Temp\OnboardLogs" /stypes="app*4013*20160916*" /stext=" 13:.+((SYSTEM_STATE.+slice.+state.+changed )|(ment ac)|(system.+state.+changed )|(\|lc)|(penalty)|(\[timeout)|(PRM\|1\|D)|(kpr)|(kdp))" /e /r /s</v>
      </c>
      <c r="AG170" s="1" t="str">
        <f t="shared" si="59"/>
        <v>NW</v>
      </c>
      <c r="AH170" s="100" t="str">
        <f t="shared" si="46"/>
        <v>"%USERPROFILE%\Documents\GitHub\eaglep3\Utilities\RefineRTDCRunTimes.py" --tripid 808-16 --locoid 4013 --swversion DE.1.0.7.0 --startMP 300:58606 --initTime 2016-09-16T07:38:01 --startdatetime 2016-09-16T07:40:05 --delay 0 --endMP 204:666 --enddatetime 2016-09-16T07:56:29 --enforcementcount 0 &gt;&gt;C:\Users\stu\Documents\GitHub\eaglep3-reporting\EC\2016-09-16-refined-times.txt</v>
      </c>
      <c r="AI17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{"issue":{"subject":"","project_id":79,"tracker_id":40,"status_id":1,"priority_id":2,"assigned_to_id":23,"start_date":"2016-09-16","description":"","custom_fields":[{"id":1,"name":"Subdivision","value":"NW"},{"id":4,"name":"Milepost","value":"0.0666"},{"id":17,"name":"Train ID","value":"808-16"},{"id":16,"name":"Locomotive ID","value":"4013"},{"id":130,"name":"Impact","value":""},{"id":150,"name":"Time of Event (Mountain Time)","value":"07:56:29"},{"id":151,"name":"Denver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433</v>
      </c>
      <c r="B171" s="7">
        <v>4031</v>
      </c>
      <c r="C171" s="24" t="s">
        <v>107</v>
      </c>
      <c r="D171" s="24" t="s">
        <v>323</v>
      </c>
      <c r="E171" s="15">
        <v>42629.321979166663</v>
      </c>
      <c r="F171" s="15">
        <v>42629.327326388891</v>
      </c>
      <c r="G171" s="7">
        <v>2</v>
      </c>
      <c r="H171" s="15" t="s">
        <v>377</v>
      </c>
      <c r="I171" s="15">
        <v>42629.337523148148</v>
      </c>
      <c r="J171" s="7">
        <v>0</v>
      </c>
      <c r="K171" s="121" t="str">
        <f t="shared" si="48"/>
        <v>4031/4032</v>
      </c>
      <c r="L171" s="24" t="str">
        <f>VLOOKUP(A171,'Trips&amp;Operators'!$C$1:$E$10000,3,FALSE)</f>
        <v>STRICKLAND</v>
      </c>
      <c r="M171" s="6">
        <f t="shared" si="49"/>
        <v>1.0196759256359655E-2</v>
      </c>
      <c r="N171" s="7">
        <f t="shared" si="62"/>
        <v>14.683333329157904</v>
      </c>
      <c r="O171" s="7"/>
      <c r="P171" s="7"/>
      <c r="Q171" s="25"/>
      <c r="R171" s="25"/>
      <c r="S171" s="37">
        <f t="shared" si="61"/>
        <v>1</v>
      </c>
      <c r="T171" s="52" t="str">
        <f t="shared" si="50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06:43:39-0600',mode:absolute,to:'2016-09-16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1" s="54" t="str">
        <f t="shared" si="52"/>
        <v>N</v>
      </c>
      <c r="X171" s="168">
        <f t="shared" si="60"/>
        <v>1</v>
      </c>
      <c r="Y171" s="69">
        <f t="shared" si="53"/>
        <v>9.69E-2</v>
      </c>
      <c r="Z171" s="69">
        <f t="shared" si="54"/>
        <v>5.8945999999999996</v>
      </c>
      <c r="AA171" s="69">
        <f t="shared" si="55"/>
        <v>5.7976999999999999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56"/>
        <v>0809-16</v>
      </c>
      <c r="AE171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71" s="96" t="str">
        <f t="shared" si="58"/>
        <v>"C:\Program Files (x86)\AstroGrep\AstroGrep.exe" /spath="%USERPROFILE%\AppData\Local\Temp\OnboardLogs" /stypes="app*4031*20160916*" /stext=" 14:.+((SYSTEM_STATE.+slice.+state.+changed )|(ment ac)|(system.+state.+changed )|(\|lc)|(penalty)|(\[timeout)|(PRM\|1\|D)|(kpr)|(kdp))" /e /r /s</v>
      </c>
      <c r="AG171" s="1" t="str">
        <f t="shared" si="59"/>
        <v>NW</v>
      </c>
      <c r="AH171" s="100" t="str">
        <f t="shared" si="46"/>
        <v>"%USERPROFILE%\Documents\GitHub\eaglep3\Utilities\RefineRTDCRunTimes.py" --tripid 809-16 --locoid 4031 --swversion DE.1.0.7.0 --startMP 204:969 --initTime 2016-09-16T07:43:39 --startdatetime 2016-09-16T07:51:21 --delay 2 --endMP 300:58946 --enddatetime 2016-09-16T08:06:02 --enforcementcount 0 &gt;&gt;C:\Users\stu\Documents\GitHub\eaglep3-reporting\EC\2016-09-16-refined-times.txt</v>
      </c>
      <c r="AI171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{"issue":{"subject":"","project_id":79,"tracker_id":40,"status_id":1,"priority_id":2,"assigned_to_id":23,"start_date":"2016-09-16","description":"","custom_fields":[{"id":1,"name":"Subdivision","value":"NW"},{"id":4,"name":"Milepost","value":"5.8946"},{"id":17,"name":"Train ID","value":"809-16"},{"id":16,"name":"Locomotive ID","value":"4031"},{"id":130,"name":"Impact","value":""},{"id":150,"name":"Time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436</v>
      </c>
      <c r="B172" s="7">
        <v>4032</v>
      </c>
      <c r="C172" s="24" t="s">
        <v>107</v>
      </c>
      <c r="D172" s="24" t="s">
        <v>724</v>
      </c>
      <c r="E172" s="15">
        <v>42629.338819444441</v>
      </c>
      <c r="F172" s="15">
        <v>42629.340115740742</v>
      </c>
      <c r="G172" s="7">
        <v>1</v>
      </c>
      <c r="H172" s="15" t="s">
        <v>725</v>
      </c>
      <c r="I172" s="15">
        <v>42629.351886574077</v>
      </c>
      <c r="J172" s="7">
        <v>0</v>
      </c>
      <c r="K172" s="121" t="str">
        <f t="shared" si="48"/>
        <v>4031/4032</v>
      </c>
      <c r="L172" s="24" t="str">
        <f>VLOOKUP(A172,'Trips&amp;Operators'!$C$1:$E$10000,3,FALSE)</f>
        <v>STRICKLAND</v>
      </c>
      <c r="M172" s="6">
        <f t="shared" si="49"/>
        <v>1.1770833334594499E-2</v>
      </c>
      <c r="N172" s="7">
        <f t="shared" si="62"/>
        <v>16.950000001816079</v>
      </c>
      <c r="O172" s="7"/>
      <c r="P172" s="7"/>
      <c r="Q172" s="25"/>
      <c r="R172" s="25"/>
      <c r="S172" s="37">
        <f t="shared" si="61"/>
        <v>1</v>
      </c>
      <c r="T172" s="52" t="str">
        <f t="shared" si="50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07:07:54-0600',mode:absolute,to:'2016-09-16 09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2" s="54" t="str">
        <f t="shared" si="52"/>
        <v>N</v>
      </c>
      <c r="X172" s="168">
        <f t="shared" si="60"/>
        <v>1</v>
      </c>
      <c r="Y172" s="69">
        <f t="shared" si="53"/>
        <v>5.8630000000000004</v>
      </c>
      <c r="Z172" s="69">
        <f t="shared" si="54"/>
        <v>7.7100000000000002E-2</v>
      </c>
      <c r="AA172" s="69">
        <f t="shared" si="55"/>
        <v>5.7859000000000007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56"/>
        <v>0810-16</v>
      </c>
      <c r="AE172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72" s="96" t="str">
        <f t="shared" si="58"/>
        <v>"C:\Program Files (x86)\AstroGrep\AstroGrep.exe" /spath="%USERPROFILE%\AppData\Local\Temp\OnboardLogs" /stypes="app*4032*20160916*" /stext=" 14:.+((SYSTEM_STATE.+slice.+state.+changed )|(ment ac)|(system.+state.+changed )|(\|lc)|(penalty)|(\[timeout)|(PRM\|1\|D)|(kpr)|(kdp))" /e /r /s</v>
      </c>
      <c r="AG172" s="1" t="str">
        <f t="shared" si="59"/>
        <v>NW</v>
      </c>
      <c r="AH172" s="100" t="str">
        <f t="shared" si="46"/>
        <v>"%USERPROFILE%\Documents\GitHub\eaglep3\Utilities\RefineRTDCRunTimes.py" --tripid 810-16 --locoid 4032 --swversion DE.1.0.7.0 --startMP 300:58630 --initTime 2016-09-16T08:07:54 --startdatetime 2016-09-16T08:09:46 --delay 1 --endMP 204:771 --enddatetime 2016-09-16T08:26:43 --enforcementcount 0 &gt;&gt;C:\Users\stu\Documents\GitHub\eaglep3-reporting\EC\2016-09-16-refined-times.txt</v>
      </c>
      <c r="AI17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{"issue":{"subject":"","project_id":79,"tracker_id":40,"status_id":1,"priority_id":2,"assigned_to_id":23,"start_date":"2016-09-16","description":"","custom_fields":[{"id":1,"name":"Subdivision","value":"NW"},{"id":4,"name":"Milepost","value":"0.0771"},{"id":17,"name":"Train ID","value":"810-16"},{"id":16,"name":"Locomotive ID","value":"4032"},{"id":130,"name":"Impact","value":""},{"id":150,"name":"Time of Event (Mountain Time)","value":"08:26:43"},{"id":151,"name":"Denver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439</v>
      </c>
      <c r="B173" s="7">
        <v>4014</v>
      </c>
      <c r="C173" s="24" t="s">
        <v>107</v>
      </c>
      <c r="D173" s="24" t="s">
        <v>726</v>
      </c>
      <c r="E173" s="15">
        <v>42629.344664351855</v>
      </c>
      <c r="F173" s="15">
        <v>42629.348124999997</v>
      </c>
      <c r="G173" s="7">
        <v>1</v>
      </c>
      <c r="H173" s="15" t="s">
        <v>319</v>
      </c>
      <c r="I173" s="15">
        <v>42629.357592592591</v>
      </c>
      <c r="J173" s="7">
        <v>0</v>
      </c>
      <c r="K173" s="121" t="str">
        <f t="shared" si="48"/>
        <v>4013/4014</v>
      </c>
      <c r="L173" s="24" t="str">
        <f>VLOOKUP(A173,'Trips&amp;Operators'!$C$1:$E$10000,3,FALSE)</f>
        <v>ROBINSON</v>
      </c>
      <c r="M173" s="6">
        <f t="shared" si="49"/>
        <v>9.4675925938645378E-3</v>
      </c>
      <c r="N173" s="7">
        <f t="shared" si="62"/>
        <v>13.633333335164934</v>
      </c>
      <c r="O173" s="7"/>
      <c r="P173" s="7"/>
      <c r="Q173" s="25"/>
      <c r="R173" s="25"/>
      <c r="S173" s="37">
        <f t="shared" si="61"/>
        <v>1</v>
      </c>
      <c r="T173" s="52" t="str">
        <f t="shared" si="50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07:16:19-0600',mode:absolute,to:'2016-09-16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3" s="54" t="str">
        <f t="shared" si="52"/>
        <v>N</v>
      </c>
      <c r="X173" s="168">
        <f t="shared" si="60"/>
        <v>1</v>
      </c>
      <c r="Y173" s="69">
        <f t="shared" si="53"/>
        <v>9.6000000000000002E-2</v>
      </c>
      <c r="Z173" s="69">
        <f t="shared" si="54"/>
        <v>5.8943000000000003</v>
      </c>
      <c r="AA173" s="69">
        <f t="shared" si="55"/>
        <v>5.7983000000000002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56"/>
        <v>0811-16</v>
      </c>
      <c r="AE17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3" s="96" t="str">
        <f t="shared" si="58"/>
        <v>"C:\Program Files (x86)\AstroGrep\AstroGrep.exe" /spath="%USERPROFILE%\AppData\Local\Temp\OnboardLogs" /stypes="app*4014*20160916*" /stext=" 14:.+((SYSTEM_STATE.+slice.+state.+changed )|(ment ac)|(system.+state.+changed )|(\|lc)|(penalty)|(\[timeout)|(PRM\|1\|D)|(kpr)|(kdp))" /e /r /s</v>
      </c>
      <c r="AG173" s="1" t="str">
        <f t="shared" si="59"/>
        <v>NW</v>
      </c>
      <c r="AH173" s="100" t="str">
        <f t="shared" si="46"/>
        <v>"%USERPROFILE%\Documents\GitHub\eaglep3\Utilities\RefineRTDCRunTimes.py" --tripid 811-16 --locoid 4014 --swversion DE.1.0.7.0 --startMP 204:960 --initTime 2016-09-16T08:16:19 --startdatetime 2016-09-16T08:21:18 --delay 1 --endMP 300:58943 --enddatetime 2016-09-16T08:34:56 --enforcementcount 0 &gt;&gt;C:\Users\stu\Documents\GitHub\eaglep3-reporting\EC\2016-09-16-refined-times.txt</v>
      </c>
      <c r="AI17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{"issue":{"subject":"","project_id":79,"tracker_id":40,"status_id":1,"priority_id":2,"assigned_to_id":23,"start_date":"2016-09-16","description":"","custom_fields":[{"id":1,"name":"Subdivision","value":"NW"},{"id":4,"name":"Milepost","value":"5.8943"},{"id":17,"name":"Train ID","value":"811-16"},{"id":16,"name":"Locomotive ID","value":"4014"},{"id":130,"name":"Impact","value":""},{"id":150,"name":"Time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444</v>
      </c>
      <c r="B174" s="7">
        <v>4013</v>
      </c>
      <c r="C174" s="24" t="s">
        <v>107</v>
      </c>
      <c r="D174" s="24" t="s">
        <v>281</v>
      </c>
      <c r="E174" s="15">
        <v>42629.358449074076</v>
      </c>
      <c r="F174" s="15">
        <v>42629.359942129631</v>
      </c>
      <c r="G174" s="7">
        <v>1</v>
      </c>
      <c r="H174" s="15" t="s">
        <v>727</v>
      </c>
      <c r="I174" s="15">
        <v>42629.371851851851</v>
      </c>
      <c r="J174" s="7">
        <v>0</v>
      </c>
      <c r="K174" s="121" t="str">
        <f t="shared" si="48"/>
        <v>4013/4014</v>
      </c>
      <c r="L174" s="24" t="str">
        <f>VLOOKUP(A174,'Trips&amp;Operators'!$C$1:$E$10000,3,FALSE)</f>
        <v>ROBINSON</v>
      </c>
      <c r="M174" s="6">
        <f t="shared" si="49"/>
        <v>1.190972221957054E-2</v>
      </c>
      <c r="N174" s="7">
        <f t="shared" si="62"/>
        <v>17.149999996181577</v>
      </c>
      <c r="O174" s="7"/>
      <c r="P174" s="7"/>
      <c r="Q174" s="25"/>
      <c r="R174" s="25"/>
      <c r="S174" s="37">
        <f t="shared" si="61"/>
        <v>1</v>
      </c>
      <c r="T174" s="52" t="str">
        <f t="shared" si="50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07:36:10-0600',mode:absolute,to:'2016-09-16 09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4" s="54" t="str">
        <f t="shared" si="52"/>
        <v>N</v>
      </c>
      <c r="X174" s="168">
        <f t="shared" si="60"/>
        <v>1</v>
      </c>
      <c r="Y174" s="69">
        <f t="shared" si="53"/>
        <v>5.8624000000000001</v>
      </c>
      <c r="Z174" s="69">
        <f t="shared" si="54"/>
        <v>6.8400000000000002E-2</v>
      </c>
      <c r="AA174" s="69">
        <f t="shared" si="55"/>
        <v>5.7940000000000005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56"/>
        <v>0812-16</v>
      </c>
      <c r="AE17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4" s="96" t="str">
        <f t="shared" si="58"/>
        <v>"C:\Program Files (x86)\AstroGrep\AstroGrep.exe" /spath="%USERPROFILE%\AppData\Local\Temp\OnboardLogs" /stypes="app*4013*20160916*" /stext=" 14:.+((SYSTEM_STATE.+slice.+state.+changed )|(ment ac)|(system.+state.+changed )|(\|lc)|(penalty)|(\[timeout)|(PRM\|1\|D)|(kpr)|(kdp))" /e /r /s</v>
      </c>
      <c r="AG174" s="1" t="str">
        <f t="shared" si="59"/>
        <v>NW</v>
      </c>
      <c r="AH174" s="100" t="str">
        <f t="shared" si="46"/>
        <v>"%USERPROFILE%\Documents\GitHub\eaglep3\Utilities\RefineRTDCRunTimes.py" --tripid 812-16 --locoid 4013 --swversion DE.1.0.7.0 --startMP 300:58624 --initTime 2016-09-16T08:36:10 --startdatetime 2016-09-16T08:38:19 --delay 1 --endMP 204:684 --enddatetime 2016-09-16T08:55:28 --enforcementcount 0 &gt;&gt;C:\Users\stu\Documents\GitHub\eaglep3-reporting\EC\2016-09-16-refined-times.txt</v>
      </c>
      <c r="AI17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{"issue":{"subject":"","project_id":79,"tracker_id":40,"status_id":1,"priority_id":2,"assigned_to_id":23,"start_date":"2016-09-16","description":"","custom_fields":[{"id":1,"name":"Subdivision","value":"NW"},{"id":4,"name":"Milepost","value":"0.0684"},{"id":17,"name":"Train ID","value":"812-16"},{"id":16,"name":"Locomotive ID","value":"4013"},{"id":130,"name":"Impact","value":""},{"id":150,"name":"Time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447</v>
      </c>
      <c r="B175" s="7">
        <v>4014</v>
      </c>
      <c r="C175" s="24" t="s">
        <v>107</v>
      </c>
      <c r="D175" s="24" t="s">
        <v>728</v>
      </c>
      <c r="E175" s="15">
        <v>42629.373194444444</v>
      </c>
      <c r="F175" s="15">
        <v>42629.403055555558</v>
      </c>
      <c r="G175" s="7">
        <v>1</v>
      </c>
      <c r="H175" s="15" t="s">
        <v>729</v>
      </c>
      <c r="I175" s="15">
        <v>42629.414236111108</v>
      </c>
      <c r="J175" s="7">
        <v>0</v>
      </c>
      <c r="K175" s="121" t="str">
        <f t="shared" si="48"/>
        <v>4013/4014</v>
      </c>
      <c r="L175" s="24" t="str">
        <f>VLOOKUP(A175,'Trips&amp;Operators'!$C$1:$E$10000,3,FALSE)</f>
        <v>ROBINSON</v>
      </c>
      <c r="M175" s="6">
        <f t="shared" si="49"/>
        <v>1.1180555549799465E-2</v>
      </c>
      <c r="N175" s="7">
        <f t="shared" si="62"/>
        <v>16.099999991711229</v>
      </c>
      <c r="O175" s="7"/>
      <c r="P175" s="7"/>
      <c r="Q175" s="25"/>
      <c r="R175" s="25"/>
      <c r="S175" s="37">
        <f t="shared" si="61"/>
        <v>1</v>
      </c>
      <c r="T175" s="52" t="str">
        <f t="shared" si="50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07:57:24-0600',mode:absolute,to:'2016-09-16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5" s="54" t="str">
        <f t="shared" si="52"/>
        <v>N</v>
      </c>
      <c r="X175" s="168">
        <f t="shared" si="60"/>
        <v>1</v>
      </c>
      <c r="Y175" s="69">
        <f t="shared" si="53"/>
        <v>9.7100000000000006E-2</v>
      </c>
      <c r="Z175" s="69">
        <f t="shared" si="54"/>
        <v>5.8875000000000002</v>
      </c>
      <c r="AA175" s="69">
        <f t="shared" si="55"/>
        <v>5.7904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56"/>
        <v>0813-16</v>
      </c>
      <c r="AE17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5" s="96" t="str">
        <f t="shared" si="58"/>
        <v>"C:\Program Files (x86)\AstroGrep\AstroGrep.exe" /spath="%USERPROFILE%\AppData\Local\Temp\OnboardLogs" /stypes="app*4014*20160916*" /stext=" 15:.+((SYSTEM_STATE.+slice.+state.+changed )|(ment ac)|(system.+state.+changed )|(\|lc)|(penalty)|(\[timeout)|(PRM\|1\|D)|(kpr)|(kdp))" /e /r /s</v>
      </c>
      <c r="AG175" s="1" t="str">
        <f t="shared" si="59"/>
        <v>NW</v>
      </c>
      <c r="AH175" s="100" t="str">
        <f t="shared" si="46"/>
        <v>"%USERPROFILE%\Documents\GitHub\eaglep3\Utilities\RefineRTDCRunTimes.py" --tripid 813-16 --locoid 4014 --swversion DE.1.0.7.0 --startMP 204:971 --initTime 2016-09-16T08:57:24 --startdatetime 2016-09-16T09:40:24 --delay 1 --endMP 300:58875 --enddatetime 2016-09-16T09:56:30 --enforcementcount 0 &gt;&gt;C:\Users\stu\Documents\GitHub\eaglep3-reporting\EC\2016-09-16-refined-times.txt</v>
      </c>
      <c r="AI17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{"issue":{"subject":"","project_id":79,"tracker_id":40,"status_id":1,"priority_id":2,"assigned_to_id":23,"start_date":"2016-09-16","description":"","custom_fields":[{"id":1,"name":"Subdivision","value":"NW"},{"id":4,"name":"Milepost","value":"5.8875"},{"id":17,"name":"Train ID","value":"813-16"},{"id":16,"name":"Locomotive ID","value":"4014"},{"id":130,"name":"Impact","value":""},{"id":150,"name":"Time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454</v>
      </c>
      <c r="B176" s="7">
        <v>4013</v>
      </c>
      <c r="C176" s="24" t="s">
        <v>107</v>
      </c>
      <c r="D176" s="24" t="s">
        <v>730</v>
      </c>
      <c r="E176" s="15">
        <v>42629.401423611111</v>
      </c>
      <c r="F176" s="15">
        <v>42629.403055555558</v>
      </c>
      <c r="G176" s="7">
        <v>1</v>
      </c>
      <c r="H176" s="15" t="s">
        <v>731</v>
      </c>
      <c r="I176" s="15">
        <v>42629.414236111108</v>
      </c>
      <c r="J176" s="7">
        <v>0</v>
      </c>
      <c r="K176" s="121" t="str">
        <f t="shared" si="48"/>
        <v>4013/4014</v>
      </c>
      <c r="L176" s="24" t="str">
        <f>VLOOKUP(A176,'Trips&amp;Operators'!$C$1:$E$10000,3,FALSE)</f>
        <v>ROBINSON</v>
      </c>
      <c r="M176" s="6">
        <f t="shared" si="49"/>
        <v>1.1180555549799465E-2</v>
      </c>
      <c r="N176" s="7">
        <f t="shared" si="62"/>
        <v>16.099999991711229</v>
      </c>
      <c r="O176" s="7"/>
      <c r="P176" s="7"/>
      <c r="Q176" s="25"/>
      <c r="R176" s="25"/>
      <c r="S176" s="37">
        <f t="shared" si="61"/>
        <v>1</v>
      </c>
      <c r="T176" s="52" t="str">
        <f t="shared" si="50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08:38:03-0600',mode:absolute,to:'2016-09-16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6" s="54" t="str">
        <f t="shared" si="52"/>
        <v>N</v>
      </c>
      <c r="X176" s="168">
        <f t="shared" si="60"/>
        <v>1</v>
      </c>
      <c r="Y176" s="69">
        <f t="shared" si="53"/>
        <v>5.8556999999999997</v>
      </c>
      <c r="Z176" s="69">
        <f t="shared" si="54"/>
        <v>6.8699999999999997E-2</v>
      </c>
      <c r="AA176" s="69">
        <f t="shared" si="55"/>
        <v>5.7869999999999999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56"/>
        <v>0814-16</v>
      </c>
      <c r="AE17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6" s="96" t="str">
        <f t="shared" si="58"/>
        <v>"C:\Program Files (x86)\AstroGrep\AstroGrep.exe" /spath="%USERPROFILE%\AppData\Local\Temp\OnboardLogs" /stypes="app*4013*20160916*" /stext=" 15:.+((SYSTEM_STATE.+slice.+state.+changed )|(ment ac)|(system.+state.+changed )|(\|lc)|(penalty)|(\[timeout)|(PRM\|1\|D)|(kpr)|(kdp))" /e /r /s</v>
      </c>
      <c r="AG176" s="1" t="str">
        <f t="shared" si="59"/>
        <v>NW</v>
      </c>
      <c r="AH176" s="100" t="str">
        <f t="shared" si="46"/>
        <v>"%USERPROFILE%\Documents\GitHub\eaglep3\Utilities\RefineRTDCRunTimes.py" --tripid 814-16 --locoid 4013 --swversion DE.1.0.7.0 --startMP 300:58557 --initTime 2016-09-16T09:38:03 --startdatetime 2016-09-16T09:40:24 --delay 1 --endMP 204:687 --enddatetime 2016-09-16T09:56:30 --enforcementcount 0 &gt;&gt;C:\Users\stu\Documents\GitHub\eaglep3-reporting\EC\2016-09-16-refined-times.txt</v>
      </c>
      <c r="AI17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{"issue":{"subject":"","project_id":79,"tracker_id":40,"status_id":1,"priority_id":2,"assigned_to_id":23,"start_date":"2016-09-16","description":"","custom_fields":[{"id":1,"name":"Subdivision","value":"NW"},{"id":4,"name":"Milepost","value":"0.0687"},{"id":17,"name":"Train ID","value":"814-16"},{"id":16,"name":"Locomotive ID","value":"4013"},{"id":130,"name":"Impact","value":""},{"id":150,"name":"Time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458</v>
      </c>
      <c r="B177" s="7">
        <v>4014</v>
      </c>
      <c r="C177" s="24" t="s">
        <v>107</v>
      </c>
      <c r="D177" s="24" t="s">
        <v>732</v>
      </c>
      <c r="E177" s="15">
        <v>42629.415775462963</v>
      </c>
      <c r="F177" s="15">
        <v>42629.431458333333</v>
      </c>
      <c r="G177" s="7">
        <v>1</v>
      </c>
      <c r="H177" s="15" t="s">
        <v>733</v>
      </c>
      <c r="I177" s="15">
        <v>42629.440983796296</v>
      </c>
      <c r="J177" s="7">
        <v>0</v>
      </c>
      <c r="K177" s="121" t="str">
        <f t="shared" si="48"/>
        <v>4013/4014</v>
      </c>
      <c r="L177" s="24" t="str">
        <f>VLOOKUP(A177,'Trips&amp;Operators'!$C$1:$E$10000,3,FALSE)</f>
        <v>ROBINSON</v>
      </c>
      <c r="M177" s="6">
        <f t="shared" si="49"/>
        <v>9.5254629632108845E-3</v>
      </c>
      <c r="N177" s="7">
        <f t="shared" si="62"/>
        <v>13.716666667023674</v>
      </c>
      <c r="O177" s="7"/>
      <c r="P177" s="7"/>
      <c r="Q177" s="25"/>
      <c r="R177" s="25"/>
      <c r="S177" s="37">
        <f t="shared" si="61"/>
        <v>1</v>
      </c>
      <c r="T177" s="52" t="str">
        <f t="shared" si="50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08:58:43-0600',mode:absolute,to:'2016-09-16 11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7" s="54" t="str">
        <f t="shared" si="52"/>
        <v>N</v>
      </c>
      <c r="X177" s="168">
        <f t="shared" si="60"/>
        <v>1</v>
      </c>
      <c r="Y177" s="69">
        <f t="shared" si="53"/>
        <v>9.5699999999999993E-2</v>
      </c>
      <c r="Z177" s="69">
        <f t="shared" si="54"/>
        <v>5.9001000000000001</v>
      </c>
      <c r="AA177" s="69">
        <f t="shared" si="55"/>
        <v>5.8044000000000002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56"/>
        <v>0815-16</v>
      </c>
      <c r="AE177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7" s="96" t="str">
        <f t="shared" si="58"/>
        <v>"C:\Program Files (x86)\AstroGrep\AstroGrep.exe" /spath="%USERPROFILE%\AppData\Local\Temp\OnboardLogs" /stypes="app*4014*20160916*" /stext=" 16:.+((SYSTEM_STATE.+slice.+state.+changed )|(ment ac)|(system.+state.+changed )|(\|lc)|(penalty)|(\[timeout)|(PRM\|1\|D)|(kpr)|(kdp))" /e /r /s</v>
      </c>
      <c r="AG177" s="1" t="str">
        <f t="shared" si="59"/>
        <v>NW</v>
      </c>
      <c r="AH177" s="100" t="str">
        <f t="shared" si="46"/>
        <v>"%USERPROFILE%\Documents\GitHub\eaglep3\Utilities\RefineRTDCRunTimes.py" --tripid 815-16 --locoid 4014 --swversion DE.1.0.7.0 --startMP 204:957 --initTime 2016-09-16T09:58:43 --startdatetime 2016-09-16T10:21:18 --delay 1 --endMP 300:59001 --enddatetime 2016-09-16T10:35:01 --enforcementcount 0 &gt;&gt;C:\Users\stu\Documents\GitHub\eaglep3-reporting\EC\2016-09-16-refined-times.txt</v>
      </c>
      <c r="AI17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{"issue":{"subject":"","project_id":79,"tracker_id":40,"status_id":1,"priority_id":2,"assigned_to_id":23,"start_date":"2016-09-16","description":"","custom_fields":[{"id":1,"name":"Subdivision","value":"NW"},{"id":4,"name":"Milepost","value":"5.9001"},{"id":17,"name":"Train ID","value":"815-16"},{"id":16,"name":"Locomotive ID","value":"4014"},{"id":130,"name":"Impact","value":""},{"id":150,"name":"Time of Event (Mountain Time)","value":"10:35:01"},{"id":151,"name":"Denver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465</v>
      </c>
      <c r="B178" s="7">
        <v>4013</v>
      </c>
      <c r="C178" s="24" t="s">
        <v>107</v>
      </c>
      <c r="D178" s="24" t="s">
        <v>734</v>
      </c>
      <c r="E178" s="15">
        <v>42629.442453703705</v>
      </c>
      <c r="F178" s="15">
        <v>42629.443773148145</v>
      </c>
      <c r="G178" s="7">
        <v>0</v>
      </c>
      <c r="H178" s="15" t="s">
        <v>374</v>
      </c>
      <c r="I178" s="15">
        <v>42629.455138888887</v>
      </c>
      <c r="J178" s="7">
        <v>0</v>
      </c>
      <c r="K178" s="121" t="str">
        <f t="shared" si="48"/>
        <v>4013/4014</v>
      </c>
      <c r="L178" s="24" t="str">
        <f>VLOOKUP(A178,'Trips&amp;Operators'!$C$1:$E$10000,3,FALSE)</f>
        <v>ROBINSON</v>
      </c>
      <c r="M178" s="6">
        <f t="shared" si="49"/>
        <v>1.1365740741894115E-2</v>
      </c>
      <c r="N178" s="7">
        <f t="shared" si="62"/>
        <v>16.366666668327525</v>
      </c>
      <c r="O178" s="7"/>
      <c r="P178" s="7"/>
      <c r="Q178" s="25"/>
      <c r="R178" s="25"/>
      <c r="S178" s="37">
        <f t="shared" si="61"/>
        <v>1</v>
      </c>
      <c r="T178" s="52" t="str">
        <f t="shared" si="50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09:37:08-0600',mode:absolute,to:'2016-09-16 11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8" s="54" t="str">
        <f t="shared" si="52"/>
        <v>N</v>
      </c>
      <c r="X178" s="168">
        <f t="shared" si="60"/>
        <v>1</v>
      </c>
      <c r="Y178" s="69">
        <f t="shared" si="53"/>
        <v>5.8688000000000002</v>
      </c>
      <c r="Z178" s="69">
        <f t="shared" si="54"/>
        <v>7.2400000000000006E-2</v>
      </c>
      <c r="AA178" s="69">
        <f t="shared" si="55"/>
        <v>5.7964000000000002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56"/>
        <v>0816-16</v>
      </c>
      <c r="AE178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8" s="96" t="str">
        <f t="shared" si="58"/>
        <v>"C:\Program Files (x86)\AstroGrep\AstroGrep.exe" /spath="%USERPROFILE%\AppData\Local\Temp\OnboardLogs" /stypes="app*4013*20160916*" /stext=" 16:.+((SYSTEM_STATE.+slice.+state.+changed )|(ment ac)|(system.+state.+changed )|(\|lc)|(penalty)|(\[timeout)|(PRM\|1\|D)|(kpr)|(kdp))" /e /r /s</v>
      </c>
      <c r="AG178" s="1" t="str">
        <f t="shared" si="59"/>
        <v>NW</v>
      </c>
      <c r="AH178" s="100" t="str">
        <f t="shared" si="46"/>
        <v>"%USERPROFILE%\Documents\GitHub\eaglep3\Utilities\RefineRTDCRunTimes.py" --tripid 816-16 --locoid 4013 --swversion DE.1.0.7.0 --startMP 300:58688 --initTime 2016-09-16T10:37:08 --startdatetime 2016-09-16T10:39:02 --delay 0 --endMP 204:724 --enddatetime 2016-09-16T10:55:24 --enforcementcount 0 &gt;&gt;C:\Users\stu\Documents\GitHub\eaglep3-reporting\EC\2016-09-16-refined-times.txt</v>
      </c>
      <c r="AI17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{"issue":{"subject":"","project_id":79,"tracker_id":40,"status_id":1,"priority_id":2,"assigned_to_id":23,"start_date":"2016-09-16","description":"","custom_fields":[{"id":1,"name":"Subdivision","value":"NW"},{"id":4,"name":"Milepost","value":"0.0724"},{"id":17,"name":"Train ID","value":"816-16"},{"id":16,"name":"Locomotive ID","value":"4013"},{"id":130,"name":"Impact","value":""},{"id":150,"name":"Time of Event (Mountain Time)","value":"10:55:24"},{"id":151,"name":"Denver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470</v>
      </c>
      <c r="B179" s="7">
        <v>4014</v>
      </c>
      <c r="C179" s="24" t="s">
        <v>107</v>
      </c>
      <c r="D179" s="24" t="s">
        <v>735</v>
      </c>
      <c r="E179" s="15">
        <v>42629.457303240742</v>
      </c>
      <c r="F179" s="15">
        <v>42629.473078703704</v>
      </c>
      <c r="G179" s="7">
        <v>1</v>
      </c>
      <c r="H179" s="15" t="s">
        <v>733</v>
      </c>
      <c r="I179" s="15">
        <v>42629.482870370368</v>
      </c>
      <c r="J179" s="7">
        <v>0</v>
      </c>
      <c r="K179" s="121" t="str">
        <f t="shared" si="48"/>
        <v>4013/4014</v>
      </c>
      <c r="L179" s="24" t="str">
        <f>VLOOKUP(A179,'Trips&amp;Operators'!$C$1:$E$10000,3,FALSE)</f>
        <v>ROBINSON</v>
      </c>
      <c r="M179" s="6">
        <f t="shared" si="49"/>
        <v>9.7916666636592709E-3</v>
      </c>
      <c r="N179" s="7">
        <f t="shared" si="62"/>
        <v>14.09999999566935</v>
      </c>
      <c r="O179" s="7"/>
      <c r="P179" s="7"/>
      <c r="Q179" s="25"/>
      <c r="R179" s="25"/>
      <c r="S179" s="37">
        <f t="shared" si="61"/>
        <v>1</v>
      </c>
      <c r="T179" s="52" t="str">
        <f t="shared" si="50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09:58:31-0600',mode:absolute,to:'2016-09-16 12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9" s="54" t="str">
        <f t="shared" si="52"/>
        <v>N</v>
      </c>
      <c r="X179" s="168">
        <f t="shared" si="60"/>
        <v>1</v>
      </c>
      <c r="Y179" s="69">
        <f t="shared" si="53"/>
        <v>9.74E-2</v>
      </c>
      <c r="Z179" s="69">
        <f t="shared" si="54"/>
        <v>5.9001000000000001</v>
      </c>
      <c r="AA179" s="69">
        <f t="shared" si="55"/>
        <v>5.8026999999999997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56"/>
        <v>0817-16</v>
      </c>
      <c r="AE17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9" s="96" t="str">
        <f t="shared" si="58"/>
        <v>"C:\Program Files (x86)\AstroGrep\AstroGrep.exe" /spath="%USERPROFILE%\AppData\Local\Temp\OnboardLogs" /stypes="app*4014*20160916*" /stext=" 17:.+((SYSTEM_STATE.+slice.+state.+changed )|(ment ac)|(system.+state.+changed )|(\|lc)|(penalty)|(\[timeout)|(PRM\|1\|D)|(kpr)|(kdp))" /e /r /s</v>
      </c>
      <c r="AG179" s="1" t="str">
        <f t="shared" si="59"/>
        <v>NW</v>
      </c>
      <c r="AH179" s="100" t="str">
        <f t="shared" si="46"/>
        <v>"%USERPROFILE%\Documents\GitHub\eaglep3\Utilities\RefineRTDCRunTimes.py" --tripid 817-16 --locoid 4014 --swversion DE.1.0.7.0 --startMP 204:974 --initTime 2016-09-16T10:58:31 --startdatetime 2016-09-16T11:21:14 --delay 1 --endMP 300:59001 --enddatetime 2016-09-16T11:35:20 --enforcementcount 0 &gt;&gt;C:\Users\stu\Documents\GitHub\eaglep3-reporting\EC\2016-09-16-refined-times.txt</v>
      </c>
      <c r="AI17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{"issue":{"subject":"","project_id":79,"tracker_id":40,"status_id":1,"priority_id":2,"assigned_to_id":23,"start_date":"2016-09-16","description":"","custom_fields":[{"id":1,"name":"Subdivision","value":"NW"},{"id":4,"name":"Milepost","value":"5.9001"},{"id":17,"name":"Train ID","value":"817-16"},{"id":16,"name":"Locomotive ID","value":"4014"},{"id":130,"name":"Impact","value":""},{"id":150,"name":"Time of Event (Mountain Time)","value":"11:35:20"},{"id":151,"name":"Denver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478</v>
      </c>
      <c r="B180" s="7">
        <v>4013</v>
      </c>
      <c r="C180" s="24" t="s">
        <v>107</v>
      </c>
      <c r="D180" s="24" t="s">
        <v>736</v>
      </c>
      <c r="E180" s="15">
        <v>42629.484282407408</v>
      </c>
      <c r="F180" s="15">
        <v>42629.486608796295</v>
      </c>
      <c r="G180" s="7">
        <v>1</v>
      </c>
      <c r="H180" s="15" t="s">
        <v>368</v>
      </c>
      <c r="I180" s="15">
        <v>42629.497002314813</v>
      </c>
      <c r="J180" s="7">
        <v>0</v>
      </c>
      <c r="K180" s="121" t="str">
        <f t="shared" si="48"/>
        <v>4013/4014</v>
      </c>
      <c r="L180" s="24" t="str">
        <f>VLOOKUP(A180,'Trips&amp;Operators'!$C$1:$E$10000,3,FALSE)</f>
        <v>ROBINSON</v>
      </c>
      <c r="M180" s="6">
        <f t="shared" si="49"/>
        <v>1.0393518517958E-2</v>
      </c>
      <c r="N180" s="7">
        <f t="shared" si="62"/>
        <v>14.96666666585952</v>
      </c>
      <c r="O180" s="7"/>
      <c r="P180" s="7"/>
      <c r="Q180" s="25"/>
      <c r="R180" s="25"/>
      <c r="S180" s="37">
        <f t="shared" si="61"/>
        <v>1</v>
      </c>
      <c r="T180" s="52" t="str">
        <f t="shared" si="50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10:37:22-0600',mode:absolute,to:'2016-09-16 12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0" s="54" t="str">
        <f t="shared" si="52"/>
        <v>N</v>
      </c>
      <c r="X180" s="168">
        <f t="shared" si="60"/>
        <v>1</v>
      </c>
      <c r="Y180" s="69">
        <f t="shared" si="53"/>
        <v>5.8692000000000002</v>
      </c>
      <c r="Z180" s="69">
        <f t="shared" si="54"/>
        <v>6.8199999999999997E-2</v>
      </c>
      <c r="AA180" s="69">
        <f t="shared" si="55"/>
        <v>5.8010000000000002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56"/>
        <v>0818-16</v>
      </c>
      <c r="AE18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0" s="96" t="str">
        <f t="shared" si="58"/>
        <v>"C:\Program Files (x86)\AstroGrep\AstroGrep.exe" /spath="%USERPROFILE%\AppData\Local\Temp\OnboardLogs" /stypes="app*4013*20160916*" /stext=" 17:.+((SYSTEM_STATE.+slice.+state.+changed )|(ment ac)|(system.+state.+changed )|(\|lc)|(penalty)|(\[timeout)|(PRM\|1\|D)|(kpr)|(kdp))" /e /r /s</v>
      </c>
      <c r="AG180" s="1" t="str">
        <f t="shared" si="59"/>
        <v>NW</v>
      </c>
      <c r="AH180" s="100" t="str">
        <f t="shared" si="46"/>
        <v>"%USERPROFILE%\Documents\GitHub\eaglep3\Utilities\RefineRTDCRunTimes.py" --tripid 818-16 --locoid 4013 --swversion DE.1.0.7.0 --startMP 300:58692 --initTime 2016-09-16T11:37:22 --startdatetime 2016-09-16T11:40:43 --delay 1 --endMP 204:682 --enddatetime 2016-09-16T11:55:41 --enforcementcount 0 &gt;&gt;C:\Users\stu\Documents\GitHub\eaglep3-reporting\EC\2016-09-16-refined-times.txt</v>
      </c>
      <c r="AI18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{"issue":{"subject":"","project_id":79,"tracker_id":40,"status_id":1,"priority_id":2,"assigned_to_id":23,"start_date":"2016-09-16","description":"","custom_fields":[{"id":1,"name":"Subdivision","value":"NW"},{"id":4,"name":"Milepost","value":"0.0682"},{"id":17,"name":"Train ID","value":"818-16"},{"id":16,"name":"Locomotive ID","value":"4013"},{"id":130,"name":"Impact","value":""},{"id":150,"name":"Time of Event (Mountain Time)","value":"11:55:41"},{"id":151,"name":"Denver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485</v>
      </c>
      <c r="B181" s="7">
        <v>4014</v>
      </c>
      <c r="C181" s="24" t="s">
        <v>107</v>
      </c>
      <c r="D181" s="24" t="s">
        <v>735</v>
      </c>
      <c r="E181" s="15">
        <v>42629.507060185184</v>
      </c>
      <c r="F181" s="15">
        <v>42629.514803240738</v>
      </c>
      <c r="G181" s="7">
        <v>1</v>
      </c>
      <c r="H181" s="15" t="s">
        <v>316</v>
      </c>
      <c r="I181" s="15">
        <v>42629.524756944447</v>
      </c>
      <c r="J181" s="7">
        <v>0</v>
      </c>
      <c r="K181" s="121" t="str">
        <f t="shared" si="48"/>
        <v>4013/4014</v>
      </c>
      <c r="L181" s="24" t="str">
        <f>VLOOKUP(A181,'Trips&amp;Operators'!$C$1:$E$10000,3,FALSE)</f>
        <v>ROBINSON</v>
      </c>
      <c r="M181" s="6">
        <f t="shared" si="49"/>
        <v>9.9537037094705738E-3</v>
      </c>
      <c r="N181" s="7">
        <f t="shared" si="62"/>
        <v>14.333333341637626</v>
      </c>
      <c r="O181" s="7"/>
      <c r="P181" s="7"/>
      <c r="Q181" s="25"/>
      <c r="R181" s="25"/>
      <c r="S181" s="37">
        <f t="shared" si="61"/>
        <v>1</v>
      </c>
      <c r="T181" s="52" t="str">
        <f t="shared" si="50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11:10:10-0600',mode:absolute,to:'2016-09-16 13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1" s="54" t="str">
        <f t="shared" si="52"/>
        <v>N</v>
      </c>
      <c r="X181" s="168">
        <f t="shared" si="60"/>
        <v>1</v>
      </c>
      <c r="Y181" s="69">
        <f t="shared" si="53"/>
        <v>9.74E-2</v>
      </c>
      <c r="Z181" s="69">
        <f t="shared" si="54"/>
        <v>5.8997000000000002</v>
      </c>
      <c r="AA181" s="69">
        <f t="shared" si="55"/>
        <v>5.8022999999999998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56"/>
        <v>0819-16</v>
      </c>
      <c r="AE181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1" s="96" t="str">
        <f t="shared" si="58"/>
        <v>"C:\Program Files (x86)\AstroGrep\AstroGrep.exe" /spath="%USERPROFILE%\AppData\Local\Temp\OnboardLogs" /stypes="app*4014*20160916*" /stext=" 18:.+((SYSTEM_STATE.+slice.+state.+changed )|(ment ac)|(system.+state.+changed )|(\|lc)|(penalty)|(\[timeout)|(PRM\|1\|D)|(kpr)|(kdp))" /e /r /s</v>
      </c>
      <c r="AG181" s="1" t="str">
        <f t="shared" si="59"/>
        <v>NW</v>
      </c>
      <c r="AH181" s="100" t="str">
        <f t="shared" si="46"/>
        <v>"%USERPROFILE%\Documents\GitHub\eaglep3\Utilities\RefineRTDCRunTimes.py" --tripid 819-16 --locoid 4014 --swversion DE.1.0.7.0 --startMP 204:974 --initTime 2016-09-16T12:10:10 --startdatetime 2016-09-16T12:21:19 --delay 1 --endMP 300:58997 --enddatetime 2016-09-16T12:35:39 --enforcementcount 0 &gt;&gt;C:\Users\stu\Documents\GitHub\eaglep3-reporting\EC\2016-09-16-refined-times.txt</v>
      </c>
      <c r="AI181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{"issue":{"subject":"","project_id":79,"tracker_id":40,"status_id":1,"priority_id":2,"assigned_to_id":23,"start_date":"2016-09-16","description":"","custom_fields":[{"id":1,"name":"Subdivision","value":"NW"},{"id":4,"name":"Milepost","value":"5.8997"},{"id":17,"name":"Train ID","value":"819-16"},{"id":16,"name":"Locomotive ID","value":"4014"},{"id":130,"name":"Impact","value":""},{"id":150,"name":"Time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492</v>
      </c>
      <c r="B182" s="7">
        <v>4013</v>
      </c>
      <c r="C182" s="24" t="s">
        <v>107</v>
      </c>
      <c r="D182" s="24" t="s">
        <v>737</v>
      </c>
      <c r="E182" s="15">
        <v>42629.526203703703</v>
      </c>
      <c r="F182" s="15">
        <v>42629.527708333335</v>
      </c>
      <c r="G182" s="7">
        <v>1</v>
      </c>
      <c r="H182" s="15" t="s">
        <v>723</v>
      </c>
      <c r="I182" s="15">
        <v>42629.538217592592</v>
      </c>
      <c r="J182" s="7">
        <v>0</v>
      </c>
      <c r="K182" s="121" t="str">
        <f t="shared" si="48"/>
        <v>4013/4014</v>
      </c>
      <c r="L182" s="24" t="str">
        <f>VLOOKUP(A182,'Trips&amp;Operators'!$C$1:$E$10000,3,FALSE)</f>
        <v>ROBINSON</v>
      </c>
      <c r="M182" s="6">
        <f t="shared" si="49"/>
        <v>1.0509259256650694E-2</v>
      </c>
      <c r="N182" s="7">
        <f t="shared" si="62"/>
        <v>15.133333329576999</v>
      </c>
      <c r="O182" s="7"/>
      <c r="P182" s="7"/>
      <c r="Q182" s="25"/>
      <c r="R182" s="25"/>
      <c r="S182" s="37">
        <f t="shared" si="61"/>
        <v>1</v>
      </c>
      <c r="T182" s="52" t="str">
        <f t="shared" si="50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11:37:44-0600',mode:absolute,to:'2016-09-16 13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2" s="54" t="str">
        <f t="shared" si="52"/>
        <v>N</v>
      </c>
      <c r="X182" s="168">
        <f t="shared" ref="X182:X192" si="63">VALUE(LEFT(AD182,4))-VALUE(LEFT(AD181,4))</f>
        <v>1</v>
      </c>
      <c r="Y182" s="69">
        <f t="shared" si="53"/>
        <v>5.8681000000000001</v>
      </c>
      <c r="Z182" s="69">
        <f t="shared" si="54"/>
        <v>6.6600000000000006E-2</v>
      </c>
      <c r="AA182" s="69">
        <f t="shared" si="55"/>
        <v>5.8014999999999999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56"/>
        <v>0820-16</v>
      </c>
      <c r="AE18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2" s="96" t="str">
        <f t="shared" si="58"/>
        <v>"C:\Program Files (x86)\AstroGrep\AstroGrep.exe" /spath="%USERPROFILE%\AppData\Local\Temp\OnboardLogs" /stypes="app*4013*20160916*" /stext=" 18:.+((SYSTEM_STATE.+slice.+state.+changed )|(ment ac)|(system.+state.+changed )|(\|lc)|(penalty)|(\[timeout)|(PRM\|1\|D)|(kpr)|(kdp))" /e /r /s</v>
      </c>
      <c r="AG182" s="1" t="str">
        <f t="shared" si="59"/>
        <v>NW</v>
      </c>
      <c r="AH182" s="100" t="str">
        <f t="shared" si="46"/>
        <v>"%USERPROFILE%\Documents\GitHub\eaglep3\Utilities\RefineRTDCRunTimes.py" --tripid 820-16 --locoid 4013 --swversion DE.1.0.7.0 --startMP 300:58681 --initTime 2016-09-16T12:37:44 --startdatetime 2016-09-16T12:39:54 --delay 1 --endMP 204:666 --enddatetime 2016-09-16T12:55:02 --enforcementcount 0 &gt;&gt;C:\Users\stu\Documents\GitHub\eaglep3-reporting\EC\2016-09-16-refined-times.txt</v>
      </c>
      <c r="AI18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{"issue":{"subject":"","project_id":79,"tracker_id":40,"status_id":1,"priority_id":2,"assigned_to_id":23,"start_date":"2016-09-16","description":"","custom_fields":[{"id":1,"name":"Subdivision","value":"NW"},{"id":4,"name":"Milepost","value":"0.0666"},{"id":17,"name":"Train ID","value":"820-16"},{"id":16,"name":"Locomotive ID","value":"4013"},{"id":130,"name":"Impact","value":""},{"id":150,"name":"Time of Event (Mountain Time)","value":"12:55:02"},{"id":151,"name":"Denver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498</v>
      </c>
      <c r="B183" s="7">
        <v>4014</v>
      </c>
      <c r="C183" s="24" t="s">
        <v>107</v>
      </c>
      <c r="D183" s="24" t="s">
        <v>738</v>
      </c>
      <c r="E183" s="15">
        <v>42629.544490740744</v>
      </c>
      <c r="F183" s="15">
        <v>42629.556805555556</v>
      </c>
      <c r="G183" s="7">
        <v>1</v>
      </c>
      <c r="H183" s="15" t="s">
        <v>722</v>
      </c>
      <c r="I183" s="15">
        <v>42629.567384259259</v>
      </c>
      <c r="J183" s="7">
        <v>0</v>
      </c>
      <c r="K183" s="121" t="str">
        <f t="shared" si="48"/>
        <v>4013/4014</v>
      </c>
      <c r="L183" s="24" t="str">
        <f>VLOOKUP(A183,'Trips&amp;Operators'!$C$1:$E$10000,3,FALSE)</f>
        <v>BERLING</v>
      </c>
      <c r="M183" s="6">
        <f t="shared" si="49"/>
        <v>1.0578703702776693E-2</v>
      </c>
      <c r="N183" s="7">
        <f t="shared" si="62"/>
        <v>15.233333331998438</v>
      </c>
      <c r="O183" s="7"/>
      <c r="P183" s="7"/>
      <c r="Q183" s="25"/>
      <c r="R183" s="25"/>
      <c r="S183" s="37">
        <f t="shared" si="61"/>
        <v>1</v>
      </c>
      <c r="T183" s="52" t="str">
        <f t="shared" si="50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3" s="54" t="str">
        <f t="shared" si="52"/>
        <v>N</v>
      </c>
      <c r="X183" s="168">
        <f t="shared" si="63"/>
        <v>1</v>
      </c>
      <c r="Y183" s="69">
        <f t="shared" si="53"/>
        <v>9.6699999999999994E-2</v>
      </c>
      <c r="Z183" s="69">
        <f t="shared" si="54"/>
        <v>5.8921999999999999</v>
      </c>
      <c r="AA183" s="69">
        <f t="shared" si="55"/>
        <v>5.7954999999999997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56"/>
        <v>0821-16</v>
      </c>
      <c r="AE18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3" s="96" t="str">
        <f t="shared" si="58"/>
        <v>"C:\Program Files (x86)\AstroGrep\AstroGrep.exe" /spath="%USERPROFILE%\AppData\Local\Temp\OnboardLogs" /stypes="app*4014*20160916*" /stext=" 19:.+((SYSTEM_STATE.+slice.+state.+changed )|(ment ac)|(system.+state.+changed )|(\|lc)|(penalty)|(\[timeout)|(PRM\|1\|D)|(kpr)|(kdp))" /e /r /s</v>
      </c>
      <c r="AG183" s="1" t="str">
        <f t="shared" si="59"/>
        <v>NW</v>
      </c>
      <c r="AH183" s="100" t="str">
        <f t="shared" si="46"/>
        <v>"%USERPROFILE%\Documents\GitHub\eaglep3\Utilities\RefineRTDCRunTimes.py" --tripid 821-16 --locoid 4014 --swversion DE.1.0.7.0 --startMP 204:967 --initTime 2016-09-16T13:04:04 --startdatetime 2016-09-16T13:21:48 --delay 1 --endMP 300:58922 --enddatetime 2016-09-16T13:37:02 --enforcementcount 0 &gt;&gt;C:\Users\stu\Documents\GitHub\eaglep3-reporting\EC\2016-09-16-refined-times.txt</v>
      </c>
      <c r="AI18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{"issue":{"subject":"","project_id":79,"tracker_id":40,"status_id":1,"priority_id":2,"assigned_to_id":23,"start_date":"2016-09-16","description":"","custom_fields":[{"id":1,"name":"Subdivision","value":"NW"},{"id":4,"name":"Milepost","value":"5.8922"},{"id":17,"name":"Train ID","value":"821-16"},{"id":16,"name":"Locomotive ID","value":"4014"},{"id":130,"name":"Impact","value":""},{"id":150,"name":"Time of Event (Mountain Time)","value":"13:37:02"},{"id":151,"name":"Denver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503</v>
      </c>
      <c r="B184" s="7">
        <v>4013</v>
      </c>
      <c r="C184" s="24" t="s">
        <v>107</v>
      </c>
      <c r="D184" s="24" t="s">
        <v>367</v>
      </c>
      <c r="E184" s="15">
        <v>42629.568773148145</v>
      </c>
      <c r="F184" s="15">
        <v>42629.570081018515</v>
      </c>
      <c r="G184" s="7">
        <v>1</v>
      </c>
      <c r="H184" s="15" t="s">
        <v>739</v>
      </c>
      <c r="I184" s="15">
        <v>42629.579652777778</v>
      </c>
      <c r="J184" s="7">
        <v>0</v>
      </c>
      <c r="K184" s="121" t="str">
        <f t="shared" si="48"/>
        <v>4013/4014</v>
      </c>
      <c r="L184" s="24" t="str">
        <f>VLOOKUP(A184,'Trips&amp;Operators'!$C$1:$E$10000,3,FALSE)</f>
        <v>BERLING</v>
      </c>
      <c r="M184" s="6">
        <f t="shared" si="49"/>
        <v>9.5717592630535364E-3</v>
      </c>
      <c r="N184" s="7">
        <f t="shared" si="62"/>
        <v>13.783333338797092</v>
      </c>
      <c r="O184" s="7"/>
      <c r="P184" s="7"/>
      <c r="Q184" s="25"/>
      <c r="R184" s="25"/>
      <c r="S184" s="37">
        <f t="shared" si="61"/>
        <v>1</v>
      </c>
      <c r="T184" s="52" t="str">
        <f t="shared" si="50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12:39:02-0600',mode:absolute,to:'2016-09-16 14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4" s="54" t="str">
        <f t="shared" si="52"/>
        <v>N</v>
      </c>
      <c r="X184" s="168">
        <f t="shared" si="63"/>
        <v>1</v>
      </c>
      <c r="Y184" s="69">
        <f t="shared" si="53"/>
        <v>5.8613</v>
      </c>
      <c r="Z184" s="69">
        <f t="shared" si="54"/>
        <v>7.7799999999999994E-2</v>
      </c>
      <c r="AA184" s="69">
        <f t="shared" si="55"/>
        <v>5.7835000000000001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56"/>
        <v>0822-16</v>
      </c>
      <c r="AE18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4" s="96" t="str">
        <f t="shared" si="58"/>
        <v>"C:\Program Files (x86)\AstroGrep\AstroGrep.exe" /spath="%USERPROFILE%\AppData\Local\Temp\OnboardLogs" /stypes="app*4013*20160916*" /stext=" 19:.+((SYSTEM_STATE.+slice.+state.+changed )|(ment ac)|(system.+state.+changed )|(\|lc)|(penalty)|(\[timeout)|(PRM\|1\|D)|(kpr)|(kdp))" /e /r /s</v>
      </c>
      <c r="AG184" s="1" t="str">
        <f t="shared" si="59"/>
        <v>NW</v>
      </c>
      <c r="AH184" s="100" t="str">
        <f t="shared" si="46"/>
        <v>"%USERPROFILE%\Documents\GitHub\eaglep3\Utilities\RefineRTDCRunTimes.py" --tripid 822-16 --locoid 4013 --swversion DE.1.0.7.0 --startMP 300:58613 --initTime 2016-09-16T13:39:02 --startdatetime 2016-09-16T13:40:55 --delay 1 --endMP 204:778 --enddatetime 2016-09-16T13:54:42 --enforcementcount 0 &gt;&gt;C:\Users\stu\Documents\GitHub\eaglep3-reporting\EC\2016-09-16-refined-times.txt</v>
      </c>
      <c r="AI18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{"issue":{"subject":"","project_id":79,"tracker_id":40,"status_id":1,"priority_id":2,"assigned_to_id":23,"start_date":"2016-09-16","description":"","custom_fields":[{"id":1,"name":"Subdivision","value":"NW"},{"id":4,"name":"Milepost","value":"0.0778"},{"id":17,"name":"Train ID","value":"822-16"},{"id":16,"name":"Locomotive ID","value":"4013"},{"id":130,"name":"Impact","value":""},{"id":150,"name":"Time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508</v>
      </c>
      <c r="B185" s="7">
        <v>4014</v>
      </c>
      <c r="C185" s="24" t="s">
        <v>107</v>
      </c>
      <c r="D185" s="24" t="s">
        <v>740</v>
      </c>
      <c r="E185" s="15">
        <v>42629.587129629632</v>
      </c>
      <c r="F185" s="15">
        <v>42629.598275462966</v>
      </c>
      <c r="G185" s="7">
        <v>5</v>
      </c>
      <c r="H185" s="15" t="s">
        <v>741</v>
      </c>
      <c r="I185" s="15">
        <v>42629.609027777777</v>
      </c>
      <c r="J185" s="7">
        <v>0</v>
      </c>
      <c r="K185" s="121" t="str">
        <f t="shared" si="48"/>
        <v>4013/4014</v>
      </c>
      <c r="L185" s="24" t="str">
        <f>VLOOKUP(A185,'Trips&amp;Operators'!$C$1:$E$10000,3,FALSE)</f>
        <v>SMITH</v>
      </c>
      <c r="M185" s="6">
        <f t="shared" si="49"/>
        <v>1.0752314810815733E-2</v>
      </c>
      <c r="N185" s="7">
        <f t="shared" si="62"/>
        <v>15.483333327574655</v>
      </c>
      <c r="O185" s="7"/>
      <c r="P185" s="7"/>
      <c r="Q185" s="25"/>
      <c r="R185" s="25"/>
      <c r="S185" s="37">
        <f t="shared" si="61"/>
        <v>1</v>
      </c>
      <c r="T185" s="52" t="str">
        <f t="shared" si="50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13:05:28-0600',mode:absolute,to:'2016-09-16 15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5" s="54" t="str">
        <f t="shared" si="52"/>
        <v>N</v>
      </c>
      <c r="X185" s="168">
        <f t="shared" si="63"/>
        <v>1</v>
      </c>
      <c r="Y185" s="69">
        <f t="shared" si="53"/>
        <v>0.11070000000000001</v>
      </c>
      <c r="Z185" s="69">
        <f t="shared" si="54"/>
        <v>5.8936999999999999</v>
      </c>
      <c r="AA185" s="69">
        <f t="shared" si="55"/>
        <v>5.7830000000000004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56"/>
        <v>0823-16</v>
      </c>
      <c r="AE18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5" s="96" t="str">
        <f t="shared" si="58"/>
        <v>"C:\Program Files (x86)\AstroGrep\AstroGrep.exe" /spath="%USERPROFILE%\AppData\Local\Temp\OnboardLogs" /stypes="app*4014*20160916*" /stext=" 20:.+((SYSTEM_STATE.+slice.+state.+changed )|(ment ac)|(system.+state.+changed )|(\|lc)|(penalty)|(\[timeout)|(PRM\|1\|D)|(kpr)|(kdp))" /e /r /s</v>
      </c>
      <c r="AG185" s="1" t="str">
        <f t="shared" si="59"/>
        <v>NW</v>
      </c>
      <c r="AH185" s="100" t="str">
        <f t="shared" si="46"/>
        <v>"%USERPROFILE%\Documents\GitHub\eaglep3\Utilities\RefineRTDCRunTimes.py" --tripid 823-16 --locoid 4014 --swversion DE.1.0.7.0 --startMP 204:1107 --initTime 2016-09-16T14:05:28 --startdatetime 2016-09-16T14:21:31 --delay 5 --endMP 300:58937 --enddatetime 2016-09-16T14:37:00 --enforcementcount 0 &gt;&gt;C:\Users\stu\Documents\GitHub\eaglep3-reporting\EC\2016-09-16-refined-times.txt</v>
      </c>
      <c r="AI18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{"issue":{"subject":"","project_id":79,"tracker_id":40,"status_id":1,"priority_id":2,"assigned_to_id":23,"start_date":"2016-09-16","description":"","custom_fields":[{"id":1,"name":"Subdivision","value":"NW"},{"id":4,"name":"Milepost","value":"5.8937"},{"id":17,"name":"Train ID","value":"823-16"},{"id":16,"name":"Locomotive ID","value":"4014"},{"id":130,"name":"Impact","value":""},{"id":150,"name":"Time of Event (Mountain Time)","value":"14:37:00"},{"id":151,"name":"Denver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514</v>
      </c>
      <c r="B186" s="7">
        <v>4013</v>
      </c>
      <c r="C186" s="24" t="s">
        <v>107</v>
      </c>
      <c r="D186" s="24" t="s">
        <v>317</v>
      </c>
      <c r="E186" s="15">
        <v>42629.610532407409</v>
      </c>
      <c r="F186" s="15">
        <v>42629.612141203703</v>
      </c>
      <c r="G186" s="7">
        <v>1</v>
      </c>
      <c r="H186" s="15" t="s">
        <v>742</v>
      </c>
      <c r="I186" s="15">
        <v>42629.622743055559</v>
      </c>
      <c r="J186" s="7">
        <v>0</v>
      </c>
      <c r="K186" s="121" t="str">
        <f t="shared" si="48"/>
        <v>4013/4014</v>
      </c>
      <c r="L186" s="24" t="str">
        <f>VLOOKUP(A186,'Trips&amp;Operators'!$C$1:$E$10000,3,FALSE)</f>
        <v>SMITH</v>
      </c>
      <c r="M186" s="6">
        <f t="shared" si="49"/>
        <v>1.0601851856335998E-2</v>
      </c>
      <c r="N186" s="7">
        <f t="shared" si="62"/>
        <v>15.266666673123837</v>
      </c>
      <c r="O186" s="7"/>
      <c r="P186" s="7"/>
      <c r="Q186" s="25"/>
      <c r="R186" s="25"/>
      <c r="S186" s="37">
        <f t="shared" si="61"/>
        <v>1</v>
      </c>
      <c r="T186" s="52" t="str">
        <f t="shared" si="50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13:39:10-0600',mode:absolute,to:'2016-09-16 15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6" s="54" t="str">
        <f t="shared" si="52"/>
        <v>N</v>
      </c>
      <c r="X186" s="168">
        <f t="shared" si="63"/>
        <v>1</v>
      </c>
      <c r="Y186" s="69">
        <f t="shared" si="53"/>
        <v>5.8623000000000003</v>
      </c>
      <c r="Z186" s="69">
        <f t="shared" si="54"/>
        <v>6.9800000000000001E-2</v>
      </c>
      <c r="AA186" s="69">
        <f t="shared" si="55"/>
        <v>5.7925000000000004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56"/>
        <v>0824-16</v>
      </c>
      <c r="AE18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6" s="96" t="str">
        <f t="shared" si="58"/>
        <v>"C:\Program Files (x86)\AstroGrep\AstroGrep.exe" /spath="%USERPROFILE%\AppData\Local\Temp\OnboardLogs" /stypes="app*4013*20160916*" /stext=" 20:.+((SYSTEM_STATE.+slice.+state.+changed )|(ment ac)|(system.+state.+changed )|(\|lc)|(penalty)|(\[timeout)|(PRM\|1\|D)|(kpr)|(kdp))" /e /r /s</v>
      </c>
      <c r="AG186" s="1" t="str">
        <f t="shared" si="59"/>
        <v>NW</v>
      </c>
      <c r="AH186" s="100" t="str">
        <f t="shared" si="46"/>
        <v>"%USERPROFILE%\Documents\GitHub\eaglep3\Utilities\RefineRTDCRunTimes.py" --tripid 824-16 --locoid 4013 --swversion DE.1.0.7.0 --startMP 300:58623 --initTime 2016-09-16T14:39:10 --startdatetime 2016-09-16T14:41:29 --delay 1 --endMP 204:698 --enddatetime 2016-09-16T14:56:45 --enforcementcount 0 &gt;&gt;C:\Users\stu\Documents\GitHub\eaglep3-reporting\EC\2016-09-16-refined-times.txt</v>
      </c>
      <c r="AI18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{"issue":{"subject":"","project_id":79,"tracker_id":40,"status_id":1,"priority_id":2,"assigned_to_id":23,"start_date":"2016-09-16","description":"","custom_fields":[{"id":1,"name":"Subdivision","value":"NW"},{"id":4,"name":"Milepost","value":"0.0698"},{"id":17,"name":"Train ID","value":"824-16"},{"id":16,"name":"Locomotive ID","value":"4013"},{"id":130,"name":"Impact","value":""},{"id":150,"name":"Time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518</v>
      </c>
      <c r="B187" s="7">
        <v>4014</v>
      </c>
      <c r="C187" s="24" t="s">
        <v>107</v>
      </c>
      <c r="D187" s="24" t="s">
        <v>735</v>
      </c>
      <c r="E187" s="15">
        <v>42629.626018518517</v>
      </c>
      <c r="F187" s="15">
        <v>42629.639756944445</v>
      </c>
      <c r="G187" s="7">
        <v>4</v>
      </c>
      <c r="H187" s="15" t="s">
        <v>377</v>
      </c>
      <c r="I187" s="15">
        <v>42629.650289351855</v>
      </c>
      <c r="J187" s="7">
        <v>0</v>
      </c>
      <c r="K187" s="121" t="str">
        <f t="shared" si="48"/>
        <v>4013/4014</v>
      </c>
      <c r="L187" s="24" t="str">
        <f>VLOOKUP(A187,'Trips&amp;Operators'!$C$1:$E$10000,3,FALSE)</f>
        <v>BERLING</v>
      </c>
      <c r="M187" s="6">
        <f t="shared" si="49"/>
        <v>1.0532407410209998E-2</v>
      </c>
      <c r="N187" s="7">
        <f t="shared" si="62"/>
        <v>15.166666670702398</v>
      </c>
      <c r="O187" s="7"/>
      <c r="P187" s="7"/>
      <c r="Q187" s="25"/>
      <c r="R187" s="25"/>
      <c r="S187" s="37">
        <f t="shared" ref="S187:S218" si="64">SUM(U187:U187)/IF(AG187="EC",12,1)</f>
        <v>1</v>
      </c>
      <c r="T187" s="52" t="str">
        <f t="shared" si="50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14:01:28-0600',mode:absolute,to:'2016-09-16 16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7" s="54" t="str">
        <f t="shared" si="52"/>
        <v>N</v>
      </c>
      <c r="X187" s="168">
        <f t="shared" si="63"/>
        <v>1</v>
      </c>
      <c r="Y187" s="69">
        <f t="shared" si="53"/>
        <v>9.74E-2</v>
      </c>
      <c r="Z187" s="69">
        <f t="shared" si="54"/>
        <v>5.8945999999999996</v>
      </c>
      <c r="AA187" s="69">
        <f t="shared" si="55"/>
        <v>5.7971999999999992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56"/>
        <v>0825-16</v>
      </c>
      <c r="AE187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7" s="96" t="str">
        <f t="shared" si="58"/>
        <v>"C:\Program Files (x86)\AstroGrep\AstroGrep.exe" /spath="%USERPROFILE%\AppData\Local\Temp\OnboardLogs" /stypes="app*4014*20160916*" /stext=" 21:.+((SYSTEM_STATE.+slice.+state.+changed )|(ment ac)|(system.+state.+changed )|(\|lc)|(penalty)|(\[timeout)|(PRM\|1\|D)|(kpr)|(kdp))" /e /r /s</v>
      </c>
      <c r="AG187" s="1" t="str">
        <f t="shared" si="59"/>
        <v>NW</v>
      </c>
      <c r="AH187" s="100" t="str">
        <f t="shared" si="46"/>
        <v>"%USERPROFILE%\Documents\GitHub\eaglep3\Utilities\RefineRTDCRunTimes.py" --tripid 825-16 --locoid 4014 --swversion DE.1.0.7.0 --startMP 204:974 --initTime 2016-09-16T15:01:28 --startdatetime 2016-09-16T15:21:15 --delay 4 --endMP 300:58946 --enddatetime 2016-09-16T15:36:25 --enforcementcount 0 &gt;&gt;C:\Users\stu\Documents\GitHub\eaglep3-reporting\EC\2016-09-16-refined-times.txt</v>
      </c>
      <c r="AI18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{"issue":{"subject":"","project_id":79,"tracker_id":40,"status_id":1,"priority_id":2,"assigned_to_id":23,"start_date":"2016-09-16","description":"","custom_fields":[{"id":1,"name":"Subdivision","value":"NW"},{"id":4,"name":"Milepost","value":"5.8946"},{"id":17,"name":"Train ID","value":"825-16"},{"id":16,"name":"Locomotive ID","value":"4014"},{"id":130,"name":"Impact","value":""},{"id":150,"name":"Time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527</v>
      </c>
      <c r="B188" s="7">
        <v>4013</v>
      </c>
      <c r="C188" s="24" t="s">
        <v>107</v>
      </c>
      <c r="D188" s="24" t="s">
        <v>365</v>
      </c>
      <c r="E188" s="15">
        <v>42629.651631944442</v>
      </c>
      <c r="F188" s="15">
        <v>42629.653761574074</v>
      </c>
      <c r="G188" s="7">
        <v>1</v>
      </c>
      <c r="H188" s="15" t="s">
        <v>370</v>
      </c>
      <c r="I188" s="15">
        <v>42629.664293981485</v>
      </c>
      <c r="J188" s="7">
        <v>0</v>
      </c>
      <c r="K188" s="121" t="str">
        <f t="shared" si="48"/>
        <v>4013/4014</v>
      </c>
      <c r="L188" s="24" t="str">
        <f>VLOOKUP(A188,'Trips&amp;Operators'!$C$1:$E$10000,3,FALSE)</f>
        <v>BERLING</v>
      </c>
      <c r="M188" s="6">
        <f t="shared" si="49"/>
        <v>1.0532407410209998E-2</v>
      </c>
      <c r="N188" s="7">
        <f t="shared" si="62"/>
        <v>15.166666670702398</v>
      </c>
      <c r="O188" s="7"/>
      <c r="P188" s="7"/>
      <c r="Q188" s="25"/>
      <c r="R188" s="25"/>
      <c r="S188" s="37">
        <f t="shared" si="64"/>
        <v>1</v>
      </c>
      <c r="T188" s="52" t="str">
        <f t="shared" si="50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14:38:21-0600',mode:absolute,to:'2016-09-16 16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8" s="54" t="str">
        <f t="shared" si="52"/>
        <v>N</v>
      </c>
      <c r="X188" s="168">
        <f t="shared" si="63"/>
        <v>1</v>
      </c>
      <c r="Y188" s="69">
        <f t="shared" si="53"/>
        <v>5.8609</v>
      </c>
      <c r="Z188" s="69">
        <f t="shared" si="54"/>
        <v>6.7000000000000004E-2</v>
      </c>
      <c r="AA188" s="69">
        <f t="shared" si="55"/>
        <v>5.7938999999999998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56"/>
        <v>0826-16</v>
      </c>
      <c r="AE188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8" s="96" t="str">
        <f t="shared" si="58"/>
        <v>"C:\Program Files (x86)\AstroGrep\AstroGrep.exe" /spath="%USERPROFILE%\AppData\Local\Temp\OnboardLogs" /stypes="app*4013*20160916*" /stext=" 21:.+((SYSTEM_STATE.+slice.+state.+changed )|(ment ac)|(system.+state.+changed )|(\|lc)|(penalty)|(\[timeout)|(PRM\|1\|D)|(kpr)|(kdp))" /e /r /s</v>
      </c>
      <c r="AG188" s="1" t="str">
        <f t="shared" si="59"/>
        <v>NW</v>
      </c>
      <c r="AH188" s="100" t="str">
        <f t="shared" si="46"/>
        <v>"%USERPROFILE%\Documents\GitHub\eaglep3\Utilities\RefineRTDCRunTimes.py" --tripid 826-16 --locoid 4013 --swversion DE.1.0.7.0 --startMP 300:58609 --initTime 2016-09-16T15:38:21 --startdatetime 2016-09-16T15:41:25 --delay 1 --endMP 204:670 --enddatetime 2016-09-16T15:56:35 --enforcementcount 0 &gt;&gt;C:\Users\stu\Documents\GitHub\eaglep3-reporting\EC\2016-09-16-refined-times.txt</v>
      </c>
      <c r="AI18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{"issue":{"subject":"","project_id":79,"tracker_id":40,"status_id":1,"priority_id":2,"assigned_to_id":23,"start_date":"2016-09-16","description":"","custom_fields":[{"id":1,"name":"Subdivision","value":"NW"},{"id":4,"name":"Milepost","value":"0.067"},{"id":17,"name":"Train ID","value":"826-16"},{"id":16,"name":"Locomotive ID","value":"4013"},{"id":130,"name":"Impact","value":""},{"id":150,"name":"Time of Event (Mountain Time)","value":"15:56:35"},{"id":151,"name":"Denver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526</v>
      </c>
      <c r="B189" s="7">
        <v>4031</v>
      </c>
      <c r="C189" s="24" t="s">
        <v>107</v>
      </c>
      <c r="D189" s="24" t="s">
        <v>743</v>
      </c>
      <c r="E189" s="15">
        <v>42629.65048611111</v>
      </c>
      <c r="F189" s="15">
        <v>42629.660567129627</v>
      </c>
      <c r="G189" s="7">
        <v>1</v>
      </c>
      <c r="H189" s="15" t="s">
        <v>744</v>
      </c>
      <c r="I189" s="15">
        <v>42629.669606481482</v>
      </c>
      <c r="J189" s="7">
        <v>0</v>
      </c>
      <c r="K189" s="121" t="str">
        <f t="shared" si="48"/>
        <v>4031/4032</v>
      </c>
      <c r="L189" s="24" t="str">
        <f>VLOOKUP(A189,'Trips&amp;Operators'!$C$1:$E$10000,3,FALSE)</f>
        <v>NEWELL</v>
      </c>
      <c r="M189" s="6">
        <f t="shared" si="49"/>
        <v>9.0393518548808061E-3</v>
      </c>
      <c r="N189" s="7">
        <f t="shared" si="62"/>
        <v>13.016666671028361</v>
      </c>
      <c r="O189" s="7"/>
      <c r="P189" s="7"/>
      <c r="Q189" s="25"/>
      <c r="R189" s="25"/>
      <c r="S189" s="37">
        <f t="shared" si="64"/>
        <v>1</v>
      </c>
      <c r="T189" s="52" t="str">
        <f t="shared" si="50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14:36:42-0600',mode:absolute,to:'2016-09-16 17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9" s="54" t="str">
        <f t="shared" si="52"/>
        <v>N</v>
      </c>
      <c r="X189" s="168">
        <f t="shared" si="63"/>
        <v>1</v>
      </c>
      <c r="Y189" s="69">
        <f t="shared" si="53"/>
        <v>9.2999999999999999E-2</v>
      </c>
      <c r="Z189" s="69">
        <f t="shared" si="54"/>
        <v>5.7605000000000004</v>
      </c>
      <c r="AA189" s="69">
        <f t="shared" si="55"/>
        <v>5.6675000000000004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56"/>
        <v>0827-16</v>
      </c>
      <c r="AE189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89" s="96" t="str">
        <f t="shared" si="58"/>
        <v>"C:\Program Files (x86)\AstroGrep\AstroGrep.exe" /spath="%USERPROFILE%\AppData\Local\Temp\OnboardLogs" /stypes="app*4031*20160916*" /stext=" 22:.+((SYSTEM_STATE.+slice.+state.+changed )|(ment ac)|(system.+state.+changed )|(\|lc)|(penalty)|(\[timeout)|(PRM\|1\|D)|(kpr)|(kdp))" /e /r /s</v>
      </c>
      <c r="AG189" s="1" t="str">
        <f t="shared" si="59"/>
        <v>NW</v>
      </c>
      <c r="AH189" s="100" t="str">
        <f t="shared" si="46"/>
        <v>"%USERPROFILE%\Documents\GitHub\eaglep3\Utilities\RefineRTDCRunTimes.py" --tripid 827-16 --locoid 4031 --swversion DE.1.0.7.0 --startMP 204:930 --initTime 2016-09-16T15:36:42 --startdatetime 2016-09-16T15:51:13 --delay 1 --endMP 300:57605 --enddatetime 2016-09-16T16:04:14 --enforcementcount 0 &gt;&gt;C:\Users\stu\Documents\GitHub\eaglep3-reporting\EC\2016-09-16-refined-times.txt</v>
      </c>
      <c r="AI18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{"issue":{"subject":"","project_id":79,"tracker_id":40,"status_id":1,"priority_id":2,"assigned_to_id":23,"start_date":"2016-09-16","description":"","custom_fields":[{"id":1,"name":"Subdivision","value":"NW"},{"id":4,"name":"Milepost","value":"5.7605"},{"id":17,"name":"Train ID","value":"827-16"},{"id":16,"name":"Locomotive ID","value":"4031"},{"id":130,"name":"Impact","value":""},{"id":150,"name":"Time of Event (Mountain Time)","value":"16:04:14"},{"id":151,"name":"Denver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533</v>
      </c>
      <c r="B190" s="7">
        <v>4032</v>
      </c>
      <c r="C190" s="24" t="s">
        <v>107</v>
      </c>
      <c r="D190" s="24" t="s">
        <v>745</v>
      </c>
      <c r="E190" s="15">
        <v>42629.6719212963</v>
      </c>
      <c r="F190" s="15">
        <v>42629.673148148147</v>
      </c>
      <c r="G190" s="7">
        <v>1</v>
      </c>
      <c r="H190" s="15" t="s">
        <v>746</v>
      </c>
      <c r="I190" s="15">
        <v>42629.684490740743</v>
      </c>
      <c r="J190" s="7">
        <v>0</v>
      </c>
      <c r="K190" s="121" t="str">
        <f t="shared" si="48"/>
        <v>4031/4032</v>
      </c>
      <c r="L190" s="24" t="str">
        <f>VLOOKUP(A190,'Trips&amp;Operators'!$C$1:$E$10000,3,FALSE)</f>
        <v>NEWELL</v>
      </c>
      <c r="M190" s="6">
        <f t="shared" si="49"/>
        <v>1.1342592595610768E-2</v>
      </c>
      <c r="N190" s="7">
        <f t="shared" si="62"/>
        <v>16.333333337679505</v>
      </c>
      <c r="O190" s="7"/>
      <c r="P190" s="7"/>
      <c r="Q190" s="25"/>
      <c r="R190" s="25"/>
      <c r="S190" s="37">
        <f t="shared" si="64"/>
        <v>1</v>
      </c>
      <c r="T190" s="52" t="str">
        <f t="shared" si="50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15:07:34-0600',mode:absolute,to:'2016-09-16 17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0" s="54" t="str">
        <f t="shared" si="52"/>
        <v>N</v>
      </c>
      <c r="X190" s="168">
        <f t="shared" si="63"/>
        <v>1</v>
      </c>
      <c r="Y190" s="69">
        <f t="shared" si="53"/>
        <v>5.8655999999999997</v>
      </c>
      <c r="Z190" s="69">
        <f t="shared" si="54"/>
        <v>6.5699999999999995E-2</v>
      </c>
      <c r="AA190" s="69">
        <f t="shared" si="55"/>
        <v>5.7999000000000001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56"/>
        <v>0828-16</v>
      </c>
      <c r="AE190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0" s="96" t="str">
        <f t="shared" si="58"/>
        <v>"C:\Program Files (x86)\AstroGrep\AstroGrep.exe" /spath="%USERPROFILE%\AppData\Local\Temp\OnboardLogs" /stypes="app*4032*20160916*" /stext=" 22:.+((SYSTEM_STATE.+slice.+state.+changed )|(ment ac)|(system.+state.+changed )|(\|lc)|(penalty)|(\[timeout)|(PRM\|1\|D)|(kpr)|(kdp))" /e /r /s</v>
      </c>
      <c r="AG190" s="1" t="str">
        <f t="shared" si="59"/>
        <v>NW</v>
      </c>
      <c r="AH190" s="100" t="str">
        <f t="shared" si="46"/>
        <v>"%USERPROFILE%\Documents\GitHub\eaglep3\Utilities\RefineRTDCRunTimes.py" --tripid 828-16 --locoid 4032 --swversion DE.1.0.7.0 --startMP 300:58656 --initTime 2016-09-16T16:07:34 --startdatetime 2016-09-16T16:09:20 --delay 1 --endMP 204:657 --enddatetime 2016-09-16T16:25:40 --enforcementcount 0 &gt;&gt;C:\Users\stu\Documents\GitHub\eaglep3-reporting\EC\2016-09-16-refined-times.txt</v>
      </c>
      <c r="AI19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{"issue":{"subject":"","project_id":79,"tracker_id":40,"status_id":1,"priority_id":2,"assigned_to_id":23,"start_date":"2016-09-16","description":"","custom_fields":[{"id":1,"name":"Subdivision","value":"NW"},{"id":4,"name":"Milepost","value":"0.0657"},{"id":17,"name":"Train ID","value":"828-16"},{"id":16,"name":"Locomotive ID","value":"4032"},{"id":130,"name":"Impact","value":""},{"id":150,"name":"Time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531</v>
      </c>
      <c r="B191" s="7">
        <v>4014</v>
      </c>
      <c r="C191" s="24" t="s">
        <v>107</v>
      </c>
      <c r="D191" s="24" t="s">
        <v>323</v>
      </c>
      <c r="E191" s="15">
        <v>42629.670949074076</v>
      </c>
      <c r="F191" s="15">
        <v>42629.681608796294</v>
      </c>
      <c r="G191" s="7">
        <v>1</v>
      </c>
      <c r="H191" s="15" t="s">
        <v>747</v>
      </c>
      <c r="I191" s="15">
        <v>42629.68545138889</v>
      </c>
      <c r="J191" s="7">
        <v>0</v>
      </c>
      <c r="K191" s="121" t="str">
        <f t="shared" si="48"/>
        <v>4013/4014</v>
      </c>
      <c r="L191" s="24" t="str">
        <f>VLOOKUP(A191,'Trips&amp;Operators'!$C$1:$E$10000,3,FALSE)</f>
        <v>BERLING</v>
      </c>
      <c r="M191" s="6">
        <f t="shared" si="49"/>
        <v>3.8425925959018059E-3</v>
      </c>
      <c r="N191" s="7"/>
      <c r="O191" s="7"/>
      <c r="P191" s="7">
        <f>24*60*SUM($M191:$M191)</f>
        <v>5.5333333380986005</v>
      </c>
      <c r="Q191" s="25"/>
      <c r="R191" s="25" t="s">
        <v>778</v>
      </c>
      <c r="S191" s="37">
        <f t="shared" si="64"/>
        <v>1</v>
      </c>
      <c r="T191" s="52" t="str">
        <f t="shared" si="50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15:06:10-0600',mode:absolute,to:'2016-09-16 17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1" s="54" t="str">
        <f t="shared" si="52"/>
        <v>Y</v>
      </c>
      <c r="X191" s="168">
        <f t="shared" si="63"/>
        <v>1</v>
      </c>
      <c r="Y191" s="69">
        <f t="shared" si="53"/>
        <v>9.69E-2</v>
      </c>
      <c r="Z191" s="69">
        <f t="shared" si="54"/>
        <v>1.1856</v>
      </c>
      <c r="AA191" s="69">
        <f t="shared" si="55"/>
        <v>1.0887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56"/>
        <v>0829-16</v>
      </c>
      <c r="AE191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1" s="96" t="str">
        <f t="shared" si="58"/>
        <v>"C:\Program Files (x86)\AstroGrep\AstroGrep.exe" /spath="%USERPROFILE%\AppData\Local\Temp\OnboardLogs" /stypes="app*4014*20160916*" /stext=" 22:.+((SYSTEM_STATE.+slice.+state.+changed )|(ment ac)|(system.+state.+changed )|(\|lc)|(penalty)|(\[timeout)|(PRM\|1\|D)|(kpr)|(kdp))" /e /r /s</v>
      </c>
      <c r="AG191" s="1" t="str">
        <f t="shared" si="59"/>
        <v>NW</v>
      </c>
      <c r="AH191" s="100" t="str">
        <f t="shared" si="46"/>
        <v>"%USERPROFILE%\Documents\GitHub\eaglep3\Utilities\RefineRTDCRunTimes.py" --tripid 829-16 --locoid 4014 --swversion DE.1.0.7.0 --startMP 204:969 --initTime 2016-09-16T16:06:10 --startdatetime 2016-09-16T16:21:31 --delay 1 --endMP 300:11856 --enddatetime 2016-09-16T16:27:03 --enforcementcount 0 &gt;&gt;C:\Users\stu\Documents\GitHub\eaglep3-reporting\EC\2016-09-16-refined-times.txt</v>
      </c>
      <c r="AI191" s="134" t="str">
        <f t="shared" si="47"/>
        <v>echo {"issue":{"subject":"38th&amp;41st 4N was "stuck" at STOP","project_id":79,"tracker_id":40,"status_id":1,"priority_id":2,"assigned_to_id":23,"start_date":"2016-09-16","description":"From approx 16:25:00 to 18:26:20, 38th&amp;41st 4N was stuck at STOP. Anything look strange?","custom_fields":[{"id":1,"name":"Subdivision","value":"NW"},{"id":4,"name":"Milepost","value":"1.1856"},{"id":17,"name":"Train ID","value":"829-16"},{"id":16,"name":"Locomotive ID","value":"4014"},{"id":130,"name":"Impact","value":"Enforcement"},{"id":150,"name":"Time of Event (Mountain Time)","value":"16:27:03"},{"id":151,"name":"Denver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1" s="55" t="s">
        <v>779</v>
      </c>
      <c r="AK191" s="55" t="s">
        <v>140</v>
      </c>
      <c r="AL191" s="55" t="s">
        <v>145</v>
      </c>
    </row>
    <row r="192" spans="1:38" s="23" customFormat="1" x14ac:dyDescent="0.25">
      <c r="A192" s="39" t="s">
        <v>541</v>
      </c>
      <c r="B192" s="7">
        <v>4013</v>
      </c>
      <c r="C192" s="24" t="s">
        <v>107</v>
      </c>
      <c r="D192" s="24" t="s">
        <v>371</v>
      </c>
      <c r="E192" s="15">
        <v>42629.696979166663</v>
      </c>
      <c r="F192" s="15">
        <v>42629.698321759257</v>
      </c>
      <c r="G192" s="7">
        <v>1</v>
      </c>
      <c r="H192" s="15" t="s">
        <v>748</v>
      </c>
      <c r="I192" s="15">
        <v>42629.708749999998</v>
      </c>
      <c r="J192" s="7">
        <v>0</v>
      </c>
      <c r="K192" s="121" t="str">
        <f t="shared" si="48"/>
        <v>4013/4014</v>
      </c>
      <c r="L192" s="24" t="str">
        <f>VLOOKUP(A192,'Trips&amp;Operators'!$C$1:$E$10000,3,FALSE)</f>
        <v>BERLING</v>
      </c>
      <c r="M192" s="6">
        <f t="shared" si="49"/>
        <v>1.0428240741021E-2</v>
      </c>
      <c r="N192" s="7">
        <f>24*60*SUM($M192:$M192)</f>
        <v>15.01666666707024</v>
      </c>
      <c r="O192" s="7"/>
      <c r="P192" s="7"/>
      <c r="Q192" s="25"/>
      <c r="R192" s="25"/>
      <c r="S192" s="37">
        <f t="shared" si="64"/>
        <v>1</v>
      </c>
      <c r="T192" s="52" t="str">
        <f t="shared" si="50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15:43:39-0600',mode:absolute,to:'2016-09-16 18:00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2" s="54" t="str">
        <f t="shared" si="52"/>
        <v>N</v>
      </c>
      <c r="X192" s="168">
        <f t="shared" si="63"/>
        <v>1</v>
      </c>
      <c r="Y192" s="69">
        <f t="shared" si="53"/>
        <v>5.8615000000000004</v>
      </c>
      <c r="Z192" s="69">
        <f t="shared" si="54"/>
        <v>9.11E-2</v>
      </c>
      <c r="AA192" s="69">
        <f t="shared" si="55"/>
        <v>5.7704000000000004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56"/>
        <v>0830-16</v>
      </c>
      <c r="AE19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92" s="96" t="str">
        <f t="shared" si="58"/>
        <v>"C:\Program Files (x86)\AstroGrep\AstroGrep.exe" /spath="%USERPROFILE%\AppData\Local\Temp\OnboardLogs" /stypes="app*4013*20160916*" /stext=" 23:.+((SYSTEM_STATE.+slice.+state.+changed )|(ment ac)|(system.+state.+changed )|(\|lc)|(penalty)|(\[timeout)|(PRM\|1\|D)|(kpr)|(kdp))" /e /r /s</v>
      </c>
      <c r="AG192" s="1" t="str">
        <f t="shared" si="59"/>
        <v>NW</v>
      </c>
      <c r="AH192" s="100" t="str">
        <f t="shared" si="46"/>
        <v>"%USERPROFILE%\Documents\GitHub\eaglep3\Utilities\RefineRTDCRunTimes.py" --tripid 830-16 --locoid 4013 --swversion DE.1.0.7.0 --startMP 300:58615 --initTime 2016-09-16T16:43:39 --startdatetime 2016-09-16T16:45:35 --delay 1 --endMP 204:911 --enddatetime 2016-09-16T17:00:36 --enforcementcount 0 &gt;&gt;C:\Users\stu\Documents\GitHub\eaglep3-reporting\EC\2016-09-16-refined-times.txt</v>
      </c>
      <c r="AI19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{"issue":{"subject":"","project_id":79,"tracker_id":40,"status_id":1,"priority_id":2,"assigned_to_id":23,"start_date":"2016-09-16","description":"","custom_fields":[{"id":1,"name":"Subdivision","value":"NW"},{"id":4,"name":"Milepost","value":"0.0911"},{"id":17,"name":"Train ID","value":"830-16"},{"id":16,"name":"Locomotive ID","value":"4013"},{"id":130,"name":"Impact","value":""},{"id":150,"name":"Time of Event (Mountain Time)","value":"17:00:36"},{"id":151,"name":"Denver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538</v>
      </c>
      <c r="B193" s="7">
        <v>4031</v>
      </c>
      <c r="C193" s="24" t="s">
        <v>107</v>
      </c>
      <c r="D193" s="24" t="s">
        <v>321</v>
      </c>
      <c r="E193" s="15">
        <v>42629.688287037039</v>
      </c>
      <c r="F193" s="15">
        <v>42629.702245370368</v>
      </c>
      <c r="G193" s="7">
        <v>0</v>
      </c>
      <c r="H193" s="15" t="s">
        <v>749</v>
      </c>
      <c r="I193" s="15">
        <v>42629.704328703701</v>
      </c>
      <c r="J193" s="7">
        <v>0</v>
      </c>
      <c r="K193" s="121" t="str">
        <f t="shared" si="48"/>
        <v>4031/4032</v>
      </c>
      <c r="L193" s="24" t="str">
        <f>VLOOKUP(A193,'Trips&amp;Operators'!$C$1:$E$10000,3,FALSE)</f>
        <v>NEWELL</v>
      </c>
      <c r="M193" s="6">
        <f t="shared" si="49"/>
        <v>2.0833333328482695E-3</v>
      </c>
      <c r="N193" s="7"/>
      <c r="O193" s="7"/>
      <c r="P193" s="7">
        <f>24*60*SUM($M193:$M193)</f>
        <v>2.9999999993015081</v>
      </c>
      <c r="Q193" s="25"/>
      <c r="R193" s="25" t="s">
        <v>778</v>
      </c>
      <c r="S193" s="37">
        <f t="shared" si="64"/>
        <v>0</v>
      </c>
      <c r="T193" s="52" t="str">
        <f t="shared" si="50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15:31:08-0600',mode:absolute,to:'2016-09-16 17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3" s="54" t="str">
        <f t="shared" si="52"/>
        <v>Y</v>
      </c>
      <c r="X193" s="168">
        <f t="shared" ref="X193:X197" si="65">VALUE(LEFT(AD193,4))-VALUE(LEFT(AD192,4))</f>
        <v>1</v>
      </c>
      <c r="Y193" s="69">
        <f t="shared" si="53"/>
        <v>9.3700000000000006E-2</v>
      </c>
      <c r="Z193" s="69">
        <f t="shared" si="54"/>
        <v>1.0402</v>
      </c>
      <c r="AA193" s="69">
        <f t="shared" si="55"/>
        <v>0.94650000000000001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56"/>
        <v>0831-16</v>
      </c>
      <c r="AE193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93" s="96" t="str">
        <f t="shared" si="58"/>
        <v>"C:\Program Files (x86)\AstroGrep\AstroGrep.exe" /spath="%USERPROFILE%\AppData\Local\Temp\OnboardLogs" /stypes="app*4031*20160916*" /stext=" 22:.+((SYSTEM_STATE.+slice.+state.+changed )|(ment ac)|(system.+state.+changed )|(\|lc)|(penalty)|(\[timeout)|(PRM\|1\|D)|(kpr)|(kdp))" /e /r /s</v>
      </c>
      <c r="AG193" s="1" t="str">
        <f t="shared" si="59"/>
        <v>NW</v>
      </c>
      <c r="AH193" s="100" t="str">
        <f t="shared" si="46"/>
        <v>"%USERPROFILE%\Documents\GitHub\eaglep3\Utilities\RefineRTDCRunTimes.py" --tripid 831-16 --locoid 4031 --swversion DE.1.0.7.0 --startMP 204:937 --initTime 2016-09-16T16:31:08 --startdatetime 2016-09-16T16:51:14 --delay 0 --endMP 300:10402 --enddatetime 2016-09-16T16:54:14 --enforcementcount 0 &gt;&gt;C:\Users\stu\Documents\GitHub\eaglep3-reporting\EC\2016-09-16-refined-times.txt</v>
      </c>
      <c r="AI193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STOP","project_id":79,"tracker_id":40,"status_id":1,"priority_id":2,"assigned_to_id":23,"start_date":"2016-09-16","description":"","custom_fields":[{"id":1,"name":"Subdivision","value":"NW"},{"id":4,"name":"Milepost","value":"1.0402"},{"id":17,"name":"Train ID","value":"831-16"},{"id":16,"name":"Locomotive ID","value":"4031"},{"id":130,"name":"Impact","value":""},{"id":150,"name":"Time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544</v>
      </c>
      <c r="B194" s="7">
        <v>4032</v>
      </c>
      <c r="C194" s="24" t="s">
        <v>107</v>
      </c>
      <c r="D194" s="24" t="s">
        <v>750</v>
      </c>
      <c r="E194" s="15">
        <v>42629.722511574073</v>
      </c>
      <c r="F194" s="15">
        <v>42629.723819444444</v>
      </c>
      <c r="G194" s="7">
        <v>1</v>
      </c>
      <c r="H194" s="15" t="s">
        <v>751</v>
      </c>
      <c r="I194" s="15">
        <v>42629.732893518521</v>
      </c>
      <c r="J194" s="7">
        <v>0</v>
      </c>
      <c r="K194" s="121" t="str">
        <f t="shared" si="48"/>
        <v>4031/4032</v>
      </c>
      <c r="L194" s="24" t="str">
        <f>VLOOKUP(A194,'Trips&amp;Operators'!$C$1:$E$10000,3,FALSE)</f>
        <v>NEWELL</v>
      </c>
      <c r="M194" s="6">
        <f t="shared" si="49"/>
        <v>9.0740740779438056E-3</v>
      </c>
      <c r="N194" s="7">
        <f>24*60*SUM($M194:$M194)</f>
        <v>13.06666667223908</v>
      </c>
      <c r="O194" s="7"/>
      <c r="P194" s="7"/>
      <c r="Q194" s="25"/>
      <c r="R194" s="25"/>
      <c r="S194" s="37">
        <f t="shared" si="64"/>
        <v>1</v>
      </c>
      <c r="T194" s="52" t="str">
        <f t="shared" si="50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16:20:25-0600',mode:absolute,to:'2016-09-16 18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4" s="54" t="str">
        <f t="shared" si="52"/>
        <v>N</v>
      </c>
      <c r="X194" s="168">
        <f t="shared" si="65"/>
        <v>1</v>
      </c>
      <c r="Y194" s="69">
        <f t="shared" si="53"/>
        <v>5.7321999999999997</v>
      </c>
      <c r="Z194" s="69">
        <f t="shared" si="54"/>
        <v>7.5899999999999995E-2</v>
      </c>
      <c r="AA194" s="69">
        <f t="shared" si="55"/>
        <v>5.6562999999999999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56"/>
        <v>0832-16</v>
      </c>
      <c r="AE194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4" s="96" t="str">
        <f t="shared" si="58"/>
        <v>"C:\Program Files (x86)\AstroGrep\AstroGrep.exe" /spath="%USERPROFILE%\AppData\Local\Temp\OnboardLogs" /stypes="app*4032*20160916*" /stext=" 23:.+((SYSTEM_STATE.+slice.+state.+changed )|(ment ac)|(system.+state.+changed )|(\|lc)|(penalty)|(\[timeout)|(PRM\|1\|D)|(kpr)|(kdp))" /e /r /s</v>
      </c>
      <c r="AG194" s="1" t="str">
        <f t="shared" si="59"/>
        <v>NW</v>
      </c>
      <c r="AH194" s="100" t="str">
        <f t="shared" si="46"/>
        <v>"%USERPROFILE%\Documents\GitHub\eaglep3\Utilities\RefineRTDCRunTimes.py" --tripid 832-16 --locoid 4032 --swversion DE.1.0.7.0 --startMP 300:57322 --initTime 2016-09-16T17:20:25 --startdatetime 2016-09-16T17:22:18 --delay 1 --endMP 204:759 --enddatetime 2016-09-16T17:35:22 --enforcementcount 0 &gt;&gt;C:\Users\stu\Documents\GitHub\eaglep3-reporting\EC\2016-09-16-refined-times.txt</v>
      </c>
      <c r="AI19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{"issue":{"subject":"","project_id":79,"tracker_id":40,"status_id":1,"priority_id":2,"assigned_to_id":23,"start_date":"2016-09-16","description":"","custom_fields":[{"id":1,"name":"Subdivision","value":"NW"},{"id":4,"name":"Milepost","value":"0.0759"},{"id":17,"name":"Train ID","value":"832-16"},{"id":16,"name":"Locomotive ID","value":"4032"},{"id":130,"name":"Impact","value":""},{"id":150,"name":"Time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547</v>
      </c>
      <c r="B195" s="7">
        <v>4014</v>
      </c>
      <c r="C195" s="24" t="s">
        <v>107</v>
      </c>
      <c r="D195" s="24" t="s">
        <v>708</v>
      </c>
      <c r="E195" s="15">
        <v>42629.721145833333</v>
      </c>
      <c r="F195" s="15">
        <v>42629.723229166666</v>
      </c>
      <c r="G195" s="7">
        <v>1</v>
      </c>
      <c r="H195" s="15" t="s">
        <v>752</v>
      </c>
      <c r="I195" s="15">
        <v>42629.726018518515</v>
      </c>
      <c r="J195" s="7">
        <v>0</v>
      </c>
      <c r="K195" s="121" t="str">
        <f t="shared" si="48"/>
        <v>4013/4014</v>
      </c>
      <c r="L195" s="24" t="str">
        <f>VLOOKUP(A195,'Trips&amp;Operators'!$C$1:$E$10000,3,FALSE)</f>
        <v>HELVIE</v>
      </c>
      <c r="M195" s="6">
        <f t="shared" si="49"/>
        <v>2.78935184906004E-3</v>
      </c>
      <c r="N195" s="7"/>
      <c r="O195" s="7"/>
      <c r="P195" s="7">
        <f>24*60*SUM($M195:$M195)</f>
        <v>4.0166666626464576</v>
      </c>
      <c r="Q195" s="25"/>
      <c r="R195" s="25" t="s">
        <v>778</v>
      </c>
      <c r="S195" s="37">
        <f t="shared" si="64"/>
        <v>1</v>
      </c>
      <c r="T195" s="52" t="str">
        <f t="shared" si="50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16:18:27-0600',mode:absolute,to:'2016-09-16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5" s="54" t="str">
        <f t="shared" si="52"/>
        <v>Y</v>
      </c>
      <c r="X195" s="168">
        <f t="shared" si="65"/>
        <v>1</v>
      </c>
      <c r="Y195" s="69">
        <f t="shared" si="53"/>
        <v>0.1203</v>
      </c>
      <c r="Z195" s="69">
        <f t="shared" si="54"/>
        <v>1.1609</v>
      </c>
      <c r="AA195" s="69">
        <f t="shared" si="55"/>
        <v>1.0406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56"/>
        <v>0833-16</v>
      </c>
      <c r="AE19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5" s="96" t="str">
        <f t="shared" si="58"/>
        <v>"C:\Program Files (x86)\AstroGrep\AstroGrep.exe" /spath="%USERPROFILE%\AppData\Local\Temp\OnboardLogs" /stypes="app*4014*20160916*" /stext=" 23:.+((SYSTEM_STATE.+slice.+state.+changed )|(ment ac)|(system.+state.+changed )|(\|lc)|(penalty)|(\[timeout)|(PRM\|1\|D)|(kpr)|(kdp))" /e /r /s</v>
      </c>
      <c r="AG195" s="1" t="str">
        <f t="shared" si="59"/>
        <v>NW</v>
      </c>
      <c r="AH195" s="100" t="str">
        <f t="shared" si="46"/>
        <v>"%USERPROFILE%\Documents\GitHub\eaglep3\Utilities\RefineRTDCRunTimes.py" --tripid 833-16 --locoid 4014 --swversion DE.1.0.7.0 --startMP 204:1203 --initTime 2016-09-16T17:18:27 --startdatetime 2016-09-16T17:21:27 --delay 1 --endMP 300:11609 --enddatetime 2016-09-16T17:25:28 --enforcementcount 0 &gt;&gt;C:\Users\stu\Documents\GitHub\eaglep3-reporting\EC\2016-09-16-refined-times.txt</v>
      </c>
      <c r="AI195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STOP","project_id":79,"tracker_id":40,"status_id":1,"priority_id":2,"assigned_to_id":23,"start_date":"2016-09-16","description":"","custom_fields":[{"id":1,"name":"Subdivision","value":"NW"},{"id":4,"name":"Milepost","value":"1.1609"},{"id":17,"name":"Train ID","value":"833-16"},{"id":16,"name":"Locomotive ID","value":"4014"},{"id":130,"name":"Impact","value":""},{"id":150,"name":"Time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554</v>
      </c>
      <c r="B196" s="7">
        <v>4013</v>
      </c>
      <c r="C196" s="24" t="s">
        <v>107</v>
      </c>
      <c r="D196" s="24" t="s">
        <v>364</v>
      </c>
      <c r="E196" s="15">
        <v>42629.735011574077</v>
      </c>
      <c r="F196" s="15">
        <v>42629.736331018517</v>
      </c>
      <c r="G196" s="7">
        <v>1</v>
      </c>
      <c r="H196" s="15" t="s">
        <v>753</v>
      </c>
      <c r="I196" s="15">
        <v>42629.748171296298</v>
      </c>
      <c r="J196" s="7">
        <v>0</v>
      </c>
      <c r="K196" s="121" t="str">
        <f t="shared" si="48"/>
        <v>4013/4014</v>
      </c>
      <c r="L196" s="24" t="str">
        <f>VLOOKUP(A196,'Trips&amp;Operators'!$C$1:$E$10000,3,FALSE)</f>
        <v>HELVIE</v>
      </c>
      <c r="M196" s="6">
        <f t="shared" si="49"/>
        <v>1.1840277780720498E-2</v>
      </c>
      <c r="N196" s="7">
        <f>24*60*SUM($M196:$M196)</f>
        <v>17.050000004237518</v>
      </c>
      <c r="O196" s="7"/>
      <c r="P196" s="7"/>
      <c r="Q196" s="25"/>
      <c r="R196" s="25"/>
      <c r="S196" s="37">
        <f t="shared" si="64"/>
        <v>1</v>
      </c>
      <c r="T196" s="52" t="str">
        <f t="shared" si="50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16:38:25-0600',mode:absolute,to:'2016-09-16 18:57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6" s="54" t="str">
        <f t="shared" si="52"/>
        <v>N</v>
      </c>
      <c r="X196" s="168">
        <f t="shared" si="65"/>
        <v>1</v>
      </c>
      <c r="Y196" s="69">
        <f t="shared" si="53"/>
        <v>5.8635999999999999</v>
      </c>
      <c r="Z196" s="69">
        <f t="shared" si="54"/>
        <v>7.4800000000000005E-2</v>
      </c>
      <c r="AA196" s="69">
        <f t="shared" si="55"/>
        <v>5.7888000000000002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56"/>
        <v>0834-16</v>
      </c>
      <c r="AE19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96" s="96" t="str">
        <f t="shared" si="58"/>
        <v>"C:\Program Files (x86)\AstroGrep\AstroGrep.exe" /spath="%USERPROFILE%\AppData\Local\Temp\OnboardLogs" /stypes="app*4013*20160916*" /stext=" 23:.+((SYSTEM_STATE.+slice.+state.+changed )|(ment ac)|(system.+state.+changed )|(\|lc)|(penalty)|(\[timeout)|(PRM\|1\|D)|(kpr)|(kdp))" /e /r /s</v>
      </c>
      <c r="AG196" s="1" t="str">
        <f t="shared" si="59"/>
        <v>NW</v>
      </c>
      <c r="AH196" s="100" t="str">
        <f t="shared" si="46"/>
        <v>"%USERPROFILE%\Documents\GitHub\eaglep3\Utilities\RefineRTDCRunTimes.py" --tripid 834-16 --locoid 4013 --swversion DE.1.0.7.0 --startMP 300:58636 --initTime 2016-09-16T17:38:25 --startdatetime 2016-09-16T17:40:19 --delay 1 --endMP 204:748 --enddatetime 2016-09-16T17:57:22 --enforcementcount 0 &gt;&gt;C:\Users\stu\Documents\GitHub\eaglep3-reporting\EC\2016-09-16-refined-times.txt</v>
      </c>
      <c r="AI19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{"issue":{"subject":"","project_id":79,"tracker_id":40,"status_id":1,"priority_id":2,"assigned_to_id":23,"start_date":"2016-09-16","description":"","custom_fields":[{"id":1,"name":"Subdivision","value":"NW"},{"id":4,"name":"Milepost","value":"0.0748"},{"id":17,"name":"Train ID","value":"834-16"},{"id":16,"name":"Locomotive ID","value":"4013"},{"id":130,"name":"Impact","value":""},{"id":150,"name":"Time of Event (Mountain Time)","value":"17:57:22"},{"id":151,"name":"Denver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551</v>
      </c>
      <c r="B197" s="7">
        <v>4031</v>
      </c>
      <c r="C197" s="24" t="s">
        <v>107</v>
      </c>
      <c r="D197" s="24" t="s">
        <v>754</v>
      </c>
      <c r="E197" s="15">
        <v>42629.734548611108</v>
      </c>
      <c r="F197" s="15">
        <v>42629.744050925925</v>
      </c>
      <c r="G197" s="7">
        <v>1</v>
      </c>
      <c r="H197" s="15" t="s">
        <v>755</v>
      </c>
      <c r="I197" s="15">
        <v>42629.747777777775</v>
      </c>
      <c r="J197" s="7">
        <v>0</v>
      </c>
      <c r="K197" s="121" t="str">
        <f t="shared" si="48"/>
        <v>4031/4032</v>
      </c>
      <c r="L197" s="24" t="str">
        <f>VLOOKUP(A197,'Trips&amp;Operators'!$C$1:$E$10000,3,FALSE)</f>
        <v>NEWELL</v>
      </c>
      <c r="M197" s="6">
        <f t="shared" si="49"/>
        <v>3.7268518499331549E-3</v>
      </c>
      <c r="N197" s="7"/>
      <c r="O197" s="7"/>
      <c r="P197" s="7">
        <f>24*60*SUM($M197:$M197)</f>
        <v>5.366666663903743</v>
      </c>
      <c r="Q197" s="25"/>
      <c r="R197" s="25" t="s">
        <v>778</v>
      </c>
      <c r="S197" s="37">
        <f t="shared" si="64"/>
        <v>1</v>
      </c>
      <c r="T197" s="52" t="str">
        <f t="shared" si="50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16:37:45-0600',mode:absolute,to:'2016-09-16 18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7" s="54" t="str">
        <f t="shared" si="52"/>
        <v>Y</v>
      </c>
      <c r="X197" s="168">
        <f t="shared" si="65"/>
        <v>1</v>
      </c>
      <c r="Y197" s="69">
        <f t="shared" si="53"/>
        <v>0.1048</v>
      </c>
      <c r="Z197" s="69">
        <f t="shared" si="54"/>
        <v>1.4335</v>
      </c>
      <c r="AA197" s="69">
        <f t="shared" si="55"/>
        <v>1.3287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56"/>
        <v>0835-16</v>
      </c>
      <c r="AE197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97" s="96" t="str">
        <f t="shared" si="58"/>
        <v>"C:\Program Files (x86)\AstroGrep\AstroGrep.exe" /spath="%USERPROFILE%\AppData\Local\Temp\OnboardLogs" /stypes="app*4031*20160916*" /stext=" 23:.+((SYSTEM_STATE.+slice.+state.+changed )|(ment ac)|(system.+state.+changed )|(\|lc)|(penalty)|(\[timeout)|(PRM\|1\|D)|(kpr)|(kdp))" /e /r /s</v>
      </c>
      <c r="AG197" s="1" t="str">
        <f t="shared" si="59"/>
        <v>NW</v>
      </c>
      <c r="AH197" s="100" t="str">
        <f t="shared" si="46"/>
        <v>"%USERPROFILE%\Documents\GitHub\eaglep3\Utilities\RefineRTDCRunTimes.py" --tripid 835-16 --locoid 4031 --swversion DE.1.0.7.0 --startMP 204:1048 --initTime 2016-09-16T17:37:45 --startdatetime 2016-09-16T17:51:26 --delay 1 --endMP 300:14335 --enddatetime 2016-09-16T17:56:48 --enforcementcount 0 &gt;&gt;C:\Users\stu\Documents\GitHub\eaglep3-reporting\EC\2016-09-16-refined-times.txt</v>
      </c>
      <c r="AI197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STOP","project_id":79,"tracker_id":40,"status_id":1,"priority_id":2,"assigned_to_id":23,"start_date":"2016-09-16","description":"","custom_fields":[{"id":1,"name":"Subdivision","value":"NW"},{"id":4,"name":"Milepost","value":"1.4335"},{"id":17,"name":"Train ID","value":"835-16"},{"id":16,"name":"Locomotive ID","value":"4031"},{"id":130,"name":"Impact","value":""},{"id":150,"name":"Time of Event (Mountain Time)","value":"17:56:48"},{"id":151,"name":"Denver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560</v>
      </c>
      <c r="B198" s="7">
        <v>4032</v>
      </c>
      <c r="C198" s="24" t="s">
        <v>107</v>
      </c>
      <c r="D198" s="24" t="s">
        <v>283</v>
      </c>
      <c r="E198" s="15">
        <v>42629.755752314813</v>
      </c>
      <c r="F198" s="15">
        <v>42629.757060185184</v>
      </c>
      <c r="G198" s="7">
        <v>1</v>
      </c>
      <c r="H198" s="15" t="s">
        <v>756</v>
      </c>
      <c r="I198" s="15">
        <v>42629.768240740741</v>
      </c>
      <c r="J198" s="7">
        <v>0</v>
      </c>
      <c r="K198" s="121" t="str">
        <f t="shared" si="48"/>
        <v>4031/4032</v>
      </c>
      <c r="L198" s="24" t="str">
        <f>VLOOKUP(A198,'Trips&amp;Operators'!$C$1:$E$10000,3,FALSE)</f>
        <v>NEWELL</v>
      </c>
      <c r="M198" s="6">
        <f t="shared" si="49"/>
        <v>1.1180555557075422E-2</v>
      </c>
      <c r="N198" s="7">
        <f>24*60*SUM($M198:$M198)</f>
        <v>16.100000002188608</v>
      </c>
      <c r="O198" s="7"/>
      <c r="P198" s="7"/>
      <c r="Q198" s="25"/>
      <c r="R198" s="25"/>
      <c r="S198" s="37">
        <f t="shared" si="64"/>
        <v>1</v>
      </c>
      <c r="T198" s="52" t="str">
        <f t="shared" si="50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17:08:17-0600',mode:absolute,to:'2016-09-16 19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8" s="54" t="str">
        <f t="shared" si="52"/>
        <v>N</v>
      </c>
      <c r="X198" s="168">
        <f t="shared" ref="X198:X204" si="66">VALUE(LEFT(AD198,4))-VALUE(LEFT(AD197,4))</f>
        <v>1</v>
      </c>
      <c r="Y198" s="69">
        <f t="shared" si="53"/>
        <v>5.8616999999999999</v>
      </c>
      <c r="Z198" s="69">
        <f t="shared" si="54"/>
        <v>6.1899999999999997E-2</v>
      </c>
      <c r="AA198" s="69">
        <f t="shared" si="55"/>
        <v>5.7998000000000003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56"/>
        <v>0836-16</v>
      </c>
      <c r="AE198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8" s="96" t="str">
        <f t="shared" si="58"/>
        <v>"C:\Program Files (x86)\AstroGrep\AstroGrep.exe" /spath="%USERPROFILE%\AppData\Local\Temp\OnboardLogs" /stypes="app*4032*20160917*" /stext=" 00:.+((SYSTEM_STATE.+slice.+state.+changed )|(ment ac)|(system.+state.+changed )|(\|lc)|(penalty)|(\[timeout)|(PRM\|1\|D)|(kpr)|(kdp))" /e /r /s</v>
      </c>
      <c r="AG198" s="1" t="str">
        <f t="shared" si="59"/>
        <v>NW</v>
      </c>
      <c r="AH198" s="100" t="str">
        <f t="shared" si="46"/>
        <v>"%USERPROFILE%\Documents\GitHub\eaglep3\Utilities\RefineRTDCRunTimes.py" --tripid 836-16 --locoid 4032 --swversion DE.1.0.7.0 --startMP 300:58617 --initTime 2016-09-16T18:08:17 --startdatetime 2016-09-16T18:10:10 --delay 1 --endMP 204:619 --enddatetime 2016-09-16T18:26:16 --enforcementcount 0 &gt;&gt;C:\Users\stu\Documents\GitHub\eaglep3-reporting\EC\2016-09-16-refined-times.txt</v>
      </c>
      <c r="AI19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{"issue":{"subject":"","project_id":79,"tracker_id":40,"status_id":1,"priority_id":2,"assigned_to_id":23,"start_date":"2016-09-16","description":"","custom_fields":[{"id":1,"name":"Subdivision","value":"NW"},{"id":4,"name":"Milepost","value":"0.0619"},{"id":17,"name":"Train ID","value":"836-16"},{"id":16,"name":"Locomotive ID","value":"4032"},{"id":130,"name":"Impact","value":""},{"id":150,"name":"Time of Event (Mountain Time)","value":"18:26:16"},{"id":151,"name":"Denver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563</v>
      </c>
      <c r="B199" s="7">
        <v>4014</v>
      </c>
      <c r="C199" s="24" t="s">
        <v>107</v>
      </c>
      <c r="D199" s="24" t="s">
        <v>757</v>
      </c>
      <c r="E199" s="15">
        <v>42629.763425925928</v>
      </c>
      <c r="F199" s="15">
        <v>42629.765509259261</v>
      </c>
      <c r="G199" s="7">
        <v>1</v>
      </c>
      <c r="H199" s="15" t="s">
        <v>758</v>
      </c>
      <c r="I199" s="15">
        <v>42629.768368055556</v>
      </c>
      <c r="J199" s="7">
        <v>0</v>
      </c>
      <c r="K199" s="121" t="str">
        <f t="shared" si="48"/>
        <v>4013/4014</v>
      </c>
      <c r="L199" s="24" t="str">
        <f>VLOOKUP(A199,'Trips&amp;Operators'!$C$1:$E$10000,3,FALSE)</f>
        <v>HELVIE</v>
      </c>
      <c r="M199" s="6">
        <f t="shared" si="49"/>
        <v>2.8587962951860391E-3</v>
      </c>
      <c r="N199" s="7"/>
      <c r="O199" s="7"/>
      <c r="P199" s="7">
        <f>24*60*SUM($M199:$M199)</f>
        <v>4.1166666650678962</v>
      </c>
      <c r="Q199" s="25"/>
      <c r="R199" s="25" t="s">
        <v>778</v>
      </c>
      <c r="S199" s="37">
        <f t="shared" si="64"/>
        <v>1</v>
      </c>
      <c r="T199" s="52" t="str">
        <f t="shared" si="50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17:19:20-0600',mode:absolute,to:'2016-09-16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9" s="54" t="str">
        <f t="shared" si="52"/>
        <v>Y</v>
      </c>
      <c r="X199" s="168">
        <f t="shared" si="66"/>
        <v>1</v>
      </c>
      <c r="Y199" s="69">
        <f t="shared" si="53"/>
        <v>0.10349999999999999</v>
      </c>
      <c r="Z199" s="69">
        <f t="shared" si="54"/>
        <v>1.1629</v>
      </c>
      <c r="AA199" s="69">
        <f t="shared" si="55"/>
        <v>1.0594000000000001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56"/>
        <v>0837-16</v>
      </c>
      <c r="AE19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9" s="96" t="str">
        <f t="shared" si="58"/>
        <v>"C:\Program Files (x86)\AstroGrep\AstroGrep.exe" /spath="%USERPROFILE%\AppData\Local\Temp\OnboardLogs" /stypes="app*4014*20160917*" /stext=" 00:.+((SYSTEM_STATE.+slice.+state.+changed )|(ment ac)|(system.+state.+changed )|(\|lc)|(penalty)|(\[timeout)|(PRM\|1\|D)|(kpr)|(kdp))" /e /r /s</v>
      </c>
      <c r="AG199" s="1" t="str">
        <f t="shared" si="59"/>
        <v>NW</v>
      </c>
      <c r="AH199" s="100" t="str">
        <f t="shared" si="46"/>
        <v>"%USERPROFILE%\Documents\GitHub\eaglep3\Utilities\RefineRTDCRunTimes.py" --tripid 837-16 --locoid 4014 --swversion DE.1.0.7.0 --startMP 204:1035 --initTime 2016-09-16T18:19:20 --startdatetime 2016-09-16T18:22:20 --delay 1 --endMP 300:11629 --enddatetime 2016-09-16T18:26:27 --enforcementcount 0 &gt;&gt;C:\Users\stu\Documents\GitHub\eaglep3-reporting\EC\2016-09-16-refined-times.txt</v>
      </c>
      <c r="AI199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STOP","project_id":79,"tracker_id":40,"status_id":1,"priority_id":2,"assigned_to_id":23,"start_date":"2016-09-16","description":"","custom_fields":[{"id":1,"name":"Subdivision","value":"NW"},{"id":4,"name":"Milepost","value":"1.1629"},{"id":17,"name":"Train ID","value":"837-16"},{"id":16,"name":"Locomotive ID","value":"4014"},{"id":130,"name":"Impact","value":""},{"id":150,"name":"Time of Event (Mountain Time)","value":"18:26:27"},{"id":151,"name":"Denver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569</v>
      </c>
      <c r="B200" s="7">
        <v>4013</v>
      </c>
      <c r="C200" s="24" t="s">
        <v>107</v>
      </c>
      <c r="D200" s="24" t="s">
        <v>364</v>
      </c>
      <c r="E200" s="15">
        <v>42629.77783564815</v>
      </c>
      <c r="F200" s="15">
        <v>42629.778993055559</v>
      </c>
      <c r="G200" s="7">
        <v>1</v>
      </c>
      <c r="H200" s="15" t="s">
        <v>759</v>
      </c>
      <c r="I200" s="15">
        <v>42629.790798611109</v>
      </c>
      <c r="J200" s="7">
        <v>0</v>
      </c>
      <c r="K200" s="121" t="str">
        <f t="shared" si="48"/>
        <v>4013/4014</v>
      </c>
      <c r="L200" s="24" t="str">
        <f>VLOOKUP(A200,'Trips&amp;Operators'!$C$1:$E$10000,3,FALSE)</f>
        <v>HELVIE</v>
      </c>
      <c r="M200" s="6">
        <f t="shared" si="49"/>
        <v>1.1805555550381541E-2</v>
      </c>
      <c r="N200" s="7">
        <f t="shared" ref="N200:N224" si="67">24*60*SUM($M200:$M200)</f>
        <v>16.999999992549419</v>
      </c>
      <c r="O200" s="7"/>
      <c r="P200" s="7"/>
      <c r="Q200" s="25"/>
      <c r="R200" s="25"/>
      <c r="S200" s="37">
        <f t="shared" si="64"/>
        <v>1</v>
      </c>
      <c r="T200" s="52" t="str">
        <f t="shared" si="50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17:40:05-0600',mode:absolute,to:'2016-09-16 19:58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0" s="54" t="str">
        <f t="shared" si="52"/>
        <v>N</v>
      </c>
      <c r="X200" s="168">
        <f t="shared" si="66"/>
        <v>1</v>
      </c>
      <c r="Y200" s="69">
        <f t="shared" si="53"/>
        <v>5.8635999999999999</v>
      </c>
      <c r="Z200" s="69">
        <f t="shared" si="54"/>
        <v>7.6600000000000001E-2</v>
      </c>
      <c r="AA200" s="69">
        <f t="shared" si="55"/>
        <v>5.7869999999999999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56"/>
        <v>0838-16</v>
      </c>
      <c r="AE20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0" s="96" t="str">
        <f t="shared" si="58"/>
        <v>"C:\Program Files (x86)\AstroGrep\AstroGrep.exe" /spath="%USERPROFILE%\AppData\Local\Temp\OnboardLogs" /stypes="app*4013*20160917*" /stext=" 00:.+((SYSTEM_STATE.+slice.+state.+changed )|(ment ac)|(system.+state.+changed )|(\|lc)|(penalty)|(\[timeout)|(PRM\|1\|D)|(kpr)|(kdp))" /e /r /s</v>
      </c>
      <c r="AG200" s="1" t="str">
        <f t="shared" si="59"/>
        <v>NW</v>
      </c>
      <c r="AH200" s="100" t="str">
        <f t="shared" si="46"/>
        <v>"%USERPROFILE%\Documents\GitHub\eaglep3\Utilities\RefineRTDCRunTimes.py" --tripid 838-16 --locoid 4013 --swversion DE.1.0.7.0 --startMP 300:58636 --initTime 2016-09-16T18:40:05 --startdatetime 2016-09-16T18:41:45 --delay 1 --endMP 204:766 --enddatetime 2016-09-16T18:58:45 --enforcementcount 0 &gt;&gt;C:\Users\stu\Documents\GitHub\eaglep3-reporting\EC\2016-09-16-refined-times.txt</v>
      </c>
      <c r="AI20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{"issue":{"subject":"","project_id":79,"tracker_id":40,"status_id":1,"priority_id":2,"assigned_to_id":23,"start_date":"2016-09-16","description":"","custom_fields":[{"id":1,"name":"Subdivision","value":"NW"},{"id":4,"name":"Milepost","value":"0.0766"},{"id":17,"name":"Train ID","value":"838-16"},{"id":16,"name":"Locomotive ID","value":"4013"},{"id":130,"name":"Impact","value":""},{"id":150,"name":"Time of Event (Mountain Time)","value":"18:58:45"},{"id":151,"name":"Denver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566</v>
      </c>
      <c r="B201" s="7">
        <v>4031</v>
      </c>
      <c r="C201" s="24" t="s">
        <v>107</v>
      </c>
      <c r="D201" s="24" t="s">
        <v>760</v>
      </c>
      <c r="E201" s="15">
        <v>42629.770949074074</v>
      </c>
      <c r="F201" s="15">
        <v>25568.958333333332</v>
      </c>
      <c r="G201" s="7">
        <v>1</v>
      </c>
      <c r="H201" s="15" t="s">
        <v>761</v>
      </c>
      <c r="I201" s="15">
        <v>25568.958333333332</v>
      </c>
      <c r="J201" s="7">
        <v>0</v>
      </c>
      <c r="K201" s="121" t="str">
        <f t="shared" si="48"/>
        <v>4031/4032</v>
      </c>
      <c r="L201" s="24" t="str">
        <f>VLOOKUP(A201,'Trips&amp;Operators'!$C$1:$E$10000,3,FALSE)</f>
        <v>NEWELL</v>
      </c>
      <c r="M201" s="6">
        <f t="shared" si="49"/>
        <v>0</v>
      </c>
      <c r="N201" s="7">
        <f t="shared" si="67"/>
        <v>0</v>
      </c>
      <c r="O201" s="7"/>
      <c r="P201" s="7"/>
      <c r="Q201" s="25"/>
      <c r="R201" s="25"/>
      <c r="S201" s="37">
        <f t="shared" si="64"/>
        <v>1</v>
      </c>
      <c r="T201" s="52" t="str">
        <f t="shared" si="50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17:30:10-0600',mode:absolute,to:'1970-01-01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1" s="54" t="str">
        <f t="shared" si="52"/>
        <v>N</v>
      </c>
      <c r="X201" s="168">
        <f t="shared" si="66"/>
        <v>1</v>
      </c>
      <c r="Y201" s="69">
        <f t="shared" si="53"/>
        <v>9.3200000000000005E-2</v>
      </c>
      <c r="Z201" s="69">
        <f t="shared" si="54"/>
        <v>5.8083999999999998</v>
      </c>
      <c r="AA201" s="69">
        <f t="shared" si="55"/>
        <v>5.7151999999999994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56"/>
        <v>0839-16</v>
      </c>
      <c r="AE201" s="99" t="str">
        <f t="shared" si="57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01" s="96" t="str">
        <f t="shared" si="58"/>
        <v>"C:\Program Files (x86)\AstroGrep\AstroGrep.exe" /spath="%USERPROFILE%\AppData\Local\Temp\OnboardLogs" /stypes="app*4031*19700101*" /stext=" 05:.+((SYSTEM_STATE.+slice.+state.+changed )|(ment ac)|(system.+state.+changed )|(\|lc)|(penalty)|(\[timeout)|(PRM\|1\|D)|(kpr)|(kdp))" /e /r /s</v>
      </c>
      <c r="AG201" s="1" t="str">
        <f t="shared" si="59"/>
        <v>NW</v>
      </c>
      <c r="AH201" s="100" t="str">
        <f t="shared" si="46"/>
        <v>"%USERPROFILE%\Documents\GitHub\eaglep3\Utilities\RefineRTDCRunTimes.py" --tripid 839-16 --locoid 4031 --swversion DE.1.0.7.0 --startMP 204:932 --initTime 2016-09-16T18:30:10 --startdatetime 1969-12-31T23:00:00 --delay 1 --endMP 300:58084 --enddatetime 1969-12-31T23:00:00 --enforcementcount 0 &gt;&gt;C:\Users\stu\Documents\GitHub\eaglep3-reporting\EC\2016-09-16-refined-times.txt</v>
      </c>
      <c r="AI201" s="134" t="str">
        <f t="shared" si="47"/>
        <v>echo {"issue":{"subject":"","project_id":79,"tracker_id":40,"status_id":1,"priority_id":2,"assigned_to_id":23,"start_date":"1969-12-31","description":"","custom_fields":[{"id":1,"name":"Subdivision","value":"NW"},{"id":4,"name":"Milepost","value":"5.8084"},{"id":17,"name":"Train ID","value":"839-16"},{"id":16,"name":"Locomotive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578</v>
      </c>
      <c r="B202" s="7">
        <v>4013</v>
      </c>
      <c r="C202" s="24" t="s">
        <v>107</v>
      </c>
      <c r="D202" s="24" t="s">
        <v>762</v>
      </c>
      <c r="E202" s="15">
        <v>42629.818333333336</v>
      </c>
      <c r="F202" s="15">
        <v>42629.820509259262</v>
      </c>
      <c r="G202" s="7">
        <v>1</v>
      </c>
      <c r="H202" s="15" t="s">
        <v>318</v>
      </c>
      <c r="I202" s="15">
        <v>42629.831909722219</v>
      </c>
      <c r="J202" s="7">
        <v>0</v>
      </c>
      <c r="K202" s="121" t="str">
        <f t="shared" si="48"/>
        <v>4013/4014</v>
      </c>
      <c r="L202" s="24" t="str">
        <f>VLOOKUP(A202,'Trips&amp;Operators'!$C$1:$E$10000,3,FALSE)</f>
        <v>HELVIE</v>
      </c>
      <c r="M202" s="6">
        <f t="shared" si="49"/>
        <v>1.1400462957681157E-2</v>
      </c>
      <c r="N202" s="7">
        <f t="shared" si="67"/>
        <v>16.416666659060866</v>
      </c>
      <c r="O202" s="7"/>
      <c r="P202" s="7"/>
      <c r="Q202" s="25"/>
      <c r="R202" s="25"/>
      <c r="S202" s="37">
        <f t="shared" si="64"/>
        <v>1</v>
      </c>
      <c r="T202" s="52" t="str">
        <f t="shared" si="50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18:38:24-0600',mode:absolute,to:'2016-09-16 20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2" s="54" t="str">
        <f t="shared" si="52"/>
        <v>N</v>
      </c>
      <c r="X202" s="168">
        <f t="shared" si="66"/>
        <v>1</v>
      </c>
      <c r="Y202" s="69">
        <f t="shared" si="53"/>
        <v>5.8611000000000004</v>
      </c>
      <c r="Z202" s="69">
        <f t="shared" si="54"/>
        <v>6.8500000000000005E-2</v>
      </c>
      <c r="AA202" s="69">
        <f t="shared" si="55"/>
        <v>5.7926000000000002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56"/>
        <v>0840-16</v>
      </c>
      <c r="AE20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2" s="96" t="str">
        <f t="shared" si="58"/>
        <v>"C:\Program Files (x86)\AstroGrep\AstroGrep.exe" /spath="%USERPROFILE%\AppData\Local\Temp\OnboardLogs" /stypes="app*4013*20160917*" /stext=" 01:.+((SYSTEM_STATE.+slice.+state.+changed )|(ment ac)|(system.+state.+changed )|(\|lc)|(penalty)|(\[timeout)|(PRM\|1\|D)|(kpr)|(kdp))" /e /r /s</v>
      </c>
      <c r="AG202" s="1" t="str">
        <f t="shared" si="59"/>
        <v>NW</v>
      </c>
      <c r="AH202" s="100" t="str">
        <f t="shared" si="46"/>
        <v>"%USERPROFILE%\Documents\GitHub\eaglep3\Utilities\RefineRTDCRunTimes.py" --tripid 840-16 --locoid 4013 --swversion DE.1.0.7.0 --startMP 300:58611 --initTime 2016-09-16T19:38:24 --startdatetime 2016-09-16T19:41:32 --delay 1 --endMP 204:685 --enddatetime 2016-09-16T19:57:57 --enforcementcount 0 &gt;&gt;C:\Users\stu\Documents\GitHub\eaglep3-reporting\EC\2016-09-16-refined-times.txt</v>
      </c>
      <c r="AI20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{"issue":{"subject":"","project_id":79,"tracker_id":40,"status_id":1,"priority_id":2,"assigned_to_id":23,"start_date":"2016-09-16","description":"","custom_fields":[{"id":1,"name":"Subdivision","value":"NW"},{"id":4,"name":"Milepost","value":"0.0685"},{"id":17,"name":"Train ID","value":"840-16"},{"id":16,"name":"Locomotive ID","value":"4013"},{"id":130,"name":"Impact","value":""},{"id":150,"name":"Time of Event (Mountain Time)","value":"19:57:57"},{"id":151,"name":"Denver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573</v>
      </c>
      <c r="B203" s="7">
        <v>4014</v>
      </c>
      <c r="C203" s="24" t="s">
        <v>107</v>
      </c>
      <c r="D203" s="24" t="s">
        <v>763</v>
      </c>
      <c r="E203" s="15">
        <v>42629.797118055554</v>
      </c>
      <c r="F203" s="15">
        <v>42629.806458333333</v>
      </c>
      <c r="G203" s="7">
        <v>5</v>
      </c>
      <c r="H203" s="15" t="s">
        <v>369</v>
      </c>
      <c r="I203" s="15">
        <v>42629.817129629628</v>
      </c>
      <c r="J203" s="7">
        <v>0</v>
      </c>
      <c r="K203" s="121" t="str">
        <f t="shared" si="48"/>
        <v>4013/4014</v>
      </c>
      <c r="L203" s="24" t="str">
        <f>VLOOKUP(A203,'Trips&amp;Operators'!$C$1:$E$10000,3,FALSE)</f>
        <v>HELVIE</v>
      </c>
      <c r="M203" s="6">
        <f t="shared" si="49"/>
        <v>1.0671296295186039E-2</v>
      </c>
      <c r="N203" s="7">
        <f t="shared" si="67"/>
        <v>15.366666665067896</v>
      </c>
      <c r="O203" s="7"/>
      <c r="P203" s="7"/>
      <c r="Q203" s="25"/>
      <c r="R203" s="25"/>
      <c r="S203" s="37">
        <f t="shared" si="64"/>
        <v>1</v>
      </c>
      <c r="T203" s="52" t="str">
        <f t="shared" si="50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18:07:51-0600',mode:absolute,to:'2016-09-16 20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52"/>
        <v>N</v>
      </c>
      <c r="X203" s="168">
        <f t="shared" si="66"/>
        <v>1</v>
      </c>
      <c r="Y203" s="69">
        <f t="shared" si="53"/>
        <v>0.1041</v>
      </c>
      <c r="Z203" s="69">
        <f t="shared" si="54"/>
        <v>5.8925999999999998</v>
      </c>
      <c r="AA203" s="69">
        <f t="shared" si="55"/>
        <v>5.7885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56"/>
        <v>0841-16</v>
      </c>
      <c r="AE20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3" s="96" t="str">
        <f t="shared" si="58"/>
        <v>"C:\Program Files (x86)\AstroGrep\AstroGrep.exe" /spath="%USERPROFILE%\AppData\Local\Temp\OnboardLogs" /stypes="app*4014*20160917*" /stext=" 01:.+((SYSTEM_STATE.+slice.+state.+changed )|(ment ac)|(system.+state.+changed )|(\|lc)|(penalty)|(\[timeout)|(PRM\|1\|D)|(kpr)|(kdp))" /e /r /s</v>
      </c>
      <c r="AG203" s="1" t="str">
        <f t="shared" si="59"/>
        <v>NW</v>
      </c>
      <c r="AH203" s="100" t="str">
        <f t="shared" ref="AH203:AH224" si="6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841-16 --locoid 4014 --swversion DE.1.0.7.0 --startMP 204:1041 --initTime 2016-09-16T19:07:51 --startdatetime 2016-09-16T19:21:18 --delay 5 --endMP 300:58926 --enddatetime 2016-09-16T19:36:40 --enforcementcount 0 &gt;&gt;C:\Users\stu\Documents\GitHub\eaglep3-reporting\EC\2016-09-16-refined-times.txt</v>
      </c>
      <c r="AI203" s="134" t="str">
        <f t="shared" ref="AI203:AI224" si="6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ID","value":"841-16"},{"id":16,"name":"Locomotive ID","value":"4014"},{"id":130,"name":"Impact","value":""},{"id":150,"name":"Time of Event (Mountain Time)","value":"19:36:40"},{"id":151,"name":"Denver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585</v>
      </c>
      <c r="B204" s="7">
        <v>4013</v>
      </c>
      <c r="C204" s="24" t="s">
        <v>107</v>
      </c>
      <c r="D204" s="24" t="s">
        <v>373</v>
      </c>
      <c r="E204" s="15">
        <v>42629.859884259262</v>
      </c>
      <c r="F204" s="15">
        <v>42629.861331018517</v>
      </c>
      <c r="G204" s="7">
        <v>1</v>
      </c>
      <c r="H204" s="15" t="s">
        <v>764</v>
      </c>
      <c r="I204" s="15">
        <v>42629.872106481482</v>
      </c>
      <c r="J204" s="7">
        <v>0</v>
      </c>
      <c r="K204" s="121" t="str">
        <f t="shared" si="48"/>
        <v>4013/4014</v>
      </c>
      <c r="L204" s="24" t="str">
        <f>VLOOKUP(A204,'Trips&amp;Operators'!$C$1:$E$10000,3,FALSE)</f>
        <v>HELVIE</v>
      </c>
      <c r="M204" s="6">
        <f t="shared" si="49"/>
        <v>1.0775462964375038E-2</v>
      </c>
      <c r="N204" s="7">
        <f t="shared" si="67"/>
        <v>15.516666668700054</v>
      </c>
      <c r="O204" s="7"/>
      <c r="P204" s="7"/>
      <c r="Q204" s="25"/>
      <c r="R204" s="25"/>
      <c r="S204" s="37">
        <f t="shared" si="64"/>
        <v>1</v>
      </c>
      <c r="T204" s="52" t="str">
        <f t="shared" si="50"/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19:38:14-0600',mode:absolute,to:'2016-09-16 21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4" s="54" t="str">
        <f t="shared" si="52"/>
        <v>N</v>
      </c>
      <c r="X204" s="168">
        <f t="shared" si="66"/>
        <v>1</v>
      </c>
      <c r="Y204" s="69">
        <f t="shared" si="53"/>
        <v>5.8605999999999998</v>
      </c>
      <c r="Z204" s="69">
        <f t="shared" si="54"/>
        <v>7.0499999999999993E-2</v>
      </c>
      <c r="AA204" s="69">
        <f t="shared" si="55"/>
        <v>5.7900999999999998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56"/>
        <v>0842-16</v>
      </c>
      <c r="AE20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4" s="96" t="str">
        <f t="shared" si="58"/>
        <v>"C:\Program Files (x86)\AstroGrep\AstroGrep.exe" /spath="%USERPROFILE%\AppData\Local\Temp\OnboardLogs" /stypes="app*4013*20160917*" /stext=" 02:.+((SYSTEM_STATE.+slice.+state.+changed )|(ment ac)|(system.+state.+changed )|(\|lc)|(penalty)|(\[timeout)|(PRM\|1\|D)|(kpr)|(kdp))" /e /r /s</v>
      </c>
      <c r="AG204" s="1" t="str">
        <f t="shared" si="59"/>
        <v>NW</v>
      </c>
      <c r="AH204" s="100" t="str">
        <f t="shared" si="68"/>
        <v>"%USERPROFILE%\Documents\GitHub\eaglep3\Utilities\RefineRTDCRunTimes.py" --tripid 842-16 --locoid 4013 --swversion DE.1.0.7.0 --startMP 300:58606 --initTime 2016-09-16T20:38:14 --startdatetime 2016-09-16T20:40:19 --delay 1 --endMP 204:705 --enddatetime 2016-09-16T20:55:50 --enforcementcount 0 &gt;&gt;C:\Users\stu\Documents\GitHub\eaglep3-reporting\EC\2016-09-16-refined-times.txt</v>
      </c>
      <c r="AI204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{"issue":{"subject":"","project_id":79,"tracker_id":40,"status_id":1,"priority_id":2,"assigned_to_id":23,"start_date":"2016-09-16","description":"","custom_fields":[{"id":1,"name":"Subdivision","value":"NW"},{"id":4,"name":"Milepost","value":"0.0705"},{"id":17,"name":"Train ID","value":"842-16"},{"id":16,"name":"Locomotive ID","value":"4013"},{"id":130,"name":"Impact","value":""},{"id":150,"name":"Time of Event (Mountain Time)","value":"20:55:50"},{"id":151,"name":"Denver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s="23" customFormat="1" x14ac:dyDescent="0.25">
      <c r="A205" s="39" t="s">
        <v>582</v>
      </c>
      <c r="B205" s="7">
        <v>4014</v>
      </c>
      <c r="C205" s="24" t="s">
        <v>107</v>
      </c>
      <c r="D205" s="24" t="s">
        <v>765</v>
      </c>
      <c r="E205" s="15">
        <v>42629.836481481485</v>
      </c>
      <c r="F205" s="15">
        <v>42629.848182870373</v>
      </c>
      <c r="G205" s="7">
        <v>2</v>
      </c>
      <c r="H205" s="15" t="s">
        <v>369</v>
      </c>
      <c r="I205" s="15">
        <v>42629.858831018515</v>
      </c>
      <c r="J205" s="7">
        <v>0</v>
      </c>
      <c r="K205" s="121" t="str">
        <f t="shared" ref="K205:K224" si="70">IF(ISEVEN(B205),(B205-1)&amp;"/"&amp;B205,B205&amp;"/"&amp;(B205+1))</f>
        <v>4013/4014</v>
      </c>
      <c r="L205" s="24" t="str">
        <f>VLOOKUP(A205,'Trips&amp;Operators'!$C$1:$E$10000,3,FALSE)</f>
        <v>HELVIE</v>
      </c>
      <c r="M205" s="6">
        <f t="shared" ref="M205:M224" si="71">I205-F205</f>
        <v>1.0648148141626734E-2</v>
      </c>
      <c r="N205" s="7">
        <f t="shared" si="67"/>
        <v>15.333333323942497</v>
      </c>
      <c r="O205" s="7"/>
      <c r="P205" s="7"/>
      <c r="Q205" s="25"/>
      <c r="R205" s="25"/>
      <c r="S205" s="37">
        <f t="shared" si="64"/>
        <v>1</v>
      </c>
      <c r="T205" s="52" t="str">
        <f t="shared" ref="T205:T224" si="72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4" si="73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https://search-rtdc-monitor-bjffxe2xuh6vdkpspy63sjmuny.us-east-1.es.amazonaws.com/_plugin/kibana/#/discover/Steve-Slow-Train-Analysis-(2080s-and-2083s)?_g=(refreshInterval:(display:Off,section:0,value:0),time:(from:'2016-09-16 19:04:32-0600',mode:absolute,to:'2016-09-16 21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5" s="54" t="str">
        <f t="shared" ref="W205:W224" si="74">IF(AA205&lt;IF(AG205="EC",23,5.65),"Y","N")</f>
        <v>N</v>
      </c>
      <c r="X205" s="168">
        <f t="shared" ref="X205:X208" si="75">VALUE(LEFT(AD205,4))-VALUE(LEFT(AD204,4))</f>
        <v>1</v>
      </c>
      <c r="Y205" s="69">
        <f t="shared" ref="Y205:Y224" si="76">RIGHT(D205,LEN(D205)-4)/10000</f>
        <v>9.64E-2</v>
      </c>
      <c r="Z205" s="69">
        <f t="shared" ref="Z205:Z224" si="77">RIGHT(H205,LEN(H205)-4)/10000</f>
        <v>5.8925999999999998</v>
      </c>
      <c r="AA205" s="69">
        <f t="shared" ref="AA205:AA224" si="78">ABS(Z205-Y205)</f>
        <v>5.7961999999999998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4" si="79">IF(LEN(A205)=6,"0"&amp;A205,A205)</f>
        <v>0843-16</v>
      </c>
      <c r="AE205" s="99" t="str">
        <f t="shared" ref="AE205:AE224" si="80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5" s="96" t="str">
        <f t="shared" ref="AF205:AF224" si="8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/stypes="app*4014*20160917*" /stext=" 02:.+((SYSTEM_STATE.+slice.+state.+changed )|(ment ac)|(system.+state.+changed )|(\|lc)|(penalty)|(\[timeout)|(PRM\|1\|D)|(kpr)|(kdp))" /e /r /s</v>
      </c>
      <c r="AG205" s="1" t="str">
        <f t="shared" ref="AG205:AG224" si="82">IFERROR(IF(VALUE(LEFT(AD205,2))&lt;=2,"EC",IF(OR(VALUE(LEFT(AD205,2))=8,VALUE(LEFT(AD205,2))=18),"NW","Other")),"Other")</f>
        <v>NW</v>
      </c>
      <c r="AH205" s="100" t="str">
        <f t="shared" si="68"/>
        <v>"%USERPROFILE%\Documents\GitHub\eaglep3\Utilities\RefineRTDCRunTimes.py" --tripid 843-16 --locoid 4014 --swversion DE.1.0.7.0 --startMP 204:964 --initTime 2016-09-16T20:04:32 --startdatetime 2016-09-16T20:21:23 --delay 2 --endMP 300:58926 --enddatetime 2016-09-16T20:36:43 --enforcementcount 0 &gt;&gt;C:\Users\stu\Documents\GitHub\eaglep3-reporting\EC\2016-09-16-refined-times.txt</v>
      </c>
      <c r="AI205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ID","value":"843-16"},{"id":16,"name":"Locomotive ID","value":"4014"},{"id":130,"name":"Impact","value":""},{"id":150,"name":"Time of Event (Mountain Time)","value":"20:36:43"},{"id":151,"name":"Denver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591</v>
      </c>
      <c r="B206" s="7">
        <v>4013</v>
      </c>
      <c r="C206" s="24" t="s">
        <v>107</v>
      </c>
      <c r="D206" s="24" t="s">
        <v>766</v>
      </c>
      <c r="E206" s="15">
        <v>42629.90730324074</v>
      </c>
      <c r="F206" s="15">
        <v>42629.908715277779</v>
      </c>
      <c r="G206" s="7">
        <v>1</v>
      </c>
      <c r="H206" s="15" t="s">
        <v>767</v>
      </c>
      <c r="I206" s="15">
        <v>42629.918981481482</v>
      </c>
      <c r="J206" s="7">
        <v>0</v>
      </c>
      <c r="K206" s="121" t="str">
        <f t="shared" si="70"/>
        <v>4013/4014</v>
      </c>
      <c r="L206" s="24" t="str">
        <f>VLOOKUP(A206,'Trips&amp;Operators'!$C$1:$E$10000,3,FALSE)</f>
        <v>NEWELL</v>
      </c>
      <c r="M206" s="6">
        <f t="shared" si="71"/>
        <v>1.0266203702485655E-2</v>
      </c>
      <c r="N206" s="7">
        <f t="shared" si="67"/>
        <v>14.783333331579342</v>
      </c>
      <c r="O206" s="7"/>
      <c r="P206" s="7"/>
      <c r="Q206" s="25"/>
      <c r="R206" s="25"/>
      <c r="S206" s="37">
        <f t="shared" si="64"/>
        <v>1</v>
      </c>
      <c r="T206" s="52" t="str">
        <f t="shared" si="72"/>
        <v>Southbound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20:46:31-0600',mode:absolute,to:'2016-09-16 23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6" s="54" t="str">
        <f t="shared" si="74"/>
        <v>N</v>
      </c>
      <c r="X206" s="168">
        <f t="shared" si="75"/>
        <v>1</v>
      </c>
      <c r="Y206" s="69">
        <f t="shared" si="76"/>
        <v>5.7317999999999998</v>
      </c>
      <c r="Z206" s="69">
        <f t="shared" si="77"/>
        <v>6.3500000000000001E-2</v>
      </c>
      <c r="AA206" s="69">
        <f t="shared" si="78"/>
        <v>5.6682999999999995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79"/>
        <v>0844-16</v>
      </c>
      <c r="AE206" s="99" t="str">
        <f t="shared" si="80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6" s="96" t="str">
        <f t="shared" si="81"/>
        <v>"C:\Program Files (x86)\AstroGrep\AstroGrep.exe" /spath="%USERPROFILE%\AppData\Local\Temp\OnboardLogs" /stypes="app*4013*20160917*" /stext=" 04:.+((SYSTEM_STATE.+slice.+state.+changed )|(ment ac)|(system.+state.+changed )|(\|lc)|(penalty)|(\[timeout)|(PRM\|1\|D)|(kpr)|(kdp))" /e /r /s</v>
      </c>
      <c r="AG206" s="1" t="str">
        <f t="shared" si="82"/>
        <v>NW</v>
      </c>
      <c r="AH206" s="100" t="str">
        <f t="shared" si="68"/>
        <v>"%USERPROFILE%\Documents\GitHub\eaglep3\Utilities\RefineRTDCRunTimes.py" --tripid 844-16 --locoid 4013 --swversion DE.1.0.7.0 --startMP 300:57318 --initTime 2016-09-16T21:46:31 --startdatetime 2016-09-16T21:48:33 --delay 1 --endMP 204:635 --enddatetime 2016-09-16T22:03:20 --enforcementcount 0 &gt;&gt;C:\Users\stu\Documents\GitHub\eaglep3-reporting\EC\2016-09-16-refined-times.txt</v>
      </c>
      <c r="AI206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{"issue":{"subject":"","project_id":79,"tracker_id":40,"status_id":1,"priority_id":2,"assigned_to_id":23,"start_date":"2016-09-16","description":"","custom_fields":[{"id":1,"name":"Subdivision","value":"NW"},{"id":4,"name":"Milepost","value":"0.0635"},{"id":17,"name":"Train ID","value":"844-16"},{"id":16,"name":"Locomotive ID","value":"4013"},{"id":130,"name":"Impact","value":""},{"id":150,"name":"Time of Event (Mountain Time)","value":"22:03:20"},{"id":151,"name":"Denver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588</v>
      </c>
      <c r="B207" s="7">
        <v>4014</v>
      </c>
      <c r="C207" s="24" t="s">
        <v>107</v>
      </c>
      <c r="D207" s="24" t="s">
        <v>768</v>
      </c>
      <c r="E207" s="15">
        <v>42629.876875000002</v>
      </c>
      <c r="F207" s="15">
        <v>42629.889849537038</v>
      </c>
      <c r="G207" s="7">
        <v>1</v>
      </c>
      <c r="H207" s="15" t="s">
        <v>372</v>
      </c>
      <c r="I207" s="15">
        <v>42629.899386574078</v>
      </c>
      <c r="J207" s="7">
        <v>0</v>
      </c>
      <c r="K207" s="121" t="str">
        <f t="shared" si="70"/>
        <v>4013/4014</v>
      </c>
      <c r="L207" s="24" t="str">
        <f>VLOOKUP(A207,'Trips&amp;Operators'!$C$1:$E$10000,3,FALSE)</f>
        <v>NEWELL</v>
      </c>
      <c r="M207" s="6">
        <f t="shared" si="71"/>
        <v>9.5370370399905369E-3</v>
      </c>
      <c r="N207" s="7">
        <f t="shared" si="67"/>
        <v>13.733333337586373</v>
      </c>
      <c r="O207" s="7"/>
      <c r="P207" s="7"/>
      <c r="Q207" s="25"/>
      <c r="R207" s="25"/>
      <c r="S207" s="37">
        <f t="shared" si="64"/>
        <v>1</v>
      </c>
      <c r="T207" s="52" t="str">
        <f t="shared" si="72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20:02:42-0600',mode:absolute,to:'2016-09-16 22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7" s="54" t="str">
        <f t="shared" si="74"/>
        <v>N</v>
      </c>
      <c r="X207" s="168">
        <f t="shared" si="75"/>
        <v>1</v>
      </c>
      <c r="Y207" s="69">
        <f t="shared" si="76"/>
        <v>9.9500000000000005E-2</v>
      </c>
      <c r="Z207" s="69">
        <f t="shared" si="77"/>
        <v>5.8924000000000003</v>
      </c>
      <c r="AA207" s="69">
        <f t="shared" si="78"/>
        <v>5.7929000000000004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79"/>
        <v>0845-16</v>
      </c>
      <c r="AE207" s="99" t="str">
        <f t="shared" si="80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7" s="96" t="str">
        <f t="shared" si="81"/>
        <v>"C:\Program Files (x86)\AstroGrep\AstroGrep.exe" /spath="%USERPROFILE%\AppData\Local\Temp\OnboardLogs" /stypes="app*4014*20160917*" /stext=" 03:.+((SYSTEM_STATE.+slice.+state.+changed )|(ment ac)|(system.+state.+changed )|(\|lc)|(penalty)|(\[timeout)|(PRM\|1\|D)|(kpr)|(kdp))" /e /r /s</v>
      </c>
      <c r="AG207" s="1" t="str">
        <f t="shared" si="82"/>
        <v>NW</v>
      </c>
      <c r="AH207" s="100" t="str">
        <f t="shared" si="68"/>
        <v>"%USERPROFILE%\Documents\GitHub\eaglep3\Utilities\RefineRTDCRunTimes.py" --tripid 845-16 --locoid 4014 --swversion DE.1.0.7.0 --startMP 204:995 --initTime 2016-09-16T21:02:42 --startdatetime 2016-09-16T21:21:23 --delay 1 --endMP 300:58924 --enddatetime 2016-09-16T21:35:07 --enforcementcount 0 &gt;&gt;C:\Users\stu\Documents\GitHub\eaglep3-reporting\EC\2016-09-16-refined-times.txt</v>
      </c>
      <c r="AI207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{"issue":{"subject":"","project_id":79,"tracker_id":40,"status_id":1,"priority_id":2,"assigned_to_id":23,"start_date":"2016-09-16","description":"","custom_fields":[{"id":1,"name":"Subdivision","value":"NW"},{"id":4,"name":"Milepost","value":"5.8924"},{"id":17,"name":"Train ID","value":"845-16"},{"id":16,"name":"Locomotive ID","value":"4014"},{"id":130,"name":"Impact","value":""},{"id":150,"name":"Time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594</v>
      </c>
      <c r="B208" s="7">
        <v>4014</v>
      </c>
      <c r="C208" s="24" t="s">
        <v>107</v>
      </c>
      <c r="D208" s="24" t="s">
        <v>760</v>
      </c>
      <c r="E208" s="15">
        <v>42629.920266203706</v>
      </c>
      <c r="F208" s="15">
        <v>42629.93178240741</v>
      </c>
      <c r="G208" s="7">
        <v>1</v>
      </c>
      <c r="H208" s="15" t="s">
        <v>729</v>
      </c>
      <c r="I208" s="15">
        <v>42629.941319444442</v>
      </c>
      <c r="J208" s="7">
        <v>0</v>
      </c>
      <c r="K208" s="121" t="str">
        <f t="shared" si="70"/>
        <v>4013/4014</v>
      </c>
      <c r="L208" s="24" t="str">
        <f>VLOOKUP(A208,'Trips&amp;Operators'!$C$1:$E$10000,3,FALSE)</f>
        <v>NEWELL</v>
      </c>
      <c r="M208" s="6">
        <f t="shared" si="71"/>
        <v>9.5370370327145793E-3</v>
      </c>
      <c r="N208" s="7">
        <f t="shared" si="67"/>
        <v>13.733333327108994</v>
      </c>
      <c r="O208" s="7"/>
      <c r="P208" s="7"/>
      <c r="Q208" s="25"/>
      <c r="R208" s="25"/>
      <c r="S208" s="37">
        <f t="shared" si="64"/>
        <v>1</v>
      </c>
      <c r="T208" s="52" t="str">
        <f t="shared" si="72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21:05:11-0600',mode:absolute,to:'2016-09-16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8" s="54" t="str">
        <f t="shared" si="74"/>
        <v>N</v>
      </c>
      <c r="X208" s="168">
        <f t="shared" si="75"/>
        <v>2</v>
      </c>
      <c r="Y208" s="69">
        <f t="shared" si="76"/>
        <v>9.3200000000000005E-2</v>
      </c>
      <c r="Z208" s="69">
        <f t="shared" si="77"/>
        <v>5.8875000000000002</v>
      </c>
      <c r="AA208" s="69">
        <f t="shared" si="78"/>
        <v>5.7942999999999998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79"/>
        <v>0847-16</v>
      </c>
      <c r="AE208" s="99" t="str">
        <f t="shared" si="80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8" s="96" t="str">
        <f t="shared" si="81"/>
        <v>"C:\Program Files (x86)\AstroGrep\AstroGrep.exe" /spath="%USERPROFILE%\AppData\Local\Temp\OnboardLogs" /stypes="app*4014*20160917*" /stext=" 04:.+((SYSTEM_STATE.+slice.+state.+changed )|(ment ac)|(system.+state.+changed )|(\|lc)|(penalty)|(\[timeout)|(PRM\|1\|D)|(kpr)|(kdp))" /e /r /s</v>
      </c>
      <c r="AG208" s="1" t="str">
        <f t="shared" si="82"/>
        <v>NW</v>
      </c>
      <c r="AH208" s="100" t="str">
        <f t="shared" si="68"/>
        <v>"%USERPROFILE%\Documents\GitHub\eaglep3\Utilities\RefineRTDCRunTimes.py" --tripid 847-16 --locoid 4014 --swversion DE.1.0.7.0 --startMP 204:932 --initTime 2016-09-16T22:05:11 --startdatetime 2016-09-16T22:21:46 --delay 1 --endMP 300:58875 --enddatetime 2016-09-16T22:35:30 --enforcementcount 0 &gt;&gt;C:\Users\stu\Documents\GitHub\eaglep3-reporting\EC\2016-09-16-refined-times.txt</v>
      </c>
      <c r="AI208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{"issue":{"subject":"","project_id":79,"tracker_id":40,"status_id":1,"priority_id":2,"assigned_to_id":23,"start_date":"2016-09-16","description":"","custom_fields":[{"id":1,"name":"Subdivision","value":"NW"},{"id":4,"name":"Milepost","value":"5.8875"},{"id":17,"name":"Train ID","value":"847-16"},{"id":16,"name":"Locomotive ID","value":"4014"},{"id":130,"name":"Impact","value":""},{"id":150,"name":"Time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568</v>
      </c>
      <c r="B209" s="7">
        <v>4018</v>
      </c>
      <c r="C209" s="24" t="s">
        <v>107</v>
      </c>
      <c r="D209" s="24" t="s">
        <v>694</v>
      </c>
      <c r="E209" s="15">
        <v>42629.777094907404</v>
      </c>
      <c r="F209" s="15">
        <v>25568.958333333332</v>
      </c>
      <c r="G209" s="7">
        <v>1</v>
      </c>
      <c r="H209" s="15" t="s">
        <v>695</v>
      </c>
      <c r="I209" s="15">
        <v>25568.958333333332</v>
      </c>
      <c r="J209" s="7">
        <v>0</v>
      </c>
      <c r="K209" s="121" t="str">
        <f t="shared" si="70"/>
        <v>4017/4018</v>
      </c>
      <c r="L209" s="24" t="str">
        <f>VLOOKUP(A209,'Trips&amp;Operators'!$C$1:$E$10000,3,FALSE)</f>
        <v>MOSES</v>
      </c>
      <c r="M209" s="6">
        <f t="shared" si="71"/>
        <v>0</v>
      </c>
      <c r="N209" s="7">
        <f t="shared" si="67"/>
        <v>0</v>
      </c>
      <c r="O209" s="7"/>
      <c r="P209" s="7"/>
      <c r="Q209" s="25"/>
      <c r="R209" s="25"/>
      <c r="S209" s="37">
        <f t="shared" si="64"/>
        <v>1</v>
      </c>
      <c r="T209" s="52" t="str">
        <f t="shared" si="72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17:39:01-0600',mode:absolute,to:'1970-01-01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9" s="54" t="str">
        <f t="shared" si="74"/>
        <v>Y</v>
      </c>
      <c r="X209" s="168">
        <f t="shared" ref="X209:X224" si="83">VALUE(LEFT(AD209,4))-VALUE(LEFT(AD208,4))</f>
        <v>-544</v>
      </c>
      <c r="Y209" s="69">
        <f t="shared" si="76"/>
        <v>4.9099999999999998E-2</v>
      </c>
      <c r="Z209" s="69">
        <f t="shared" si="77"/>
        <v>2.3311999999999999</v>
      </c>
      <c r="AA209" s="69">
        <f t="shared" si="78"/>
        <v>2.2820999999999998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79"/>
        <v>0303-16</v>
      </c>
      <c r="AE209" s="99" t="str">
        <f t="shared" si="80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209" s="96" t="str">
        <f t="shared" si="81"/>
        <v>"C:\Program Files (x86)\AstroGrep\AstroGrep.exe" /spath="%USERPROFILE%\AppData\Local\Temp\OnboardLogs" /stypes="app*4018*19700101*" /stext=" 05:.+((SYSTEM_STATE.+slice.+state.+changed )|(ment ac)|(system.+state.+changed )|(\|lc)|(penalty)|(\[timeout)|(PRM\|1\|D)|(kpr)|(kdp))" /e /r /s</v>
      </c>
      <c r="AG209" s="1" t="str">
        <f t="shared" si="82"/>
        <v>Other</v>
      </c>
      <c r="AH209" s="100" t="str">
        <f t="shared" si="68"/>
        <v>"%USERPROFILE%\Documents\GitHub\eaglep3\Utilities\RefineRTDCRunTimes.py" --tripid 303-16 --locoid 4018 --swversion DE.1.0.7.0 --startMP 204:491 --initTime 2016-09-16T18:39:01 --startdatetime 1969-12-31T23:00:00 --delay 1 --endMP 300:23312 --enddatetime 1969-12-31T23:00:00 --enforcementcount 0 &gt;&gt;C:\Users\stu\Documents\GitHub\eaglep3-reporting\EC\2016-09-16-refined-times.txt</v>
      </c>
      <c r="AI209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ID","value":"303-16"},{"id":16,"name":"Locomotive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575</v>
      </c>
      <c r="B210" s="7">
        <v>4020</v>
      </c>
      <c r="C210" s="24" t="s">
        <v>107</v>
      </c>
      <c r="D210" s="24" t="s">
        <v>275</v>
      </c>
      <c r="E210" s="15">
        <v>42629.799293981479</v>
      </c>
      <c r="F210" s="15">
        <v>25568.958333333332</v>
      </c>
      <c r="G210" s="7">
        <v>1</v>
      </c>
      <c r="H210" s="15" t="s">
        <v>696</v>
      </c>
      <c r="I210" s="15">
        <v>25568.958333333332</v>
      </c>
      <c r="J210" s="7">
        <v>0</v>
      </c>
      <c r="K210" s="121" t="str">
        <f t="shared" si="70"/>
        <v>4019/4020</v>
      </c>
      <c r="L210" s="24" t="str">
        <f>VLOOKUP(A210,'Trips&amp;Operators'!$C$1:$E$10000,3,FALSE)</f>
        <v>SWANSON</v>
      </c>
      <c r="M210" s="6">
        <f t="shared" si="71"/>
        <v>0</v>
      </c>
      <c r="N210" s="7">
        <f t="shared" si="67"/>
        <v>0</v>
      </c>
      <c r="O210" s="7"/>
      <c r="P210" s="7"/>
      <c r="Q210" s="25"/>
      <c r="R210" s="25"/>
      <c r="S210" s="37">
        <f t="shared" si="64"/>
        <v>1</v>
      </c>
      <c r="T210" s="52" t="str">
        <f t="shared" si="72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18:10:59-0600',mode:absolute,to:'1970-01-01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0" s="54" t="str">
        <f t="shared" si="74"/>
        <v>Y</v>
      </c>
      <c r="X210" s="168">
        <f t="shared" si="83"/>
        <v>2</v>
      </c>
      <c r="Y210" s="69">
        <f t="shared" si="76"/>
        <v>4.6199999999999998E-2</v>
      </c>
      <c r="Z210" s="69">
        <f t="shared" si="77"/>
        <v>2.3300999999999998</v>
      </c>
      <c r="AA210" s="69">
        <f t="shared" si="78"/>
        <v>2.2839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79"/>
        <v>0305-16</v>
      </c>
      <c r="AE210" s="99" t="str">
        <f t="shared" si="80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10" s="96" t="str">
        <f t="shared" si="81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210" s="1" t="str">
        <f t="shared" si="82"/>
        <v>Other</v>
      </c>
      <c r="AH210" s="100" t="str">
        <f t="shared" si="68"/>
        <v>"%USERPROFILE%\Documents\GitHub\eaglep3\Utilities\RefineRTDCRunTimes.py" --tripid 305-16 --locoid 4020 --swversion DE.1.0.7.0 --startMP 204:462 --initTime 2016-09-16T19:10:59 --startdatetime 1969-12-31T23:00:00 --delay 1 --endMP 300:23301 --enddatetime 1969-12-31T23:00:00 --enforcementcount 0 &gt;&gt;C:\Users\stu\Documents\GitHub\eaglep3-reporting\EC\2016-09-16-refined-times.txt</v>
      </c>
      <c r="AI210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ID","value":"305-16"},{"id":16,"name":"Locomotive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579</v>
      </c>
      <c r="B211" s="7">
        <v>4002</v>
      </c>
      <c r="C211" s="24" t="s">
        <v>107</v>
      </c>
      <c r="D211" s="24" t="s">
        <v>277</v>
      </c>
      <c r="E211" s="15">
        <v>42629.820752314816</v>
      </c>
      <c r="F211" s="15">
        <v>42629.822002314817</v>
      </c>
      <c r="G211" s="7">
        <v>1</v>
      </c>
      <c r="H211" s="15" t="s">
        <v>697</v>
      </c>
      <c r="I211" s="15">
        <v>42629.827453703707</v>
      </c>
      <c r="J211" s="7">
        <v>0</v>
      </c>
      <c r="K211" s="121" t="str">
        <f t="shared" si="70"/>
        <v>4001/4002</v>
      </c>
      <c r="L211" s="24" t="str">
        <f>VLOOKUP(A211,'Trips&amp;Operators'!$C$1:$E$10000,3,FALSE)</f>
        <v>HILLS</v>
      </c>
      <c r="M211" s="6">
        <f t="shared" si="71"/>
        <v>5.4513888899236917E-3</v>
      </c>
      <c r="N211" s="7">
        <f t="shared" si="67"/>
        <v>7.8500000014901161</v>
      </c>
      <c r="O211" s="7"/>
      <c r="P211" s="7"/>
      <c r="Q211" s="25"/>
      <c r="R211" s="25"/>
      <c r="S211" s="37">
        <f t="shared" si="64"/>
        <v>1</v>
      </c>
      <c r="T211" s="52" t="str">
        <f t="shared" si="72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18:41:53-0600',mode:absolute,to:'2016-09-16 20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1" s="54" t="str">
        <f t="shared" si="74"/>
        <v>Y</v>
      </c>
      <c r="X211" s="168">
        <f t="shared" si="83"/>
        <v>2</v>
      </c>
      <c r="Y211" s="69">
        <f t="shared" si="76"/>
        <v>4.9299999999999997E-2</v>
      </c>
      <c r="Z211" s="69">
        <f t="shared" si="77"/>
        <v>2.3304</v>
      </c>
      <c r="AA211" s="69">
        <f t="shared" si="78"/>
        <v>2.2810999999999999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79"/>
        <v>0307-16</v>
      </c>
      <c r="AE211" s="99" t="str">
        <f t="shared" si="80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211" s="96" t="str">
        <f t="shared" si="81"/>
        <v>"C:\Program Files (x86)\AstroGrep\AstroGrep.exe" /spath="%USERPROFILE%\AppData\Local\Temp\OnboardLogs" /stypes="app*4002*20160917*" /stext=" 01:.+((SYSTEM_STATE.+slice.+state.+changed )|(ment ac)|(system.+state.+changed )|(\|lc)|(penalty)|(\[timeout)|(PRM\|1\|D)|(kpr)|(kdp))" /e /r /s</v>
      </c>
      <c r="AG211" s="1" t="str">
        <f t="shared" si="82"/>
        <v>Other</v>
      </c>
      <c r="AH211" s="100" t="str">
        <f t="shared" si="68"/>
        <v>"%USERPROFILE%\Documents\GitHub\eaglep3\Utilities\RefineRTDCRunTimes.py" --tripid 307-16 --locoid 4002 --swversion DE.1.0.7.0 --startMP 204:493 --initTime 2016-09-16T19:41:53 --startdatetime 2016-09-16T19:43:41 --delay 1 --endMP 300:23304 --enddatetime 2016-09-16T19:51:32 --enforcementcount 0 &gt;&gt;C:\Users\stu\Documents\GitHub\eaglep3-reporting\EC\2016-09-16-refined-times.txt</v>
      </c>
      <c r="AI211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{"issue":{"subject":"","project_id":79,"tracker_id":40,"status_id":1,"priority_id":2,"assigned_to_id":23,"start_date":"2016-09-16","description":"","custom_fields":[{"id":1,"name":"Subdivision","value":"Other"},{"id":4,"name":"Milepost","value":"2.3304"},{"id":17,"name":"Train ID","value":"307-16"},{"id":16,"name":"Locomotive ID","value":"4002"},{"id":130,"name":"Impact","value":""},{"id":150,"name":"Time of Event (Mountain Time)","value":"19:51:32"},{"id":151,"name":"Denver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608</v>
      </c>
      <c r="B212" s="7">
        <v>4038</v>
      </c>
      <c r="C212" s="24" t="s">
        <v>107</v>
      </c>
      <c r="D212" s="24" t="s">
        <v>698</v>
      </c>
      <c r="E212" s="15">
        <v>42630.049525462964</v>
      </c>
      <c r="F212" s="15">
        <v>25568.958333333332</v>
      </c>
      <c r="G212" s="7">
        <v>1</v>
      </c>
      <c r="H212" s="15" t="s">
        <v>699</v>
      </c>
      <c r="I212" s="15">
        <v>25568.958333333332</v>
      </c>
      <c r="J212" s="7">
        <v>0</v>
      </c>
      <c r="K212" s="121" t="str">
        <f t="shared" si="70"/>
        <v>4037/4038</v>
      </c>
      <c r="L212" s="24" t="str">
        <f>VLOOKUP(A212,'Trips&amp;Operators'!$C$1:$E$10000,3,FALSE)</f>
        <v>YANAI</v>
      </c>
      <c r="M212" s="6">
        <f t="shared" si="71"/>
        <v>0</v>
      </c>
      <c r="N212" s="7">
        <f t="shared" si="67"/>
        <v>0</v>
      </c>
      <c r="O212" s="7"/>
      <c r="P212" s="7"/>
      <c r="Q212" s="25"/>
      <c r="R212" s="25"/>
      <c r="S212" s="37">
        <f t="shared" si="64"/>
        <v>1</v>
      </c>
      <c r="T212" s="52" t="str">
        <f t="shared" si="72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00:11:19-0600',mode:absolute,to:'1970-01-01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2" s="54" t="str">
        <f t="shared" si="74"/>
        <v>Y</v>
      </c>
      <c r="X212" s="168">
        <f t="shared" si="83"/>
        <v>2</v>
      </c>
      <c r="Y212" s="69">
        <f t="shared" si="76"/>
        <v>4.8000000000000001E-2</v>
      </c>
      <c r="Z212" s="69">
        <f t="shared" si="77"/>
        <v>2.3102</v>
      </c>
      <c r="AA212" s="69">
        <f t="shared" si="78"/>
        <v>2.2622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79"/>
        <v>0309-16</v>
      </c>
      <c r="AE212" s="99" t="str">
        <f t="shared" si="80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12" s="96" t="str">
        <f t="shared" si="81"/>
        <v>"C:\Program Files (x86)\AstroGrep\AstroGrep.exe" /spath="%USERPROFILE%\AppData\Local\Temp\OnboardLogs" /stypes="app*4038*19700101*" /stext=" 05:.+((SYSTEM_STATE.+slice.+state.+changed )|(ment ac)|(system.+state.+changed )|(\|lc)|(penalty)|(\[timeout)|(PRM\|1\|D)|(kpr)|(kdp))" /e /r /s</v>
      </c>
      <c r="AG212" s="1" t="str">
        <f t="shared" si="82"/>
        <v>Other</v>
      </c>
      <c r="AH212" s="100" t="str">
        <f t="shared" si="68"/>
        <v>"%USERPROFILE%\Documents\GitHub\eaglep3\Utilities\RefineRTDCRunTimes.py" --tripid 309-16 --locoid 4038 --swversion DE.1.0.7.0 --startMP 204:480 --initTime 2016-09-17T01:11:19 --startdatetime 1969-12-31T23:00:00 --delay 1 --endMP 300:23102 --enddatetime 1969-12-31T23:00:00 --enforcementcount 0 &gt;&gt;C:\Users\stu\Documents\GitHub\eaglep3-reporting\EC\2016-09-16-refined-times.txt</v>
      </c>
      <c r="AI212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{"issue":{"subject":"","project_id":79,"tracker_id":40,"status_id":1,"priority_id":2,"assigned_to_id":23,"start_date":"1969-12-31","description":"","custom_fields":[{"id":1,"name":"Subdivision","value":"Other"},{"id":4,"name":"Milepost","value":"2.3102"},{"id":17,"name":"Train ID","value":"309-16"},{"id":16,"name":"Locomotive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611</v>
      </c>
      <c r="B213" s="7">
        <v>4044</v>
      </c>
      <c r="C213" s="24" t="s">
        <v>107</v>
      </c>
      <c r="D213" s="24" t="s">
        <v>700</v>
      </c>
      <c r="E213" s="15">
        <v>42630.078726851854</v>
      </c>
      <c r="F213" s="15">
        <v>42630.080150462964</v>
      </c>
      <c r="G213" s="7">
        <v>1</v>
      </c>
      <c r="H213" s="15" t="s">
        <v>696</v>
      </c>
      <c r="I213" s="15">
        <v>42630.086770833332</v>
      </c>
      <c r="J213" s="7">
        <v>0</v>
      </c>
      <c r="K213" s="121" t="str">
        <f t="shared" si="70"/>
        <v>4043/4044</v>
      </c>
      <c r="L213" s="24" t="str">
        <f>VLOOKUP(A213,'Trips&amp;Operators'!$C$1:$E$10000,3,FALSE)</f>
        <v>CHANDLER</v>
      </c>
      <c r="M213" s="6">
        <f t="shared" si="71"/>
        <v>6.6203703681821935E-3</v>
      </c>
      <c r="N213" s="7">
        <f t="shared" si="67"/>
        <v>9.5333333301823586</v>
      </c>
      <c r="O213" s="7"/>
      <c r="P213" s="7"/>
      <c r="Q213" s="25"/>
      <c r="R213" s="25"/>
      <c r="S213" s="37">
        <f t="shared" si="64"/>
        <v>1</v>
      </c>
      <c r="T213" s="52" t="str">
        <f t="shared" si="72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00:53:22-0600',mode:absolute,to:'2016-09-17 03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3" s="54" t="str">
        <f t="shared" si="74"/>
        <v>Y</v>
      </c>
      <c r="X213" s="168">
        <f t="shared" si="83"/>
        <v>2</v>
      </c>
      <c r="Y213" s="69">
        <f t="shared" si="76"/>
        <v>5.04E-2</v>
      </c>
      <c r="Z213" s="69">
        <f t="shared" si="77"/>
        <v>2.3300999999999998</v>
      </c>
      <c r="AA213" s="69">
        <f t="shared" si="78"/>
        <v>2.2797000000000001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79"/>
        <v>0311-16</v>
      </c>
      <c r="AE213" s="99" t="str">
        <f t="shared" si="80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213" s="96" t="str">
        <f t="shared" si="81"/>
        <v>"C:\Program Files (x86)\AstroGrep\AstroGrep.exe" /spath="%USERPROFILE%\AppData\Local\Temp\OnboardLogs" /stypes="app*4044*20160917*" /stext=" 08:.+((SYSTEM_STATE.+slice.+state.+changed )|(ment ac)|(system.+state.+changed )|(\|lc)|(penalty)|(\[timeout)|(PRM\|1\|D)|(kpr)|(kdp))" /e /r /s</v>
      </c>
      <c r="AG213" s="1" t="str">
        <f t="shared" si="82"/>
        <v>Other</v>
      </c>
      <c r="AH213" s="100" t="str">
        <f t="shared" si="68"/>
        <v>"%USERPROFILE%\Documents\GitHub\eaglep3\Utilities\RefineRTDCRunTimes.py" --tripid 311-16 --locoid 4044 --swversion DE.1.0.7.0 --startMP 204:504 --initTime 2016-09-17T01:53:22 --startdatetime 2016-09-17T01:55:25 --delay 1 --endMP 300:23301 --enddatetime 2016-09-17T02:04:57 --enforcementcount 0 &gt;&gt;C:\Users\stu\Documents\GitHub\eaglep3-reporting\EC\2016-09-16-refined-times.txt</v>
      </c>
      <c r="AI213" s="134" t="str">
        <f t="shared" si="69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ID","value":"311-16"},{"id":16,"name":"Locomotive ID","value":"4044"},{"id":130,"name":"Impact","value":""},{"id":150,"name":"Time of Event (Mountain Time)","value":"02:04:57"},{"id":151,"name":"Denver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612</v>
      </c>
      <c r="B214" s="7">
        <v>4009</v>
      </c>
      <c r="C214" s="24" t="s">
        <v>107</v>
      </c>
      <c r="D214" s="24" t="s">
        <v>260</v>
      </c>
      <c r="E214" s="15">
        <v>42630.09337962963</v>
      </c>
      <c r="F214" s="15">
        <v>42630.095034722224</v>
      </c>
      <c r="G214" s="7">
        <v>1</v>
      </c>
      <c r="H214" s="15" t="s">
        <v>701</v>
      </c>
      <c r="I214" s="15">
        <v>42630.101666666669</v>
      </c>
      <c r="J214" s="7">
        <v>0</v>
      </c>
      <c r="K214" s="121" t="str">
        <f t="shared" si="70"/>
        <v>4009/4010</v>
      </c>
      <c r="L214" s="24" t="str">
        <f>VLOOKUP(A214,'Trips&amp;Operators'!$C$1:$E$10000,3,FALSE)</f>
        <v>STURGEON</v>
      </c>
      <c r="M214" s="6">
        <f t="shared" si="71"/>
        <v>6.6319444449618459E-3</v>
      </c>
      <c r="N214" s="7">
        <f t="shared" si="67"/>
        <v>9.5500000007450581</v>
      </c>
      <c r="O214" s="7"/>
      <c r="P214" s="7"/>
      <c r="Q214" s="25"/>
      <c r="R214" s="25"/>
      <c r="S214" s="37">
        <f t="shared" si="64"/>
        <v>1</v>
      </c>
      <c r="T214" s="52" t="str">
        <f t="shared" si="72"/>
        <v>NorthBound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01:14:28-0600',mode:absolute,to:'2016-09-17 03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4" s="54" t="str">
        <f t="shared" si="74"/>
        <v>Y</v>
      </c>
      <c r="X214" s="168">
        <f t="shared" si="83"/>
        <v>2</v>
      </c>
      <c r="Y214" s="69">
        <f t="shared" si="76"/>
        <v>4.7500000000000001E-2</v>
      </c>
      <c r="Z214" s="69">
        <f t="shared" si="77"/>
        <v>2.3289</v>
      </c>
      <c r="AA214" s="69">
        <f t="shared" si="78"/>
        <v>2.2814000000000001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79"/>
        <v>0313-16</v>
      </c>
      <c r="AE214" s="99" t="str">
        <f t="shared" si="80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214" s="96" t="str">
        <f t="shared" si="81"/>
        <v>"C:\Program Files (x86)\AstroGrep\AstroGrep.exe" /spath="%USERPROFILE%\AppData\Local\Temp\OnboardLogs" /stypes="app*4009*20160917*" /stext=" 08:.+((SYSTEM_STATE.+slice.+state.+changed )|(ment ac)|(system.+state.+changed )|(\|lc)|(penalty)|(\[timeout)|(PRM\|1\|D)|(kpr)|(kdp))" /e /r /s</v>
      </c>
      <c r="AG214" s="1" t="str">
        <f t="shared" si="82"/>
        <v>Other</v>
      </c>
      <c r="AH214" s="100" t="str">
        <f t="shared" si="68"/>
        <v>"%USERPROFILE%\Documents\GitHub\eaglep3\Utilities\RefineRTDCRunTimes.py" --tripid 313-16 --locoid 4009 --swversion DE.1.0.7.0 --startMP 204:475 --initTime 2016-09-17T02:14:28 --startdatetime 2016-09-17T02:16:51 --delay 1 --endMP 300:23289 --enddatetime 2016-09-17T02:26:24 --enforcementcount 0 &gt;&gt;C:\Users\stu\Documents\GitHub\eaglep3-reporting\EC\2016-09-16-refined-times.txt</v>
      </c>
      <c r="AI214" s="134" t="str">
        <f t="shared" si="69"/>
        <v>echo {"issue":{"subject":"","project_id":79,"tracker_id":40,"status_id":1,"priority_id":2,"assigned_to_id":23,"start_date":"2016-09-17","description":"","custom_fields":[{"id":1,"name":"Subdivision","value":"Other"},{"id":4,"name":"Milepost","value":"2.3289"},{"id":17,"name":"Train ID","value":"313-16"},{"id":16,"name":"Locomotive ID","value":"4009"},{"id":130,"name":"Impact","value":""},{"id":150,"name":"Time of Event (Mountain Time)","value":"02:26:24"},{"id":151,"name":"Denver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361</v>
      </c>
      <c r="B215" s="7">
        <v>4042</v>
      </c>
      <c r="C215" s="24" t="s">
        <v>107</v>
      </c>
      <c r="D215" s="24" t="s">
        <v>362</v>
      </c>
      <c r="E215" s="15">
        <v>42629.088518518518</v>
      </c>
      <c r="F215" s="15">
        <v>42629.090798611112</v>
      </c>
      <c r="G215" s="7">
        <v>1</v>
      </c>
      <c r="H215" s="15" t="s">
        <v>363</v>
      </c>
      <c r="I215" s="15">
        <v>42629.098263888889</v>
      </c>
      <c r="J215" s="7">
        <v>0</v>
      </c>
      <c r="K215" s="121" t="str">
        <f t="shared" si="70"/>
        <v>4041/4042</v>
      </c>
      <c r="L215" s="24" t="str">
        <f>VLOOKUP(A215,'Trips&amp;Operators'!$C$1:$E$10000,3,FALSE)</f>
        <v>STURGEON</v>
      </c>
      <c r="M215" s="6">
        <f t="shared" si="71"/>
        <v>7.4652777766459621E-3</v>
      </c>
      <c r="N215" s="7">
        <f t="shared" si="67"/>
        <v>10.749999998370185</v>
      </c>
      <c r="O215" s="7"/>
      <c r="P215" s="7"/>
      <c r="Q215" s="25"/>
      <c r="R215" s="25"/>
      <c r="S215" s="37">
        <f t="shared" si="64"/>
        <v>1</v>
      </c>
      <c r="T215" s="52" t="str">
        <f t="shared" si="72"/>
        <v>NorthBound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01:07:28-0600',mode:absolute,to:'2016-09-16 03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5" s="54" t="str">
        <f t="shared" si="74"/>
        <v>Y</v>
      </c>
      <c r="X215" s="168">
        <f t="shared" si="83"/>
        <v>2</v>
      </c>
      <c r="Y215" s="69">
        <f t="shared" si="76"/>
        <v>4.8599999999999997E-2</v>
      </c>
      <c r="Z215" s="69">
        <f t="shared" si="77"/>
        <v>3.1295000000000002</v>
      </c>
      <c r="AA215" s="69">
        <f t="shared" si="78"/>
        <v>3.0809000000000002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79"/>
        <v>0315-15</v>
      </c>
      <c r="AE215" s="99" t="str">
        <f t="shared" si="80"/>
        <v>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 &amp; 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</v>
      </c>
      <c r="AF215" s="96" t="str">
        <f t="shared" si="81"/>
        <v>"C:\Program Files (x86)\AstroGrep\AstroGrep.exe" /spath="%USERPROFILE%\AppData\Local\Temp\OnboardLogs" /stypes="app*4042*20160916*" /stext=" 08:.+((SYSTEM_STATE.+slice.+state.+changed )|(ment ac)|(system.+state.+changed )|(\|lc)|(penalty)|(\[timeout)|(PRM\|1\|D)|(kpr)|(kdp))" /e /r /s</v>
      </c>
      <c r="AG215" s="1" t="str">
        <f t="shared" si="82"/>
        <v>Other</v>
      </c>
      <c r="AH215" s="100" t="str">
        <f t="shared" si="68"/>
        <v>"%USERPROFILE%\Documents\GitHub\eaglep3\Utilities\RefineRTDCRunTimes.py" --tripid 315-15 --locoid 4042 --swversion DE.1.0.7.0 --startMP 204:486 --initTime 2016-09-16T02:07:28 --startdatetime 2016-09-16T02:10:45 --delay 1 --endMP 300:31295 --enddatetime 2016-09-16T02:21:30 --enforcementcount 0 &gt;&gt;C:\Users\stu\Documents\GitHub\eaglep3-reporting\EC\2016-09-16-refined-times.txt</v>
      </c>
      <c r="AI215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{"issue":{"subject":"","project_id":79,"tracker_id":40,"status_id":1,"priority_id":2,"assigned_to_id":23,"start_date":"2016-09-16","description":"","custom_fields":[{"id":1,"name":"Subdivision","value":"Other"},{"id":4,"name":"Milepost","value":"3.1295"},{"id":17,"name":"Train ID","value":"315-15"},{"id":16,"name":"Locomotive ID","value":"4042"},{"id":130,"name":"Impact","value":""},{"id":150,"name":"Time of Event (Mountain Time)","value":"02:21:30"},{"id":151,"name":"Denver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s="23" customFormat="1" x14ac:dyDescent="0.25">
      <c r="A216" s="39" t="s">
        <v>443</v>
      </c>
      <c r="B216" s="7">
        <v>4031</v>
      </c>
      <c r="C216" s="24" t="s">
        <v>107</v>
      </c>
      <c r="D216" s="24" t="s">
        <v>769</v>
      </c>
      <c r="E216" s="15">
        <v>42629.353668981479</v>
      </c>
      <c r="F216" s="15">
        <v>42629.356354166666</v>
      </c>
      <c r="G216" s="7">
        <v>1</v>
      </c>
      <c r="H216" s="15" t="s">
        <v>770</v>
      </c>
      <c r="I216" s="15">
        <v>42629.361759259256</v>
      </c>
      <c r="J216" s="7">
        <v>0</v>
      </c>
      <c r="K216" s="121" t="str">
        <f t="shared" si="70"/>
        <v>4031/4032</v>
      </c>
      <c r="L216" s="24" t="str">
        <f>VLOOKUP(A216,'Trips&amp;Operators'!$C$1:$E$10000,3,FALSE)</f>
        <v>STRICKLAND</v>
      </c>
      <c r="M216" s="6">
        <f t="shared" si="71"/>
        <v>5.4050925900810398E-3</v>
      </c>
      <c r="N216" s="7">
        <f t="shared" si="67"/>
        <v>7.7833333297166973</v>
      </c>
      <c r="O216" s="7"/>
      <c r="P216" s="7"/>
      <c r="Q216" s="25"/>
      <c r="R216" s="25"/>
      <c r="S216" s="37">
        <f t="shared" si="64"/>
        <v>1</v>
      </c>
      <c r="T216" s="52" t="str">
        <f t="shared" si="72"/>
        <v>NorthBound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07:29:17-0600',mode:absolute,to:'2016-09-16 09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6" s="54" t="str">
        <f t="shared" si="74"/>
        <v>Y</v>
      </c>
      <c r="X216" s="168">
        <f t="shared" si="83"/>
        <v>588</v>
      </c>
      <c r="Y216" s="69">
        <f t="shared" si="76"/>
        <v>0.10489999999999999</v>
      </c>
      <c r="Z216" s="69">
        <f t="shared" si="77"/>
        <v>2.3540000000000001</v>
      </c>
      <c r="AA216" s="69">
        <f t="shared" si="78"/>
        <v>2.2491000000000003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79"/>
        <v>0903-16</v>
      </c>
      <c r="AE216" s="99" t="str">
        <f t="shared" si="80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216" s="96" t="str">
        <f t="shared" si="81"/>
        <v>"C:\Program Files (x86)\AstroGrep\AstroGrep.exe" /spath="%USERPROFILE%\AppData\Local\Temp\OnboardLogs" /stypes="app*4031*20160916*" /stext=" 14:.+((SYSTEM_STATE.+slice.+state.+changed )|(ment ac)|(system.+state.+changed )|(\|lc)|(penalty)|(\[timeout)|(PRM\|1\|D)|(kpr)|(kdp))" /e /r /s</v>
      </c>
      <c r="AG216" s="1" t="str">
        <f t="shared" si="82"/>
        <v>Other</v>
      </c>
      <c r="AH216" s="100" t="str">
        <f t="shared" si="68"/>
        <v>"%USERPROFILE%\Documents\GitHub\eaglep3\Utilities\RefineRTDCRunTimes.py" --tripid 903-16 --locoid 4031 --swversion DE.1.0.7.0 --startMP 204:1049 --initTime 2016-09-16T08:29:17 --startdatetime 2016-09-16T08:33:09 --delay 1 --endMP 300:23540 --enddatetime 2016-09-16T08:40:56 --enforcementcount 0 &gt;&gt;C:\Users\stu\Documents\GitHub\eaglep3-reporting\EC\2016-09-16-refined-times.txt</v>
      </c>
      <c r="AI216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{"issue":{"subject":"","project_id":79,"tracker_id":40,"status_id":1,"priority_id":2,"assigned_to_id":23,"start_date":"2016-09-16","description":"","custom_fields":[{"id":1,"name":"Subdivision","value":"Other"},{"id":4,"name":"Milepost","value":"2.354"},{"id":17,"name":"Train ID","value":"903-16"},{"id":16,"name":"Locomotive ID","value":"4031"},{"id":130,"name":"Impact","value":""},{"id":150,"name":"Time of Event (Mountain Time)","value":"08:40:56"},{"id":151,"name":"Denver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521</v>
      </c>
      <c r="B217" s="7">
        <v>4032</v>
      </c>
      <c r="C217" s="24" t="s">
        <v>107</v>
      </c>
      <c r="D217" s="24" t="s">
        <v>771</v>
      </c>
      <c r="E217" s="15">
        <v>42629.641006944446</v>
      </c>
      <c r="F217" s="15">
        <v>42629.642372685186</v>
      </c>
      <c r="G217" s="7">
        <v>1</v>
      </c>
      <c r="H217" s="15" t="s">
        <v>376</v>
      </c>
      <c r="I217" s="15">
        <v>42629.648460648146</v>
      </c>
      <c r="J217" s="7">
        <v>0</v>
      </c>
      <c r="K217" s="121" t="str">
        <f t="shared" si="70"/>
        <v>4031/4032</v>
      </c>
      <c r="L217" s="24" t="str">
        <f>VLOOKUP(A217,'Trips&amp;Operators'!$C$1:$E$10000,3,FALSE)</f>
        <v>NEWELL</v>
      </c>
      <c r="M217" s="6">
        <f t="shared" si="71"/>
        <v>6.0879629600094631E-3</v>
      </c>
      <c r="N217" s="7">
        <f t="shared" si="67"/>
        <v>8.7666666624136269</v>
      </c>
      <c r="O217" s="7"/>
      <c r="P217" s="7"/>
      <c r="Q217" s="25"/>
      <c r="R217" s="25"/>
      <c r="S217" s="37">
        <f t="shared" si="64"/>
        <v>1</v>
      </c>
      <c r="T217" s="52" t="str">
        <f t="shared" si="72"/>
        <v>Southbound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14:23:03-0600',mode:absolute,to:'2016-09-16 16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7" s="54" t="str">
        <f t="shared" si="74"/>
        <v>Y</v>
      </c>
      <c r="X217" s="168">
        <f t="shared" si="83"/>
        <v>1</v>
      </c>
      <c r="Y217" s="69">
        <f t="shared" si="76"/>
        <v>2.1983000000000001</v>
      </c>
      <c r="Z217" s="69">
        <f t="shared" si="77"/>
        <v>6.4699999999999994E-2</v>
      </c>
      <c r="AA217" s="69">
        <f t="shared" si="78"/>
        <v>2.1335999999999999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79"/>
        <v>0904-16</v>
      </c>
      <c r="AE217" s="99" t="str">
        <f t="shared" si="80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217" s="96" t="str">
        <f t="shared" si="81"/>
        <v>"C:\Program Files (x86)\AstroGrep\AstroGrep.exe" /spath="%USERPROFILE%\AppData\Local\Temp\OnboardLogs" /stypes="app*4032*20160916*" /stext=" 21:.+((SYSTEM_STATE.+slice.+state.+changed )|(ment ac)|(system.+state.+changed )|(\|lc)|(penalty)|(\[timeout)|(PRM\|1\|D)|(kpr)|(kdp))" /e /r /s</v>
      </c>
      <c r="AG217" s="1" t="str">
        <f t="shared" si="82"/>
        <v>Other</v>
      </c>
      <c r="AH217" s="100" t="str">
        <f t="shared" si="68"/>
        <v>"%USERPROFILE%\Documents\GitHub\eaglep3\Utilities\RefineRTDCRunTimes.py" --tripid 904-16 --locoid 4032 --swversion DE.1.0.7.0 --startMP 300:21983 --initTime 2016-09-16T15:23:03 --startdatetime 2016-09-16T15:25:01 --delay 1 --endMP 204:647 --enddatetime 2016-09-16T15:33:47 --enforcementcount 0 &gt;&gt;C:\Users\stu\Documents\GitHub\eaglep3-reporting\EC\2016-09-16-refined-times.txt</v>
      </c>
      <c r="AI217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{"issue":{"subject":"","project_id":79,"tracker_id":40,"status_id":1,"priority_id":2,"assigned_to_id":23,"start_date":"2016-09-16","description":"","custom_fields":[{"id":1,"name":"Subdivision","value":"Other"},{"id":4,"name":"Milepost","value":"0.0647"},{"id":17,"name":"Train ID","value":"904-16"},{"id":16,"name":"Locomotive ID","value":"4032"},{"id":130,"name":"Impact","value":""},{"id":150,"name":"Time of Event (Mountain Time)","value":"15:33:47"},{"id":151,"name":"Denver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s="23" customFormat="1" x14ac:dyDescent="0.25">
      <c r="A218" s="39" t="s">
        <v>572</v>
      </c>
      <c r="B218" s="7">
        <v>4032</v>
      </c>
      <c r="C218" s="24" t="s">
        <v>107</v>
      </c>
      <c r="D218" s="24" t="s">
        <v>371</v>
      </c>
      <c r="E218" s="15">
        <v>42629.79791666667</v>
      </c>
      <c r="F218" s="15">
        <v>25568.958333333332</v>
      </c>
      <c r="G218" s="7">
        <v>1</v>
      </c>
      <c r="H218" s="15" t="s">
        <v>772</v>
      </c>
      <c r="I218" s="15">
        <v>25568.958333333332</v>
      </c>
      <c r="J218" s="7">
        <v>0</v>
      </c>
      <c r="K218" s="121" t="str">
        <f t="shared" si="70"/>
        <v>4031/4032</v>
      </c>
      <c r="L218" s="24" t="str">
        <f>VLOOKUP(A218,'Trips&amp;Operators'!$C$1:$E$10000,3,FALSE)</f>
        <v>NEWELL</v>
      </c>
      <c r="M218" s="6">
        <f t="shared" si="71"/>
        <v>0</v>
      </c>
      <c r="N218" s="7">
        <f t="shared" si="67"/>
        <v>0</v>
      </c>
      <c r="O218" s="7"/>
      <c r="P218" s="7"/>
      <c r="Q218" s="25"/>
      <c r="R218" s="25"/>
      <c r="S218" s="37">
        <f t="shared" si="64"/>
        <v>0</v>
      </c>
      <c r="T218" s="52" t="str">
        <f t="shared" si="72"/>
        <v>Southbound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18:09:00-0600',mode:absolute,to:'1970-01-01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8" s="54" t="str">
        <f t="shared" si="74"/>
        <v>Y</v>
      </c>
      <c r="X218" s="168">
        <f t="shared" si="83"/>
        <v>2</v>
      </c>
      <c r="Y218" s="69">
        <f t="shared" si="76"/>
        <v>5.8615000000000004</v>
      </c>
      <c r="Z218" s="69">
        <f t="shared" si="77"/>
        <v>2.8772000000000002</v>
      </c>
      <c r="AA218" s="69">
        <f t="shared" si="78"/>
        <v>2.9843000000000002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79"/>
        <v>0906-16</v>
      </c>
      <c r="AE218" s="99" t="str">
        <f t="shared" si="80"/>
        <v>aws s3 cp s3://rtdc.mdm.uploadarchive/RTDC4032/1969-12-31/ "%USERPROFILE%\AppData\Local\Temp\OnboardLogs"\RTDC4032\1969-12-31 --recursive &amp; "%USERPROFILE%\Documents\GitHub\mrs-test-scripts\Headless Mode &amp; Sideloading\WalkAndUnGZ.bat" "%USERPROFILE%\AppData\Local\Temp\OnboardLogs"\RTDC4032\1969-12-31 &amp; aws s3 cp s3://rtdc.mdm.uploadarchive/RTDC4032/1970-01-01/ "%USERPROFILE%\AppData\Local\Temp\OnboardLogs"\RTDC4032\1970-01-01 --recursive &amp; "%USERPROFILE%\Documents\GitHub\mrs-test-scripts\Headless Mode &amp; Sideloading\WalkAndUnGZ.bat" "%USERPROFILE%\AppData\Local\Temp\OnboardLogs"\RTDC4032\1970-01-01</v>
      </c>
      <c r="AF218" s="96" t="str">
        <f t="shared" si="81"/>
        <v>"C:\Program Files (x86)\AstroGrep\AstroGrep.exe" /spath="%USERPROFILE%\AppData\Local\Temp\OnboardLogs" /stypes="app*4032*19700101*" /stext=" 05:.+((SYSTEM_STATE.+slice.+state.+changed )|(ment ac)|(system.+state.+changed )|(\|lc)|(penalty)|(\[timeout)|(PRM\|1\|D)|(kpr)|(kdp))" /e /r /s</v>
      </c>
      <c r="AG218" s="1" t="str">
        <f t="shared" si="82"/>
        <v>Other</v>
      </c>
      <c r="AH218" s="100" t="str">
        <f t="shared" si="68"/>
        <v>"%USERPROFILE%\Documents\GitHub\eaglep3\Utilities\RefineRTDCRunTimes.py" --tripid 906-16 --locoid 4032 --swversion DE.1.0.7.0 --startMP 300:58615 --initTime 2016-09-16T19:09:00 --startdatetime 1969-12-31T23:00:00 --delay 1 --endMP 300:28772 --enddatetime 1969-12-31T23:00:00 --enforcementcount 0 &gt;&gt;C:\Users\stu\Documents\GitHub\eaglep3-reporting\EC\2016-09-16-refined-times.txt</v>
      </c>
      <c r="AI218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ID","value":"906-16"},{"id":16,"name":"Locomotive ID","value":"4032"},{"id":130,"name":"Impact","value":""},{"id":150,"name":"Time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597</v>
      </c>
      <c r="B219" s="7">
        <v>4013</v>
      </c>
      <c r="C219" s="24" t="s">
        <v>107</v>
      </c>
      <c r="D219" s="24" t="s">
        <v>773</v>
      </c>
      <c r="E219" s="15">
        <v>42629.942280092589</v>
      </c>
      <c r="F219" s="15">
        <v>42629.943715277775</v>
      </c>
      <c r="G219" s="7">
        <v>1</v>
      </c>
      <c r="H219" s="15" t="s">
        <v>774</v>
      </c>
      <c r="I219" s="15">
        <v>42629.949259259258</v>
      </c>
      <c r="J219" s="7">
        <v>0</v>
      </c>
      <c r="K219" s="121" t="str">
        <f t="shared" si="70"/>
        <v>4013/4014</v>
      </c>
      <c r="L219" s="24" t="str">
        <f>VLOOKUP(A219,'Trips&amp;Operators'!$C$1:$E$10000,3,FALSE)</f>
        <v>NEWELL</v>
      </c>
      <c r="M219" s="6">
        <f t="shared" si="71"/>
        <v>5.543981482333038E-3</v>
      </c>
      <c r="N219" s="7">
        <f t="shared" si="67"/>
        <v>7.9833333345595747</v>
      </c>
      <c r="O219" s="7"/>
      <c r="P219" s="7"/>
      <c r="Q219" s="25"/>
      <c r="R219" s="25"/>
      <c r="S219" s="37">
        <f t="shared" ref="S219:S224" si="84">SUM(U219:U219)/IF(AG219="EC",12,1)</f>
        <v>0</v>
      </c>
      <c r="T219" s="52" t="str">
        <f t="shared" si="72"/>
        <v>Southbound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21:36:53-0600',mode:absolute,to:'2016-09-16 23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19" s="54" t="str">
        <f t="shared" si="74"/>
        <v>Y</v>
      </c>
      <c r="X219" s="168">
        <f t="shared" si="83"/>
        <v>2</v>
      </c>
      <c r="Y219" s="69">
        <f t="shared" si="76"/>
        <v>5.8566000000000003</v>
      </c>
      <c r="Z219" s="69">
        <f t="shared" si="77"/>
        <v>2.1783999999999999</v>
      </c>
      <c r="AA219" s="69">
        <f t="shared" si="78"/>
        <v>3.6782000000000004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79"/>
        <v>0908-16</v>
      </c>
      <c r="AE219" s="99" t="str">
        <f t="shared" si="80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19" s="96" t="str">
        <f t="shared" si="81"/>
        <v>"C:\Program Files (x86)\AstroGrep\AstroGrep.exe" /spath="%USERPROFILE%\AppData\Local\Temp\OnboardLogs" /stypes="app*4013*20160917*" /stext=" 04:.+((SYSTEM_STATE.+slice.+state.+changed )|(ment ac)|(system.+state.+changed )|(\|lc)|(penalty)|(\[timeout)|(PRM\|1\|D)|(kpr)|(kdp))" /e /r /s</v>
      </c>
      <c r="AG219" s="1" t="str">
        <f t="shared" si="82"/>
        <v>Other</v>
      </c>
      <c r="AH219" s="100" t="str">
        <f t="shared" si="68"/>
        <v>"%USERPROFILE%\Documents\GitHub\eaglep3\Utilities\RefineRTDCRunTimes.py" --tripid 908-16 --locoid 4013 --swversion DE.1.0.7.0 --startMP 300:58566 --initTime 2016-09-16T22:36:53 --startdatetime 2016-09-16T22:38:57 --delay 1 --endMP 300:21784 --enddatetime 2016-09-16T22:46:56 --enforcementcount 0 &gt;&gt;C:\Users\stu\Documents\GitHub\eaglep3-reporting\EC\2016-09-16-refined-times.txt</v>
      </c>
      <c r="AI219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{"issue":{"subject":"","project_id":79,"tracker_id":40,"status_id":1,"priority_id":2,"assigned_to_id":23,"start_date":"2016-09-16","description":"","custom_fields":[{"id":1,"name":"Subdivision","value":"Other"},{"id":4,"name":"Milepost","value":"2.1784"},{"id":17,"name":"Train ID","value":"908-16"},{"id":16,"name":"Locomotive ID","value":"4013"},{"id":130,"name":"Impact","value":""},{"id":150,"name":"Time of Event (Mountain Time)","value":"22:46:56"},{"id":151,"name":"Denver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462</v>
      </c>
      <c r="B220" s="7">
        <v>4015</v>
      </c>
      <c r="C220" s="24" t="s">
        <v>107</v>
      </c>
      <c r="D220" s="24" t="s">
        <v>702</v>
      </c>
      <c r="E220" s="15">
        <v>42629.746736111112</v>
      </c>
      <c r="F220" s="15">
        <v>42629.752685185187</v>
      </c>
      <c r="G220" s="7">
        <v>8</v>
      </c>
      <c r="H220" s="15" t="s">
        <v>703</v>
      </c>
      <c r="I220" s="15">
        <v>42629.759375000001</v>
      </c>
      <c r="J220" s="7">
        <v>0</v>
      </c>
      <c r="K220" s="121" t="str">
        <f t="shared" si="70"/>
        <v>4015/4016</v>
      </c>
      <c r="L220" s="24" t="str">
        <f>VLOOKUP(A220,'Trips&amp;Operators'!$C$1:$E$10000,3,FALSE)</f>
        <v>OUN</v>
      </c>
      <c r="M220" s="6">
        <f t="shared" si="71"/>
        <v>6.6898148143081926E-3</v>
      </c>
      <c r="N220" s="7">
        <f t="shared" si="67"/>
        <v>9.6333333326037973</v>
      </c>
      <c r="O220" s="7"/>
      <c r="P220" s="7"/>
      <c r="Q220" s="25"/>
      <c r="R220" s="25"/>
      <c r="S220" s="37">
        <f t="shared" si="84"/>
        <v>0</v>
      </c>
      <c r="T220" s="52" t="e">
        <f t="shared" si="72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16:55:18-0600',mode:absolute,to:'2016-09-16 19:13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20" s="54" t="str">
        <f t="shared" si="74"/>
        <v>Y</v>
      </c>
      <c r="X220" s="168" t="e">
        <f t="shared" si="83"/>
        <v>#VALUE!</v>
      </c>
      <c r="Y220" s="69">
        <f t="shared" si="76"/>
        <v>2.2023999999999999</v>
      </c>
      <c r="Z220" s="69">
        <f t="shared" si="77"/>
        <v>9.2200000000000004E-2</v>
      </c>
      <c r="AA220" s="69">
        <f t="shared" si="78"/>
        <v>2.1101999999999999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79"/>
        <v>50-16</v>
      </c>
      <c r="AE220" s="99" t="str">
        <f t="shared" si="80"/>
        <v>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 &amp; aws s3 cp s3://rtdc.mdm.uploadarchive/RTDC4015/2016-09-17/ "%USERPROFILE%\AppData\Local\Temp\OnboardLogs"\RTDC4015\2016-09-17 --recursive &amp; "%USERPROFILE%\Documents\GitHub\mrs-test-scripts\Headless Mode &amp; Sideloading\WalkAndUnGZ.bat" "%USERPROFILE%\AppData\Local\Temp\OnboardLogs"\RTDC4015\2016-09-17</v>
      </c>
      <c r="AF220" s="96" t="str">
        <f t="shared" si="81"/>
        <v>"C:\Program Files (x86)\AstroGrep\AstroGrep.exe" /spath="%USERPROFILE%\AppData\Local\Temp\OnboardLogs" /stypes="app*4015*20160917*" /stext=" 00:.+((SYSTEM_STATE.+slice.+state.+changed )|(ment ac)|(system.+state.+changed )|(\|lc)|(penalty)|(\[timeout)|(PRM\|1\|D)|(kpr)|(kdp))" /e /r /s</v>
      </c>
      <c r="AG220" s="1" t="str">
        <f t="shared" si="82"/>
        <v>Other</v>
      </c>
      <c r="AH220" s="100" t="str">
        <f t="shared" si="68"/>
        <v>"%USERPROFILE%\Documents\GitHub\eaglep3\Utilities\RefineRTDCRunTimes.py" --tripid 50-16 --locoid 4015 --swversion DE.1.0.7.0 --startMP 300:22024 --initTime 2016-09-16T17:55:18 --startdatetime 2016-09-16T18:03:52 --delay 8 --endMP 204:922 --enddatetime 2016-09-16T18:13:30 --enforcementcount 0 &gt;&gt;C:\Users\stu\Documents\GitHub\eaglep3-reporting\EC\2016-09-16-refined-times.txt</v>
      </c>
      <c r="AI220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{"issue":{"subject":"","project_id":79,"tracker_id":40,"status_id":1,"priority_id":2,"assigned_to_id":23,"start_date":"2016-09-16","description":"","custom_fields":[{"id":1,"name":"Subdivision","value":"Other"},{"id":4,"name":"Milepost","value":"0.0922"},{"id":17,"name":"Train ID","value":"50-16"},{"id":16,"name":"Locomotive ID","value":"4015"},{"id":130,"name":"Impact","value":""},{"id":150,"name":"Time of Event (Mountain Time)","value":"18:13:30"},{"id":151,"name":"Denver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462</v>
      </c>
      <c r="B221" s="7">
        <v>4021</v>
      </c>
      <c r="C221" s="24" t="s">
        <v>107</v>
      </c>
      <c r="D221" s="24" t="s">
        <v>704</v>
      </c>
      <c r="E221" s="15">
        <v>42629.432245370372</v>
      </c>
      <c r="F221" s="15">
        <v>42629.436979166669</v>
      </c>
      <c r="G221" s="7">
        <v>6</v>
      </c>
      <c r="H221" s="15" t="s">
        <v>705</v>
      </c>
      <c r="I221" s="15">
        <v>42629.438726851855</v>
      </c>
      <c r="J221" s="7">
        <v>0</v>
      </c>
      <c r="K221" s="121" t="str">
        <f t="shared" si="70"/>
        <v>4021/4022</v>
      </c>
      <c r="L221" s="24" t="str">
        <f>VLOOKUP(A221,'Trips&amp;Operators'!$C$1:$E$10000,3,FALSE)</f>
        <v>OUN</v>
      </c>
      <c r="M221" s="6">
        <f t="shared" si="71"/>
        <v>1.747685186273884E-3</v>
      </c>
      <c r="N221" s="7">
        <f t="shared" si="67"/>
        <v>2.516666668234393</v>
      </c>
      <c r="O221" s="7"/>
      <c r="P221" s="7"/>
      <c r="Q221" s="25"/>
      <c r="R221" s="25"/>
      <c r="S221" s="37">
        <f t="shared" si="84"/>
        <v>0</v>
      </c>
      <c r="T221" s="52" t="e">
        <f t="shared" si="72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09:22:26-0600',mode:absolute,to:'2016-09-16 11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1" s="54" t="str">
        <f t="shared" si="74"/>
        <v>Y</v>
      </c>
      <c r="X221" s="168" t="e">
        <f t="shared" si="83"/>
        <v>#VALUE!</v>
      </c>
      <c r="Y221" s="69">
        <f t="shared" si="76"/>
        <v>2.407</v>
      </c>
      <c r="Z221" s="69">
        <f t="shared" si="77"/>
        <v>1.9254</v>
      </c>
      <c r="AA221" s="69">
        <f t="shared" si="78"/>
        <v>0.48160000000000003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79"/>
        <v>50-16</v>
      </c>
      <c r="AE221" s="99" t="str">
        <f t="shared" si="80"/>
        <v>aws s3 cp s3://rtdc.mdm.uploadarchive/RTDC4021/2016-09-16/ "%USERPROFILE%\AppData\Local\Temp\OnboardLogs"\RTDC4021\2016-09-16 --recursive &amp; "%USERPROFILE%\Documents\GitHub\mrs-test-scripts\Headless Mode &amp; Sideloading\WalkAndUnGZ.bat" "%USERPROFILE%\AppData\Local\Temp\OnboardLogs"\RTDC4021\2016-09-16 &amp; 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</v>
      </c>
      <c r="AF221" s="96" t="str">
        <f t="shared" si="81"/>
        <v>"C:\Program Files (x86)\AstroGrep\AstroGrep.exe" /spath="%USERPROFILE%\AppData\Local\Temp\OnboardLogs" /stypes="app*4021*20160916*" /stext=" 16:.+((SYSTEM_STATE.+slice.+state.+changed )|(ment ac)|(system.+state.+changed )|(\|lc)|(penalty)|(\[timeout)|(PRM\|1\|D)|(kpr)|(kdp))" /e /r /s</v>
      </c>
      <c r="AG221" s="1" t="str">
        <f t="shared" si="82"/>
        <v>Other</v>
      </c>
      <c r="AH221" s="100" t="str">
        <f t="shared" si="68"/>
        <v>"%USERPROFILE%\Documents\GitHub\eaglep3\Utilities\RefineRTDCRunTimes.py" --tripid 50-16 --locoid 4021 --swversion DE.1.0.7.0 --startMP 300:24070 --initTime 2016-09-16T10:22:26 --startdatetime 2016-09-16T10:29:15 --delay 6 --endMP 300:19254 --enddatetime 2016-09-16T10:31:46 --enforcementcount 0 &gt;&gt;C:\Users\stu\Documents\GitHub\eaglep3-reporting\EC\2016-09-16-refined-times.txt</v>
      </c>
      <c r="AI221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{"issue":{"subject":"","project_id":79,"tracker_id":40,"status_id":1,"priority_id":2,"assigned_to_id":23,"start_date":"2016-09-16","description":"","custom_fields":[{"id":1,"name":"Subdivision","value":"Other"},{"id":4,"name":"Milepost","value":"1.9254"},{"id":17,"name":"Train ID","value":"50-16"},{"id":16,"name":"Locomotive ID","value":"4021"},{"id":130,"name":"Impact","value":""},{"id":150,"name":"Time of Event (Mountain Time)","value":"10:31:46"},{"id":151,"name":"Denver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472</v>
      </c>
      <c r="B222" s="7">
        <v>4005</v>
      </c>
      <c r="C222" s="24" t="s">
        <v>107</v>
      </c>
      <c r="D222" s="24" t="s">
        <v>706</v>
      </c>
      <c r="E222" s="15">
        <v>42629.458958333336</v>
      </c>
      <c r="F222" s="15">
        <v>42629.460335648146</v>
      </c>
      <c r="G222" s="7">
        <v>1</v>
      </c>
      <c r="H222" s="15" t="s">
        <v>707</v>
      </c>
      <c r="I222" s="15">
        <v>42629.466574074075</v>
      </c>
      <c r="J222" s="7">
        <v>0</v>
      </c>
      <c r="K222" s="121" t="str">
        <f t="shared" si="70"/>
        <v>4005/4006</v>
      </c>
      <c r="L222" s="24" t="str">
        <f>VLOOKUP(A222,'Trips&amp;Operators'!$C$1:$E$10000,3,FALSE)</f>
        <v>MOSES</v>
      </c>
      <c r="M222" s="6">
        <f t="shared" si="71"/>
        <v>6.2384259290411137E-3</v>
      </c>
      <c r="N222" s="7">
        <f t="shared" si="67"/>
        <v>8.9833333378192037</v>
      </c>
      <c r="O222" s="7"/>
      <c r="P222" s="7"/>
      <c r="Q222" s="25"/>
      <c r="R222" s="25"/>
      <c r="S222" s="37">
        <f t="shared" si="84"/>
        <v>0</v>
      </c>
      <c r="T222" s="52" t="e">
        <f t="shared" si="72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10:00:54-0600',mode:absolute,to:'2016-09-16 12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2" s="54" t="str">
        <f t="shared" si="74"/>
        <v>Y</v>
      </c>
      <c r="X222" s="168" t="e">
        <f t="shared" si="83"/>
        <v>#VALUE!</v>
      </c>
      <c r="Y222" s="69">
        <f t="shared" si="76"/>
        <v>2.3365999999999998</v>
      </c>
      <c r="Z222" s="69">
        <f t="shared" si="77"/>
        <v>8.9700000000000002E-2</v>
      </c>
      <c r="AA222" s="69">
        <f t="shared" si="78"/>
        <v>2.2468999999999997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79"/>
        <v>52-16</v>
      </c>
      <c r="AE222" s="99" t="str">
        <f t="shared" si="80"/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AF222" s="96" t="str">
        <f t="shared" si="81"/>
        <v>"C:\Program Files (x86)\AstroGrep\AstroGrep.exe" /spath="%USERPROFILE%\AppData\Local\Temp\OnboardLogs" /stypes="app*4005*20160916*" /stext=" 17:.+((SYSTEM_STATE.+slice.+state.+changed )|(ment ac)|(system.+state.+changed )|(\|lc)|(penalty)|(\[timeout)|(PRM\|1\|D)|(kpr)|(kdp))" /e /r /s</v>
      </c>
      <c r="AG222" s="1" t="str">
        <f t="shared" si="82"/>
        <v>Other</v>
      </c>
      <c r="AH222" s="100" t="str">
        <f t="shared" si="68"/>
        <v>"%USERPROFILE%\Documents\GitHub\eaglep3\Utilities\RefineRTDCRunTimes.py" --tripid 52-16 --locoid 4005 --swversion DE.1.0.7.0 --startMP 300:23366 --initTime 2016-09-16T11:00:54 --startdatetime 2016-09-16T11:02:53 --delay 1 --endMP 204:897 --enddatetime 2016-09-16T11:11:52 --enforcementcount 0 &gt;&gt;C:\Users\stu\Documents\GitHub\eaglep3-reporting\EC\2016-09-16-refined-times.txt</v>
      </c>
      <c r="AI222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{"issue":{"subject":"","project_id":79,"tracker_id":40,"status_id":1,"priority_id":2,"assigned_to_id":23,"start_date":"2016-09-16","description":"","custom_fields":[{"id":1,"name":"Subdivision","value":"Other"},{"id":4,"name":"Milepost","value":"0.0897"},{"id":17,"name":"Train ID","value":"52-16"},{"id":16,"name":"Locomotive ID","value":"4005"},{"id":130,"name":"Impact","value":""},{"id":150,"name":"Time of Event (Mountain Time)","value":"11:11:52"},{"id":151,"name":"Denver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489</v>
      </c>
      <c r="B223" s="7">
        <v>4006</v>
      </c>
      <c r="C223" s="24" t="s">
        <v>107</v>
      </c>
      <c r="D223" s="24" t="s">
        <v>708</v>
      </c>
      <c r="E223" s="15">
        <v>42629.511840277781</v>
      </c>
      <c r="F223" s="15">
        <v>42629.51730324074</v>
      </c>
      <c r="G223" s="7">
        <v>1</v>
      </c>
      <c r="H223" s="15" t="s">
        <v>709</v>
      </c>
      <c r="I223" s="15">
        <v>42629.523333333331</v>
      </c>
      <c r="J223" s="7">
        <v>0</v>
      </c>
      <c r="K223" s="121" t="str">
        <f t="shared" si="70"/>
        <v>4005/4006</v>
      </c>
      <c r="L223" s="24" t="str">
        <f>VLOOKUP(A223,'Trips&amp;Operators'!$C$1:$E$10000,3,FALSE)</f>
        <v>STRICKLAND</v>
      </c>
      <c r="M223" s="6">
        <f t="shared" si="71"/>
        <v>6.0300925906631164E-3</v>
      </c>
      <c r="N223" s="7">
        <f t="shared" si="67"/>
        <v>8.6833333305548877</v>
      </c>
      <c r="O223" s="7"/>
      <c r="P223" s="7"/>
      <c r="Q223" s="25"/>
      <c r="R223" s="25"/>
      <c r="S223" s="37">
        <f t="shared" si="84"/>
        <v>0</v>
      </c>
      <c r="T223" s="52" t="e">
        <f t="shared" si="72"/>
        <v>#VALUE!</v>
      </c>
      <c r="U223" s="163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11:17:03-0600',mode:absolute,to:'2016-09-16 13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3" s="54" t="str">
        <f t="shared" si="74"/>
        <v>Y</v>
      </c>
      <c r="X223" s="168" t="e">
        <f t="shared" si="83"/>
        <v>#VALUE!</v>
      </c>
      <c r="Y223" s="69">
        <f t="shared" si="76"/>
        <v>0.1203</v>
      </c>
      <c r="Z223" s="69">
        <f t="shared" si="77"/>
        <v>2.4207999999999998</v>
      </c>
      <c r="AA223" s="69">
        <f t="shared" si="78"/>
        <v>2.3005</v>
      </c>
      <c r="AB223" s="66" t="e">
        <f>VLOOKUP(A223,Enforcements!$C$7:$K$20,8,0)</f>
        <v>#N/A</v>
      </c>
      <c r="AC223" s="62" t="e">
        <f>VLOOKUP(A223,Enforcements!$C$7:$E$20,3,0)</f>
        <v>#N/A</v>
      </c>
      <c r="AD223" s="63" t="str">
        <f t="shared" si="79"/>
        <v>53-16</v>
      </c>
      <c r="AE223" s="99" t="str">
        <f t="shared" si="80"/>
        <v>aws s3 cp s3://rtdc.mdm.uploadarchive/RTDC4006/2016-09-16/ "%USERPROFILE%\AppData\Local\Temp\OnboardLogs"\RTDC4006\2016-09-16 --recursive &amp; "%USERPROFILE%\Documents\GitHub\mrs-test-scripts\Headless Mode &amp; Sideloading\WalkAndUnGZ.bat" "%USERPROFILE%\AppData\Local\Temp\OnboardLogs"\RTDC4006\2016-09-16 &amp; 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</v>
      </c>
      <c r="AF223" s="96" t="str">
        <f t="shared" si="81"/>
        <v>"C:\Program Files (x86)\AstroGrep\AstroGrep.exe" /spath="%USERPROFILE%\AppData\Local\Temp\OnboardLogs" /stypes="app*4006*20160916*" /stext=" 18:.+((SYSTEM_STATE.+slice.+state.+changed )|(ment ac)|(system.+state.+changed )|(\|lc)|(penalty)|(\[timeout)|(PRM\|1\|D)|(kpr)|(kdp))" /e /r /s</v>
      </c>
      <c r="AG223" s="1" t="str">
        <f t="shared" si="82"/>
        <v>Other</v>
      </c>
      <c r="AH223" s="100" t="str">
        <f t="shared" si="68"/>
        <v>"%USERPROFILE%\Documents\GitHub\eaglep3\Utilities\RefineRTDCRunTimes.py" --tripid 53-16 --locoid 4006 --swversion DE.1.0.7.0 --startMP 204:1203 --initTime 2016-09-16T12:17:03 --startdatetime 2016-09-16T12:24:55 --delay 1 --endMP 300:24208 --enddatetime 2016-09-16T12:33:36 --enforcementcount 0 &gt;&gt;C:\Users\stu\Documents\GitHub\eaglep3-reporting\EC\2016-09-16-refined-times.txt</v>
      </c>
      <c r="AI223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{"issue":{"subject":"","project_id":79,"tracker_id":40,"status_id":1,"priority_id":2,"assigned_to_id":23,"start_date":"2016-09-16","description":"","custom_fields":[{"id":1,"name":"Subdivision","value":"Other"},{"id":4,"name":"Milepost","value":"2.4208"},{"id":17,"name":"Train ID","value":"53-16"},{"id":16,"name":"Locomotive ID","value":"4006"},{"id":130,"name":"Impact","value":""},{"id":150,"name":"Time of Event (Mountain Time)","value":"12:33:36"},{"id":151,"name":"Denver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555</v>
      </c>
      <c r="B224" s="7">
        <v>4005</v>
      </c>
      <c r="C224" s="24" t="s">
        <v>107</v>
      </c>
      <c r="D224" s="24" t="s">
        <v>710</v>
      </c>
      <c r="E224" s="15">
        <v>42629.735763888886</v>
      </c>
      <c r="F224" s="15">
        <v>42629.738182870373</v>
      </c>
      <c r="G224" s="7">
        <v>3</v>
      </c>
      <c r="H224" s="15" t="s">
        <v>711</v>
      </c>
      <c r="I224" s="15">
        <v>42629.738275462965</v>
      </c>
      <c r="J224" s="7">
        <v>0</v>
      </c>
      <c r="K224" s="121" t="str">
        <f t="shared" si="70"/>
        <v>4005/4006</v>
      </c>
      <c r="L224" s="24" t="str">
        <f>VLOOKUP(A224,'Trips&amp;Operators'!$C$1:$E$10000,3,FALSE)</f>
        <v>CHANDLER</v>
      </c>
      <c r="M224" s="6">
        <f t="shared" si="71"/>
        <v>9.2592592409346253E-5</v>
      </c>
      <c r="N224" s="7">
        <f t="shared" si="67"/>
        <v>0.1333333330694586</v>
      </c>
      <c r="O224" s="7"/>
      <c r="P224" s="7"/>
      <c r="Q224" s="25"/>
      <c r="R224" s="25"/>
      <c r="S224" s="37">
        <f t="shared" si="84"/>
        <v>0</v>
      </c>
      <c r="T224" s="52" t="e">
        <f t="shared" si="72"/>
        <v>#VALUE!</v>
      </c>
      <c r="U224" s="163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16:39:30-0600',mode:absolute,to:'2016-09-16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4" s="54" t="str">
        <f t="shared" si="74"/>
        <v>Y</v>
      </c>
      <c r="X224" s="168" t="e">
        <f t="shared" si="83"/>
        <v>#VALUE!</v>
      </c>
      <c r="Y224" s="69">
        <f t="shared" si="76"/>
        <v>2.4580000000000002</v>
      </c>
      <c r="Z224" s="69">
        <f t="shared" si="77"/>
        <v>2.4315000000000002</v>
      </c>
      <c r="AA224" s="69">
        <f t="shared" si="78"/>
        <v>2.6499999999999968E-2</v>
      </c>
      <c r="AB224" s="66" t="e">
        <f>VLOOKUP(A224,Enforcements!$C$7:$K$20,8,0)</f>
        <v>#N/A</v>
      </c>
      <c r="AC224" s="62" t="e">
        <f>VLOOKUP(A224,Enforcements!$C$7:$E$20,3,0)</f>
        <v>#N/A</v>
      </c>
      <c r="AD224" s="63" t="str">
        <f t="shared" si="79"/>
        <v>54-16</v>
      </c>
      <c r="AE224" s="99" t="str">
        <f t="shared" si="80"/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AF224" s="96" t="str">
        <f t="shared" si="81"/>
        <v>"C:\Program Files (x86)\AstroGrep\AstroGrep.exe" /spath="%USERPROFILE%\AppData\Local\Temp\OnboardLogs" /stypes="app*4005*20160916*" /stext=" 23:.+((SYSTEM_STATE.+slice.+state.+changed )|(ment ac)|(system.+state.+changed )|(\|lc)|(penalty)|(\[timeout)|(PRM\|1\|D)|(kpr)|(kdp))" /e /r /s</v>
      </c>
      <c r="AG224" s="1" t="str">
        <f t="shared" si="82"/>
        <v>Other</v>
      </c>
      <c r="AH224" s="100" t="str">
        <f t="shared" si="68"/>
        <v>"%USERPROFILE%\Documents\GitHub\eaglep3\Utilities\RefineRTDCRunTimes.py" --tripid 54-16 --locoid 4005 --swversion DE.1.0.7.0 --startMP 300:24580 --initTime 2016-09-16T17:39:30 --startdatetime 2016-09-16T17:42:59 --delay 3 --endMP 300:24315 --enddatetime 2016-09-16T17:43:07 --enforcementcount 0 &gt;&gt;C:\Users\stu\Documents\GitHub\eaglep3-reporting\EC\2016-09-16-refined-times.txt</v>
      </c>
      <c r="AI224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{"issue":{"subject":"","project_id":79,"tracker_id":40,"status_id":1,"priority_id":2,"assigned_to_id":23,"start_date":"2016-09-16","description":"","custom_fields":[{"id":1,"name":"Subdivision","value":"Other"},{"id":4,"name":"Milepost","value":"2.4315"},{"id":17,"name":"Train ID","value":"54-16"},{"id":16,"name":"Locomotive ID","value":"4005"},{"id":130,"name":"Impact","value":""},{"id":150,"name":"Time of Event (Mountain Time)","value":"17:43:07"},{"id":151,"name":"Denver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</sheetData>
  <autoFilter ref="A12:AG26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5" priority="286" operator="equal">
      <formula>"Y"</formula>
    </cfRule>
  </conditionalFormatting>
  <conditionalFormatting sqref="X13:X1048576">
    <cfRule type="cellIs" dxfId="14" priority="269" operator="greaterThan">
      <formula>1</formula>
    </cfRule>
  </conditionalFormatting>
  <conditionalFormatting sqref="X12:X1048576">
    <cfRule type="cellIs" dxfId="13" priority="266" operator="equal">
      <formula>0</formula>
    </cfRule>
  </conditionalFormatting>
  <conditionalFormatting sqref="A13:S260">
    <cfRule type="expression" dxfId="12" priority="262">
      <formula>$O13&gt;0</formula>
    </cfRule>
  </conditionalFormatting>
  <conditionalFormatting sqref="A13:S260">
    <cfRule type="expression" dxfId="11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A225:S260 S13:S224 A13:Q224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AK13:AK260</xm:sqref>
        </x14:dataValidation>
        <x14:dataValidation type="list" allowBlank="1" showInputMessage="1" showErrorMessage="1">
          <x14:formula1>
            <xm:f>'Redmine List Values'!$C$2:$C$20</xm:f>
          </x14:formula1>
          <xm:sqref>AL13:AL260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6"/>
  <sheetViews>
    <sheetView topLeftCell="A2" workbookViewId="0">
      <selection activeCell="N22" sqref="N2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6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43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- 2016-09-16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183</v>
      </c>
      <c r="J6" s="136" t="s">
        <v>30</v>
      </c>
      <c r="K6" s="137" t="s">
        <v>29</v>
      </c>
      <c r="L6" s="149" t="s">
        <v>28</v>
      </c>
      <c r="M6" s="137" t="s">
        <v>184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163</v>
      </c>
      <c r="Z6" s="145" t="s">
        <v>164</v>
      </c>
      <c r="AA6" s="145" t="s">
        <v>137</v>
      </c>
      <c r="AB6" s="145" t="s">
        <v>165</v>
      </c>
    </row>
    <row r="7" spans="1:28" s="1" customFormat="1" x14ac:dyDescent="0.25">
      <c r="A7" s="38">
        <v>42629.276585648149</v>
      </c>
      <c r="B7" s="33" t="s">
        <v>236</v>
      </c>
      <c r="C7" s="33" t="s">
        <v>417</v>
      </c>
      <c r="D7" s="33" t="s">
        <v>49</v>
      </c>
      <c r="E7" s="33" t="s">
        <v>171</v>
      </c>
      <c r="F7" s="49">
        <v>0</v>
      </c>
      <c r="G7" s="49">
        <v>200</v>
      </c>
      <c r="H7" s="49">
        <v>33044</v>
      </c>
      <c r="I7" s="49">
        <v>33167</v>
      </c>
      <c r="J7" s="33" t="s">
        <v>170</v>
      </c>
      <c r="K7" s="49">
        <v>33137</v>
      </c>
      <c r="L7" s="150" t="s">
        <v>52</v>
      </c>
      <c r="M7" s="153">
        <f t="shared" ref="M7:M38" si="0">CONVERT((I7-K7)/10000,"mi","ft")*IF(L7="Increasing Mileposts (1)",-1,1)</f>
        <v>-15.84</v>
      </c>
      <c r="N7" s="92" t="str">
        <f>VLOOKUP(C7,'Trips&amp;Operators'!$C$1:$E$99999,3,FALSE)</f>
        <v>BRANDNER</v>
      </c>
      <c r="O7" s="174" t="s">
        <v>86</v>
      </c>
      <c r="P7" s="10" t="s">
        <v>269</v>
      </c>
      <c r="Q7" s="33"/>
      <c r="R7" s="108" t="str">
        <f>VLOOKUP(C7,'Train Runs'!$A$13:$AE$10023,31,0)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S7" s="111" t="str">
        <f>VLOOKUP(C7,'Train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05:26:11-0600',mode:absolute,to:'2016-09-16 08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/stypes="*4018*201609161*" /stext=" 12:.+((SYSTEM_STATE.+slice.+state.+changed )|(ment ac)|(system.+state.+changed )|(\|lc)|(penalty)|(\[timeout)|(PRM\|1\|D)|(kpr)|(kdp))" /e /r /s</v>
      </c>
      <c r="U7" s="9" t="str">
        <f t="shared" ref="U7:U38" si="2">MID(B7,13,4)</f>
        <v>4018</v>
      </c>
      <c r="V7" s="38">
        <f t="shared" ref="V7:V38" si="3">A7+6/24</f>
        <v>42629.526585648149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arrival","project_id":79,"tracker_id":40,"status_id":1,"priority_id":2,"assigned_to_id":23,"start_date":"2016-09-16","description":"","custom_fields":[{"id":1,"name":"Subdivision","value":"EC"},{"id":4,"name":"Milepost","value":"3.3137"},{"id":17,"name":"Train ID","value":"123-16"},{"id":16,"name":"Locomotive ID","value":"4018"},{"id":130,"name":"Impact","value":""},{"id":150,"name":"Time of Event (Mountain Time)","value":"06:38:17"},{"id":151,"name":"Denver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</row>
    <row r="8" spans="1:28" s="1" customFormat="1" x14ac:dyDescent="0.25">
      <c r="A8" s="38">
        <v>42629.413587962961</v>
      </c>
      <c r="B8" s="33" t="s">
        <v>407</v>
      </c>
      <c r="C8" s="33" t="s">
        <v>451</v>
      </c>
      <c r="D8" s="33" t="s">
        <v>105</v>
      </c>
      <c r="E8" s="33" t="s">
        <v>171</v>
      </c>
      <c r="F8" s="49">
        <v>0</v>
      </c>
      <c r="G8" s="49">
        <v>202</v>
      </c>
      <c r="H8" s="49">
        <v>33239</v>
      </c>
      <c r="I8" s="49">
        <v>33146</v>
      </c>
      <c r="J8" s="33" t="s">
        <v>170</v>
      </c>
      <c r="K8" s="49">
        <v>33257</v>
      </c>
      <c r="L8" s="150" t="s">
        <v>53</v>
      </c>
      <c r="M8" s="153">
        <f t="shared" si="0"/>
        <v>-58.607999999999997</v>
      </c>
      <c r="N8" s="92" t="str">
        <f>VLOOKUP(C8,'Trips&amp;Operators'!$C$1:$E$99999,3,FALSE)</f>
        <v>SPECTOR</v>
      </c>
      <c r="O8" s="174" t="s">
        <v>86</v>
      </c>
      <c r="P8" s="10" t="s">
        <v>269</v>
      </c>
      <c r="Q8" s="33"/>
      <c r="R8" s="108" t="str">
        <f>VLOOKUP(C8,'Train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8" s="111" t="str">
        <f>VLOOKUP(C8,'Train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08:15:59-0600',mode:absolute,to:'2016-09-16 11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8" s="113" t="str">
        <f t="shared" si="1"/>
        <v>"C:\Program Files (x86)\AstroGrep\AstroGrep.exe" /spath="%USERPROFILE%\AppData\Local\Temp\OnboardLogs" /stypes="*4004*201609161*" /stext=" 15:.+((SYSTEM_STATE.+slice.+state.+changed )|(ment ac)|(system.+state.+changed )|(\|lc)|(penalty)|(\[timeout)|(PRM\|1\|D)|(kpr)|(kdp))" /e /r /s</v>
      </c>
      <c r="U8" s="9" t="str">
        <f t="shared" si="2"/>
        <v>4004</v>
      </c>
      <c r="V8" s="38">
        <f t="shared" si="3"/>
        <v>42629.663587962961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arrival","project_id":79,"tracker_id":40,"status_id":1,"priority_id":2,"assigned_to_id":23,"start_date":"2016-09-16","description":"","custom_fields":[{"id":1,"name":"Subdivision","value":"EC"},{"id":4,"name":"Milepost","value":"3.3257"},{"id":17,"name":"Train ID","value":"140-16"},{"id":16,"name":"Locomotive ID","value":"4004"},{"id":130,"name":"Impact","value":""},{"id":150,"name":"Time of Event (Mountain Time)","value":"09:55:34"},{"id":151,"name":"Denver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</row>
    <row r="9" spans="1:28" s="1" customFormat="1" x14ac:dyDescent="0.25">
      <c r="A9" s="38">
        <v>42629.221388888887</v>
      </c>
      <c r="B9" s="33" t="s">
        <v>379</v>
      </c>
      <c r="C9" s="33" t="s">
        <v>396</v>
      </c>
      <c r="D9" s="33" t="s">
        <v>49</v>
      </c>
      <c r="E9" s="33" t="s">
        <v>171</v>
      </c>
      <c r="F9" s="49">
        <v>250</v>
      </c>
      <c r="G9" s="49">
        <v>300</v>
      </c>
      <c r="H9" s="49">
        <v>34172</v>
      </c>
      <c r="I9" s="49">
        <v>33269</v>
      </c>
      <c r="J9" s="33" t="s">
        <v>170</v>
      </c>
      <c r="K9" s="49">
        <v>33257</v>
      </c>
      <c r="L9" s="150" t="s">
        <v>53</v>
      </c>
      <c r="M9" s="153">
        <f t="shared" si="0"/>
        <v>6.3360000000000003</v>
      </c>
      <c r="N9" s="92" t="str">
        <f>VLOOKUP(C9,'Trips&amp;Operators'!$C$1:$E$99999,3,FALSE)</f>
        <v>DAVIS</v>
      </c>
      <c r="O9" s="174" t="s">
        <v>86</v>
      </c>
      <c r="P9" s="10" t="s">
        <v>269</v>
      </c>
      <c r="Q9" s="33"/>
      <c r="R9" s="108" t="str">
        <f>VLOOKUP(C9,'Train Runs'!$A$13:$AE$10023,31,0)</f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S9" s="111" t="str">
        <f>VLOOKUP(C9,'Train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03:34:42-0600',mode:absolute,to:'2016-09-16 06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9" s="113" t="str">
        <f t="shared" si="1"/>
        <v>"C:\Program Files (x86)\AstroGrep\AstroGrep.exe" /spath="%USERPROFILE%\AppData\Local\Temp\OnboardLogs" /stypes="*4001*201609161*" /stext=" 11:.+((SYSTEM_STATE.+slice.+state.+changed )|(ment ac)|(system.+state.+changed )|(\|lc)|(penalty)|(\[timeout)|(PRM\|1\|D)|(kpr)|(kdp))" /e /r /s</v>
      </c>
      <c r="U9" s="9" t="str">
        <f t="shared" si="2"/>
        <v>4001</v>
      </c>
      <c r="V9" s="38">
        <f t="shared" si="3"/>
        <v>42629.471388888887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arrival","project_id":79,"tracker_id":40,"status_id":1,"priority_id":2,"assigned_to_id":23,"start_date":"2016-09-16","description":"","custom_fields":[{"id":1,"name":"Subdivision","value":"EC"},{"id":4,"name":"Milepost","value":"3.3257"},{"id":17,"name":"Train ID","value":"104-16"},{"id":16,"name":"Locomotive ID","value":"4001"},{"id":130,"name":"Impact","value":""},{"id":150,"name":"Time of Event (Mountain Time)","value":"05:18:48"},{"id":151,"name":"Denver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</row>
    <row r="10" spans="1:28" s="1" customFormat="1" x14ac:dyDescent="0.25">
      <c r="A10" s="38">
        <v>42629.320462962962</v>
      </c>
      <c r="B10" s="33" t="s">
        <v>382</v>
      </c>
      <c r="C10" s="33" t="s">
        <v>429</v>
      </c>
      <c r="D10" s="33" t="s">
        <v>272</v>
      </c>
      <c r="E10" s="33" t="s">
        <v>171</v>
      </c>
      <c r="F10" s="49">
        <v>0</v>
      </c>
      <c r="G10" s="49">
        <v>274</v>
      </c>
      <c r="H10" s="49">
        <v>42859</v>
      </c>
      <c r="I10" s="49">
        <v>43232</v>
      </c>
      <c r="J10" s="33" t="s">
        <v>170</v>
      </c>
      <c r="K10" s="49">
        <v>42779</v>
      </c>
      <c r="L10" s="150" t="s">
        <v>52</v>
      </c>
      <c r="M10" s="153">
        <f t="shared" si="0"/>
        <v>-239.184</v>
      </c>
      <c r="N10" s="92" t="str">
        <f>VLOOKUP(C10,'Trips&amp;Operators'!$C$1:$E$99999,3,FALSE)</f>
        <v>DAVIS</v>
      </c>
      <c r="O10" s="174" t="s">
        <v>86</v>
      </c>
      <c r="P10" s="10" t="s">
        <v>269</v>
      </c>
      <c r="Q10" s="33"/>
      <c r="R10" s="108" t="str">
        <f>VLOOKUP(C10,'Train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10" s="111" t="str">
        <f>VLOOKUP(C10,'Train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06:25:18-0600',mode:absolute,to:'2016-09-16 09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0" s="113" t="str">
        <f t="shared" si="1"/>
        <v>"C:\Program Files (x86)\AstroGrep\AstroGrep.exe" /spath="%USERPROFILE%\AppData\Local\Temp\OnboardLogs" /stypes="*4002*201609161*" /stext=" 13:.+((SYSTEM_STATE.+slice.+state.+changed )|(ment ac)|(system.+state.+changed )|(\|lc)|(penalty)|(\[timeout)|(PRM\|1\|D)|(kpr)|(kdp))" /e /r /s</v>
      </c>
      <c r="U10" s="9" t="str">
        <f t="shared" si="2"/>
        <v>4002</v>
      </c>
      <c r="V10" s="38">
        <f t="shared" si="3"/>
        <v>42629.570462962962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arrival","project_id":79,"tracker_id":40,"status_id":1,"priority_id":2,"assigned_to_id":23,"start_date":"2016-09-16","description":"","custom_fields":[{"id":1,"name":"Subdivision","value":"EC"},{"id":4,"name":"Milepost","value":"4.2779"},{"id":17,"name":"Train ID","value":"131-16"},{"id":16,"name":"Locomotive ID","value":"4002"},{"id":130,"name":"Impact","value":""},{"id":150,"name":"Time of Event (Mountain Time)","value":"07:41:28"},{"id":151,"name":"Denver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</row>
    <row r="11" spans="1:28" s="1" customFormat="1" x14ac:dyDescent="0.25">
      <c r="A11" s="38">
        <v>42629.424942129626</v>
      </c>
      <c r="B11" s="33" t="s">
        <v>236</v>
      </c>
      <c r="C11" s="33" t="s">
        <v>456</v>
      </c>
      <c r="D11" s="33" t="s">
        <v>49</v>
      </c>
      <c r="E11" s="33" t="s">
        <v>171</v>
      </c>
      <c r="F11" s="49">
        <v>0</v>
      </c>
      <c r="G11" s="49">
        <v>175</v>
      </c>
      <c r="H11" s="49">
        <v>42767</v>
      </c>
      <c r="I11" s="49">
        <v>42869</v>
      </c>
      <c r="J11" s="33" t="s">
        <v>170</v>
      </c>
      <c r="K11" s="49">
        <v>42779</v>
      </c>
      <c r="L11" s="150" t="s">
        <v>52</v>
      </c>
      <c r="M11" s="153">
        <f t="shared" si="0"/>
        <v>-47.52</v>
      </c>
      <c r="N11" s="92" t="str">
        <f>VLOOKUP(C11,'Trips&amp;Operators'!$C$1:$E$99999,3,FALSE)</f>
        <v>BRANDNER</v>
      </c>
      <c r="O11" s="174" t="s">
        <v>86</v>
      </c>
      <c r="P11" s="10" t="s">
        <v>269</v>
      </c>
      <c r="Q11" s="33"/>
      <c r="R11" s="108" t="str">
        <f>VLOOKUP(C11,'Train Runs'!$A$13:$AE$10023,31,0)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S11" s="111" t="str">
        <f>VLOOKUP(C11,'Train Runs'!$A$13:$AE$10023,22,0)</f>
        <v>https://search-rtdc-monitor-bjffxe2xuh6vdkpspy63sjmuny.us-east-1.es.amazonaws.com/_plugin/kibana/#/discover/Steve-Slow-Train-Analysis-(2080s-and-2083s)?_g=(refreshInterval:(display:Off,section:0,value:0),time:(from:'2016-09-16 08:52:41-0600',mode:absolute,to:'2016-09-16 11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1" s="113" t="str">
        <f t="shared" si="1"/>
        <v>"C:\Program Files (x86)\AstroGrep\AstroGrep.exe" /spath="%USERPROFILE%\AppData\Local\Temp\OnboardLogs" /stypes="*4018*201609161*" /stext=" 16:.+((SYSTEM_STATE.+slice.+state.+changed )|(ment ac)|(system.+state.+changed )|(\|lc)|(penalty)|(\[timeout)|(PRM\|1\|D)|(kpr)|(kdp))" /e /r /s</v>
      </c>
      <c r="U11" s="9" t="str">
        <f t="shared" si="2"/>
        <v>4018</v>
      </c>
      <c r="V11" s="38">
        <f t="shared" si="3"/>
        <v>42629.674942129626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arrival","project_id":79,"tracker_id":40,"status_id":1,"priority_id":2,"assigned_to_id":23,"start_date":"2016-09-16","description":"","custom_fields":[{"id":1,"name":"Subdivision","value":"EC"},{"id":4,"name":"Milepost","value":"4.2779"},{"id":17,"name":"Train ID","value":"151-16"},{"id":16,"name":"Locomotive ID","value":"4018"},{"id":130,"name":"Impact","value":""},{"id":150,"name":"Time of Event (Mountain Time)","value":"10:11:55"},{"id":151,"name":"Denver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</row>
    <row r="12" spans="1:28" s="1" customFormat="1" x14ac:dyDescent="0.25">
      <c r="A12" s="38">
        <v>42629.32671296296</v>
      </c>
      <c r="B12" s="33" t="s">
        <v>290</v>
      </c>
      <c r="C12" s="33" t="s">
        <v>428</v>
      </c>
      <c r="D12" s="33" t="s">
        <v>272</v>
      </c>
      <c r="E12" s="33" t="s">
        <v>171</v>
      </c>
      <c r="F12" s="49">
        <v>0</v>
      </c>
      <c r="G12" s="49">
        <v>113</v>
      </c>
      <c r="H12" s="49">
        <v>63176</v>
      </c>
      <c r="I12" s="49">
        <v>63117</v>
      </c>
      <c r="J12" s="33" t="s">
        <v>170</v>
      </c>
      <c r="K12" s="49">
        <v>63309</v>
      </c>
      <c r="L12" s="150" t="s">
        <v>53</v>
      </c>
      <c r="M12" s="153">
        <f t="shared" si="0"/>
        <v>-101.376</v>
      </c>
      <c r="N12" s="92" t="str">
        <f>VLOOKUP(C12,'Trips&amp;Operators'!$C$1:$E$99999,3,FALSE)</f>
        <v>BRANDNER</v>
      </c>
      <c r="O12" s="174" t="s">
        <v>86</v>
      </c>
      <c r="P12" s="10" t="s">
        <v>269</v>
      </c>
      <c r="Q12" s="33"/>
      <c r="R12" s="108" t="str">
        <f>VLOOKUP(C12,'Train Runs'!$A$13:$AE$10023,31,0)</f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S12" s="111" t="str">
        <f>VLOOKUP(C12,'Train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06:17:35-0600',mode:absolute,to:'2016-09-16 09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2" s="113" t="str">
        <f t="shared" si="1"/>
        <v>"C:\Program Files (x86)\AstroGrep\AstroGrep.exe" /spath="%USERPROFILE%\AppData\Local\Temp\OnboardLogs" /stypes="*4017*201609161*" /stext=" 13:.+((SYSTEM_STATE.+slice.+state.+changed )|(ment ac)|(system.+state.+changed )|(\|lc)|(penalty)|(\[timeout)|(PRM\|1\|D)|(kpr)|(kdp))" /e /r /s</v>
      </c>
      <c r="U12" s="9" t="str">
        <f t="shared" si="2"/>
        <v>4017</v>
      </c>
      <c r="V12" s="38">
        <f t="shared" si="3"/>
        <v>42629.57671296296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arrival","project_id":79,"tracker_id":40,"status_id":1,"priority_id":2,"assigned_to_id":23,"start_date":"2016-09-16","description":"","custom_fields":[{"id":1,"name":"Subdivision","value":"EC"},{"id":4,"name":"Milepost","value":"6.3309"},{"id":17,"name":"Train ID","value":"124-16"},{"id":16,"name":"Locomotive ID","value":"4017"},{"id":130,"name":"Impact","value":""},{"id":150,"name":"Time of Event (Mountain Time)","value":"07:50:28"},{"id":151,"name":"Denver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</row>
    <row r="13" spans="1:28" s="1" customFormat="1" x14ac:dyDescent="0.25">
      <c r="A13" s="38">
        <v>42629.461377314816</v>
      </c>
      <c r="B13" s="33" t="s">
        <v>181</v>
      </c>
      <c r="C13" s="33" t="s">
        <v>464</v>
      </c>
      <c r="D13" s="33" t="s">
        <v>49</v>
      </c>
      <c r="E13" s="33" t="s">
        <v>171</v>
      </c>
      <c r="F13" s="49">
        <v>330</v>
      </c>
      <c r="G13" s="49">
        <v>388</v>
      </c>
      <c r="H13" s="49">
        <v>78542</v>
      </c>
      <c r="I13" s="49">
        <v>77530</v>
      </c>
      <c r="J13" s="33" t="s">
        <v>170</v>
      </c>
      <c r="K13" s="49">
        <v>78469</v>
      </c>
      <c r="L13" s="150" t="s">
        <v>53</v>
      </c>
      <c r="M13" s="153">
        <f t="shared" si="0"/>
        <v>-495.79199999999997</v>
      </c>
      <c r="N13" s="92" t="str">
        <f>VLOOKUP(C13,'Trips&amp;Operators'!$C$1:$E$99999,3,FALSE)</f>
        <v>RICHARDSON</v>
      </c>
      <c r="O13" s="174" t="s">
        <v>86</v>
      </c>
      <c r="P13" s="10" t="s">
        <v>269</v>
      </c>
      <c r="Q13" s="33"/>
      <c r="R13" s="108" t="str">
        <f>VLOOKUP(C13,'Train Runs'!$A$13:$AE$10023,31,0)</f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S13" s="111" t="str">
        <f>VLOOKUP(C13,'Train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09:35:20-0600',mode:absolute,to:'2016-09-16 12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3" s="113" t="str">
        <f t="shared" si="1"/>
        <v>"C:\Program Files (x86)\AstroGrep\AstroGrep.exe" /spath="%USERPROFILE%\AppData\Local\Temp\OnboardLogs" /stypes="*4010*201609161*" /stext=" 17:.+((SYSTEM_STATE.+slice.+state.+changed )|(ment ac)|(system.+state.+changed )|(\|lc)|(penalty)|(\[timeout)|(PRM\|1\|D)|(kpr)|(kdp))" /e /r /s</v>
      </c>
      <c r="U13" s="9" t="str">
        <f t="shared" si="2"/>
        <v>4010</v>
      </c>
      <c r="V13" s="38">
        <f t="shared" si="3"/>
        <v>42629.711377314816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arrival","project_id":79,"tracker_id":40,"status_id":1,"priority_id":2,"assigned_to_id":23,"start_date":"2016-09-16","description":"","custom_fields":[{"id":1,"name":"Subdivision","value":"EC"},{"id":4,"name":"Milepost","value":"7.8469"},{"id":17,"name":"Train ID","value":"150-16"},{"id":16,"name":"Locomotive ID","value":"4010"},{"id":130,"name":"Impact","value":""},{"id":150,"name":"Time of Event (Mountain Time)","value":"11:04:23"},{"id":151,"name":"Denver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</row>
    <row r="14" spans="1:28" s="1" customFormat="1" x14ac:dyDescent="0.25">
      <c r="A14" s="38">
        <v>42629.752986111111</v>
      </c>
      <c r="B14" s="33" t="s">
        <v>382</v>
      </c>
      <c r="C14" s="33" t="s">
        <v>558</v>
      </c>
      <c r="D14" s="33" t="s">
        <v>49</v>
      </c>
      <c r="E14" s="33" t="s">
        <v>56</v>
      </c>
      <c r="F14" s="49">
        <v>400</v>
      </c>
      <c r="G14" s="49">
        <v>469</v>
      </c>
      <c r="H14" s="49">
        <v>17339</v>
      </c>
      <c r="I14" s="49">
        <v>18061</v>
      </c>
      <c r="J14" s="33" t="s">
        <v>57</v>
      </c>
      <c r="K14" s="49">
        <v>17867</v>
      </c>
      <c r="L14" s="150" t="s">
        <v>52</v>
      </c>
      <c r="M14" s="153">
        <f t="shared" si="0"/>
        <v>-102.432</v>
      </c>
      <c r="N14" s="92" t="str">
        <f>VLOOKUP(C14,'Trips&amp;Operators'!$C$1:$E$99999,3,FALSE)</f>
        <v>HILLS</v>
      </c>
      <c r="O14" s="174" t="s">
        <v>86</v>
      </c>
      <c r="P14" s="10"/>
      <c r="Q14" s="33"/>
      <c r="R14" s="108" t="str">
        <f>VLOOKUP(C14,'Train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14" s="111" t="str">
        <f>VLOOKUP(C14,'Train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16:53:46-0600',mode:absolute,to:'2016-09-16 19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4" s="113" t="str">
        <f t="shared" si="1"/>
        <v>"C:\Program Files (x86)\AstroGrep\AstroGrep.exe" /spath="%USERPROFILE%\AppData\Local\Temp\OnboardLogs" /stypes="*4002*201609170*" /stext=" 00:.+((SYSTEM_STATE.+slice.+state.+changed )|(ment ac)|(system.+state.+changed )|(\|lc)|(penalty)|(\[timeout)|(PRM\|1\|D)|(kpr)|(kdp))" /e /r /s</v>
      </c>
      <c r="U14" s="9" t="str">
        <f t="shared" si="2"/>
        <v>4002</v>
      </c>
      <c r="V14" s="38">
        <f t="shared" si="3"/>
        <v>42630.002986111111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{"issue":{"subject":"","project_id":79,"tracker_id":40,"status_id":1,"priority_id":2,"assigned_to_id":23,"start_date":"2016-09-16","description":"","custom_fields":[{"id":1,"name":"Subdivision","value":"EC"},{"id":4,"name":"Milepost","value":"1.7867"},{"id":17,"name":"Train ID","value":"215-16"},{"id":16,"name":"Locomotive ID","value":"4002"},{"id":130,"name":"Impact","value":""},{"id":150,"name":"Time of Event (Mountain Time)","value":"18:04:18"},{"id":151,"name":"Denver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</row>
    <row r="15" spans="1:28" s="1" customFormat="1" x14ac:dyDescent="0.25">
      <c r="A15" s="38">
        <v>42629.242743055554</v>
      </c>
      <c r="B15" s="33" t="s">
        <v>289</v>
      </c>
      <c r="C15" s="33" t="s">
        <v>401</v>
      </c>
      <c r="D15" s="33" t="s">
        <v>49</v>
      </c>
      <c r="E15" s="33" t="s">
        <v>56</v>
      </c>
      <c r="F15" s="49">
        <v>300</v>
      </c>
      <c r="G15" s="49">
        <v>377</v>
      </c>
      <c r="H15" s="49">
        <v>23064</v>
      </c>
      <c r="I15" s="49">
        <v>22101</v>
      </c>
      <c r="J15" s="33" t="s">
        <v>57</v>
      </c>
      <c r="K15" s="49">
        <v>21848</v>
      </c>
      <c r="L15" s="150" t="s">
        <v>53</v>
      </c>
      <c r="M15" s="153">
        <f t="shared" si="0"/>
        <v>133.584</v>
      </c>
      <c r="N15" s="92" t="str">
        <f>VLOOKUP(C15,'Trips&amp;Operators'!$C$1:$E$99999,3,FALSE)</f>
        <v>MALAVE</v>
      </c>
      <c r="O15" s="174" t="s">
        <v>86</v>
      </c>
      <c r="P15" s="10"/>
      <c r="Q15" s="33"/>
      <c r="R15" s="108" t="str">
        <f>VLOOKUP(C15,'Train Runs'!$A$13:$AE$10023,31,0)</f>
        <v>aws s3 cp s3://rtdc.mdm.uploadarchive/RTDC4054/2016-09-16/ "%USERPROFILE%\AppData\Local\Temp\OnboardLogs"\RTDC4054\2016-09-16 --recursive &amp; "%USERPROFILE%\Documents\GitHub\mrs-test-scripts\Headless Mode &amp; Sideloading\WalkAndUnGZ.bat" "%USERPROFILE%\AppData\Local\Temp\OnboardLogs"\RTDC4054\2016-09-16 &amp; 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</v>
      </c>
      <c r="S15" s="111" t="str">
        <f>VLOOKUP(C15,'Train Runs'!$A$13:$AE$10023,22,0)</f>
        <v>https://search-rtdc-monitor-bjffxe2xuh6vdkpspy63sjmuny.us-east-1.es.amazonaws.com/_plugin/kibana/#/discover/Steve-Slow-Train-Analysis-(2080s-and-2083s)?_g=(refreshInterval:(display:Off,section:0,value:0),time:(from:'2016-09-16 04:11:49-0600',mode:absolute,to:'2016-09-16 06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5" s="113" t="str">
        <f t="shared" si="1"/>
        <v>"C:\Program Files (x86)\AstroGrep\AstroGrep.exe" /spath="%USERPROFILE%\AppData\Local\Temp\OnboardLogs" /stypes="*4054*201609161*" /stext=" 11:.+((SYSTEM_STATE.+slice.+state.+changed )|(ment ac)|(system.+state.+changed )|(\|lc)|(penalty)|(\[timeout)|(PRM\|1\|D)|(kpr)|(kdp))" /e /r /s</v>
      </c>
      <c r="U15" s="9" t="str">
        <f t="shared" si="2"/>
        <v>4054</v>
      </c>
      <c r="V15" s="38">
        <f t="shared" si="3"/>
        <v>42629.492743055554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{"issue":{"subject":"","project_id":79,"tracker_id":40,"status_id":1,"priority_id":2,"assigned_to_id":23,"start_date":"2016-09-16","description":"","custom_fields":[{"id":1,"name":"Subdivision","value":"EC"},{"id":4,"name":"Milepost","value":"2.1848"},{"id":17,"name":"Train ID","value":"106-16"},{"id":16,"name":"Locomotive ID","value":"4054"},{"id":130,"name":"Impact","value":""},{"id":150,"name":"Time of Event (Mountain Time)","value":"05:49:33"},{"id":151,"name":"Denver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</row>
    <row r="16" spans="1:28" s="1" customFormat="1" x14ac:dyDescent="0.25">
      <c r="A16" s="38">
        <v>42629.488715277781</v>
      </c>
      <c r="B16" s="33" t="s">
        <v>166</v>
      </c>
      <c r="C16" s="33" t="s">
        <v>476</v>
      </c>
      <c r="D16" s="33" t="s">
        <v>49</v>
      </c>
      <c r="E16" s="33" t="s">
        <v>56</v>
      </c>
      <c r="F16" s="49">
        <v>400</v>
      </c>
      <c r="G16" s="49">
        <v>495</v>
      </c>
      <c r="H16" s="49">
        <v>121194</v>
      </c>
      <c r="I16" s="49">
        <v>119472</v>
      </c>
      <c r="J16" s="33" t="s">
        <v>57</v>
      </c>
      <c r="K16" s="49">
        <v>119716</v>
      </c>
      <c r="L16" s="150" t="s">
        <v>53</v>
      </c>
      <c r="M16" s="153">
        <f t="shared" si="0"/>
        <v>-128.83199999999999</v>
      </c>
      <c r="N16" s="92" t="str">
        <f>VLOOKUP(C16,'Trips&amp;Operators'!$C$1:$E$99999,3,FALSE)</f>
        <v>STRICKLAND</v>
      </c>
      <c r="O16" s="174" t="s">
        <v>86</v>
      </c>
      <c r="P16" s="10"/>
      <c r="Q16" s="33"/>
      <c r="R16" s="108" t="str">
        <f>VLOOKUP(C16,'Train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16" s="111" t="str">
        <f>VLOOKUP(C16,'Train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6" s="113" t="str">
        <f t="shared" si="1"/>
        <v>"C:\Program Files (x86)\AstroGrep\AstroGrep.exe" /spath="%USERPROFILE%\AppData\Local\Temp\OnboardLogs" /stypes="*4019*201609161*" /stext=" 17:.+((SYSTEM_STATE.+slice.+state.+changed )|(ment ac)|(system.+state.+changed )|(\|lc)|(penalty)|(\[timeout)|(PRM\|1\|D)|(kpr)|(kdp))" /e /r /s</v>
      </c>
      <c r="U16" s="9" t="str">
        <f t="shared" si="2"/>
        <v>4019</v>
      </c>
      <c r="V16" s="38">
        <f t="shared" si="3"/>
        <v>42629.738715277781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{"issue":{"subject":"","project_id":79,"tracker_id":40,"status_id":1,"priority_id":2,"assigned_to_id":23,"start_date":"2016-09-16","description":"","custom_fields":[{"id":1,"name":"Subdivision","value":"EC"},{"id":4,"name":"Milepost","value":"11.9716"},{"id":17,"name":"Train ID","value":"156-16"},{"id":16,"name":"Locomotive ID","value":"4019"},{"id":130,"name":"Impact","value":""},{"id":150,"name":"Time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</row>
    <row r="17" spans="1:28" s="1" customFormat="1" x14ac:dyDescent="0.25">
      <c r="A17" s="38">
        <v>42630.046886574077</v>
      </c>
      <c r="B17" s="33" t="s">
        <v>130</v>
      </c>
      <c r="C17" s="33" t="s">
        <v>605</v>
      </c>
      <c r="D17" s="33" t="s">
        <v>105</v>
      </c>
      <c r="E17" s="33" t="s">
        <v>56</v>
      </c>
      <c r="F17" s="49">
        <v>600</v>
      </c>
      <c r="G17" s="49">
        <v>651</v>
      </c>
      <c r="H17" s="49">
        <v>186131</v>
      </c>
      <c r="I17" s="49">
        <v>188902</v>
      </c>
      <c r="J17" s="33" t="s">
        <v>57</v>
      </c>
      <c r="K17" s="49">
        <v>183829</v>
      </c>
      <c r="L17" s="150" t="s">
        <v>52</v>
      </c>
      <c r="M17" s="153">
        <f t="shared" si="0"/>
        <v>-2678.5439999999999</v>
      </c>
      <c r="N17" s="92" t="str">
        <f>VLOOKUP(C17,'Trips&amp;Operators'!$C$1:$E$99999,3,FALSE)</f>
        <v>STURGEON</v>
      </c>
      <c r="O17" s="174" t="s">
        <v>86</v>
      </c>
      <c r="P17" s="10"/>
      <c r="Q17" s="33"/>
      <c r="R17" s="108" t="str">
        <f>VLOOKUP(C17,'Train Runs'!$A$13:$AE$10023,31,0)</f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S17" s="111" t="str">
        <f>VLOOKUP(C17,'Train Runs'!$A$13:$AE$10023,22,0)</f>
        <v>https://search-rtdc-monitor-bjffxe2xuh6vdkpspy63sjmuny.us-east-1.es.amazonaws.com/_plugin/kibana/#/discover/Steve-Slow-Train-Analysis-(2080s-and-2083s)?_g=(refreshInterval:(display:Off,section:0,value:0),time:(from:'2016-09-16 23:20:21-0600',mode:absolute,to:'2016-09-17 02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17" s="113" t="str">
        <f t="shared" si="1"/>
        <v>"C:\Program Files (x86)\AstroGrep\AstroGrep.exe" /spath="%USERPROFILE%\AppData\Local\Temp\OnboardLogs" /stypes="*4009*201609170*" /stext=" 07:.+((SYSTEM_STATE.+slice.+state.+changed )|(ment ac)|(system.+state.+changed )|(\|lc)|(penalty)|(\[timeout)|(PRM\|1\|D)|(kpr)|(kdp))" /e /r /s</v>
      </c>
      <c r="U17" s="9" t="str">
        <f t="shared" si="2"/>
        <v>4009</v>
      </c>
      <c r="V17" s="38">
        <f t="shared" si="3"/>
        <v>42630.296886574077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{"issue":{"subject":"","project_id":79,"tracker_id":40,"status_id":1,"priority_id":2,"assigned_to_id":23,"start_date":"2016-09-17","description":"","custom_fields":[{"id":1,"name":"Subdivision","value":"EC"},{"id":4,"name":"Milepost","value":"18.3829"},{"id":17,"name":"Train ID","value":"243-16"},{"id":16,"name":"Locomotive ID","value":"4009"},{"id":130,"name":"Impact","value":""},{"id":150,"name":"Time of Event (Mountain Time)","value":"01:07:31"},{"id":151,"name":"Denver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</row>
    <row r="18" spans="1:28" s="1" customFormat="1" x14ac:dyDescent="0.25">
      <c r="A18" s="38">
        <v>42629.691516203704</v>
      </c>
      <c r="B18" s="33" t="s">
        <v>390</v>
      </c>
      <c r="C18" s="33" t="s">
        <v>530</v>
      </c>
      <c r="D18" s="33" t="s">
        <v>49</v>
      </c>
      <c r="E18" s="33" t="s">
        <v>56</v>
      </c>
      <c r="F18" s="49">
        <v>150</v>
      </c>
      <c r="G18" s="49">
        <v>318</v>
      </c>
      <c r="H18" s="49">
        <v>229314</v>
      </c>
      <c r="I18" s="49">
        <v>229896</v>
      </c>
      <c r="J18" s="33" t="s">
        <v>57</v>
      </c>
      <c r="K18" s="49">
        <v>230436</v>
      </c>
      <c r="L18" s="150" t="s">
        <v>52</v>
      </c>
      <c r="M18" s="153">
        <f t="shared" si="0"/>
        <v>285.12</v>
      </c>
      <c r="N18" s="92" t="str">
        <f>VLOOKUP(C18,'Trips&amp;Operators'!$C$1:$E$99999,3,FALSE)</f>
        <v>HILLS</v>
      </c>
      <c r="O18" s="174" t="s">
        <v>86</v>
      </c>
      <c r="P18" s="10"/>
      <c r="Q18" s="33"/>
      <c r="R18" s="108" t="str">
        <f>VLOOKUP(C18,'Train Runs'!$A$13:$AE$10023,31,0)</f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S18" s="111" t="str">
        <f>VLOOKUP(C18,'Train Runs'!$A$13:$AE$10023,22,0)</f>
        <v>https://search-rtdc-monitor-bjffxe2xuh6vdkpspy63sjmuny.us-east-1.es.amazonaws.com/_plugin/kibana/#/discover/Steve-Slow-Train-Analysis-(2080s-and-2083s)?_g=(refreshInterval:(display:Off,section:0,value:0),time:(from:'2016-09-16 14:55:06-0600',mode:absolute,to:'2016-09-16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18" s="113" t="str">
        <f t="shared" si="1"/>
        <v>"C:\Program Files (x86)\AstroGrep\AstroGrep.exe" /spath="%USERPROFILE%\AppData\Local\Temp\OnboardLogs" /stypes="*4038*201609162*" /stext=" 22:.+((SYSTEM_STATE.+slice.+state.+changed )|(ment ac)|(system.+state.+changed )|(\|lc)|(penalty)|(\[timeout)|(PRM\|1\|D)|(kpr)|(kdp))" /e /r /s</v>
      </c>
      <c r="U18" s="9" t="str">
        <f t="shared" si="2"/>
        <v>4038</v>
      </c>
      <c r="V18" s="38">
        <f t="shared" si="3"/>
        <v>42629.941516203704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{"issue":{"subject":"","project_id":79,"tracker_id":40,"status_id":1,"priority_id":2,"assigned_to_id":23,"start_date":"2016-09-16","description":"","custom_fields":[{"id":1,"name":"Subdivision","value":"EC"},{"id":4,"name":"Milepost","value":"23.0436"},{"id":17,"name":"Train ID","value":"199-16"},{"id":16,"name":"Locomotive ID","value":"4038"},{"id":130,"name":"Impact","value":""},{"id":150,"name":"Time of Event (Mountain Time)","value":"16:35:47"},{"id":151,"name":"Denver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</row>
    <row r="19" spans="1:28" s="1" customFormat="1" x14ac:dyDescent="0.25">
      <c r="A19" s="38">
        <v>42629.686608796299</v>
      </c>
      <c r="B19" s="33" t="s">
        <v>407</v>
      </c>
      <c r="C19" s="33" t="s">
        <v>535</v>
      </c>
      <c r="D19" s="33" t="s">
        <v>105</v>
      </c>
      <c r="E19" s="33" t="s">
        <v>56</v>
      </c>
      <c r="F19" s="49">
        <v>350</v>
      </c>
      <c r="G19" s="49">
        <v>403</v>
      </c>
      <c r="H19" s="49">
        <v>225270</v>
      </c>
      <c r="I19" s="49">
        <v>223891</v>
      </c>
      <c r="J19" s="33" t="s">
        <v>57</v>
      </c>
      <c r="K19" s="49">
        <v>232107</v>
      </c>
      <c r="L19" s="150" t="s">
        <v>53</v>
      </c>
      <c r="M19" s="153">
        <f t="shared" si="0"/>
        <v>-4338.0479999999998</v>
      </c>
      <c r="N19" s="92" t="str">
        <f>VLOOKUP(C19,'Trips&amp;Operators'!$C$1:$E$99999,3,FALSE)</f>
        <v>HAITHCOX</v>
      </c>
      <c r="O19" s="174" t="s">
        <v>86</v>
      </c>
      <c r="P19" s="10"/>
      <c r="Q19" s="33"/>
      <c r="R19" s="108" t="str">
        <f>VLOOKUP(C19,'Train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19" s="111" t="str">
        <f>VLOOKUP(C19,'Train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 t="shared" si="1"/>
        <v>"C:\Program Files (x86)\AstroGrep\AstroGrep.exe" /spath="%USERPROFILE%\AppData\Local\Temp\OnboardLogs" /stypes="*4004*201609162*" /stext=" 22:.+((SYSTEM_STATE.+slice.+state.+changed )|(ment ac)|(system.+state.+changed )|(\|lc)|(penalty)|(\[timeout)|(PRM\|1\|D)|(kpr)|(kdp))" /e /r /s</v>
      </c>
      <c r="U19" s="9" t="str">
        <f t="shared" si="2"/>
        <v>4004</v>
      </c>
      <c r="V19" s="38">
        <f t="shared" si="3"/>
        <v>42629.936608796299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{"issue":{"subject":"","project_id":79,"tracker_id":40,"status_id":1,"priority_id":2,"assigned_to_id":23,"start_date":"2016-09-16","description":"","custom_fields":[{"id":1,"name":"Subdivision","value":"EC"},{"id":4,"name":"Milepost","value":"23.2107"},{"id":17,"name":"Train ID","value":"196-16"},{"id":16,"name":"Locomotive ID","value":"4004"},{"id":130,"name":"Impact","value":""},{"id":150,"name":"Time of Event (Mountain Time)","value":"16:28:43"},{"id":151,"name":"Denver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</row>
    <row r="20" spans="1:28" s="1" customFormat="1" x14ac:dyDescent="0.25">
      <c r="A20" s="38">
        <v>42629.871608796297</v>
      </c>
      <c r="B20" s="33" t="s">
        <v>415</v>
      </c>
      <c r="C20" s="33" t="s">
        <v>583</v>
      </c>
      <c r="D20" s="33" t="s">
        <v>49</v>
      </c>
      <c r="E20" s="33" t="s">
        <v>54</v>
      </c>
      <c r="F20" s="49">
        <v>0</v>
      </c>
      <c r="G20" s="49">
        <v>227</v>
      </c>
      <c r="H20" s="49">
        <v>38078</v>
      </c>
      <c r="I20" s="49">
        <v>37726</v>
      </c>
      <c r="J20" s="33" t="s">
        <v>55</v>
      </c>
      <c r="K20" s="49">
        <v>36657</v>
      </c>
      <c r="L20" s="150" t="s">
        <v>53</v>
      </c>
      <c r="M20" s="153">
        <f t="shared" si="0"/>
        <v>564.43200000000002</v>
      </c>
      <c r="N20" s="92" t="str">
        <f>VLOOKUP(C20,'Trips&amp;Operators'!$C$1:$E$99999,3,FALSE)</f>
        <v>YANAI</v>
      </c>
      <c r="O20" s="174" t="s">
        <v>173</v>
      </c>
      <c r="P20" s="10" t="s">
        <v>776</v>
      </c>
      <c r="Q20" s="33"/>
      <c r="R20" s="108" t="str">
        <f>VLOOKUP(C20,'Train Runs'!$A$13:$AE$10023,31,0)</f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S20" s="111" t="str">
        <f>VLOOKUP(C20,'Train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19:21:23-0600',mode:absolute,to:'2016-09-16 21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0" s="113" t="str">
        <f t="shared" si="1"/>
        <v>"C:\Program Files (x86)\AstroGrep\AstroGrep.exe" /spath="%USERPROFILE%\AppData\Local\Temp\OnboardLogs" /stypes="*4037*201609170*" /stext=" 02:.+((SYSTEM_STATE.+slice.+state.+changed )|(ment ac)|(system.+state.+changed )|(\|lc)|(penalty)|(\[timeout)|(PRM\|1\|D)|(kpr)|(kdp))" /e /r /s</v>
      </c>
      <c r="U20" s="9" t="str">
        <f t="shared" si="2"/>
        <v>4037</v>
      </c>
      <c r="V20" s="38">
        <f t="shared" si="3"/>
        <v>42630.121608796297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{"issue":{"subject":"Signaling failure at EC0365 40-2T 2S?","project_id":79,"tracker_id":40,"status_id":1,"priority_id":2,"assigned_to_id":23,"start_date":"2016-09-16","description":"","custom_fields":[{"id":1,"name":"Subdivision","value":"EC"},{"id":4,"name":"Milepost","value":"3.6657"},{"id":17,"name":"Train ID","value":"224-16"},{"id":16,"name":"Locomotive ID","value":"4037"},{"id":130,"name":"Impact","value":""},{"id":150,"name":"Time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</row>
    <row r="21" spans="1:28" x14ac:dyDescent="0.25">
      <c r="A21" s="38">
        <v>42629.595752314817</v>
      </c>
      <c r="B21" s="33" t="s">
        <v>301</v>
      </c>
      <c r="C21" s="33" t="s">
        <v>505</v>
      </c>
      <c r="D21" s="33" t="s">
        <v>49</v>
      </c>
      <c r="E21" s="33" t="s">
        <v>54</v>
      </c>
      <c r="F21" s="49">
        <v>0</v>
      </c>
      <c r="G21" s="49">
        <v>333</v>
      </c>
      <c r="H21" s="49">
        <v>81985</v>
      </c>
      <c r="I21" s="49">
        <v>80906</v>
      </c>
      <c r="J21" s="33" t="s">
        <v>55</v>
      </c>
      <c r="K21" s="49">
        <v>81751</v>
      </c>
      <c r="L21" s="150" t="s">
        <v>53</v>
      </c>
      <c r="M21" s="153">
        <f t="shared" si="0"/>
        <v>-446.16</v>
      </c>
      <c r="N21" s="92" t="str">
        <f>VLOOKUP(C21,'Trips&amp;Operators'!$C$1:$E$99999,3,FALSE)</f>
        <v>CLARK</v>
      </c>
      <c r="O21" s="174" t="s">
        <v>173</v>
      </c>
      <c r="P21" s="10" t="s">
        <v>179</v>
      </c>
      <c r="Q21" s="33"/>
      <c r="R21" s="108" t="str">
        <f>VLOOKUP(C21,'Train Runs'!$A$13:$AE$10023,31,0)</f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S21" s="111" t="str">
        <f>VLOOKUP(C21,'Train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12:48:33-0600',mode:absolute,to:'2016-09-16 15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1" s="113" t="str">
        <f t="shared" si="1"/>
        <v>"C:\Program Files (x86)\AstroGrep\AstroGrep.exe" /spath="%USERPROFILE%\AppData\Local\Temp\OnboardLogs" /stypes="*4043*201609162*" /stext=" 20:.+((SYSTEM_STATE.+slice.+state.+changed )|(ment ac)|(system.+state.+changed )|(\|lc)|(penalty)|(\[timeout)|(PRM\|1\|D)|(kpr)|(kdp))" /e /r /s</v>
      </c>
      <c r="U21" s="9" t="str">
        <f t="shared" si="2"/>
        <v>4043</v>
      </c>
      <c r="V21" s="38">
        <f t="shared" si="3"/>
        <v>42629.845752314817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outage","project_id":79,"tracker_id":40,"status_id":1,"priority_id":2,"assigned_to_id":23,"start_date":"2016-09-16","description":"","custom_fields":[{"id":1,"name":"Subdivision","value":"EC"},{"id":4,"name":"Milepost","value":"8.1751"},{"id":17,"name":"Train ID","value":"176-16"},{"id":16,"name":"Locomotive ID","value":"4043"},{"id":130,"name":"Impact","value":""},{"id":150,"name":"Time of Event (Mountain Time)","value":"14:17:53"},{"id":151,"name":"Denver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</row>
    <row r="22" spans="1:28" x14ac:dyDescent="0.25">
      <c r="A22" s="38">
        <v>42629.839745370373</v>
      </c>
      <c r="B22" s="33" t="s">
        <v>407</v>
      </c>
      <c r="C22" s="33" t="s">
        <v>580</v>
      </c>
      <c r="D22" s="33" t="s">
        <v>49</v>
      </c>
      <c r="E22" s="33" t="s">
        <v>54</v>
      </c>
      <c r="F22" s="49">
        <v>0</v>
      </c>
      <c r="G22" s="49">
        <v>57</v>
      </c>
      <c r="H22" s="49">
        <v>133318</v>
      </c>
      <c r="I22" s="49">
        <v>133229</v>
      </c>
      <c r="J22" s="33" t="s">
        <v>55</v>
      </c>
      <c r="K22" s="49">
        <v>133166</v>
      </c>
      <c r="L22" s="150" t="s">
        <v>53</v>
      </c>
      <c r="M22" s="153">
        <f t="shared" si="0"/>
        <v>33.264000000000003</v>
      </c>
      <c r="N22" s="92" t="str">
        <f>VLOOKUP(C22,'Trips&amp;Operators'!$C$1:$E$99999,3,FALSE)</f>
        <v>LEVIN</v>
      </c>
      <c r="O22" s="174" t="s">
        <v>173</v>
      </c>
      <c r="P22" s="10" t="s">
        <v>179</v>
      </c>
      <c r="Q22" s="33"/>
      <c r="R22" s="108" t="str">
        <f>VLOOKUP(C22,'Train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2" s="111" t="str">
        <f>VLOOKUP(C22,'Train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2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2" s="9" t="str">
        <f t="shared" si="2"/>
        <v>4004</v>
      </c>
      <c r="V22" s="38">
        <f t="shared" si="3"/>
        <v>42630.089745370373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outage","project_id":79,"tracker_id":40,"status_id":1,"priority_id":2,"assigned_to_id":23,"start_date":"2016-09-16","description":"","custom_fields":[{"id":1,"name":"Subdivision","value":"EC"},{"id":4,"name":"Milepost","value":"13.3166"},{"id":17,"name":"Train ID","value":"222-16"},{"id":16,"name":"Locomotive ID","value":"4004"},{"id":130,"name":"Impact","value":""},{"id":150,"name":"Time of Event (Mountain Time)","value":"20:09:14"},{"id":151,"name":"Denver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</row>
    <row r="23" spans="1:28" x14ac:dyDescent="0.25">
      <c r="A23" s="38">
        <v>42629.84170138889</v>
      </c>
      <c r="B23" s="33" t="s">
        <v>407</v>
      </c>
      <c r="C23" s="33" t="s">
        <v>580</v>
      </c>
      <c r="D23" s="33" t="s">
        <v>49</v>
      </c>
      <c r="E23" s="33" t="s">
        <v>54</v>
      </c>
      <c r="F23" s="49">
        <v>0</v>
      </c>
      <c r="G23" s="49">
        <v>57</v>
      </c>
      <c r="H23" s="49">
        <v>133318</v>
      </c>
      <c r="I23" s="49">
        <v>132244</v>
      </c>
      <c r="J23" s="33" t="s">
        <v>55</v>
      </c>
      <c r="K23" s="49">
        <v>133166</v>
      </c>
      <c r="L23" s="150" t="s">
        <v>53</v>
      </c>
      <c r="M23" s="153">
        <f t="shared" si="0"/>
        <v>-486.81599999999997</v>
      </c>
      <c r="N23" s="92" t="str">
        <f>VLOOKUP(C23,'Trips&amp;Operators'!$C$1:$E$99999,3,FALSE)</f>
        <v>LEVIN</v>
      </c>
      <c r="O23" s="174" t="s">
        <v>173</v>
      </c>
      <c r="P23" s="10" t="s">
        <v>179</v>
      </c>
      <c r="Q23" s="33"/>
      <c r="R23" s="108" t="str">
        <f>VLOOKUP(C23,'Train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3" s="111" t="str">
        <f>VLOOKUP(C23,'Train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3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3" s="9" t="str">
        <f t="shared" si="2"/>
        <v>4004</v>
      </c>
      <c r="V23" s="38">
        <f t="shared" si="3"/>
        <v>42630.09170138889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outage","project_id":79,"tracker_id":40,"status_id":1,"priority_id":2,"assigned_to_id":23,"start_date":"2016-09-16","description":"","custom_fields":[{"id":1,"name":"Subdivision","value":"EC"},{"id":4,"name":"Milepost","value":"13.3166"},{"id":17,"name":"Train ID","value":"222-16"},{"id":16,"name":"Locomotive ID","value":"4004"},{"id":130,"name":"Impact","value":""},{"id":150,"name":"Time of Event (Mountain Time)","value":"20:12:03"},{"id":151,"name":"Denver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</row>
    <row r="24" spans="1:28" ht="15" customHeight="1" x14ac:dyDescent="0.25">
      <c r="A24" s="38">
        <v>42629.838055555556</v>
      </c>
      <c r="B24" s="33" t="s">
        <v>407</v>
      </c>
      <c r="C24" s="33" t="s">
        <v>580</v>
      </c>
      <c r="D24" s="33" t="s">
        <v>49</v>
      </c>
      <c r="E24" s="33" t="s">
        <v>54</v>
      </c>
      <c r="F24" s="49">
        <v>0</v>
      </c>
      <c r="G24" s="49">
        <v>767</v>
      </c>
      <c r="H24" s="49">
        <v>140892</v>
      </c>
      <c r="I24" s="49">
        <v>137712</v>
      </c>
      <c r="J24" s="33" t="s">
        <v>55</v>
      </c>
      <c r="K24" s="49">
        <v>138851</v>
      </c>
      <c r="L24" s="150" t="s">
        <v>53</v>
      </c>
      <c r="M24" s="153">
        <f t="shared" si="0"/>
        <v>-601.39200000000005</v>
      </c>
      <c r="N24" s="92" t="str">
        <f>VLOOKUP(C24,'Trips&amp;Operators'!$C$1:$E$99999,3,FALSE)</f>
        <v>LEVIN</v>
      </c>
      <c r="O24" s="174" t="s">
        <v>173</v>
      </c>
      <c r="P24" s="10" t="s">
        <v>179</v>
      </c>
      <c r="Q24" s="33"/>
      <c r="R24" s="108" t="str">
        <f>VLOOKUP(C24,'Train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4" s="111" t="str">
        <f>VLOOKUP(C24,'Train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4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4" s="9" t="str">
        <f t="shared" si="2"/>
        <v>4004</v>
      </c>
      <c r="V24" s="38">
        <f t="shared" si="3"/>
        <v>42630.088055555556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outage","project_id":79,"tracker_id":40,"status_id":1,"priority_id":2,"assigned_to_id":23,"start_date":"2016-09-16","description":"","custom_fields":[{"id":1,"name":"Subdivision","value":"EC"},{"id":4,"name":"Milepost","value":"13.8851"},{"id":17,"name":"Train ID","value":"222-16"},{"id":16,"name":"Locomotive ID","value":"4004"},{"id":130,"name":"Impact","value":""},{"id":150,"name":"Time of Event (Mountain Time)","value":"20:06:48"},{"id":151,"name":"Denver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</row>
    <row r="25" spans="1:28" x14ac:dyDescent="0.25">
      <c r="A25" s="38">
        <v>42630.021932870368</v>
      </c>
      <c r="B25" s="33" t="s">
        <v>298</v>
      </c>
      <c r="C25" s="33" t="s">
        <v>603</v>
      </c>
      <c r="D25" s="33" t="s">
        <v>49</v>
      </c>
      <c r="E25" s="33" t="s">
        <v>54</v>
      </c>
      <c r="F25" s="49">
        <v>0</v>
      </c>
      <c r="G25" s="49">
        <v>708</v>
      </c>
      <c r="H25" s="49">
        <v>173900</v>
      </c>
      <c r="I25" s="49">
        <v>176896</v>
      </c>
      <c r="J25" s="33" t="s">
        <v>55</v>
      </c>
      <c r="K25" s="49">
        <v>175383</v>
      </c>
      <c r="L25" s="150" t="s">
        <v>52</v>
      </c>
      <c r="M25" s="153">
        <f t="shared" si="0"/>
        <v>-798.86400000000003</v>
      </c>
      <c r="N25" s="92" t="str">
        <f>VLOOKUP(C25,'Trips&amp;Operators'!$C$1:$E$99999,3,FALSE)</f>
        <v>CHANDLER</v>
      </c>
      <c r="O25" s="174" t="s">
        <v>173</v>
      </c>
      <c r="P25" s="10" t="s">
        <v>179</v>
      </c>
      <c r="Q25" s="33"/>
      <c r="R25" s="108" t="str">
        <f>VLOOKUP(C25,'Train Runs'!$A$13:$AE$10023,31,0)</f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S25" s="111" t="str">
        <f>VLOOKUP(C25,'Train Runs'!$A$13:$AE$10023,22,0)</f>
        <v>https://search-rtdc-monitor-bjffxe2xuh6vdkpspy63sjmuny.us-east-1.es.amazonaws.com/_plugin/kibana/#/discover/Steve-Slow-Train-Analysis-(2080s-and-2083s)?_g=(refreshInterval:(display:Off,section:0,value:0),time:(from:'2016-09-16 22:54:36-0600',mode:absolute,to:'2016-09-17 01:31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5" s="113" t="str">
        <f t="shared" si="1"/>
        <v>"C:\Program Files (x86)\AstroGrep\AstroGrep.exe" /spath="%USERPROFILE%\AppData\Local\Temp\OnboardLogs" /stypes="*4044*201609170*" /stext=" 06:.+((SYSTEM_STATE.+slice.+state.+changed )|(ment ac)|(system.+state.+changed )|(\|lc)|(penalty)|(\[timeout)|(PRM\|1\|D)|(kpr)|(kdp))" /e /r /s</v>
      </c>
      <c r="U25" s="9" t="str">
        <f t="shared" si="2"/>
        <v>4044</v>
      </c>
      <c r="V25" s="38">
        <f t="shared" si="3"/>
        <v>42630.271932870368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{"issue":{"subject":"Wi-MAX outage","project_id":79,"tracker_id":40,"status_id":1,"priority_id":2,"assigned_to_id":23,"start_date":"2016-09-17","description":"","custom_fields":[{"id":1,"name":"Subdivision","value":"EC"},{"id":4,"name":"Milepost","value":"17.5383"},{"id":17,"name":"Train ID","value":"241-16"},{"id":16,"name":"Locomotive ID","value":"4044"},{"id":130,"name":"Impact","value":""},{"id":150,"name":"Time of Event (Mountain Time)","value":"00:31:35"},{"id":151,"name":"Denver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</row>
    <row r="26" spans="1:28" x14ac:dyDescent="0.25">
      <c r="A26" s="38">
        <v>42629.355011574073</v>
      </c>
      <c r="B26" s="33" t="s">
        <v>379</v>
      </c>
      <c r="C26" s="33" t="s">
        <v>440</v>
      </c>
      <c r="D26" s="33" t="s">
        <v>49</v>
      </c>
      <c r="E26" s="33" t="s">
        <v>54</v>
      </c>
      <c r="F26" s="49">
        <v>0</v>
      </c>
      <c r="G26" s="49">
        <v>422</v>
      </c>
      <c r="H26" s="49">
        <v>193953</v>
      </c>
      <c r="I26" s="49">
        <v>192764</v>
      </c>
      <c r="J26" s="33" t="s">
        <v>55</v>
      </c>
      <c r="K26" s="49">
        <v>191723</v>
      </c>
      <c r="L26" s="150" t="s">
        <v>53</v>
      </c>
      <c r="M26" s="153">
        <f t="shared" si="0"/>
        <v>549.64800000000002</v>
      </c>
      <c r="N26" s="92" t="str">
        <f>VLOOKUP(C26,'Trips&amp;Operators'!$C$1:$E$99999,3,FALSE)</f>
        <v>DAVIS</v>
      </c>
      <c r="O26" s="174" t="s">
        <v>86</v>
      </c>
      <c r="P26" s="10" t="s">
        <v>270</v>
      </c>
      <c r="Q26" s="33"/>
      <c r="R26" s="108" t="str">
        <f>VLOOKUP(C26,'Train Runs'!$A$13:$AE$10023,31,0)</f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S26" s="111" t="str">
        <f>VLOOKUP(C26,'Train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07:20:36-0600',mode:absolute,to:'2016-09-16 10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6" s="113" t="str">
        <f t="shared" si="1"/>
        <v>"C:\Program Files (x86)\AstroGrep\AstroGrep.exe" /spath="%USERPROFILE%\AppData\Local\Temp\OnboardLogs" /stypes="*4001*201609161*" /stext=" 14:.+((SYSTEM_STATE.+slice.+state.+changed )|(ment ac)|(system.+state.+changed )|(\|lc)|(penalty)|(\[timeout)|(PRM\|1\|D)|(kpr)|(kdp))" /e /r /s</v>
      </c>
      <c r="U26" s="9" t="str">
        <f t="shared" si="2"/>
        <v>4001</v>
      </c>
      <c r="V26" s="38">
        <f t="shared" si="3"/>
        <v>42629.605011574073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ID","value":"132-16"},{"id":16,"name":"Locomotive ID","value":"4001"},{"id":130,"name":"Impact","value":""},{"id":150,"name":"Time of Event (Mountain Time)","value":"08:31:13"},{"id":151,"name":"Denver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</row>
    <row r="27" spans="1:28" x14ac:dyDescent="0.25">
      <c r="A27" s="38">
        <v>42629.480439814812</v>
      </c>
      <c r="B27" s="33" t="s">
        <v>166</v>
      </c>
      <c r="C27" s="33" t="s">
        <v>476</v>
      </c>
      <c r="D27" s="33" t="s">
        <v>49</v>
      </c>
      <c r="E27" s="33" t="s">
        <v>54</v>
      </c>
      <c r="F27" s="49">
        <v>0</v>
      </c>
      <c r="G27" s="49">
        <v>470</v>
      </c>
      <c r="H27" s="49">
        <v>194346</v>
      </c>
      <c r="I27" s="49">
        <v>192945</v>
      </c>
      <c r="J27" s="33" t="s">
        <v>55</v>
      </c>
      <c r="K27" s="49">
        <v>191723</v>
      </c>
      <c r="L27" s="150" t="s">
        <v>53</v>
      </c>
      <c r="M27" s="153">
        <f t="shared" si="0"/>
        <v>645.21600000000001</v>
      </c>
      <c r="N27" s="92" t="str">
        <f>VLOOKUP(C27,'Trips&amp;Operators'!$C$1:$E$99999,3,FALSE)</f>
        <v>STRICKLAND</v>
      </c>
      <c r="O27" s="174" t="s">
        <v>86</v>
      </c>
      <c r="P27" s="10" t="s">
        <v>270</v>
      </c>
      <c r="Q27" s="33"/>
      <c r="R27" s="108" t="str">
        <f>VLOOKUP(C27,'Train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27" s="111" t="str">
        <f>VLOOKUP(C27,'Train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7" s="113" t="str">
        <f t="shared" si="1"/>
        <v>"C:\Program Files (x86)\AstroGrep\AstroGrep.exe" /spath="%USERPROFILE%\AppData\Local\Temp\OnboardLogs" /stypes="*4019*201609161*" /stext=" 17:.+((SYSTEM_STATE.+slice.+state.+changed )|(ment ac)|(system.+state.+changed )|(\|lc)|(penalty)|(\[timeout)|(PRM\|1\|D)|(kpr)|(kdp))" /e /r /s</v>
      </c>
      <c r="U27" s="9" t="str">
        <f t="shared" si="2"/>
        <v>4019</v>
      </c>
      <c r="V27" s="38">
        <f t="shared" si="3"/>
        <v>42629.730439814812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ID","value":"156-16"},{"id":16,"name":"Locomotive ID","value":"4019"},{"id":130,"name":"Impact","value":""},{"id":150,"name":"Time of Event (Mountain Time)","value":"11:31:50"},{"id":151,"name":"Denver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</row>
    <row r="28" spans="1:28" x14ac:dyDescent="0.25">
      <c r="A28" s="38">
        <v>42629.689155092594</v>
      </c>
      <c r="B28" s="33" t="s">
        <v>407</v>
      </c>
      <c r="C28" s="33" t="s">
        <v>535</v>
      </c>
      <c r="D28" s="33" t="s">
        <v>49</v>
      </c>
      <c r="E28" s="33" t="s">
        <v>54</v>
      </c>
      <c r="F28" s="49">
        <v>0</v>
      </c>
      <c r="G28" s="49">
        <v>437</v>
      </c>
      <c r="H28" s="49">
        <v>194130</v>
      </c>
      <c r="I28" s="49">
        <v>192852</v>
      </c>
      <c r="J28" s="33" t="s">
        <v>55</v>
      </c>
      <c r="K28" s="49">
        <v>191723</v>
      </c>
      <c r="L28" s="150" t="s">
        <v>53</v>
      </c>
      <c r="M28" s="153">
        <f t="shared" si="0"/>
        <v>596.11199999999997</v>
      </c>
      <c r="N28" s="92" t="str">
        <f>VLOOKUP(C28,'Trips&amp;Operators'!$C$1:$E$99999,3,FALSE)</f>
        <v>HAITHCOX</v>
      </c>
      <c r="O28" s="174" t="s">
        <v>86</v>
      </c>
      <c r="P28" s="10" t="s">
        <v>270</v>
      </c>
      <c r="Q28" s="33"/>
      <c r="R28" s="108" t="str">
        <f>VLOOKUP(C28,'Train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8" s="111" t="str">
        <f>VLOOKUP(C28,'Train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8" s="113" t="str">
        <f t="shared" si="1"/>
        <v>"C:\Program Files (x86)\AstroGrep\AstroGrep.exe" /spath="%USERPROFILE%\AppData\Local\Temp\OnboardLogs" /stypes="*4004*201609162*" /stext=" 22:.+((SYSTEM_STATE.+slice.+state.+changed )|(ment ac)|(system.+state.+changed )|(\|lc)|(penalty)|(\[timeout)|(PRM\|1\|D)|(kpr)|(kdp))" /e /r /s</v>
      </c>
      <c r="U28" s="9" t="str">
        <f t="shared" si="2"/>
        <v>4004</v>
      </c>
      <c r="V28" s="38">
        <f t="shared" si="3"/>
        <v>42629.939155092594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ID","value":"196-16"},{"id":16,"name":"Locomotive ID","value":"4004"},{"id":130,"name":"Impact","value":""},{"id":150,"name":"Time of Event (Mountain Time)","value":"16:32:23"},{"id":151,"name":"Denver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</row>
    <row r="29" spans="1:28" x14ac:dyDescent="0.25">
      <c r="A29" s="38">
        <v>42629.207928240743</v>
      </c>
      <c r="B29" s="33" t="s">
        <v>166</v>
      </c>
      <c r="C29" s="33" t="s">
        <v>393</v>
      </c>
      <c r="D29" s="33" t="s">
        <v>49</v>
      </c>
      <c r="E29" s="33" t="s">
        <v>50</v>
      </c>
      <c r="F29" s="49">
        <v>0</v>
      </c>
      <c r="G29" s="49">
        <v>32</v>
      </c>
      <c r="H29" s="49">
        <v>132</v>
      </c>
      <c r="I29" s="49">
        <v>116</v>
      </c>
      <c r="J29" s="33" t="s">
        <v>51</v>
      </c>
      <c r="K29" s="49">
        <v>1</v>
      </c>
      <c r="L29" s="150" t="s">
        <v>53</v>
      </c>
      <c r="M29" s="153">
        <f t="shared" si="0"/>
        <v>60.72</v>
      </c>
      <c r="N29" s="92" t="str">
        <f>VLOOKUP(C29,'Trips&amp;Operators'!$C$1:$E$99999,3,FALSE)</f>
        <v>MAELZER</v>
      </c>
      <c r="O29" s="174" t="s">
        <v>86</v>
      </c>
      <c r="P29" s="10"/>
      <c r="Q29" s="33"/>
      <c r="R29" s="108" t="str">
        <f>VLOOKUP(C29,'Train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29" s="111" t="str">
        <f>VLOOKUP(C29,'Train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03:05:10-0600',mode:absolute,to:'2016-09-16 05:59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9" s="113" t="str">
        <f t="shared" si="1"/>
        <v>"C:\Program Files (x86)\AstroGrep\AstroGrep.exe" /spath="%USERPROFILE%\AppData\Local\Temp\OnboardLogs" /stypes="*4019*201609161*" /stext=" 10:.+((SYSTEM_STATE.+slice.+state.+changed )|(ment ac)|(system.+state.+changed )|(\|lc)|(penalty)|(\[timeout)|(PRM\|1\|D)|(kpr)|(kdp))" /e /r /s</v>
      </c>
      <c r="U29" s="9" t="str">
        <f t="shared" si="2"/>
        <v>4019</v>
      </c>
      <c r="V29" s="38">
        <f t="shared" si="3"/>
        <v>42629.457928240743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ID","value":"102-16"},{"id":16,"name":"Locomotive ID","value":"4019"},{"id":130,"name":"Impact","value":""},{"id":150,"name":"Time of Event (Mountain Time)","value":"04:59:25"},{"id":151,"name":"Denver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</row>
    <row r="30" spans="1:28" x14ac:dyDescent="0.25">
      <c r="A30" s="38">
        <v>42629.505266203705</v>
      </c>
      <c r="B30" s="33" t="s">
        <v>166</v>
      </c>
      <c r="C30" s="33" t="s">
        <v>476</v>
      </c>
      <c r="D30" s="33" t="s">
        <v>49</v>
      </c>
      <c r="E30" s="33" t="s">
        <v>50</v>
      </c>
      <c r="F30" s="49">
        <v>0</v>
      </c>
      <c r="G30" s="49">
        <v>70</v>
      </c>
      <c r="H30" s="49">
        <v>252</v>
      </c>
      <c r="I30" s="49">
        <v>156</v>
      </c>
      <c r="J30" s="33" t="s">
        <v>51</v>
      </c>
      <c r="K30" s="49">
        <v>1</v>
      </c>
      <c r="L30" s="150" t="s">
        <v>53</v>
      </c>
      <c r="M30" s="153">
        <f t="shared" si="0"/>
        <v>81.84</v>
      </c>
      <c r="N30" s="92" t="str">
        <f>VLOOKUP(C30,'Trips&amp;Operators'!$C$1:$E$99999,3,FALSE)</f>
        <v>STRICKLAND</v>
      </c>
      <c r="O30" s="174" t="s">
        <v>86</v>
      </c>
      <c r="P30" s="10"/>
      <c r="Q30" s="33"/>
      <c r="R30" s="108" t="str">
        <f>VLOOKUP(C30,'Train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30" s="111" t="str">
        <f>VLOOKUP(C30,'Train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0" s="113" t="str">
        <f t="shared" si="1"/>
        <v>"C:\Program Files (x86)\AstroGrep\AstroGrep.exe" /spath="%USERPROFILE%\AppData\Local\Temp\OnboardLogs" /stypes="*4019*201609161*" /stext=" 18:.+((SYSTEM_STATE.+slice.+state.+changed )|(ment ac)|(system.+state.+changed )|(\|lc)|(penalty)|(\[timeout)|(PRM\|1\|D)|(kpr)|(kdp))" /e /r /s</v>
      </c>
      <c r="U30" s="9" t="str">
        <f t="shared" si="2"/>
        <v>4019</v>
      </c>
      <c r="V30" s="38">
        <f t="shared" si="3"/>
        <v>42629.755266203705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ID","value":"156-16"},{"id":16,"name":"Locomotive ID","value":"4019"},{"id":130,"name":"Impact","value":""},{"id":150,"name":"Time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</row>
    <row r="31" spans="1:28" ht="15" customHeight="1" x14ac:dyDescent="0.25">
      <c r="A31" s="38">
        <v>42629.796909722223</v>
      </c>
      <c r="B31" s="33" t="s">
        <v>166</v>
      </c>
      <c r="C31" s="33" t="s">
        <v>561</v>
      </c>
      <c r="D31" s="33" t="s">
        <v>49</v>
      </c>
      <c r="E31" s="33" t="s">
        <v>50</v>
      </c>
      <c r="F31" s="49">
        <v>0</v>
      </c>
      <c r="G31" s="49">
        <v>53</v>
      </c>
      <c r="H31" s="49">
        <v>178</v>
      </c>
      <c r="I31" s="49">
        <v>116</v>
      </c>
      <c r="J31" s="33" t="s">
        <v>51</v>
      </c>
      <c r="K31" s="49">
        <v>1</v>
      </c>
      <c r="L31" s="150" t="s">
        <v>53</v>
      </c>
      <c r="M31" s="153">
        <f t="shared" si="0"/>
        <v>60.72</v>
      </c>
      <c r="N31" s="92" t="str">
        <f>VLOOKUP(C31,'Trips&amp;Operators'!$C$1:$E$99999,3,FALSE)</f>
        <v>SWANSON</v>
      </c>
      <c r="O31" s="174" t="s">
        <v>86</v>
      </c>
      <c r="P31" s="10"/>
      <c r="Q31" s="33"/>
      <c r="R31" s="108" t="str">
        <f>VLOOKUP(C31,'Train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31" s="111" t="str">
        <f>VLOOKUP(C31,'Train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17:11:59-0600',mode:absolute,to:'2016-09-16 20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1" s="113" t="str">
        <f t="shared" si="1"/>
        <v>"C:\Program Files (x86)\AstroGrep\AstroGrep.exe" /spath="%USERPROFILE%\AppData\Local\Temp\OnboardLogs" /stypes="*4019*201609170*" /stext=" 01:.+((SYSTEM_STATE.+slice.+state.+changed )|(ment ac)|(system.+state.+changed )|(\|lc)|(penalty)|(\[timeout)|(PRM\|1\|D)|(kpr)|(kdp))" /e /r /s</v>
      </c>
      <c r="U31" s="9" t="str">
        <f t="shared" si="2"/>
        <v>4019</v>
      </c>
      <c r="V31" s="38">
        <f t="shared" si="3"/>
        <v>42630.046909722223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ID","value":"212-16"},{"id":16,"name":"Locomotive ID","value":"4019"},{"id":130,"name":"Impact","value":""},{"id":150,"name":"Time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</row>
    <row r="32" spans="1:28" x14ac:dyDescent="0.25">
      <c r="A32" s="38">
        <v>42630.023645833331</v>
      </c>
      <c r="B32" s="33" t="s">
        <v>407</v>
      </c>
      <c r="C32" s="33" t="s">
        <v>602</v>
      </c>
      <c r="D32" s="33" t="s">
        <v>49</v>
      </c>
      <c r="E32" s="33" t="s">
        <v>50</v>
      </c>
      <c r="F32" s="49">
        <v>0</v>
      </c>
      <c r="G32" s="49">
        <v>41</v>
      </c>
      <c r="H32" s="49">
        <v>138</v>
      </c>
      <c r="I32" s="49">
        <v>116</v>
      </c>
      <c r="J32" s="33" t="s">
        <v>51</v>
      </c>
      <c r="K32" s="49">
        <v>1</v>
      </c>
      <c r="L32" s="150" t="s">
        <v>53</v>
      </c>
      <c r="M32" s="153">
        <f t="shared" si="0"/>
        <v>60.72</v>
      </c>
      <c r="N32" s="92" t="str">
        <f>VLOOKUP(C32,'Trips&amp;Operators'!$C$1:$E$99999,3,FALSE)</f>
        <v>LEVIN</v>
      </c>
      <c r="O32" s="174" t="s">
        <v>86</v>
      </c>
      <c r="P32" s="10"/>
      <c r="Q32" s="33"/>
      <c r="R32" s="108" t="str">
        <f>VLOOKUP(C32,'Train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32" s="111" t="str">
        <f>VLOOKUP(C32,'Train Runs'!$A$13:$AE$10023,22,0)</f>
        <v>https://search-rtdc-monitor-bjffxe2xuh6vdkpspy63sjmuny.us-east-1.es.amazonaws.com/_plugin/kibana/#/discover/Steve-Slow-Train-Analysis-(2080s-and-2083s)?_g=(refreshInterval:(display:Off,section:0,value:0),time:(from:'2016-09-16 22:47:37-0600',mode:absolute,to:'2016-09-17 01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2" s="113" t="str">
        <f t="shared" si="1"/>
        <v>"C:\Program Files (x86)\AstroGrep\AstroGrep.exe" /spath="%USERPROFILE%\AppData\Local\Temp\OnboardLogs" /stypes="*4004*201609170*" /stext=" 06:.+((SYSTEM_STATE.+slice.+state.+changed )|(ment ac)|(system.+state.+changed )|(\|lc)|(penalty)|(\[timeout)|(PRM\|1\|D)|(kpr)|(kdp))" /e /r /s</v>
      </c>
      <c r="U32" s="9" t="str">
        <f t="shared" si="2"/>
        <v>4004</v>
      </c>
      <c r="V32" s="38">
        <f t="shared" si="3"/>
        <v>42630.273645833331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ID","value":"238-16"},{"id":16,"name":"Locomotive ID","value":"4004"},{"id":130,"name":"Impact","value":""},{"id":150,"name":"Time of Event (Mountain Time)","value":"00:34:03"},{"id":151,"name":"Denver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</row>
    <row r="33" spans="1:28" ht="15" customHeight="1" x14ac:dyDescent="0.25">
      <c r="A33" s="38">
        <v>42629.288287037038</v>
      </c>
      <c r="B33" s="33" t="s">
        <v>130</v>
      </c>
      <c r="C33" s="33" t="s">
        <v>411</v>
      </c>
      <c r="D33" s="33" t="s">
        <v>49</v>
      </c>
      <c r="E33" s="33" t="s">
        <v>50</v>
      </c>
      <c r="F33" s="49">
        <v>0</v>
      </c>
      <c r="G33" s="49">
        <v>115</v>
      </c>
      <c r="H33" s="49">
        <v>233026</v>
      </c>
      <c r="I33" s="49">
        <v>233167</v>
      </c>
      <c r="J33" s="33" t="s">
        <v>51</v>
      </c>
      <c r="K33" s="49">
        <v>233491</v>
      </c>
      <c r="L33" s="150" t="s">
        <v>52</v>
      </c>
      <c r="M33" s="153">
        <f t="shared" si="0"/>
        <v>171.072</v>
      </c>
      <c r="N33" s="92" t="str">
        <f>VLOOKUP(C33,'Trips&amp;Operators'!$C$1:$E$99999,3,FALSE)</f>
        <v>RICHARDSON</v>
      </c>
      <c r="O33" s="174" t="s">
        <v>86</v>
      </c>
      <c r="P33" s="10"/>
      <c r="Q33" s="33"/>
      <c r="R33" s="108" t="str">
        <f>VLOOKUP(C33,'Train Runs'!$A$13:$AE$10023,31,0)</f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S33" s="111" t="str">
        <f>VLOOKUP(C33,'Train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05:06:59-0600',mode:absolute,to:'2016-09-16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33" s="113" t="str">
        <f t="shared" si="1"/>
        <v>"C:\Program Files (x86)\AstroGrep\AstroGrep.exe" /spath="%USERPROFILE%\AppData\Local\Temp\OnboardLogs" /stypes="*4009*201609161*" /stext=" 12:.+((SYSTEM_STATE.+slice.+state.+changed )|(ment ac)|(system.+state.+changed )|(\|lc)|(penalty)|(\[timeout)|(PRM\|1\|D)|(kpr)|(kdp))" /e /r /s</v>
      </c>
      <c r="U33" s="9" t="str">
        <f t="shared" si="2"/>
        <v>4009</v>
      </c>
      <c r="V33" s="38">
        <f t="shared" si="3"/>
        <v>42629.538287037038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{"issue":{"subject":"","project_id":79,"tracker_id":40,"status_id":1,"priority_id":2,"assigned_to_id":23,"start_date":"2016-09-16","description":"","custom_fields":[{"id":1,"name":"Subdivision","value":"EC"},{"id":4,"name":"Milepost","value":"23.3491"},{"id":17,"name":"Train ID","value":"121-16"},{"id":16,"name":"Locomotive ID","value":"4009"},{"id":130,"name":"Impact","value":""},{"id":150,"name":"Time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</row>
    <row r="34" spans="1:28" x14ac:dyDescent="0.25">
      <c r="A34" s="38">
        <v>42629.560358796298</v>
      </c>
      <c r="B34" s="33" t="s">
        <v>106</v>
      </c>
      <c r="C34" s="33" t="s">
        <v>498</v>
      </c>
      <c r="D34" s="33" t="s">
        <v>105</v>
      </c>
      <c r="E34" s="33" t="s">
        <v>56</v>
      </c>
      <c r="F34" s="49">
        <v>500</v>
      </c>
      <c r="G34" s="49">
        <v>551</v>
      </c>
      <c r="H34" s="49">
        <v>16462</v>
      </c>
      <c r="I34" s="49">
        <v>18277</v>
      </c>
      <c r="J34" s="33" t="s">
        <v>57</v>
      </c>
      <c r="K34" s="49">
        <v>14402</v>
      </c>
      <c r="L34" s="150" t="s">
        <v>52</v>
      </c>
      <c r="M34" s="153">
        <f t="shared" si="0"/>
        <v>-2046</v>
      </c>
      <c r="N34" s="92" t="str">
        <f>VLOOKUP(C34,'Trips&amp;Operators'!$C$1:$E$99999,3,FALSE)</f>
        <v>BERLING</v>
      </c>
      <c r="O34" s="174" t="s">
        <v>86</v>
      </c>
      <c r="P34" s="10"/>
      <c r="Q34" s="33"/>
      <c r="R34" s="108" t="str">
        <f>VLOOKUP(C34,'Train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4" s="111" t="str">
        <f>VLOOKUP(C34,'Train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4" s="113" t="str">
        <f t="shared" si="1"/>
        <v>"C:\Program Files (x86)\AstroGrep\AstroGrep.exe" /spath="%USERPROFILE%\AppData\Local\Temp\OnboardLogs" /stypes="*4014*201609161*" /stext=" 19:.+((SYSTEM_STATE.+slice.+state.+changed )|(ment ac)|(system.+state.+changed )|(\|lc)|(penalty)|(\[timeout)|(PRM\|1\|D)|(kpr)|(kdp))" /e /r /s</v>
      </c>
      <c r="U34" s="9" t="str">
        <f t="shared" si="2"/>
        <v>4014</v>
      </c>
      <c r="V34" s="38">
        <f t="shared" si="3"/>
        <v>42629.810358796298</v>
      </c>
      <c r="W34" s="52" t="str">
        <f t="shared" si="4"/>
        <v>NW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{"issue":{"subject":"","project_id":79,"tracker_id":40,"status_id":1,"priority_id":2,"assigned_to_id":23,"start_date":"2016-09-16","description":"","custom_fields":[{"id":1,"name":"Subdivision","value":"NW"},{"id":4,"name":"Milepost","value":"1.4402"},{"id":17,"name":"Train ID","value":"821-16"},{"id":16,"name":"Locomotive ID","value":"4014"},{"id":130,"name":"Impact","value":""},{"id":150,"name":"Time of Event (Mountain Time)","value":"13:26:55"},{"id":151,"name":"Denver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</row>
    <row r="35" spans="1:28" x14ac:dyDescent="0.25">
      <c r="A35" s="38">
        <v>42629.289930555555</v>
      </c>
      <c r="B35" s="33" t="s">
        <v>108</v>
      </c>
      <c r="C35" s="33" t="s">
        <v>419</v>
      </c>
      <c r="D35" s="33" t="s">
        <v>49</v>
      </c>
      <c r="E35" s="33" t="s">
        <v>56</v>
      </c>
      <c r="F35" s="49">
        <v>300</v>
      </c>
      <c r="G35" s="49">
        <v>404</v>
      </c>
      <c r="H35" s="49">
        <v>19269</v>
      </c>
      <c r="I35" s="49">
        <v>20831</v>
      </c>
      <c r="J35" s="33" t="s">
        <v>57</v>
      </c>
      <c r="K35" s="49">
        <v>21299</v>
      </c>
      <c r="L35" s="150" t="s">
        <v>52</v>
      </c>
      <c r="M35" s="153">
        <f t="shared" si="0"/>
        <v>247.10400000000001</v>
      </c>
      <c r="N35" s="92" t="str">
        <f>VLOOKUP(C35,'Trips&amp;Operators'!$C$1:$E$99999,3,FALSE)</f>
        <v>STRICKLAND</v>
      </c>
      <c r="O35" s="174" t="s">
        <v>86</v>
      </c>
      <c r="P35" s="10"/>
      <c r="Q35" s="33"/>
      <c r="R35" s="108" t="str">
        <f>VLOOKUP(C35,'Train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35" s="111" t="str">
        <f>VLOOKUP(C35,'Train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5" s="113" t="str">
        <f t="shared" si="1"/>
        <v>"C:\Program Files (x86)\AstroGrep\AstroGrep.exe" /spath="%USERPROFILE%\AppData\Local\Temp\OnboardLogs" /stypes="*4031*201609161*" /stext=" 12:.+((SYSTEM_STATE.+slice.+state.+changed )|(ment ac)|(system.+state.+changed )|(\|lc)|(penalty)|(\[timeout)|(PRM\|1\|D)|(kpr)|(kdp))" /e /r /s</v>
      </c>
      <c r="U35" s="9" t="str">
        <f t="shared" si="2"/>
        <v>4031</v>
      </c>
      <c r="V35" s="38">
        <f t="shared" si="3"/>
        <v>42629.539930555555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{"issue":{"subject":"","project_id":79,"tracker_id":40,"status_id":1,"priority_id":2,"assigned_to_id":23,"start_date":"2016-09-16","description":"","custom_fields":[{"id":1,"name":"Subdivision","value":"NW"},{"id":4,"name":"Milepost","value":"2.1299"},{"id":17,"name":"Train ID","value":"805-16"},{"id":16,"name":"Locomotive ID","value":"4031"},{"id":130,"name":"Impact","value":""},{"id":150,"name":"Time of Event (Mountain Time)","value":"06:57:30"},{"id":151,"name":"Denver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</row>
    <row r="36" spans="1:28" x14ac:dyDescent="0.25">
      <c r="A36" s="38">
        <v>42629.60229166667</v>
      </c>
      <c r="B36" s="33" t="s">
        <v>106</v>
      </c>
      <c r="C36" s="33" t="s">
        <v>508</v>
      </c>
      <c r="D36" s="33" t="s">
        <v>49</v>
      </c>
      <c r="E36" s="33" t="s">
        <v>56</v>
      </c>
      <c r="F36" s="49">
        <v>300</v>
      </c>
      <c r="G36" s="49">
        <v>385</v>
      </c>
      <c r="H36" s="49">
        <v>19362</v>
      </c>
      <c r="I36" s="49">
        <v>20564</v>
      </c>
      <c r="J36" s="33" t="s">
        <v>57</v>
      </c>
      <c r="K36" s="49">
        <v>21299</v>
      </c>
      <c r="L36" s="150" t="s">
        <v>52</v>
      </c>
      <c r="M36" s="153">
        <f t="shared" si="0"/>
        <v>388.08</v>
      </c>
      <c r="N36" s="92" t="str">
        <f>VLOOKUP(C36,'Trips&amp;Operators'!$C$1:$E$99999,3,FALSE)</f>
        <v>SMITH</v>
      </c>
      <c r="O36" s="174" t="s">
        <v>86</v>
      </c>
      <c r="P36" s="10"/>
      <c r="Q36" s="33"/>
      <c r="R36" s="108" t="str">
        <f>VLOOKUP(C36,'Train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6" s="111" t="str">
        <f>VLOOKUP(C36,'Train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13:05:28-0600',mode:absolute,to:'2016-09-16 15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6" s="113" t="str">
        <f t="shared" si="1"/>
        <v>"C:\Program Files (x86)\AstroGrep\AstroGrep.exe" /spath="%USERPROFILE%\AppData\Local\Temp\OnboardLogs" /stypes="*4014*201609162*" /stext=" 20:.+((SYSTEM_STATE.+slice.+state.+changed )|(ment ac)|(system.+state.+changed )|(\|lc)|(penalty)|(\[timeout)|(PRM\|1\|D)|(kpr)|(kdp))" /e /r /s</v>
      </c>
      <c r="U36" s="9" t="str">
        <f t="shared" si="2"/>
        <v>4014</v>
      </c>
      <c r="V36" s="38">
        <f t="shared" si="3"/>
        <v>42629.85229166667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{"issue":{"subject":"","project_id":79,"tracker_id":40,"status_id":1,"priority_id":2,"assigned_to_id":23,"start_date":"2016-09-16","description":"","custom_fields":[{"id":1,"name":"Subdivision","value":"NW"},{"id":4,"name":"Milepost","value":"2.1299"},{"id":17,"name":"Train ID","value":"823-16"},{"id":16,"name":"Locomotive ID","value":"4014"},{"id":130,"name":"Impact","value":""},{"id":150,"name":"Time of Event (Mountain Time)","value":"14:27:18"},{"id":151,"name":"Denver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</row>
    <row r="37" spans="1:28" ht="15" customHeight="1" x14ac:dyDescent="0.25">
      <c r="A37" s="38">
        <v>42629.914166666669</v>
      </c>
      <c r="B37" s="33" t="s">
        <v>254</v>
      </c>
      <c r="C37" s="33" t="s">
        <v>591</v>
      </c>
      <c r="D37" s="33" t="s">
        <v>105</v>
      </c>
      <c r="E37" s="33" t="s">
        <v>56</v>
      </c>
      <c r="F37" s="49">
        <v>300</v>
      </c>
      <c r="G37" s="49">
        <v>354</v>
      </c>
      <c r="H37" s="49">
        <v>21026</v>
      </c>
      <c r="I37" s="49">
        <v>20129</v>
      </c>
      <c r="J37" s="33" t="s">
        <v>57</v>
      </c>
      <c r="K37" s="49">
        <v>23561</v>
      </c>
      <c r="L37" s="150" t="s">
        <v>53</v>
      </c>
      <c r="M37" s="153">
        <f t="shared" si="0"/>
        <v>-1812.096</v>
      </c>
      <c r="N37" s="92" t="str">
        <f>VLOOKUP(C37,'Trips&amp;Operators'!$C$1:$E$99999,3,FALSE)</f>
        <v>NEWELL</v>
      </c>
      <c r="O37" s="174" t="s">
        <v>86</v>
      </c>
      <c r="P37" s="10"/>
      <c r="Q37" s="33"/>
      <c r="R37" s="108" t="str">
        <f>VLOOKUP(C37,'Train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37" s="111" t="str">
        <f>VLOOKUP(C37,'Train Runs'!$A$13:$AE$10023,22,0)</f>
        <v>https://search-rtdc-monitor-bjffxe2xuh6vdkpspy63sjmuny.us-east-1.es.amazonaws.com/_plugin/kibana/#/discover/Steve-Slow-Train-Analysis-(2080s-and-2083s)?_g=(refreshInterval:(display:Off,section:0,value:0),time:(from:'2016-09-16 20:46:31-0600',mode:absolute,to:'2016-09-16 23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7" s="113" t="str">
        <f t="shared" si="1"/>
        <v>"C:\Program Files (x86)\AstroGrep\AstroGrep.exe" /spath="%USERPROFILE%\AppData\Local\Temp\OnboardLogs" /stypes="*4013*201609170*" /stext=" 03:.+((SYSTEM_STATE.+slice.+state.+changed )|(ment ac)|(system.+state.+changed )|(\|lc)|(penalty)|(\[timeout)|(PRM\|1\|D)|(kpr)|(kdp))" /e /r /s</v>
      </c>
      <c r="U37" s="9" t="str">
        <f t="shared" si="2"/>
        <v>4013</v>
      </c>
      <c r="V37" s="38">
        <f t="shared" si="3"/>
        <v>42630.164166666669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{"issue":{"subject":"","project_id":79,"tracker_id":40,"status_id":1,"priority_id":2,"assigned_to_id":23,"start_date":"2016-09-16","description":"","custom_fields":[{"id":1,"name":"Subdivision","value":"NW"},{"id":4,"name":"Milepost","value":"2.3561"},{"id":17,"name":"Train ID","value":"844-16"},{"id":16,"name":"Locomotive ID","value":"4013"},{"id":130,"name":"Impact","value":""},{"id":150,"name":"Time of Event (Mountain Time)","value":"21:56:24"},{"id":151,"name":"Denver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</row>
    <row r="38" spans="1:28" x14ac:dyDescent="0.25">
      <c r="A38" s="38">
        <v>42629.29415509259</v>
      </c>
      <c r="B38" s="33" t="s">
        <v>108</v>
      </c>
      <c r="C38" s="33" t="s">
        <v>419</v>
      </c>
      <c r="D38" s="33" t="s">
        <v>49</v>
      </c>
      <c r="E38" s="33" t="s">
        <v>56</v>
      </c>
      <c r="F38" s="49">
        <v>150</v>
      </c>
      <c r="G38" s="49">
        <v>553</v>
      </c>
      <c r="H38" s="49">
        <v>53905</v>
      </c>
      <c r="I38" s="49">
        <v>55930</v>
      </c>
      <c r="J38" s="33" t="s">
        <v>57</v>
      </c>
      <c r="K38" s="49">
        <v>57008</v>
      </c>
      <c r="L38" s="150" t="s">
        <v>52</v>
      </c>
      <c r="M38" s="153">
        <f t="shared" si="0"/>
        <v>569.18399999999997</v>
      </c>
      <c r="N38" s="92" t="str">
        <f>VLOOKUP(C38,'Trips&amp;Operators'!$C$1:$E$99999,3,FALSE)</f>
        <v>STRICKLAND</v>
      </c>
      <c r="O38" s="174" t="s">
        <v>86</v>
      </c>
      <c r="P38" s="10"/>
      <c r="Q38" s="33"/>
      <c r="R38" s="108" t="str">
        <f>VLOOKUP(C38,'Train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38" s="111" t="str">
        <f>VLOOKUP(C38,'Train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8" s="113" t="str">
        <f t="shared" si="1"/>
        <v>"C:\Program Files (x86)\AstroGrep\AstroGrep.exe" /spath="%USERPROFILE%\AppData\Local\Temp\OnboardLogs" /stypes="*4031*201609161*" /stext=" 13:.+((SYSTEM_STATE.+slice.+state.+changed )|(ment ac)|(system.+state.+changed )|(\|lc)|(penalty)|(\[timeout)|(PRM\|1\|D)|(kpr)|(kdp))" /e /r /s</v>
      </c>
      <c r="U38" s="9" t="str">
        <f t="shared" si="2"/>
        <v>4031</v>
      </c>
      <c r="V38" s="38">
        <f t="shared" si="3"/>
        <v>42629.54415509259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ID","value":"805-16"},{"id":16,"name":"Locomotive ID","value":"4031"},{"id":130,"name":"Impact","value":""},{"id":150,"name":"Time of Event (Mountain Time)","value":"07:03:35"},{"id":151,"name":"Denver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</row>
    <row r="39" spans="1:28" x14ac:dyDescent="0.25">
      <c r="A39" s="38">
        <v>42629.355902777781</v>
      </c>
      <c r="B39" s="33" t="s">
        <v>106</v>
      </c>
      <c r="C39" s="33" t="s">
        <v>439</v>
      </c>
      <c r="D39" s="33" t="s">
        <v>49</v>
      </c>
      <c r="E39" s="33" t="s">
        <v>56</v>
      </c>
      <c r="F39" s="49">
        <v>150</v>
      </c>
      <c r="G39" s="49">
        <v>292</v>
      </c>
      <c r="H39" s="49">
        <v>56373</v>
      </c>
      <c r="I39" s="49">
        <v>56866</v>
      </c>
      <c r="J39" s="33" t="s">
        <v>57</v>
      </c>
      <c r="K39" s="49">
        <v>57008</v>
      </c>
      <c r="L39" s="150" t="s">
        <v>52</v>
      </c>
      <c r="M39" s="153">
        <f t="shared" ref="M39:M55" si="7">CONVERT((I39-K39)/10000,"mi","ft")*IF(L39="Increasing Mileposts (1)",-1,1)</f>
        <v>74.975999999999999</v>
      </c>
      <c r="N39" s="92" t="str">
        <f>VLOOKUP(C39,'Trips&amp;Operators'!$C$1:$E$99999,3,FALSE)</f>
        <v>ROBINSON</v>
      </c>
      <c r="O39" s="174" t="s">
        <v>86</v>
      </c>
      <c r="P39" s="10"/>
      <c r="Q39" s="33"/>
      <c r="R39" s="108" t="str">
        <f>VLOOKUP(C39,'Train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9" s="111" t="str">
        <f>VLOOKUP(C39,'Train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07:16:19-0600',mode:absolute,to:'2016-09-16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9" s="113" t="str">
        <f t="shared" ref="T39:T55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/stypes="*4014*201609161*" /stext=" 14:.+((SYSTEM_STATE.+slice.+state.+changed )|(ment ac)|(system.+state.+changed )|(\|lc)|(penalty)|(\[timeout)|(PRM\|1\|D)|(kpr)|(kdp))" /e /r /s</v>
      </c>
      <c r="U39" s="9" t="str">
        <f t="shared" ref="U39:U55" si="9">MID(B39,13,4)</f>
        <v>4014</v>
      </c>
      <c r="V39" s="38">
        <f t="shared" ref="V39:V55" si="10">A39+6/24</f>
        <v>42629.605902777781</v>
      </c>
      <c r="W39" s="52" t="str">
        <f t="shared" ref="W39:W55" si="11">IF(VALUE(LEFT(IF(LEN(C39)=6,"0"&amp;C39,C39),2))&lt;=2,"EC",IF(OR(VALUE(LEFT(IF(LEN(C39)=6,"0"&amp;C39,C39),2))=8,VALUE(LEFT(IF(LEN(C39)=6,"0"&amp;C39,C39),2))=18),"NW","Other"))</f>
        <v>NW</v>
      </c>
      <c r="X39" s="52" t="str">
        <f t="shared" ref="X39:X55" si="12">IF(AND(E39="TRACK WARRANT AUTHORITY",G39&lt;10),"OMIT","KEEP")</f>
        <v>KEEP</v>
      </c>
      <c r="Y39" s="134" t="str">
        <f t="shared" ref="Y39:Y55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ID","value":"811-16"},{"id":16,"name":"Locomotive ID","value":"4014"},{"id":130,"name":"Impact","value":""},{"id":150,"name":"Time of Event (Mountain Time)","value":"08:32:30"},{"id":151,"name":"Denver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</row>
    <row r="40" spans="1:28" x14ac:dyDescent="0.25">
      <c r="A40" s="38">
        <v>42629.564872685187</v>
      </c>
      <c r="B40" s="33" t="s">
        <v>106</v>
      </c>
      <c r="C40" s="33" t="s">
        <v>498</v>
      </c>
      <c r="D40" s="33" t="s">
        <v>49</v>
      </c>
      <c r="E40" s="33" t="s">
        <v>56</v>
      </c>
      <c r="F40" s="49">
        <v>150</v>
      </c>
      <c r="G40" s="49">
        <v>323</v>
      </c>
      <c r="H40" s="49">
        <v>56202</v>
      </c>
      <c r="I40" s="49">
        <v>56811</v>
      </c>
      <c r="J40" s="33" t="s">
        <v>57</v>
      </c>
      <c r="K40" s="49">
        <v>57008</v>
      </c>
      <c r="L40" s="150" t="s">
        <v>52</v>
      </c>
      <c r="M40" s="153">
        <f t="shared" si="7"/>
        <v>104.01600000000001</v>
      </c>
      <c r="N40" s="92" t="str">
        <f>VLOOKUP(C40,'Trips&amp;Operators'!$C$1:$E$99999,3,FALSE)</f>
        <v>BERLING</v>
      </c>
      <c r="O40" s="174" t="s">
        <v>86</v>
      </c>
      <c r="P40" s="10"/>
      <c r="Q40" s="33"/>
      <c r="R40" s="108" t="str">
        <f>VLOOKUP(C40,'Train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40" s="111" t="str">
        <f>VLOOKUP(C40,'Train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0" s="113" t="str">
        <f t="shared" si="8"/>
        <v>"C:\Program Files (x86)\AstroGrep\AstroGrep.exe" /spath="%USERPROFILE%\AppData\Local\Temp\OnboardLogs" /stypes="*4014*201609161*" /stext=" 19:.+((SYSTEM_STATE.+slice.+state.+changed )|(ment ac)|(system.+state.+changed )|(\|lc)|(penalty)|(\[timeout)|(PRM\|1\|D)|(kpr)|(kdp))" /e /r /s</v>
      </c>
      <c r="U40" s="9" t="str">
        <f t="shared" si="9"/>
        <v>4014</v>
      </c>
      <c r="V40" s="38">
        <f t="shared" si="10"/>
        <v>42629.814872685187</v>
      </c>
      <c r="W40" s="52" t="str">
        <f t="shared" si="11"/>
        <v>NW</v>
      </c>
      <c r="X40" s="52" t="str">
        <f t="shared" si="12"/>
        <v>KEEP</v>
      </c>
      <c r="Y40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ID","value":"821-16"},{"id":16,"name":"Locomotive ID","value":"4014"},{"id":130,"name":"Impact","value":""},{"id":150,"name":"Time of Event (Mountain Time)","value":"13:33:25"},{"id":151,"name":"Denver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</row>
    <row r="41" spans="1:28" x14ac:dyDescent="0.25">
      <c r="A41" s="38">
        <v>42629.265185185184</v>
      </c>
      <c r="B41" s="33" t="s">
        <v>378</v>
      </c>
      <c r="C41" s="33" t="s">
        <v>414</v>
      </c>
      <c r="D41" s="33" t="s">
        <v>49</v>
      </c>
      <c r="E41" s="33" t="s">
        <v>271</v>
      </c>
      <c r="F41" s="49">
        <v>100</v>
      </c>
      <c r="G41" s="49">
        <v>170</v>
      </c>
      <c r="H41" s="49">
        <v>11955</v>
      </c>
      <c r="I41" s="49">
        <v>11601</v>
      </c>
      <c r="J41" s="33" t="s">
        <v>170</v>
      </c>
      <c r="K41" s="49">
        <v>11000</v>
      </c>
      <c r="L41" s="150" t="s">
        <v>53</v>
      </c>
      <c r="M41" s="153">
        <f t="shared" si="7"/>
        <v>317.32799999999997</v>
      </c>
      <c r="N41" s="92" t="str">
        <f>VLOOKUP(C41,'Trips&amp;Operators'!$C$1:$E$99999,3,FALSE)</f>
        <v>STRICKLAND</v>
      </c>
      <c r="O41" s="174" t="s">
        <v>86</v>
      </c>
      <c r="P41" s="10"/>
      <c r="Q41" s="33"/>
      <c r="R41" s="108" t="str">
        <f>VLOOKUP(C41,'Train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1" s="111" t="str">
        <f>VLOOKUP(C41,'Train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05:08:26-0600',mode:absolute,to:'2016-09-16 07:26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1" s="113" t="str">
        <f t="shared" si="8"/>
        <v>"C:\Program Files (x86)\AstroGrep\AstroGrep.exe" /spath="%USERPROFILE%\AppData\Local\Temp\OnboardLogs" /stypes="*4032*201609161*" /stext=" 12:.+((SYSTEM_STATE.+slice.+state.+changed )|(ment ac)|(system.+state.+changed )|(\|lc)|(penalty)|(\[timeout)|(PRM\|1\|D)|(kpr)|(kdp))" /e /r /s</v>
      </c>
      <c r="U41" s="9" t="str">
        <f t="shared" si="9"/>
        <v>4032</v>
      </c>
      <c r="V41" s="38">
        <f t="shared" si="10"/>
        <v>42629.515185185184</v>
      </c>
      <c r="W41" s="52" t="str">
        <f t="shared" si="11"/>
        <v>NW</v>
      </c>
      <c r="X41" s="52" t="str">
        <f t="shared" si="12"/>
        <v>KEEP</v>
      </c>
      <c r="Y41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{"issue":{"subject":"","project_id":79,"tracker_id":40,"status_id":1,"priority_id":2,"assigned_to_id":23,"start_date":"2016-09-16","description":"","custom_fields":[{"id":1,"name":"Subdivision","value":"NW"},{"id":4,"name":"Milepost","value":"1.1"},{"id":17,"name":"Train ID","value":"802-16"},{"id":16,"name":"Locomotive ID","value":"4032"},{"id":130,"name":"Impact","value":""},{"id":150,"name":"Time of Event (Mountain Time)","value":"06:21:52"},{"id":151,"name":"Denver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</row>
    <row r="42" spans="1:28" x14ac:dyDescent="0.25">
      <c r="A42" s="38">
        <v>42629.307118055556</v>
      </c>
      <c r="B42" s="33" t="s">
        <v>378</v>
      </c>
      <c r="C42" s="33" t="s">
        <v>425</v>
      </c>
      <c r="D42" s="33" t="s">
        <v>105</v>
      </c>
      <c r="E42" s="33" t="s">
        <v>271</v>
      </c>
      <c r="F42" s="49">
        <v>100</v>
      </c>
      <c r="G42" s="49">
        <v>163</v>
      </c>
      <c r="H42" s="49">
        <v>10350</v>
      </c>
      <c r="I42" s="49">
        <v>9992</v>
      </c>
      <c r="J42" s="33" t="s">
        <v>170</v>
      </c>
      <c r="K42" s="49">
        <v>11000</v>
      </c>
      <c r="L42" s="150" t="s">
        <v>53</v>
      </c>
      <c r="M42" s="153">
        <f t="shared" si="7"/>
        <v>-532.22400000000005</v>
      </c>
      <c r="N42" s="92" t="str">
        <f>VLOOKUP(C42,'Trips&amp;Operators'!$C$1:$E$99999,3,FALSE)</f>
        <v>STRICKLAND</v>
      </c>
      <c r="O42" s="174" t="s">
        <v>86</v>
      </c>
      <c r="P42" s="10"/>
      <c r="Q42" s="33"/>
      <c r="R42" s="108" t="str">
        <f>VLOOKUP(C42,'Train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2" s="111" t="str">
        <f>VLOOKUP(C42,'Train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06:07:58-0600',mode:absolute,to:'2016-09-16 08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2" s="113" t="str">
        <f t="shared" si="8"/>
        <v>"C:\Program Files (x86)\AstroGrep\AstroGrep.exe" /spath="%USERPROFILE%\AppData\Local\Temp\OnboardLogs" /stypes="*4032*201609161*" /stext=" 13:.+((SYSTEM_STATE.+slice.+state.+changed )|(ment ac)|(system.+state.+changed )|(\|lc)|(penalty)|(\[timeout)|(PRM\|1\|D)|(kpr)|(kdp))" /e /r /s</v>
      </c>
      <c r="U42" s="9" t="str">
        <f t="shared" si="9"/>
        <v>4032</v>
      </c>
      <c r="V42" s="38">
        <f t="shared" si="10"/>
        <v>42629.557118055556</v>
      </c>
      <c r="W42" s="52" t="str">
        <f t="shared" si="11"/>
        <v>NW</v>
      </c>
      <c r="X42" s="52" t="str">
        <f t="shared" si="12"/>
        <v>KEEP</v>
      </c>
      <c r="Y42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{"issue":{"subject":"","project_id":79,"tracker_id":40,"status_id":1,"priority_id":2,"assigned_to_id":23,"start_date":"2016-09-16","description":"","custom_fields":[{"id":1,"name":"Subdivision","value":"NW"},{"id":4,"name":"Milepost","value":"1.1"},{"id":17,"name":"Train ID","value":"806-16"},{"id":16,"name":"Locomotive ID","value":"4032"},{"id":130,"name":"Impact","value":""},{"id":150,"name":"Time of Event (Mountain Time)","value":"07:22:15"},{"id":151,"name":"Denver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</row>
    <row r="43" spans="1:28" x14ac:dyDescent="0.25">
      <c r="A43" s="38">
        <v>42629.226886574077</v>
      </c>
      <c r="B43" s="33" t="s">
        <v>378</v>
      </c>
      <c r="C43" s="33" t="s">
        <v>398</v>
      </c>
      <c r="D43" s="33" t="s">
        <v>49</v>
      </c>
      <c r="E43" s="33" t="s">
        <v>50</v>
      </c>
      <c r="F43" s="49">
        <v>0</v>
      </c>
      <c r="G43" s="49">
        <v>39</v>
      </c>
      <c r="H43" s="49">
        <v>689</v>
      </c>
      <c r="I43" s="49">
        <v>624</v>
      </c>
      <c r="J43" s="33" t="s">
        <v>51</v>
      </c>
      <c r="K43" s="49">
        <v>575</v>
      </c>
      <c r="L43" s="150" t="s">
        <v>53</v>
      </c>
      <c r="M43" s="153">
        <f t="shared" si="7"/>
        <v>25.872</v>
      </c>
      <c r="N43" s="92" t="str">
        <f>VLOOKUP(C43,'Trips&amp;Operators'!$C$1:$E$99999,3,FALSE)</f>
        <v>STRICKLAND</v>
      </c>
      <c r="O43" s="174" t="s">
        <v>86</v>
      </c>
      <c r="P43" s="10"/>
      <c r="Q43" s="33"/>
      <c r="R43" s="108" t="str">
        <f>VLOOKUP(C43,'Train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3" s="111" t="str">
        <f>VLOOKUP(C43,'Train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03:56:16-0600',mode:absolute,to:'2016-09-16 06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3" s="113" t="str">
        <f t="shared" si="8"/>
        <v>"C:\Program Files (x86)\AstroGrep\AstroGrep.exe" /spath="%USERPROFILE%\AppData\Local\Temp\OnboardLogs" /stypes="*4032*201609161*" /stext=" 11:.+((SYSTEM_STATE.+slice.+state.+changed )|(ment ac)|(system.+state.+changed )|(\|lc)|(penalty)|(\[timeout)|(PRM\|1\|D)|(kpr)|(kdp))" /e /r /s</v>
      </c>
      <c r="U43" s="9" t="str">
        <f t="shared" si="9"/>
        <v>4032</v>
      </c>
      <c r="V43" s="38">
        <f t="shared" si="10"/>
        <v>42629.476886574077</v>
      </c>
      <c r="W43" s="52" t="str">
        <f t="shared" si="11"/>
        <v>NW</v>
      </c>
      <c r="X43" s="52" t="str">
        <f t="shared" si="12"/>
        <v>KEEP</v>
      </c>
      <c r="Y43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ID","value":"800-16"},{"id":16,"name":"Locomotive ID","value":"4032"},{"id":130,"name":"Impact","value":""},{"id":150,"name":"Time of Event (Mountain Time)","value":"05:26:43"},{"id":151,"name":"Denver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</row>
    <row r="44" spans="1:28" x14ac:dyDescent="0.25">
      <c r="A44" s="38">
        <v>42629.579641203702</v>
      </c>
      <c r="B44" s="33" t="s">
        <v>254</v>
      </c>
      <c r="C44" s="33" t="s">
        <v>503</v>
      </c>
      <c r="D44" s="33" t="s">
        <v>49</v>
      </c>
      <c r="E44" s="33" t="s">
        <v>50</v>
      </c>
      <c r="F44" s="49">
        <v>0</v>
      </c>
      <c r="G44" s="49">
        <v>124</v>
      </c>
      <c r="H44" s="49">
        <v>1070</v>
      </c>
      <c r="I44" s="49">
        <v>766</v>
      </c>
      <c r="J44" s="33" t="s">
        <v>51</v>
      </c>
      <c r="K44" s="49">
        <v>575</v>
      </c>
      <c r="L44" s="150" t="s">
        <v>53</v>
      </c>
      <c r="M44" s="153">
        <f t="shared" si="7"/>
        <v>100.848</v>
      </c>
      <c r="N44" s="92" t="str">
        <f>VLOOKUP(C44,'Trips&amp;Operators'!$C$1:$E$99999,3,FALSE)</f>
        <v>BERLING</v>
      </c>
      <c r="O44" s="174" t="s">
        <v>86</v>
      </c>
      <c r="P44" s="10"/>
      <c r="Q44" s="33"/>
      <c r="R44" s="108" t="str">
        <f>VLOOKUP(C44,'Train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4" s="111" t="str">
        <f>VLOOKUP(C44,'Train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12:39:02-0600',mode:absolute,to:'2016-09-16 14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4" s="113" t="str">
        <f t="shared" si="8"/>
        <v>"C:\Program Files (x86)\AstroGrep\AstroGrep.exe" /spath="%USERPROFILE%\AppData\Local\Temp\OnboardLogs" /stypes="*4013*201609161*" /stext=" 19:.+((SYSTEM_STATE.+slice.+state.+changed )|(ment ac)|(system.+state.+changed )|(\|lc)|(penalty)|(\[timeout)|(PRM\|1\|D)|(kpr)|(kdp))" /e /r /s</v>
      </c>
      <c r="U44" s="9" t="str">
        <f t="shared" si="9"/>
        <v>4013</v>
      </c>
      <c r="V44" s="38">
        <f t="shared" si="10"/>
        <v>42629.829641203702</v>
      </c>
      <c r="W44" s="52" t="str">
        <f t="shared" si="11"/>
        <v>NW</v>
      </c>
      <c r="X44" s="52" t="str">
        <f t="shared" si="12"/>
        <v>KEEP</v>
      </c>
      <c r="Y44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ID","value":"822-16"},{"id":16,"name":"Locomotive ID","value":"4013"},{"id":130,"name":"Impact","value":""},{"id":150,"name":"Time of Event (Mountain Time)","value":"13:54:41"},{"id":151,"name":"Denver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</row>
    <row r="45" spans="1:28" x14ac:dyDescent="0.25">
      <c r="A45" s="38">
        <v>42629.708738425928</v>
      </c>
      <c r="B45" s="33" t="s">
        <v>254</v>
      </c>
      <c r="C45" s="33" t="s">
        <v>541</v>
      </c>
      <c r="D45" s="33" t="s">
        <v>49</v>
      </c>
      <c r="E45" s="33" t="s">
        <v>50</v>
      </c>
      <c r="F45" s="49">
        <v>0</v>
      </c>
      <c r="G45" s="49">
        <v>109</v>
      </c>
      <c r="H45" s="49">
        <v>962</v>
      </c>
      <c r="I45" s="49">
        <v>881</v>
      </c>
      <c r="J45" s="33" t="s">
        <v>51</v>
      </c>
      <c r="K45" s="49">
        <v>575</v>
      </c>
      <c r="L45" s="150" t="s">
        <v>53</v>
      </c>
      <c r="M45" s="153">
        <f t="shared" si="7"/>
        <v>161.56800000000001</v>
      </c>
      <c r="N45" s="92" t="str">
        <f>VLOOKUP(C45,'Trips&amp;Operators'!$C$1:$E$99999,3,FALSE)</f>
        <v>BERLING</v>
      </c>
      <c r="O45" s="174" t="s">
        <v>86</v>
      </c>
      <c r="P45" s="10"/>
      <c r="Q45" s="33"/>
      <c r="R45" s="108" t="str">
        <f>VLOOKUP(C45,'Train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5" s="111" t="str">
        <f>VLOOKUP(C45,'Train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15:43:39-0600',mode:absolute,to:'2016-09-16 18:00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5" s="113" t="str">
        <f t="shared" si="8"/>
        <v>"C:\Program Files (x86)\AstroGrep\AstroGrep.exe" /spath="%USERPROFILE%\AppData\Local\Temp\OnboardLogs" /stypes="*4013*201609162*" /stext=" 23:.+((SYSTEM_STATE.+slice.+state.+changed )|(ment ac)|(system.+state.+changed )|(\|lc)|(penalty)|(\[timeout)|(PRM\|1\|D)|(kpr)|(kdp))" /e /r /s</v>
      </c>
      <c r="U45" s="9" t="str">
        <f t="shared" si="9"/>
        <v>4013</v>
      </c>
      <c r="V45" s="38">
        <f t="shared" si="10"/>
        <v>42629.958738425928</v>
      </c>
      <c r="W45" s="52" t="str">
        <f t="shared" si="11"/>
        <v>NW</v>
      </c>
      <c r="X45" s="52" t="str">
        <f t="shared" si="12"/>
        <v>KEEP</v>
      </c>
      <c r="Y45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ID","value":"830-16"},{"id":16,"name":"Locomotive ID","value":"4013"},{"id":130,"name":"Impact","value":""},{"id":150,"name":"Time of Event (Mountain Time)","value":"17:00:35"},{"id":151,"name":"Denver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42629.732893518521</v>
      </c>
      <c r="B46" s="33" t="s">
        <v>378</v>
      </c>
      <c r="C46" s="33" t="s">
        <v>544</v>
      </c>
      <c r="D46" s="33" t="s">
        <v>49</v>
      </c>
      <c r="E46" s="33" t="s">
        <v>50</v>
      </c>
      <c r="F46" s="49">
        <v>0</v>
      </c>
      <c r="G46" s="49">
        <v>79</v>
      </c>
      <c r="H46" s="49">
        <v>799</v>
      </c>
      <c r="I46" s="49">
        <v>738</v>
      </c>
      <c r="J46" s="33" t="s">
        <v>51</v>
      </c>
      <c r="K46" s="49">
        <v>575</v>
      </c>
      <c r="L46" s="150" t="s">
        <v>53</v>
      </c>
      <c r="M46" s="153">
        <f t="shared" si="7"/>
        <v>86.063999999999993</v>
      </c>
      <c r="N46" s="92" t="str">
        <f>VLOOKUP(C46,'Trips&amp;Operators'!$C$1:$E$99999,3,FALSE)</f>
        <v>NEWELL</v>
      </c>
      <c r="O46" s="174" t="s">
        <v>86</v>
      </c>
      <c r="P46" s="10"/>
      <c r="Q46" s="33"/>
      <c r="R46" s="108" t="str">
        <f>VLOOKUP(C46,'Train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6" s="111" t="str">
        <f>VLOOKUP(C46,'Train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16:20:25-0600',mode:absolute,to:'2016-09-16 18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6" s="113" t="str">
        <f t="shared" si="8"/>
        <v>"C:\Program Files (x86)\AstroGrep\AstroGrep.exe" /spath="%USERPROFILE%\AppData\Local\Temp\OnboardLogs" /stypes="*4032*201609162*" /stext=" 23:.+((SYSTEM_STATE.+slice.+state.+changed )|(ment ac)|(system.+state.+changed )|(\|lc)|(penalty)|(\[timeout)|(PRM\|1\|D)|(kpr)|(kdp))" /e /r /s</v>
      </c>
      <c r="U46" s="9" t="str">
        <f t="shared" si="9"/>
        <v>4032</v>
      </c>
      <c r="V46" s="38">
        <f t="shared" si="10"/>
        <v>42629.982893518521</v>
      </c>
      <c r="W46" s="52" t="str">
        <f t="shared" si="11"/>
        <v>NW</v>
      </c>
      <c r="X46" s="52" t="str">
        <f t="shared" si="12"/>
        <v>KEEP</v>
      </c>
      <c r="Y46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ID","value":"832-16"},{"id":16,"name":"Locomotive ID","value":"4032"},{"id":130,"name":"Impact","value":""},{"id":150,"name":"Time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</row>
    <row r="47" spans="1:28" x14ac:dyDescent="0.25">
      <c r="A47" s="38">
        <v>42629.83189814815</v>
      </c>
      <c r="B47" s="33" t="s">
        <v>254</v>
      </c>
      <c r="C47" s="33" t="s">
        <v>578</v>
      </c>
      <c r="D47" s="33" t="s">
        <v>49</v>
      </c>
      <c r="E47" s="33" t="s">
        <v>50</v>
      </c>
      <c r="F47" s="49">
        <v>0</v>
      </c>
      <c r="G47" s="49">
        <v>41</v>
      </c>
      <c r="H47" s="49">
        <v>678</v>
      </c>
      <c r="I47" s="49">
        <v>652</v>
      </c>
      <c r="J47" s="33" t="s">
        <v>51</v>
      </c>
      <c r="K47" s="49">
        <v>575</v>
      </c>
      <c r="L47" s="150" t="s">
        <v>53</v>
      </c>
      <c r="M47" s="153">
        <f t="shared" si="7"/>
        <v>40.655999999999999</v>
      </c>
      <c r="N47" s="92" t="str">
        <f>VLOOKUP(C47,'Trips&amp;Operators'!$C$1:$E$99999,3,FALSE)</f>
        <v>HELVIE</v>
      </c>
      <c r="O47" s="174" t="s">
        <v>86</v>
      </c>
      <c r="P47" s="10"/>
      <c r="Q47" s="33"/>
      <c r="R47" s="108" t="str">
        <f>VLOOKUP(C47,'Train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7" s="111" t="str">
        <f>VLOOKUP(C47,'Train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18:38:24-0600',mode:absolute,to:'2016-09-16 20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7" s="113" t="str">
        <f t="shared" si="8"/>
        <v>"C:\Program Files (x86)\AstroGrep\AstroGrep.exe" /spath="%USERPROFILE%\AppData\Local\Temp\OnboardLogs" /stypes="*4013*201609170*" /stext=" 01:.+((SYSTEM_STATE.+slice.+state.+changed )|(ment ac)|(system.+state.+changed )|(\|lc)|(penalty)|(\[timeout)|(PRM\|1\|D)|(kpr)|(kdp))" /e /r /s</v>
      </c>
      <c r="U47" s="9" t="str">
        <f t="shared" si="9"/>
        <v>4013</v>
      </c>
      <c r="V47" s="38">
        <f t="shared" si="10"/>
        <v>42630.08189814815</v>
      </c>
      <c r="W47" s="52" t="str">
        <f t="shared" si="11"/>
        <v>NW</v>
      </c>
      <c r="X47" s="52" t="str">
        <f t="shared" si="12"/>
        <v>KEEP</v>
      </c>
      <c r="Y47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ID","value":"840-16"},{"id":16,"name":"Locomotive ID","value":"4013"},{"id":130,"name":"Impact","value":""},{"id":150,"name":"Time of Event (Mountain Time)","value":"19:57:56"},{"id":151,"name":"Denver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</row>
    <row r="48" spans="1:28" x14ac:dyDescent="0.25">
      <c r="A48" s="38">
        <v>42629.254965277774</v>
      </c>
      <c r="B48" s="33" t="s">
        <v>108</v>
      </c>
      <c r="C48" s="33" t="s">
        <v>406</v>
      </c>
      <c r="D48" s="33" t="s">
        <v>49</v>
      </c>
      <c r="E48" s="33" t="s">
        <v>50</v>
      </c>
      <c r="F48" s="49">
        <v>0</v>
      </c>
      <c r="G48" s="49">
        <v>33</v>
      </c>
      <c r="H48" s="49">
        <v>58960</v>
      </c>
      <c r="I48" s="49">
        <v>58997</v>
      </c>
      <c r="J48" s="33" t="s">
        <v>51</v>
      </c>
      <c r="K48" s="49">
        <v>59048</v>
      </c>
      <c r="L48" s="150" t="s">
        <v>52</v>
      </c>
      <c r="M48" s="153">
        <f t="shared" si="7"/>
        <v>26.928000000000001</v>
      </c>
      <c r="N48" s="92" t="str">
        <f>VLOOKUP(C48,'Trips&amp;Operators'!$C$1:$E$99999,3,FALSE)</f>
        <v>STRICKLAND</v>
      </c>
      <c r="O48" s="174" t="s">
        <v>86</v>
      </c>
      <c r="P48" s="10"/>
      <c r="Q48" s="33"/>
      <c r="R48" s="108" t="str">
        <f>VLOOKUP(C48,'Train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48" s="111" t="str">
        <f>VLOOKUP(C48,'Train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04:39:57-0600',mode:absolute,to:'2016-09-16 07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8" s="113" t="str">
        <f t="shared" si="8"/>
        <v>"C:\Program Files (x86)\AstroGrep\AstroGrep.exe" /spath="%USERPROFILE%\AppData\Local\Temp\OnboardLogs" /stypes="*4031*201609161*" /stext=" 12:.+((SYSTEM_STATE.+slice.+state.+changed )|(ment ac)|(system.+state.+changed )|(\|lc)|(penalty)|(\[timeout)|(PRM\|1\|D)|(kpr)|(kdp))" /e /r /s</v>
      </c>
      <c r="U48" s="9" t="str">
        <f t="shared" si="9"/>
        <v>4031</v>
      </c>
      <c r="V48" s="38">
        <f t="shared" si="10"/>
        <v>42629.504965277774</v>
      </c>
      <c r="W48" s="52" t="str">
        <f t="shared" si="11"/>
        <v>NW</v>
      </c>
      <c r="X48" s="52" t="str">
        <f t="shared" si="12"/>
        <v>KEEP</v>
      </c>
      <c r="Y48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ID","value":"801-16"},{"id":16,"name":"Locomotive ID","value":"4031"},{"id":130,"name":"Impact","value":""},{"id":150,"name":"Time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</row>
    <row r="49" spans="1:28" x14ac:dyDescent="0.25">
      <c r="A49" s="38">
        <v>42629.337534722225</v>
      </c>
      <c r="B49" s="33" t="s">
        <v>108</v>
      </c>
      <c r="C49" s="33" t="s">
        <v>433</v>
      </c>
      <c r="D49" s="33" t="s">
        <v>49</v>
      </c>
      <c r="E49" s="33" t="s">
        <v>50</v>
      </c>
      <c r="F49" s="49">
        <v>0</v>
      </c>
      <c r="G49" s="49">
        <v>75</v>
      </c>
      <c r="H49" s="49">
        <v>58779</v>
      </c>
      <c r="I49" s="49">
        <v>58884</v>
      </c>
      <c r="J49" s="33" t="s">
        <v>51</v>
      </c>
      <c r="K49" s="49">
        <v>59048</v>
      </c>
      <c r="L49" s="150" t="s">
        <v>52</v>
      </c>
      <c r="M49" s="153">
        <f t="shared" si="7"/>
        <v>86.592000000000013</v>
      </c>
      <c r="N49" s="92" t="str">
        <f>VLOOKUP(C49,'Trips&amp;Operators'!$C$1:$E$99999,3,FALSE)</f>
        <v>STRICKLAND</v>
      </c>
      <c r="O49" s="174" t="s">
        <v>86</v>
      </c>
      <c r="P49" s="10"/>
      <c r="Q49" s="33"/>
      <c r="R49" s="108" t="str">
        <f>VLOOKUP(C49,'Train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49" s="111" t="str">
        <f>VLOOKUP(C49,'Train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06:43:39-0600',mode:absolute,to:'2016-09-16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9" s="113" t="str">
        <f t="shared" si="8"/>
        <v>"C:\Program Files (x86)\AstroGrep\AstroGrep.exe" /spath="%USERPROFILE%\AppData\Local\Temp\OnboardLogs" /stypes="*4031*201609161*" /stext=" 14:.+((SYSTEM_STATE.+slice.+state.+changed )|(ment ac)|(system.+state.+changed )|(\|lc)|(penalty)|(\[timeout)|(PRM\|1\|D)|(kpr)|(kdp))" /e /r /s</v>
      </c>
      <c r="U49" s="9" t="str">
        <f t="shared" si="9"/>
        <v>4031</v>
      </c>
      <c r="V49" s="38">
        <f t="shared" si="10"/>
        <v>42629.587534722225</v>
      </c>
      <c r="W49" s="52" t="str">
        <f t="shared" si="11"/>
        <v>NW</v>
      </c>
      <c r="X49" s="52" t="str">
        <f t="shared" si="12"/>
        <v>KEEP</v>
      </c>
      <c r="Y49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ID","value":"809-16"},{"id":16,"name":"Locomotive ID","value":"4031"},{"id":130,"name":"Impact","value":""},{"id":150,"name":"Time of Event (Mountain Time)","value":"08:06:03"},{"id":151,"name":"Denver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</row>
    <row r="50" spans="1:28" x14ac:dyDescent="0.25">
      <c r="A50" s="38">
        <v>42629.399328703701</v>
      </c>
      <c r="B50" s="33" t="s">
        <v>106</v>
      </c>
      <c r="C50" s="33" t="s">
        <v>447</v>
      </c>
      <c r="D50" s="33" t="s">
        <v>49</v>
      </c>
      <c r="E50" s="33" t="s">
        <v>50</v>
      </c>
      <c r="F50" s="49">
        <v>0</v>
      </c>
      <c r="G50" s="49">
        <v>66</v>
      </c>
      <c r="H50" s="49">
        <v>58847</v>
      </c>
      <c r="I50" s="49">
        <v>58907</v>
      </c>
      <c r="J50" s="33" t="s">
        <v>51</v>
      </c>
      <c r="K50" s="49">
        <v>59048</v>
      </c>
      <c r="L50" s="150" t="s">
        <v>52</v>
      </c>
      <c r="M50" s="153">
        <f t="shared" si="7"/>
        <v>74.447999999999993</v>
      </c>
      <c r="N50" s="92" t="str">
        <f>VLOOKUP(C50,'Trips&amp;Operators'!$C$1:$E$99999,3,FALSE)</f>
        <v>ROBINSON</v>
      </c>
      <c r="O50" s="174" t="s">
        <v>86</v>
      </c>
      <c r="P50" s="10"/>
      <c r="Q50" s="33"/>
      <c r="R50" s="108" t="str">
        <f>VLOOKUP(C50,'Train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50" s="111" t="str">
        <f>VLOOKUP(C50,'Train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07:57:24-0600',mode:absolute,to:'2016-09-16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50" s="113" t="str">
        <f t="shared" si="8"/>
        <v>"C:\Program Files (x86)\AstroGrep\AstroGrep.exe" /spath="%USERPROFILE%\AppData\Local\Temp\OnboardLogs" /stypes="*4014*201609161*" /stext=" 15:.+((SYSTEM_STATE.+slice.+state.+changed )|(ment ac)|(system.+state.+changed )|(\|lc)|(penalty)|(\[timeout)|(PRM\|1\|D)|(kpr)|(kdp))" /e /r /s</v>
      </c>
      <c r="U50" s="9" t="str">
        <f t="shared" si="9"/>
        <v>4014</v>
      </c>
      <c r="V50" s="38">
        <f t="shared" si="10"/>
        <v>42629.649328703701</v>
      </c>
      <c r="W50" s="52" t="str">
        <f t="shared" si="11"/>
        <v>NW</v>
      </c>
      <c r="X50" s="52" t="str">
        <f t="shared" si="12"/>
        <v>KEEP</v>
      </c>
      <c r="Y50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ID","value":"813-16"},{"id":16,"name":"Locomotive ID","value":"4014"},{"id":130,"name":"Impact","value":""},{"id":150,"name":"Time of Event (Mountain Time)","value":"09:35:02"},{"id":151,"name":"Denver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</row>
    <row r="51" spans="1:28" x14ac:dyDescent="0.25">
      <c r="A51" s="38">
        <v>42629.783958333333</v>
      </c>
      <c r="B51" s="33" t="s">
        <v>236</v>
      </c>
      <c r="C51" s="33" t="s">
        <v>568</v>
      </c>
      <c r="D51" s="33" t="s">
        <v>49</v>
      </c>
      <c r="E51" s="33" t="s">
        <v>56</v>
      </c>
      <c r="F51" s="49">
        <v>300</v>
      </c>
      <c r="G51" s="49">
        <v>371</v>
      </c>
      <c r="H51" s="49">
        <v>19671</v>
      </c>
      <c r="I51" s="49">
        <v>20782</v>
      </c>
      <c r="J51" s="33" t="s">
        <v>57</v>
      </c>
      <c r="K51" s="49">
        <v>21314</v>
      </c>
      <c r="L51" s="150" t="s">
        <v>52</v>
      </c>
      <c r="M51" s="153">
        <f t="shared" si="7"/>
        <v>280.89600000000002</v>
      </c>
      <c r="N51" s="92" t="str">
        <f>VLOOKUP(C51,'Trips&amp;Operators'!$C$1:$E$99999,3,FALSE)</f>
        <v>MOSES</v>
      </c>
      <c r="O51" s="174" t="s">
        <v>86</v>
      </c>
      <c r="P51" s="10"/>
      <c r="Q51" s="33"/>
      <c r="R51" s="108" t="str">
        <f>VLOOKUP(C51,'Train Runs'!$A$13:$AE$10023,31,0)</f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S51" s="111" t="str">
        <f>VLOOKUP(C51,'Train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17:39:01-0600',mode:absolute,to:'1970-01-01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51" s="113" t="str">
        <f t="shared" si="8"/>
        <v>"C:\Program Files (x86)\AstroGrep\AstroGrep.exe" /spath="%USERPROFILE%\AppData\Local\Temp\OnboardLogs" /stypes="*4018*201609170*" /stext=" 00:.+((SYSTEM_STATE.+slice.+state.+changed )|(ment ac)|(system.+state.+changed )|(\|lc)|(penalty)|(\[timeout)|(PRM\|1\|D)|(kpr)|(kdp))" /e /r /s</v>
      </c>
      <c r="U51" s="9" t="str">
        <f t="shared" si="9"/>
        <v>4018</v>
      </c>
      <c r="V51" s="38">
        <f t="shared" si="10"/>
        <v>42630.033958333333</v>
      </c>
      <c r="W51" s="52" t="str">
        <f t="shared" si="11"/>
        <v>Other</v>
      </c>
      <c r="X51" s="52" t="str">
        <f t="shared" si="12"/>
        <v>KEEP</v>
      </c>
      <c r="Y51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{"issue":{"subject":"","project_id":79,"tracker_id":40,"status_id":1,"priority_id":2,"assigned_to_id":23,"start_date":"2016-09-16","description":"","custom_fields":[{"id":1,"name":"Subdivision","value":"Other"},{"id":4,"name":"Milepost","value":"2.1314"},{"id":17,"name":"Train ID","value":"303-16"},{"id":16,"name":"Locomotive ID","value":"4018"},{"id":130,"name":"Impact","value":""},{"id":150,"name":"Time of Event (Mountain Time)","value":"18:48:54"},{"id":151,"name":"Denver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</row>
    <row r="52" spans="1:28" x14ac:dyDescent="0.25">
      <c r="A52" s="38">
        <v>42629.744247685187</v>
      </c>
      <c r="B52" s="33" t="s">
        <v>381</v>
      </c>
      <c r="C52" s="33" t="s">
        <v>555</v>
      </c>
      <c r="D52" s="33" t="s">
        <v>49</v>
      </c>
      <c r="E52" s="33" t="s">
        <v>54</v>
      </c>
      <c r="F52" s="49">
        <v>0</v>
      </c>
      <c r="G52" s="49">
        <v>21</v>
      </c>
      <c r="H52" s="49">
        <v>24337</v>
      </c>
      <c r="I52" s="49">
        <v>24271</v>
      </c>
      <c r="J52" s="33" t="s">
        <v>55</v>
      </c>
      <c r="K52" s="49">
        <v>24235</v>
      </c>
      <c r="L52" s="150" t="s">
        <v>53</v>
      </c>
      <c r="M52" s="153">
        <f t="shared" si="7"/>
        <v>19.007999999999999</v>
      </c>
      <c r="N52" s="92" t="str">
        <f>VLOOKUP(C52,'Trips&amp;Operators'!$C$1:$E$99999,3,FALSE)</f>
        <v>CHANDLER</v>
      </c>
      <c r="O52" s="174" t="s">
        <v>86</v>
      </c>
      <c r="P52" s="10"/>
      <c r="Q52" s="33"/>
      <c r="R52" s="108" t="str">
        <f>VLOOKUP(C52,'Train Runs'!$A$13:$AE$10023,31,0)</f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S52" s="111" t="str">
        <f>VLOOKUP(C52,'Train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16:39:30-0600',mode:absolute,to:'2016-09-16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2" s="113" t="str">
        <f t="shared" si="8"/>
        <v>"C:\Program Files (x86)\AstroGrep\AstroGrep.exe" /spath="%USERPROFILE%\AppData\Local\Temp\OnboardLogs" /stypes="*4005*201609162*" /stext=" 23:.+((SYSTEM_STATE.+slice.+state.+changed )|(ment ac)|(system.+state.+changed )|(\|lc)|(penalty)|(\[timeout)|(PRM\|1\|D)|(kpr)|(kdp))" /e /r /s</v>
      </c>
      <c r="U52" s="9" t="str">
        <f t="shared" si="9"/>
        <v>4005</v>
      </c>
      <c r="V52" s="38">
        <f t="shared" si="10"/>
        <v>42629.994247685187</v>
      </c>
      <c r="W52" s="52" t="str">
        <f t="shared" si="11"/>
        <v>Other</v>
      </c>
      <c r="X52" s="52" t="str">
        <f t="shared" si="12"/>
        <v>KEEP</v>
      </c>
      <c r="Y52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{"issue":{"subject":"","project_id":79,"tracker_id":40,"status_id":1,"priority_id":2,"assigned_to_id":23,"start_date":"2016-09-16","description":"","custom_fields":[{"id":1,"name":"Subdivision","value":"Other"},{"id":4,"name":"Milepost","value":"2.4235"},{"id":17,"name":"Train ID","value":"54-16"},{"id":16,"name":"Locomotive ID","value":"4005"},{"id":130,"name":"Impact","value":""},{"id":150,"name":"Time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</row>
    <row r="53" spans="1:28" x14ac:dyDescent="0.25">
      <c r="A53" s="38">
        <v>42629.824421296296</v>
      </c>
      <c r="B53" s="33" t="s">
        <v>382</v>
      </c>
      <c r="C53" s="33" t="s">
        <v>579</v>
      </c>
      <c r="D53" s="33" t="s">
        <v>49</v>
      </c>
      <c r="E53" s="33" t="s">
        <v>271</v>
      </c>
      <c r="F53" s="49">
        <v>100</v>
      </c>
      <c r="G53" s="49">
        <v>160</v>
      </c>
      <c r="H53" s="49">
        <v>10143</v>
      </c>
      <c r="I53" s="49">
        <v>10430</v>
      </c>
      <c r="J53" s="33" t="s">
        <v>170</v>
      </c>
      <c r="K53" s="49">
        <v>10701</v>
      </c>
      <c r="L53" s="150" t="s">
        <v>52</v>
      </c>
      <c r="M53" s="153">
        <f t="shared" si="7"/>
        <v>143.08799999999999</v>
      </c>
      <c r="N53" s="92" t="str">
        <f>VLOOKUP(C53,'Trips&amp;Operators'!$C$1:$E$99999,3,FALSE)</f>
        <v>HILLS</v>
      </c>
      <c r="O53" s="174" t="s">
        <v>86</v>
      </c>
      <c r="P53" s="10"/>
      <c r="Q53" s="33"/>
      <c r="R53" s="108" t="str">
        <f>VLOOKUP(C53,'Train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53" s="111" t="str">
        <f>VLOOKUP(C53,'Train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18:41:53-0600',mode:absolute,to:'2016-09-16 20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3" s="113" t="str">
        <f t="shared" si="8"/>
        <v>"C:\Program Files (x86)\AstroGrep\AstroGrep.exe" /spath="%USERPROFILE%\AppData\Local\Temp\OnboardLogs" /stypes="*4002*201609170*" /stext=" 01:.+((SYSTEM_STATE.+slice.+state.+changed )|(ment ac)|(system.+state.+changed )|(\|lc)|(penalty)|(\[timeout)|(PRM\|1\|D)|(kpr)|(kdp))" /e /r /s</v>
      </c>
      <c r="U53" s="9" t="str">
        <f t="shared" si="9"/>
        <v>4002</v>
      </c>
      <c r="V53" s="38">
        <f t="shared" si="10"/>
        <v>42630.074421296296</v>
      </c>
      <c r="W53" s="52" t="str">
        <f t="shared" si="11"/>
        <v>Other</v>
      </c>
      <c r="X53" s="52" t="str">
        <f t="shared" si="12"/>
        <v>KEEP</v>
      </c>
      <c r="Y53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{"issue":{"subject":"","project_id":79,"tracker_id":40,"status_id":1,"priority_id":2,"assigned_to_id":23,"start_date":"2016-09-16","description":"","custom_fields":[{"id":1,"name":"Subdivision","value":"Other"},{"id":4,"name":"Milepost","value":"1.0701"},{"id":17,"name":"Train ID","value":"307-16"},{"id":16,"name":"Locomotive ID","value":"4002"},{"id":130,"name":"Impact","value":""},{"id":150,"name":"Time of Event (Mountain Time)","value":"19:47:10"},{"id":151,"name":"Denver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</row>
    <row r="54" spans="1:28" x14ac:dyDescent="0.25">
      <c r="A54" s="38">
        <v>42629.466574074075</v>
      </c>
      <c r="B54" s="33" t="s">
        <v>381</v>
      </c>
      <c r="C54" s="33" t="s">
        <v>472</v>
      </c>
      <c r="D54" s="33" t="s">
        <v>49</v>
      </c>
      <c r="E54" s="33" t="s">
        <v>50</v>
      </c>
      <c r="F54" s="49">
        <v>0</v>
      </c>
      <c r="G54" s="49">
        <v>21</v>
      </c>
      <c r="H54" s="49">
        <v>884</v>
      </c>
      <c r="I54" s="49">
        <v>865</v>
      </c>
      <c r="J54" s="33" t="s">
        <v>51</v>
      </c>
      <c r="K54" s="49">
        <v>826</v>
      </c>
      <c r="L54" s="150" t="s">
        <v>53</v>
      </c>
      <c r="M54" s="153">
        <f t="shared" si="7"/>
        <v>20.591999999999999</v>
      </c>
      <c r="N54" s="92" t="str">
        <f>VLOOKUP(C54,'Trips&amp;Operators'!$C$1:$E$99999,3,FALSE)</f>
        <v>MOSES</v>
      </c>
      <c r="O54" s="174" t="s">
        <v>86</v>
      </c>
      <c r="P54" s="10"/>
      <c r="Q54" s="33"/>
      <c r="R54" s="108" t="str">
        <f>VLOOKUP(C54,'Train Runs'!$A$13:$AE$10023,31,0)</f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S54" s="111" t="str">
        <f>VLOOKUP(C54,'Train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10:00:54-0600',mode:absolute,to:'2016-09-16 12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4" s="113" t="str">
        <f t="shared" si="8"/>
        <v>"C:\Program Files (x86)\AstroGrep\AstroGrep.exe" /spath="%USERPROFILE%\AppData\Local\Temp\OnboardLogs" /stypes="*4005*201609161*" /stext=" 17:.+((SYSTEM_STATE.+slice.+state.+changed )|(ment ac)|(system.+state.+changed )|(\|lc)|(penalty)|(\[timeout)|(PRM\|1\|D)|(kpr)|(kdp))" /e /r /s</v>
      </c>
      <c r="U54" s="9" t="str">
        <f t="shared" si="9"/>
        <v>4005</v>
      </c>
      <c r="V54" s="38">
        <f t="shared" si="10"/>
        <v>42629.716574074075</v>
      </c>
      <c r="W54" s="52" t="str">
        <f t="shared" si="11"/>
        <v>Other</v>
      </c>
      <c r="X54" s="52" t="str">
        <f t="shared" si="12"/>
        <v>KEEP</v>
      </c>
      <c r="Y54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{"issue":{"subject":"","project_id":79,"tracker_id":40,"status_id":1,"priority_id":2,"assigned_to_id":23,"start_date":"2016-09-16","description":"","custom_fields":[{"id":1,"name":"Subdivision","value":"Other"},{"id":4,"name":"Milepost","value":"0.0826"},{"id":17,"name":"Train ID","value":"52-16"},{"id":16,"name":"Locomotive ID","value":"4005"},{"id":130,"name":"Impact","value":""},{"id":150,"name":"Time of Event (Mountain Time)","value":"11:11:52"},{"id":151,"name":"Denver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</row>
    <row r="55" spans="1:28" x14ac:dyDescent="0.25">
      <c r="A55" s="38">
        <v>42629.759375000001</v>
      </c>
      <c r="B55" s="33" t="s">
        <v>237</v>
      </c>
      <c r="C55" s="33" t="s">
        <v>462</v>
      </c>
      <c r="D55" s="33" t="s">
        <v>49</v>
      </c>
      <c r="E55" s="33" t="s">
        <v>50</v>
      </c>
      <c r="F55" s="49">
        <v>0</v>
      </c>
      <c r="G55" s="49">
        <v>26</v>
      </c>
      <c r="H55" s="49">
        <v>907</v>
      </c>
      <c r="I55" s="49">
        <v>888</v>
      </c>
      <c r="J55" s="33" t="s">
        <v>51</v>
      </c>
      <c r="K55" s="49">
        <v>839</v>
      </c>
      <c r="L55" s="150" t="s">
        <v>53</v>
      </c>
      <c r="M55" s="153">
        <f t="shared" si="7"/>
        <v>25.872</v>
      </c>
      <c r="N55" s="92" t="str">
        <f>VLOOKUP(C55,'Trips&amp;Operators'!$C$1:$E$99999,3,FALSE)</f>
        <v>OUN</v>
      </c>
      <c r="O55" s="174" t="s">
        <v>86</v>
      </c>
      <c r="P55" s="10"/>
      <c r="Q55" s="33"/>
      <c r="R55" s="108" t="str">
        <f>VLOOKUP(C55,'Train Runs'!$A$13:$AE$10023,31,0)</f>
        <v>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 &amp; aws s3 cp s3://rtdc.mdm.uploadarchive/RTDC4015/2016-09-17/ "%USERPROFILE%\AppData\Local\Temp\OnboardLogs"\RTDC4015\2016-09-17 --recursive &amp; "%USERPROFILE%\Documents\GitHub\mrs-test-scripts\Headless Mode &amp; Sideloading\WalkAndUnGZ.bat" "%USERPROFILE%\AppData\Local\Temp\OnboardLogs"\RTDC4015\2016-09-17</v>
      </c>
      <c r="S55" s="111" t="str">
        <f>VLOOKUP(C55,'Train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16:55:18-0600',mode:absolute,to:'2016-09-16 19:13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5" s="113" t="str">
        <f t="shared" si="8"/>
        <v>"C:\Program Files (x86)\AstroGrep\AstroGrep.exe" /spath="%USERPROFILE%\AppData\Local\Temp\OnboardLogs" /stypes="*4015*201609170*" /stext=" 00:.+((SYSTEM_STATE.+slice.+state.+changed )|(ment ac)|(system.+state.+changed )|(\|lc)|(penalty)|(\[timeout)|(PRM\|1\|D)|(kpr)|(kdp))" /e /r /s</v>
      </c>
      <c r="U55" s="9" t="str">
        <f t="shared" si="9"/>
        <v>4015</v>
      </c>
      <c r="V55" s="38">
        <f t="shared" si="10"/>
        <v>42630.009375000001</v>
      </c>
      <c r="W55" s="52" t="str">
        <f t="shared" si="11"/>
        <v>Other</v>
      </c>
      <c r="X55" s="52" t="str">
        <f t="shared" si="12"/>
        <v>KEEP</v>
      </c>
      <c r="Y55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{"issue":{"subject":"","project_id":79,"tracker_id":40,"status_id":1,"priority_id":2,"assigned_to_id":23,"start_date":"2016-09-16","description":"","custom_fields":[{"id":1,"name":"Subdivision","value":"Other"},{"id":4,"name":"Milepost","value":"0.0839"},{"id":17,"name":"Train ID","value":"50-16"},{"id":16,"name":"Locomotive ID","value":"4015"},{"id":130,"name":"Impact","value":""},{"id":150,"name":"Time of Event (Mountain Time)","value":"18:13:30"},{"id":151,"name":"Denver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B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8" priority="14" operator="equal">
      <formula>"Y"</formula>
    </cfRule>
  </conditionalFormatting>
  <conditionalFormatting sqref="A7:P75">
    <cfRule type="expression" dxfId="7" priority="7">
      <formula>$O7="Y"</formula>
    </cfRule>
  </conditionalFormatting>
  <conditionalFormatting sqref="O2:O3">
    <cfRule type="cellIs" dxfId="6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2016-09-16</v>
      </c>
      <c r="C1" s="176"/>
      <c r="D1" s="176"/>
      <c r="E1" s="176"/>
      <c r="F1" s="176"/>
    </row>
    <row r="2" spans="1:11" s="26" customFormat="1" ht="45" x14ac:dyDescent="0.25">
      <c r="A2" s="170" t="s">
        <v>172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114</v>
      </c>
    </row>
    <row r="3" spans="1:11" x14ac:dyDescent="0.25">
      <c r="B3" s="2" t="str">
        <f>A3&amp;"-"&amp;IF(DAY(Variables!$A$2)&lt;10,0,"")&amp;DAY(Variables!$A$2)</f>
        <v>-16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-16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-16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-16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-16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-16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-16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-16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265</v>
      </c>
      <c r="B1" s="23" t="s">
        <v>266</v>
      </c>
      <c r="C1" s="23" t="s">
        <v>0</v>
      </c>
      <c r="D1" s="23" t="s">
        <v>267</v>
      </c>
      <c r="E1" s="23" t="s">
        <v>268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42629.03193287037</v>
      </c>
      <c r="B2" s="23" t="s">
        <v>235</v>
      </c>
      <c r="C2" s="23" t="s">
        <v>357</v>
      </c>
      <c r="D2" s="23">
        <v>2370000</v>
      </c>
      <c r="E2" s="23" t="s">
        <v>248</v>
      </c>
      <c r="F2" s="23" t="str">
        <f t="shared" ref="F2:F65" si="0">B2</f>
        <v>rtdc.l.rtdc.4016:itc</v>
      </c>
      <c r="G2" s="8">
        <f t="shared" ref="G2:G65" si="1">A2</f>
        <v>42629.03193287037</v>
      </c>
    </row>
    <row r="3" spans="1:7" x14ac:dyDescent="0.25">
      <c r="A3" s="8">
        <v>42629.034409722219</v>
      </c>
      <c r="B3" s="23" t="s">
        <v>290</v>
      </c>
      <c r="C3" s="23" t="s">
        <v>355</v>
      </c>
      <c r="D3" s="23">
        <v>1300000</v>
      </c>
      <c r="E3" s="23" t="s">
        <v>123</v>
      </c>
      <c r="F3" s="23" t="str">
        <f t="shared" si="0"/>
        <v>rtdc.l.rtdc.4017:itc</v>
      </c>
      <c r="G3" s="8">
        <f t="shared" si="1"/>
        <v>42629.034409722219</v>
      </c>
    </row>
    <row r="4" spans="1:7" x14ac:dyDescent="0.25">
      <c r="A4" s="8">
        <v>42629.046712962961</v>
      </c>
      <c r="B4" s="23" t="s">
        <v>185</v>
      </c>
      <c r="C4" s="23" t="s">
        <v>359</v>
      </c>
      <c r="D4" s="23">
        <v>1290000</v>
      </c>
      <c r="E4" s="23" t="s">
        <v>176</v>
      </c>
      <c r="F4" s="23" t="str">
        <f t="shared" si="0"/>
        <v>rtdc.l.rtdc.4046:itc</v>
      </c>
      <c r="G4" s="8">
        <f t="shared" si="1"/>
        <v>42629.046712962961</v>
      </c>
    </row>
    <row r="5" spans="1:7" x14ac:dyDescent="0.25">
      <c r="A5" s="8">
        <v>42629.048078703701</v>
      </c>
      <c r="B5" s="23" t="s">
        <v>185</v>
      </c>
      <c r="C5" s="23" t="s">
        <v>359</v>
      </c>
      <c r="D5" s="23">
        <v>1290000</v>
      </c>
      <c r="E5" s="23" t="s">
        <v>176</v>
      </c>
      <c r="F5" s="23" t="str">
        <f t="shared" si="0"/>
        <v>rtdc.l.rtdc.4046:itc</v>
      </c>
      <c r="G5" s="8">
        <f t="shared" si="1"/>
        <v>42629.048078703701</v>
      </c>
    </row>
    <row r="6" spans="1:7" x14ac:dyDescent="0.25">
      <c r="A6" s="8">
        <v>42629.053333333337</v>
      </c>
      <c r="B6" s="23" t="s">
        <v>180</v>
      </c>
      <c r="C6" s="23" t="s">
        <v>356</v>
      </c>
      <c r="D6" s="23">
        <v>1480000</v>
      </c>
      <c r="E6" s="23" t="s">
        <v>304</v>
      </c>
      <c r="F6" s="23" t="str">
        <f t="shared" si="0"/>
        <v>rtdc.l.rtdc.4041:itc</v>
      </c>
      <c r="G6" s="8">
        <f t="shared" si="1"/>
        <v>42629.053333333337</v>
      </c>
    </row>
    <row r="7" spans="1:7" x14ac:dyDescent="0.25">
      <c r="A7" s="8">
        <v>42629.067824074074</v>
      </c>
      <c r="B7" s="23" t="s">
        <v>236</v>
      </c>
      <c r="C7" s="23" t="s">
        <v>360</v>
      </c>
      <c r="D7" s="23">
        <v>1300000</v>
      </c>
      <c r="E7" s="23" t="s">
        <v>123</v>
      </c>
      <c r="F7" s="23" t="str">
        <f t="shared" si="0"/>
        <v>rtdc.l.rtdc.4018:itc</v>
      </c>
      <c r="G7" s="8">
        <f t="shared" si="1"/>
        <v>42629.067824074074</v>
      </c>
    </row>
    <row r="8" spans="1:7" x14ac:dyDescent="0.25">
      <c r="A8" s="8">
        <v>42629.089178240742</v>
      </c>
      <c r="B8" s="23" t="s">
        <v>182</v>
      </c>
      <c r="C8" s="23" t="s">
        <v>361</v>
      </c>
      <c r="D8" s="23">
        <v>1480000</v>
      </c>
      <c r="E8" s="23" t="s">
        <v>304</v>
      </c>
      <c r="F8" s="23" t="str">
        <f t="shared" si="0"/>
        <v>rtdc.l.rtdc.4042:itc</v>
      </c>
      <c r="G8" s="8">
        <f t="shared" si="1"/>
        <v>42629.089178240742</v>
      </c>
    </row>
    <row r="9" spans="1:7" ht="15.75" thickBot="1" x14ac:dyDescent="0.3">
      <c r="A9" s="27">
        <v>42629.129571759258</v>
      </c>
      <c r="B9" s="23" t="s">
        <v>388</v>
      </c>
      <c r="C9" s="23" t="s">
        <v>389</v>
      </c>
      <c r="D9" s="23">
        <v>2010000</v>
      </c>
      <c r="E9" s="23" t="s">
        <v>299</v>
      </c>
      <c r="F9" s="23" t="str">
        <f t="shared" si="0"/>
        <v>rtdc.l.rtdc.4003:itc</v>
      </c>
      <c r="G9" s="8">
        <f t="shared" si="1"/>
        <v>42629.129571759258</v>
      </c>
    </row>
    <row r="10" spans="1:7" x14ac:dyDescent="0.25">
      <c r="A10" s="8">
        <v>42629.148668981485</v>
      </c>
      <c r="B10" s="23" t="s">
        <v>390</v>
      </c>
      <c r="C10" s="23" t="s">
        <v>391</v>
      </c>
      <c r="D10" s="23">
        <v>1990000</v>
      </c>
      <c r="E10" s="23" t="s">
        <v>392</v>
      </c>
      <c r="F10" s="23" t="str">
        <f t="shared" si="0"/>
        <v>rtdc.l.rtdc.4038:itc</v>
      </c>
      <c r="G10" s="8">
        <f t="shared" si="1"/>
        <v>42629.148668981485</v>
      </c>
    </row>
    <row r="11" spans="1:7" x14ac:dyDescent="0.25">
      <c r="A11" s="8">
        <v>42629.170752314814</v>
      </c>
      <c r="B11" s="23" t="s">
        <v>166</v>
      </c>
      <c r="C11" s="23" t="s">
        <v>393</v>
      </c>
      <c r="D11" s="23">
        <v>2010000</v>
      </c>
      <c r="E11" s="23" t="s">
        <v>299</v>
      </c>
      <c r="F11" s="23" t="str">
        <f t="shared" si="0"/>
        <v>rtdc.l.rtdc.4019:itc</v>
      </c>
      <c r="G11" s="8">
        <f t="shared" si="1"/>
        <v>42629.170752314814</v>
      </c>
    </row>
    <row r="12" spans="1:7" x14ac:dyDescent="0.25">
      <c r="A12" s="8">
        <v>42629.178715277776</v>
      </c>
      <c r="B12" s="23" t="s">
        <v>298</v>
      </c>
      <c r="C12" s="23" t="s">
        <v>394</v>
      </c>
      <c r="D12" s="23">
        <v>1310000</v>
      </c>
      <c r="E12" s="23" t="s">
        <v>383</v>
      </c>
      <c r="F12" s="23" t="str">
        <f t="shared" si="0"/>
        <v>rtdc.l.rtdc.4044:itc</v>
      </c>
      <c r="G12" s="8">
        <f t="shared" si="1"/>
        <v>42629.178715277776</v>
      </c>
    </row>
    <row r="13" spans="1:7" x14ac:dyDescent="0.25">
      <c r="A13" s="8">
        <v>42629.180092592593</v>
      </c>
      <c r="B13" s="23" t="s">
        <v>130</v>
      </c>
      <c r="C13" s="23" t="s">
        <v>395</v>
      </c>
      <c r="D13" s="23">
        <v>2380000</v>
      </c>
      <c r="E13" s="23" t="s">
        <v>284</v>
      </c>
      <c r="F13" s="23" t="str">
        <f t="shared" si="0"/>
        <v>rtdc.l.rtdc.4009:itc</v>
      </c>
      <c r="G13" s="8">
        <f t="shared" si="1"/>
        <v>42629.180092592593</v>
      </c>
    </row>
    <row r="14" spans="1:7" x14ac:dyDescent="0.25">
      <c r="A14" s="8">
        <v>42629.191377314812</v>
      </c>
      <c r="B14" s="23" t="s">
        <v>379</v>
      </c>
      <c r="C14" s="23" t="s">
        <v>396</v>
      </c>
      <c r="D14" s="23">
        <v>1990000</v>
      </c>
      <c r="E14" s="23" t="s">
        <v>392</v>
      </c>
      <c r="F14" s="23" t="str">
        <f t="shared" si="0"/>
        <v>rtdc.l.rtdc.4001:itc</v>
      </c>
      <c r="G14" s="8">
        <f t="shared" si="1"/>
        <v>42629.191377314812</v>
      </c>
    </row>
    <row r="15" spans="1:7" x14ac:dyDescent="0.25">
      <c r="A15" s="8">
        <v>42629.191608796296</v>
      </c>
      <c r="B15" s="23" t="s">
        <v>236</v>
      </c>
      <c r="C15" s="23" t="s">
        <v>397</v>
      </c>
      <c r="D15" s="23">
        <v>2360000</v>
      </c>
      <c r="E15" s="23" t="s">
        <v>295</v>
      </c>
      <c r="F15" s="23" t="str">
        <f t="shared" si="0"/>
        <v>rtdc.l.rtdc.4018:itc</v>
      </c>
      <c r="G15" s="8">
        <f t="shared" si="1"/>
        <v>42629.191608796296</v>
      </c>
    </row>
    <row r="16" spans="1:7" x14ac:dyDescent="0.25">
      <c r="A16" s="8">
        <v>42629.192986111113</v>
      </c>
      <c r="B16" s="23" t="s">
        <v>236</v>
      </c>
      <c r="C16" s="23" t="s">
        <v>397</v>
      </c>
      <c r="D16" s="23">
        <v>2360000</v>
      </c>
      <c r="E16" s="23" t="s">
        <v>295</v>
      </c>
      <c r="F16" s="23" t="str">
        <f t="shared" si="0"/>
        <v>rtdc.l.rtdc.4018:itc</v>
      </c>
      <c r="G16" s="8">
        <f t="shared" si="1"/>
        <v>42629.192986111113</v>
      </c>
    </row>
    <row r="17" spans="1:7" x14ac:dyDescent="0.25">
      <c r="A17" s="8">
        <v>42629.206493055557</v>
      </c>
      <c r="B17" s="23" t="s">
        <v>378</v>
      </c>
      <c r="C17" s="23" t="s">
        <v>398</v>
      </c>
      <c r="D17" s="23">
        <v>1760000</v>
      </c>
      <c r="E17" s="23" t="s">
        <v>300</v>
      </c>
      <c r="F17" s="23" t="str">
        <f t="shared" si="0"/>
        <v>rtdc.l.rtdc.4032:itc</v>
      </c>
      <c r="G17" s="8">
        <f t="shared" si="1"/>
        <v>42629.206493055557</v>
      </c>
    </row>
    <row r="18" spans="1:7" x14ac:dyDescent="0.25">
      <c r="A18" s="8">
        <v>42629.211493055554</v>
      </c>
      <c r="B18" s="23" t="s">
        <v>388</v>
      </c>
      <c r="C18" s="23" t="s">
        <v>399</v>
      </c>
      <c r="D18" s="23">
        <v>1090000</v>
      </c>
      <c r="E18" s="23" t="s">
        <v>285</v>
      </c>
      <c r="F18" s="23" t="str">
        <f t="shared" si="0"/>
        <v>rtdc.l.rtdc.4003:itc</v>
      </c>
      <c r="G18" s="8">
        <f t="shared" si="1"/>
        <v>42629.211493055554</v>
      </c>
    </row>
    <row r="19" spans="1:7" x14ac:dyDescent="0.25">
      <c r="A19" s="8">
        <v>42629.215486111112</v>
      </c>
      <c r="B19" s="23" t="s">
        <v>167</v>
      </c>
      <c r="C19" s="23" t="s">
        <v>400</v>
      </c>
      <c r="D19" s="23">
        <v>2010000</v>
      </c>
      <c r="E19" s="23" t="s">
        <v>299</v>
      </c>
      <c r="F19" s="23" t="str">
        <f t="shared" si="0"/>
        <v>rtdc.l.rtdc.4020:itc</v>
      </c>
      <c r="G19" s="8">
        <f t="shared" si="1"/>
        <v>42629.215486111112</v>
      </c>
    </row>
    <row r="20" spans="1:7" x14ac:dyDescent="0.25">
      <c r="A20" s="8">
        <v>42629.216979166667</v>
      </c>
      <c r="B20" s="23" t="s">
        <v>289</v>
      </c>
      <c r="C20" s="23" t="s">
        <v>401</v>
      </c>
      <c r="D20" s="23">
        <v>1310000</v>
      </c>
      <c r="E20" s="23" t="s">
        <v>383</v>
      </c>
      <c r="F20" s="23" t="str">
        <f t="shared" si="0"/>
        <v>rtdc.l.rtdc.4054:itc</v>
      </c>
      <c r="G20" s="8">
        <f t="shared" si="1"/>
        <v>42629.216979166667</v>
      </c>
    </row>
    <row r="21" spans="1:7" x14ac:dyDescent="0.25">
      <c r="A21" s="8">
        <v>42629.224629629629</v>
      </c>
      <c r="B21" s="23" t="s">
        <v>181</v>
      </c>
      <c r="C21" s="23" t="s">
        <v>402</v>
      </c>
      <c r="D21" s="23">
        <v>2380000</v>
      </c>
      <c r="E21" s="23" t="s">
        <v>284</v>
      </c>
      <c r="F21" s="23" t="str">
        <f t="shared" si="0"/>
        <v>rtdc.l.rtdc.4010:itc</v>
      </c>
      <c r="G21" s="8">
        <f t="shared" si="1"/>
        <v>42629.224629629629</v>
      </c>
    </row>
    <row r="22" spans="1:7" x14ac:dyDescent="0.25">
      <c r="A22" s="29">
        <v>42629.23065972222</v>
      </c>
      <c r="B22" s="23" t="s">
        <v>290</v>
      </c>
      <c r="C22" s="23" t="s">
        <v>403</v>
      </c>
      <c r="D22" s="23">
        <v>2360000</v>
      </c>
      <c r="E22" s="23" t="s">
        <v>295</v>
      </c>
      <c r="F22" s="23" t="str">
        <f t="shared" si="0"/>
        <v>rtdc.l.rtdc.4017:itc</v>
      </c>
      <c r="G22" s="8">
        <f t="shared" si="1"/>
        <v>42629.23065972222</v>
      </c>
    </row>
    <row r="23" spans="1:7" x14ac:dyDescent="0.25">
      <c r="A23" s="8">
        <v>42629.231759259259</v>
      </c>
      <c r="B23" s="23" t="s">
        <v>390</v>
      </c>
      <c r="C23" s="23" t="s">
        <v>404</v>
      </c>
      <c r="D23" s="23">
        <v>900000</v>
      </c>
      <c r="E23" s="23" t="s">
        <v>286</v>
      </c>
      <c r="F23" s="23" t="str">
        <f t="shared" si="0"/>
        <v>rtdc.l.rtdc.4038:itc</v>
      </c>
      <c r="G23" s="8">
        <f t="shared" si="1"/>
        <v>42629.231759259259</v>
      </c>
    </row>
    <row r="24" spans="1:7" x14ac:dyDescent="0.25">
      <c r="A24" s="8">
        <v>42629.232754629629</v>
      </c>
      <c r="B24" s="23" t="s">
        <v>382</v>
      </c>
      <c r="C24" s="23" t="s">
        <v>405</v>
      </c>
      <c r="D24" s="23">
        <v>1990000</v>
      </c>
      <c r="E24" s="23" t="s">
        <v>392</v>
      </c>
      <c r="F24" s="23" t="str">
        <f t="shared" si="0"/>
        <v>rtdc.l.rtdc.4002:itc</v>
      </c>
      <c r="G24" s="8">
        <f t="shared" si="1"/>
        <v>42629.232754629629</v>
      </c>
    </row>
    <row r="25" spans="1:7" x14ac:dyDescent="0.25">
      <c r="A25" s="8">
        <v>42629.237222222226</v>
      </c>
      <c r="B25" s="23" t="s">
        <v>108</v>
      </c>
      <c r="C25" s="23" t="s">
        <v>406</v>
      </c>
      <c r="D25" s="23">
        <v>1760000</v>
      </c>
      <c r="E25" s="23" t="s">
        <v>300</v>
      </c>
      <c r="F25" s="23" t="str">
        <f t="shared" si="0"/>
        <v>rtdc.l.rtdc.4031:itc</v>
      </c>
      <c r="G25" s="8">
        <f t="shared" si="1"/>
        <v>42629.237222222226</v>
      </c>
    </row>
    <row r="26" spans="1:7" x14ac:dyDescent="0.25">
      <c r="A26" s="8">
        <v>42629.246874999997</v>
      </c>
      <c r="B26" s="23" t="s">
        <v>407</v>
      </c>
      <c r="C26" s="23" t="s">
        <v>408</v>
      </c>
      <c r="D26" s="23">
        <v>1090000</v>
      </c>
      <c r="E26" s="23" t="s">
        <v>285</v>
      </c>
      <c r="F26" s="23" t="str">
        <f t="shared" si="0"/>
        <v>rtdc.l.rtdc.4004:itc</v>
      </c>
      <c r="G26" s="8">
        <f t="shared" si="1"/>
        <v>42629.246874999997</v>
      </c>
    </row>
    <row r="27" spans="1:7" x14ac:dyDescent="0.25">
      <c r="A27" s="8">
        <v>42629.251562500001</v>
      </c>
      <c r="B27" s="23" t="s">
        <v>298</v>
      </c>
      <c r="C27" s="23" t="s">
        <v>409</v>
      </c>
      <c r="D27" s="23">
        <v>1310000</v>
      </c>
      <c r="E27" s="23" t="s">
        <v>383</v>
      </c>
      <c r="F27" s="23" t="str">
        <f t="shared" si="0"/>
        <v>rtdc.l.rtdc.4044:itc</v>
      </c>
      <c r="G27" s="8">
        <f t="shared" si="1"/>
        <v>42629.251562500001</v>
      </c>
    </row>
    <row r="28" spans="1:7" x14ac:dyDescent="0.25">
      <c r="A28" s="8">
        <v>42629.253321759257</v>
      </c>
      <c r="B28" s="23" t="s">
        <v>166</v>
      </c>
      <c r="C28" s="23" t="s">
        <v>410</v>
      </c>
      <c r="D28" s="23">
        <v>2010000</v>
      </c>
      <c r="E28" s="23" t="s">
        <v>299</v>
      </c>
      <c r="F28" s="23" t="str">
        <f t="shared" si="0"/>
        <v>rtdc.l.rtdc.4019:itc</v>
      </c>
      <c r="G28" s="8">
        <f t="shared" si="1"/>
        <v>42629.253321759257</v>
      </c>
    </row>
    <row r="29" spans="1:7" x14ac:dyDescent="0.25">
      <c r="A29" s="8">
        <v>42629.255474537036</v>
      </c>
      <c r="B29" s="23" t="s">
        <v>130</v>
      </c>
      <c r="C29" s="23" t="s">
        <v>411</v>
      </c>
      <c r="D29" s="23">
        <v>2380000</v>
      </c>
      <c r="E29" s="23" t="s">
        <v>284</v>
      </c>
      <c r="F29" s="23" t="str">
        <f t="shared" si="0"/>
        <v>rtdc.l.rtdc.4009:itc</v>
      </c>
      <c r="G29" s="8">
        <f t="shared" si="1"/>
        <v>42629.255474537036</v>
      </c>
    </row>
    <row r="30" spans="1:7" x14ac:dyDescent="0.25">
      <c r="A30" s="8">
        <v>42629.255972222221</v>
      </c>
      <c r="B30" s="23" t="s">
        <v>106</v>
      </c>
      <c r="C30" s="23" t="s">
        <v>412</v>
      </c>
      <c r="D30" s="23">
        <v>2140000</v>
      </c>
      <c r="E30" s="23" t="s">
        <v>413</v>
      </c>
      <c r="F30" s="23" t="str">
        <f t="shared" si="0"/>
        <v>rtdc.l.rtdc.4014:itc</v>
      </c>
      <c r="G30" s="8">
        <f t="shared" si="1"/>
        <v>42629.255972222221</v>
      </c>
    </row>
    <row r="31" spans="1:7" x14ac:dyDescent="0.25">
      <c r="A31" s="8">
        <v>42629.256284722222</v>
      </c>
      <c r="B31" s="23" t="s">
        <v>378</v>
      </c>
      <c r="C31" s="23" t="s">
        <v>414</v>
      </c>
      <c r="D31" s="23">
        <v>1760000</v>
      </c>
      <c r="E31" s="23" t="s">
        <v>300</v>
      </c>
      <c r="F31" s="23" t="str">
        <f t="shared" si="0"/>
        <v>rtdc.l.rtdc.4032:itc</v>
      </c>
      <c r="G31" s="8">
        <f t="shared" si="1"/>
        <v>42629.256284722222</v>
      </c>
    </row>
    <row r="32" spans="1:7" x14ac:dyDescent="0.25">
      <c r="A32" s="8">
        <v>42629.267939814818</v>
      </c>
      <c r="B32" s="23" t="s">
        <v>415</v>
      </c>
      <c r="C32" s="23" t="s">
        <v>416</v>
      </c>
      <c r="D32" s="23">
        <v>900000</v>
      </c>
      <c r="E32" s="23" t="s">
        <v>286</v>
      </c>
      <c r="F32" s="23" t="str">
        <f t="shared" si="0"/>
        <v>rtdc.l.rtdc.4037:itc</v>
      </c>
      <c r="G32" s="8">
        <f t="shared" si="1"/>
        <v>42629.267939814818</v>
      </c>
    </row>
    <row r="33" spans="1:7" x14ac:dyDescent="0.25">
      <c r="A33" s="8">
        <v>42629.269305555557</v>
      </c>
      <c r="B33" s="23" t="s">
        <v>236</v>
      </c>
      <c r="C33" s="23" t="s">
        <v>417</v>
      </c>
      <c r="D33" s="23">
        <v>2360000</v>
      </c>
      <c r="E33" s="23" t="s">
        <v>295</v>
      </c>
      <c r="F33" s="23" t="str">
        <f t="shared" si="0"/>
        <v>rtdc.l.rtdc.4018:itc</v>
      </c>
      <c r="G33" s="8">
        <f t="shared" si="1"/>
        <v>42629.269305555557</v>
      </c>
    </row>
    <row r="34" spans="1:7" x14ac:dyDescent="0.25">
      <c r="A34" s="8">
        <v>42629.275416666664</v>
      </c>
      <c r="B34" s="23" t="s">
        <v>379</v>
      </c>
      <c r="C34" s="23" t="s">
        <v>418</v>
      </c>
      <c r="D34" s="23">
        <v>1990000</v>
      </c>
      <c r="E34" s="23" t="s">
        <v>392</v>
      </c>
      <c r="F34" s="23" t="str">
        <f t="shared" si="0"/>
        <v>rtdc.l.rtdc.4001:itc</v>
      </c>
      <c r="G34" s="8">
        <f t="shared" si="1"/>
        <v>42629.275416666664</v>
      </c>
    </row>
    <row r="35" spans="1:7" x14ac:dyDescent="0.25">
      <c r="A35" s="8">
        <v>42629.280092592591</v>
      </c>
      <c r="B35" s="23" t="s">
        <v>108</v>
      </c>
      <c r="C35" s="23" t="s">
        <v>419</v>
      </c>
      <c r="D35" s="23">
        <v>1760000</v>
      </c>
      <c r="E35" s="23" t="s">
        <v>300</v>
      </c>
      <c r="F35" s="23" t="str">
        <f t="shared" si="0"/>
        <v>rtdc.l.rtdc.4031:itc</v>
      </c>
      <c r="G35" s="8">
        <f t="shared" si="1"/>
        <v>42629.280092592591</v>
      </c>
    </row>
    <row r="36" spans="1:7" x14ac:dyDescent="0.25">
      <c r="A36" s="8">
        <v>42629.28020833333</v>
      </c>
      <c r="B36" s="23" t="s">
        <v>388</v>
      </c>
      <c r="C36" s="23" t="s">
        <v>420</v>
      </c>
      <c r="D36" s="23">
        <v>1090000</v>
      </c>
      <c r="E36" s="23" t="s">
        <v>285</v>
      </c>
      <c r="F36" s="23" t="str">
        <f t="shared" si="0"/>
        <v>rtdc.l.rtdc.4003:itc</v>
      </c>
      <c r="G36" s="8">
        <f t="shared" si="1"/>
        <v>42629.28020833333</v>
      </c>
    </row>
    <row r="37" spans="1:7" x14ac:dyDescent="0.25">
      <c r="A37" s="8">
        <v>42629.280624999999</v>
      </c>
      <c r="B37" s="23" t="s">
        <v>254</v>
      </c>
      <c r="C37" s="23" t="s">
        <v>421</v>
      </c>
      <c r="D37" s="23">
        <v>2140000</v>
      </c>
      <c r="E37" s="23" t="s">
        <v>413</v>
      </c>
      <c r="F37" s="23" t="str">
        <f t="shared" si="0"/>
        <v>rtdc.l.rtdc.4013:itc</v>
      </c>
      <c r="G37" s="8">
        <f t="shared" si="1"/>
        <v>42629.280624999999</v>
      </c>
    </row>
    <row r="38" spans="1:7" x14ac:dyDescent="0.25">
      <c r="A38" s="8">
        <v>42629.288854166669</v>
      </c>
      <c r="B38" s="23" t="s">
        <v>167</v>
      </c>
      <c r="C38" s="23" t="s">
        <v>422</v>
      </c>
      <c r="D38" s="23">
        <v>2010000</v>
      </c>
      <c r="E38" s="23" t="s">
        <v>299</v>
      </c>
      <c r="F38" s="23" t="str">
        <f t="shared" si="0"/>
        <v>rtdc.l.rtdc.4020:itc</v>
      </c>
      <c r="G38" s="8">
        <f t="shared" si="1"/>
        <v>42629.288854166669</v>
      </c>
    </row>
    <row r="39" spans="1:7" x14ac:dyDescent="0.25">
      <c r="A39" s="8">
        <v>42629.288993055554</v>
      </c>
      <c r="B39" s="23" t="s">
        <v>301</v>
      </c>
      <c r="C39" s="23" t="s">
        <v>423</v>
      </c>
      <c r="D39" s="23">
        <v>1310000</v>
      </c>
      <c r="E39" s="23" t="s">
        <v>383</v>
      </c>
      <c r="F39" s="23" t="str">
        <f t="shared" si="0"/>
        <v>rtdc.l.rtdc.4043:itc</v>
      </c>
      <c r="G39" s="8">
        <f t="shared" si="1"/>
        <v>42629.288993055554</v>
      </c>
    </row>
    <row r="40" spans="1:7" x14ac:dyDescent="0.25">
      <c r="A40" s="8">
        <v>42629.296620370369</v>
      </c>
      <c r="B40" s="28" t="s">
        <v>181</v>
      </c>
      <c r="C40" s="23" t="s">
        <v>424</v>
      </c>
      <c r="D40" s="23">
        <v>2380000</v>
      </c>
      <c r="E40" s="23" t="s">
        <v>284</v>
      </c>
      <c r="F40" s="23" t="str">
        <f t="shared" si="0"/>
        <v>rtdc.l.rtdc.4010:itc</v>
      </c>
      <c r="G40" s="8">
        <f t="shared" si="1"/>
        <v>42629.296620370369</v>
      </c>
    </row>
    <row r="41" spans="1:7" x14ac:dyDescent="0.25">
      <c r="A41" s="8">
        <v>42629.297662037039</v>
      </c>
      <c r="B41" s="23" t="s">
        <v>378</v>
      </c>
      <c r="C41" s="23" t="s">
        <v>425</v>
      </c>
      <c r="D41" s="23">
        <v>1760000</v>
      </c>
      <c r="E41" s="23" t="s">
        <v>300</v>
      </c>
      <c r="F41" s="23" t="str">
        <f t="shared" si="0"/>
        <v>rtdc.l.rtdc.4032:itc</v>
      </c>
      <c r="G41" s="8">
        <f t="shared" si="1"/>
        <v>42629.297662037039</v>
      </c>
    </row>
    <row r="42" spans="1:7" x14ac:dyDescent="0.25">
      <c r="A42" s="8">
        <v>42629.299074074072</v>
      </c>
      <c r="B42" s="23" t="s">
        <v>390</v>
      </c>
      <c r="C42" s="23" t="s">
        <v>426</v>
      </c>
      <c r="D42" s="23">
        <v>900000</v>
      </c>
      <c r="E42" s="23" t="s">
        <v>286</v>
      </c>
      <c r="F42" s="23" t="str">
        <f t="shared" si="0"/>
        <v>rtdc.l.rtdc.4038:itc</v>
      </c>
      <c r="G42" s="8">
        <f t="shared" si="1"/>
        <v>42629.299074074072</v>
      </c>
    </row>
    <row r="43" spans="1:7" x14ac:dyDescent="0.25">
      <c r="A43" s="8">
        <v>42629.29991898148</v>
      </c>
      <c r="B43" s="23" t="s">
        <v>106</v>
      </c>
      <c r="C43" s="23" t="s">
        <v>427</v>
      </c>
      <c r="D43" s="23">
        <v>2140000</v>
      </c>
      <c r="E43" s="23" t="s">
        <v>413</v>
      </c>
      <c r="F43" s="23" t="str">
        <f t="shared" si="0"/>
        <v>rtdc.l.rtdc.4014:itc</v>
      </c>
      <c r="G43" s="8">
        <f t="shared" si="1"/>
        <v>42629.29991898148</v>
      </c>
    </row>
    <row r="44" spans="1:7" x14ac:dyDescent="0.25">
      <c r="A44" s="8">
        <v>42629.304560185185</v>
      </c>
      <c r="B44" s="23" t="s">
        <v>290</v>
      </c>
      <c r="C44" s="23" t="s">
        <v>428</v>
      </c>
      <c r="D44" s="23">
        <v>2360000</v>
      </c>
      <c r="E44" s="23" t="s">
        <v>295</v>
      </c>
      <c r="F44" s="23" t="str">
        <f t="shared" si="0"/>
        <v>rtdc.l.rtdc.4017:itc</v>
      </c>
      <c r="G44" s="8">
        <f t="shared" si="1"/>
        <v>42629.304560185185</v>
      </c>
    </row>
    <row r="45" spans="1:7" x14ac:dyDescent="0.25">
      <c r="A45" s="8">
        <v>42629.309606481482</v>
      </c>
      <c r="B45" s="23" t="s">
        <v>382</v>
      </c>
      <c r="C45" s="23" t="s">
        <v>429</v>
      </c>
      <c r="D45" s="23">
        <v>1990000</v>
      </c>
      <c r="E45" s="23" t="s">
        <v>392</v>
      </c>
      <c r="F45" s="23" t="str">
        <f t="shared" si="0"/>
        <v>rtdc.l.rtdc.4002:itc</v>
      </c>
      <c r="G45" s="8">
        <f t="shared" si="1"/>
        <v>42629.309606481482</v>
      </c>
    </row>
    <row r="46" spans="1:7" x14ac:dyDescent="0.25">
      <c r="A46" s="8">
        <v>42629.3125462963</v>
      </c>
      <c r="B46" s="23" t="s">
        <v>407</v>
      </c>
      <c r="C46" s="23" t="s">
        <v>430</v>
      </c>
      <c r="D46" s="23">
        <v>1090000</v>
      </c>
      <c r="E46" s="23" t="s">
        <v>285</v>
      </c>
      <c r="F46" s="23" t="str">
        <f t="shared" si="0"/>
        <v>rtdc.l.rtdc.4004:itc</v>
      </c>
      <c r="G46" s="8">
        <f t="shared" si="1"/>
        <v>42629.3125462963</v>
      </c>
    </row>
    <row r="47" spans="1:7" x14ac:dyDescent="0.25">
      <c r="A47" s="8">
        <v>42629.318460648145</v>
      </c>
      <c r="B47" s="23" t="s">
        <v>254</v>
      </c>
      <c r="C47" s="23" t="s">
        <v>431</v>
      </c>
      <c r="D47" s="23">
        <v>2140000</v>
      </c>
      <c r="E47" s="23" t="s">
        <v>413</v>
      </c>
      <c r="F47" s="23" t="str">
        <f t="shared" si="0"/>
        <v>rtdc.l.rtdc.4013:itc</v>
      </c>
      <c r="G47" s="8">
        <f t="shared" si="1"/>
        <v>42629.318460648145</v>
      </c>
    </row>
    <row r="48" spans="1:7" x14ac:dyDescent="0.25">
      <c r="A48" s="8">
        <v>42629.320902777778</v>
      </c>
      <c r="B48" s="23" t="s">
        <v>298</v>
      </c>
      <c r="C48" s="23" t="s">
        <v>432</v>
      </c>
      <c r="D48" s="23">
        <v>1310000</v>
      </c>
      <c r="E48" s="23" t="s">
        <v>383</v>
      </c>
      <c r="F48" s="23" t="str">
        <f t="shared" si="0"/>
        <v>rtdc.l.rtdc.4044:itc</v>
      </c>
      <c r="G48" s="8">
        <f t="shared" si="1"/>
        <v>42629.320902777778</v>
      </c>
    </row>
    <row r="49" spans="1:7" x14ac:dyDescent="0.25">
      <c r="A49" s="8">
        <v>42629.322800925926</v>
      </c>
      <c r="B49" s="23" t="s">
        <v>108</v>
      </c>
      <c r="C49" s="23" t="s">
        <v>433</v>
      </c>
      <c r="D49" s="23">
        <v>1760000</v>
      </c>
      <c r="E49" s="23" t="s">
        <v>300</v>
      </c>
      <c r="F49" s="23" t="str">
        <f t="shared" si="0"/>
        <v>rtdc.l.rtdc.4031:itc</v>
      </c>
      <c r="G49" s="8">
        <f t="shared" si="1"/>
        <v>42629.322800925926</v>
      </c>
    </row>
    <row r="50" spans="1:7" x14ac:dyDescent="0.25">
      <c r="A50" s="8">
        <v>42629.323912037034</v>
      </c>
      <c r="B50" s="23" t="s">
        <v>166</v>
      </c>
      <c r="C50" s="23" t="s">
        <v>434</v>
      </c>
      <c r="D50" s="23">
        <v>2010000</v>
      </c>
      <c r="E50" s="23" t="s">
        <v>299</v>
      </c>
      <c r="F50" s="23" t="str">
        <f t="shared" si="0"/>
        <v>rtdc.l.rtdc.4019:itc</v>
      </c>
      <c r="G50" s="8">
        <f t="shared" si="1"/>
        <v>42629.323912037034</v>
      </c>
    </row>
    <row r="51" spans="1:7" x14ac:dyDescent="0.25">
      <c r="A51" s="8">
        <v>42629.331921296296</v>
      </c>
      <c r="B51" s="23" t="s">
        <v>130</v>
      </c>
      <c r="C51" s="23" t="s">
        <v>435</v>
      </c>
      <c r="D51" s="23">
        <v>2380000</v>
      </c>
      <c r="E51" s="23" t="s">
        <v>284</v>
      </c>
      <c r="F51" s="23" t="str">
        <f t="shared" si="0"/>
        <v>rtdc.l.rtdc.4009:itc</v>
      </c>
      <c r="G51" s="8">
        <f t="shared" si="1"/>
        <v>42629.331921296296</v>
      </c>
    </row>
    <row r="52" spans="1:7" x14ac:dyDescent="0.25">
      <c r="A52" s="8">
        <v>42629.339189814818</v>
      </c>
      <c r="B52" s="23" t="s">
        <v>378</v>
      </c>
      <c r="C52" s="23" t="s">
        <v>436</v>
      </c>
      <c r="D52" s="23">
        <v>1760000</v>
      </c>
      <c r="E52" s="23" t="s">
        <v>300</v>
      </c>
      <c r="F52" s="23" t="str">
        <f t="shared" si="0"/>
        <v>rtdc.l.rtdc.4032:itc</v>
      </c>
      <c r="G52" s="8">
        <f t="shared" si="1"/>
        <v>42629.339189814818</v>
      </c>
    </row>
    <row r="53" spans="1:7" x14ac:dyDescent="0.25">
      <c r="A53" s="8">
        <v>42629.339745370373</v>
      </c>
      <c r="B53" s="23" t="s">
        <v>236</v>
      </c>
      <c r="C53" s="23" t="s">
        <v>437</v>
      </c>
      <c r="D53" s="23">
        <v>2360000</v>
      </c>
      <c r="E53" s="23" t="s">
        <v>295</v>
      </c>
      <c r="F53" s="23" t="str">
        <f t="shared" si="0"/>
        <v>rtdc.l.rtdc.4018:itc</v>
      </c>
      <c r="G53" s="8">
        <f t="shared" si="1"/>
        <v>42629.339745370373</v>
      </c>
    </row>
    <row r="54" spans="1:7" x14ac:dyDescent="0.25">
      <c r="A54" s="8">
        <v>42629.340995370374</v>
      </c>
      <c r="B54" s="23" t="s">
        <v>415</v>
      </c>
      <c r="C54" s="23" t="s">
        <v>438</v>
      </c>
      <c r="D54" s="23">
        <v>900000</v>
      </c>
      <c r="E54" s="23" t="s">
        <v>286</v>
      </c>
      <c r="F54" s="23" t="str">
        <f t="shared" si="0"/>
        <v>rtdc.l.rtdc.4037:itc</v>
      </c>
      <c r="G54" s="8">
        <f t="shared" si="1"/>
        <v>42629.340995370374</v>
      </c>
    </row>
    <row r="55" spans="1:7" x14ac:dyDescent="0.25">
      <c r="A55" s="8">
        <v>42629.345092592594</v>
      </c>
      <c r="B55" s="23" t="s">
        <v>106</v>
      </c>
      <c r="C55" s="23" t="s">
        <v>439</v>
      </c>
      <c r="D55" s="23">
        <v>2140000</v>
      </c>
      <c r="E55" s="23" t="s">
        <v>413</v>
      </c>
      <c r="F55" s="23" t="str">
        <f t="shared" si="0"/>
        <v>rtdc.l.rtdc.4014:itc</v>
      </c>
      <c r="G55" s="8">
        <f t="shared" si="1"/>
        <v>42629.345092592594</v>
      </c>
    </row>
    <row r="56" spans="1:7" x14ac:dyDescent="0.25">
      <c r="A56" s="8">
        <v>42629.348055555558</v>
      </c>
      <c r="B56" s="23" t="s">
        <v>379</v>
      </c>
      <c r="C56" s="23" t="s">
        <v>440</v>
      </c>
      <c r="D56" s="23">
        <v>1990000</v>
      </c>
      <c r="E56" s="23" t="s">
        <v>392</v>
      </c>
      <c r="F56" s="23" t="str">
        <f t="shared" si="0"/>
        <v>rtdc.l.rtdc.4001:itc</v>
      </c>
      <c r="G56" s="8">
        <f t="shared" si="1"/>
        <v>42629.348055555558</v>
      </c>
    </row>
    <row r="57" spans="1:7" x14ac:dyDescent="0.25">
      <c r="A57" s="8">
        <v>42629.350185185183</v>
      </c>
      <c r="B57" s="23" t="s">
        <v>388</v>
      </c>
      <c r="C57" s="23" t="s">
        <v>441</v>
      </c>
      <c r="D57" s="23">
        <v>1090000</v>
      </c>
      <c r="E57" s="23" t="s">
        <v>285</v>
      </c>
      <c r="F57" s="23" t="str">
        <f t="shared" si="0"/>
        <v>rtdc.l.rtdc.4003:itc</v>
      </c>
      <c r="G57" s="8">
        <f t="shared" si="1"/>
        <v>42629.350185185183</v>
      </c>
    </row>
    <row r="58" spans="1:7" x14ac:dyDescent="0.25">
      <c r="A58" s="8">
        <v>42629.35429398148</v>
      </c>
      <c r="B58" s="23" t="s">
        <v>301</v>
      </c>
      <c r="C58" s="23" t="s">
        <v>442</v>
      </c>
      <c r="D58" s="23">
        <v>1310000</v>
      </c>
      <c r="E58" s="23" t="s">
        <v>383</v>
      </c>
      <c r="F58" s="23" t="str">
        <f t="shared" si="0"/>
        <v>rtdc.l.rtdc.4043:itc</v>
      </c>
      <c r="G58" s="8">
        <f t="shared" si="1"/>
        <v>42629.35429398148</v>
      </c>
    </row>
    <row r="59" spans="1:7" x14ac:dyDescent="0.25">
      <c r="A59" s="8">
        <v>42629.354560185187</v>
      </c>
      <c r="B59" s="23" t="s">
        <v>108</v>
      </c>
      <c r="C59" s="23" t="s">
        <v>443</v>
      </c>
      <c r="D59" s="23">
        <v>1760000</v>
      </c>
      <c r="E59" s="23" t="s">
        <v>300</v>
      </c>
      <c r="F59" s="23" t="str">
        <f t="shared" si="0"/>
        <v>rtdc.l.rtdc.4031:itc</v>
      </c>
      <c r="G59" s="8">
        <f t="shared" si="1"/>
        <v>42629.354560185187</v>
      </c>
    </row>
    <row r="60" spans="1:7" x14ac:dyDescent="0.25">
      <c r="A60" s="8">
        <v>42629.358854166669</v>
      </c>
      <c r="B60" s="23" t="s">
        <v>254</v>
      </c>
      <c r="C60" s="23" t="s">
        <v>444</v>
      </c>
      <c r="D60" s="23">
        <v>2140000</v>
      </c>
      <c r="E60" s="23" t="s">
        <v>413</v>
      </c>
      <c r="F60" s="23" t="str">
        <f t="shared" si="0"/>
        <v>rtdc.l.rtdc.4013:itc</v>
      </c>
      <c r="G60" s="8">
        <f t="shared" si="1"/>
        <v>42629.358854166669</v>
      </c>
    </row>
    <row r="61" spans="1:7" x14ac:dyDescent="0.25">
      <c r="A61" s="8">
        <v>42629.362719907411</v>
      </c>
      <c r="B61" s="23" t="s">
        <v>167</v>
      </c>
      <c r="C61" s="23" t="s">
        <v>445</v>
      </c>
      <c r="D61" s="23">
        <v>2010000</v>
      </c>
      <c r="E61" s="23" t="s">
        <v>299</v>
      </c>
      <c r="F61" s="23" t="str">
        <f t="shared" si="0"/>
        <v>rtdc.l.rtdc.4020:itc</v>
      </c>
      <c r="G61" s="8">
        <f t="shared" si="1"/>
        <v>42629.362719907411</v>
      </c>
    </row>
    <row r="62" spans="1:7" x14ac:dyDescent="0.25">
      <c r="A62" s="8">
        <v>42629.369571759256</v>
      </c>
      <c r="B62" s="23" t="s">
        <v>181</v>
      </c>
      <c r="C62" s="23" t="s">
        <v>446</v>
      </c>
      <c r="D62" s="23">
        <v>2380000</v>
      </c>
      <c r="E62" s="23" t="s">
        <v>284</v>
      </c>
      <c r="F62" s="23" t="str">
        <f t="shared" si="0"/>
        <v>rtdc.l.rtdc.4010:itc</v>
      </c>
      <c r="G62" s="8">
        <f t="shared" si="1"/>
        <v>42629.369571759256</v>
      </c>
    </row>
    <row r="63" spans="1:7" x14ac:dyDescent="0.25">
      <c r="A63" s="8">
        <v>42629.373576388891</v>
      </c>
      <c r="B63" s="23" t="s">
        <v>106</v>
      </c>
      <c r="C63" s="23" t="s">
        <v>447</v>
      </c>
      <c r="D63" s="23">
        <v>2140000</v>
      </c>
      <c r="E63" s="23" t="s">
        <v>413</v>
      </c>
      <c r="F63" s="23" t="str">
        <f t="shared" si="0"/>
        <v>rtdc.l.rtdc.4014:itc</v>
      </c>
      <c r="G63" s="8">
        <f t="shared" si="1"/>
        <v>42629.373576388891</v>
      </c>
    </row>
    <row r="64" spans="1:7" x14ac:dyDescent="0.25">
      <c r="A64" s="29">
        <v>42629.374363425923</v>
      </c>
      <c r="B64" s="23" t="s">
        <v>390</v>
      </c>
      <c r="C64" s="23" t="s">
        <v>448</v>
      </c>
      <c r="D64" s="23">
        <v>900000</v>
      </c>
      <c r="E64" s="23" t="s">
        <v>286</v>
      </c>
      <c r="F64" s="23" t="str">
        <f t="shared" si="0"/>
        <v>rtdc.l.rtdc.4038:itc</v>
      </c>
      <c r="G64" s="8">
        <f t="shared" si="1"/>
        <v>42629.374363425923</v>
      </c>
    </row>
    <row r="65" spans="1:7" x14ac:dyDescent="0.25">
      <c r="A65" s="8">
        <v>42629.374861111108</v>
      </c>
      <c r="B65" s="23" t="s">
        <v>290</v>
      </c>
      <c r="C65" s="23" t="s">
        <v>449</v>
      </c>
      <c r="D65" s="23">
        <v>2360000</v>
      </c>
      <c r="E65" s="23" t="s">
        <v>295</v>
      </c>
      <c r="F65" s="23" t="str">
        <f t="shared" si="0"/>
        <v>rtdc.l.rtdc.4017:itc</v>
      </c>
      <c r="G65" s="8">
        <f t="shared" si="1"/>
        <v>42629.374861111108</v>
      </c>
    </row>
    <row r="66" spans="1:7" x14ac:dyDescent="0.25">
      <c r="A66" s="8">
        <v>42629.383344907408</v>
      </c>
      <c r="B66" s="23" t="s">
        <v>382</v>
      </c>
      <c r="C66" s="23" t="s">
        <v>450</v>
      </c>
      <c r="D66" s="23">
        <v>1990000</v>
      </c>
      <c r="E66" s="23" t="s">
        <v>392</v>
      </c>
      <c r="F66" s="23" t="str">
        <f t="shared" ref="F66:F129" si="2">B66</f>
        <v>rtdc.l.rtdc.4002:itc</v>
      </c>
      <c r="G66" s="8">
        <f t="shared" ref="G66:G129" si="3">A66</f>
        <v>42629.383344907408</v>
      </c>
    </row>
    <row r="67" spans="1:7" x14ac:dyDescent="0.25">
      <c r="A67" s="8">
        <v>42629.38653935185</v>
      </c>
      <c r="B67" s="23" t="s">
        <v>407</v>
      </c>
      <c r="C67" s="23" t="s">
        <v>451</v>
      </c>
      <c r="D67" s="23">
        <v>1090000</v>
      </c>
      <c r="E67" s="23" t="s">
        <v>285</v>
      </c>
      <c r="F67" s="23" t="str">
        <f t="shared" si="2"/>
        <v>rtdc.l.rtdc.4004:itc</v>
      </c>
      <c r="G67" s="8">
        <f t="shared" si="3"/>
        <v>42629.38653935185</v>
      </c>
    </row>
    <row r="68" spans="1:7" x14ac:dyDescent="0.25">
      <c r="A68" s="8">
        <v>42629.394363425927</v>
      </c>
      <c r="B68" s="23" t="s">
        <v>298</v>
      </c>
      <c r="C68" s="23" t="s">
        <v>452</v>
      </c>
      <c r="D68" s="23">
        <v>1310000</v>
      </c>
      <c r="E68" s="23" t="s">
        <v>383</v>
      </c>
      <c r="F68" s="23" t="str">
        <f t="shared" si="2"/>
        <v>rtdc.l.rtdc.4044:itc</v>
      </c>
      <c r="G68" s="8">
        <f t="shared" si="3"/>
        <v>42629.394363425927</v>
      </c>
    </row>
    <row r="69" spans="1:7" x14ac:dyDescent="0.25">
      <c r="A69" s="8">
        <v>42629.396527777775</v>
      </c>
      <c r="B69" s="23" t="s">
        <v>166</v>
      </c>
      <c r="C69" s="23" t="s">
        <v>453</v>
      </c>
      <c r="D69" s="23">
        <v>2010000</v>
      </c>
      <c r="E69" s="23" t="s">
        <v>299</v>
      </c>
      <c r="F69" s="23" t="str">
        <f t="shared" si="2"/>
        <v>rtdc.l.rtdc.4019:itc</v>
      </c>
      <c r="G69" s="8">
        <f t="shared" si="3"/>
        <v>42629.396527777775</v>
      </c>
    </row>
    <row r="70" spans="1:7" x14ac:dyDescent="0.25">
      <c r="A70" s="8">
        <v>42629.400821759256</v>
      </c>
      <c r="B70" s="23" t="s">
        <v>254</v>
      </c>
      <c r="C70" s="23" t="s">
        <v>447</v>
      </c>
      <c r="D70" s="23">
        <v>2140000</v>
      </c>
      <c r="E70" s="23" t="s">
        <v>413</v>
      </c>
      <c r="F70" s="23" t="str">
        <f t="shared" si="2"/>
        <v>rtdc.l.rtdc.4013:itc</v>
      </c>
      <c r="G70" s="8">
        <f t="shared" si="3"/>
        <v>42629.400821759256</v>
      </c>
    </row>
    <row r="71" spans="1:7" x14ac:dyDescent="0.25">
      <c r="A71" s="8">
        <v>42629.401898148149</v>
      </c>
      <c r="B71" s="23" t="s">
        <v>254</v>
      </c>
      <c r="C71" s="23" t="s">
        <v>454</v>
      </c>
      <c r="D71" s="23">
        <v>2140000</v>
      </c>
      <c r="E71" s="23" t="s">
        <v>413</v>
      </c>
      <c r="F71" s="23" t="str">
        <f t="shared" si="2"/>
        <v>rtdc.l.rtdc.4013:itc</v>
      </c>
      <c r="G71" s="8">
        <f t="shared" si="3"/>
        <v>42629.401898148149</v>
      </c>
    </row>
    <row r="72" spans="1:7" x14ac:dyDescent="0.25">
      <c r="A72" s="8">
        <v>42629.404062499998</v>
      </c>
      <c r="B72" s="23" t="s">
        <v>130</v>
      </c>
      <c r="C72" s="23" t="s">
        <v>455</v>
      </c>
      <c r="D72" s="23">
        <v>2380000</v>
      </c>
      <c r="E72" s="23" t="s">
        <v>284</v>
      </c>
      <c r="F72" s="23" t="str">
        <f t="shared" si="2"/>
        <v>rtdc.l.rtdc.4009:itc</v>
      </c>
      <c r="G72" s="8">
        <f t="shared" si="3"/>
        <v>42629.404062499998</v>
      </c>
    </row>
    <row r="73" spans="1:7" x14ac:dyDescent="0.25">
      <c r="A73" s="8">
        <v>42629.412118055552</v>
      </c>
      <c r="B73" s="23" t="s">
        <v>236</v>
      </c>
      <c r="C73" s="23" t="s">
        <v>456</v>
      </c>
      <c r="D73" s="23">
        <v>2360000</v>
      </c>
      <c r="E73" s="23" t="s">
        <v>295</v>
      </c>
      <c r="F73" s="23" t="str">
        <f t="shared" si="2"/>
        <v>rtdc.l.rtdc.4018:itc</v>
      </c>
      <c r="G73" s="8">
        <f t="shared" si="3"/>
        <v>42629.412118055552</v>
      </c>
    </row>
    <row r="74" spans="1:7" x14ac:dyDescent="0.25">
      <c r="A74" s="8">
        <v>42629.413055555553</v>
      </c>
      <c r="B74" s="23" t="s">
        <v>415</v>
      </c>
      <c r="C74" s="23" t="s">
        <v>457</v>
      </c>
      <c r="D74" s="23">
        <v>900000</v>
      </c>
      <c r="E74" s="23" t="s">
        <v>286</v>
      </c>
      <c r="F74" s="23" t="str">
        <f t="shared" si="2"/>
        <v>rtdc.l.rtdc.4037:itc</v>
      </c>
      <c r="G74" s="8">
        <f t="shared" si="3"/>
        <v>42629.413055555553</v>
      </c>
    </row>
    <row r="75" spans="1:7" x14ac:dyDescent="0.25">
      <c r="A75" s="8">
        <v>42629.416145833333</v>
      </c>
      <c r="B75" s="23" t="s">
        <v>106</v>
      </c>
      <c r="C75" s="23" t="s">
        <v>458</v>
      </c>
      <c r="D75" s="23">
        <v>2140000</v>
      </c>
      <c r="E75" s="23" t="s">
        <v>413</v>
      </c>
      <c r="F75" s="23" t="str">
        <f t="shared" si="2"/>
        <v>rtdc.l.rtdc.4014:itc</v>
      </c>
      <c r="G75" s="8">
        <f t="shared" si="3"/>
        <v>42629.416145833333</v>
      </c>
    </row>
    <row r="76" spans="1:7" x14ac:dyDescent="0.25">
      <c r="A76" s="8">
        <v>42629.420162037037</v>
      </c>
      <c r="B76" s="23" t="s">
        <v>379</v>
      </c>
      <c r="C76" s="23" t="s">
        <v>459</v>
      </c>
      <c r="D76" s="23">
        <v>1990000</v>
      </c>
      <c r="E76" s="23" t="s">
        <v>392</v>
      </c>
      <c r="F76" s="23" t="str">
        <f t="shared" si="2"/>
        <v>rtdc.l.rtdc.4001:itc</v>
      </c>
      <c r="G76" s="8">
        <f t="shared" si="3"/>
        <v>42629.420162037037</v>
      </c>
    </row>
    <row r="77" spans="1:7" x14ac:dyDescent="0.25">
      <c r="A77" s="8">
        <v>42629.424988425926</v>
      </c>
      <c r="B77" s="23" t="s">
        <v>388</v>
      </c>
      <c r="C77" s="23" t="s">
        <v>460</v>
      </c>
      <c r="D77" s="23">
        <v>1090000</v>
      </c>
      <c r="E77" s="23" t="s">
        <v>285</v>
      </c>
      <c r="F77" s="23" t="str">
        <f t="shared" si="2"/>
        <v>rtdc.l.rtdc.4003:itc</v>
      </c>
      <c r="G77" s="8">
        <f t="shared" si="3"/>
        <v>42629.424988425926</v>
      </c>
    </row>
    <row r="78" spans="1:7" x14ac:dyDescent="0.25">
      <c r="A78" s="8">
        <v>42629.432650462964</v>
      </c>
      <c r="B78" s="23" t="s">
        <v>167</v>
      </c>
      <c r="C78" s="23" t="s">
        <v>461</v>
      </c>
      <c r="D78" s="23">
        <v>1760000</v>
      </c>
      <c r="E78" s="23" t="s">
        <v>300</v>
      </c>
      <c r="F78" s="23" t="str">
        <f t="shared" si="2"/>
        <v>rtdc.l.rtdc.4020:itc</v>
      </c>
      <c r="G78" s="8">
        <f t="shared" si="3"/>
        <v>42629.432650462964</v>
      </c>
    </row>
    <row r="79" spans="1:7" x14ac:dyDescent="0.25">
      <c r="A79" s="8">
        <v>42629.433634259258</v>
      </c>
      <c r="B79" s="23" t="s">
        <v>384</v>
      </c>
      <c r="C79" s="23" t="s">
        <v>462</v>
      </c>
      <c r="D79" s="23">
        <v>2110000</v>
      </c>
      <c r="E79" s="23" t="s">
        <v>249</v>
      </c>
      <c r="F79" s="23" t="str">
        <f t="shared" si="2"/>
        <v>rtdc.l.rtdc.4021:itc</v>
      </c>
      <c r="G79" s="8">
        <f t="shared" si="3"/>
        <v>42629.433634259258</v>
      </c>
    </row>
    <row r="80" spans="1:7" x14ac:dyDescent="0.25">
      <c r="A80" s="8">
        <v>42629.434039351851</v>
      </c>
      <c r="B80" s="23" t="s">
        <v>301</v>
      </c>
      <c r="C80" s="23" t="s">
        <v>463</v>
      </c>
      <c r="D80" s="23">
        <v>1310000</v>
      </c>
      <c r="E80" s="23" t="s">
        <v>383</v>
      </c>
      <c r="F80" s="23" t="str">
        <f t="shared" si="2"/>
        <v>rtdc.l.rtdc.4043:itc</v>
      </c>
      <c r="G80" s="8">
        <f t="shared" si="3"/>
        <v>42629.434039351851</v>
      </c>
    </row>
    <row r="81" spans="1:7" x14ac:dyDescent="0.25">
      <c r="A81" s="8">
        <v>42629.434675925928</v>
      </c>
      <c r="B81" s="23" t="s">
        <v>384</v>
      </c>
      <c r="C81" s="23" t="s">
        <v>462</v>
      </c>
      <c r="D81" s="23">
        <v>2110000</v>
      </c>
      <c r="E81" s="23" t="s">
        <v>249</v>
      </c>
      <c r="F81" s="23" t="str">
        <f t="shared" si="2"/>
        <v>rtdc.l.rtdc.4021:itc</v>
      </c>
      <c r="G81" s="8">
        <f t="shared" si="3"/>
        <v>42629.434675925928</v>
      </c>
    </row>
    <row r="82" spans="1:7" x14ac:dyDescent="0.25">
      <c r="A82" s="8">
        <v>42629.442048611112</v>
      </c>
      <c r="B82" s="23" t="s">
        <v>181</v>
      </c>
      <c r="C82" s="23" t="s">
        <v>464</v>
      </c>
      <c r="D82" s="23">
        <v>2380000</v>
      </c>
      <c r="E82" s="23" t="s">
        <v>284</v>
      </c>
      <c r="F82" s="23" t="str">
        <f t="shared" si="2"/>
        <v>rtdc.l.rtdc.4010:itc</v>
      </c>
      <c r="G82" s="8">
        <f t="shared" si="3"/>
        <v>42629.442048611112</v>
      </c>
    </row>
    <row r="83" spans="1:7" x14ac:dyDescent="0.25">
      <c r="A83" s="8">
        <v>42629.442800925928</v>
      </c>
      <c r="B83" s="23" t="s">
        <v>254</v>
      </c>
      <c r="C83" s="23" t="s">
        <v>465</v>
      </c>
      <c r="D83" s="23">
        <v>2140000</v>
      </c>
      <c r="E83" s="23" t="s">
        <v>413</v>
      </c>
      <c r="F83" s="23" t="str">
        <f t="shared" si="2"/>
        <v>rtdc.l.rtdc.4013:itc</v>
      </c>
      <c r="G83" s="8">
        <f t="shared" si="3"/>
        <v>42629.442800925928</v>
      </c>
    </row>
    <row r="84" spans="1:7" x14ac:dyDescent="0.25">
      <c r="A84" s="8">
        <v>42629.446423611109</v>
      </c>
      <c r="B84" s="23" t="s">
        <v>390</v>
      </c>
      <c r="C84" s="23" t="s">
        <v>466</v>
      </c>
      <c r="D84" s="23">
        <v>900000</v>
      </c>
      <c r="E84" s="23" t="s">
        <v>286</v>
      </c>
      <c r="F84" s="23" t="str">
        <f t="shared" si="2"/>
        <v>rtdc.l.rtdc.4038:itc</v>
      </c>
      <c r="G84" s="8">
        <f t="shared" si="3"/>
        <v>42629.446423611109</v>
      </c>
    </row>
    <row r="85" spans="1:7" x14ac:dyDescent="0.25">
      <c r="A85" s="8">
        <v>42629.45045138889</v>
      </c>
      <c r="B85" s="23" t="s">
        <v>290</v>
      </c>
      <c r="C85" s="23" t="s">
        <v>467</v>
      </c>
      <c r="D85" s="23">
        <v>2360000</v>
      </c>
      <c r="E85" s="23" t="s">
        <v>295</v>
      </c>
      <c r="F85" s="23" t="str">
        <f t="shared" si="2"/>
        <v>rtdc.l.rtdc.4017:itc</v>
      </c>
      <c r="G85" s="8">
        <f t="shared" si="3"/>
        <v>42629.45045138889</v>
      </c>
    </row>
    <row r="86" spans="1:7" x14ac:dyDescent="0.25">
      <c r="A86" s="8">
        <v>42629.456180555557</v>
      </c>
      <c r="B86" s="23" t="s">
        <v>382</v>
      </c>
      <c r="C86" s="23" t="s">
        <v>468</v>
      </c>
      <c r="D86" s="23">
        <v>880000</v>
      </c>
      <c r="E86" s="23" t="s">
        <v>469</v>
      </c>
      <c r="F86" s="23" t="str">
        <f t="shared" si="2"/>
        <v>rtdc.l.rtdc.4002:itc</v>
      </c>
      <c r="G86" s="8">
        <f t="shared" si="3"/>
        <v>42629.456180555557</v>
      </c>
    </row>
    <row r="87" spans="1:7" x14ac:dyDescent="0.25">
      <c r="A87" s="8">
        <v>42629.457696759258</v>
      </c>
      <c r="B87" s="23" t="s">
        <v>106</v>
      </c>
      <c r="C87" s="23" t="s">
        <v>470</v>
      </c>
      <c r="D87" s="23">
        <v>2140000</v>
      </c>
      <c r="E87" s="23" t="s">
        <v>413</v>
      </c>
      <c r="F87" s="23" t="str">
        <f t="shared" si="2"/>
        <v>rtdc.l.rtdc.4014:itc</v>
      </c>
      <c r="G87" s="8">
        <f t="shared" si="3"/>
        <v>42629.457696759258</v>
      </c>
    </row>
    <row r="88" spans="1:7" x14ac:dyDescent="0.25">
      <c r="A88" s="8">
        <v>42629.459270833337</v>
      </c>
      <c r="B88" s="23" t="s">
        <v>407</v>
      </c>
      <c r="C88" s="23" t="s">
        <v>471</v>
      </c>
      <c r="D88" s="23">
        <v>1090000</v>
      </c>
      <c r="E88" s="23" t="s">
        <v>285</v>
      </c>
      <c r="F88" s="23" t="str">
        <f t="shared" si="2"/>
        <v>rtdc.l.rtdc.4004:itc</v>
      </c>
      <c r="G88" s="8">
        <f t="shared" si="3"/>
        <v>42629.459270833337</v>
      </c>
    </row>
    <row r="89" spans="1:7" x14ac:dyDescent="0.25">
      <c r="A89" s="8">
        <v>42629.459479166668</v>
      </c>
      <c r="B89" s="23" t="s">
        <v>381</v>
      </c>
      <c r="C89" s="23" t="s">
        <v>472</v>
      </c>
      <c r="D89" s="23">
        <v>2040000</v>
      </c>
      <c r="E89" s="23" t="s">
        <v>303</v>
      </c>
      <c r="F89" s="23" t="str">
        <f t="shared" si="2"/>
        <v>rtdc.l.rtdc.4005:itc</v>
      </c>
      <c r="G89" s="8">
        <f t="shared" si="3"/>
        <v>42629.459479166668</v>
      </c>
    </row>
    <row r="90" spans="1:7" x14ac:dyDescent="0.25">
      <c r="A90" s="8">
        <v>42629.469502314816</v>
      </c>
      <c r="B90" s="23" t="s">
        <v>298</v>
      </c>
      <c r="C90" s="23" t="s">
        <v>473</v>
      </c>
      <c r="D90" s="23">
        <v>2230000</v>
      </c>
      <c r="E90" s="23" t="s">
        <v>288</v>
      </c>
      <c r="F90" s="23" t="str">
        <f t="shared" si="2"/>
        <v>rtdc.l.rtdc.4044:itc</v>
      </c>
      <c r="G90" s="8">
        <f t="shared" si="3"/>
        <v>42629.469502314816</v>
      </c>
    </row>
    <row r="91" spans="1:7" x14ac:dyDescent="0.25">
      <c r="A91" s="8">
        <v>42629.469907407409</v>
      </c>
      <c r="B91" s="23" t="s">
        <v>297</v>
      </c>
      <c r="C91" s="23" t="s">
        <v>474</v>
      </c>
      <c r="D91" s="23">
        <v>1240000</v>
      </c>
      <c r="E91" s="23" t="s">
        <v>475</v>
      </c>
      <c r="F91" s="23" t="str">
        <f t="shared" si="2"/>
        <v>rtdc.l.rtdc.4022:itc</v>
      </c>
      <c r="G91" s="8">
        <f t="shared" si="3"/>
        <v>42629.469907407409</v>
      </c>
    </row>
    <row r="92" spans="1:7" x14ac:dyDescent="0.25">
      <c r="A92" s="8">
        <v>42629.473043981481</v>
      </c>
      <c r="B92" s="23" t="s">
        <v>166</v>
      </c>
      <c r="C92" s="23" t="s">
        <v>476</v>
      </c>
      <c r="D92" s="23">
        <v>1760000</v>
      </c>
      <c r="E92" s="23" t="s">
        <v>300</v>
      </c>
      <c r="F92" s="23" t="str">
        <f t="shared" si="2"/>
        <v>rtdc.l.rtdc.4019:itc</v>
      </c>
      <c r="G92" s="8">
        <f t="shared" si="3"/>
        <v>42629.473043981481</v>
      </c>
    </row>
    <row r="93" spans="1:7" x14ac:dyDescent="0.25">
      <c r="A93" s="8">
        <v>42629.476851851854</v>
      </c>
      <c r="B93" s="23" t="s">
        <v>130</v>
      </c>
      <c r="C93" s="23" t="s">
        <v>477</v>
      </c>
      <c r="D93" s="23">
        <v>940000</v>
      </c>
      <c r="E93" s="23" t="s">
        <v>302</v>
      </c>
      <c r="F93" s="23" t="str">
        <f t="shared" si="2"/>
        <v>rtdc.l.rtdc.4009:itc</v>
      </c>
      <c r="G93" s="8">
        <f t="shared" si="3"/>
        <v>42629.476851851854</v>
      </c>
    </row>
    <row r="94" spans="1:7" x14ac:dyDescent="0.25">
      <c r="A94" s="8">
        <v>42629.484895833331</v>
      </c>
      <c r="B94" s="23" t="s">
        <v>254</v>
      </c>
      <c r="C94" s="23" t="s">
        <v>478</v>
      </c>
      <c r="D94" s="23">
        <v>2140000</v>
      </c>
      <c r="E94" s="23" t="s">
        <v>413</v>
      </c>
      <c r="F94" s="23" t="str">
        <f t="shared" si="2"/>
        <v>rtdc.l.rtdc.4013:itc</v>
      </c>
      <c r="G94" s="8">
        <f t="shared" si="3"/>
        <v>42629.484895833331</v>
      </c>
    </row>
    <row r="95" spans="1:7" x14ac:dyDescent="0.25">
      <c r="A95" s="8">
        <v>42629.486134259256</v>
      </c>
      <c r="B95" s="23" t="s">
        <v>415</v>
      </c>
      <c r="C95" s="23" t="s">
        <v>479</v>
      </c>
      <c r="D95" s="23">
        <v>900000</v>
      </c>
      <c r="E95" s="23" t="s">
        <v>286</v>
      </c>
      <c r="F95" s="23" t="str">
        <f t="shared" si="2"/>
        <v>rtdc.l.rtdc.4037:itc</v>
      </c>
      <c r="G95" s="8">
        <f t="shared" si="3"/>
        <v>42629.486134259256</v>
      </c>
    </row>
    <row r="96" spans="1:7" x14ac:dyDescent="0.25">
      <c r="A96" s="8">
        <v>42629.488888888889</v>
      </c>
      <c r="B96" s="23" t="s">
        <v>236</v>
      </c>
      <c r="C96" s="23" t="s">
        <v>480</v>
      </c>
      <c r="D96" s="23">
        <v>2040000</v>
      </c>
      <c r="E96" s="23" t="s">
        <v>303</v>
      </c>
      <c r="F96" s="23" t="str">
        <f t="shared" si="2"/>
        <v>rtdc.l.rtdc.4018:itc</v>
      </c>
      <c r="G96" s="8">
        <f t="shared" si="3"/>
        <v>42629.488888888889</v>
      </c>
    </row>
    <row r="97" spans="1:7" x14ac:dyDescent="0.25">
      <c r="A97" s="8">
        <v>42629.489560185182</v>
      </c>
      <c r="B97" s="23" t="s">
        <v>236</v>
      </c>
      <c r="C97" s="23" t="s">
        <v>480</v>
      </c>
      <c r="D97" s="23">
        <v>2040000</v>
      </c>
      <c r="E97" s="23" t="s">
        <v>303</v>
      </c>
      <c r="F97" s="23" t="str">
        <f t="shared" si="2"/>
        <v>rtdc.l.rtdc.4018:itc</v>
      </c>
      <c r="G97" s="8">
        <f t="shared" si="3"/>
        <v>42629.489560185182</v>
      </c>
    </row>
    <row r="98" spans="1:7" x14ac:dyDescent="0.25">
      <c r="A98" s="8">
        <v>42629.494988425926</v>
      </c>
      <c r="B98" s="23" t="s">
        <v>379</v>
      </c>
      <c r="C98" s="23" t="s">
        <v>481</v>
      </c>
      <c r="D98" s="23">
        <v>880000</v>
      </c>
      <c r="E98" s="23" t="s">
        <v>469</v>
      </c>
      <c r="F98" s="23" t="str">
        <f t="shared" si="2"/>
        <v>rtdc.l.rtdc.4001:itc</v>
      </c>
      <c r="G98" s="8">
        <f t="shared" si="3"/>
        <v>42629.494988425926</v>
      </c>
    </row>
    <row r="99" spans="1:7" x14ac:dyDescent="0.25">
      <c r="A99" s="8">
        <v>42629.496736111112</v>
      </c>
      <c r="B99" s="23" t="s">
        <v>388</v>
      </c>
      <c r="C99" s="23" t="s">
        <v>482</v>
      </c>
      <c r="D99" s="23">
        <v>2090000</v>
      </c>
      <c r="E99" s="23" t="s">
        <v>483</v>
      </c>
      <c r="F99" s="23" t="str">
        <f t="shared" si="2"/>
        <v>rtdc.l.rtdc.4003:itc</v>
      </c>
      <c r="G99" s="8">
        <f t="shared" si="3"/>
        <v>42629.496736111112</v>
      </c>
    </row>
    <row r="100" spans="1:7" x14ac:dyDescent="0.25">
      <c r="A100" s="8">
        <v>42629.501793981479</v>
      </c>
      <c r="B100" s="23" t="s">
        <v>301</v>
      </c>
      <c r="C100" s="23" t="s">
        <v>484</v>
      </c>
      <c r="D100" s="23">
        <v>2230000</v>
      </c>
      <c r="E100" s="23" t="s">
        <v>288</v>
      </c>
      <c r="F100" s="23" t="str">
        <f t="shared" si="2"/>
        <v>rtdc.l.rtdc.4043:itc</v>
      </c>
      <c r="G100" s="8">
        <f t="shared" si="3"/>
        <v>42629.501793981479</v>
      </c>
    </row>
    <row r="101" spans="1:7" x14ac:dyDescent="0.25">
      <c r="A101" s="8">
        <v>42629.507523148146</v>
      </c>
      <c r="B101" s="23" t="s">
        <v>106</v>
      </c>
      <c r="C101" s="23" t="s">
        <v>485</v>
      </c>
      <c r="D101" s="23">
        <v>2140000</v>
      </c>
      <c r="E101" s="23" t="s">
        <v>413</v>
      </c>
      <c r="F101" s="23" t="str">
        <f t="shared" si="2"/>
        <v>rtdc.l.rtdc.4014:itc</v>
      </c>
      <c r="G101" s="8">
        <f t="shared" si="3"/>
        <v>42629.507523148146</v>
      </c>
    </row>
    <row r="102" spans="1:7" x14ac:dyDescent="0.25">
      <c r="A102" s="8">
        <v>42629.508796296293</v>
      </c>
      <c r="B102" s="23" t="s">
        <v>167</v>
      </c>
      <c r="C102" s="23" t="s">
        <v>486</v>
      </c>
      <c r="D102" s="23">
        <v>2150000</v>
      </c>
      <c r="E102" s="23" t="s">
        <v>487</v>
      </c>
      <c r="F102" s="23" t="str">
        <f t="shared" si="2"/>
        <v>rtdc.l.rtdc.4020:itc</v>
      </c>
      <c r="G102" s="8">
        <f t="shared" si="3"/>
        <v>42629.508796296293</v>
      </c>
    </row>
    <row r="103" spans="1:7" x14ac:dyDescent="0.25">
      <c r="A103" s="8">
        <v>42629.511296296296</v>
      </c>
      <c r="B103" s="23" t="s">
        <v>181</v>
      </c>
      <c r="C103" s="23" t="s">
        <v>488</v>
      </c>
      <c r="D103" s="23">
        <v>940000</v>
      </c>
      <c r="E103" s="23" t="s">
        <v>302</v>
      </c>
      <c r="F103" s="23" t="str">
        <f t="shared" si="2"/>
        <v>rtdc.l.rtdc.4010:itc</v>
      </c>
      <c r="G103" s="8">
        <f t="shared" si="3"/>
        <v>42629.511296296296</v>
      </c>
    </row>
    <row r="104" spans="1:7" x14ac:dyDescent="0.25">
      <c r="A104" s="8">
        <v>42629.512361111112</v>
      </c>
      <c r="B104" s="23" t="s">
        <v>386</v>
      </c>
      <c r="C104" s="23" t="s">
        <v>489</v>
      </c>
      <c r="D104" s="23">
        <v>1760000</v>
      </c>
      <c r="E104" s="23" t="s">
        <v>300</v>
      </c>
      <c r="F104" s="23" t="str">
        <f t="shared" si="2"/>
        <v>rtdc.l.rtdc.4006:itc</v>
      </c>
      <c r="G104" s="8">
        <f t="shared" si="3"/>
        <v>42629.512361111112</v>
      </c>
    </row>
    <row r="105" spans="1:7" x14ac:dyDescent="0.25">
      <c r="A105" s="8">
        <v>42629.517141203702</v>
      </c>
      <c r="B105" s="23" t="s">
        <v>390</v>
      </c>
      <c r="C105" s="23" t="s">
        <v>490</v>
      </c>
      <c r="D105" s="23">
        <v>2220000</v>
      </c>
      <c r="E105" s="23" t="s">
        <v>296</v>
      </c>
      <c r="F105" s="23" t="str">
        <f t="shared" si="2"/>
        <v>rtdc.l.rtdc.4038:itc</v>
      </c>
      <c r="G105" s="8">
        <f t="shared" si="3"/>
        <v>42629.517141203702</v>
      </c>
    </row>
    <row r="106" spans="1:7" x14ac:dyDescent="0.25">
      <c r="A106" s="8">
        <v>42629.525000000001</v>
      </c>
      <c r="B106" s="23" t="s">
        <v>290</v>
      </c>
      <c r="C106" s="23" t="s">
        <v>491</v>
      </c>
      <c r="D106" s="23">
        <v>2040000</v>
      </c>
      <c r="E106" s="23" t="s">
        <v>303</v>
      </c>
      <c r="F106" s="23" t="str">
        <f t="shared" si="2"/>
        <v>rtdc.l.rtdc.4017:itc</v>
      </c>
      <c r="G106" s="8">
        <f t="shared" si="3"/>
        <v>42629.525000000001</v>
      </c>
    </row>
    <row r="107" spans="1:7" x14ac:dyDescent="0.25">
      <c r="A107" s="8">
        <v>42629.526550925926</v>
      </c>
      <c r="B107" s="23" t="s">
        <v>254</v>
      </c>
      <c r="C107" s="23" t="s">
        <v>492</v>
      </c>
      <c r="D107" s="23">
        <v>2140000</v>
      </c>
      <c r="E107" s="23" t="s">
        <v>413</v>
      </c>
      <c r="F107" s="23" t="str">
        <f t="shared" si="2"/>
        <v>rtdc.l.rtdc.4013:itc</v>
      </c>
      <c r="G107" s="8">
        <f t="shared" si="3"/>
        <v>42629.526550925926</v>
      </c>
    </row>
    <row r="108" spans="1:7" x14ac:dyDescent="0.25">
      <c r="A108" s="8">
        <v>42629.526909722219</v>
      </c>
      <c r="B108" s="23" t="s">
        <v>382</v>
      </c>
      <c r="C108" s="23" t="s">
        <v>493</v>
      </c>
      <c r="D108" s="23">
        <v>880000</v>
      </c>
      <c r="E108" s="23" t="s">
        <v>469</v>
      </c>
      <c r="F108" s="23" t="str">
        <f t="shared" si="2"/>
        <v>rtdc.l.rtdc.4002:itc</v>
      </c>
      <c r="G108" s="8">
        <f t="shared" si="3"/>
        <v>42629.526909722219</v>
      </c>
    </row>
    <row r="109" spans="1:7" x14ac:dyDescent="0.25">
      <c r="A109" s="8">
        <v>42629.537430555552</v>
      </c>
      <c r="B109" s="23" t="s">
        <v>407</v>
      </c>
      <c r="C109" s="23" t="s">
        <v>494</v>
      </c>
      <c r="D109" s="23">
        <v>2090000</v>
      </c>
      <c r="E109" s="23" t="s">
        <v>483</v>
      </c>
      <c r="F109" s="23" t="str">
        <f t="shared" si="2"/>
        <v>rtdc.l.rtdc.4004:itc</v>
      </c>
      <c r="G109" s="8">
        <f t="shared" si="3"/>
        <v>42629.537430555552</v>
      </c>
    </row>
    <row r="110" spans="1:7" x14ac:dyDescent="0.25">
      <c r="A110" s="8">
        <v>42629.538449074076</v>
      </c>
      <c r="B110" s="23" t="s">
        <v>298</v>
      </c>
      <c r="C110" s="23" t="s">
        <v>495</v>
      </c>
      <c r="D110" s="23">
        <v>930000</v>
      </c>
      <c r="E110" s="23" t="s">
        <v>496</v>
      </c>
      <c r="F110" s="23" t="str">
        <f t="shared" si="2"/>
        <v>rtdc.l.rtdc.4044:itc</v>
      </c>
      <c r="G110" s="8">
        <f t="shared" si="3"/>
        <v>42629.538449074076</v>
      </c>
    </row>
    <row r="111" spans="1:7" x14ac:dyDescent="0.25">
      <c r="A111" s="8">
        <v>42629.539201388892</v>
      </c>
      <c r="B111" s="23" t="s">
        <v>166</v>
      </c>
      <c r="C111" s="23" t="s">
        <v>497</v>
      </c>
      <c r="D111" s="23">
        <v>2150000</v>
      </c>
      <c r="E111" s="23" t="s">
        <v>487</v>
      </c>
      <c r="F111" s="23" t="str">
        <f t="shared" si="2"/>
        <v>rtdc.l.rtdc.4019:itc</v>
      </c>
      <c r="G111" s="8">
        <f t="shared" si="3"/>
        <v>42629.539201388892</v>
      </c>
    </row>
    <row r="112" spans="1:7" x14ac:dyDescent="0.25">
      <c r="A112" s="8">
        <v>42629.545358796298</v>
      </c>
      <c r="B112" s="23" t="s">
        <v>106</v>
      </c>
      <c r="C112" s="23" t="s">
        <v>498</v>
      </c>
      <c r="D112" s="23">
        <v>2350000</v>
      </c>
      <c r="E112" s="23" t="s">
        <v>287</v>
      </c>
      <c r="F112" s="23" t="str">
        <f t="shared" si="2"/>
        <v>rtdc.l.rtdc.4014:itc</v>
      </c>
      <c r="G112" s="8">
        <f t="shared" si="3"/>
        <v>42629.545358796298</v>
      </c>
    </row>
    <row r="113" spans="1:7" x14ac:dyDescent="0.25">
      <c r="A113" s="8">
        <v>42629.5468287037</v>
      </c>
      <c r="B113" s="23" t="s">
        <v>130</v>
      </c>
      <c r="C113" s="23" t="s">
        <v>499</v>
      </c>
      <c r="D113" s="23">
        <v>940000</v>
      </c>
      <c r="E113" s="23" t="s">
        <v>302</v>
      </c>
      <c r="F113" s="23" t="str">
        <f t="shared" si="2"/>
        <v>rtdc.l.rtdc.4009:itc</v>
      </c>
      <c r="G113" s="8">
        <f t="shared" si="3"/>
        <v>42629.5468287037</v>
      </c>
    </row>
    <row r="114" spans="1:7" x14ac:dyDescent="0.25">
      <c r="A114" s="8">
        <v>42629.549467592595</v>
      </c>
      <c r="B114" s="23" t="s">
        <v>415</v>
      </c>
      <c r="C114" s="23" t="s">
        <v>500</v>
      </c>
      <c r="D114" s="23">
        <v>2220000</v>
      </c>
      <c r="E114" s="23" t="s">
        <v>296</v>
      </c>
      <c r="F114" s="23" t="str">
        <f t="shared" si="2"/>
        <v>rtdc.l.rtdc.4037:itc</v>
      </c>
      <c r="G114" s="8">
        <f t="shared" si="3"/>
        <v>42629.549467592595</v>
      </c>
    </row>
    <row r="115" spans="1:7" x14ac:dyDescent="0.25">
      <c r="A115" s="8">
        <v>42629.560763888891</v>
      </c>
      <c r="B115" s="23" t="s">
        <v>236</v>
      </c>
      <c r="C115" s="23" t="s">
        <v>501</v>
      </c>
      <c r="D115" s="23">
        <v>2040000</v>
      </c>
      <c r="E115" s="23" t="s">
        <v>303</v>
      </c>
      <c r="F115" s="23" t="str">
        <f t="shared" si="2"/>
        <v>rtdc.l.rtdc.4018:itc</v>
      </c>
      <c r="G115" s="8">
        <f t="shared" si="3"/>
        <v>42629.560763888891</v>
      </c>
    </row>
    <row r="116" spans="1:7" x14ac:dyDescent="0.25">
      <c r="A116" s="8">
        <v>42629.567731481482</v>
      </c>
      <c r="B116" s="23" t="s">
        <v>379</v>
      </c>
      <c r="C116" s="23" t="s">
        <v>502</v>
      </c>
      <c r="D116" s="23">
        <v>880000</v>
      </c>
      <c r="E116" s="23" t="s">
        <v>469</v>
      </c>
      <c r="F116" s="23" t="str">
        <f t="shared" si="2"/>
        <v>rtdc.l.rtdc.4001:itc</v>
      </c>
      <c r="G116" s="8">
        <f t="shared" si="3"/>
        <v>42629.567731481482</v>
      </c>
    </row>
    <row r="117" spans="1:7" x14ac:dyDescent="0.25">
      <c r="A117" s="8">
        <v>42629.56927083333</v>
      </c>
      <c r="B117" s="23" t="s">
        <v>254</v>
      </c>
      <c r="C117" s="23" t="s">
        <v>503</v>
      </c>
      <c r="D117" s="23">
        <v>2350000</v>
      </c>
      <c r="E117" s="23" t="s">
        <v>287</v>
      </c>
      <c r="F117" s="23" t="str">
        <f t="shared" si="2"/>
        <v>rtdc.l.rtdc.4013:itc</v>
      </c>
      <c r="G117" s="8">
        <f t="shared" si="3"/>
        <v>42629.56927083333</v>
      </c>
    </row>
    <row r="118" spans="1:7" x14ac:dyDescent="0.25">
      <c r="A118" s="8">
        <v>42629.570057870369</v>
      </c>
      <c r="B118" s="23" t="s">
        <v>388</v>
      </c>
      <c r="C118" s="23" t="s">
        <v>504</v>
      </c>
      <c r="D118" s="23">
        <v>2090000</v>
      </c>
      <c r="E118" s="23" t="s">
        <v>483</v>
      </c>
      <c r="F118" s="23" t="str">
        <f t="shared" si="2"/>
        <v>rtdc.l.rtdc.4003:itc</v>
      </c>
      <c r="G118" s="8">
        <f t="shared" si="3"/>
        <v>42629.570057870369</v>
      </c>
    </row>
    <row r="119" spans="1:7" x14ac:dyDescent="0.25">
      <c r="A119" s="8">
        <v>42629.576053240744</v>
      </c>
      <c r="B119" s="23" t="s">
        <v>301</v>
      </c>
      <c r="C119" s="23" t="s">
        <v>505</v>
      </c>
      <c r="D119" s="23">
        <v>930000</v>
      </c>
      <c r="E119" s="23" t="s">
        <v>496</v>
      </c>
      <c r="F119" s="23" t="str">
        <f t="shared" si="2"/>
        <v>rtdc.l.rtdc.4043:itc</v>
      </c>
      <c r="G119" s="8">
        <f t="shared" si="3"/>
        <v>42629.576053240744</v>
      </c>
    </row>
    <row r="120" spans="1:7" x14ac:dyDescent="0.25">
      <c r="A120" s="8">
        <v>42629.579583333332</v>
      </c>
      <c r="B120" s="23" t="s">
        <v>167</v>
      </c>
      <c r="C120" s="23" t="s">
        <v>506</v>
      </c>
      <c r="D120" s="23">
        <v>2150000</v>
      </c>
      <c r="E120" s="23" t="s">
        <v>487</v>
      </c>
      <c r="F120" s="23" t="str">
        <f t="shared" si="2"/>
        <v>rtdc.l.rtdc.4020:itc</v>
      </c>
      <c r="G120" s="8">
        <f t="shared" si="3"/>
        <v>42629.579583333332</v>
      </c>
    </row>
    <row r="121" spans="1:7" x14ac:dyDescent="0.25">
      <c r="A121" s="8">
        <v>42629.583032407405</v>
      </c>
      <c r="B121" s="23" t="s">
        <v>181</v>
      </c>
      <c r="C121" s="23" t="s">
        <v>507</v>
      </c>
      <c r="D121" s="23">
        <v>940000</v>
      </c>
      <c r="E121" s="23" t="s">
        <v>302</v>
      </c>
      <c r="F121" s="23" t="str">
        <f t="shared" si="2"/>
        <v>rtdc.l.rtdc.4010:itc</v>
      </c>
      <c r="G121" s="8">
        <f t="shared" si="3"/>
        <v>42629.583032407405</v>
      </c>
    </row>
    <row r="122" spans="1:7" x14ac:dyDescent="0.25">
      <c r="A122" s="8">
        <v>42629.588622685187</v>
      </c>
      <c r="B122" s="28" t="s">
        <v>106</v>
      </c>
      <c r="C122" s="23" t="s">
        <v>508</v>
      </c>
      <c r="D122" s="23">
        <v>2230000</v>
      </c>
      <c r="E122" s="23" t="s">
        <v>288</v>
      </c>
      <c r="F122" s="23" t="str">
        <f t="shared" si="2"/>
        <v>rtdc.l.rtdc.4014:itc</v>
      </c>
      <c r="G122" s="8">
        <f t="shared" si="3"/>
        <v>42629.588622685187</v>
      </c>
    </row>
    <row r="123" spans="1:7" x14ac:dyDescent="0.25">
      <c r="A123" s="8">
        <v>42629.589965277781</v>
      </c>
      <c r="B123" s="23" t="s">
        <v>390</v>
      </c>
      <c r="C123" s="23" t="s">
        <v>509</v>
      </c>
      <c r="D123" s="23">
        <v>2220000</v>
      </c>
      <c r="E123" s="23" t="s">
        <v>296</v>
      </c>
      <c r="F123" s="23" t="str">
        <f t="shared" si="2"/>
        <v>rtdc.l.rtdc.4038:itc</v>
      </c>
      <c r="G123" s="8">
        <f t="shared" si="3"/>
        <v>42629.589965277781</v>
      </c>
    </row>
    <row r="124" spans="1:7" x14ac:dyDescent="0.25">
      <c r="A124" s="8">
        <v>42629.590717592589</v>
      </c>
      <c r="B124" s="23" t="s">
        <v>106</v>
      </c>
      <c r="C124" s="23" t="s">
        <v>508</v>
      </c>
      <c r="D124" s="23">
        <v>2230000</v>
      </c>
      <c r="E124" s="23" t="s">
        <v>288</v>
      </c>
      <c r="F124" s="23" t="str">
        <f t="shared" si="2"/>
        <v>rtdc.l.rtdc.4014:itc</v>
      </c>
      <c r="G124" s="8">
        <f t="shared" si="3"/>
        <v>42629.590717592589</v>
      </c>
    </row>
    <row r="125" spans="1:7" x14ac:dyDescent="0.25">
      <c r="A125" s="8">
        <v>42629.597858796296</v>
      </c>
      <c r="B125" s="23" t="s">
        <v>290</v>
      </c>
      <c r="C125" s="23" t="s">
        <v>510</v>
      </c>
      <c r="D125" s="23">
        <v>2040000</v>
      </c>
      <c r="E125" s="23" t="s">
        <v>303</v>
      </c>
      <c r="F125" s="23" t="str">
        <f t="shared" si="2"/>
        <v>rtdc.l.rtdc.4017:itc</v>
      </c>
      <c r="G125" s="8">
        <f t="shared" si="3"/>
        <v>42629.597858796296</v>
      </c>
    </row>
    <row r="126" spans="1:7" x14ac:dyDescent="0.25">
      <c r="A126" s="8">
        <v>42629.600914351853</v>
      </c>
      <c r="B126" s="23" t="s">
        <v>382</v>
      </c>
      <c r="C126" s="23" t="s">
        <v>511</v>
      </c>
      <c r="D126" s="23">
        <v>880000</v>
      </c>
      <c r="E126" s="23" t="s">
        <v>469</v>
      </c>
      <c r="F126" s="23" t="str">
        <f t="shared" si="2"/>
        <v>rtdc.l.rtdc.4002:itc</v>
      </c>
      <c r="G126" s="8">
        <f t="shared" si="3"/>
        <v>42629.600914351853</v>
      </c>
    </row>
    <row r="127" spans="1:7" x14ac:dyDescent="0.25">
      <c r="A127" s="8">
        <v>42629.602847222224</v>
      </c>
      <c r="B127" s="23" t="s">
        <v>181</v>
      </c>
      <c r="C127" s="23" t="s">
        <v>507</v>
      </c>
      <c r="D127" s="23">
        <v>940000</v>
      </c>
      <c r="E127" s="23" t="s">
        <v>302</v>
      </c>
      <c r="F127" s="23" t="str">
        <f t="shared" si="2"/>
        <v>rtdc.l.rtdc.4010:itc</v>
      </c>
      <c r="G127" s="8">
        <f t="shared" si="3"/>
        <v>42629.602847222224</v>
      </c>
    </row>
    <row r="128" spans="1:7" x14ac:dyDescent="0.25">
      <c r="A128" s="8">
        <v>42629.607893518521</v>
      </c>
      <c r="B128" s="23" t="s">
        <v>407</v>
      </c>
      <c r="C128" s="23" t="s">
        <v>512</v>
      </c>
      <c r="D128" s="23">
        <v>2090000</v>
      </c>
      <c r="E128" s="23" t="s">
        <v>483</v>
      </c>
      <c r="F128" s="23" t="str">
        <f t="shared" si="2"/>
        <v>rtdc.l.rtdc.4004:itc</v>
      </c>
      <c r="G128" s="8">
        <f t="shared" si="3"/>
        <v>42629.607893518521</v>
      </c>
    </row>
    <row r="129" spans="1:7" x14ac:dyDescent="0.25">
      <c r="A129" s="8">
        <v>42629.611018518517</v>
      </c>
      <c r="B129" s="23" t="s">
        <v>298</v>
      </c>
      <c r="C129" s="23" t="s">
        <v>513</v>
      </c>
      <c r="D129" s="23">
        <v>930000</v>
      </c>
      <c r="E129" s="23" t="s">
        <v>496</v>
      </c>
      <c r="F129" s="23" t="str">
        <f t="shared" si="2"/>
        <v>rtdc.l.rtdc.4044:itc</v>
      </c>
      <c r="G129" s="8">
        <f t="shared" si="3"/>
        <v>42629.611018518517</v>
      </c>
    </row>
    <row r="130" spans="1:7" x14ac:dyDescent="0.25">
      <c r="A130" s="8">
        <v>42629.611111111109</v>
      </c>
      <c r="B130" s="23" t="s">
        <v>254</v>
      </c>
      <c r="C130" s="23" t="s">
        <v>514</v>
      </c>
      <c r="D130" s="23">
        <v>2230000</v>
      </c>
      <c r="E130" s="23" t="s">
        <v>288</v>
      </c>
      <c r="F130" s="23" t="str">
        <f t="shared" ref="F130:F193" si="4">B130</f>
        <v>rtdc.l.rtdc.4013:itc</v>
      </c>
      <c r="G130" s="8">
        <f t="shared" ref="G130:G193" si="5">A130</f>
        <v>42629.611111111109</v>
      </c>
    </row>
    <row r="131" spans="1:7" x14ac:dyDescent="0.25">
      <c r="A131" s="8">
        <v>42629.612847222219</v>
      </c>
      <c r="B131" s="23" t="s">
        <v>166</v>
      </c>
      <c r="C131" s="23" t="s">
        <v>515</v>
      </c>
      <c r="D131" s="23">
        <v>2150000</v>
      </c>
      <c r="E131" s="23" t="s">
        <v>487</v>
      </c>
      <c r="F131" s="23" t="str">
        <f t="shared" si="4"/>
        <v>rtdc.l.rtdc.4019:itc</v>
      </c>
      <c r="G131" s="8">
        <f t="shared" si="5"/>
        <v>42629.612847222219</v>
      </c>
    </row>
    <row r="132" spans="1:7" x14ac:dyDescent="0.25">
      <c r="A132" s="8">
        <v>42629.621053240742</v>
      </c>
      <c r="B132" s="23" t="s">
        <v>415</v>
      </c>
      <c r="C132" s="23" t="s">
        <v>516</v>
      </c>
      <c r="D132" s="23">
        <v>2220000</v>
      </c>
      <c r="E132" s="23" t="s">
        <v>296</v>
      </c>
      <c r="F132" s="23" t="str">
        <f t="shared" si="4"/>
        <v>rtdc.l.rtdc.4037:itc</v>
      </c>
      <c r="G132" s="8">
        <f t="shared" si="5"/>
        <v>42629.621053240742</v>
      </c>
    </row>
    <row r="133" spans="1:7" x14ac:dyDescent="0.25">
      <c r="A133" s="8">
        <v>42629.621747685182</v>
      </c>
      <c r="B133" s="23" t="s">
        <v>130</v>
      </c>
      <c r="C133" s="23" t="s">
        <v>517</v>
      </c>
      <c r="D133" s="23">
        <v>940000</v>
      </c>
      <c r="E133" s="23" t="s">
        <v>302</v>
      </c>
      <c r="F133" s="23" t="str">
        <f t="shared" si="4"/>
        <v>rtdc.l.rtdc.4009:itc</v>
      </c>
      <c r="G133" s="8">
        <f t="shared" si="5"/>
        <v>42629.621747685182</v>
      </c>
    </row>
    <row r="134" spans="1:7" x14ac:dyDescent="0.25">
      <c r="A134" s="8">
        <v>42629.626666666663</v>
      </c>
      <c r="B134" s="23" t="s">
        <v>106</v>
      </c>
      <c r="C134" s="23" t="s">
        <v>518</v>
      </c>
      <c r="D134" s="23">
        <v>2350000</v>
      </c>
      <c r="E134" s="23" t="s">
        <v>287</v>
      </c>
      <c r="F134" s="23" t="str">
        <f t="shared" si="4"/>
        <v>rtdc.l.rtdc.4014:itc</v>
      </c>
      <c r="G134" s="8">
        <f t="shared" si="5"/>
        <v>42629.626666666663</v>
      </c>
    </row>
    <row r="135" spans="1:7" x14ac:dyDescent="0.25">
      <c r="A135" s="8">
        <v>42629.62777777778</v>
      </c>
      <c r="B135" s="23" t="s">
        <v>106</v>
      </c>
      <c r="C135" s="23" t="s">
        <v>518</v>
      </c>
      <c r="D135" s="23">
        <v>2350000</v>
      </c>
      <c r="E135" s="23" t="s">
        <v>287</v>
      </c>
      <c r="F135" s="23" t="str">
        <f t="shared" si="4"/>
        <v>rtdc.l.rtdc.4014:itc</v>
      </c>
      <c r="G135" s="8">
        <f t="shared" si="5"/>
        <v>42629.62777777778</v>
      </c>
    </row>
    <row r="136" spans="1:7" x14ac:dyDescent="0.25">
      <c r="A136" s="8">
        <v>42629.628564814811</v>
      </c>
      <c r="B136" s="23" t="s">
        <v>106</v>
      </c>
      <c r="C136" s="23" t="s">
        <v>518</v>
      </c>
      <c r="D136" s="23">
        <v>2350000</v>
      </c>
      <c r="E136" s="23" t="s">
        <v>287</v>
      </c>
      <c r="F136" s="23" t="str">
        <f t="shared" si="4"/>
        <v>rtdc.l.rtdc.4014:itc</v>
      </c>
      <c r="G136" s="8">
        <f t="shared" si="5"/>
        <v>42629.628564814811</v>
      </c>
    </row>
    <row r="137" spans="1:7" x14ac:dyDescent="0.25">
      <c r="A137" s="8">
        <v>42629.633344907408</v>
      </c>
      <c r="B137" s="23" t="s">
        <v>236</v>
      </c>
      <c r="C137" s="23" t="s">
        <v>519</v>
      </c>
      <c r="D137" s="23">
        <v>2040000</v>
      </c>
      <c r="E137" s="23" t="s">
        <v>303</v>
      </c>
      <c r="F137" s="23" t="str">
        <f t="shared" si="4"/>
        <v>rtdc.l.rtdc.4018:itc</v>
      </c>
      <c r="G137" s="8">
        <f t="shared" si="5"/>
        <v>42629.633344907408</v>
      </c>
    </row>
    <row r="138" spans="1:7" x14ac:dyDescent="0.25">
      <c r="A138" s="8">
        <v>42629.640208333331</v>
      </c>
      <c r="B138" s="23" t="s">
        <v>379</v>
      </c>
      <c r="C138" s="23" t="s">
        <v>520</v>
      </c>
      <c r="D138" s="23">
        <v>880000</v>
      </c>
      <c r="E138" s="23" t="s">
        <v>469</v>
      </c>
      <c r="F138" s="23" t="str">
        <f t="shared" si="4"/>
        <v>rtdc.l.rtdc.4001:itc</v>
      </c>
      <c r="G138" s="8">
        <f t="shared" si="5"/>
        <v>42629.640208333331</v>
      </c>
    </row>
    <row r="139" spans="1:7" x14ac:dyDescent="0.25">
      <c r="A139" s="8">
        <v>42629.641458333332</v>
      </c>
      <c r="B139" s="23" t="s">
        <v>378</v>
      </c>
      <c r="C139" s="23" t="s">
        <v>521</v>
      </c>
      <c r="D139" s="23">
        <v>1810000</v>
      </c>
      <c r="E139" s="23" t="s">
        <v>385</v>
      </c>
      <c r="F139" s="23" t="str">
        <f t="shared" si="4"/>
        <v>rtdc.l.rtdc.4032:itc</v>
      </c>
      <c r="G139" s="8">
        <f t="shared" si="5"/>
        <v>42629.641458333332</v>
      </c>
    </row>
    <row r="140" spans="1:7" x14ac:dyDescent="0.25">
      <c r="A140" s="8">
        <v>42629.643368055556</v>
      </c>
      <c r="B140" s="23" t="s">
        <v>388</v>
      </c>
      <c r="C140" s="23" t="s">
        <v>522</v>
      </c>
      <c r="D140" s="23">
        <v>2090000</v>
      </c>
      <c r="E140" s="23" t="s">
        <v>483</v>
      </c>
      <c r="F140" s="23" t="str">
        <f t="shared" si="4"/>
        <v>rtdc.l.rtdc.4003:itc</v>
      </c>
      <c r="G140" s="8">
        <f t="shared" si="5"/>
        <v>42629.643368055556</v>
      </c>
    </row>
    <row r="141" spans="1:7" x14ac:dyDescent="0.25">
      <c r="A141" s="8">
        <v>42629.644432870373</v>
      </c>
      <c r="B141" s="23" t="s">
        <v>380</v>
      </c>
      <c r="C141" s="23" t="s">
        <v>523</v>
      </c>
      <c r="D141" s="23">
        <v>530000</v>
      </c>
      <c r="E141" s="23" t="s">
        <v>524</v>
      </c>
      <c r="F141" s="23" t="str">
        <f t="shared" si="4"/>
        <v>rtdc.l.rtdc.4045:itc</v>
      </c>
      <c r="G141" s="8">
        <f t="shared" si="5"/>
        <v>42629.644432870373</v>
      </c>
    </row>
    <row r="142" spans="1:7" x14ac:dyDescent="0.25">
      <c r="A142" s="8">
        <v>42629.648194444446</v>
      </c>
      <c r="B142" s="23" t="s">
        <v>301</v>
      </c>
      <c r="C142" s="23" t="s">
        <v>525</v>
      </c>
      <c r="D142" s="23">
        <v>930000</v>
      </c>
      <c r="E142" s="23" t="s">
        <v>496</v>
      </c>
      <c r="F142" s="23" t="str">
        <f t="shared" si="4"/>
        <v>rtdc.l.rtdc.4043:itc</v>
      </c>
      <c r="G142" s="8">
        <f t="shared" si="5"/>
        <v>42629.648194444446</v>
      </c>
    </row>
    <row r="143" spans="1:7" x14ac:dyDescent="0.25">
      <c r="A143" s="8">
        <v>42629.650578703702</v>
      </c>
      <c r="B143" s="23" t="s">
        <v>380</v>
      </c>
      <c r="C143" s="23" t="s">
        <v>523</v>
      </c>
      <c r="D143" s="23">
        <v>530000</v>
      </c>
      <c r="E143" s="23" t="s">
        <v>524</v>
      </c>
      <c r="F143" s="23" t="str">
        <f t="shared" si="4"/>
        <v>rtdc.l.rtdc.4045:itc</v>
      </c>
      <c r="G143" s="8">
        <f t="shared" si="5"/>
        <v>42629.650578703702</v>
      </c>
    </row>
    <row r="144" spans="1:7" x14ac:dyDescent="0.25">
      <c r="A144" s="8">
        <v>42629.651076388887</v>
      </c>
      <c r="B144" s="23" t="s">
        <v>108</v>
      </c>
      <c r="C144" s="23" t="s">
        <v>526</v>
      </c>
      <c r="D144" s="23">
        <v>1810000</v>
      </c>
      <c r="E144" s="23" t="s">
        <v>385</v>
      </c>
      <c r="F144" s="23" t="str">
        <f t="shared" si="4"/>
        <v>rtdc.l.rtdc.4031:itc</v>
      </c>
      <c r="G144" s="8">
        <f t="shared" si="5"/>
        <v>42629.651076388887</v>
      </c>
    </row>
    <row r="145" spans="1:7" x14ac:dyDescent="0.25">
      <c r="A145" s="8">
        <v>42629.652337962965</v>
      </c>
      <c r="B145" s="23" t="s">
        <v>254</v>
      </c>
      <c r="C145" s="23" t="s">
        <v>527</v>
      </c>
      <c r="D145" s="23">
        <v>2350000</v>
      </c>
      <c r="E145" s="23" t="s">
        <v>287</v>
      </c>
      <c r="F145" s="23" t="str">
        <f t="shared" si="4"/>
        <v>rtdc.l.rtdc.4013:itc</v>
      </c>
      <c r="G145" s="8">
        <f t="shared" si="5"/>
        <v>42629.652337962965</v>
      </c>
    </row>
    <row r="146" spans="1:7" x14ac:dyDescent="0.25">
      <c r="A146" s="8">
        <v>42629.65347222222</v>
      </c>
      <c r="B146" s="23" t="s">
        <v>167</v>
      </c>
      <c r="C146" s="23" t="s">
        <v>528</v>
      </c>
      <c r="D146" s="23">
        <v>2150000</v>
      </c>
      <c r="E146" s="23" t="s">
        <v>487</v>
      </c>
      <c r="F146" s="23" t="str">
        <f t="shared" si="4"/>
        <v>rtdc.l.rtdc.4020:itc</v>
      </c>
      <c r="G146" s="8">
        <f t="shared" si="5"/>
        <v>42629.65347222222</v>
      </c>
    </row>
    <row r="147" spans="1:7" x14ac:dyDescent="0.25">
      <c r="A147" s="8">
        <v>42629.654953703706</v>
      </c>
      <c r="B147" s="23" t="s">
        <v>380</v>
      </c>
      <c r="C147" s="23" t="s">
        <v>523</v>
      </c>
      <c r="D147" s="23">
        <v>530000</v>
      </c>
      <c r="E147" s="23" t="s">
        <v>524</v>
      </c>
      <c r="F147" s="23" t="str">
        <f t="shared" si="4"/>
        <v>rtdc.l.rtdc.4045:itc</v>
      </c>
      <c r="G147" s="8">
        <f t="shared" si="5"/>
        <v>42629.654953703706</v>
      </c>
    </row>
    <row r="148" spans="1:7" x14ac:dyDescent="0.25">
      <c r="A148" s="8">
        <v>42629.656689814816</v>
      </c>
      <c r="B148" s="23" t="s">
        <v>181</v>
      </c>
      <c r="C148" s="23" t="s">
        <v>529</v>
      </c>
      <c r="D148" s="23">
        <v>940000</v>
      </c>
      <c r="E148" s="23" t="s">
        <v>302</v>
      </c>
      <c r="F148" s="23" t="str">
        <f t="shared" si="4"/>
        <v>rtdc.l.rtdc.4010:itc</v>
      </c>
      <c r="G148" s="8">
        <f t="shared" si="5"/>
        <v>42629.656689814816</v>
      </c>
    </row>
    <row r="149" spans="1:7" x14ac:dyDescent="0.25">
      <c r="A149" s="8">
        <v>42629.660034722219</v>
      </c>
      <c r="B149" s="23" t="s">
        <v>380</v>
      </c>
      <c r="C149" s="23" t="s">
        <v>523</v>
      </c>
      <c r="D149" s="23">
        <v>530000</v>
      </c>
      <c r="E149" s="23" t="s">
        <v>524</v>
      </c>
      <c r="F149" s="23" t="str">
        <f t="shared" si="4"/>
        <v>rtdc.l.rtdc.4045:itc</v>
      </c>
      <c r="G149" s="8">
        <f t="shared" si="5"/>
        <v>42629.660034722219</v>
      </c>
    </row>
    <row r="150" spans="1:7" x14ac:dyDescent="0.25">
      <c r="A150" s="8">
        <v>42629.663807870369</v>
      </c>
      <c r="B150" s="23" t="s">
        <v>380</v>
      </c>
      <c r="C150" s="23" t="s">
        <v>523</v>
      </c>
      <c r="D150" s="23">
        <v>530000</v>
      </c>
      <c r="E150" s="23" t="s">
        <v>524</v>
      </c>
      <c r="F150" s="23" t="str">
        <f t="shared" si="4"/>
        <v>rtdc.l.rtdc.4045:itc</v>
      </c>
      <c r="G150" s="8">
        <f t="shared" si="5"/>
        <v>42629.663807870369</v>
      </c>
    </row>
    <row r="151" spans="1:7" x14ac:dyDescent="0.25">
      <c r="A151" s="8">
        <v>42629.664050925923</v>
      </c>
      <c r="B151" s="23" t="s">
        <v>390</v>
      </c>
      <c r="C151" s="23" t="s">
        <v>530</v>
      </c>
      <c r="D151" s="23">
        <v>2220000</v>
      </c>
      <c r="E151" s="23" t="s">
        <v>296</v>
      </c>
      <c r="F151" s="23" t="str">
        <f t="shared" si="4"/>
        <v>rtdc.l.rtdc.4038:itc</v>
      </c>
      <c r="G151" s="8">
        <f t="shared" si="5"/>
        <v>42629.664050925923</v>
      </c>
    </row>
    <row r="152" spans="1:7" x14ac:dyDescent="0.25">
      <c r="A152" s="8">
        <v>42629.671331018515</v>
      </c>
      <c r="B152" s="23" t="s">
        <v>106</v>
      </c>
      <c r="C152" s="23" t="s">
        <v>531</v>
      </c>
      <c r="D152" s="23">
        <v>2350000</v>
      </c>
      <c r="E152" s="23" t="s">
        <v>287</v>
      </c>
      <c r="F152" s="23" t="str">
        <f t="shared" si="4"/>
        <v>rtdc.l.rtdc.4014:itc</v>
      </c>
      <c r="G152" s="8">
        <f t="shared" si="5"/>
        <v>42629.671331018515</v>
      </c>
    </row>
    <row r="153" spans="1:7" x14ac:dyDescent="0.25">
      <c r="A153" s="8">
        <v>42629.67150462963</v>
      </c>
      <c r="B153" s="23" t="s">
        <v>290</v>
      </c>
      <c r="C153" s="23" t="s">
        <v>532</v>
      </c>
      <c r="D153" s="23">
        <v>2040000</v>
      </c>
      <c r="E153" s="23" t="s">
        <v>303</v>
      </c>
      <c r="F153" s="23" t="str">
        <f t="shared" si="4"/>
        <v>rtdc.l.rtdc.4017:itc</v>
      </c>
      <c r="G153" s="8">
        <f t="shared" si="5"/>
        <v>42629.67150462963</v>
      </c>
    </row>
    <row r="154" spans="1:7" x14ac:dyDescent="0.25">
      <c r="A154" s="8">
        <v>42629.672256944446</v>
      </c>
      <c r="B154" s="23" t="s">
        <v>378</v>
      </c>
      <c r="C154" s="23" t="s">
        <v>533</v>
      </c>
      <c r="D154" s="23">
        <v>1810000</v>
      </c>
      <c r="E154" s="23" t="s">
        <v>385</v>
      </c>
      <c r="F154" s="23" t="str">
        <f t="shared" si="4"/>
        <v>rtdc.l.rtdc.4032:itc</v>
      </c>
      <c r="G154" s="8">
        <f t="shared" si="5"/>
        <v>42629.672256944446</v>
      </c>
    </row>
    <row r="155" spans="1:7" x14ac:dyDescent="0.25">
      <c r="A155" s="8">
        <v>42629.673854166664</v>
      </c>
      <c r="B155" s="23" t="s">
        <v>382</v>
      </c>
      <c r="C155" s="23" t="s">
        <v>534</v>
      </c>
      <c r="D155" s="23">
        <v>880000</v>
      </c>
      <c r="E155" s="23" t="s">
        <v>469</v>
      </c>
      <c r="F155" s="23" t="str">
        <f t="shared" si="4"/>
        <v>rtdc.l.rtdc.4002:itc</v>
      </c>
      <c r="G155" s="8">
        <f t="shared" si="5"/>
        <v>42629.673854166664</v>
      </c>
    </row>
    <row r="156" spans="1:7" x14ac:dyDescent="0.25">
      <c r="A156" s="8">
        <v>42629.681226851855</v>
      </c>
      <c r="B156" s="23" t="s">
        <v>407</v>
      </c>
      <c r="C156" s="23" t="s">
        <v>535</v>
      </c>
      <c r="D156" s="23">
        <v>2090000</v>
      </c>
      <c r="E156" s="23" t="s">
        <v>483</v>
      </c>
      <c r="F156" s="23" t="str">
        <f t="shared" si="4"/>
        <v>rtdc.l.rtdc.4004:itc</v>
      </c>
      <c r="G156" s="8">
        <f t="shared" si="5"/>
        <v>42629.681226851855</v>
      </c>
    </row>
    <row r="157" spans="1:7" x14ac:dyDescent="0.25">
      <c r="A157" s="8">
        <v>42629.684606481482</v>
      </c>
      <c r="B157" s="23" t="s">
        <v>298</v>
      </c>
      <c r="C157" s="23" t="s">
        <v>536</v>
      </c>
      <c r="D157" s="23">
        <v>930000</v>
      </c>
      <c r="E157" s="23" t="s">
        <v>496</v>
      </c>
      <c r="F157" s="23" t="str">
        <f t="shared" si="4"/>
        <v>rtdc.l.rtdc.4044:itc</v>
      </c>
      <c r="G157" s="8">
        <f t="shared" si="5"/>
        <v>42629.684606481482</v>
      </c>
    </row>
    <row r="158" spans="1:7" x14ac:dyDescent="0.25">
      <c r="A158" s="8">
        <v>42629.68476851852</v>
      </c>
      <c r="B158" s="23" t="s">
        <v>166</v>
      </c>
      <c r="C158" s="23" t="s">
        <v>537</v>
      </c>
      <c r="D158" s="23">
        <v>2150000</v>
      </c>
      <c r="E158" s="23" t="s">
        <v>487</v>
      </c>
      <c r="F158" s="23" t="str">
        <f t="shared" si="4"/>
        <v>rtdc.l.rtdc.4019:itc</v>
      </c>
      <c r="G158" s="8">
        <f t="shared" si="5"/>
        <v>42629.68476851852</v>
      </c>
    </row>
    <row r="159" spans="1:7" x14ac:dyDescent="0.25">
      <c r="A159" s="8">
        <v>42629.688599537039</v>
      </c>
      <c r="B159" s="23" t="s">
        <v>108</v>
      </c>
      <c r="C159" s="23" t="s">
        <v>538</v>
      </c>
      <c r="D159" s="23">
        <v>1810000</v>
      </c>
      <c r="E159" s="23" t="s">
        <v>385</v>
      </c>
      <c r="F159" s="23" t="str">
        <f t="shared" si="4"/>
        <v>rtdc.l.rtdc.4031:itc</v>
      </c>
      <c r="G159" s="8">
        <f t="shared" si="5"/>
        <v>42629.688599537039</v>
      </c>
    </row>
    <row r="160" spans="1:7" x14ac:dyDescent="0.25">
      <c r="A160" s="8">
        <v>42629.693831018521</v>
      </c>
      <c r="B160" s="23" t="s">
        <v>130</v>
      </c>
      <c r="C160" s="23" t="s">
        <v>539</v>
      </c>
      <c r="D160" s="23">
        <v>2110000</v>
      </c>
      <c r="E160" s="23" t="s">
        <v>249</v>
      </c>
      <c r="F160" s="23" t="str">
        <f t="shared" si="4"/>
        <v>rtdc.l.rtdc.4009:itc</v>
      </c>
      <c r="G160" s="8">
        <f t="shared" si="5"/>
        <v>42629.693831018521</v>
      </c>
    </row>
    <row r="161" spans="1:7" x14ac:dyDescent="0.25">
      <c r="A161" s="8">
        <v>42629.694803240738</v>
      </c>
      <c r="B161" s="23" t="s">
        <v>415</v>
      </c>
      <c r="C161" s="23" t="s">
        <v>540</v>
      </c>
      <c r="D161" s="23">
        <v>2220000</v>
      </c>
      <c r="E161" s="23" t="s">
        <v>296</v>
      </c>
      <c r="F161" s="23" t="str">
        <f t="shared" si="4"/>
        <v>rtdc.l.rtdc.4037:itc</v>
      </c>
      <c r="G161" s="8">
        <f t="shared" si="5"/>
        <v>42629.694803240738</v>
      </c>
    </row>
    <row r="162" spans="1:7" x14ac:dyDescent="0.25">
      <c r="A162" s="8">
        <v>42629.697511574072</v>
      </c>
      <c r="B162" s="23" t="s">
        <v>254</v>
      </c>
      <c r="C162" s="23" t="s">
        <v>541</v>
      </c>
      <c r="D162" s="23">
        <v>2350000</v>
      </c>
      <c r="E162" s="23" t="s">
        <v>287</v>
      </c>
      <c r="F162" s="23" t="str">
        <f t="shared" si="4"/>
        <v>rtdc.l.rtdc.4013:itc</v>
      </c>
      <c r="G162" s="8">
        <f t="shared" si="5"/>
        <v>42629.697511574072</v>
      </c>
    </row>
    <row r="163" spans="1:7" x14ac:dyDescent="0.25">
      <c r="A163" s="8">
        <v>42629.70548611111</v>
      </c>
      <c r="B163" s="23" t="s">
        <v>236</v>
      </c>
      <c r="C163" s="23" t="s">
        <v>542</v>
      </c>
      <c r="D163" s="23">
        <v>2040000</v>
      </c>
      <c r="E163" s="23" t="s">
        <v>303</v>
      </c>
      <c r="F163" s="23" t="str">
        <f t="shared" si="4"/>
        <v>rtdc.l.rtdc.4018:itc</v>
      </c>
      <c r="G163" s="8">
        <f t="shared" si="5"/>
        <v>42629.70548611111</v>
      </c>
    </row>
    <row r="164" spans="1:7" x14ac:dyDescent="0.25">
      <c r="A164" s="8">
        <v>42629.712094907409</v>
      </c>
      <c r="B164" s="23" t="s">
        <v>379</v>
      </c>
      <c r="C164" s="23" t="s">
        <v>543</v>
      </c>
      <c r="D164" s="23">
        <v>880000</v>
      </c>
      <c r="E164" s="23" t="s">
        <v>469</v>
      </c>
      <c r="F164" s="23" t="str">
        <f t="shared" si="4"/>
        <v>rtdc.l.rtdc.4001:itc</v>
      </c>
      <c r="G164" s="8">
        <f t="shared" si="5"/>
        <v>42629.712094907409</v>
      </c>
    </row>
    <row r="165" spans="1:7" x14ac:dyDescent="0.25">
      <c r="A165" s="8">
        <v>42629.714872685188</v>
      </c>
      <c r="B165" s="23" t="s">
        <v>378</v>
      </c>
      <c r="C165" s="23" t="s">
        <v>544</v>
      </c>
      <c r="D165" s="23">
        <v>1810000</v>
      </c>
      <c r="E165" s="23" t="s">
        <v>385</v>
      </c>
      <c r="F165" s="23" t="str">
        <f t="shared" si="4"/>
        <v>rtdc.l.rtdc.4032:itc</v>
      </c>
      <c r="G165" s="8">
        <f t="shared" si="5"/>
        <v>42629.714872685188</v>
      </c>
    </row>
    <row r="166" spans="1:7" x14ac:dyDescent="0.25">
      <c r="A166" s="8">
        <v>42629.716423611113</v>
      </c>
      <c r="B166" s="23" t="s">
        <v>388</v>
      </c>
      <c r="C166" s="23" t="s">
        <v>545</v>
      </c>
      <c r="D166" s="23">
        <v>2090000</v>
      </c>
      <c r="E166" s="23" t="s">
        <v>483</v>
      </c>
      <c r="F166" s="23" t="str">
        <f t="shared" si="4"/>
        <v>rtdc.l.rtdc.4003:itc</v>
      </c>
      <c r="G166" s="8">
        <f t="shared" si="5"/>
        <v>42629.716423611113</v>
      </c>
    </row>
    <row r="167" spans="1:7" x14ac:dyDescent="0.25">
      <c r="A167" s="8">
        <v>42629.721053240741</v>
      </c>
      <c r="B167" s="23" t="s">
        <v>301</v>
      </c>
      <c r="C167" s="23" t="s">
        <v>546</v>
      </c>
      <c r="D167" s="23">
        <v>930000</v>
      </c>
      <c r="E167" s="23" t="s">
        <v>496</v>
      </c>
      <c r="F167" s="23" t="str">
        <f t="shared" si="4"/>
        <v>rtdc.l.rtdc.4043:itc</v>
      </c>
      <c r="G167" s="8">
        <f t="shared" si="5"/>
        <v>42629.721053240741</v>
      </c>
    </row>
    <row r="168" spans="1:7" x14ac:dyDescent="0.25">
      <c r="A168" s="8">
        <v>42629.721736111111</v>
      </c>
      <c r="B168" s="23" t="s">
        <v>106</v>
      </c>
      <c r="C168" s="23" t="s">
        <v>547</v>
      </c>
      <c r="D168" s="23">
        <v>1540000</v>
      </c>
      <c r="E168" s="23" t="s">
        <v>548</v>
      </c>
      <c r="F168" s="23" t="str">
        <f t="shared" si="4"/>
        <v>rtdc.l.rtdc.4014:itc</v>
      </c>
      <c r="G168" s="8">
        <f t="shared" si="5"/>
        <v>42629.721736111111</v>
      </c>
    </row>
    <row r="169" spans="1:7" x14ac:dyDescent="0.25">
      <c r="A169" s="8">
        <v>42629.722916666666</v>
      </c>
      <c r="B169" s="23" t="s">
        <v>378</v>
      </c>
      <c r="C169" s="23" t="s">
        <v>544</v>
      </c>
      <c r="D169" s="23">
        <v>1810000</v>
      </c>
      <c r="E169" s="23" t="s">
        <v>385</v>
      </c>
      <c r="F169" s="23" t="str">
        <f t="shared" si="4"/>
        <v>rtdc.l.rtdc.4032:itc</v>
      </c>
      <c r="G169" s="8">
        <f t="shared" si="5"/>
        <v>42629.722916666666</v>
      </c>
    </row>
    <row r="170" spans="1:7" x14ac:dyDescent="0.25">
      <c r="A170" s="8">
        <v>42629.724872685183</v>
      </c>
      <c r="B170" s="23" t="s">
        <v>167</v>
      </c>
      <c r="C170" s="23" t="s">
        <v>549</v>
      </c>
      <c r="D170" s="23">
        <v>2150000</v>
      </c>
      <c r="E170" s="23" t="s">
        <v>487</v>
      </c>
      <c r="F170" s="23" t="str">
        <f t="shared" si="4"/>
        <v>rtdc.l.rtdc.4020:itc</v>
      </c>
      <c r="G170" s="8">
        <f t="shared" si="5"/>
        <v>42629.724872685183</v>
      </c>
    </row>
    <row r="171" spans="1:7" x14ac:dyDescent="0.25">
      <c r="A171" s="8">
        <v>42629.731469907405</v>
      </c>
      <c r="B171" s="23" t="s">
        <v>181</v>
      </c>
      <c r="C171" s="23" t="s">
        <v>550</v>
      </c>
      <c r="D171" s="23">
        <v>2110000</v>
      </c>
      <c r="E171" s="23" t="s">
        <v>249</v>
      </c>
      <c r="F171" s="23" t="str">
        <f t="shared" si="4"/>
        <v>rtdc.l.rtdc.4010:itc</v>
      </c>
      <c r="G171" s="8">
        <f t="shared" si="5"/>
        <v>42629.731469907405</v>
      </c>
    </row>
    <row r="172" spans="1:7" x14ac:dyDescent="0.25">
      <c r="A172" s="8">
        <v>42629.734895833331</v>
      </c>
      <c r="B172" s="23" t="s">
        <v>108</v>
      </c>
      <c r="C172" s="23" t="s">
        <v>551</v>
      </c>
      <c r="D172" s="23">
        <v>1810000</v>
      </c>
      <c r="E172" s="23" t="s">
        <v>385</v>
      </c>
      <c r="F172" s="23" t="str">
        <f t="shared" si="4"/>
        <v>rtdc.l.rtdc.4031:itc</v>
      </c>
      <c r="G172" s="8">
        <f t="shared" si="5"/>
        <v>42629.734895833331</v>
      </c>
    </row>
    <row r="173" spans="1:7" x14ac:dyDescent="0.25">
      <c r="A173" s="8">
        <v>42629.735034722224</v>
      </c>
      <c r="B173" s="23" t="s">
        <v>390</v>
      </c>
      <c r="C173" s="23" t="s">
        <v>552</v>
      </c>
      <c r="D173" s="23">
        <v>1230000</v>
      </c>
      <c r="E173" s="23" t="s">
        <v>553</v>
      </c>
      <c r="F173" s="23" t="str">
        <f t="shared" si="4"/>
        <v>rtdc.l.rtdc.4038:itc</v>
      </c>
      <c r="G173" s="8">
        <f t="shared" si="5"/>
        <v>42629.735034722224</v>
      </c>
    </row>
    <row r="174" spans="1:7" x14ac:dyDescent="0.25">
      <c r="A174" s="8">
        <v>42629.735509259262</v>
      </c>
      <c r="B174" s="23" t="s">
        <v>254</v>
      </c>
      <c r="C174" s="23" t="s">
        <v>554</v>
      </c>
      <c r="D174" s="23">
        <v>1540000</v>
      </c>
      <c r="E174" s="23" t="s">
        <v>548</v>
      </c>
      <c r="F174" s="23" t="str">
        <f t="shared" si="4"/>
        <v>rtdc.l.rtdc.4013:itc</v>
      </c>
      <c r="G174" s="8">
        <f t="shared" si="5"/>
        <v>42629.735509259262</v>
      </c>
    </row>
    <row r="175" spans="1:7" x14ac:dyDescent="0.25">
      <c r="A175" s="8">
        <v>42629.736689814818</v>
      </c>
      <c r="B175" s="23" t="s">
        <v>381</v>
      </c>
      <c r="C175" s="23" t="s">
        <v>555</v>
      </c>
      <c r="D175" s="23">
        <v>1800000</v>
      </c>
      <c r="E175" s="23" t="s">
        <v>556</v>
      </c>
      <c r="F175" s="23" t="str">
        <f t="shared" si="4"/>
        <v>rtdc.l.rtdc.4005:itc</v>
      </c>
      <c r="G175" s="8">
        <f t="shared" si="5"/>
        <v>42629.736689814818</v>
      </c>
    </row>
    <row r="176" spans="1:7" x14ac:dyDescent="0.25">
      <c r="A176" s="8">
        <v>42629.742893518516</v>
      </c>
      <c r="B176" s="23" t="s">
        <v>290</v>
      </c>
      <c r="C176" s="23" t="s">
        <v>557</v>
      </c>
      <c r="D176" s="23">
        <v>2040000</v>
      </c>
      <c r="E176" s="23" t="s">
        <v>303</v>
      </c>
      <c r="F176" s="23" t="str">
        <f t="shared" si="4"/>
        <v>rtdc.l.rtdc.4017:itc</v>
      </c>
      <c r="G176" s="8">
        <f t="shared" si="5"/>
        <v>42629.742893518516</v>
      </c>
    </row>
    <row r="177" spans="1:7" x14ac:dyDescent="0.25">
      <c r="A177" s="8">
        <v>42629.746261574073</v>
      </c>
      <c r="B177" s="23" t="s">
        <v>382</v>
      </c>
      <c r="C177" s="23" t="s">
        <v>558</v>
      </c>
      <c r="D177" s="23">
        <v>2220000</v>
      </c>
      <c r="E177" s="23" t="s">
        <v>296</v>
      </c>
      <c r="F177" s="23" t="str">
        <f t="shared" si="4"/>
        <v>rtdc.l.rtdc.4002:itc</v>
      </c>
      <c r="G177" s="8">
        <f t="shared" si="5"/>
        <v>42629.746261574073</v>
      </c>
    </row>
    <row r="178" spans="1:7" x14ac:dyDescent="0.25">
      <c r="A178" s="8">
        <v>42629.74728009259</v>
      </c>
      <c r="B178" s="23" t="s">
        <v>237</v>
      </c>
      <c r="C178" s="23" t="s">
        <v>462</v>
      </c>
      <c r="D178" s="23">
        <v>2260000</v>
      </c>
      <c r="E178" s="23" t="s">
        <v>132</v>
      </c>
      <c r="F178" s="23" t="str">
        <f t="shared" si="4"/>
        <v>rtdc.l.rtdc.4015:itc</v>
      </c>
      <c r="G178" s="8">
        <f t="shared" si="5"/>
        <v>42629.74728009259</v>
      </c>
    </row>
    <row r="179" spans="1:7" x14ac:dyDescent="0.25">
      <c r="A179" s="8">
        <v>42629.753622685188</v>
      </c>
      <c r="B179" s="23" t="s">
        <v>407</v>
      </c>
      <c r="C179" s="23" t="s">
        <v>559</v>
      </c>
      <c r="D179" s="23">
        <v>2090000</v>
      </c>
      <c r="E179" s="23" t="s">
        <v>483</v>
      </c>
      <c r="F179" s="23" t="str">
        <f t="shared" si="4"/>
        <v>rtdc.l.rtdc.4004:itc</v>
      </c>
      <c r="G179" s="8">
        <f t="shared" si="5"/>
        <v>42629.753622685188</v>
      </c>
    </row>
    <row r="180" spans="1:7" x14ac:dyDescent="0.25">
      <c r="A180" s="8">
        <v>42629.756053240744</v>
      </c>
      <c r="B180" s="23" t="s">
        <v>378</v>
      </c>
      <c r="C180" s="23" t="s">
        <v>560</v>
      </c>
      <c r="D180" s="23">
        <v>1810000</v>
      </c>
      <c r="E180" s="23" t="s">
        <v>385</v>
      </c>
      <c r="F180" s="23" t="str">
        <f t="shared" si="4"/>
        <v>rtdc.l.rtdc.4032:itc</v>
      </c>
      <c r="G180" s="8">
        <f t="shared" si="5"/>
        <v>42629.756053240744</v>
      </c>
    </row>
    <row r="181" spans="1:7" x14ac:dyDescent="0.25">
      <c r="A181" s="8">
        <v>42629.758726851855</v>
      </c>
      <c r="B181" s="23" t="s">
        <v>166</v>
      </c>
      <c r="C181" s="23" t="s">
        <v>561</v>
      </c>
      <c r="D181" s="23">
        <v>2150000</v>
      </c>
      <c r="E181" s="23" t="s">
        <v>487</v>
      </c>
      <c r="F181" s="23" t="str">
        <f t="shared" si="4"/>
        <v>rtdc.l.rtdc.4019:itc</v>
      </c>
      <c r="G181" s="8">
        <f t="shared" si="5"/>
        <v>42629.758726851855</v>
      </c>
    </row>
    <row r="182" spans="1:7" x14ac:dyDescent="0.25">
      <c r="A182" s="8">
        <v>42629.759895833333</v>
      </c>
      <c r="B182" s="23" t="s">
        <v>298</v>
      </c>
      <c r="C182" s="23" t="s">
        <v>562</v>
      </c>
      <c r="D182" s="23">
        <v>1800000</v>
      </c>
      <c r="E182" s="23" t="s">
        <v>556</v>
      </c>
      <c r="F182" s="23" t="str">
        <f t="shared" si="4"/>
        <v>rtdc.l.rtdc.4044:itc</v>
      </c>
      <c r="G182" s="8">
        <f t="shared" si="5"/>
        <v>42629.759895833333</v>
      </c>
    </row>
    <row r="183" spans="1:7" x14ac:dyDescent="0.25">
      <c r="A183" s="8">
        <v>42629.763796296298</v>
      </c>
      <c r="B183" s="23" t="s">
        <v>106</v>
      </c>
      <c r="C183" s="23" t="s">
        <v>563</v>
      </c>
      <c r="D183" s="23">
        <v>1540000</v>
      </c>
      <c r="E183" s="23" t="s">
        <v>548</v>
      </c>
      <c r="F183" s="23" t="str">
        <f t="shared" si="4"/>
        <v>rtdc.l.rtdc.4014:itc</v>
      </c>
      <c r="G183" s="8">
        <f t="shared" si="5"/>
        <v>42629.763796296298</v>
      </c>
    </row>
    <row r="184" spans="1:7" x14ac:dyDescent="0.25">
      <c r="A184" s="8">
        <v>42629.764247685183</v>
      </c>
      <c r="B184" s="23" t="s">
        <v>386</v>
      </c>
      <c r="C184" s="23" t="s">
        <v>564</v>
      </c>
      <c r="D184" s="23">
        <v>930000</v>
      </c>
      <c r="E184" s="23" t="s">
        <v>496</v>
      </c>
      <c r="F184" s="23" t="str">
        <f t="shared" si="4"/>
        <v>rtdc.l.rtdc.4006:itc</v>
      </c>
      <c r="G184" s="8">
        <f t="shared" si="5"/>
        <v>42629.764247685183</v>
      </c>
    </row>
    <row r="185" spans="1:7" x14ac:dyDescent="0.25">
      <c r="A185" s="8">
        <v>42629.765127314815</v>
      </c>
      <c r="B185" s="23" t="s">
        <v>386</v>
      </c>
      <c r="C185" s="23" t="s">
        <v>564</v>
      </c>
      <c r="D185" s="23">
        <v>930000</v>
      </c>
      <c r="E185" s="23" t="s">
        <v>496</v>
      </c>
      <c r="F185" s="23" t="str">
        <f t="shared" si="4"/>
        <v>rtdc.l.rtdc.4006:itc</v>
      </c>
      <c r="G185" s="8">
        <f t="shared" si="5"/>
        <v>42629.765127314815</v>
      </c>
    </row>
    <row r="186" spans="1:7" x14ac:dyDescent="0.25">
      <c r="A186" s="8">
        <v>42629.768541666665</v>
      </c>
      <c r="B186" s="23" t="s">
        <v>130</v>
      </c>
      <c r="C186" s="23" t="s">
        <v>565</v>
      </c>
      <c r="D186" s="23">
        <v>1480000</v>
      </c>
      <c r="E186" s="23" t="s">
        <v>304</v>
      </c>
      <c r="F186" s="23" t="str">
        <f t="shared" si="4"/>
        <v>rtdc.l.rtdc.4009:itc</v>
      </c>
      <c r="G186" s="8">
        <f t="shared" si="5"/>
        <v>42629.768541666665</v>
      </c>
    </row>
    <row r="187" spans="1:7" x14ac:dyDescent="0.25">
      <c r="A187" s="8">
        <v>42629.771331018521</v>
      </c>
      <c r="B187" s="23" t="s">
        <v>108</v>
      </c>
      <c r="C187" s="23" t="s">
        <v>566</v>
      </c>
      <c r="D187" s="23">
        <v>1810000</v>
      </c>
      <c r="E187" s="23" t="s">
        <v>385</v>
      </c>
      <c r="F187" s="23" t="str">
        <f t="shared" si="4"/>
        <v>rtdc.l.rtdc.4031:itc</v>
      </c>
      <c r="G187" s="8">
        <f t="shared" si="5"/>
        <v>42629.771331018521</v>
      </c>
    </row>
    <row r="188" spans="1:7" x14ac:dyDescent="0.25">
      <c r="A188" s="8">
        <v>42629.775451388887</v>
      </c>
      <c r="B188" s="23" t="s">
        <v>415</v>
      </c>
      <c r="C188" s="23" t="s">
        <v>567</v>
      </c>
      <c r="D188" s="23">
        <v>1230000</v>
      </c>
      <c r="E188" s="23" t="s">
        <v>553</v>
      </c>
      <c r="F188" s="23" t="str">
        <f t="shared" si="4"/>
        <v>rtdc.l.rtdc.4037:itc</v>
      </c>
      <c r="G188" s="8">
        <f t="shared" si="5"/>
        <v>42629.775451388887</v>
      </c>
    </row>
    <row r="189" spans="1:7" x14ac:dyDescent="0.25">
      <c r="A189" s="8">
        <v>42629.777569444443</v>
      </c>
      <c r="B189" s="23" t="s">
        <v>236</v>
      </c>
      <c r="C189" s="23" t="s">
        <v>568</v>
      </c>
      <c r="D189" s="23">
        <v>2040000</v>
      </c>
      <c r="E189" s="23" t="s">
        <v>303</v>
      </c>
      <c r="F189" s="23" t="str">
        <f t="shared" si="4"/>
        <v>rtdc.l.rtdc.4018:itc</v>
      </c>
      <c r="G189" s="8">
        <f t="shared" si="5"/>
        <v>42629.777569444443</v>
      </c>
    </row>
    <row r="190" spans="1:7" x14ac:dyDescent="0.25">
      <c r="A190" s="8">
        <v>42629.778113425928</v>
      </c>
      <c r="B190" s="23" t="s">
        <v>254</v>
      </c>
      <c r="C190" s="23" t="s">
        <v>569</v>
      </c>
      <c r="D190" s="23">
        <v>1540000</v>
      </c>
      <c r="E190" s="23" t="s">
        <v>548</v>
      </c>
      <c r="F190" s="23" t="str">
        <f t="shared" si="4"/>
        <v>rtdc.l.rtdc.4013:itc</v>
      </c>
      <c r="G190" s="8">
        <f t="shared" si="5"/>
        <v>42629.778113425928</v>
      </c>
    </row>
    <row r="191" spans="1:7" x14ac:dyDescent="0.25">
      <c r="A191" s="8">
        <v>42629.778831018521</v>
      </c>
      <c r="B191" s="23" t="s">
        <v>379</v>
      </c>
      <c r="C191" s="23" t="s">
        <v>570</v>
      </c>
      <c r="D191" s="23">
        <v>2220000</v>
      </c>
      <c r="E191" s="23" t="s">
        <v>296</v>
      </c>
      <c r="F191" s="23" t="str">
        <f t="shared" si="4"/>
        <v>rtdc.l.rtdc.4001:itc</v>
      </c>
      <c r="G191" s="8">
        <f t="shared" si="5"/>
        <v>42629.778831018521</v>
      </c>
    </row>
    <row r="192" spans="1:7" x14ac:dyDescent="0.25">
      <c r="A192" s="8">
        <v>42629.788449074076</v>
      </c>
      <c r="B192" s="23" t="s">
        <v>388</v>
      </c>
      <c r="C192" s="23" t="s">
        <v>571</v>
      </c>
      <c r="D192" s="23">
        <v>1300000</v>
      </c>
      <c r="E192" s="23" t="s">
        <v>123</v>
      </c>
      <c r="F192" s="23" t="str">
        <f t="shared" si="4"/>
        <v>rtdc.l.rtdc.4003:itc</v>
      </c>
      <c r="G192" s="8">
        <f t="shared" si="5"/>
        <v>42629.788449074076</v>
      </c>
    </row>
    <row r="193" spans="1:7" x14ac:dyDescent="0.25">
      <c r="A193" s="8">
        <v>42629.798206018517</v>
      </c>
      <c r="B193" s="23" t="s">
        <v>378</v>
      </c>
      <c r="C193" s="23" t="s">
        <v>572</v>
      </c>
      <c r="D193" s="23">
        <v>1810000</v>
      </c>
      <c r="E193" s="23" t="s">
        <v>385</v>
      </c>
      <c r="F193" s="23" t="str">
        <f t="shared" si="4"/>
        <v>rtdc.l.rtdc.4032:itc</v>
      </c>
      <c r="G193" s="8">
        <f t="shared" si="5"/>
        <v>42629.798206018517</v>
      </c>
    </row>
    <row r="194" spans="1:7" x14ac:dyDescent="0.25">
      <c r="A194" s="8">
        <v>42629.798344907409</v>
      </c>
      <c r="B194" s="23" t="s">
        <v>106</v>
      </c>
      <c r="C194" s="23" t="s">
        <v>573</v>
      </c>
      <c r="D194" s="23">
        <v>1540000</v>
      </c>
      <c r="E194" s="23" t="s">
        <v>548</v>
      </c>
      <c r="F194" s="23" t="str">
        <f t="shared" ref="F194:F235" si="6">B194</f>
        <v>rtdc.l.rtdc.4014:itc</v>
      </c>
      <c r="G194" s="8">
        <f t="shared" ref="G194:G235" si="7">A194</f>
        <v>42629.798344907409</v>
      </c>
    </row>
    <row r="195" spans="1:7" x14ac:dyDescent="0.25">
      <c r="A195" s="8">
        <v>42629.799502314818</v>
      </c>
      <c r="B195" s="23" t="s">
        <v>301</v>
      </c>
      <c r="C195" s="23" t="s">
        <v>574</v>
      </c>
      <c r="D195" s="23">
        <v>1800000</v>
      </c>
      <c r="E195" s="23" t="s">
        <v>556</v>
      </c>
      <c r="F195" s="23" t="str">
        <f t="shared" si="6"/>
        <v>rtdc.l.rtdc.4043:itc</v>
      </c>
      <c r="G195" s="8">
        <f t="shared" si="7"/>
        <v>42629.799502314818</v>
      </c>
    </row>
    <row r="196" spans="1:7" x14ac:dyDescent="0.25">
      <c r="A196" s="8">
        <v>42629.799641203703</v>
      </c>
      <c r="B196" s="23" t="s">
        <v>167</v>
      </c>
      <c r="C196" s="23" t="s">
        <v>575</v>
      </c>
      <c r="D196" s="23">
        <v>2150000</v>
      </c>
      <c r="E196" s="23" t="s">
        <v>487</v>
      </c>
      <c r="F196" s="23" t="str">
        <f t="shared" si="6"/>
        <v>rtdc.l.rtdc.4020:itc</v>
      </c>
      <c r="G196" s="8">
        <f t="shared" si="7"/>
        <v>42629.799641203703</v>
      </c>
    </row>
    <row r="197" spans="1:7" x14ac:dyDescent="0.25">
      <c r="A197" s="8">
        <v>42629.800706018519</v>
      </c>
      <c r="B197" s="23" t="s">
        <v>106</v>
      </c>
      <c r="C197" s="23" t="s">
        <v>573</v>
      </c>
      <c r="D197" s="23">
        <v>1540000</v>
      </c>
      <c r="E197" s="23" t="s">
        <v>548</v>
      </c>
      <c r="F197" s="23" t="str">
        <f t="shared" si="6"/>
        <v>rtdc.l.rtdc.4014:itc</v>
      </c>
      <c r="G197" s="8">
        <f t="shared" si="7"/>
        <v>42629.800706018519</v>
      </c>
    </row>
    <row r="198" spans="1:7" x14ac:dyDescent="0.25">
      <c r="A198" s="8">
        <v>42629.801203703704</v>
      </c>
      <c r="B198" s="23" t="s">
        <v>181</v>
      </c>
      <c r="C198" s="23" t="s">
        <v>576</v>
      </c>
      <c r="D198" s="23">
        <v>2370000</v>
      </c>
      <c r="E198" s="23" t="s">
        <v>248</v>
      </c>
      <c r="F198" s="23" t="str">
        <f t="shared" si="6"/>
        <v>rtdc.l.rtdc.4010:itc</v>
      </c>
      <c r="G198" s="8">
        <f t="shared" si="7"/>
        <v>42629.801203703704</v>
      </c>
    </row>
    <row r="199" spans="1:7" x14ac:dyDescent="0.25">
      <c r="A199" s="8">
        <v>42629.807118055556</v>
      </c>
      <c r="B199" s="23" t="s">
        <v>390</v>
      </c>
      <c r="C199" s="23" t="s">
        <v>577</v>
      </c>
      <c r="D199" s="23">
        <v>1230000</v>
      </c>
      <c r="E199" s="23" t="s">
        <v>553</v>
      </c>
      <c r="F199" s="23" t="str">
        <f t="shared" si="6"/>
        <v>rtdc.l.rtdc.4038:itc</v>
      </c>
      <c r="G199" s="8">
        <f t="shared" si="7"/>
        <v>42629.807118055556</v>
      </c>
    </row>
    <row r="200" spans="1:7" x14ac:dyDescent="0.25">
      <c r="A200" s="8">
        <v>42629.818969907406</v>
      </c>
      <c r="B200" s="23" t="s">
        <v>254</v>
      </c>
      <c r="C200" s="23" t="s">
        <v>578</v>
      </c>
      <c r="D200" s="23">
        <v>1540000</v>
      </c>
      <c r="E200" s="23" t="s">
        <v>548</v>
      </c>
      <c r="F200" s="23" t="str">
        <f t="shared" si="6"/>
        <v>rtdc.l.rtdc.4013:itc</v>
      </c>
      <c r="G200" s="8">
        <f t="shared" si="7"/>
        <v>42629.818969907406</v>
      </c>
    </row>
    <row r="201" spans="1:7" x14ac:dyDescent="0.25">
      <c r="A201" s="8">
        <v>42629.821064814816</v>
      </c>
      <c r="B201" s="23" t="s">
        <v>382</v>
      </c>
      <c r="C201" s="23" t="s">
        <v>579</v>
      </c>
      <c r="D201" s="23">
        <v>2220000</v>
      </c>
      <c r="E201" s="23" t="s">
        <v>296</v>
      </c>
      <c r="F201" s="23" t="str">
        <f t="shared" si="6"/>
        <v>rtdc.l.rtdc.4002:itc</v>
      </c>
      <c r="G201" s="8">
        <f t="shared" si="7"/>
        <v>42629.821064814816</v>
      </c>
    </row>
    <row r="202" spans="1:7" x14ac:dyDescent="0.25">
      <c r="A202" s="29">
        <v>42629.826111111113</v>
      </c>
      <c r="B202" s="23" t="s">
        <v>407</v>
      </c>
      <c r="C202" s="23" t="s">
        <v>580</v>
      </c>
      <c r="D202" s="23">
        <v>1300000</v>
      </c>
      <c r="E202" s="23" t="s">
        <v>123</v>
      </c>
      <c r="F202" s="23" t="str">
        <f t="shared" si="6"/>
        <v>rtdc.l.rtdc.4004:itc</v>
      </c>
      <c r="G202" s="8">
        <f t="shared" si="7"/>
        <v>42629.826111111113</v>
      </c>
    </row>
    <row r="203" spans="1:7" x14ac:dyDescent="0.25">
      <c r="A203" s="8">
        <v>42629.83121527778</v>
      </c>
      <c r="B203" s="23" t="s">
        <v>298</v>
      </c>
      <c r="C203" s="23" t="s">
        <v>581</v>
      </c>
      <c r="D203" s="23">
        <v>1800000</v>
      </c>
      <c r="E203" s="23" t="s">
        <v>556</v>
      </c>
      <c r="F203" s="23" t="str">
        <f t="shared" si="6"/>
        <v>rtdc.l.rtdc.4044:itc</v>
      </c>
      <c r="G203" s="8">
        <f t="shared" si="7"/>
        <v>42629.83121527778</v>
      </c>
    </row>
    <row r="204" spans="1:7" x14ac:dyDescent="0.25">
      <c r="A204" s="8">
        <v>42629.837500000001</v>
      </c>
      <c r="B204" s="23" t="s">
        <v>106</v>
      </c>
      <c r="C204" s="23" t="s">
        <v>582</v>
      </c>
      <c r="D204" s="23">
        <v>1540000</v>
      </c>
      <c r="E204" s="23" t="s">
        <v>548</v>
      </c>
      <c r="F204" s="23" t="str">
        <f t="shared" si="6"/>
        <v>rtdc.l.rtdc.4014:itc</v>
      </c>
      <c r="G204" s="8">
        <f t="shared" si="7"/>
        <v>42629.837500000001</v>
      </c>
    </row>
    <row r="205" spans="1:7" x14ac:dyDescent="0.25">
      <c r="A205" s="8">
        <v>42629.848483796297</v>
      </c>
      <c r="B205" s="23" t="s">
        <v>415</v>
      </c>
      <c r="C205" s="23" t="s">
        <v>583</v>
      </c>
      <c r="D205" s="23">
        <v>1230000</v>
      </c>
      <c r="E205" s="23" t="s">
        <v>553</v>
      </c>
      <c r="F205" s="23" t="str">
        <f t="shared" si="6"/>
        <v>rtdc.l.rtdc.4037:itc</v>
      </c>
      <c r="G205" s="8">
        <f t="shared" si="7"/>
        <v>42629.848483796297</v>
      </c>
    </row>
    <row r="206" spans="1:7" x14ac:dyDescent="0.25">
      <c r="A206" s="8">
        <v>42629.849328703705</v>
      </c>
      <c r="B206" s="23" t="s">
        <v>130</v>
      </c>
      <c r="C206" s="23" t="s">
        <v>584</v>
      </c>
      <c r="D206" s="23">
        <v>1480000</v>
      </c>
      <c r="E206" s="23" t="s">
        <v>304</v>
      </c>
      <c r="F206" s="23" t="str">
        <f t="shared" si="6"/>
        <v>rtdc.l.rtdc.4009:itc</v>
      </c>
      <c r="G206" s="8">
        <f t="shared" si="7"/>
        <v>42629.849328703705</v>
      </c>
    </row>
    <row r="207" spans="1:7" x14ac:dyDescent="0.25">
      <c r="A207" s="8">
        <v>42629.860300925924</v>
      </c>
      <c r="B207" s="23" t="s">
        <v>254</v>
      </c>
      <c r="C207" s="23" t="s">
        <v>585</v>
      </c>
      <c r="D207" s="23">
        <v>1540000</v>
      </c>
      <c r="E207" s="23" t="s">
        <v>548</v>
      </c>
      <c r="F207" s="23" t="str">
        <f t="shared" si="6"/>
        <v>rtdc.l.rtdc.4013:itc</v>
      </c>
      <c r="G207" s="8">
        <f t="shared" si="7"/>
        <v>42629.860300925924</v>
      </c>
    </row>
    <row r="208" spans="1:7" x14ac:dyDescent="0.25">
      <c r="A208" s="8">
        <v>42629.86996527778</v>
      </c>
      <c r="B208" s="23" t="s">
        <v>301</v>
      </c>
      <c r="C208" s="23" t="s">
        <v>586</v>
      </c>
      <c r="D208" s="23">
        <v>1800000</v>
      </c>
      <c r="E208" s="23" t="s">
        <v>556</v>
      </c>
      <c r="F208" s="23" t="str">
        <f t="shared" si="6"/>
        <v>rtdc.l.rtdc.4043:itc</v>
      </c>
      <c r="G208" s="8">
        <f t="shared" si="7"/>
        <v>42629.86996527778</v>
      </c>
    </row>
    <row r="209" spans="1:7" x14ac:dyDescent="0.25">
      <c r="A209" s="8">
        <v>42629.870613425926</v>
      </c>
      <c r="B209" s="23" t="s">
        <v>388</v>
      </c>
      <c r="C209" s="23" t="s">
        <v>587</v>
      </c>
      <c r="D209" s="23">
        <v>1300000</v>
      </c>
      <c r="E209" s="23" t="s">
        <v>123</v>
      </c>
      <c r="F209" s="23" t="str">
        <f t="shared" si="6"/>
        <v>rtdc.l.rtdc.4003:itc</v>
      </c>
      <c r="G209" s="8">
        <f t="shared" si="7"/>
        <v>42629.870613425926</v>
      </c>
    </row>
    <row r="210" spans="1:7" x14ac:dyDescent="0.25">
      <c r="A210" s="8">
        <v>42629.877418981479</v>
      </c>
      <c r="B210" s="23" t="s">
        <v>106</v>
      </c>
      <c r="C210" s="23" t="s">
        <v>588</v>
      </c>
      <c r="D210" s="23">
        <v>1810000</v>
      </c>
      <c r="E210" s="23" t="s">
        <v>385</v>
      </c>
      <c r="F210" s="23" t="str">
        <f t="shared" si="6"/>
        <v>rtdc.l.rtdc.4014:itc</v>
      </c>
      <c r="G210" s="8">
        <f t="shared" si="7"/>
        <v>42629.877418981479</v>
      </c>
    </row>
    <row r="211" spans="1:7" x14ac:dyDescent="0.25">
      <c r="A211" s="8">
        <v>42629.880868055552</v>
      </c>
      <c r="B211" s="23" t="s">
        <v>390</v>
      </c>
      <c r="C211" s="23" t="s">
        <v>589</v>
      </c>
      <c r="D211" s="23">
        <v>1230000</v>
      </c>
      <c r="E211" s="23" t="s">
        <v>553</v>
      </c>
      <c r="F211" s="23" t="str">
        <f t="shared" si="6"/>
        <v>rtdc.l.rtdc.4038:itc</v>
      </c>
      <c r="G211" s="8">
        <f t="shared" si="7"/>
        <v>42629.880868055552</v>
      </c>
    </row>
    <row r="212" spans="1:7" x14ac:dyDescent="0.25">
      <c r="A212" s="8">
        <v>42629.888483796298</v>
      </c>
      <c r="B212" s="23" t="s">
        <v>181</v>
      </c>
      <c r="C212" s="23" t="s">
        <v>590</v>
      </c>
      <c r="D212" s="23">
        <v>1480000</v>
      </c>
      <c r="E212" s="23" t="s">
        <v>304</v>
      </c>
      <c r="F212" s="23" t="str">
        <f t="shared" si="6"/>
        <v>rtdc.l.rtdc.4010:itc</v>
      </c>
      <c r="G212" s="8">
        <f t="shared" si="7"/>
        <v>42629.888483796298</v>
      </c>
    </row>
    <row r="213" spans="1:7" x14ac:dyDescent="0.25">
      <c r="A213" s="8">
        <v>42629.900775462964</v>
      </c>
      <c r="B213" s="23" t="s">
        <v>254</v>
      </c>
      <c r="C213" s="23" t="s">
        <v>591</v>
      </c>
      <c r="D213" s="23">
        <v>1810000</v>
      </c>
      <c r="E213" s="23" t="s">
        <v>385</v>
      </c>
      <c r="F213" s="23" t="str">
        <f t="shared" si="6"/>
        <v>rtdc.l.rtdc.4013:itc</v>
      </c>
      <c r="G213" s="8">
        <f t="shared" si="7"/>
        <v>42629.900775462964</v>
      </c>
    </row>
    <row r="214" spans="1:7" x14ac:dyDescent="0.25">
      <c r="A214" s="8">
        <v>42629.907673611109</v>
      </c>
      <c r="B214" s="23" t="s">
        <v>254</v>
      </c>
      <c r="C214" s="23" t="s">
        <v>591</v>
      </c>
      <c r="D214" s="23">
        <v>1810000</v>
      </c>
      <c r="E214" s="23" t="s">
        <v>385</v>
      </c>
      <c r="F214" s="23" t="str">
        <f t="shared" si="6"/>
        <v>rtdc.l.rtdc.4013:itc</v>
      </c>
      <c r="G214" s="8">
        <f t="shared" si="7"/>
        <v>42629.907673611109</v>
      </c>
    </row>
    <row r="215" spans="1:7" x14ac:dyDescent="0.25">
      <c r="A215" s="8">
        <v>42629.909675925926</v>
      </c>
      <c r="B215" s="23" t="s">
        <v>298</v>
      </c>
      <c r="C215" s="23" t="s">
        <v>592</v>
      </c>
      <c r="D215" s="23">
        <v>1800000</v>
      </c>
      <c r="E215" s="23" t="s">
        <v>556</v>
      </c>
      <c r="F215" s="23" t="str">
        <f t="shared" si="6"/>
        <v>rtdc.l.rtdc.4044:itc</v>
      </c>
      <c r="G215" s="8">
        <f t="shared" si="7"/>
        <v>42629.909675925926</v>
      </c>
    </row>
    <row r="216" spans="1:7" x14ac:dyDescent="0.25">
      <c r="A216" s="8">
        <v>42629.912349537037</v>
      </c>
      <c r="B216" s="23" t="s">
        <v>407</v>
      </c>
      <c r="C216" s="23" t="s">
        <v>593</v>
      </c>
      <c r="D216" s="23">
        <v>1300000</v>
      </c>
      <c r="E216" s="23" t="s">
        <v>123</v>
      </c>
      <c r="F216" s="23" t="str">
        <f t="shared" si="6"/>
        <v>rtdc.l.rtdc.4004:itc</v>
      </c>
      <c r="G216" s="8">
        <f t="shared" si="7"/>
        <v>42629.912349537037</v>
      </c>
    </row>
    <row r="217" spans="1:7" x14ac:dyDescent="0.25">
      <c r="A217" s="8">
        <v>42629.920671296299</v>
      </c>
      <c r="B217" s="23" t="s">
        <v>106</v>
      </c>
      <c r="C217" s="23" t="s">
        <v>594</v>
      </c>
      <c r="D217" s="23">
        <v>1810000</v>
      </c>
      <c r="E217" s="23" t="s">
        <v>385</v>
      </c>
      <c r="F217" s="23" t="str">
        <f t="shared" si="6"/>
        <v>rtdc.l.rtdc.4014:itc</v>
      </c>
      <c r="G217" s="8">
        <f t="shared" si="7"/>
        <v>42629.920671296299</v>
      </c>
    </row>
    <row r="218" spans="1:7" x14ac:dyDescent="0.25">
      <c r="A218" s="8">
        <v>42629.930358796293</v>
      </c>
      <c r="B218" s="23" t="s">
        <v>415</v>
      </c>
      <c r="C218" s="23" t="s">
        <v>595</v>
      </c>
      <c r="D218" s="23">
        <v>1230000</v>
      </c>
      <c r="E218" s="23" t="s">
        <v>553</v>
      </c>
      <c r="F218" s="23" t="str">
        <f t="shared" si="6"/>
        <v>rtdc.l.rtdc.4037:itc</v>
      </c>
      <c r="G218" s="8">
        <f t="shared" si="7"/>
        <v>42629.930358796293</v>
      </c>
    </row>
    <row r="219" spans="1:7" x14ac:dyDescent="0.25">
      <c r="A219" s="8">
        <v>42629.931712962964</v>
      </c>
      <c r="B219" s="23" t="s">
        <v>130</v>
      </c>
      <c r="C219" s="23" t="s">
        <v>596</v>
      </c>
      <c r="D219" s="23">
        <v>1480000</v>
      </c>
      <c r="E219" s="23" t="s">
        <v>304</v>
      </c>
      <c r="F219" s="23" t="str">
        <f t="shared" si="6"/>
        <v>rtdc.l.rtdc.4009:itc</v>
      </c>
      <c r="G219" s="8">
        <f t="shared" si="7"/>
        <v>42629.931712962964</v>
      </c>
    </row>
    <row r="220" spans="1:7" x14ac:dyDescent="0.25">
      <c r="A220" s="8">
        <v>42629.942696759259</v>
      </c>
      <c r="B220" s="23" t="s">
        <v>254</v>
      </c>
      <c r="C220" s="23" t="s">
        <v>597</v>
      </c>
      <c r="D220" s="23">
        <v>1810000</v>
      </c>
      <c r="E220" s="23" t="s">
        <v>385</v>
      </c>
      <c r="F220" s="23" t="str">
        <f t="shared" si="6"/>
        <v>rtdc.l.rtdc.4013:itc</v>
      </c>
      <c r="G220" s="8">
        <f t="shared" si="7"/>
        <v>42629.942696759259</v>
      </c>
    </row>
    <row r="221" spans="1:7" x14ac:dyDescent="0.25">
      <c r="A221" s="8">
        <v>42629.953587962962</v>
      </c>
      <c r="B221" s="23" t="s">
        <v>388</v>
      </c>
      <c r="C221" s="23" t="s">
        <v>598</v>
      </c>
      <c r="D221" s="23">
        <v>1300000</v>
      </c>
      <c r="E221" s="23" t="s">
        <v>123</v>
      </c>
      <c r="F221" s="23" t="str">
        <f t="shared" si="6"/>
        <v>rtdc.l.rtdc.4003:itc</v>
      </c>
      <c r="G221" s="8">
        <f t="shared" si="7"/>
        <v>42629.953587962962</v>
      </c>
    </row>
    <row r="222" spans="1:7" x14ac:dyDescent="0.25">
      <c r="A222" s="8">
        <v>42629.953993055555</v>
      </c>
      <c r="B222" s="23" t="s">
        <v>301</v>
      </c>
      <c r="C222" s="23" t="s">
        <v>599</v>
      </c>
      <c r="D222" s="23">
        <v>1800000</v>
      </c>
      <c r="E222" s="23" t="s">
        <v>556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181</v>
      </c>
      <c r="C223" s="23" t="s">
        <v>600</v>
      </c>
      <c r="D223" s="23">
        <v>1480000</v>
      </c>
      <c r="E223" s="23" t="s">
        <v>304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390</v>
      </c>
      <c r="C224" t="s">
        <v>601</v>
      </c>
      <c r="D224">
        <v>1230000</v>
      </c>
      <c r="E224" t="s">
        <v>553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390</v>
      </c>
      <c r="C225" t="s">
        <v>601</v>
      </c>
      <c r="D225">
        <v>1230000</v>
      </c>
      <c r="E225" t="s">
        <v>553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407</v>
      </c>
      <c r="C226" t="s">
        <v>602</v>
      </c>
      <c r="D226">
        <v>1300000</v>
      </c>
      <c r="E226" t="s">
        <v>123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298</v>
      </c>
      <c r="C227" t="s">
        <v>603</v>
      </c>
      <c r="D227">
        <v>1800000</v>
      </c>
      <c r="E227" t="s">
        <v>556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181</v>
      </c>
      <c r="C228" t="s">
        <v>600</v>
      </c>
      <c r="D228">
        <v>1480000</v>
      </c>
      <c r="E228" t="s">
        <v>304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415</v>
      </c>
      <c r="C229" t="s">
        <v>604</v>
      </c>
      <c r="D229">
        <v>1230000</v>
      </c>
      <c r="E229" t="s">
        <v>553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130</v>
      </c>
      <c r="C230" t="s">
        <v>605</v>
      </c>
      <c r="D230">
        <v>1480000</v>
      </c>
      <c r="E230" t="s">
        <v>304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388</v>
      </c>
      <c r="C231" t="s">
        <v>606</v>
      </c>
      <c r="D231">
        <v>1300000</v>
      </c>
      <c r="E231" t="s">
        <v>123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301</v>
      </c>
      <c r="C232" t="s">
        <v>607</v>
      </c>
      <c r="D232">
        <v>1800000</v>
      </c>
      <c r="E232" t="s">
        <v>556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390</v>
      </c>
      <c r="C233" t="s">
        <v>608</v>
      </c>
      <c r="D233">
        <v>1230000</v>
      </c>
      <c r="E233" t="s">
        <v>553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181</v>
      </c>
      <c r="C234" t="s">
        <v>609</v>
      </c>
      <c r="D234">
        <v>1480000</v>
      </c>
      <c r="E234" t="s">
        <v>304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407</v>
      </c>
      <c r="C235" t="s">
        <v>610</v>
      </c>
      <c r="D235">
        <v>1300000</v>
      </c>
      <c r="E235" t="s">
        <v>123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298</v>
      </c>
      <c r="C236" t="s">
        <v>611</v>
      </c>
      <c r="D236">
        <v>1800000</v>
      </c>
      <c r="E236" t="s">
        <v>556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130</v>
      </c>
      <c r="C237" t="s">
        <v>612</v>
      </c>
      <c r="D237">
        <v>1480000</v>
      </c>
      <c r="E237" t="s">
        <v>304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388</v>
      </c>
      <c r="C238" t="s">
        <v>613</v>
      </c>
      <c r="D238">
        <v>1300000</v>
      </c>
      <c r="E238" t="s">
        <v>123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166</v>
      </c>
      <c r="C240" t="s">
        <v>187</v>
      </c>
      <c r="D240">
        <v>1300000</v>
      </c>
      <c r="E240" t="s">
        <v>123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130</v>
      </c>
      <c r="C241" t="s">
        <v>188</v>
      </c>
      <c r="D241">
        <v>2260000</v>
      </c>
      <c r="E241" t="s">
        <v>132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180</v>
      </c>
      <c r="C242" t="s">
        <v>189</v>
      </c>
      <c r="D242">
        <v>1200000</v>
      </c>
      <c r="E242" t="s">
        <v>186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174</v>
      </c>
      <c r="C243" t="s">
        <v>190</v>
      </c>
      <c r="D243">
        <v>2000000</v>
      </c>
      <c r="E243" t="s">
        <v>124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167</v>
      </c>
      <c r="C244" t="s">
        <v>191</v>
      </c>
      <c r="D244">
        <v>1300000</v>
      </c>
      <c r="E244" t="s">
        <v>123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181</v>
      </c>
      <c r="C245" t="s">
        <v>192</v>
      </c>
      <c r="D245">
        <v>2260000</v>
      </c>
      <c r="E245" t="s">
        <v>132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175</v>
      </c>
      <c r="C246" t="s">
        <v>193</v>
      </c>
      <c r="D246">
        <v>2000000</v>
      </c>
      <c r="E246" t="s">
        <v>124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182</v>
      </c>
      <c r="C247" t="s">
        <v>194</v>
      </c>
      <c r="D247">
        <v>1290000</v>
      </c>
      <c r="E247" t="s">
        <v>176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130</v>
      </c>
      <c r="C248" t="s">
        <v>195</v>
      </c>
      <c r="D248">
        <v>2260000</v>
      </c>
      <c r="E248" t="s">
        <v>132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130</v>
      </c>
      <c r="C249" t="s">
        <v>195</v>
      </c>
      <c r="D249">
        <v>2260000</v>
      </c>
      <c r="E249" t="s">
        <v>132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166</v>
      </c>
      <c r="C250" t="s">
        <v>196</v>
      </c>
      <c r="D250">
        <v>1300000</v>
      </c>
      <c r="E250" t="s">
        <v>123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130</v>
      </c>
      <c r="C251" t="s">
        <v>195</v>
      </c>
      <c r="D251">
        <v>2260000</v>
      </c>
      <c r="E251" t="s">
        <v>132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177</v>
      </c>
      <c r="C252" t="s">
        <v>197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174</v>
      </c>
      <c r="C253" t="s">
        <v>193</v>
      </c>
      <c r="D253">
        <v>2000000</v>
      </c>
      <c r="E253" t="s">
        <v>124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180</v>
      </c>
      <c r="C254" t="s">
        <v>198</v>
      </c>
      <c r="D254">
        <v>1290000</v>
      </c>
      <c r="E254" t="s">
        <v>176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178</v>
      </c>
      <c r="C255" t="s">
        <v>199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177</v>
      </c>
      <c r="C256" t="s">
        <v>197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185</v>
      </c>
      <c r="C257" t="s">
        <v>200</v>
      </c>
      <c r="D257">
        <v>1290000</v>
      </c>
      <c r="E257" t="s">
        <v>176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178</v>
      </c>
      <c r="C258" t="s">
        <v>199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H19" sqref="H19:L22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209</v>
      </c>
      <c r="B1" s="155" t="s">
        <v>212</v>
      </c>
      <c r="C1" s="155" t="s">
        <v>205</v>
      </c>
      <c r="D1" s="155" t="s">
        <v>247</v>
      </c>
      <c r="E1" s="155" t="s">
        <v>206</v>
      </c>
      <c r="F1" s="155" t="s">
        <v>204</v>
      </c>
      <c r="G1" s="155" t="s">
        <v>202</v>
      </c>
      <c r="H1" s="155" t="s">
        <v>215</v>
      </c>
      <c r="I1" s="155" t="s">
        <v>216</v>
      </c>
      <c r="J1" s="155" t="s">
        <v>261</v>
      </c>
      <c r="K1" s="155" t="s">
        <v>210</v>
      </c>
      <c r="L1" s="155" t="s">
        <v>208</v>
      </c>
      <c r="M1" s="155" t="s">
        <v>203</v>
      </c>
      <c r="N1" s="155" t="s">
        <v>213</v>
      </c>
      <c r="O1" s="155" t="s">
        <v>207</v>
      </c>
      <c r="P1" s="155" t="s">
        <v>214</v>
      </c>
      <c r="Q1" s="155" t="s">
        <v>211</v>
      </c>
    </row>
    <row r="2" spans="1:17" x14ac:dyDescent="0.25">
      <c r="A2" s="154">
        <v>55.38</v>
      </c>
      <c r="B2" s="154">
        <v>0.42</v>
      </c>
      <c r="C2" s="154">
        <v>42.41</v>
      </c>
      <c r="D2" s="169">
        <v>42629</v>
      </c>
      <c r="E2" s="154">
        <v>0.62</v>
      </c>
      <c r="F2" s="154" t="s">
        <v>263</v>
      </c>
      <c r="G2" s="154">
        <v>292.69</v>
      </c>
      <c r="H2" s="154">
        <v>2E-3</v>
      </c>
      <c r="I2" s="154">
        <v>0.04</v>
      </c>
      <c r="J2" s="154" t="s">
        <v>262</v>
      </c>
      <c r="K2" s="154">
        <v>1018.57</v>
      </c>
      <c r="L2" s="154" t="s">
        <v>201</v>
      </c>
      <c r="M2" s="154">
        <v>55.38</v>
      </c>
      <c r="N2" s="154">
        <v>1474005600</v>
      </c>
      <c r="O2" s="154">
        <v>7.88</v>
      </c>
      <c r="P2" s="154">
        <v>18</v>
      </c>
      <c r="Q2" s="154">
        <v>0.5</v>
      </c>
    </row>
    <row r="3" spans="1:17" x14ac:dyDescent="0.25">
      <c r="A3" s="154">
        <v>52.66</v>
      </c>
      <c r="B3" s="154">
        <v>0.35</v>
      </c>
      <c r="C3" s="154">
        <v>40.56</v>
      </c>
      <c r="D3" s="169">
        <v>42629.041666666664</v>
      </c>
      <c r="E3" s="154">
        <v>0.63</v>
      </c>
      <c r="F3" s="154" t="s">
        <v>263</v>
      </c>
      <c r="G3" s="154">
        <v>292.45</v>
      </c>
      <c r="H3" s="154">
        <v>1.4E-3</v>
      </c>
      <c r="I3" s="154">
        <v>0.02</v>
      </c>
      <c r="J3" s="154" t="s">
        <v>262</v>
      </c>
      <c r="K3" s="154">
        <v>1018.94</v>
      </c>
      <c r="L3" s="154" t="s">
        <v>201</v>
      </c>
      <c r="M3" s="154">
        <v>52.66</v>
      </c>
      <c r="N3" s="154">
        <v>1474009200</v>
      </c>
      <c r="O3" s="154">
        <v>8.14</v>
      </c>
      <c r="P3" s="154">
        <v>177</v>
      </c>
      <c r="Q3" s="154">
        <v>0.21</v>
      </c>
    </row>
    <row r="4" spans="1:17" x14ac:dyDescent="0.25">
      <c r="A4" s="154">
        <v>51.06</v>
      </c>
      <c r="B4" s="154">
        <v>0.26</v>
      </c>
      <c r="C4" s="154">
        <v>40.090000000000003</v>
      </c>
      <c r="D4" s="169">
        <v>42629.083333333336</v>
      </c>
      <c r="E4" s="154">
        <v>0.66</v>
      </c>
      <c r="F4" s="154" t="s">
        <v>263</v>
      </c>
      <c r="G4" s="154">
        <v>292.20999999999998</v>
      </c>
      <c r="H4" s="154">
        <v>0</v>
      </c>
      <c r="I4" s="154">
        <v>0</v>
      </c>
      <c r="K4" s="154">
        <v>1019.31</v>
      </c>
      <c r="L4" s="154" t="s">
        <v>201</v>
      </c>
      <c r="M4" s="154">
        <v>51.06</v>
      </c>
      <c r="N4" s="154">
        <v>1474012800</v>
      </c>
      <c r="O4" s="154">
        <v>8.18</v>
      </c>
      <c r="P4" s="154">
        <v>202</v>
      </c>
      <c r="Q4" s="154">
        <v>0.97</v>
      </c>
    </row>
    <row r="5" spans="1:17" x14ac:dyDescent="0.25">
      <c r="A5" s="154">
        <v>49.76</v>
      </c>
      <c r="B5" s="154">
        <v>0.15</v>
      </c>
      <c r="C5" s="154">
        <v>39.799999999999997</v>
      </c>
      <c r="D5" s="169">
        <v>42629.125</v>
      </c>
      <c r="E5" s="154">
        <v>0.68</v>
      </c>
      <c r="F5" s="154" t="s">
        <v>324</v>
      </c>
      <c r="G5" s="154">
        <v>291.98</v>
      </c>
      <c r="H5" s="154">
        <v>0</v>
      </c>
      <c r="I5" s="154">
        <v>0</v>
      </c>
      <c r="K5" s="154">
        <v>1019.66</v>
      </c>
      <c r="L5" s="154" t="s">
        <v>325</v>
      </c>
      <c r="M5" s="154">
        <v>49.76</v>
      </c>
      <c r="N5" s="154">
        <v>1474016400</v>
      </c>
      <c r="O5" s="154">
        <v>7.99</v>
      </c>
      <c r="P5" s="154">
        <v>193</v>
      </c>
      <c r="Q5" s="154">
        <v>1.63</v>
      </c>
    </row>
    <row r="6" spans="1:17" x14ac:dyDescent="0.25">
      <c r="A6" s="154">
        <v>48.31</v>
      </c>
      <c r="B6" s="154">
        <v>0.15</v>
      </c>
      <c r="C6" s="154">
        <v>38.79</v>
      </c>
      <c r="D6" s="169">
        <v>42629.166666666664</v>
      </c>
      <c r="E6" s="154">
        <v>0.69</v>
      </c>
      <c r="F6" s="154" t="s">
        <v>324</v>
      </c>
      <c r="G6" s="154">
        <v>291.61</v>
      </c>
      <c r="H6" s="154">
        <v>0</v>
      </c>
      <c r="I6" s="154">
        <v>0</v>
      </c>
      <c r="K6" s="154">
        <v>1019.98</v>
      </c>
      <c r="L6" s="154" t="s">
        <v>325</v>
      </c>
      <c r="M6" s="154">
        <v>48.31</v>
      </c>
      <c r="N6" s="154">
        <v>1474020000</v>
      </c>
      <c r="O6" s="154">
        <v>8.2100000000000009</v>
      </c>
      <c r="P6" s="154">
        <v>196</v>
      </c>
      <c r="Q6" s="154">
        <v>2.0699999999999998</v>
      </c>
    </row>
    <row r="7" spans="1:17" x14ac:dyDescent="0.25">
      <c r="A7" s="154">
        <v>47.55</v>
      </c>
      <c r="B7" s="154">
        <v>0.17</v>
      </c>
      <c r="C7" s="154">
        <v>38.61</v>
      </c>
      <c r="D7" s="169">
        <v>42629.208333333336</v>
      </c>
      <c r="E7" s="154">
        <v>0.71</v>
      </c>
      <c r="F7" s="154" t="s">
        <v>324</v>
      </c>
      <c r="G7" s="154">
        <v>291.23</v>
      </c>
      <c r="H7" s="154">
        <v>0</v>
      </c>
      <c r="I7" s="154">
        <v>0</v>
      </c>
      <c r="K7" s="154">
        <v>1020.28</v>
      </c>
      <c r="L7" s="154" t="s">
        <v>325</v>
      </c>
      <c r="M7" s="154">
        <v>47.55</v>
      </c>
      <c r="N7" s="154">
        <v>1474023600</v>
      </c>
      <c r="O7" s="154">
        <v>7.98</v>
      </c>
      <c r="P7" s="154">
        <v>196</v>
      </c>
      <c r="Q7" s="154">
        <v>2.82</v>
      </c>
    </row>
    <row r="8" spans="1:17" x14ac:dyDescent="0.25">
      <c r="A8" s="154">
        <v>47.23</v>
      </c>
      <c r="B8" s="154">
        <v>0.2</v>
      </c>
      <c r="C8" s="154">
        <v>38.14</v>
      </c>
      <c r="D8" s="169">
        <v>42629.25</v>
      </c>
      <c r="E8" s="154">
        <v>0.71</v>
      </c>
      <c r="F8" s="154" t="s">
        <v>324</v>
      </c>
      <c r="G8" s="154">
        <v>291.07</v>
      </c>
      <c r="H8" s="154">
        <v>0</v>
      </c>
      <c r="I8" s="154">
        <v>0</v>
      </c>
      <c r="K8" s="154">
        <v>1020.41</v>
      </c>
      <c r="L8" s="154" t="s">
        <v>325</v>
      </c>
      <c r="M8" s="154">
        <v>47.23</v>
      </c>
      <c r="N8" s="154">
        <v>1474027200</v>
      </c>
      <c r="O8" s="154">
        <v>7.08</v>
      </c>
      <c r="P8" s="154">
        <v>203</v>
      </c>
      <c r="Q8" s="154">
        <v>2.83</v>
      </c>
    </row>
    <row r="9" spans="1:17" x14ac:dyDescent="0.25">
      <c r="A9" s="154">
        <v>48.3</v>
      </c>
      <c r="B9" s="154">
        <v>0.17</v>
      </c>
      <c r="C9" s="154">
        <v>38.29</v>
      </c>
      <c r="D9" s="169">
        <v>42629.291666666664</v>
      </c>
      <c r="E9" s="154">
        <v>0.68</v>
      </c>
      <c r="F9" s="154" t="s">
        <v>387</v>
      </c>
      <c r="G9" s="154">
        <v>291.29000000000002</v>
      </c>
      <c r="H9" s="154">
        <v>0</v>
      </c>
      <c r="I9" s="154">
        <v>0</v>
      </c>
      <c r="K9" s="154">
        <v>1020.24</v>
      </c>
      <c r="L9" s="154" t="s">
        <v>325</v>
      </c>
      <c r="M9" s="154">
        <v>48.3</v>
      </c>
      <c r="N9" s="154">
        <v>1474030800</v>
      </c>
      <c r="O9" s="154">
        <v>6.52</v>
      </c>
      <c r="P9" s="154">
        <v>196</v>
      </c>
      <c r="Q9" s="154">
        <v>2.58</v>
      </c>
    </row>
    <row r="10" spans="1:17" x14ac:dyDescent="0.25">
      <c r="A10" s="154">
        <v>51.47</v>
      </c>
      <c r="B10" s="154">
        <v>0.21</v>
      </c>
      <c r="C10" s="154">
        <v>38.64</v>
      </c>
      <c r="D10" s="169">
        <v>42629.333333333336</v>
      </c>
      <c r="E10" s="154">
        <v>0.61</v>
      </c>
      <c r="F10" s="154" t="s">
        <v>387</v>
      </c>
      <c r="G10" s="154">
        <v>291.75</v>
      </c>
      <c r="H10" s="154">
        <v>0</v>
      </c>
      <c r="I10" s="154">
        <v>0</v>
      </c>
      <c r="K10" s="154">
        <v>1019.85</v>
      </c>
      <c r="L10" s="154" t="s">
        <v>325</v>
      </c>
      <c r="M10" s="154">
        <v>51.47</v>
      </c>
      <c r="N10" s="154">
        <v>1474034400</v>
      </c>
      <c r="O10" s="154">
        <v>6.23</v>
      </c>
      <c r="P10" s="154">
        <v>191</v>
      </c>
      <c r="Q10" s="154">
        <v>2.66</v>
      </c>
    </row>
    <row r="11" spans="1:17" x14ac:dyDescent="0.25">
      <c r="A11" s="154">
        <v>55.45</v>
      </c>
      <c r="B11" s="154">
        <v>0.22</v>
      </c>
      <c r="C11" s="154">
        <v>38.22</v>
      </c>
      <c r="D11" s="169">
        <v>42629.375</v>
      </c>
      <c r="E11" s="154">
        <v>0.52</v>
      </c>
      <c r="F11" s="154" t="s">
        <v>387</v>
      </c>
      <c r="G11" s="154">
        <v>292.29000000000002</v>
      </c>
      <c r="H11" s="154">
        <v>0</v>
      </c>
      <c r="I11" s="154">
        <v>0</v>
      </c>
      <c r="K11" s="154">
        <v>1019.38</v>
      </c>
      <c r="L11" s="154" t="s">
        <v>325</v>
      </c>
      <c r="M11" s="154">
        <v>55.45</v>
      </c>
      <c r="N11" s="154">
        <v>1474038000</v>
      </c>
      <c r="O11" s="154">
        <v>6.16</v>
      </c>
      <c r="P11" s="154">
        <v>172</v>
      </c>
      <c r="Q11" s="154">
        <v>2.2200000000000002</v>
      </c>
    </row>
    <row r="12" spans="1:17" x14ac:dyDescent="0.25">
      <c r="A12" s="154">
        <v>59.56</v>
      </c>
      <c r="B12" s="154">
        <v>0.21</v>
      </c>
      <c r="C12" s="154">
        <v>38.26</v>
      </c>
      <c r="D12" s="169">
        <v>42629.416666666664</v>
      </c>
      <c r="E12" s="154">
        <v>0.45</v>
      </c>
      <c r="F12" s="154" t="s">
        <v>387</v>
      </c>
      <c r="G12" s="154">
        <v>293.06</v>
      </c>
      <c r="H12" s="154">
        <v>0</v>
      </c>
      <c r="I12" s="154">
        <v>0</v>
      </c>
      <c r="K12" s="154">
        <v>1018.66</v>
      </c>
      <c r="L12" s="154" t="s">
        <v>325</v>
      </c>
      <c r="M12" s="154">
        <v>59.56</v>
      </c>
      <c r="N12" s="154">
        <v>1474041600</v>
      </c>
      <c r="O12" s="154">
        <v>5.61</v>
      </c>
      <c r="P12" s="154">
        <v>127</v>
      </c>
      <c r="Q12" s="154">
        <v>1.89</v>
      </c>
    </row>
    <row r="13" spans="1:17" x14ac:dyDescent="0.25">
      <c r="A13" s="154">
        <v>64.19</v>
      </c>
      <c r="B13" s="154">
        <v>0.17</v>
      </c>
      <c r="C13" s="154">
        <v>39.29</v>
      </c>
      <c r="D13" s="169">
        <v>42629.458333333336</v>
      </c>
      <c r="E13" s="154">
        <v>0.4</v>
      </c>
      <c r="F13" s="154" t="s">
        <v>387</v>
      </c>
      <c r="G13" s="154">
        <v>293.93</v>
      </c>
      <c r="H13" s="154">
        <v>0</v>
      </c>
      <c r="I13" s="154">
        <v>0</v>
      </c>
      <c r="K13" s="154">
        <v>1017.69</v>
      </c>
      <c r="L13" s="154" t="s">
        <v>325</v>
      </c>
      <c r="M13" s="154">
        <v>64.19</v>
      </c>
      <c r="N13" s="154">
        <v>1474045200</v>
      </c>
      <c r="O13" s="154">
        <v>4.37</v>
      </c>
      <c r="P13" s="154">
        <v>75</v>
      </c>
      <c r="Q13" s="154">
        <v>2.29</v>
      </c>
    </row>
    <row r="14" spans="1:17" x14ac:dyDescent="0.25">
      <c r="A14" s="154">
        <v>67.08</v>
      </c>
      <c r="B14" s="154">
        <v>0.18</v>
      </c>
      <c r="C14" s="154">
        <v>39.4</v>
      </c>
      <c r="D14" s="169">
        <v>42629.5</v>
      </c>
      <c r="E14" s="154">
        <v>0.36</v>
      </c>
      <c r="F14" s="154" t="s">
        <v>387</v>
      </c>
      <c r="G14" s="154">
        <v>294.31</v>
      </c>
      <c r="H14" s="154">
        <v>0</v>
      </c>
      <c r="I14" s="154">
        <v>0</v>
      </c>
      <c r="K14" s="154">
        <v>1016.85</v>
      </c>
      <c r="L14" s="154" t="s">
        <v>325</v>
      </c>
      <c r="M14" s="154">
        <v>67.08</v>
      </c>
      <c r="N14" s="154">
        <v>1474048800</v>
      </c>
      <c r="O14" s="154">
        <v>3.84</v>
      </c>
      <c r="P14" s="154">
        <v>73</v>
      </c>
      <c r="Q14" s="154">
        <v>2.8</v>
      </c>
    </row>
    <row r="15" spans="1:17" x14ac:dyDescent="0.25">
      <c r="A15" s="154">
        <v>69.44</v>
      </c>
      <c r="B15" s="154">
        <v>0.18</v>
      </c>
      <c r="C15" s="154">
        <v>38.79</v>
      </c>
      <c r="D15" s="169">
        <v>42629.541666666664</v>
      </c>
      <c r="E15" s="154">
        <v>0.33</v>
      </c>
      <c r="F15" s="154" t="s">
        <v>387</v>
      </c>
      <c r="G15" s="154">
        <v>293.81</v>
      </c>
      <c r="H15" s="154">
        <v>0</v>
      </c>
      <c r="I15" s="154">
        <v>0</v>
      </c>
      <c r="K15" s="154">
        <v>1016.11</v>
      </c>
      <c r="L15" s="154" t="s">
        <v>325</v>
      </c>
      <c r="M15" s="154">
        <v>69.44</v>
      </c>
      <c r="N15" s="154">
        <v>1474052400</v>
      </c>
      <c r="O15" s="154">
        <v>3.97</v>
      </c>
      <c r="P15" s="154">
        <v>61</v>
      </c>
      <c r="Q15" s="154">
        <v>3.61</v>
      </c>
    </row>
    <row r="16" spans="1:17" x14ac:dyDescent="0.25">
      <c r="A16" s="154">
        <v>70.430000000000007</v>
      </c>
      <c r="B16" s="154">
        <v>0.18</v>
      </c>
      <c r="C16" s="154">
        <v>39.64</v>
      </c>
      <c r="D16" s="169">
        <v>42629.583333333336</v>
      </c>
      <c r="E16" s="154">
        <v>0.33</v>
      </c>
      <c r="F16" s="154" t="s">
        <v>387</v>
      </c>
      <c r="G16" s="154">
        <v>292.83999999999997</v>
      </c>
      <c r="H16" s="154">
        <v>0</v>
      </c>
      <c r="I16" s="154">
        <v>0</v>
      </c>
      <c r="K16" s="154">
        <v>1015.38</v>
      </c>
      <c r="L16" s="154" t="s">
        <v>325</v>
      </c>
      <c r="M16" s="154">
        <v>70.430000000000007</v>
      </c>
      <c r="N16" s="154">
        <v>1474056000</v>
      </c>
      <c r="O16" s="154">
        <v>4.05</v>
      </c>
      <c r="P16" s="154">
        <v>55</v>
      </c>
      <c r="Q16" s="154">
        <v>4.5599999999999996</v>
      </c>
    </row>
    <row r="17" spans="1:17" x14ac:dyDescent="0.25">
      <c r="A17" s="154">
        <v>71.569999999999993</v>
      </c>
      <c r="B17" s="154">
        <v>0.22</v>
      </c>
      <c r="C17" s="154">
        <v>39.56</v>
      </c>
      <c r="D17" s="169">
        <v>42629.625</v>
      </c>
      <c r="E17" s="154">
        <v>0.31</v>
      </c>
      <c r="F17" s="154" t="s">
        <v>387</v>
      </c>
      <c r="G17" s="154">
        <v>292</v>
      </c>
      <c r="H17" s="154">
        <v>0</v>
      </c>
      <c r="I17" s="154">
        <v>0</v>
      </c>
      <c r="K17" s="154">
        <v>1014.86</v>
      </c>
      <c r="L17" s="154" t="s">
        <v>325</v>
      </c>
      <c r="M17" s="154">
        <v>71.569999999999993</v>
      </c>
      <c r="N17" s="154">
        <v>1474059600</v>
      </c>
      <c r="O17" s="154">
        <v>3.92</v>
      </c>
      <c r="P17" s="154">
        <v>48</v>
      </c>
      <c r="Q17" s="154">
        <v>4.62</v>
      </c>
    </row>
    <row r="18" spans="1:17" x14ac:dyDescent="0.25">
      <c r="A18" s="154">
        <v>71.56</v>
      </c>
      <c r="B18" s="154">
        <v>0.22</v>
      </c>
      <c r="C18" s="154">
        <v>39.299999999999997</v>
      </c>
      <c r="D18" s="169">
        <v>42629.666666666664</v>
      </c>
      <c r="E18" s="154">
        <v>0.31</v>
      </c>
      <c r="F18" s="154" t="s">
        <v>387</v>
      </c>
      <c r="G18" s="154">
        <v>291.52</v>
      </c>
      <c r="H18" s="154">
        <v>0</v>
      </c>
      <c r="I18" s="154">
        <v>0</v>
      </c>
      <c r="K18" s="154">
        <v>1014.54</v>
      </c>
      <c r="L18" s="154" t="s">
        <v>325</v>
      </c>
      <c r="M18" s="154">
        <v>71.56</v>
      </c>
      <c r="N18" s="154">
        <v>1474063200</v>
      </c>
      <c r="O18" s="154">
        <v>3.97</v>
      </c>
      <c r="P18" s="154">
        <v>47</v>
      </c>
      <c r="Q18" s="154">
        <v>5.4</v>
      </c>
    </row>
    <row r="19" spans="1:17" x14ac:dyDescent="0.25">
      <c r="A19" s="154">
        <v>71.14</v>
      </c>
      <c r="B19" s="154">
        <v>0.23</v>
      </c>
      <c r="C19" s="154">
        <v>39.67</v>
      </c>
      <c r="D19" s="169">
        <v>42629.708333333336</v>
      </c>
      <c r="E19" s="154">
        <v>0.32</v>
      </c>
      <c r="F19" s="154" t="s">
        <v>387</v>
      </c>
      <c r="G19" s="154">
        <v>291.19</v>
      </c>
      <c r="H19" s="154">
        <v>1.8E-3</v>
      </c>
      <c r="I19" s="154">
        <v>0.04</v>
      </c>
      <c r="J19" s="154" t="s">
        <v>262</v>
      </c>
      <c r="K19" s="154">
        <v>1014.42</v>
      </c>
      <c r="L19" s="154" t="s">
        <v>325</v>
      </c>
      <c r="M19" s="154">
        <v>71.14</v>
      </c>
      <c r="N19" s="154">
        <v>1474066800</v>
      </c>
      <c r="O19" s="154">
        <v>6.54</v>
      </c>
      <c r="P19" s="154">
        <v>49</v>
      </c>
      <c r="Q19" s="154">
        <v>5.54</v>
      </c>
    </row>
    <row r="20" spans="1:17" x14ac:dyDescent="0.25">
      <c r="A20" s="154">
        <v>68.31</v>
      </c>
      <c r="B20" s="154">
        <v>0.21</v>
      </c>
      <c r="C20" s="154">
        <v>38.9</v>
      </c>
      <c r="D20" s="169">
        <v>42629.75</v>
      </c>
      <c r="E20" s="154">
        <v>0.34</v>
      </c>
      <c r="F20" s="154" t="s">
        <v>387</v>
      </c>
      <c r="G20" s="154">
        <v>290.95999999999998</v>
      </c>
      <c r="H20" s="154">
        <v>1.8E-3</v>
      </c>
      <c r="I20" s="154">
        <v>0.04</v>
      </c>
      <c r="J20" s="154" t="s">
        <v>262</v>
      </c>
      <c r="K20" s="154">
        <v>1014.65</v>
      </c>
      <c r="L20" s="154" t="s">
        <v>325</v>
      </c>
      <c r="M20" s="154">
        <v>68.31</v>
      </c>
      <c r="N20" s="154">
        <v>1474070400</v>
      </c>
      <c r="O20" s="154">
        <v>7.42</v>
      </c>
      <c r="P20" s="154">
        <v>51</v>
      </c>
      <c r="Q20" s="154">
        <v>5.17</v>
      </c>
    </row>
    <row r="21" spans="1:17" x14ac:dyDescent="0.25">
      <c r="A21" s="154">
        <v>64.56</v>
      </c>
      <c r="B21" s="154">
        <v>0.18</v>
      </c>
      <c r="C21" s="154">
        <v>37.81</v>
      </c>
      <c r="D21" s="169">
        <v>42629.791666666664</v>
      </c>
      <c r="E21" s="154">
        <v>0.37</v>
      </c>
      <c r="F21" s="154" t="s">
        <v>387</v>
      </c>
      <c r="G21" s="154">
        <v>290.83</v>
      </c>
      <c r="H21" s="154">
        <v>1.6000000000000001E-3</v>
      </c>
      <c r="I21" s="154">
        <v>0.03</v>
      </c>
      <c r="J21" s="154" t="s">
        <v>262</v>
      </c>
      <c r="K21" s="154">
        <v>1015.66</v>
      </c>
      <c r="L21" s="154" t="s">
        <v>325</v>
      </c>
      <c r="M21" s="154">
        <v>64.56</v>
      </c>
      <c r="N21" s="154">
        <v>1474074000</v>
      </c>
      <c r="O21" s="154">
        <v>8.01</v>
      </c>
      <c r="P21" s="154">
        <v>47</v>
      </c>
      <c r="Q21" s="154">
        <v>3.88</v>
      </c>
    </row>
    <row r="22" spans="1:17" x14ac:dyDescent="0.25">
      <c r="A22" s="154">
        <v>60.95</v>
      </c>
      <c r="B22" s="154">
        <v>0.17</v>
      </c>
      <c r="C22" s="154">
        <v>37.92</v>
      </c>
      <c r="D22" s="169">
        <v>42629.833333333336</v>
      </c>
      <c r="E22" s="154">
        <v>0.42</v>
      </c>
      <c r="F22" s="154" t="s">
        <v>324</v>
      </c>
      <c r="G22" s="154">
        <v>290.8</v>
      </c>
      <c r="H22" s="154">
        <v>3.0999999999999999E-3</v>
      </c>
      <c r="I22" s="154">
        <v>0.09</v>
      </c>
      <c r="J22" s="154" t="s">
        <v>262</v>
      </c>
      <c r="K22" s="154">
        <v>1017.08</v>
      </c>
      <c r="L22" s="154" t="s">
        <v>325</v>
      </c>
      <c r="M22" s="154">
        <v>60.95</v>
      </c>
      <c r="N22" s="154">
        <v>1474077600</v>
      </c>
      <c r="O22" s="154">
        <v>8.51</v>
      </c>
      <c r="P22" s="154">
        <v>37</v>
      </c>
      <c r="Q22" s="154">
        <v>2.11</v>
      </c>
    </row>
    <row r="23" spans="1:17" x14ac:dyDescent="0.25">
      <c r="A23" s="154">
        <v>58.52</v>
      </c>
      <c r="B23" s="154">
        <v>0.21</v>
      </c>
      <c r="C23" s="154">
        <v>38.86</v>
      </c>
      <c r="D23" s="169">
        <v>42629.875</v>
      </c>
      <c r="E23" s="154">
        <v>0.48</v>
      </c>
      <c r="F23" s="154" t="s">
        <v>262</v>
      </c>
      <c r="G23" s="154">
        <v>290.91000000000003</v>
      </c>
      <c r="H23" s="154">
        <v>7.0000000000000001E-3</v>
      </c>
      <c r="I23" s="154">
        <v>0.28000000000000003</v>
      </c>
      <c r="J23" s="154" t="s">
        <v>262</v>
      </c>
      <c r="K23" s="154">
        <v>1018.23</v>
      </c>
      <c r="L23" s="154" t="s">
        <v>264</v>
      </c>
      <c r="M23" s="154">
        <v>58.52</v>
      </c>
      <c r="N23" s="154">
        <v>1474081200</v>
      </c>
      <c r="O23" s="154">
        <v>8.98</v>
      </c>
      <c r="P23" s="154">
        <v>80</v>
      </c>
      <c r="Q23" s="154">
        <v>1.03</v>
      </c>
    </row>
    <row r="24" spans="1:17" x14ac:dyDescent="0.25">
      <c r="A24" s="154">
        <v>56.83</v>
      </c>
      <c r="B24" s="154">
        <v>0.3</v>
      </c>
      <c r="C24" s="154">
        <v>40.229999999999997</v>
      </c>
      <c r="D24" s="169">
        <v>42629.916666666664</v>
      </c>
      <c r="E24" s="154">
        <v>0.54</v>
      </c>
      <c r="F24" s="154" t="s">
        <v>262</v>
      </c>
      <c r="G24" s="154">
        <v>291.3</v>
      </c>
      <c r="H24" s="154">
        <v>6.4000000000000003E-3</v>
      </c>
      <c r="I24" s="154">
        <v>0.25</v>
      </c>
      <c r="J24" s="154" t="s">
        <v>262</v>
      </c>
      <c r="K24" s="154">
        <v>1018.84</v>
      </c>
      <c r="L24" s="154" t="s">
        <v>264</v>
      </c>
      <c r="M24" s="154">
        <v>56.83</v>
      </c>
      <c r="N24" s="154">
        <v>1474084800</v>
      </c>
      <c r="O24" s="154">
        <v>9.2100000000000009</v>
      </c>
      <c r="P24" s="154">
        <v>249</v>
      </c>
      <c r="Q24" s="154">
        <v>0.72</v>
      </c>
    </row>
    <row r="25" spans="1:17" x14ac:dyDescent="0.25">
      <c r="A25" s="154">
        <v>55.3</v>
      </c>
      <c r="B25" s="154">
        <v>0.38</v>
      </c>
      <c r="C25" s="154">
        <v>42.65</v>
      </c>
      <c r="D25" s="169">
        <v>42629.958333333336</v>
      </c>
      <c r="E25" s="154">
        <v>0.62</v>
      </c>
      <c r="F25" s="154" t="s">
        <v>262</v>
      </c>
      <c r="G25" s="154">
        <v>291.82</v>
      </c>
      <c r="H25" s="154">
        <v>5.4000000000000003E-3</v>
      </c>
      <c r="I25" s="154">
        <v>0.2</v>
      </c>
      <c r="J25" s="154" t="s">
        <v>262</v>
      </c>
      <c r="K25" s="154">
        <v>1019.17</v>
      </c>
      <c r="L25" s="154" t="s">
        <v>264</v>
      </c>
      <c r="M25" s="154">
        <v>55.3</v>
      </c>
      <c r="N25" s="154">
        <v>1474088400</v>
      </c>
      <c r="O25" s="154">
        <v>9.2100000000000009</v>
      </c>
      <c r="P25" s="154">
        <v>126</v>
      </c>
      <c r="Q25" s="154">
        <v>1</v>
      </c>
    </row>
    <row r="26" spans="1:17" x14ac:dyDescent="0.25">
      <c r="A26" s="154">
        <v>54.19</v>
      </c>
      <c r="B26" s="154">
        <v>0.4</v>
      </c>
      <c r="C26" s="154">
        <v>43.94</v>
      </c>
      <c r="D26" s="169">
        <v>42630</v>
      </c>
      <c r="E26" s="154">
        <v>0.68</v>
      </c>
      <c r="F26" s="154" t="s">
        <v>263</v>
      </c>
      <c r="G26" s="154">
        <v>292.06</v>
      </c>
      <c r="H26" s="154">
        <v>2.8E-3</v>
      </c>
      <c r="I26" s="154">
        <v>0.08</v>
      </c>
      <c r="J26" s="154" t="s">
        <v>262</v>
      </c>
      <c r="K26" s="154">
        <v>1019.39</v>
      </c>
      <c r="L26" s="154" t="s">
        <v>201</v>
      </c>
      <c r="M26" s="154">
        <v>54.19</v>
      </c>
      <c r="N26" s="154">
        <v>1474092000</v>
      </c>
      <c r="O26" s="154">
        <v>9.27</v>
      </c>
      <c r="P26" s="154">
        <v>148</v>
      </c>
      <c r="Q26" s="154">
        <v>0.7</v>
      </c>
    </row>
    <row r="27" spans="1:17" x14ac:dyDescent="0.25">
      <c r="A27" s="154">
        <v>52.49</v>
      </c>
      <c r="B27" s="154">
        <v>0.36</v>
      </c>
      <c r="C27" s="154">
        <v>42.89</v>
      </c>
      <c r="D27" s="169">
        <v>42630.041666666664</v>
      </c>
      <c r="E27" s="154">
        <v>0.7</v>
      </c>
      <c r="F27" s="154" t="s">
        <v>263</v>
      </c>
      <c r="G27" s="154">
        <v>291.58999999999997</v>
      </c>
      <c r="H27" s="154">
        <v>0</v>
      </c>
      <c r="I27" s="154">
        <v>0</v>
      </c>
      <c r="K27" s="154">
        <v>1019.43</v>
      </c>
      <c r="L27" s="154" t="s">
        <v>201</v>
      </c>
      <c r="M27" s="154">
        <v>52.49</v>
      </c>
      <c r="N27" s="154">
        <v>1474095600</v>
      </c>
      <c r="O27" s="154">
        <v>9.31</v>
      </c>
      <c r="P27" s="154">
        <v>153</v>
      </c>
      <c r="Q27" s="154">
        <v>1.28</v>
      </c>
    </row>
    <row r="28" spans="1:17" x14ac:dyDescent="0.25">
      <c r="A28" s="154">
        <v>51.23</v>
      </c>
      <c r="B28" s="154">
        <v>0.33</v>
      </c>
      <c r="C28" s="154">
        <v>42.29</v>
      </c>
      <c r="D28" s="169">
        <v>42630.083333333336</v>
      </c>
      <c r="E28" s="154">
        <v>0.71</v>
      </c>
      <c r="F28" s="154" t="s">
        <v>263</v>
      </c>
      <c r="G28" s="154">
        <v>291.12</v>
      </c>
      <c r="H28" s="154">
        <v>0</v>
      </c>
      <c r="I28" s="154">
        <v>0</v>
      </c>
      <c r="K28" s="154">
        <v>1019.48</v>
      </c>
      <c r="L28" s="154" t="s">
        <v>201</v>
      </c>
      <c r="M28" s="154">
        <v>51.23</v>
      </c>
      <c r="N28" s="154">
        <v>1474099200</v>
      </c>
      <c r="O28" s="154">
        <v>9.31</v>
      </c>
      <c r="P28" s="154">
        <v>171</v>
      </c>
      <c r="Q28" s="154">
        <v>1.65</v>
      </c>
    </row>
    <row r="29" spans="1:17" x14ac:dyDescent="0.25">
      <c r="A29" s="154">
        <v>49.48</v>
      </c>
      <c r="B29" s="154">
        <v>7.0000000000000007E-2</v>
      </c>
      <c r="C29" s="154">
        <v>41.63</v>
      </c>
      <c r="D29" s="169">
        <v>42630.125</v>
      </c>
      <c r="E29" s="154">
        <v>0.74</v>
      </c>
      <c r="F29" s="154" t="s">
        <v>324</v>
      </c>
      <c r="G29" s="154">
        <v>290.66000000000003</v>
      </c>
      <c r="H29" s="154">
        <v>0</v>
      </c>
      <c r="I29" s="154">
        <v>0</v>
      </c>
      <c r="K29" s="154">
        <v>1019.52</v>
      </c>
      <c r="L29" s="154" t="s">
        <v>325</v>
      </c>
      <c r="M29" s="154">
        <v>49.48</v>
      </c>
      <c r="N29" s="154">
        <v>1474102800</v>
      </c>
      <c r="O29" s="154">
        <v>9.2100000000000009</v>
      </c>
      <c r="P29" s="154">
        <v>183</v>
      </c>
      <c r="Q29" s="154">
        <v>1.81</v>
      </c>
    </row>
    <row r="31" spans="1:17" x14ac:dyDescent="0.25">
      <c r="A31" s="154" t="s">
        <v>775</v>
      </c>
    </row>
    <row r="33" spans="1:1" x14ac:dyDescent="0.25">
      <c r="A33" s="154" t="s">
        <v>217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D16" sqref="D16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109</v>
      </c>
      <c r="D1" s="74" t="s">
        <v>110</v>
      </c>
      <c r="J1" s="34" t="s">
        <v>111</v>
      </c>
      <c r="K1" s="34" t="s">
        <v>72</v>
      </c>
      <c r="L1" s="34" t="s">
        <v>73</v>
      </c>
      <c r="O1" s="77" t="s">
        <v>112</v>
      </c>
    </row>
    <row r="2" spans="1:16" ht="15.75" thickBot="1" x14ac:dyDescent="0.3">
      <c r="A2" s="14">
        <v>42629</v>
      </c>
      <c r="B2" s="4"/>
      <c r="C2" s="75">
        <v>50</v>
      </c>
      <c r="D2" s="76">
        <v>25</v>
      </c>
      <c r="F2" t="s">
        <v>125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113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126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127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128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122</v>
      </c>
    </row>
    <row r="20" spans="10:13" x14ac:dyDescent="0.25">
      <c r="J20" t="s">
        <v>94</v>
      </c>
      <c r="M20" s="70" t="s">
        <v>131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121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118</v>
      </c>
      <c r="K24" s="23"/>
      <c r="M24" s="70" t="s">
        <v>120</v>
      </c>
    </row>
    <row r="25" spans="10:13" x14ac:dyDescent="0.25">
      <c r="J25" t="s">
        <v>168</v>
      </c>
      <c r="M25" s="70" t="b">
        <v>1</v>
      </c>
    </row>
    <row r="26" spans="10:13" x14ac:dyDescent="0.25">
      <c r="J26" t="s">
        <v>169</v>
      </c>
      <c r="M26" s="70" t="str">
        <f>"C:\Users\stu\Documents\GitHub\eaglep3-reporting\EC\"&amp;TEXT(A2,"yyyy-mm-dd")&amp;"-refined-times.txt"</f>
        <v>C:\Users\stu\Documents\GitHub\eaglep3-reporting\EC\2016-09-16-refined-times.txt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137</v>
      </c>
      <c r="B1" s="127" t="s">
        <v>138</v>
      </c>
      <c r="C1" s="128" t="s">
        <v>139</v>
      </c>
      <c r="H1" t="s">
        <v>133</v>
      </c>
      <c r="I1" s="129" t="s">
        <v>135</v>
      </c>
      <c r="J1"/>
    </row>
    <row r="2" spans="1:11" x14ac:dyDescent="0.25">
      <c r="A2" s="128" t="s">
        <v>140</v>
      </c>
      <c r="B2" s="128" t="s">
        <v>141</v>
      </c>
      <c r="C2" s="128" t="s">
        <v>142</v>
      </c>
      <c r="H2" t="s">
        <v>134</v>
      </c>
      <c r="I2" s="114" t="s">
        <v>136</v>
      </c>
      <c r="J2"/>
    </row>
    <row r="3" spans="1:11" x14ac:dyDescent="0.25">
      <c r="A3" s="128" t="s">
        <v>143</v>
      </c>
      <c r="B3" s="128" t="s">
        <v>144</v>
      </c>
      <c r="C3" s="128" t="s">
        <v>145</v>
      </c>
      <c r="H3" t="s">
        <v>159</v>
      </c>
      <c r="I3" s="114">
        <v>1</v>
      </c>
      <c r="J3"/>
      <c r="K3" s="70"/>
    </row>
    <row r="4" spans="1:11" x14ac:dyDescent="0.25">
      <c r="A4" s="128" t="s">
        <v>146</v>
      </c>
      <c r="C4" s="128" t="s">
        <v>147</v>
      </c>
      <c r="H4" t="s">
        <v>160</v>
      </c>
      <c r="I4" s="114">
        <v>2</v>
      </c>
      <c r="J4"/>
      <c r="K4" s="70"/>
    </row>
    <row r="5" spans="1:11" x14ac:dyDescent="0.25">
      <c r="A5" s="128" t="s">
        <v>148</v>
      </c>
      <c r="C5" s="128" t="s">
        <v>149</v>
      </c>
      <c r="H5" t="s">
        <v>161</v>
      </c>
      <c r="I5" s="114">
        <v>23</v>
      </c>
      <c r="J5"/>
      <c r="K5" s="70"/>
    </row>
    <row r="6" spans="1:11" x14ac:dyDescent="0.25">
      <c r="A6" s="128" t="s">
        <v>150</v>
      </c>
      <c r="C6" s="128" t="s">
        <v>151</v>
      </c>
      <c r="H6" s="131" t="s">
        <v>162</v>
      </c>
      <c r="I6" s="132" t="s">
        <v>141</v>
      </c>
    </row>
    <row r="7" spans="1:11" x14ac:dyDescent="0.25">
      <c r="A7" s="128" t="s">
        <v>152</v>
      </c>
      <c r="C7" s="128" t="s">
        <v>153</v>
      </c>
    </row>
    <row r="8" spans="1:11" x14ac:dyDescent="0.25">
      <c r="C8" s="128" t="s">
        <v>154</v>
      </c>
    </row>
    <row r="9" spans="1:11" x14ac:dyDescent="0.25">
      <c r="C9" s="131" t="s">
        <v>326</v>
      </c>
    </row>
    <row r="10" spans="1:11" x14ac:dyDescent="0.25">
      <c r="C10" s="128" t="s">
        <v>155</v>
      </c>
    </row>
    <row r="11" spans="1:11" x14ac:dyDescent="0.25">
      <c r="C11" s="128" t="s">
        <v>156</v>
      </c>
    </row>
    <row r="12" spans="1:11" x14ac:dyDescent="0.25">
      <c r="C12" s="128" t="s">
        <v>157</v>
      </c>
    </row>
    <row r="13" spans="1:11" x14ac:dyDescent="0.25">
      <c r="C13" s="128" t="s">
        <v>158</v>
      </c>
    </row>
    <row r="14" spans="1:11" x14ac:dyDescent="0.25">
      <c r="C14" s="131" t="s">
        <v>327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2016-09-19T20:36:11Z</dcterms:modified>
</cp:coreProperties>
</file>