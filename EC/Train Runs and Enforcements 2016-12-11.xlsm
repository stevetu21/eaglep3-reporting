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queryTables/queryTable1.xml" ContentType="application/vnd.openxmlformats-officedocument.spreadsheetml.queryTable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stu\Documents\GitHub\eaglep3-reporting\EC\"/>
    </mc:Choice>
  </mc:AlternateContent>
  <bookViews>
    <workbookView xWindow="0" yWindow="0" windowWidth="28800" windowHeight="12435"/>
  </bookViews>
  <sheets>
    <sheet name="Train Runs" sheetId="1" r:id="rId1"/>
    <sheet name="Enforcements" sheetId="3" r:id="rId2"/>
    <sheet name="Missing Trips" sheetId="6" r:id="rId3"/>
    <sheet name="Trips&amp;Operators" sheetId="4" r:id="rId4"/>
    <sheet name="Weather" sheetId="8" r:id="rId5"/>
    <sheet name="Variables" sheetId="5" r:id="rId6"/>
    <sheet name="Redmine List Values" sheetId="7" r:id="rId7"/>
    <sheet name="Slice Disagreement Check" sheetId="9" r:id="rId8"/>
  </sheets>
  <externalReferences>
    <externalReference r:id="rId9"/>
    <externalReference r:id="rId10"/>
  </externalReferences>
  <definedNames>
    <definedName name="_xlnm._FilterDatabase" localSheetId="1" hidden="1">Enforcements!$A$6:$AC$46</definedName>
    <definedName name="_xlnm._FilterDatabase" localSheetId="2" hidden="1">'Missing Trips'!$B$2:$I$2</definedName>
    <definedName name="_xlnm._FilterDatabase" localSheetId="0" hidden="1">'Train Runs'!$A$12:$AG$227</definedName>
    <definedName name="_xlnm._FilterDatabase" localSheetId="3" hidden="1">'Trips&amp;Operators'!$A$1:$E$211</definedName>
    <definedName name="astrogrep_path">Variables!$M$18</definedName>
    <definedName name="Denver_Train_Runs_04122016" localSheetId="0">'Train Runs'!$A$12:$J$71</definedName>
    <definedName name="enforcements_txt">Variables!$M$27</definedName>
    <definedName name="outputrefinedruntimes">Variables!$M$25</definedName>
    <definedName name="redm_api_key">[1]Constants!$B$4</definedName>
    <definedName name="redm_url">[1]Constants!$B$5</definedName>
    <definedName name="redmine_api">'Redmine List Values'!$I$1</definedName>
    <definedName name="redmine_assignee">'Redmine List Values'!$I$5</definedName>
    <definedName name="redmine_op_impact">'Redmine List Values'!$I$6</definedName>
    <definedName name="redmine_priority">'Redmine List Values'!$I$4</definedName>
    <definedName name="redmine_status">'Redmine List Values'!$I$3</definedName>
    <definedName name="redmine_url">'Redmine List Values'!$I$2</definedName>
    <definedName name="RefinedRTDCRunTimesOutputFile">Variables!$M$26</definedName>
    <definedName name="refinertdcruntimes">Variables!$M$24</definedName>
    <definedName name="runsrefined_txt">Variables!$M$28</definedName>
    <definedName name="s3_bucket">Variables!$M$21</definedName>
    <definedName name="search_path">Variables!$M$19</definedName>
    <definedName name="search_regexp">Variables!$M$20</definedName>
    <definedName name="trips_txt">Variables!$M$29</definedName>
    <definedName name="utc_offset">Variables!$M$23</definedName>
    <definedName name="walkandungz">Variables!$M$22</definedName>
    <definedName name="weather_txt">Variables!$M$30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86" i="9" l="1"/>
  <c r="C86" i="9"/>
  <c r="B87" i="9"/>
  <c r="C88" i="9" s="1"/>
  <c r="C87" i="9"/>
  <c r="B88" i="9"/>
  <c r="B89" i="9"/>
  <c r="C90" i="9" s="1"/>
  <c r="C89" i="9"/>
  <c r="B90" i="9"/>
  <c r="B91" i="9"/>
  <c r="C92" i="9" s="1"/>
  <c r="C91" i="9"/>
  <c r="B92" i="9"/>
  <c r="B93" i="9"/>
  <c r="C94" i="9" s="1"/>
  <c r="C93" i="9"/>
  <c r="B94" i="9"/>
  <c r="B95" i="9"/>
  <c r="C96" i="9" s="1"/>
  <c r="C95" i="9"/>
  <c r="B96" i="9"/>
  <c r="B97" i="9"/>
  <c r="C98" i="9" s="1"/>
  <c r="C97" i="9"/>
  <c r="B98" i="9"/>
  <c r="B99" i="9"/>
  <c r="C100" i="9" s="1"/>
  <c r="C99" i="9"/>
  <c r="B100" i="9"/>
  <c r="B101" i="9"/>
  <c r="C102" i="9" s="1"/>
  <c r="C101" i="9"/>
  <c r="B102" i="9"/>
  <c r="B103" i="9"/>
  <c r="C104" i="9" s="1"/>
  <c r="C103" i="9"/>
  <c r="B104" i="9"/>
  <c r="B105" i="9"/>
  <c r="C106" i="9" s="1"/>
  <c r="C105" i="9"/>
  <c r="B106" i="9"/>
  <c r="B107" i="9"/>
  <c r="C108" i="9" s="1"/>
  <c r="C107" i="9"/>
  <c r="B108" i="9"/>
  <c r="B109" i="9"/>
  <c r="C110" i="9" s="1"/>
  <c r="C109" i="9"/>
  <c r="B110" i="9"/>
  <c r="B111" i="9"/>
  <c r="C112" i="9" s="1"/>
  <c r="C111" i="9"/>
  <c r="B112" i="9"/>
  <c r="B113" i="9"/>
  <c r="C114" i="9" s="1"/>
  <c r="C113" i="9"/>
  <c r="B114" i="9"/>
  <c r="B115" i="9"/>
  <c r="C115" i="9"/>
  <c r="N155" i="1"/>
  <c r="X156" i="1"/>
  <c r="X157" i="1"/>
  <c r="X158" i="1"/>
  <c r="K155" i="1"/>
  <c r="L155" i="1"/>
  <c r="M155" i="1"/>
  <c r="T155" i="1"/>
  <c r="V155" i="1"/>
  <c r="Y155" i="1"/>
  <c r="Z155" i="1"/>
  <c r="AA155" i="1" s="1"/>
  <c r="AB155" i="1"/>
  <c r="AC155" i="1"/>
  <c r="AD155" i="1"/>
  <c r="X155" i="1" s="1"/>
  <c r="AE155" i="1"/>
  <c r="AF155" i="1"/>
  <c r="AH155" i="1"/>
  <c r="X133" i="1"/>
  <c r="X134" i="1"/>
  <c r="X135" i="1"/>
  <c r="X136" i="1"/>
  <c r="X137" i="1"/>
  <c r="X138" i="1"/>
  <c r="P98" i="1"/>
  <c r="X50" i="1"/>
  <c r="M28" i="5"/>
  <c r="K14" i="1"/>
  <c r="L14" i="1"/>
  <c r="M14" i="1"/>
  <c r="N14" i="1" s="1"/>
  <c r="V14" i="1"/>
  <c r="Y14" i="1"/>
  <c r="Z14" i="1"/>
  <c r="AB14" i="1"/>
  <c r="AC14" i="1"/>
  <c r="AD14" i="1"/>
  <c r="T14" i="1" s="1"/>
  <c r="AE14" i="1"/>
  <c r="AF14" i="1"/>
  <c r="AH14" i="1"/>
  <c r="K15" i="1"/>
  <c r="L15" i="1"/>
  <c r="M15" i="1"/>
  <c r="N15" i="1" s="1"/>
  <c r="V15" i="1"/>
  <c r="Y15" i="1"/>
  <c r="Z15" i="1"/>
  <c r="AB15" i="1"/>
  <c r="AC15" i="1"/>
  <c r="AD15" i="1"/>
  <c r="T15" i="1" s="1"/>
  <c r="AE15" i="1"/>
  <c r="AF15" i="1"/>
  <c r="AH15" i="1"/>
  <c r="K16" i="1"/>
  <c r="L16" i="1"/>
  <c r="M16" i="1"/>
  <c r="N16" i="1" s="1"/>
  <c r="V16" i="1"/>
  <c r="Y16" i="1"/>
  <c r="Z16" i="1"/>
  <c r="AB16" i="1"/>
  <c r="AC16" i="1"/>
  <c r="AD16" i="1"/>
  <c r="T16" i="1" s="1"/>
  <c r="AE16" i="1"/>
  <c r="AF16" i="1"/>
  <c r="AH16" i="1"/>
  <c r="K17" i="1"/>
  <c r="L17" i="1"/>
  <c r="M17" i="1"/>
  <c r="N17" i="1" s="1"/>
  <c r="V17" i="1"/>
  <c r="Y17" i="1"/>
  <c r="Z17" i="1"/>
  <c r="AB17" i="1"/>
  <c r="AC17" i="1"/>
  <c r="AD17" i="1"/>
  <c r="AE17" i="1"/>
  <c r="AF17" i="1"/>
  <c r="AH17" i="1"/>
  <c r="K18" i="1"/>
  <c r="L18" i="1"/>
  <c r="M18" i="1"/>
  <c r="N18" i="1"/>
  <c r="V18" i="1"/>
  <c r="Y18" i="1"/>
  <c r="Z18" i="1"/>
  <c r="AB18" i="1"/>
  <c r="AC18" i="1"/>
  <c r="AD18" i="1"/>
  <c r="T18" i="1" s="1"/>
  <c r="AE18" i="1"/>
  <c r="AF18" i="1"/>
  <c r="AH18" i="1"/>
  <c r="K19" i="1"/>
  <c r="L19" i="1"/>
  <c r="M19" i="1"/>
  <c r="N19" i="1" s="1"/>
  <c r="V19" i="1"/>
  <c r="Y19" i="1"/>
  <c r="Z19" i="1"/>
  <c r="AB19" i="1"/>
  <c r="AC19" i="1"/>
  <c r="AD19" i="1"/>
  <c r="T19" i="1" s="1"/>
  <c r="AE19" i="1"/>
  <c r="AF19" i="1"/>
  <c r="AH19" i="1"/>
  <c r="K20" i="1"/>
  <c r="L20" i="1"/>
  <c r="M20" i="1"/>
  <c r="N20" i="1" s="1"/>
  <c r="V20" i="1"/>
  <c r="Y20" i="1"/>
  <c r="Z20" i="1"/>
  <c r="AB20" i="1"/>
  <c r="AC20" i="1"/>
  <c r="AD20" i="1"/>
  <c r="AE20" i="1"/>
  <c r="AF20" i="1"/>
  <c r="AH20" i="1"/>
  <c r="K21" i="1"/>
  <c r="L21" i="1"/>
  <c r="M21" i="1"/>
  <c r="P21" i="1" s="1"/>
  <c r="V21" i="1"/>
  <c r="Y21" i="1"/>
  <c r="Z21" i="1"/>
  <c r="AB21" i="1"/>
  <c r="AC21" i="1"/>
  <c r="AD21" i="1"/>
  <c r="AE21" i="1"/>
  <c r="AF21" i="1"/>
  <c r="AH21" i="1"/>
  <c r="K22" i="1"/>
  <c r="L22" i="1"/>
  <c r="M22" i="1"/>
  <c r="V22" i="1"/>
  <c r="Y22" i="1"/>
  <c r="Z22" i="1"/>
  <c r="AB22" i="1"/>
  <c r="AC22" i="1"/>
  <c r="AD22" i="1"/>
  <c r="T22" i="1" s="1"/>
  <c r="AE22" i="1"/>
  <c r="AF22" i="1"/>
  <c r="AH22" i="1"/>
  <c r="K23" i="1"/>
  <c r="L23" i="1"/>
  <c r="M23" i="1"/>
  <c r="N23" i="1" s="1"/>
  <c r="V23" i="1"/>
  <c r="Y23" i="1"/>
  <c r="Z23" i="1"/>
  <c r="AA23" i="1" s="1"/>
  <c r="AB23" i="1"/>
  <c r="AC23" i="1"/>
  <c r="AD23" i="1"/>
  <c r="T23" i="1" s="1"/>
  <c r="AE23" i="1"/>
  <c r="AF23" i="1"/>
  <c r="AG23" i="1"/>
  <c r="AH23" i="1"/>
  <c r="K24" i="1"/>
  <c r="L24" i="1"/>
  <c r="M24" i="1"/>
  <c r="N24" i="1" s="1"/>
  <c r="V24" i="1"/>
  <c r="Y24" i="1"/>
  <c r="Z24" i="1"/>
  <c r="AB24" i="1"/>
  <c r="AC24" i="1"/>
  <c r="AD24" i="1"/>
  <c r="T24" i="1" s="1"/>
  <c r="AE24" i="1"/>
  <c r="AF24" i="1"/>
  <c r="AH24" i="1"/>
  <c r="K25" i="1"/>
  <c r="L25" i="1"/>
  <c r="M25" i="1"/>
  <c r="N25" i="1" s="1"/>
  <c r="V25" i="1"/>
  <c r="Y25" i="1"/>
  <c r="Z25" i="1"/>
  <c r="AB25" i="1"/>
  <c r="AC25" i="1"/>
  <c r="AD25" i="1"/>
  <c r="X25" i="1" s="1"/>
  <c r="AE25" i="1"/>
  <c r="AF25" i="1"/>
  <c r="AH25" i="1"/>
  <c r="K26" i="1"/>
  <c r="L26" i="1"/>
  <c r="M26" i="1"/>
  <c r="N26" i="1" s="1"/>
  <c r="V26" i="1"/>
  <c r="Y26" i="1"/>
  <c r="Z26" i="1"/>
  <c r="AB26" i="1"/>
  <c r="AC26" i="1"/>
  <c r="AD26" i="1"/>
  <c r="T26" i="1" s="1"/>
  <c r="AE26" i="1"/>
  <c r="AF26" i="1"/>
  <c r="AH26" i="1"/>
  <c r="K27" i="1"/>
  <c r="L27" i="1"/>
  <c r="M27" i="1"/>
  <c r="N27" i="1" s="1"/>
  <c r="V27" i="1"/>
  <c r="Y27" i="1"/>
  <c r="Z27" i="1"/>
  <c r="AB27" i="1"/>
  <c r="AC27" i="1"/>
  <c r="AD27" i="1"/>
  <c r="T27" i="1" s="1"/>
  <c r="AE27" i="1"/>
  <c r="AF27" i="1"/>
  <c r="AG27" i="1"/>
  <c r="AH27" i="1"/>
  <c r="K28" i="1"/>
  <c r="L28" i="1"/>
  <c r="M28" i="1"/>
  <c r="N28" i="1" s="1"/>
  <c r="V28" i="1"/>
  <c r="Y28" i="1"/>
  <c r="Z28" i="1"/>
  <c r="AB28" i="1"/>
  <c r="AC28" i="1"/>
  <c r="AD28" i="1"/>
  <c r="X28" i="1" s="1"/>
  <c r="AE28" i="1"/>
  <c r="AF28" i="1"/>
  <c r="AH28" i="1"/>
  <c r="K29" i="1"/>
  <c r="L29" i="1"/>
  <c r="M29" i="1"/>
  <c r="N29" i="1" s="1"/>
  <c r="V29" i="1"/>
  <c r="Y29" i="1"/>
  <c r="Z29" i="1"/>
  <c r="AB29" i="1"/>
  <c r="AC29" i="1"/>
  <c r="AD29" i="1"/>
  <c r="T29" i="1" s="1"/>
  <c r="AE29" i="1"/>
  <c r="R14" i="3" s="1"/>
  <c r="AF29" i="1"/>
  <c r="AH29" i="1"/>
  <c r="K30" i="1"/>
  <c r="L30" i="1"/>
  <c r="M30" i="1"/>
  <c r="N30" i="1" s="1"/>
  <c r="V30" i="1"/>
  <c r="Y30" i="1"/>
  <c r="Z30" i="1"/>
  <c r="AB30" i="1"/>
  <c r="AC30" i="1"/>
  <c r="AD30" i="1"/>
  <c r="T30" i="1" s="1"/>
  <c r="AE30" i="1"/>
  <c r="AF30" i="1"/>
  <c r="AH30" i="1"/>
  <c r="K31" i="1"/>
  <c r="L31" i="1"/>
  <c r="M31" i="1"/>
  <c r="N31" i="1" s="1"/>
  <c r="V31" i="1"/>
  <c r="Y31" i="1"/>
  <c r="Z31" i="1"/>
  <c r="AB31" i="1"/>
  <c r="AC31" i="1"/>
  <c r="AD31" i="1"/>
  <c r="AE31" i="1"/>
  <c r="AF31" i="1"/>
  <c r="AH31" i="1"/>
  <c r="K32" i="1"/>
  <c r="L32" i="1"/>
  <c r="M32" i="1"/>
  <c r="N32" i="1" s="1"/>
  <c r="V32" i="1"/>
  <c r="Y32" i="1"/>
  <c r="Z32" i="1"/>
  <c r="AB32" i="1"/>
  <c r="AC32" i="1"/>
  <c r="AD32" i="1"/>
  <c r="T32" i="1" s="1"/>
  <c r="AE32" i="1"/>
  <c r="AF32" i="1"/>
  <c r="AH32" i="1"/>
  <c r="K33" i="1"/>
  <c r="L33" i="1"/>
  <c r="M33" i="1"/>
  <c r="N33" i="1" s="1"/>
  <c r="V33" i="1"/>
  <c r="Y33" i="1"/>
  <c r="Z33" i="1"/>
  <c r="AB33" i="1"/>
  <c r="AC33" i="1"/>
  <c r="AD33" i="1"/>
  <c r="AG33" i="1" s="1"/>
  <c r="AE33" i="1"/>
  <c r="AF33" i="1"/>
  <c r="AH33" i="1"/>
  <c r="K34" i="1"/>
  <c r="L34" i="1"/>
  <c r="M34" i="1"/>
  <c r="N34" i="1" s="1"/>
  <c r="V34" i="1"/>
  <c r="Y34" i="1"/>
  <c r="Z34" i="1"/>
  <c r="AB34" i="1"/>
  <c r="AC34" i="1"/>
  <c r="AD34" i="1"/>
  <c r="T34" i="1" s="1"/>
  <c r="AE34" i="1"/>
  <c r="AF34" i="1"/>
  <c r="AH34" i="1"/>
  <c r="K35" i="1"/>
  <c r="L35" i="1"/>
  <c r="M35" i="1"/>
  <c r="N35" i="1" s="1"/>
  <c r="V35" i="1"/>
  <c r="S28" i="3" s="1"/>
  <c r="Y35" i="1"/>
  <c r="Z35" i="1"/>
  <c r="AA35" i="1" s="1"/>
  <c r="AB35" i="1"/>
  <c r="AC35" i="1"/>
  <c r="AD35" i="1"/>
  <c r="T35" i="1" s="1"/>
  <c r="AE35" i="1"/>
  <c r="R15" i="3" s="1"/>
  <c r="AF35" i="1"/>
  <c r="AG35" i="1"/>
  <c r="AH35" i="1"/>
  <c r="K36" i="1"/>
  <c r="L36" i="1"/>
  <c r="M36" i="1"/>
  <c r="N36" i="1" s="1"/>
  <c r="V36" i="1"/>
  <c r="Y36" i="1"/>
  <c r="Z36" i="1"/>
  <c r="AB36" i="1"/>
  <c r="AC36" i="1"/>
  <c r="AD36" i="1"/>
  <c r="T36" i="1" s="1"/>
  <c r="AE36" i="1"/>
  <c r="AF36" i="1"/>
  <c r="AH36" i="1"/>
  <c r="K37" i="1"/>
  <c r="L37" i="1"/>
  <c r="M37" i="1"/>
  <c r="N37" i="1" s="1"/>
  <c r="V37" i="1"/>
  <c r="Y37" i="1"/>
  <c r="Z37" i="1"/>
  <c r="AB37" i="1"/>
  <c r="AC37" i="1"/>
  <c r="AD37" i="1"/>
  <c r="T37" i="1" s="1"/>
  <c r="AE37" i="1"/>
  <c r="AF37" i="1"/>
  <c r="AH37" i="1"/>
  <c r="K38" i="1"/>
  <c r="L38" i="1"/>
  <c r="M38" i="1"/>
  <c r="N38" i="1" s="1"/>
  <c r="V38" i="1"/>
  <c r="Y38" i="1"/>
  <c r="Z38" i="1"/>
  <c r="AB38" i="1"/>
  <c r="AC38" i="1"/>
  <c r="AD38" i="1"/>
  <c r="T38" i="1" s="1"/>
  <c r="AE38" i="1"/>
  <c r="AF38" i="1"/>
  <c r="AH38" i="1"/>
  <c r="K39" i="1"/>
  <c r="L39" i="1"/>
  <c r="M39" i="1"/>
  <c r="N39" i="1" s="1"/>
  <c r="V39" i="1"/>
  <c r="Y39" i="1"/>
  <c r="Z39" i="1"/>
  <c r="AB39" i="1"/>
  <c r="AC39" i="1"/>
  <c r="AD39" i="1"/>
  <c r="T39" i="1" s="1"/>
  <c r="AE39" i="1"/>
  <c r="R29" i="3" s="1"/>
  <c r="AF39" i="1"/>
  <c r="AH39" i="1"/>
  <c r="K40" i="1"/>
  <c r="L40" i="1"/>
  <c r="M40" i="1"/>
  <c r="N40" i="1" s="1"/>
  <c r="V40" i="1"/>
  <c r="Y40" i="1"/>
  <c r="Z40" i="1"/>
  <c r="AB40" i="1"/>
  <c r="AC40" i="1"/>
  <c r="AD40" i="1"/>
  <c r="X40" i="1" s="1"/>
  <c r="AE40" i="1"/>
  <c r="AF40" i="1"/>
  <c r="AH40" i="1"/>
  <c r="K41" i="1"/>
  <c r="L41" i="1"/>
  <c r="M41" i="1"/>
  <c r="N41" i="1" s="1"/>
  <c r="V41" i="1"/>
  <c r="X41" i="1"/>
  <c r="Y41" i="1"/>
  <c r="Z41" i="1"/>
  <c r="AA41" i="1" s="1"/>
  <c r="W41" i="1" s="1"/>
  <c r="AB41" i="1"/>
  <c r="AC41" i="1"/>
  <c r="AD41" i="1"/>
  <c r="AG41" i="1" s="1"/>
  <c r="AE41" i="1"/>
  <c r="R30" i="3" s="1"/>
  <c r="AF41" i="1"/>
  <c r="AH41" i="1"/>
  <c r="K42" i="1"/>
  <c r="L42" i="1"/>
  <c r="M42" i="1"/>
  <c r="N42" i="1" s="1"/>
  <c r="V42" i="1"/>
  <c r="Y42" i="1"/>
  <c r="Z42" i="1"/>
  <c r="AA42" i="1" s="1"/>
  <c r="AB42" i="1"/>
  <c r="AC42" i="1"/>
  <c r="AD42" i="1"/>
  <c r="T42" i="1" s="1"/>
  <c r="AE42" i="1"/>
  <c r="AF42" i="1"/>
  <c r="AH42" i="1"/>
  <c r="K43" i="1"/>
  <c r="L43" i="1"/>
  <c r="M43" i="1"/>
  <c r="N43" i="1" s="1"/>
  <c r="V43" i="1"/>
  <c r="S16" i="3" s="1"/>
  <c r="Y43" i="1"/>
  <c r="Z43" i="1"/>
  <c r="AA43" i="1" s="1"/>
  <c r="AB43" i="1"/>
  <c r="AC43" i="1"/>
  <c r="AD43" i="1"/>
  <c r="T43" i="1" s="1"/>
  <c r="AE43" i="1"/>
  <c r="AF43" i="1"/>
  <c r="AG43" i="1"/>
  <c r="AH43" i="1"/>
  <c r="K44" i="1"/>
  <c r="L44" i="1"/>
  <c r="M44" i="1"/>
  <c r="N44" i="1" s="1"/>
  <c r="V44" i="1"/>
  <c r="Y44" i="1"/>
  <c r="Z44" i="1"/>
  <c r="AB44" i="1"/>
  <c r="AC44" i="1"/>
  <c r="AD44" i="1"/>
  <c r="T44" i="1" s="1"/>
  <c r="AE44" i="1"/>
  <c r="AF44" i="1"/>
  <c r="AH44" i="1"/>
  <c r="K45" i="1"/>
  <c r="L45" i="1"/>
  <c r="M45" i="1"/>
  <c r="N45" i="1" s="1"/>
  <c r="V45" i="1"/>
  <c r="Y45" i="1"/>
  <c r="Z45" i="1"/>
  <c r="AB45" i="1"/>
  <c r="AC45" i="1"/>
  <c r="AD45" i="1"/>
  <c r="T45" i="1" s="1"/>
  <c r="AE45" i="1"/>
  <c r="AF45" i="1"/>
  <c r="AH45" i="1"/>
  <c r="K46" i="1"/>
  <c r="L46" i="1"/>
  <c r="M46" i="1"/>
  <c r="N46" i="1" s="1"/>
  <c r="V46" i="1"/>
  <c r="Y46" i="1"/>
  <c r="Z46" i="1"/>
  <c r="AB46" i="1"/>
  <c r="AC46" i="1"/>
  <c r="AD46" i="1"/>
  <c r="T46" i="1" s="1"/>
  <c r="AE46" i="1"/>
  <c r="R7" i="3" s="1"/>
  <c r="AF46" i="1"/>
  <c r="AH46" i="1"/>
  <c r="K47" i="1"/>
  <c r="L47" i="1"/>
  <c r="M47" i="1"/>
  <c r="N47" i="1" s="1"/>
  <c r="V47" i="1"/>
  <c r="Y47" i="1"/>
  <c r="Z47" i="1"/>
  <c r="AB47" i="1"/>
  <c r="AC47" i="1"/>
  <c r="AD47" i="1"/>
  <c r="X47" i="1" s="1"/>
  <c r="AE47" i="1"/>
  <c r="AF47" i="1"/>
  <c r="AH47" i="1"/>
  <c r="K48" i="1"/>
  <c r="L48" i="1"/>
  <c r="M48" i="1"/>
  <c r="N48" i="1" s="1"/>
  <c r="V48" i="1"/>
  <c r="Y48" i="1"/>
  <c r="AA48" i="1" s="1"/>
  <c r="Z48" i="1"/>
  <c r="AB48" i="1"/>
  <c r="AC48" i="1"/>
  <c r="AD48" i="1"/>
  <c r="X48" i="1" s="1"/>
  <c r="AE48" i="1"/>
  <c r="AF48" i="1"/>
  <c r="AH48" i="1"/>
  <c r="K49" i="1"/>
  <c r="L49" i="1"/>
  <c r="M49" i="1"/>
  <c r="N49" i="1"/>
  <c r="V49" i="1"/>
  <c r="S10" i="3" s="1"/>
  <c r="Y49" i="1"/>
  <c r="Z49" i="1"/>
  <c r="AB49" i="1"/>
  <c r="AC49" i="1"/>
  <c r="AD49" i="1"/>
  <c r="X49" i="1" s="1"/>
  <c r="AE49" i="1"/>
  <c r="R10" i="3" s="1"/>
  <c r="AF49" i="1"/>
  <c r="AH49" i="1"/>
  <c r="K50" i="1"/>
  <c r="L50" i="1"/>
  <c r="M50" i="1"/>
  <c r="N50" i="1" s="1"/>
  <c r="V50" i="1"/>
  <c r="Y50" i="1"/>
  <c r="Z50" i="1"/>
  <c r="AB50" i="1"/>
  <c r="AC50" i="1"/>
  <c r="AD50" i="1"/>
  <c r="AE50" i="1"/>
  <c r="AF50" i="1"/>
  <c r="AH50" i="1"/>
  <c r="K51" i="1"/>
  <c r="L51" i="1"/>
  <c r="M51" i="1"/>
  <c r="N51" i="1" s="1"/>
  <c r="V51" i="1"/>
  <c r="Y51" i="1"/>
  <c r="Z51" i="1"/>
  <c r="AB51" i="1"/>
  <c r="AC51" i="1"/>
  <c r="AD51" i="1"/>
  <c r="T51" i="1" s="1"/>
  <c r="AE51" i="1"/>
  <c r="AF51" i="1"/>
  <c r="AH51" i="1"/>
  <c r="K52" i="1"/>
  <c r="L52" i="1"/>
  <c r="M52" i="1"/>
  <c r="N52" i="1" s="1"/>
  <c r="V52" i="1"/>
  <c r="Y52" i="1"/>
  <c r="Z52" i="1"/>
  <c r="AA52" i="1" s="1"/>
  <c r="AB52" i="1"/>
  <c r="AC52" i="1"/>
  <c r="AD52" i="1"/>
  <c r="T52" i="1" s="1"/>
  <c r="AE52" i="1"/>
  <c r="AF52" i="1"/>
  <c r="AH52" i="1"/>
  <c r="K53" i="1"/>
  <c r="L53" i="1"/>
  <c r="M53" i="1"/>
  <c r="N53" i="1" s="1"/>
  <c r="V53" i="1"/>
  <c r="Y53" i="1"/>
  <c r="Z53" i="1"/>
  <c r="AB53" i="1"/>
  <c r="AC53" i="1"/>
  <c r="AD53" i="1"/>
  <c r="T53" i="1" s="1"/>
  <c r="AE53" i="1"/>
  <c r="AF53" i="1"/>
  <c r="AG53" i="1"/>
  <c r="AH53" i="1"/>
  <c r="K54" i="1"/>
  <c r="L54" i="1"/>
  <c r="M54" i="1"/>
  <c r="N54" i="1" s="1"/>
  <c r="V54" i="1"/>
  <c r="Y54" i="1"/>
  <c r="Z54" i="1"/>
  <c r="AB54" i="1"/>
  <c r="AC54" i="1"/>
  <c r="AD54" i="1"/>
  <c r="AG54" i="1" s="1"/>
  <c r="AE54" i="1"/>
  <c r="AF54" i="1"/>
  <c r="AH54" i="1"/>
  <c r="K55" i="1"/>
  <c r="L55" i="1"/>
  <c r="M55" i="1"/>
  <c r="N55" i="1" s="1"/>
  <c r="V55" i="1"/>
  <c r="Y55" i="1"/>
  <c r="Z55" i="1"/>
  <c r="AB55" i="1"/>
  <c r="AC55" i="1"/>
  <c r="AD55" i="1"/>
  <c r="AG55" i="1" s="1"/>
  <c r="AE55" i="1"/>
  <c r="AF55" i="1"/>
  <c r="AH55" i="1"/>
  <c r="K56" i="1"/>
  <c r="L56" i="1"/>
  <c r="M56" i="1"/>
  <c r="N56" i="1" s="1"/>
  <c r="V56" i="1"/>
  <c r="Y56" i="1"/>
  <c r="Z56" i="1"/>
  <c r="AB56" i="1"/>
  <c r="AC56" i="1"/>
  <c r="AD56" i="1"/>
  <c r="T56" i="1" s="1"/>
  <c r="AE56" i="1"/>
  <c r="AF56" i="1"/>
  <c r="AH56" i="1"/>
  <c r="K57" i="1"/>
  <c r="L57" i="1"/>
  <c r="M57" i="1"/>
  <c r="N57" i="1" s="1"/>
  <c r="V57" i="1"/>
  <c r="Y57" i="1"/>
  <c r="Z57" i="1"/>
  <c r="AB57" i="1"/>
  <c r="AC57" i="1"/>
  <c r="AD57" i="1"/>
  <c r="T57" i="1" s="1"/>
  <c r="AE57" i="1"/>
  <c r="AF57" i="1"/>
  <c r="AH57" i="1"/>
  <c r="K58" i="1"/>
  <c r="L58" i="1"/>
  <c r="M58" i="1"/>
  <c r="N58" i="1" s="1"/>
  <c r="V58" i="1"/>
  <c r="Y58" i="1"/>
  <c r="Z58" i="1"/>
  <c r="AB58" i="1"/>
  <c r="AC58" i="1"/>
  <c r="AD58" i="1"/>
  <c r="AG58" i="1" s="1"/>
  <c r="AE58" i="1"/>
  <c r="AF58" i="1"/>
  <c r="AH58" i="1"/>
  <c r="K59" i="1"/>
  <c r="L59" i="1"/>
  <c r="M59" i="1"/>
  <c r="N59" i="1" s="1"/>
  <c r="V59" i="1"/>
  <c r="Y59" i="1"/>
  <c r="Z59" i="1"/>
  <c r="AB59" i="1"/>
  <c r="AC59" i="1"/>
  <c r="AD59" i="1"/>
  <c r="T59" i="1" s="1"/>
  <c r="AE59" i="1"/>
  <c r="AF59" i="1"/>
  <c r="AH59" i="1"/>
  <c r="K60" i="1"/>
  <c r="L60" i="1"/>
  <c r="M60" i="1"/>
  <c r="N60" i="1" s="1"/>
  <c r="V60" i="1"/>
  <c r="Y60" i="1"/>
  <c r="Z60" i="1"/>
  <c r="AB60" i="1"/>
  <c r="AC60" i="1"/>
  <c r="AD60" i="1"/>
  <c r="T60" i="1" s="1"/>
  <c r="AE60" i="1"/>
  <c r="R9" i="3" s="1"/>
  <c r="AF60" i="1"/>
  <c r="AH60" i="1"/>
  <c r="K61" i="1"/>
  <c r="L61" i="1"/>
  <c r="M61" i="1"/>
  <c r="N61" i="1" s="1"/>
  <c r="V61" i="1"/>
  <c r="Y61" i="1"/>
  <c r="Z61" i="1"/>
  <c r="AB61" i="1"/>
  <c r="AC61" i="1"/>
  <c r="AD61" i="1"/>
  <c r="AE61" i="1"/>
  <c r="AF61" i="1"/>
  <c r="AH61" i="1"/>
  <c r="K62" i="1"/>
  <c r="L62" i="1"/>
  <c r="M62" i="1"/>
  <c r="N62" i="1" s="1"/>
  <c r="V62" i="1"/>
  <c r="Y62" i="1"/>
  <c r="Z62" i="1"/>
  <c r="AB62" i="1"/>
  <c r="AC62" i="1"/>
  <c r="AD62" i="1"/>
  <c r="AG62" i="1" s="1"/>
  <c r="AE62" i="1"/>
  <c r="AF62" i="1"/>
  <c r="AH62" i="1"/>
  <c r="K63" i="1"/>
  <c r="L63" i="1"/>
  <c r="M63" i="1"/>
  <c r="N63" i="1" s="1"/>
  <c r="V63" i="1"/>
  <c r="Y63" i="1"/>
  <c r="Z63" i="1"/>
  <c r="AB63" i="1"/>
  <c r="AC63" i="1"/>
  <c r="AD63" i="1"/>
  <c r="AG63" i="1" s="1"/>
  <c r="AE63" i="1"/>
  <c r="AF63" i="1"/>
  <c r="AH63" i="1"/>
  <c r="K64" i="1"/>
  <c r="L64" i="1"/>
  <c r="M64" i="1"/>
  <c r="N64" i="1" s="1"/>
  <c r="V64" i="1"/>
  <c r="Y64" i="1"/>
  <c r="Z64" i="1"/>
  <c r="AB64" i="1"/>
  <c r="AC64" i="1"/>
  <c r="AD64" i="1"/>
  <c r="T64" i="1" s="1"/>
  <c r="AE64" i="1"/>
  <c r="AF64" i="1"/>
  <c r="AH64" i="1"/>
  <c r="K65" i="1"/>
  <c r="L65" i="1"/>
  <c r="M65" i="1"/>
  <c r="N65" i="1" s="1"/>
  <c r="V65" i="1"/>
  <c r="Y65" i="1"/>
  <c r="Z65" i="1"/>
  <c r="AB65" i="1"/>
  <c r="AC65" i="1"/>
  <c r="AD65" i="1"/>
  <c r="T65" i="1" s="1"/>
  <c r="AE65" i="1"/>
  <c r="AF65" i="1"/>
  <c r="AH65" i="1"/>
  <c r="K66" i="1"/>
  <c r="L66" i="1"/>
  <c r="M66" i="1"/>
  <c r="N66" i="1" s="1"/>
  <c r="V66" i="1"/>
  <c r="Y66" i="1"/>
  <c r="Z66" i="1"/>
  <c r="AB66" i="1"/>
  <c r="AC66" i="1"/>
  <c r="AD66" i="1"/>
  <c r="AG66" i="1" s="1"/>
  <c r="AE66" i="1"/>
  <c r="AF66" i="1"/>
  <c r="AH66" i="1"/>
  <c r="K67" i="1"/>
  <c r="L67" i="1"/>
  <c r="M67" i="1"/>
  <c r="N67" i="1" s="1"/>
  <c r="V67" i="1"/>
  <c r="S17" i="3" s="1"/>
  <c r="Y67" i="1"/>
  <c r="Z67" i="1"/>
  <c r="AB67" i="1"/>
  <c r="AC67" i="1"/>
  <c r="AD67" i="1"/>
  <c r="AE67" i="1"/>
  <c r="AF67" i="1"/>
  <c r="AH67" i="1"/>
  <c r="K68" i="1"/>
  <c r="L68" i="1"/>
  <c r="M68" i="1"/>
  <c r="N68" i="1" s="1"/>
  <c r="V68" i="1"/>
  <c r="Y68" i="1"/>
  <c r="Z68" i="1"/>
  <c r="AB68" i="1"/>
  <c r="AC68" i="1"/>
  <c r="AD68" i="1"/>
  <c r="T68" i="1" s="1"/>
  <c r="AE68" i="1"/>
  <c r="AF68" i="1"/>
  <c r="AH68" i="1"/>
  <c r="K69" i="1"/>
  <c r="L69" i="1"/>
  <c r="M69" i="1"/>
  <c r="N69" i="1" s="1"/>
  <c r="V69" i="1"/>
  <c r="Y69" i="1"/>
  <c r="Z69" i="1"/>
  <c r="AB69" i="1"/>
  <c r="AC69" i="1"/>
  <c r="AD69" i="1"/>
  <c r="T69" i="1" s="1"/>
  <c r="AE69" i="1"/>
  <c r="AF69" i="1"/>
  <c r="AH69" i="1"/>
  <c r="K70" i="1"/>
  <c r="L70" i="1"/>
  <c r="M70" i="1"/>
  <c r="N70" i="1" s="1"/>
  <c r="T70" i="1"/>
  <c r="V70" i="1"/>
  <c r="Y70" i="1"/>
  <c r="Z70" i="1"/>
  <c r="AB70" i="1"/>
  <c r="AC70" i="1"/>
  <c r="AD70" i="1"/>
  <c r="AG70" i="1" s="1"/>
  <c r="AE70" i="1"/>
  <c r="AF70" i="1"/>
  <c r="AH70" i="1"/>
  <c r="K71" i="1"/>
  <c r="L71" i="1"/>
  <c r="M71" i="1"/>
  <c r="N71" i="1" s="1"/>
  <c r="V71" i="1"/>
  <c r="Y71" i="1"/>
  <c r="Z71" i="1"/>
  <c r="AB71" i="1"/>
  <c r="AC71" i="1"/>
  <c r="AD71" i="1"/>
  <c r="AG71" i="1" s="1"/>
  <c r="AE71" i="1"/>
  <c r="AF71" i="1"/>
  <c r="AH71" i="1"/>
  <c r="K72" i="1"/>
  <c r="L72" i="1"/>
  <c r="M72" i="1"/>
  <c r="N72" i="1" s="1"/>
  <c r="V72" i="1"/>
  <c r="Y72" i="1"/>
  <c r="Z72" i="1"/>
  <c r="AB72" i="1"/>
  <c r="AC72" i="1"/>
  <c r="AD72" i="1"/>
  <c r="T72" i="1" s="1"/>
  <c r="AE72" i="1"/>
  <c r="AF72" i="1"/>
  <c r="AH72" i="1"/>
  <c r="K73" i="1"/>
  <c r="L73" i="1"/>
  <c r="M73" i="1"/>
  <c r="N73" i="1" s="1"/>
  <c r="V73" i="1"/>
  <c r="Y73" i="1"/>
  <c r="Z73" i="1"/>
  <c r="AB73" i="1"/>
  <c r="AC73" i="1"/>
  <c r="AD73" i="1"/>
  <c r="T73" i="1" s="1"/>
  <c r="AE73" i="1"/>
  <c r="AF73" i="1"/>
  <c r="AH73" i="1"/>
  <c r="K74" i="1"/>
  <c r="L74" i="1"/>
  <c r="M74" i="1"/>
  <c r="N74" i="1" s="1"/>
  <c r="V74" i="1"/>
  <c r="Y74" i="1"/>
  <c r="Z74" i="1"/>
  <c r="AB74" i="1"/>
  <c r="AC74" i="1"/>
  <c r="AD74" i="1"/>
  <c r="AG74" i="1" s="1"/>
  <c r="AE74" i="1"/>
  <c r="AF74" i="1"/>
  <c r="AH74" i="1"/>
  <c r="K75" i="1"/>
  <c r="L75" i="1"/>
  <c r="M75" i="1"/>
  <c r="N75" i="1" s="1"/>
  <c r="V75" i="1"/>
  <c r="Y75" i="1"/>
  <c r="Z75" i="1"/>
  <c r="AA75" i="1" s="1"/>
  <c r="AB75" i="1"/>
  <c r="AC75" i="1"/>
  <c r="AD75" i="1"/>
  <c r="T75" i="1" s="1"/>
  <c r="AE75" i="1"/>
  <c r="AF75" i="1"/>
  <c r="AH75" i="1"/>
  <c r="K76" i="1"/>
  <c r="L76" i="1"/>
  <c r="M76" i="1"/>
  <c r="N76" i="1" s="1"/>
  <c r="V76" i="1"/>
  <c r="Y76" i="1"/>
  <c r="Z76" i="1"/>
  <c r="AA76" i="1" s="1"/>
  <c r="AB76" i="1"/>
  <c r="AC76" i="1"/>
  <c r="AD76" i="1"/>
  <c r="AE76" i="1"/>
  <c r="AF76" i="1"/>
  <c r="AH76" i="1"/>
  <c r="K77" i="1"/>
  <c r="L77" i="1"/>
  <c r="M77" i="1"/>
  <c r="N77" i="1" s="1"/>
  <c r="V77" i="1"/>
  <c r="Y77" i="1"/>
  <c r="Z77" i="1"/>
  <c r="AB77" i="1"/>
  <c r="AC77" i="1"/>
  <c r="AD77" i="1"/>
  <c r="T77" i="1" s="1"/>
  <c r="AE77" i="1"/>
  <c r="AF77" i="1"/>
  <c r="AH77" i="1"/>
  <c r="K78" i="1"/>
  <c r="L78" i="1"/>
  <c r="M78" i="1"/>
  <c r="N78" i="1"/>
  <c r="V78" i="1"/>
  <c r="Y78" i="1"/>
  <c r="Z78" i="1"/>
  <c r="AB78" i="1"/>
  <c r="AC78" i="1"/>
  <c r="AD78" i="1"/>
  <c r="AG78" i="1" s="1"/>
  <c r="AE78" i="1"/>
  <c r="AF78" i="1"/>
  <c r="AH78" i="1"/>
  <c r="K79" i="1"/>
  <c r="L79" i="1"/>
  <c r="M79" i="1"/>
  <c r="N79" i="1" s="1"/>
  <c r="V79" i="1"/>
  <c r="Y79" i="1"/>
  <c r="Z79" i="1"/>
  <c r="AB79" i="1"/>
  <c r="AC79" i="1"/>
  <c r="AD79" i="1"/>
  <c r="T79" i="1" s="1"/>
  <c r="AE79" i="1"/>
  <c r="AF79" i="1"/>
  <c r="AH79" i="1"/>
  <c r="K80" i="1"/>
  <c r="L80" i="1"/>
  <c r="M80" i="1"/>
  <c r="N80" i="1"/>
  <c r="V80" i="1"/>
  <c r="Y80" i="1"/>
  <c r="Z80" i="1"/>
  <c r="AB80" i="1"/>
  <c r="AC80" i="1"/>
  <c r="AD80" i="1"/>
  <c r="AE80" i="1"/>
  <c r="AF80" i="1"/>
  <c r="AH80" i="1"/>
  <c r="K81" i="1"/>
  <c r="L81" i="1"/>
  <c r="M81" i="1"/>
  <c r="N81" i="1" s="1"/>
  <c r="V81" i="1"/>
  <c r="S11" i="3" s="1"/>
  <c r="Y81" i="1"/>
  <c r="Z81" i="1"/>
  <c r="AB81" i="1"/>
  <c r="AC81" i="1"/>
  <c r="AD81" i="1"/>
  <c r="T81" i="1" s="1"/>
  <c r="AE81" i="1"/>
  <c r="R11" i="3" s="1"/>
  <c r="AF81" i="1"/>
  <c r="AH81" i="1"/>
  <c r="K82" i="1"/>
  <c r="L82" i="1"/>
  <c r="M82" i="1"/>
  <c r="N82" i="1"/>
  <c r="T82" i="1"/>
  <c r="V82" i="1"/>
  <c r="Y82" i="1"/>
  <c r="Z82" i="1"/>
  <c r="AA82" i="1" s="1"/>
  <c r="AB82" i="1"/>
  <c r="AC82" i="1"/>
  <c r="AD82" i="1"/>
  <c r="AE82" i="1"/>
  <c r="AF82" i="1"/>
  <c r="AH82" i="1"/>
  <c r="K83" i="1"/>
  <c r="L83" i="1"/>
  <c r="M83" i="1"/>
  <c r="N83" i="1" s="1"/>
  <c r="V83" i="1"/>
  <c r="Y83" i="1"/>
  <c r="Z83" i="1"/>
  <c r="AB83" i="1"/>
  <c r="AC83" i="1"/>
  <c r="AD83" i="1"/>
  <c r="T83" i="1" s="1"/>
  <c r="AE83" i="1"/>
  <c r="AF83" i="1"/>
  <c r="AH83" i="1"/>
  <c r="K84" i="1"/>
  <c r="L84" i="1"/>
  <c r="M84" i="1"/>
  <c r="N84" i="1" s="1"/>
  <c r="V84" i="1"/>
  <c r="Y84" i="1"/>
  <c r="Z84" i="1"/>
  <c r="AI84" i="1" s="1"/>
  <c r="AB84" i="1"/>
  <c r="AC84" i="1"/>
  <c r="AD84" i="1"/>
  <c r="AG84" i="1" s="1"/>
  <c r="AE84" i="1"/>
  <c r="AF84" i="1"/>
  <c r="AH84" i="1"/>
  <c r="K85" i="1"/>
  <c r="L85" i="1"/>
  <c r="M85" i="1"/>
  <c r="N85" i="1" s="1"/>
  <c r="V85" i="1"/>
  <c r="Y85" i="1"/>
  <c r="Z85" i="1"/>
  <c r="AB85" i="1"/>
  <c r="AC85" i="1"/>
  <c r="AD85" i="1"/>
  <c r="AE85" i="1"/>
  <c r="AF85" i="1"/>
  <c r="AH85" i="1"/>
  <c r="K86" i="1"/>
  <c r="L86" i="1"/>
  <c r="M86" i="1"/>
  <c r="N86" i="1" s="1"/>
  <c r="V86" i="1"/>
  <c r="S22" i="3" s="1"/>
  <c r="Y86" i="1"/>
  <c r="Z86" i="1"/>
  <c r="AB86" i="1"/>
  <c r="AC86" i="1"/>
  <c r="AD86" i="1"/>
  <c r="T86" i="1" s="1"/>
  <c r="AE86" i="1"/>
  <c r="AF86" i="1"/>
  <c r="AH86" i="1"/>
  <c r="K87" i="1"/>
  <c r="L87" i="1"/>
  <c r="M87" i="1"/>
  <c r="N87" i="1" s="1"/>
  <c r="V87" i="1"/>
  <c r="Y87" i="1"/>
  <c r="Z87" i="1"/>
  <c r="AB87" i="1"/>
  <c r="AC87" i="1"/>
  <c r="AD87" i="1"/>
  <c r="T87" i="1" s="1"/>
  <c r="AE87" i="1"/>
  <c r="AF87" i="1"/>
  <c r="AH87" i="1"/>
  <c r="K88" i="1"/>
  <c r="L88" i="1"/>
  <c r="M88" i="1"/>
  <c r="N88" i="1" s="1"/>
  <c r="V88" i="1"/>
  <c r="Y88" i="1"/>
  <c r="Z88" i="1"/>
  <c r="AB88" i="1"/>
  <c r="AC88" i="1"/>
  <c r="AD88" i="1"/>
  <c r="AG88" i="1" s="1"/>
  <c r="AE88" i="1"/>
  <c r="R24" i="3" s="1"/>
  <c r="AF88" i="1"/>
  <c r="AH88" i="1"/>
  <c r="K89" i="1"/>
  <c r="L89" i="1"/>
  <c r="M89" i="1"/>
  <c r="N89" i="1" s="1"/>
  <c r="V89" i="1"/>
  <c r="Y89" i="1"/>
  <c r="Z89" i="1"/>
  <c r="AB89" i="1"/>
  <c r="AC89" i="1"/>
  <c r="AD89" i="1"/>
  <c r="AG89" i="1" s="1"/>
  <c r="AE89" i="1"/>
  <c r="AF89" i="1"/>
  <c r="AH89" i="1"/>
  <c r="K90" i="1"/>
  <c r="L90" i="1"/>
  <c r="M90" i="1"/>
  <c r="N90" i="1" s="1"/>
  <c r="V90" i="1"/>
  <c r="Y90" i="1"/>
  <c r="Z90" i="1"/>
  <c r="AB90" i="1"/>
  <c r="AC90" i="1"/>
  <c r="AD90" i="1"/>
  <c r="T90" i="1" s="1"/>
  <c r="AE90" i="1"/>
  <c r="AF90" i="1"/>
  <c r="AH90" i="1"/>
  <c r="K91" i="1"/>
  <c r="L91" i="1"/>
  <c r="M91" i="1"/>
  <c r="N91" i="1" s="1"/>
  <c r="V91" i="1"/>
  <c r="Y91" i="1"/>
  <c r="Z91" i="1"/>
  <c r="AB91" i="1"/>
  <c r="AC91" i="1"/>
  <c r="AD91" i="1"/>
  <c r="T91" i="1" s="1"/>
  <c r="AE91" i="1"/>
  <c r="AF91" i="1"/>
  <c r="AG91" i="1"/>
  <c r="AH91" i="1"/>
  <c r="K157" i="1"/>
  <c r="L157" i="1"/>
  <c r="M157" i="1"/>
  <c r="N157" i="1" s="1"/>
  <c r="V157" i="1"/>
  <c r="Y157" i="1"/>
  <c r="Z157" i="1"/>
  <c r="AB157" i="1"/>
  <c r="AC157" i="1"/>
  <c r="AD157" i="1"/>
  <c r="T157" i="1" s="1"/>
  <c r="AE157" i="1"/>
  <c r="R47" i="3" s="1"/>
  <c r="AF157" i="1"/>
  <c r="AH92" i="1"/>
  <c r="K158" i="1"/>
  <c r="L158" i="1"/>
  <c r="M158" i="1"/>
  <c r="N158" i="1" s="1"/>
  <c r="V158" i="1"/>
  <c r="Y158" i="1"/>
  <c r="Z158" i="1"/>
  <c r="AB158" i="1"/>
  <c r="AC158" i="1"/>
  <c r="AD158" i="1"/>
  <c r="AG158" i="1" s="1"/>
  <c r="AE158" i="1"/>
  <c r="AF158" i="1"/>
  <c r="AH93" i="1"/>
  <c r="K159" i="1"/>
  <c r="L159" i="1"/>
  <c r="M159" i="1"/>
  <c r="N159" i="1" s="1"/>
  <c r="V159" i="1"/>
  <c r="S40" i="3" s="1"/>
  <c r="Y159" i="1"/>
  <c r="Z159" i="1"/>
  <c r="AB159" i="1"/>
  <c r="AC159" i="1"/>
  <c r="AD159" i="1"/>
  <c r="T159" i="1" s="1"/>
  <c r="AE159" i="1"/>
  <c r="R40" i="3" s="1"/>
  <c r="AF159" i="1"/>
  <c r="AH94" i="1"/>
  <c r="K160" i="1"/>
  <c r="L160" i="1"/>
  <c r="M160" i="1"/>
  <c r="N160" i="1" s="1"/>
  <c r="V160" i="1"/>
  <c r="Y160" i="1"/>
  <c r="Z160" i="1"/>
  <c r="AB160" i="1"/>
  <c r="AC160" i="1"/>
  <c r="AD160" i="1"/>
  <c r="T160" i="1" s="1"/>
  <c r="AE160" i="1"/>
  <c r="AF160" i="1"/>
  <c r="AH95" i="1"/>
  <c r="K161" i="1"/>
  <c r="L161" i="1"/>
  <c r="M161" i="1"/>
  <c r="N161" i="1" s="1"/>
  <c r="V161" i="1"/>
  <c r="Y161" i="1"/>
  <c r="AA161" i="1" s="1"/>
  <c r="Z161" i="1"/>
  <c r="AB161" i="1"/>
  <c r="AC161" i="1"/>
  <c r="AD161" i="1"/>
  <c r="AE161" i="1"/>
  <c r="AF161" i="1"/>
  <c r="AH96" i="1"/>
  <c r="K162" i="1"/>
  <c r="L162" i="1"/>
  <c r="M162" i="1"/>
  <c r="N162" i="1" s="1"/>
  <c r="V162" i="1"/>
  <c r="Y162" i="1"/>
  <c r="Z162" i="1"/>
  <c r="AB162" i="1"/>
  <c r="AC162" i="1"/>
  <c r="AD162" i="1"/>
  <c r="AG162" i="1" s="1"/>
  <c r="AE162" i="1"/>
  <c r="AF162" i="1"/>
  <c r="AH97" i="1"/>
  <c r="K163" i="1"/>
  <c r="L163" i="1"/>
  <c r="M163" i="1"/>
  <c r="N163" i="1" s="1"/>
  <c r="V163" i="1"/>
  <c r="Y163" i="1"/>
  <c r="Z163" i="1"/>
  <c r="AB163" i="1"/>
  <c r="AC163" i="1"/>
  <c r="AD163" i="1"/>
  <c r="T163" i="1" s="1"/>
  <c r="AE163" i="1"/>
  <c r="AF163" i="1"/>
  <c r="AH98" i="1"/>
  <c r="K164" i="1"/>
  <c r="L164" i="1"/>
  <c r="M164" i="1"/>
  <c r="N164" i="1" s="1"/>
  <c r="V164" i="1"/>
  <c r="Y164" i="1"/>
  <c r="Z164" i="1"/>
  <c r="AB164" i="1"/>
  <c r="AC164" i="1"/>
  <c r="AD164" i="1"/>
  <c r="T164" i="1" s="1"/>
  <c r="AE164" i="1"/>
  <c r="AF164" i="1"/>
  <c r="AH99" i="1"/>
  <c r="K165" i="1"/>
  <c r="L165" i="1"/>
  <c r="M165" i="1"/>
  <c r="N165" i="1" s="1"/>
  <c r="V165" i="1"/>
  <c r="Y165" i="1"/>
  <c r="Z165" i="1"/>
  <c r="AB165" i="1"/>
  <c r="AC165" i="1"/>
  <c r="AD165" i="1"/>
  <c r="T165" i="1" s="1"/>
  <c r="AE165" i="1"/>
  <c r="AF165" i="1"/>
  <c r="AH100" i="1"/>
  <c r="K166" i="1"/>
  <c r="L166" i="1"/>
  <c r="M166" i="1"/>
  <c r="N166" i="1" s="1"/>
  <c r="V166" i="1"/>
  <c r="Y166" i="1"/>
  <c r="Z166" i="1"/>
  <c r="AB166" i="1"/>
  <c r="AC166" i="1"/>
  <c r="AD166" i="1"/>
  <c r="AG166" i="1" s="1"/>
  <c r="AE166" i="1"/>
  <c r="AF166" i="1"/>
  <c r="AH101" i="1"/>
  <c r="K92" i="1"/>
  <c r="L92" i="1"/>
  <c r="M92" i="1"/>
  <c r="N92" i="1" s="1"/>
  <c r="V92" i="1"/>
  <c r="S25" i="3" s="1"/>
  <c r="Y92" i="1"/>
  <c r="Z92" i="1"/>
  <c r="AB92" i="1"/>
  <c r="AC92" i="1"/>
  <c r="AD92" i="1"/>
  <c r="T92" i="1" s="1"/>
  <c r="AE92" i="1"/>
  <c r="R25" i="3" s="1"/>
  <c r="AF92" i="1"/>
  <c r="AH102" i="1"/>
  <c r="K167" i="1"/>
  <c r="L167" i="1"/>
  <c r="M167" i="1"/>
  <c r="N167" i="1" s="1"/>
  <c r="V167" i="1"/>
  <c r="S43" i="3" s="1"/>
  <c r="Y167" i="1"/>
  <c r="Z167" i="1"/>
  <c r="AB167" i="1"/>
  <c r="AC167" i="1"/>
  <c r="AD167" i="1"/>
  <c r="T167" i="1" s="1"/>
  <c r="AE167" i="1"/>
  <c r="AF167" i="1"/>
  <c r="AH103" i="1"/>
  <c r="K168" i="1"/>
  <c r="L168" i="1"/>
  <c r="M168" i="1"/>
  <c r="N168" i="1" s="1"/>
  <c r="V168" i="1"/>
  <c r="Y168" i="1"/>
  <c r="Z168" i="1"/>
  <c r="AB168" i="1"/>
  <c r="AC168" i="1"/>
  <c r="AD168" i="1"/>
  <c r="AE168" i="1"/>
  <c r="AF168" i="1"/>
  <c r="AH104" i="1"/>
  <c r="K169" i="1"/>
  <c r="L169" i="1"/>
  <c r="M169" i="1"/>
  <c r="N169" i="1" s="1"/>
  <c r="V169" i="1"/>
  <c r="Y169" i="1"/>
  <c r="Z169" i="1"/>
  <c r="AB169" i="1"/>
  <c r="AC169" i="1"/>
  <c r="AD169" i="1"/>
  <c r="AG169" i="1" s="1"/>
  <c r="AE169" i="1"/>
  <c r="AF169" i="1"/>
  <c r="AH105" i="1"/>
  <c r="K170" i="1"/>
  <c r="L170" i="1"/>
  <c r="M170" i="1"/>
  <c r="N170" i="1" s="1"/>
  <c r="V170" i="1"/>
  <c r="Y170" i="1"/>
  <c r="Z170" i="1"/>
  <c r="AB170" i="1"/>
  <c r="AC170" i="1"/>
  <c r="AD170" i="1"/>
  <c r="T170" i="1" s="1"/>
  <c r="AE170" i="1"/>
  <c r="AF170" i="1"/>
  <c r="AH106" i="1"/>
  <c r="K171" i="1"/>
  <c r="L171" i="1"/>
  <c r="M171" i="1"/>
  <c r="N171" i="1" s="1"/>
  <c r="V171" i="1"/>
  <c r="Y171" i="1"/>
  <c r="Z171" i="1"/>
  <c r="AB171" i="1"/>
  <c r="AC171" i="1"/>
  <c r="AD171" i="1"/>
  <c r="T171" i="1" s="1"/>
  <c r="AE171" i="1"/>
  <c r="AF171" i="1"/>
  <c r="AH107" i="1"/>
  <c r="K172" i="1"/>
  <c r="L172" i="1"/>
  <c r="M172" i="1"/>
  <c r="N172" i="1" s="1"/>
  <c r="V172" i="1"/>
  <c r="Y172" i="1"/>
  <c r="Z172" i="1"/>
  <c r="AB172" i="1"/>
  <c r="AC172" i="1"/>
  <c r="AD172" i="1"/>
  <c r="AE172" i="1"/>
  <c r="AF172" i="1"/>
  <c r="AH108" i="1"/>
  <c r="K173" i="1"/>
  <c r="L173" i="1"/>
  <c r="M173" i="1"/>
  <c r="N173" i="1" s="1"/>
  <c r="V173" i="1"/>
  <c r="Y173" i="1"/>
  <c r="Z173" i="1"/>
  <c r="AB173" i="1"/>
  <c r="AC173" i="1"/>
  <c r="AD173" i="1"/>
  <c r="AG173" i="1" s="1"/>
  <c r="AE173" i="1"/>
  <c r="AF173" i="1"/>
  <c r="AH109" i="1"/>
  <c r="K174" i="1"/>
  <c r="L174" i="1"/>
  <c r="M174" i="1"/>
  <c r="N174" i="1" s="1"/>
  <c r="V174" i="1"/>
  <c r="Y174" i="1"/>
  <c r="Z174" i="1"/>
  <c r="AB174" i="1"/>
  <c r="AC174" i="1"/>
  <c r="AD174" i="1"/>
  <c r="AE174" i="1"/>
  <c r="AF174" i="1"/>
  <c r="AH110" i="1"/>
  <c r="K175" i="1"/>
  <c r="L175" i="1"/>
  <c r="M175" i="1"/>
  <c r="N175" i="1" s="1"/>
  <c r="V175" i="1"/>
  <c r="S41" i="3" s="1"/>
  <c r="Y175" i="1"/>
  <c r="Z175" i="1"/>
  <c r="AB175" i="1"/>
  <c r="AC175" i="1"/>
  <c r="AD175" i="1"/>
  <c r="AE175" i="1"/>
  <c r="R41" i="3" s="1"/>
  <c r="AF175" i="1"/>
  <c r="AH111" i="1"/>
  <c r="K176" i="1"/>
  <c r="L176" i="1"/>
  <c r="M176" i="1"/>
  <c r="N176" i="1" s="1"/>
  <c r="V176" i="1"/>
  <c r="Y176" i="1"/>
  <c r="Z176" i="1"/>
  <c r="AB176" i="1"/>
  <c r="AC176" i="1"/>
  <c r="AD176" i="1"/>
  <c r="T176" i="1" s="1"/>
  <c r="AE176" i="1"/>
  <c r="AF176" i="1"/>
  <c r="AH112" i="1"/>
  <c r="K93" i="1"/>
  <c r="L93" i="1"/>
  <c r="M93" i="1"/>
  <c r="N93" i="1" s="1"/>
  <c r="V93" i="1"/>
  <c r="Y93" i="1"/>
  <c r="Z93" i="1"/>
  <c r="AB93" i="1"/>
  <c r="AC93" i="1"/>
  <c r="AD93" i="1"/>
  <c r="T93" i="1" s="1"/>
  <c r="AE93" i="1"/>
  <c r="AF93" i="1"/>
  <c r="AH113" i="1"/>
  <c r="K177" i="1"/>
  <c r="L177" i="1"/>
  <c r="M177" i="1"/>
  <c r="N177" i="1" s="1"/>
  <c r="V177" i="1"/>
  <c r="Y177" i="1"/>
  <c r="Z177" i="1"/>
  <c r="AA177" i="1" s="1"/>
  <c r="AB177" i="1"/>
  <c r="AC177" i="1"/>
  <c r="AD177" i="1"/>
  <c r="AG177" i="1" s="1"/>
  <c r="AE177" i="1"/>
  <c r="AF177" i="1"/>
  <c r="AH114" i="1"/>
  <c r="K178" i="1"/>
  <c r="L178" i="1"/>
  <c r="M178" i="1"/>
  <c r="N178" i="1"/>
  <c r="V178" i="1"/>
  <c r="S51" i="3" s="1"/>
  <c r="Y178" i="1"/>
  <c r="Z178" i="1"/>
  <c r="AB178" i="1"/>
  <c r="AC178" i="1"/>
  <c r="AD178" i="1"/>
  <c r="AE178" i="1"/>
  <c r="R39" i="3" s="1"/>
  <c r="AF178" i="1"/>
  <c r="AH115" i="1"/>
  <c r="K179" i="1"/>
  <c r="L179" i="1"/>
  <c r="M179" i="1"/>
  <c r="N179" i="1" s="1"/>
  <c r="V179" i="1"/>
  <c r="Y179" i="1"/>
  <c r="Z179" i="1"/>
  <c r="AB179" i="1"/>
  <c r="AC179" i="1"/>
  <c r="AD179" i="1"/>
  <c r="T179" i="1" s="1"/>
  <c r="AE179" i="1"/>
  <c r="R45" i="3" s="1"/>
  <c r="AF179" i="1"/>
  <c r="AH116" i="1"/>
  <c r="K180" i="1"/>
  <c r="L180" i="1"/>
  <c r="M180" i="1"/>
  <c r="N180" i="1" s="1"/>
  <c r="V180" i="1"/>
  <c r="Y180" i="1"/>
  <c r="Z180" i="1"/>
  <c r="AB180" i="1"/>
  <c r="AC180" i="1"/>
  <c r="AD180" i="1"/>
  <c r="T180" i="1" s="1"/>
  <c r="AE180" i="1"/>
  <c r="AF180" i="1"/>
  <c r="AH117" i="1"/>
  <c r="K181" i="1"/>
  <c r="L181" i="1"/>
  <c r="M181" i="1"/>
  <c r="N181" i="1" s="1"/>
  <c r="V181" i="1"/>
  <c r="Y181" i="1"/>
  <c r="Z181" i="1"/>
  <c r="AB181" i="1"/>
  <c r="AC181" i="1"/>
  <c r="AD181" i="1"/>
  <c r="AG181" i="1" s="1"/>
  <c r="AE181" i="1"/>
  <c r="AF181" i="1"/>
  <c r="AH118" i="1"/>
  <c r="K182" i="1"/>
  <c r="L182" i="1"/>
  <c r="M182" i="1"/>
  <c r="N182" i="1" s="1"/>
  <c r="V182" i="1"/>
  <c r="S44" i="3" s="1"/>
  <c r="Y182" i="1"/>
  <c r="Z182" i="1"/>
  <c r="AB182" i="1"/>
  <c r="AC182" i="1"/>
  <c r="AD182" i="1"/>
  <c r="T182" i="1" s="1"/>
  <c r="AE182" i="1"/>
  <c r="AF182" i="1"/>
  <c r="AH119" i="1"/>
  <c r="K183" i="1"/>
  <c r="L183" i="1"/>
  <c r="M183" i="1"/>
  <c r="N183" i="1" s="1"/>
  <c r="V183" i="1"/>
  <c r="S49" i="3" s="1"/>
  <c r="Y183" i="1"/>
  <c r="Z183" i="1"/>
  <c r="AB183" i="1"/>
  <c r="AC183" i="1"/>
  <c r="AD183" i="1"/>
  <c r="T183" i="1" s="1"/>
  <c r="AE183" i="1"/>
  <c r="R49" i="3" s="1"/>
  <c r="AF183" i="1"/>
  <c r="AH120" i="1"/>
  <c r="K184" i="1"/>
  <c r="L184" i="1"/>
  <c r="M184" i="1"/>
  <c r="N184" i="1" s="1"/>
  <c r="V184" i="1"/>
  <c r="Y184" i="1"/>
  <c r="Z184" i="1"/>
  <c r="AA184" i="1" s="1"/>
  <c r="AB184" i="1"/>
  <c r="AC184" i="1"/>
  <c r="AD184" i="1"/>
  <c r="AE184" i="1"/>
  <c r="AF184" i="1"/>
  <c r="AH121" i="1"/>
  <c r="K185" i="1"/>
  <c r="L185" i="1"/>
  <c r="M185" i="1"/>
  <c r="N185" i="1" s="1"/>
  <c r="V185" i="1"/>
  <c r="S42" i="3" s="1"/>
  <c r="Y185" i="1"/>
  <c r="Z185" i="1"/>
  <c r="AB185" i="1"/>
  <c r="AC185" i="1"/>
  <c r="AD185" i="1"/>
  <c r="AG185" i="1" s="1"/>
  <c r="AE185" i="1"/>
  <c r="R42" i="3" s="1"/>
  <c r="AF185" i="1"/>
  <c r="AH122" i="1"/>
  <c r="K186" i="1"/>
  <c r="L186" i="1"/>
  <c r="M186" i="1"/>
  <c r="N186" i="1" s="1"/>
  <c r="V186" i="1"/>
  <c r="S52" i="3" s="1"/>
  <c r="Y186" i="1"/>
  <c r="Z186" i="1"/>
  <c r="AB186" i="1"/>
  <c r="AC186" i="1"/>
  <c r="AD186" i="1"/>
  <c r="T186" i="1" s="1"/>
  <c r="AE186" i="1"/>
  <c r="R52" i="3" s="1"/>
  <c r="AF186" i="1"/>
  <c r="AH123" i="1"/>
  <c r="K94" i="1"/>
  <c r="L94" i="1"/>
  <c r="M94" i="1"/>
  <c r="N94" i="1" s="1"/>
  <c r="V94" i="1"/>
  <c r="Y94" i="1"/>
  <c r="Z94" i="1"/>
  <c r="AB94" i="1"/>
  <c r="AC94" i="1"/>
  <c r="AD94" i="1"/>
  <c r="T94" i="1" s="1"/>
  <c r="AE94" i="1"/>
  <c r="AF94" i="1"/>
  <c r="AH124" i="1"/>
  <c r="K187" i="1"/>
  <c r="L187" i="1"/>
  <c r="M187" i="1"/>
  <c r="N187" i="1" s="1"/>
  <c r="V187" i="1"/>
  <c r="Y187" i="1"/>
  <c r="Z187" i="1"/>
  <c r="AB187" i="1"/>
  <c r="AC187" i="1"/>
  <c r="AD187" i="1"/>
  <c r="AG187" i="1" s="1"/>
  <c r="AE187" i="1"/>
  <c r="AF187" i="1"/>
  <c r="AH125" i="1"/>
  <c r="K188" i="1"/>
  <c r="L188" i="1"/>
  <c r="M188" i="1"/>
  <c r="N188" i="1" s="1"/>
  <c r="V188" i="1"/>
  <c r="Y188" i="1"/>
  <c r="Z188" i="1"/>
  <c r="AB188" i="1"/>
  <c r="AC188" i="1"/>
  <c r="AD188" i="1"/>
  <c r="AG188" i="1" s="1"/>
  <c r="AE188" i="1"/>
  <c r="R53" i="3" s="1"/>
  <c r="AF188" i="1"/>
  <c r="AH126" i="1"/>
  <c r="K189" i="1"/>
  <c r="L189" i="1"/>
  <c r="M189" i="1"/>
  <c r="N189" i="1" s="1"/>
  <c r="V189" i="1"/>
  <c r="Y189" i="1"/>
  <c r="Z189" i="1"/>
  <c r="AB189" i="1"/>
  <c r="AC189" i="1"/>
  <c r="AD189" i="1"/>
  <c r="T189" i="1" s="1"/>
  <c r="AE189" i="1"/>
  <c r="R50" i="3" s="1"/>
  <c r="AF189" i="1"/>
  <c r="AH127" i="1"/>
  <c r="K190" i="1"/>
  <c r="L190" i="1"/>
  <c r="M190" i="1"/>
  <c r="N190" i="1" s="1"/>
  <c r="V190" i="1"/>
  <c r="Y190" i="1"/>
  <c r="Z190" i="1"/>
  <c r="AB190" i="1"/>
  <c r="AC190" i="1"/>
  <c r="AD190" i="1"/>
  <c r="X190" i="1" s="1"/>
  <c r="AE190" i="1"/>
  <c r="AF190" i="1"/>
  <c r="AH128" i="1"/>
  <c r="K95" i="1"/>
  <c r="L95" i="1"/>
  <c r="M95" i="1"/>
  <c r="N95" i="1" s="1"/>
  <c r="V95" i="1"/>
  <c r="Y95" i="1"/>
  <c r="Z95" i="1"/>
  <c r="AB95" i="1"/>
  <c r="AC95" i="1"/>
  <c r="AD95" i="1"/>
  <c r="T95" i="1" s="1"/>
  <c r="AE95" i="1"/>
  <c r="R32" i="3" s="1"/>
  <c r="AF95" i="1"/>
  <c r="AH129" i="1"/>
  <c r="K96" i="1"/>
  <c r="L96" i="1"/>
  <c r="M96" i="1"/>
  <c r="N96" i="1" s="1"/>
  <c r="V96" i="1"/>
  <c r="Y96" i="1"/>
  <c r="Z96" i="1"/>
  <c r="AB96" i="1"/>
  <c r="AC96" i="1"/>
  <c r="AD96" i="1"/>
  <c r="AG96" i="1" s="1"/>
  <c r="AE96" i="1"/>
  <c r="R8" i="3" s="1"/>
  <c r="AF96" i="1"/>
  <c r="AH130" i="1"/>
  <c r="K97" i="1"/>
  <c r="L97" i="1"/>
  <c r="M97" i="1"/>
  <c r="N97" i="1" s="1"/>
  <c r="V97" i="1"/>
  <c r="Y97" i="1"/>
  <c r="Z97" i="1"/>
  <c r="AB97" i="1"/>
  <c r="AC97" i="1"/>
  <c r="AD97" i="1"/>
  <c r="T97" i="1" s="1"/>
  <c r="AE97" i="1"/>
  <c r="AF97" i="1"/>
  <c r="AH131" i="1"/>
  <c r="K98" i="1"/>
  <c r="L98" i="1"/>
  <c r="M98" i="1"/>
  <c r="V98" i="1"/>
  <c r="Y98" i="1"/>
  <c r="Z98" i="1"/>
  <c r="AB98" i="1"/>
  <c r="AC98" i="1"/>
  <c r="AD98" i="1"/>
  <c r="T98" i="1" s="1"/>
  <c r="AE98" i="1"/>
  <c r="AF98" i="1"/>
  <c r="AH132" i="1"/>
  <c r="K99" i="1"/>
  <c r="L99" i="1"/>
  <c r="M99" i="1"/>
  <c r="N99" i="1" s="1"/>
  <c r="V99" i="1"/>
  <c r="Y99" i="1"/>
  <c r="Z99" i="1"/>
  <c r="AB99" i="1"/>
  <c r="AC99" i="1"/>
  <c r="AD99" i="1"/>
  <c r="T99" i="1" s="1"/>
  <c r="AE99" i="1"/>
  <c r="AF99" i="1"/>
  <c r="AH133" i="1"/>
  <c r="K100" i="1"/>
  <c r="L100" i="1"/>
  <c r="M100" i="1"/>
  <c r="N100" i="1" s="1"/>
  <c r="V100" i="1"/>
  <c r="Y100" i="1"/>
  <c r="Z100" i="1"/>
  <c r="AB100" i="1"/>
  <c r="AC100" i="1"/>
  <c r="AD100" i="1"/>
  <c r="AG100" i="1" s="1"/>
  <c r="AE100" i="1"/>
  <c r="AF100" i="1"/>
  <c r="AH134" i="1"/>
  <c r="K101" i="1"/>
  <c r="L101" i="1"/>
  <c r="M101" i="1"/>
  <c r="N101" i="1" s="1"/>
  <c r="V101" i="1"/>
  <c r="Y101" i="1"/>
  <c r="Z101" i="1"/>
  <c r="AB101" i="1"/>
  <c r="AC101" i="1"/>
  <c r="AD101" i="1"/>
  <c r="T101" i="1" s="1"/>
  <c r="AE101" i="1"/>
  <c r="AF101" i="1"/>
  <c r="K205" i="1"/>
  <c r="L205" i="1"/>
  <c r="M205" i="1"/>
  <c r="N205" i="1" s="1"/>
  <c r="V205" i="1"/>
  <c r="Y205" i="1"/>
  <c r="Z205" i="1"/>
  <c r="AB205" i="1"/>
  <c r="AC205" i="1"/>
  <c r="AD205" i="1"/>
  <c r="T205" i="1" s="1"/>
  <c r="AE205" i="1"/>
  <c r="AF205" i="1"/>
  <c r="K102" i="1"/>
  <c r="L102" i="1"/>
  <c r="M102" i="1"/>
  <c r="N102" i="1" s="1"/>
  <c r="V102" i="1"/>
  <c r="Y102" i="1"/>
  <c r="Z102" i="1"/>
  <c r="AB102" i="1"/>
  <c r="AC102" i="1"/>
  <c r="AD102" i="1"/>
  <c r="AG102" i="1" s="1"/>
  <c r="AE102" i="1"/>
  <c r="AF102" i="1"/>
  <c r="AH135" i="1"/>
  <c r="K103" i="1"/>
  <c r="L103" i="1"/>
  <c r="M103" i="1"/>
  <c r="N103" i="1" s="1"/>
  <c r="V103" i="1"/>
  <c r="Y103" i="1"/>
  <c r="Z103" i="1"/>
  <c r="AB103" i="1"/>
  <c r="AC103" i="1"/>
  <c r="AD103" i="1"/>
  <c r="AG103" i="1" s="1"/>
  <c r="AE103" i="1"/>
  <c r="AF103" i="1"/>
  <c r="AH136" i="1"/>
  <c r="K104" i="1"/>
  <c r="L104" i="1"/>
  <c r="M104" i="1"/>
  <c r="N104" i="1" s="1"/>
  <c r="V104" i="1"/>
  <c r="S36" i="3" s="1"/>
  <c r="Y104" i="1"/>
  <c r="Z104" i="1"/>
  <c r="AB104" i="1"/>
  <c r="AC104" i="1"/>
  <c r="AD104" i="1"/>
  <c r="T104" i="1" s="1"/>
  <c r="AE104" i="1"/>
  <c r="AF104" i="1"/>
  <c r="AH137" i="1"/>
  <c r="K105" i="1"/>
  <c r="L105" i="1"/>
  <c r="M105" i="1"/>
  <c r="N105" i="1" s="1"/>
  <c r="T105" i="1"/>
  <c r="V105" i="1"/>
  <c r="Y105" i="1"/>
  <c r="Z105" i="1"/>
  <c r="AA105" i="1" s="1"/>
  <c r="AB105" i="1"/>
  <c r="AC105" i="1"/>
  <c r="AD105" i="1"/>
  <c r="AE105" i="1"/>
  <c r="AF105" i="1"/>
  <c r="AG105" i="1"/>
  <c r="AH138" i="1"/>
  <c r="K106" i="1"/>
  <c r="L106" i="1"/>
  <c r="M106" i="1"/>
  <c r="N106" i="1" s="1"/>
  <c r="V106" i="1"/>
  <c r="Y106" i="1"/>
  <c r="Z106" i="1"/>
  <c r="AA106" i="1" s="1"/>
  <c r="W106" i="1" s="1"/>
  <c r="AB106" i="1"/>
  <c r="AC106" i="1"/>
  <c r="AD106" i="1"/>
  <c r="AG106" i="1" s="1"/>
  <c r="AE106" i="1"/>
  <c r="AF106" i="1"/>
  <c r="AH139" i="1"/>
  <c r="K107" i="1"/>
  <c r="L107" i="1"/>
  <c r="M107" i="1"/>
  <c r="N107" i="1" s="1"/>
  <c r="V107" i="1"/>
  <c r="Y107" i="1"/>
  <c r="Z107" i="1"/>
  <c r="AB107" i="1"/>
  <c r="AC107" i="1"/>
  <c r="AD107" i="1"/>
  <c r="AG107" i="1" s="1"/>
  <c r="AE107" i="1"/>
  <c r="AF107" i="1"/>
  <c r="AH140" i="1"/>
  <c r="K108" i="1"/>
  <c r="L108" i="1"/>
  <c r="M108" i="1"/>
  <c r="N108" i="1" s="1"/>
  <c r="V108" i="1"/>
  <c r="Y108" i="1"/>
  <c r="Z108" i="1"/>
  <c r="AB108" i="1"/>
  <c r="AC108" i="1"/>
  <c r="AD108" i="1"/>
  <c r="T108" i="1" s="1"/>
  <c r="AE108" i="1"/>
  <c r="AF108" i="1"/>
  <c r="AH141" i="1"/>
  <c r="K109" i="1"/>
  <c r="L109" i="1"/>
  <c r="M109" i="1"/>
  <c r="N109" i="1" s="1"/>
  <c r="V109" i="1"/>
  <c r="Y109" i="1"/>
  <c r="Z109" i="1"/>
  <c r="AB109" i="1"/>
  <c r="AC109" i="1"/>
  <c r="AD109" i="1"/>
  <c r="AE109" i="1"/>
  <c r="AF109" i="1"/>
  <c r="AH142" i="1"/>
  <c r="K110" i="1"/>
  <c r="L110" i="1"/>
  <c r="M110" i="1"/>
  <c r="N110" i="1" s="1"/>
  <c r="V110" i="1"/>
  <c r="Y110" i="1"/>
  <c r="Z110" i="1"/>
  <c r="AA110" i="1" s="1"/>
  <c r="AB110" i="1"/>
  <c r="AC110" i="1"/>
  <c r="AD110" i="1"/>
  <c r="T110" i="1" s="1"/>
  <c r="AE110" i="1"/>
  <c r="AF110" i="1"/>
  <c r="AH143" i="1"/>
  <c r="K111" i="1"/>
  <c r="L111" i="1"/>
  <c r="M111" i="1"/>
  <c r="N111" i="1" s="1"/>
  <c r="V111" i="1"/>
  <c r="Y111" i="1"/>
  <c r="Z111" i="1"/>
  <c r="AB111" i="1"/>
  <c r="AC111" i="1"/>
  <c r="AD111" i="1"/>
  <c r="AG111" i="1" s="1"/>
  <c r="AE111" i="1"/>
  <c r="AF111" i="1"/>
  <c r="AH144" i="1"/>
  <c r="K112" i="1"/>
  <c r="L112" i="1"/>
  <c r="M112" i="1"/>
  <c r="N112" i="1" s="1"/>
  <c r="V112" i="1"/>
  <c r="Y112" i="1"/>
  <c r="Z112" i="1"/>
  <c r="AB112" i="1"/>
  <c r="AC112" i="1"/>
  <c r="AD112" i="1"/>
  <c r="T112" i="1" s="1"/>
  <c r="AE112" i="1"/>
  <c r="AF112" i="1"/>
  <c r="AH145" i="1"/>
  <c r="K113" i="1"/>
  <c r="L113" i="1"/>
  <c r="M113" i="1"/>
  <c r="N113" i="1" s="1"/>
  <c r="V113" i="1"/>
  <c r="Y113" i="1"/>
  <c r="Z113" i="1"/>
  <c r="AB113" i="1"/>
  <c r="AC113" i="1"/>
  <c r="AD113" i="1"/>
  <c r="T113" i="1" s="1"/>
  <c r="AE113" i="1"/>
  <c r="R27" i="3" s="1"/>
  <c r="AF113" i="1"/>
  <c r="AH146" i="1"/>
  <c r="K114" i="1"/>
  <c r="L114" i="1"/>
  <c r="M114" i="1"/>
  <c r="N114" i="1" s="1"/>
  <c r="V114" i="1"/>
  <c r="Y114" i="1"/>
  <c r="Z114" i="1"/>
  <c r="AA114" i="1" s="1"/>
  <c r="AB114" i="1"/>
  <c r="AC114" i="1"/>
  <c r="AD114" i="1"/>
  <c r="T114" i="1" s="1"/>
  <c r="AE114" i="1"/>
  <c r="R37" i="3" s="1"/>
  <c r="AF114" i="1"/>
  <c r="AH147" i="1"/>
  <c r="K115" i="1"/>
  <c r="L115" i="1"/>
  <c r="M115" i="1"/>
  <c r="N115" i="1" s="1"/>
  <c r="V115" i="1"/>
  <c r="Y115" i="1"/>
  <c r="Z115" i="1"/>
  <c r="AA115" i="1" s="1"/>
  <c r="AB115" i="1"/>
  <c r="AC115" i="1"/>
  <c r="AD115" i="1"/>
  <c r="AG115" i="1" s="1"/>
  <c r="AE115" i="1"/>
  <c r="AF115" i="1"/>
  <c r="AH148" i="1"/>
  <c r="K116" i="1"/>
  <c r="L116" i="1"/>
  <c r="M116" i="1"/>
  <c r="N116" i="1" s="1"/>
  <c r="V116" i="1"/>
  <c r="Y116" i="1"/>
  <c r="Z116" i="1"/>
  <c r="AA116" i="1" s="1"/>
  <c r="AB116" i="1"/>
  <c r="AC116" i="1"/>
  <c r="AD116" i="1"/>
  <c r="T116" i="1" s="1"/>
  <c r="AE116" i="1"/>
  <c r="AF116" i="1"/>
  <c r="AH149" i="1"/>
  <c r="K117" i="1"/>
  <c r="L117" i="1"/>
  <c r="M117" i="1"/>
  <c r="N117" i="1" s="1"/>
  <c r="V117" i="1"/>
  <c r="Y117" i="1"/>
  <c r="Z117" i="1"/>
  <c r="AB117" i="1"/>
  <c r="AC117" i="1"/>
  <c r="AD117" i="1"/>
  <c r="X117" i="1" s="1"/>
  <c r="AE117" i="1"/>
  <c r="AF117" i="1"/>
  <c r="AH150" i="1"/>
  <c r="K118" i="1"/>
  <c r="L118" i="1"/>
  <c r="M118" i="1"/>
  <c r="N118" i="1" s="1"/>
  <c r="V118" i="1"/>
  <c r="Y118" i="1"/>
  <c r="Z118" i="1"/>
  <c r="AB118" i="1"/>
  <c r="AC118" i="1"/>
  <c r="AD118" i="1"/>
  <c r="AG118" i="1" s="1"/>
  <c r="AE118" i="1"/>
  <c r="AF118" i="1"/>
  <c r="AH151" i="1"/>
  <c r="K119" i="1"/>
  <c r="L119" i="1"/>
  <c r="M119" i="1"/>
  <c r="N119" i="1" s="1"/>
  <c r="V119" i="1"/>
  <c r="Y119" i="1"/>
  <c r="Z119" i="1"/>
  <c r="AB119" i="1"/>
  <c r="AC119" i="1"/>
  <c r="AD119" i="1"/>
  <c r="AG119" i="1" s="1"/>
  <c r="AE119" i="1"/>
  <c r="AF119" i="1"/>
  <c r="AH152" i="1"/>
  <c r="K120" i="1"/>
  <c r="L120" i="1"/>
  <c r="M120" i="1"/>
  <c r="N120" i="1" s="1"/>
  <c r="V120" i="1"/>
  <c r="Y120" i="1"/>
  <c r="Z120" i="1"/>
  <c r="AB120" i="1"/>
  <c r="AC120" i="1"/>
  <c r="AD120" i="1"/>
  <c r="AE120" i="1"/>
  <c r="AF120" i="1"/>
  <c r="AH153" i="1"/>
  <c r="K121" i="1"/>
  <c r="L121" i="1"/>
  <c r="M121" i="1"/>
  <c r="N121" i="1" s="1"/>
  <c r="V121" i="1"/>
  <c r="Y121" i="1"/>
  <c r="Z121" i="1"/>
  <c r="AB121" i="1"/>
  <c r="AC121" i="1"/>
  <c r="AD121" i="1"/>
  <c r="T121" i="1" s="1"/>
  <c r="AE121" i="1"/>
  <c r="AF121" i="1"/>
  <c r="AH154" i="1"/>
  <c r="K122" i="1"/>
  <c r="L122" i="1"/>
  <c r="M122" i="1"/>
  <c r="N122" i="1" s="1"/>
  <c r="V122" i="1"/>
  <c r="Y122" i="1"/>
  <c r="Z122" i="1"/>
  <c r="AB122" i="1"/>
  <c r="AC122" i="1"/>
  <c r="AD122" i="1"/>
  <c r="T122" i="1" s="1"/>
  <c r="AE122" i="1"/>
  <c r="AF122" i="1"/>
  <c r="AH156" i="1"/>
  <c r="K123" i="1"/>
  <c r="L123" i="1"/>
  <c r="M123" i="1"/>
  <c r="N123" i="1" s="1"/>
  <c r="V123" i="1"/>
  <c r="Y123" i="1"/>
  <c r="Z123" i="1"/>
  <c r="AB123" i="1"/>
  <c r="AC123" i="1"/>
  <c r="AD123" i="1"/>
  <c r="AG123" i="1" s="1"/>
  <c r="AE123" i="1"/>
  <c r="AF123" i="1"/>
  <c r="AH157" i="1"/>
  <c r="K124" i="1"/>
  <c r="L124" i="1"/>
  <c r="M124" i="1"/>
  <c r="N124" i="1" s="1"/>
  <c r="V124" i="1"/>
  <c r="Y124" i="1"/>
  <c r="Z124" i="1"/>
  <c r="AB124" i="1"/>
  <c r="AC124" i="1"/>
  <c r="AD124" i="1"/>
  <c r="T124" i="1" s="1"/>
  <c r="AE124" i="1"/>
  <c r="AF124" i="1"/>
  <c r="AG124" i="1"/>
  <c r="AH158" i="1"/>
  <c r="K125" i="1"/>
  <c r="L125" i="1"/>
  <c r="M125" i="1"/>
  <c r="P125" i="1" s="1"/>
  <c r="V125" i="1"/>
  <c r="Y125" i="1"/>
  <c r="Z125" i="1"/>
  <c r="AB125" i="1"/>
  <c r="AC125" i="1"/>
  <c r="AD125" i="1"/>
  <c r="AE125" i="1"/>
  <c r="AF125" i="1"/>
  <c r="AH159" i="1"/>
  <c r="K126" i="1"/>
  <c r="L126" i="1"/>
  <c r="M126" i="1"/>
  <c r="V126" i="1"/>
  <c r="Y126" i="1"/>
  <c r="Z126" i="1"/>
  <c r="AB126" i="1"/>
  <c r="AC126" i="1"/>
  <c r="AD126" i="1"/>
  <c r="AG126" i="1" s="1"/>
  <c r="AE126" i="1"/>
  <c r="AF126" i="1"/>
  <c r="AH160" i="1"/>
  <c r="K127" i="1"/>
  <c r="L127" i="1"/>
  <c r="M127" i="1"/>
  <c r="N127" i="1" s="1"/>
  <c r="V127" i="1"/>
  <c r="Y127" i="1"/>
  <c r="Z127" i="1"/>
  <c r="AB127" i="1"/>
  <c r="AC127" i="1"/>
  <c r="AD127" i="1"/>
  <c r="AG127" i="1" s="1"/>
  <c r="AE127" i="1"/>
  <c r="AF127" i="1"/>
  <c r="AH161" i="1"/>
  <c r="K128" i="1"/>
  <c r="L128" i="1"/>
  <c r="M128" i="1"/>
  <c r="N128" i="1" s="1"/>
  <c r="V128" i="1"/>
  <c r="Y128" i="1"/>
  <c r="Z128" i="1"/>
  <c r="AB128" i="1"/>
  <c r="AC128" i="1"/>
  <c r="AD128" i="1"/>
  <c r="T128" i="1" s="1"/>
  <c r="AE128" i="1"/>
  <c r="AF128" i="1"/>
  <c r="AH162" i="1"/>
  <c r="K129" i="1"/>
  <c r="L129" i="1"/>
  <c r="M129" i="1"/>
  <c r="N129" i="1" s="1"/>
  <c r="V129" i="1"/>
  <c r="Y129" i="1"/>
  <c r="Z129" i="1"/>
  <c r="AB129" i="1"/>
  <c r="AC129" i="1"/>
  <c r="AD129" i="1"/>
  <c r="T129" i="1" s="1"/>
  <c r="AE129" i="1"/>
  <c r="AF129" i="1"/>
  <c r="AH163" i="1"/>
  <c r="K130" i="1"/>
  <c r="L130" i="1"/>
  <c r="M130" i="1"/>
  <c r="N130" i="1" s="1"/>
  <c r="V130" i="1"/>
  <c r="Y130" i="1"/>
  <c r="Z130" i="1"/>
  <c r="AB130" i="1"/>
  <c r="AC130" i="1"/>
  <c r="AD130" i="1"/>
  <c r="T130" i="1" s="1"/>
  <c r="AE130" i="1"/>
  <c r="AF130" i="1"/>
  <c r="AH164" i="1"/>
  <c r="K131" i="1"/>
  <c r="L131" i="1"/>
  <c r="M131" i="1"/>
  <c r="N131" i="1" s="1"/>
  <c r="V131" i="1"/>
  <c r="Y131" i="1"/>
  <c r="Z131" i="1"/>
  <c r="AB131" i="1"/>
  <c r="AC131" i="1"/>
  <c r="AD131" i="1"/>
  <c r="AG131" i="1" s="1"/>
  <c r="AE131" i="1"/>
  <c r="AF131" i="1"/>
  <c r="AH165" i="1"/>
  <c r="K132" i="1"/>
  <c r="L132" i="1"/>
  <c r="M132" i="1"/>
  <c r="N132" i="1" s="1"/>
  <c r="V132" i="1"/>
  <c r="Y132" i="1"/>
  <c r="Z132" i="1"/>
  <c r="AB132" i="1"/>
  <c r="AC132" i="1"/>
  <c r="AD132" i="1"/>
  <c r="T132" i="1" s="1"/>
  <c r="AE132" i="1"/>
  <c r="AF132" i="1"/>
  <c r="AH166" i="1"/>
  <c r="K133" i="1"/>
  <c r="L133" i="1"/>
  <c r="M133" i="1"/>
  <c r="N133" i="1" s="1"/>
  <c r="V133" i="1"/>
  <c r="Y133" i="1"/>
  <c r="Z133" i="1"/>
  <c r="AB133" i="1"/>
  <c r="AC133" i="1"/>
  <c r="AD133" i="1"/>
  <c r="AE133" i="1"/>
  <c r="AF133" i="1"/>
  <c r="AH167" i="1"/>
  <c r="K134" i="1"/>
  <c r="L134" i="1"/>
  <c r="M134" i="1"/>
  <c r="N134" i="1" s="1"/>
  <c r="V134" i="1"/>
  <c r="S33" i="3" s="1"/>
  <c r="Y134" i="1"/>
  <c r="Z134" i="1"/>
  <c r="AA134" i="1" s="1"/>
  <c r="AB134" i="1"/>
  <c r="AC134" i="1"/>
  <c r="AD134" i="1"/>
  <c r="AG134" i="1" s="1"/>
  <c r="AE134" i="1"/>
  <c r="AF134" i="1"/>
  <c r="AH168" i="1"/>
  <c r="AH169" i="1"/>
  <c r="AH170" i="1"/>
  <c r="K135" i="1"/>
  <c r="L135" i="1"/>
  <c r="M135" i="1"/>
  <c r="N135" i="1" s="1"/>
  <c r="V135" i="1"/>
  <c r="Y135" i="1"/>
  <c r="Z135" i="1"/>
  <c r="AB135" i="1"/>
  <c r="AC135" i="1"/>
  <c r="AD135" i="1"/>
  <c r="T135" i="1" s="1"/>
  <c r="AE135" i="1"/>
  <c r="AF135" i="1"/>
  <c r="AH171" i="1"/>
  <c r="K136" i="1"/>
  <c r="L136" i="1"/>
  <c r="M136" i="1"/>
  <c r="N136" i="1" s="1"/>
  <c r="V136" i="1"/>
  <c r="Y136" i="1"/>
  <c r="Z136" i="1"/>
  <c r="AA136" i="1" s="1"/>
  <c r="AB136" i="1"/>
  <c r="AC136" i="1"/>
  <c r="AD136" i="1"/>
  <c r="T136" i="1" s="1"/>
  <c r="AE136" i="1"/>
  <c r="AF136" i="1"/>
  <c r="AH172" i="1"/>
  <c r="K137" i="1"/>
  <c r="L137" i="1"/>
  <c r="M137" i="1"/>
  <c r="N137" i="1" s="1"/>
  <c r="V137" i="1"/>
  <c r="Y137" i="1"/>
  <c r="Z137" i="1"/>
  <c r="AA137" i="1" s="1"/>
  <c r="AB137" i="1"/>
  <c r="AC137" i="1"/>
  <c r="AD137" i="1"/>
  <c r="AG137" i="1" s="1"/>
  <c r="AE137" i="1"/>
  <c r="AF137" i="1"/>
  <c r="AH173" i="1"/>
  <c r="K138" i="1"/>
  <c r="L138" i="1"/>
  <c r="M138" i="1"/>
  <c r="N138" i="1" s="1"/>
  <c r="V138" i="1"/>
  <c r="Y138" i="1"/>
  <c r="Z138" i="1"/>
  <c r="AA138" i="1" s="1"/>
  <c r="AB138" i="1"/>
  <c r="AC138" i="1"/>
  <c r="AD138" i="1"/>
  <c r="T138" i="1" s="1"/>
  <c r="AE138" i="1"/>
  <c r="AF138" i="1"/>
  <c r="AH174" i="1"/>
  <c r="K139" i="1"/>
  <c r="L139" i="1"/>
  <c r="M139" i="1"/>
  <c r="N139" i="1" s="1"/>
  <c r="V139" i="1"/>
  <c r="Y139" i="1"/>
  <c r="Z139" i="1"/>
  <c r="AB139" i="1"/>
  <c r="AC139" i="1"/>
  <c r="AD139" i="1"/>
  <c r="X139" i="1" s="1"/>
  <c r="AE139" i="1"/>
  <c r="AF139" i="1"/>
  <c r="AH175" i="1"/>
  <c r="K140" i="1"/>
  <c r="L140" i="1"/>
  <c r="M140" i="1"/>
  <c r="N140" i="1" s="1"/>
  <c r="V140" i="1"/>
  <c r="Y140" i="1"/>
  <c r="Z140" i="1"/>
  <c r="AB140" i="1"/>
  <c r="AC140" i="1"/>
  <c r="AD140" i="1"/>
  <c r="AG140" i="1" s="1"/>
  <c r="AE140" i="1"/>
  <c r="AF140" i="1"/>
  <c r="AH176" i="1"/>
  <c r="K141" i="1"/>
  <c r="L141" i="1"/>
  <c r="M141" i="1"/>
  <c r="N141" i="1" s="1"/>
  <c r="V141" i="1"/>
  <c r="Y141" i="1"/>
  <c r="Z141" i="1"/>
  <c r="AB141" i="1"/>
  <c r="AC141" i="1"/>
  <c r="AD141" i="1"/>
  <c r="AE141" i="1"/>
  <c r="AF141" i="1"/>
  <c r="AH177" i="1"/>
  <c r="K142" i="1"/>
  <c r="L142" i="1"/>
  <c r="M142" i="1"/>
  <c r="N142" i="1" s="1"/>
  <c r="V142" i="1"/>
  <c r="Y142" i="1"/>
  <c r="Z142" i="1"/>
  <c r="AB142" i="1"/>
  <c r="AC142" i="1"/>
  <c r="AD142" i="1"/>
  <c r="T142" i="1" s="1"/>
  <c r="AE142" i="1"/>
  <c r="AF142" i="1"/>
  <c r="AH178" i="1"/>
  <c r="K143" i="1"/>
  <c r="L143" i="1"/>
  <c r="M143" i="1"/>
  <c r="N143" i="1" s="1"/>
  <c r="T143" i="1"/>
  <c r="V143" i="1"/>
  <c r="Y143" i="1"/>
  <c r="Z143" i="1"/>
  <c r="AA143" i="1" s="1"/>
  <c r="AB143" i="1"/>
  <c r="AC143" i="1"/>
  <c r="AD143" i="1"/>
  <c r="AE143" i="1"/>
  <c r="AF143" i="1"/>
  <c r="AH179" i="1"/>
  <c r="K144" i="1"/>
  <c r="L144" i="1"/>
  <c r="M144" i="1"/>
  <c r="N144" i="1" s="1"/>
  <c r="V144" i="1"/>
  <c r="Y144" i="1"/>
  <c r="Z144" i="1"/>
  <c r="AB144" i="1"/>
  <c r="AC144" i="1"/>
  <c r="AD144" i="1"/>
  <c r="AG144" i="1" s="1"/>
  <c r="AE144" i="1"/>
  <c r="AF144" i="1"/>
  <c r="AH180" i="1"/>
  <c r="K145" i="1"/>
  <c r="L145" i="1"/>
  <c r="M145" i="1"/>
  <c r="N145" i="1" s="1"/>
  <c r="V145" i="1"/>
  <c r="Y145" i="1"/>
  <c r="Z145" i="1"/>
  <c r="AB145" i="1"/>
  <c r="AC145" i="1"/>
  <c r="AD145" i="1"/>
  <c r="AE145" i="1"/>
  <c r="AF145" i="1"/>
  <c r="AH181" i="1"/>
  <c r="K146" i="1"/>
  <c r="L146" i="1"/>
  <c r="M146" i="1"/>
  <c r="N146" i="1" s="1"/>
  <c r="V146" i="1"/>
  <c r="Y146" i="1"/>
  <c r="Z146" i="1"/>
  <c r="AB146" i="1"/>
  <c r="AC146" i="1"/>
  <c r="AD146" i="1"/>
  <c r="AG146" i="1" s="1"/>
  <c r="AE146" i="1"/>
  <c r="AF146" i="1"/>
  <c r="AH182" i="1"/>
  <c r="K147" i="1"/>
  <c r="L147" i="1"/>
  <c r="M147" i="1"/>
  <c r="N147" i="1" s="1"/>
  <c r="V147" i="1"/>
  <c r="Y147" i="1"/>
  <c r="Z147" i="1"/>
  <c r="AB147" i="1"/>
  <c r="AC147" i="1"/>
  <c r="AD147" i="1"/>
  <c r="T147" i="1" s="1"/>
  <c r="AE147" i="1"/>
  <c r="AF147" i="1"/>
  <c r="AH183" i="1"/>
  <c r="K148" i="1"/>
  <c r="L148" i="1"/>
  <c r="M148" i="1"/>
  <c r="N148" i="1" s="1"/>
  <c r="V148" i="1"/>
  <c r="Y148" i="1"/>
  <c r="Z148" i="1"/>
  <c r="AB148" i="1"/>
  <c r="AC148" i="1"/>
  <c r="AD148" i="1"/>
  <c r="T148" i="1" s="1"/>
  <c r="AE148" i="1"/>
  <c r="AF148" i="1"/>
  <c r="AH184" i="1"/>
  <c r="K149" i="1"/>
  <c r="L149" i="1"/>
  <c r="M149" i="1"/>
  <c r="N149" i="1" s="1"/>
  <c r="V149" i="1"/>
  <c r="Y149" i="1"/>
  <c r="Z149" i="1"/>
  <c r="AB149" i="1"/>
  <c r="AC149" i="1"/>
  <c r="AD149" i="1"/>
  <c r="AE149" i="1"/>
  <c r="AF149" i="1"/>
  <c r="AH185" i="1"/>
  <c r="K150" i="1"/>
  <c r="L150" i="1"/>
  <c r="M150" i="1"/>
  <c r="N150" i="1" s="1"/>
  <c r="V150" i="1"/>
  <c r="Y150" i="1"/>
  <c r="Z150" i="1"/>
  <c r="AB150" i="1"/>
  <c r="AC150" i="1"/>
  <c r="AD150" i="1"/>
  <c r="T150" i="1" s="1"/>
  <c r="AE150" i="1"/>
  <c r="R20" i="3" s="1"/>
  <c r="AF150" i="1"/>
  <c r="AH186" i="1"/>
  <c r="K151" i="1"/>
  <c r="L151" i="1"/>
  <c r="M151" i="1"/>
  <c r="N151" i="1"/>
  <c r="V151" i="1"/>
  <c r="S26" i="3" s="1"/>
  <c r="Y151" i="1"/>
  <c r="Z151" i="1"/>
  <c r="AB151" i="1"/>
  <c r="AC151" i="1"/>
  <c r="AD151" i="1"/>
  <c r="T151" i="1" s="1"/>
  <c r="AE151" i="1"/>
  <c r="R26" i="3" s="1"/>
  <c r="AF151" i="1"/>
  <c r="AH187" i="1"/>
  <c r="K152" i="1"/>
  <c r="L152" i="1"/>
  <c r="M152" i="1"/>
  <c r="N152" i="1" s="1"/>
  <c r="V152" i="1"/>
  <c r="Y152" i="1"/>
  <c r="Z152" i="1"/>
  <c r="AB152" i="1"/>
  <c r="AC152" i="1"/>
  <c r="AD152" i="1"/>
  <c r="AG152" i="1" s="1"/>
  <c r="AE152" i="1"/>
  <c r="AF152" i="1"/>
  <c r="AH188" i="1"/>
  <c r="K153" i="1"/>
  <c r="L153" i="1"/>
  <c r="M153" i="1"/>
  <c r="N153" i="1" s="1"/>
  <c r="V153" i="1"/>
  <c r="Y153" i="1"/>
  <c r="Z153" i="1"/>
  <c r="AB153" i="1"/>
  <c r="AC153" i="1"/>
  <c r="AD153" i="1"/>
  <c r="X153" i="1" s="1"/>
  <c r="AE153" i="1"/>
  <c r="AF153" i="1"/>
  <c r="AH189" i="1"/>
  <c r="K154" i="1"/>
  <c r="L154" i="1"/>
  <c r="M154" i="1"/>
  <c r="N154" i="1" s="1"/>
  <c r="V154" i="1"/>
  <c r="S21" i="3" s="1"/>
  <c r="X154" i="1"/>
  <c r="Y154" i="1"/>
  <c r="Z154" i="1"/>
  <c r="AA154" i="1" s="1"/>
  <c r="W154" i="1" s="1"/>
  <c r="AB154" i="1"/>
  <c r="AC154" i="1"/>
  <c r="AD154" i="1"/>
  <c r="AG154" i="1" s="1"/>
  <c r="AE154" i="1"/>
  <c r="R12" i="3" s="1"/>
  <c r="AF154" i="1"/>
  <c r="AH190" i="1"/>
  <c r="K156" i="1"/>
  <c r="L156" i="1"/>
  <c r="M156" i="1"/>
  <c r="N156" i="1" s="1"/>
  <c r="V156" i="1"/>
  <c r="Y156" i="1"/>
  <c r="Z156" i="1"/>
  <c r="AB156" i="1"/>
  <c r="AC156" i="1"/>
  <c r="AD156" i="1"/>
  <c r="T156" i="1" s="1"/>
  <c r="AE156" i="1"/>
  <c r="AF156" i="1"/>
  <c r="AH191" i="1"/>
  <c r="K191" i="1"/>
  <c r="L191" i="1"/>
  <c r="M191" i="1"/>
  <c r="N191" i="1" s="1"/>
  <c r="V191" i="1"/>
  <c r="Y191" i="1"/>
  <c r="Z191" i="1"/>
  <c r="AB191" i="1"/>
  <c r="AC191" i="1"/>
  <c r="AD191" i="1"/>
  <c r="T191" i="1" s="1"/>
  <c r="AE191" i="1"/>
  <c r="AF191" i="1"/>
  <c r="AH192" i="1"/>
  <c r="K192" i="1"/>
  <c r="L192" i="1"/>
  <c r="M192" i="1"/>
  <c r="N192" i="1" s="1"/>
  <c r="V192" i="1"/>
  <c r="Y192" i="1"/>
  <c r="Z192" i="1"/>
  <c r="AB192" i="1"/>
  <c r="AC192" i="1"/>
  <c r="AD192" i="1"/>
  <c r="AE192" i="1"/>
  <c r="AF192" i="1"/>
  <c r="AH193" i="1"/>
  <c r="K193" i="1"/>
  <c r="L193" i="1"/>
  <c r="M193" i="1"/>
  <c r="N193" i="1" s="1"/>
  <c r="V193" i="1"/>
  <c r="S57" i="3" s="1"/>
  <c r="Y193" i="1"/>
  <c r="Z193" i="1"/>
  <c r="AA193" i="1" s="1"/>
  <c r="AB193" i="1"/>
  <c r="AC193" i="1"/>
  <c r="AD193" i="1"/>
  <c r="AG193" i="1" s="1"/>
  <c r="AE193" i="1"/>
  <c r="R57" i="3" s="1"/>
  <c r="AF193" i="1"/>
  <c r="AH194" i="1"/>
  <c r="K194" i="1"/>
  <c r="L194" i="1"/>
  <c r="M194" i="1"/>
  <c r="N194" i="1" s="1"/>
  <c r="V194" i="1"/>
  <c r="Y194" i="1"/>
  <c r="Z194" i="1"/>
  <c r="AA194" i="1" s="1"/>
  <c r="AB194" i="1"/>
  <c r="AC194" i="1"/>
  <c r="AD194" i="1"/>
  <c r="T194" i="1" s="1"/>
  <c r="AE194" i="1"/>
  <c r="AF194" i="1"/>
  <c r="AH195" i="1"/>
  <c r="K195" i="1"/>
  <c r="L195" i="1"/>
  <c r="M195" i="1"/>
  <c r="N195" i="1" s="1"/>
  <c r="V195" i="1"/>
  <c r="Y195" i="1"/>
  <c r="Z195" i="1"/>
  <c r="AA195" i="1" s="1"/>
  <c r="AB195" i="1"/>
  <c r="AC195" i="1"/>
  <c r="AD195" i="1"/>
  <c r="T195" i="1" s="1"/>
  <c r="AE195" i="1"/>
  <c r="AF195" i="1"/>
  <c r="AG195" i="1"/>
  <c r="AH196" i="1"/>
  <c r="K196" i="1"/>
  <c r="L196" i="1"/>
  <c r="M196" i="1"/>
  <c r="N196" i="1" s="1"/>
  <c r="V196" i="1"/>
  <c r="Y196" i="1"/>
  <c r="Z196" i="1"/>
  <c r="AB196" i="1"/>
  <c r="AC196" i="1"/>
  <c r="AD196" i="1"/>
  <c r="AE196" i="1"/>
  <c r="AF196" i="1"/>
  <c r="AH197" i="1"/>
  <c r="K197" i="1"/>
  <c r="L197" i="1"/>
  <c r="M197" i="1"/>
  <c r="N197" i="1" s="1"/>
  <c r="V197" i="1"/>
  <c r="Y197" i="1"/>
  <c r="Z197" i="1"/>
  <c r="AB197" i="1"/>
  <c r="AC197" i="1"/>
  <c r="AD197" i="1"/>
  <c r="AG197" i="1" s="1"/>
  <c r="AE197" i="1"/>
  <c r="AF197" i="1"/>
  <c r="AH198" i="1"/>
  <c r="K198" i="1"/>
  <c r="L198" i="1"/>
  <c r="M198" i="1"/>
  <c r="N198" i="1" s="1"/>
  <c r="V198" i="1"/>
  <c r="Y198" i="1"/>
  <c r="Z198" i="1"/>
  <c r="AB198" i="1"/>
  <c r="AC198" i="1"/>
  <c r="AD198" i="1"/>
  <c r="T198" i="1" s="1"/>
  <c r="AE198" i="1"/>
  <c r="AF198" i="1"/>
  <c r="AH199" i="1"/>
  <c r="K199" i="1"/>
  <c r="L199" i="1"/>
  <c r="M199" i="1"/>
  <c r="N199" i="1" s="1"/>
  <c r="V199" i="1"/>
  <c r="Y199" i="1"/>
  <c r="Z199" i="1"/>
  <c r="AB199" i="1"/>
  <c r="AC199" i="1"/>
  <c r="AD199" i="1"/>
  <c r="T199" i="1" s="1"/>
  <c r="AE199" i="1"/>
  <c r="AF199" i="1"/>
  <c r="AH200" i="1"/>
  <c r="K200" i="1"/>
  <c r="L200" i="1"/>
  <c r="M200" i="1"/>
  <c r="N200" i="1" s="1"/>
  <c r="V200" i="1"/>
  <c r="Y200" i="1"/>
  <c r="Z200" i="1"/>
  <c r="AB200" i="1"/>
  <c r="AC200" i="1"/>
  <c r="AD200" i="1"/>
  <c r="AE200" i="1"/>
  <c r="AF200" i="1"/>
  <c r="AH201" i="1"/>
  <c r="K201" i="1"/>
  <c r="L201" i="1"/>
  <c r="M201" i="1"/>
  <c r="N201" i="1" s="1"/>
  <c r="V201" i="1"/>
  <c r="Y201" i="1"/>
  <c r="Z201" i="1"/>
  <c r="AA201" i="1" s="1"/>
  <c r="AB201" i="1"/>
  <c r="AC201" i="1"/>
  <c r="AD201" i="1"/>
  <c r="AG201" i="1" s="1"/>
  <c r="AE201" i="1"/>
  <c r="AF201" i="1"/>
  <c r="AH202" i="1"/>
  <c r="K202" i="1"/>
  <c r="L202" i="1"/>
  <c r="M202" i="1"/>
  <c r="N202" i="1" s="1"/>
  <c r="V202" i="1"/>
  <c r="Y202" i="1"/>
  <c r="Z202" i="1"/>
  <c r="AA202" i="1" s="1"/>
  <c r="AB202" i="1"/>
  <c r="AC202" i="1"/>
  <c r="AD202" i="1"/>
  <c r="T202" i="1" s="1"/>
  <c r="AE202" i="1"/>
  <c r="AF202" i="1"/>
  <c r="AH203" i="1"/>
  <c r="K203" i="1"/>
  <c r="L203" i="1"/>
  <c r="M203" i="1"/>
  <c r="N203" i="1" s="1"/>
  <c r="V203" i="1"/>
  <c r="Y203" i="1"/>
  <c r="Z203" i="1"/>
  <c r="AA203" i="1" s="1"/>
  <c r="AB203" i="1"/>
  <c r="AC203" i="1"/>
  <c r="AD203" i="1"/>
  <c r="T203" i="1" s="1"/>
  <c r="AE203" i="1"/>
  <c r="AF203" i="1"/>
  <c r="AH204" i="1"/>
  <c r="K204" i="1"/>
  <c r="L204" i="1"/>
  <c r="M204" i="1"/>
  <c r="N204" i="1" s="1"/>
  <c r="V204" i="1"/>
  <c r="Y204" i="1"/>
  <c r="Z204" i="1"/>
  <c r="AB204" i="1"/>
  <c r="AC204" i="1"/>
  <c r="AD204" i="1"/>
  <c r="AE204" i="1"/>
  <c r="AF204" i="1"/>
  <c r="AH205" i="1"/>
  <c r="K206" i="1"/>
  <c r="L206" i="1"/>
  <c r="M206" i="1"/>
  <c r="N206" i="1" s="1"/>
  <c r="V206" i="1"/>
  <c r="Y206" i="1"/>
  <c r="Z206" i="1"/>
  <c r="AA206" i="1" s="1"/>
  <c r="W206" i="1" s="1"/>
  <c r="AB206" i="1"/>
  <c r="AC206" i="1"/>
  <c r="AD206" i="1"/>
  <c r="AG206" i="1" s="1"/>
  <c r="AE206" i="1"/>
  <c r="AF206" i="1"/>
  <c r="AH206" i="1"/>
  <c r="K207" i="1"/>
  <c r="L207" i="1"/>
  <c r="M207" i="1"/>
  <c r="N207" i="1" s="1"/>
  <c r="V207" i="1"/>
  <c r="Y207" i="1"/>
  <c r="Z207" i="1"/>
  <c r="AA207" i="1" s="1"/>
  <c r="AB207" i="1"/>
  <c r="AC207" i="1"/>
  <c r="AD207" i="1"/>
  <c r="T207" i="1" s="1"/>
  <c r="AE207" i="1"/>
  <c r="AF207" i="1"/>
  <c r="AH207" i="1"/>
  <c r="K208" i="1"/>
  <c r="L208" i="1"/>
  <c r="M208" i="1"/>
  <c r="N208" i="1" s="1"/>
  <c r="V208" i="1"/>
  <c r="S58" i="3" s="1"/>
  <c r="Y208" i="1"/>
  <c r="Z208" i="1"/>
  <c r="AA208" i="1" s="1"/>
  <c r="AB208" i="1"/>
  <c r="AC208" i="1"/>
  <c r="AD208" i="1"/>
  <c r="T208" i="1" s="1"/>
  <c r="AE208" i="1"/>
  <c r="R58" i="3" s="1"/>
  <c r="AF208" i="1"/>
  <c r="AH208" i="1"/>
  <c r="K209" i="1"/>
  <c r="L209" i="1"/>
  <c r="M209" i="1"/>
  <c r="N209" i="1" s="1"/>
  <c r="V209" i="1"/>
  <c r="Y209" i="1"/>
  <c r="Z209" i="1"/>
  <c r="AB209" i="1"/>
  <c r="AC209" i="1"/>
  <c r="AD209" i="1"/>
  <c r="AE209" i="1"/>
  <c r="AF209" i="1"/>
  <c r="AH209" i="1"/>
  <c r="K210" i="1"/>
  <c r="L210" i="1"/>
  <c r="M210" i="1"/>
  <c r="N210" i="1" s="1"/>
  <c r="V210" i="1"/>
  <c r="Y210" i="1"/>
  <c r="Z210" i="1"/>
  <c r="AB210" i="1"/>
  <c r="AC210" i="1"/>
  <c r="AD210" i="1"/>
  <c r="AG210" i="1" s="1"/>
  <c r="AE210" i="1"/>
  <c r="AF210" i="1"/>
  <c r="AH210" i="1"/>
  <c r="K211" i="1"/>
  <c r="L211" i="1"/>
  <c r="M211" i="1"/>
  <c r="N211" i="1" s="1"/>
  <c r="V211" i="1"/>
  <c r="Y211" i="1"/>
  <c r="Z211" i="1"/>
  <c r="AB211" i="1"/>
  <c r="AC211" i="1"/>
  <c r="AD211" i="1"/>
  <c r="T211" i="1" s="1"/>
  <c r="AE211" i="1"/>
  <c r="AF211" i="1"/>
  <c r="AH211" i="1"/>
  <c r="K212" i="1"/>
  <c r="L212" i="1"/>
  <c r="M212" i="1"/>
  <c r="N212" i="1" s="1"/>
  <c r="V212" i="1"/>
  <c r="Y212" i="1"/>
  <c r="Z212" i="1"/>
  <c r="AB212" i="1"/>
  <c r="AC212" i="1"/>
  <c r="AD212" i="1"/>
  <c r="AG212" i="1" s="1"/>
  <c r="AE212" i="1"/>
  <c r="AF212" i="1"/>
  <c r="AH212" i="1"/>
  <c r="K213" i="1"/>
  <c r="L213" i="1"/>
  <c r="M213" i="1"/>
  <c r="N213" i="1" s="1"/>
  <c r="V213" i="1"/>
  <c r="S59" i="3" s="1"/>
  <c r="Y213" i="1"/>
  <c r="Z213" i="1"/>
  <c r="AB213" i="1"/>
  <c r="AC213" i="1"/>
  <c r="AD213" i="1"/>
  <c r="T213" i="1" s="1"/>
  <c r="AE213" i="1"/>
  <c r="R59" i="3" s="1"/>
  <c r="AF213" i="1"/>
  <c r="AH213" i="1"/>
  <c r="M57" i="3"/>
  <c r="U57" i="3"/>
  <c r="T57" i="3" s="1"/>
  <c r="V57" i="3"/>
  <c r="W57" i="3"/>
  <c r="X57" i="3"/>
  <c r="AC57" i="3"/>
  <c r="M34" i="3"/>
  <c r="U34" i="3"/>
  <c r="T34" i="3" s="1"/>
  <c r="V34" i="3"/>
  <c r="W34" i="3"/>
  <c r="X34" i="3"/>
  <c r="AC34" i="3"/>
  <c r="M47" i="3"/>
  <c r="S47" i="3"/>
  <c r="U47" i="3"/>
  <c r="T47" i="3" s="1"/>
  <c r="V47" i="3"/>
  <c r="W47" i="3"/>
  <c r="X47" i="3"/>
  <c r="AC47" i="3"/>
  <c r="M14" i="3"/>
  <c r="S14" i="3"/>
  <c r="U14" i="3"/>
  <c r="T14" i="3" s="1"/>
  <c r="V14" i="3"/>
  <c r="W14" i="3"/>
  <c r="X14" i="3"/>
  <c r="AC14" i="3"/>
  <c r="M40" i="3"/>
  <c r="U40" i="3"/>
  <c r="T40" i="3" s="1"/>
  <c r="V40" i="3"/>
  <c r="W40" i="3"/>
  <c r="X40" i="3"/>
  <c r="AC40" i="3"/>
  <c r="M15" i="3"/>
  <c r="U15" i="3"/>
  <c r="T15" i="3" s="1"/>
  <c r="V15" i="3"/>
  <c r="W15" i="3"/>
  <c r="X15" i="3"/>
  <c r="AC15" i="3"/>
  <c r="M28" i="3"/>
  <c r="U28" i="3"/>
  <c r="T28" i="3" s="1"/>
  <c r="V28" i="3"/>
  <c r="W28" i="3"/>
  <c r="X28" i="3"/>
  <c r="AC28" i="3"/>
  <c r="M7" i="3"/>
  <c r="S7" i="3"/>
  <c r="U7" i="3"/>
  <c r="T7" i="3" s="1"/>
  <c r="V7" i="3"/>
  <c r="W7" i="3"/>
  <c r="X7" i="3"/>
  <c r="AC7" i="3"/>
  <c r="M16" i="3"/>
  <c r="R16" i="3"/>
  <c r="U16" i="3"/>
  <c r="T16" i="3" s="1"/>
  <c r="V16" i="3"/>
  <c r="W16" i="3"/>
  <c r="X16" i="3"/>
  <c r="AC16" i="3"/>
  <c r="M29" i="3"/>
  <c r="S29" i="3"/>
  <c r="U29" i="3"/>
  <c r="T29" i="3" s="1"/>
  <c r="V29" i="3"/>
  <c r="W29" i="3"/>
  <c r="X29" i="3"/>
  <c r="AC29" i="3"/>
  <c r="M30" i="3"/>
  <c r="S30" i="3"/>
  <c r="U30" i="3"/>
  <c r="T30" i="3" s="1"/>
  <c r="V30" i="3"/>
  <c r="W30" i="3"/>
  <c r="X30" i="3"/>
  <c r="AC30" i="3"/>
  <c r="M10" i="3"/>
  <c r="U10" i="3"/>
  <c r="T10" i="3" s="1"/>
  <c r="V10" i="3"/>
  <c r="W10" i="3"/>
  <c r="X10" i="3"/>
  <c r="AC10" i="3"/>
  <c r="M9" i="3"/>
  <c r="S9" i="3"/>
  <c r="U9" i="3"/>
  <c r="T9" i="3" s="1"/>
  <c r="V9" i="3"/>
  <c r="W9" i="3"/>
  <c r="X9" i="3"/>
  <c r="AC9" i="3"/>
  <c r="M43" i="3"/>
  <c r="U43" i="3"/>
  <c r="T43" i="3" s="1"/>
  <c r="V43" i="3"/>
  <c r="W43" i="3"/>
  <c r="X43" i="3"/>
  <c r="AC43" i="3"/>
  <c r="M38" i="3"/>
  <c r="S38" i="3"/>
  <c r="U38" i="3"/>
  <c r="T38" i="3" s="1"/>
  <c r="V38" i="3"/>
  <c r="W38" i="3"/>
  <c r="X38" i="3"/>
  <c r="AC38" i="3"/>
  <c r="M48" i="3"/>
  <c r="U48" i="3"/>
  <c r="T48" i="3" s="1"/>
  <c r="V48" i="3"/>
  <c r="W48" i="3"/>
  <c r="X48" i="3"/>
  <c r="AC48" i="3"/>
  <c r="M58" i="3"/>
  <c r="U58" i="3"/>
  <c r="T58" i="3" s="1"/>
  <c r="V58" i="3"/>
  <c r="W58" i="3"/>
  <c r="X58" i="3"/>
  <c r="AC58" i="3"/>
  <c r="M17" i="3"/>
  <c r="R17" i="3"/>
  <c r="U17" i="3"/>
  <c r="T17" i="3" s="1"/>
  <c r="V17" i="3"/>
  <c r="W17" i="3"/>
  <c r="X17" i="3"/>
  <c r="AC17" i="3"/>
  <c r="M19" i="3"/>
  <c r="S19" i="3"/>
  <c r="U19" i="3"/>
  <c r="T19" i="3" s="1"/>
  <c r="V19" i="3"/>
  <c r="W19" i="3"/>
  <c r="X19" i="3"/>
  <c r="AC19" i="3"/>
  <c r="M31" i="3"/>
  <c r="S31" i="3"/>
  <c r="U31" i="3"/>
  <c r="T31" i="3" s="1"/>
  <c r="V31" i="3"/>
  <c r="W31" i="3"/>
  <c r="X31" i="3"/>
  <c r="AC31" i="3"/>
  <c r="M11" i="3"/>
  <c r="U11" i="3"/>
  <c r="T11" i="3" s="1"/>
  <c r="V11" i="3"/>
  <c r="W11" i="3"/>
  <c r="X11" i="3"/>
  <c r="M22" i="3"/>
  <c r="R22" i="3"/>
  <c r="U22" i="3"/>
  <c r="T22" i="3" s="1"/>
  <c r="V22" i="3"/>
  <c r="W22" i="3"/>
  <c r="X22" i="3"/>
  <c r="AC22" i="3"/>
  <c r="M23" i="3"/>
  <c r="U23" i="3"/>
  <c r="T23" i="3" s="1"/>
  <c r="V23" i="3"/>
  <c r="W23" i="3"/>
  <c r="X23" i="3"/>
  <c r="AC23" i="3"/>
  <c r="M24" i="3"/>
  <c r="U24" i="3"/>
  <c r="T24" i="3" s="1"/>
  <c r="V24" i="3"/>
  <c r="W24" i="3"/>
  <c r="X24" i="3"/>
  <c r="AC24" i="3"/>
  <c r="M25" i="3"/>
  <c r="U25" i="3"/>
  <c r="T25" i="3" s="1"/>
  <c r="V25" i="3"/>
  <c r="W25" i="3"/>
  <c r="X25" i="3"/>
  <c r="AC25" i="3"/>
  <c r="M8" i="3"/>
  <c r="S8" i="3"/>
  <c r="U8" i="3"/>
  <c r="T8" i="3" s="1"/>
  <c r="V8" i="3"/>
  <c r="W8" i="3"/>
  <c r="X8" i="3"/>
  <c r="AC8" i="3"/>
  <c r="M41" i="3"/>
  <c r="U41" i="3"/>
  <c r="T41" i="3" s="1"/>
  <c r="V41" i="3"/>
  <c r="W41" i="3"/>
  <c r="X41" i="3"/>
  <c r="AC41" i="3"/>
  <c r="M13" i="3"/>
  <c r="S13" i="3"/>
  <c r="U13" i="3"/>
  <c r="T13" i="3" s="1"/>
  <c r="V13" i="3"/>
  <c r="W13" i="3"/>
  <c r="X13" i="3"/>
  <c r="AC13" i="3"/>
  <c r="M18" i="3"/>
  <c r="U18" i="3"/>
  <c r="T18" i="3" s="1"/>
  <c r="V18" i="3"/>
  <c r="W18" i="3"/>
  <c r="X18" i="3"/>
  <c r="AC18" i="3"/>
  <c r="M35" i="3"/>
  <c r="S35" i="3"/>
  <c r="U35" i="3"/>
  <c r="T35" i="3" s="1"/>
  <c r="V35" i="3"/>
  <c r="W35" i="3"/>
  <c r="X35" i="3"/>
  <c r="AC35" i="3"/>
  <c r="M32" i="3"/>
  <c r="S32" i="3"/>
  <c r="U32" i="3"/>
  <c r="T32" i="3" s="1"/>
  <c r="V32" i="3"/>
  <c r="W32" i="3"/>
  <c r="X32" i="3"/>
  <c r="AC32" i="3"/>
  <c r="M36" i="3"/>
  <c r="U36" i="3"/>
  <c r="T36" i="3" s="1"/>
  <c r="V36" i="3"/>
  <c r="W36" i="3"/>
  <c r="X36" i="3"/>
  <c r="AC36" i="3"/>
  <c r="M39" i="3"/>
  <c r="U39" i="3"/>
  <c r="T39" i="3" s="1"/>
  <c r="V39" i="3"/>
  <c r="W39" i="3"/>
  <c r="X39" i="3"/>
  <c r="AC39" i="3"/>
  <c r="M51" i="3"/>
  <c r="R51" i="3"/>
  <c r="U51" i="3"/>
  <c r="T51" i="3" s="1"/>
  <c r="V51" i="3"/>
  <c r="W51" i="3"/>
  <c r="X51" i="3"/>
  <c r="AC51" i="3"/>
  <c r="M45" i="3"/>
  <c r="U45" i="3"/>
  <c r="T45" i="3" s="1"/>
  <c r="V45" i="3"/>
  <c r="W45" i="3"/>
  <c r="X45" i="3"/>
  <c r="AC45" i="3"/>
  <c r="M46" i="3"/>
  <c r="U46" i="3"/>
  <c r="T46" i="3" s="1"/>
  <c r="V46" i="3"/>
  <c r="W46" i="3"/>
  <c r="X46" i="3"/>
  <c r="AC46" i="3"/>
  <c r="M37" i="3"/>
  <c r="S37" i="3"/>
  <c r="U37" i="3"/>
  <c r="T37" i="3" s="1"/>
  <c r="V37" i="3"/>
  <c r="W37" i="3"/>
  <c r="X37" i="3"/>
  <c r="AC37" i="3"/>
  <c r="M27" i="3"/>
  <c r="S27" i="3"/>
  <c r="U27" i="3"/>
  <c r="T27" i="3" s="1"/>
  <c r="V27" i="3"/>
  <c r="W27" i="3"/>
  <c r="X27" i="3"/>
  <c r="AC27" i="3"/>
  <c r="M59" i="3"/>
  <c r="U59" i="3"/>
  <c r="T59" i="3" s="1"/>
  <c r="V59" i="3"/>
  <c r="W59" i="3"/>
  <c r="X59" i="3"/>
  <c r="AC59" i="3"/>
  <c r="M44" i="3"/>
  <c r="R44" i="3"/>
  <c r="U44" i="3"/>
  <c r="T44" i="3" s="1"/>
  <c r="V44" i="3"/>
  <c r="W44" i="3"/>
  <c r="X44" i="3"/>
  <c r="AC44" i="3"/>
  <c r="M49" i="3"/>
  <c r="U49" i="3"/>
  <c r="T49" i="3" s="1"/>
  <c r="V49" i="3"/>
  <c r="W49" i="3"/>
  <c r="X49" i="3"/>
  <c r="AC49" i="3"/>
  <c r="M42" i="3"/>
  <c r="U42" i="3"/>
  <c r="T42" i="3" s="1"/>
  <c r="V42" i="3"/>
  <c r="W42" i="3"/>
  <c r="X42" i="3"/>
  <c r="AC42" i="3"/>
  <c r="M52" i="3"/>
  <c r="U52" i="3"/>
  <c r="T52" i="3" s="1"/>
  <c r="V52" i="3"/>
  <c r="W52" i="3"/>
  <c r="X52" i="3"/>
  <c r="AC52" i="3"/>
  <c r="M33" i="3"/>
  <c r="R33" i="3"/>
  <c r="U33" i="3"/>
  <c r="T33" i="3" s="1"/>
  <c r="V33" i="3"/>
  <c r="W33" i="3"/>
  <c r="X33" i="3"/>
  <c r="AC33" i="3"/>
  <c r="M53" i="3"/>
  <c r="S53" i="3"/>
  <c r="U53" i="3"/>
  <c r="T53" i="3" s="1"/>
  <c r="V53" i="3"/>
  <c r="W53" i="3"/>
  <c r="X53" i="3"/>
  <c r="AC53" i="3"/>
  <c r="M54" i="3"/>
  <c r="S54" i="3"/>
  <c r="U54" i="3"/>
  <c r="T54" i="3" s="1"/>
  <c r="V54" i="3"/>
  <c r="W54" i="3"/>
  <c r="X54" i="3"/>
  <c r="AC54" i="3"/>
  <c r="M55" i="3"/>
  <c r="S55" i="3"/>
  <c r="U55" i="3"/>
  <c r="T55" i="3" s="1"/>
  <c r="V55" i="3"/>
  <c r="W55" i="3"/>
  <c r="X55" i="3"/>
  <c r="AC55" i="3"/>
  <c r="M50" i="3"/>
  <c r="S50" i="3"/>
  <c r="U50" i="3"/>
  <c r="T50" i="3" s="1"/>
  <c r="V50" i="3"/>
  <c r="W50" i="3"/>
  <c r="X50" i="3"/>
  <c r="AC50" i="3"/>
  <c r="M26" i="3"/>
  <c r="U26" i="3"/>
  <c r="T26" i="3" s="1"/>
  <c r="V26" i="3"/>
  <c r="W26" i="3"/>
  <c r="X26" i="3"/>
  <c r="AC26" i="3"/>
  <c r="M20" i="3"/>
  <c r="S20" i="3"/>
  <c r="U20" i="3"/>
  <c r="T20" i="3" s="1"/>
  <c r="V20" i="3"/>
  <c r="W20" i="3"/>
  <c r="X20" i="3"/>
  <c r="AC20" i="3"/>
  <c r="M12" i="3"/>
  <c r="U12" i="3"/>
  <c r="T12" i="3" s="1"/>
  <c r="V12" i="3"/>
  <c r="W12" i="3"/>
  <c r="X12" i="3"/>
  <c r="AC12" i="3"/>
  <c r="M21" i="3"/>
  <c r="U21" i="3"/>
  <c r="T21" i="3" s="1"/>
  <c r="V21" i="3"/>
  <c r="W21" i="3"/>
  <c r="X21" i="3"/>
  <c r="AC21" i="3"/>
  <c r="AG155" i="1" l="1"/>
  <c r="W155" i="1" s="1"/>
  <c r="U155" i="1"/>
  <c r="S155" i="1" s="1"/>
  <c r="AI155" i="1"/>
  <c r="S48" i="3"/>
  <c r="S18" i="3"/>
  <c r="Y57" i="3"/>
  <c r="R23" i="3"/>
  <c r="T206" i="1"/>
  <c r="X144" i="1"/>
  <c r="X143" i="1"/>
  <c r="AA141" i="1"/>
  <c r="AA140" i="1"/>
  <c r="AA132" i="1"/>
  <c r="AA131" i="1"/>
  <c r="AA128" i="1"/>
  <c r="AA127" i="1"/>
  <c r="X105" i="1"/>
  <c r="AA104" i="1"/>
  <c r="AA103" i="1"/>
  <c r="AA205" i="1"/>
  <c r="AA101" i="1"/>
  <c r="AA100" i="1"/>
  <c r="AA99" i="1"/>
  <c r="AA169" i="1"/>
  <c r="AA166" i="1"/>
  <c r="W166" i="1" s="1"/>
  <c r="AA164" i="1"/>
  <c r="AA163" i="1"/>
  <c r="AA158" i="1"/>
  <c r="AG83" i="1"/>
  <c r="U83" i="1" s="1"/>
  <c r="S83" i="1" s="1"/>
  <c r="AG79" i="1"/>
  <c r="AI79" i="1" s="1"/>
  <c r="AA62" i="1"/>
  <c r="AA46" i="1"/>
  <c r="AA45" i="1"/>
  <c r="AA29" i="1"/>
  <c r="AA28" i="1"/>
  <c r="AA19" i="1"/>
  <c r="AG15" i="1"/>
  <c r="U15" i="1" s="1"/>
  <c r="S15" i="1" s="1"/>
  <c r="X43" i="1"/>
  <c r="AA145" i="1"/>
  <c r="AA144" i="1"/>
  <c r="X140" i="1"/>
  <c r="AG205" i="1"/>
  <c r="W205" i="1" s="1"/>
  <c r="AG171" i="1"/>
  <c r="AA55" i="1"/>
  <c r="AA39" i="1"/>
  <c r="AA38" i="1"/>
  <c r="AA37" i="1"/>
  <c r="AG19" i="1"/>
  <c r="AA15" i="1"/>
  <c r="W15" i="1" s="1"/>
  <c r="AA14" i="1"/>
  <c r="X45" i="1"/>
  <c r="X46" i="1"/>
  <c r="S15" i="3"/>
  <c r="AG208" i="1"/>
  <c r="W208" i="1" s="1"/>
  <c r="AA174" i="1"/>
  <c r="AA173" i="1"/>
  <c r="AA79" i="1"/>
  <c r="W79" i="1" s="1"/>
  <c r="AA71" i="1"/>
  <c r="W71" i="1" s="1"/>
  <c r="AA70" i="1"/>
  <c r="W70" i="1" s="1"/>
  <c r="T62" i="1"/>
  <c r="X44" i="1"/>
  <c r="T168" i="1"/>
  <c r="U168" i="1" s="1"/>
  <c r="S168" i="1" s="1"/>
  <c r="AG168" i="1"/>
  <c r="AI168" i="1" s="1"/>
  <c r="T161" i="1"/>
  <c r="X161" i="1"/>
  <c r="AG161" i="1"/>
  <c r="W161" i="1" s="1"/>
  <c r="AA85" i="1"/>
  <c r="T67" i="1"/>
  <c r="AG67" i="1"/>
  <c r="U67" i="1" s="1"/>
  <c r="S67" i="1" s="1"/>
  <c r="T48" i="1"/>
  <c r="AG48" i="1"/>
  <c r="AI48" i="1" s="1"/>
  <c r="AC11" i="3"/>
  <c r="R18" i="3"/>
  <c r="R36" i="3"/>
  <c r="T61" i="1"/>
  <c r="X62" i="1"/>
  <c r="T17" i="1"/>
  <c r="AG17" i="1"/>
  <c r="AI17" i="1" s="1"/>
  <c r="T178" i="1"/>
  <c r="AG178" i="1"/>
  <c r="AI178" i="1" s="1"/>
  <c r="S24" i="3"/>
  <c r="S23" i="3"/>
  <c r="T120" i="1"/>
  <c r="AG120" i="1"/>
  <c r="W120" i="1" s="1"/>
  <c r="T109" i="1"/>
  <c r="U109" i="1" s="1"/>
  <c r="S109" i="1" s="1"/>
  <c r="AG109" i="1"/>
  <c r="R13" i="3"/>
  <c r="R35" i="3"/>
  <c r="S45" i="3"/>
  <c r="S46" i="3"/>
  <c r="R43" i="3"/>
  <c r="R38" i="3"/>
  <c r="R48" i="3"/>
  <c r="R19" i="3"/>
  <c r="R31" i="3"/>
  <c r="T31" i="1"/>
  <c r="AG31" i="1"/>
  <c r="T20" i="1"/>
  <c r="X20" i="1"/>
  <c r="AG20" i="1"/>
  <c r="U20" i="1" s="1"/>
  <c r="S20" i="1" s="1"/>
  <c r="AA65" i="1"/>
  <c r="W65" i="1" s="1"/>
  <c r="AI55" i="1"/>
  <c r="S12" i="3"/>
  <c r="S39" i="3"/>
  <c r="Y9" i="3"/>
  <c r="R28" i="3"/>
  <c r="AA148" i="1"/>
  <c r="AG143" i="1"/>
  <c r="U143" i="1" s="1"/>
  <c r="S143" i="1" s="1"/>
  <c r="AG138" i="1"/>
  <c r="W138" i="1" s="1"/>
  <c r="AG132" i="1"/>
  <c r="AG116" i="1"/>
  <c r="X106" i="1"/>
  <c r="X102" i="1"/>
  <c r="AG101" i="1"/>
  <c r="AA95" i="1"/>
  <c r="AA172" i="1"/>
  <c r="AA165" i="1"/>
  <c r="W165" i="1" s="1"/>
  <c r="AA157" i="1"/>
  <c r="AI71" i="1"/>
  <c r="AA63" i="1"/>
  <c r="W63" i="1" s="1"/>
  <c r="AA51" i="1"/>
  <c r="AG46" i="1"/>
  <c r="AG39" i="1"/>
  <c r="AG24" i="1"/>
  <c r="X24" i="1"/>
  <c r="AA22" i="1"/>
  <c r="AA176" i="1"/>
  <c r="Y16" i="3"/>
  <c r="Y40" i="3"/>
  <c r="AG203" i="1"/>
  <c r="R21" i="3"/>
  <c r="Y26" i="3"/>
  <c r="R55" i="3"/>
  <c r="R54" i="3"/>
  <c r="Y53" i="3"/>
  <c r="Y49" i="3"/>
  <c r="Y37" i="3"/>
  <c r="R46" i="3"/>
  <c r="Y39" i="3"/>
  <c r="Y18" i="3"/>
  <c r="Y25" i="3"/>
  <c r="Y11" i="3"/>
  <c r="Y58" i="3"/>
  <c r="AG213" i="1"/>
  <c r="U213" i="1" s="1"/>
  <c r="S213" i="1" s="1"/>
  <c r="AG199" i="1"/>
  <c r="AG128" i="1"/>
  <c r="W128" i="1" s="1"/>
  <c r="AA120" i="1"/>
  <c r="AA119" i="1"/>
  <c r="AA118" i="1"/>
  <c r="W118" i="1" s="1"/>
  <c r="X110" i="1"/>
  <c r="AA109" i="1"/>
  <c r="W109" i="1" s="1"/>
  <c r="AG179" i="1"/>
  <c r="AI179" i="1" s="1"/>
  <c r="X179" i="1"/>
  <c r="AA178" i="1"/>
  <c r="AG165" i="1"/>
  <c r="X165" i="1"/>
  <c r="AA67" i="1"/>
  <c r="X33" i="1"/>
  <c r="T28" i="1"/>
  <c r="X21" i="1"/>
  <c r="W177" i="1"/>
  <c r="W55" i="1"/>
  <c r="AI143" i="1"/>
  <c r="X118" i="1"/>
  <c r="W116" i="1"/>
  <c r="X178" i="1"/>
  <c r="AA89" i="1"/>
  <c r="W89" i="1" s="1"/>
  <c r="T88" i="1"/>
  <c r="AG81" i="1"/>
  <c r="AI81" i="1" s="1"/>
  <c r="AA77" i="1"/>
  <c r="T71" i="1"/>
  <c r="X70" i="1"/>
  <c r="AI67" i="1"/>
  <c r="T63" i="1"/>
  <c r="U63" i="1" s="1"/>
  <c r="S63" i="1" s="1"/>
  <c r="T25" i="1"/>
  <c r="T21" i="1"/>
  <c r="AA191" i="1"/>
  <c r="AA156" i="1"/>
  <c r="AA150" i="1"/>
  <c r="AG148" i="1"/>
  <c r="W148" i="1" s="1"/>
  <c r="AA126" i="1"/>
  <c r="W126" i="1" s="1"/>
  <c r="AA112" i="1"/>
  <c r="W112" i="1" s="1"/>
  <c r="AA111" i="1"/>
  <c r="AG110" i="1"/>
  <c r="W110" i="1" s="1"/>
  <c r="AA102" i="1"/>
  <c r="W102" i="1" s="1"/>
  <c r="AG95" i="1"/>
  <c r="U95" i="1" s="1"/>
  <c r="S95" i="1" s="1"/>
  <c r="X95" i="1"/>
  <c r="AA190" i="1"/>
  <c r="T190" i="1"/>
  <c r="X184" i="1"/>
  <c r="AA182" i="1"/>
  <c r="AA181" i="1"/>
  <c r="AA162" i="1"/>
  <c r="AA60" i="1"/>
  <c r="AA59" i="1"/>
  <c r="T55" i="1"/>
  <c r="U55" i="1" s="1"/>
  <c r="S55" i="1" s="1"/>
  <c r="X54" i="1"/>
  <c r="X37" i="1"/>
  <c r="AA34" i="1"/>
  <c r="AA33" i="1"/>
  <c r="W33" i="1" s="1"/>
  <c r="AG32" i="1"/>
  <c r="U32" i="1" s="1"/>
  <c r="S32" i="1" s="1"/>
  <c r="X32" i="1"/>
  <c r="AA31" i="1"/>
  <c r="AA30" i="1"/>
  <c r="X29" i="1"/>
  <c r="W23" i="1"/>
  <c r="AA18" i="1"/>
  <c r="X150" i="1"/>
  <c r="X84" i="1"/>
  <c r="AA73" i="1"/>
  <c r="AA27" i="1"/>
  <c r="W27" i="1" s="1"/>
  <c r="AG25" i="1"/>
  <c r="AI25" i="1" s="1"/>
  <c r="AG21" i="1"/>
  <c r="AA211" i="1"/>
  <c r="AA210" i="1"/>
  <c r="W210" i="1" s="1"/>
  <c r="AA199" i="1"/>
  <c r="AA198" i="1"/>
  <c r="AA197" i="1"/>
  <c r="W197" i="1" s="1"/>
  <c r="AG191" i="1"/>
  <c r="U191" i="1" s="1"/>
  <c r="S191" i="1" s="1"/>
  <c r="AG150" i="1"/>
  <c r="W150" i="1" s="1"/>
  <c r="AA130" i="1"/>
  <c r="X126" i="1"/>
  <c r="X125" i="1"/>
  <c r="AA124" i="1"/>
  <c r="W124" i="1" s="1"/>
  <c r="AA123" i="1"/>
  <c r="AA122" i="1"/>
  <c r="AG112" i="1"/>
  <c r="U112" i="1" s="1"/>
  <c r="S112" i="1" s="1"/>
  <c r="AA108" i="1"/>
  <c r="W108" i="1" s="1"/>
  <c r="AA107" i="1"/>
  <c r="AG97" i="1"/>
  <c r="AG190" i="1"/>
  <c r="AI190" i="1" s="1"/>
  <c r="AA189" i="1"/>
  <c r="W189" i="1" s="1"/>
  <c r="AA188" i="1"/>
  <c r="AA187" i="1"/>
  <c r="W187" i="1" s="1"/>
  <c r="AA94" i="1"/>
  <c r="T184" i="1"/>
  <c r="X180" i="1"/>
  <c r="X166" i="1"/>
  <c r="AG164" i="1"/>
  <c r="AI164" i="1" s="1"/>
  <c r="X162" i="1"/>
  <c r="AG160" i="1"/>
  <c r="AI160" i="1" s="1"/>
  <c r="AA83" i="1"/>
  <c r="AG73" i="1"/>
  <c r="U73" i="1" s="1"/>
  <c r="S73" i="1" s="1"/>
  <c r="AG69" i="1"/>
  <c r="AI69" i="1" s="1"/>
  <c r="AG61" i="1"/>
  <c r="AA57" i="1"/>
  <c r="AA54" i="1"/>
  <c r="W54" i="1" s="1"/>
  <c r="T54" i="1"/>
  <c r="U54" i="1" s="1"/>
  <c r="S54" i="1" s="1"/>
  <c r="AA212" i="1"/>
  <c r="X210" i="1"/>
  <c r="X205" i="1"/>
  <c r="X204" i="1"/>
  <c r="AG204" i="1"/>
  <c r="T204" i="1"/>
  <c r="W203" i="1"/>
  <c r="W201" i="1"/>
  <c r="T201" i="1"/>
  <c r="U201" i="1" s="1"/>
  <c r="S201" i="1" s="1"/>
  <c r="X193" i="1"/>
  <c r="W144" i="1"/>
  <c r="W140" i="1"/>
  <c r="W134" i="1"/>
  <c r="T209" i="1"/>
  <c r="X209" i="1"/>
  <c r="AG209" i="1"/>
  <c r="AI209" i="1" s="1"/>
  <c r="X197" i="1"/>
  <c r="T192" i="1"/>
  <c r="X192" i="1"/>
  <c r="AG192" i="1"/>
  <c r="AI192" i="1" s="1"/>
  <c r="T210" i="1"/>
  <c r="U210" i="1" s="1"/>
  <c r="S210" i="1" s="1"/>
  <c r="U206" i="1"/>
  <c r="S206" i="1" s="1"/>
  <c r="AI206" i="1"/>
  <c r="X201" i="1"/>
  <c r="X196" i="1"/>
  <c r="AG196" i="1"/>
  <c r="T196" i="1"/>
  <c r="W195" i="1"/>
  <c r="W193" i="1"/>
  <c r="T193" i="1"/>
  <c r="U193" i="1" s="1"/>
  <c r="S193" i="1" s="1"/>
  <c r="AI210" i="1"/>
  <c r="X206" i="1"/>
  <c r="T200" i="1"/>
  <c r="X200" i="1"/>
  <c r="AG200" i="1"/>
  <c r="U200" i="1" s="1"/>
  <c r="S200" i="1" s="1"/>
  <c r="T197" i="1"/>
  <c r="U197" i="1" s="1"/>
  <c r="S197" i="1" s="1"/>
  <c r="AA213" i="1"/>
  <c r="AA204" i="1"/>
  <c r="AA196" i="1"/>
  <c r="W196" i="1" s="1"/>
  <c r="AA153" i="1"/>
  <c r="T153" i="1"/>
  <c r="AG149" i="1"/>
  <c r="X148" i="1"/>
  <c r="AG147" i="1"/>
  <c r="X147" i="1"/>
  <c r="AA142" i="1"/>
  <c r="AA139" i="1"/>
  <c r="T139" i="1"/>
  <c r="U139" i="1" s="1"/>
  <c r="S139" i="1" s="1"/>
  <c r="AG136" i="1"/>
  <c r="U136" i="1" s="1"/>
  <c r="S136" i="1" s="1"/>
  <c r="AG135" i="1"/>
  <c r="AA133" i="1"/>
  <c r="T133" i="1"/>
  <c r="AG130" i="1"/>
  <c r="U130" i="1" s="1"/>
  <c r="S130" i="1" s="1"/>
  <c r="AG129" i="1"/>
  <c r="AI129" i="1" s="1"/>
  <c r="X129" i="1"/>
  <c r="AA125" i="1"/>
  <c r="T125" i="1"/>
  <c r="AG122" i="1"/>
  <c r="U122" i="1" s="1"/>
  <c r="S122" i="1" s="1"/>
  <c r="AG121" i="1"/>
  <c r="AI121" i="1" s="1"/>
  <c r="X121" i="1"/>
  <c r="AA117" i="1"/>
  <c r="T117" i="1"/>
  <c r="AG114" i="1"/>
  <c r="W114" i="1" s="1"/>
  <c r="AG113" i="1"/>
  <c r="AI113" i="1" s="1"/>
  <c r="X113" i="1"/>
  <c r="W105" i="1"/>
  <c r="AG99" i="1"/>
  <c r="U99" i="1" s="1"/>
  <c r="S99" i="1" s="1"/>
  <c r="AG98" i="1"/>
  <c r="U98" i="1" s="1"/>
  <c r="S98" i="1" s="1"/>
  <c r="X98" i="1"/>
  <c r="X187" i="1"/>
  <c r="AG186" i="1"/>
  <c r="AI186" i="1" s="1"/>
  <c r="AG183" i="1"/>
  <c r="AI183" i="1" s="1"/>
  <c r="X183" i="1"/>
  <c r="AG180" i="1"/>
  <c r="AI180" i="1" s="1"/>
  <c r="X176" i="1"/>
  <c r="AG176" i="1"/>
  <c r="W176" i="1" s="1"/>
  <c r="T154" i="1"/>
  <c r="U154" i="1" s="1"/>
  <c r="S154" i="1" s="1"/>
  <c r="T144" i="1"/>
  <c r="U144" i="1" s="1"/>
  <c r="S144" i="1" s="1"/>
  <c r="W143" i="1"/>
  <c r="T140" i="1"/>
  <c r="U140" i="1" s="1"/>
  <c r="S140" i="1" s="1"/>
  <c r="T134" i="1"/>
  <c r="U134" i="1" s="1"/>
  <c r="S134" i="1" s="1"/>
  <c r="X130" i="1"/>
  <c r="T126" i="1"/>
  <c r="U126" i="1" s="1"/>
  <c r="X122" i="1"/>
  <c r="T118" i="1"/>
  <c r="U118" i="1" s="1"/>
  <c r="S118" i="1" s="1"/>
  <c r="X114" i="1"/>
  <c r="AG108" i="1"/>
  <c r="T106" i="1"/>
  <c r="U106" i="1" s="1"/>
  <c r="S106" i="1" s="1"/>
  <c r="AG104" i="1"/>
  <c r="W104" i="1" s="1"/>
  <c r="T102" i="1"/>
  <c r="X99" i="1"/>
  <c r="AA97" i="1"/>
  <c r="W97" i="1" s="1"/>
  <c r="AA96" i="1"/>
  <c r="W96" i="1" s="1"/>
  <c r="AG189" i="1"/>
  <c r="X94" i="1"/>
  <c r="AG94" i="1"/>
  <c r="W94" i="1" s="1"/>
  <c r="AG184" i="1"/>
  <c r="W184" i="1" s="1"/>
  <c r="AA93" i="1"/>
  <c r="T175" i="1"/>
  <c r="AG175" i="1"/>
  <c r="U175" i="1" s="1"/>
  <c r="S175" i="1" s="1"/>
  <c r="AA209" i="1"/>
  <c r="W209" i="1" s="1"/>
  <c r="AA200" i="1"/>
  <c r="AA192" i="1"/>
  <c r="AG153" i="1"/>
  <c r="U153" i="1" s="1"/>
  <c r="S153" i="1" s="1"/>
  <c r="AA152" i="1"/>
  <c r="W152" i="1" s="1"/>
  <c r="AA151" i="1"/>
  <c r="AA149" i="1"/>
  <c r="W149" i="1" s="1"/>
  <c r="AG142" i="1"/>
  <c r="U142" i="1" s="1"/>
  <c r="AG139" i="1"/>
  <c r="AA135" i="1"/>
  <c r="AG133" i="1"/>
  <c r="AI133" i="1" s="1"/>
  <c r="AA129" i="1"/>
  <c r="AG125" i="1"/>
  <c r="AI125" i="1" s="1"/>
  <c r="AA121" i="1"/>
  <c r="AG117" i="1"/>
  <c r="AI117" i="1" s="1"/>
  <c r="AA113" i="1"/>
  <c r="W113" i="1" s="1"/>
  <c r="U110" i="1"/>
  <c r="S110" i="1" s="1"/>
  <c r="AI109" i="1"/>
  <c r="X109" i="1"/>
  <c r="AA98" i="1"/>
  <c r="T187" i="1"/>
  <c r="U187" i="1" s="1"/>
  <c r="S187" i="1" s="1"/>
  <c r="AA186" i="1"/>
  <c r="W186" i="1" s="1"/>
  <c r="AA185" i="1"/>
  <c r="AG93" i="1"/>
  <c r="X93" i="1"/>
  <c r="T172" i="1"/>
  <c r="U172" i="1" s="1"/>
  <c r="S172" i="1" s="1"/>
  <c r="X172" i="1"/>
  <c r="AG172" i="1"/>
  <c r="AI172" i="1" s="1"/>
  <c r="AI41" i="1"/>
  <c r="AI33" i="1"/>
  <c r="U148" i="1"/>
  <c r="S148" i="1" s="1"/>
  <c r="AA180" i="1"/>
  <c r="W180" i="1" s="1"/>
  <c r="AA183" i="1"/>
  <c r="AA179" i="1"/>
  <c r="X173" i="1"/>
  <c r="AA168" i="1"/>
  <c r="W168" i="1" s="1"/>
  <c r="AG167" i="1"/>
  <c r="U167" i="1" s="1"/>
  <c r="S167" i="1" s="1"/>
  <c r="T166" i="1"/>
  <c r="AA160" i="1"/>
  <c r="W160" i="1" s="1"/>
  <c r="AA159" i="1"/>
  <c r="AG157" i="1"/>
  <c r="W157" i="1" s="1"/>
  <c r="AA88" i="1"/>
  <c r="W88" i="1" s="1"/>
  <c r="AG87" i="1"/>
  <c r="U87" i="1" s="1"/>
  <c r="S87" i="1" s="1"/>
  <c r="AA81" i="1"/>
  <c r="AA80" i="1"/>
  <c r="X78" i="1"/>
  <c r="AG77" i="1"/>
  <c r="U77" i="1" s="1"/>
  <c r="S77" i="1" s="1"/>
  <c r="AG75" i="1"/>
  <c r="W75" i="1" s="1"/>
  <c r="AA74" i="1"/>
  <c r="W74" i="1" s="1"/>
  <c r="T74" i="1"/>
  <c r="U74" i="1" s="1"/>
  <c r="S74" i="1" s="1"/>
  <c r="AA72" i="1"/>
  <c r="X66" i="1"/>
  <c r="AG65" i="1"/>
  <c r="U65" i="1" s="1"/>
  <c r="S65" i="1" s="1"/>
  <c r="AA61" i="1"/>
  <c r="W61" i="1" s="1"/>
  <c r="AG59" i="1"/>
  <c r="AA58" i="1"/>
  <c r="T58" i="1"/>
  <c r="U58" i="1" s="1"/>
  <c r="S58" i="1" s="1"/>
  <c r="AA56" i="1"/>
  <c r="AA49" i="1"/>
  <c r="AA47" i="1"/>
  <c r="T47" i="1"/>
  <c r="AG45" i="1"/>
  <c r="AG44" i="1"/>
  <c r="U44" i="1" s="1"/>
  <c r="AA40" i="1"/>
  <c r="T40" i="1"/>
  <c r="AG37" i="1"/>
  <c r="AG36" i="1"/>
  <c r="U36" i="1" s="1"/>
  <c r="S36" i="1" s="1"/>
  <c r="X36" i="1"/>
  <c r="AA32" i="1"/>
  <c r="W32" i="1" s="1"/>
  <c r="AG29" i="1"/>
  <c r="AG28" i="1"/>
  <c r="U28" i="1" s="1"/>
  <c r="S28" i="1" s="1"/>
  <c r="AA20" i="1"/>
  <c r="W20" i="1" s="1"/>
  <c r="U17" i="1"/>
  <c r="X17" i="1"/>
  <c r="AA171" i="1"/>
  <c r="W171" i="1" s="1"/>
  <c r="AA170" i="1"/>
  <c r="X169" i="1"/>
  <c r="X168" i="1"/>
  <c r="T162" i="1"/>
  <c r="AA91" i="1"/>
  <c r="W91" i="1" s="1"/>
  <c r="AA90" i="1"/>
  <c r="X89" i="1"/>
  <c r="X88" i="1"/>
  <c r="AA84" i="1"/>
  <c r="W84" i="1" s="1"/>
  <c r="U71" i="1"/>
  <c r="S71" i="1" s="1"/>
  <c r="AA68" i="1"/>
  <c r="AI63" i="1"/>
  <c r="U61" i="1"/>
  <c r="U48" i="1"/>
  <c r="S48" i="1" s="1"/>
  <c r="W43" i="1"/>
  <c r="T41" i="1"/>
  <c r="U41" i="1" s="1"/>
  <c r="S41" i="1" s="1"/>
  <c r="W35" i="1"/>
  <c r="T33" i="1"/>
  <c r="U33" i="1" s="1"/>
  <c r="S33" i="1" s="1"/>
  <c r="AA26" i="1"/>
  <c r="AA25" i="1"/>
  <c r="U24" i="1"/>
  <c r="S24" i="1" s="1"/>
  <c r="AA16" i="1"/>
  <c r="AA175" i="1"/>
  <c r="T173" i="1"/>
  <c r="AA167" i="1"/>
  <c r="AA92" i="1"/>
  <c r="T158" i="1"/>
  <c r="AA87" i="1"/>
  <c r="AA86" i="1"/>
  <c r="AA78" i="1"/>
  <c r="W78" i="1" s="1"/>
  <c r="T78" i="1"/>
  <c r="U78" i="1" s="1"/>
  <c r="S78" i="1" s="1"/>
  <c r="X74" i="1"/>
  <c r="AA69" i="1"/>
  <c r="AA66" i="1"/>
  <c r="W66" i="1" s="1"/>
  <c r="T66" i="1"/>
  <c r="U66" i="1" s="1"/>
  <c r="S66" i="1" s="1"/>
  <c r="AA64" i="1"/>
  <c r="X58" i="1"/>
  <c r="AG57" i="1"/>
  <c r="W57" i="1" s="1"/>
  <c r="AA53" i="1"/>
  <c r="W53" i="1" s="1"/>
  <c r="AG51" i="1"/>
  <c r="AI51" i="1" s="1"/>
  <c r="AG47" i="1"/>
  <c r="AA44" i="1"/>
  <c r="W44" i="1" s="1"/>
  <c r="AG40" i="1"/>
  <c r="AA36" i="1"/>
  <c r="W29" i="1"/>
  <c r="AA21" i="1"/>
  <c r="W21" i="1" s="1"/>
  <c r="T169" i="1"/>
  <c r="U169" i="1" s="1"/>
  <c r="S169" i="1" s="1"/>
  <c r="T89" i="1"/>
  <c r="W39" i="1"/>
  <c r="W31" i="1"/>
  <c r="AA24" i="1"/>
  <c r="W19" i="1"/>
  <c r="AA17" i="1"/>
  <c r="W17" i="1" s="1"/>
  <c r="AG16" i="1"/>
  <c r="AI212" i="1"/>
  <c r="W212" i="1"/>
  <c r="U203" i="1"/>
  <c r="S203" i="1" s="1"/>
  <c r="U195" i="1"/>
  <c r="AI188" i="1"/>
  <c r="U208" i="1"/>
  <c r="S208" i="1" s="1"/>
  <c r="X212" i="1"/>
  <c r="T212" i="1"/>
  <c r="U212" i="1" s="1"/>
  <c r="S212" i="1" s="1"/>
  <c r="AG211" i="1"/>
  <c r="X208" i="1"/>
  <c r="AG207" i="1"/>
  <c r="AI205" i="1"/>
  <c r="X203" i="1"/>
  <c r="AG202" i="1"/>
  <c r="AI202" i="1" s="1"/>
  <c r="AI201" i="1"/>
  <c r="X199" i="1"/>
  <c r="AG198" i="1"/>
  <c r="AI197" i="1"/>
  <c r="X195" i="1"/>
  <c r="AG194" i="1"/>
  <c r="AI193" i="1"/>
  <c r="X191" i="1"/>
  <c r="AG156" i="1"/>
  <c r="AI156" i="1" s="1"/>
  <c r="AI189" i="1"/>
  <c r="X152" i="1"/>
  <c r="T152" i="1"/>
  <c r="U152" i="1" s="1"/>
  <c r="S152" i="1" s="1"/>
  <c r="AG151" i="1"/>
  <c r="AI151" i="1" s="1"/>
  <c r="AI173" i="1"/>
  <c r="AI165" i="1"/>
  <c r="AI157" i="1"/>
  <c r="AI148" i="1"/>
  <c r="AI140" i="1"/>
  <c r="AI136" i="1"/>
  <c r="AI134" i="1"/>
  <c r="AI126" i="1"/>
  <c r="X211" i="1"/>
  <c r="AI208" i="1"/>
  <c r="X207" i="1"/>
  <c r="AI204" i="1"/>
  <c r="X202" i="1"/>
  <c r="AI200" i="1"/>
  <c r="X198" i="1"/>
  <c r="AI196" i="1"/>
  <c r="S195" i="1"/>
  <c r="X194" i="1"/>
  <c r="X151" i="1"/>
  <c r="AI185" i="1"/>
  <c r="AA147" i="1"/>
  <c r="AA146" i="1"/>
  <c r="W146" i="1" s="1"/>
  <c r="AG145" i="1"/>
  <c r="AI145" i="1" s="1"/>
  <c r="T145" i="1"/>
  <c r="X145" i="1"/>
  <c r="U138" i="1"/>
  <c r="S138" i="1" s="1"/>
  <c r="U132" i="1"/>
  <c r="S132" i="1" s="1"/>
  <c r="W127" i="1"/>
  <c r="U124" i="1"/>
  <c r="S124" i="1" s="1"/>
  <c r="W119" i="1"/>
  <c r="U116" i="1"/>
  <c r="W111" i="1"/>
  <c r="U108" i="1"/>
  <c r="S108" i="1" s="1"/>
  <c r="AI139" i="1"/>
  <c r="AI135" i="1"/>
  <c r="U102" i="1"/>
  <c r="S102" i="1" s="1"/>
  <c r="U101" i="1"/>
  <c r="S101" i="1" s="1"/>
  <c r="U189" i="1"/>
  <c r="S189" i="1" s="1"/>
  <c r="W185" i="1"/>
  <c r="T149" i="1"/>
  <c r="U149" i="1" s="1"/>
  <c r="S149" i="1" s="1"/>
  <c r="X149" i="1"/>
  <c r="T146" i="1"/>
  <c r="U146" i="1" s="1"/>
  <c r="S146" i="1" s="1"/>
  <c r="X146" i="1"/>
  <c r="S142" i="1"/>
  <c r="AG141" i="1"/>
  <c r="T141" i="1"/>
  <c r="X141" i="1"/>
  <c r="AI169" i="1"/>
  <c r="AI152" i="1"/>
  <c r="AI144" i="1"/>
  <c r="AI130" i="1"/>
  <c r="W181" i="1"/>
  <c r="X213" i="1"/>
  <c r="W137" i="1"/>
  <c r="W131" i="1"/>
  <c r="U128" i="1"/>
  <c r="S128" i="1" s="1"/>
  <c r="W123" i="1"/>
  <c r="W115" i="1"/>
  <c r="W107" i="1"/>
  <c r="W103" i="1"/>
  <c r="W100" i="1"/>
  <c r="U97" i="1"/>
  <c r="S97" i="1" s="1"/>
  <c r="W188" i="1"/>
  <c r="U186" i="1"/>
  <c r="S186" i="1" s="1"/>
  <c r="AI118" i="1"/>
  <c r="T137" i="1"/>
  <c r="U137" i="1" s="1"/>
  <c r="S137" i="1" s="1"/>
  <c r="AI166" i="1"/>
  <c r="X131" i="1"/>
  <c r="T131" i="1"/>
  <c r="U131" i="1" s="1"/>
  <c r="S131" i="1" s="1"/>
  <c r="AI162" i="1"/>
  <c r="X127" i="1"/>
  <c r="T127" i="1"/>
  <c r="U127" i="1" s="1"/>
  <c r="S127" i="1" s="1"/>
  <c r="AI158" i="1"/>
  <c r="X123" i="1"/>
  <c r="T123" i="1"/>
  <c r="U123" i="1" s="1"/>
  <c r="S123" i="1" s="1"/>
  <c r="AI153" i="1"/>
  <c r="X119" i="1"/>
  <c r="T119" i="1"/>
  <c r="U119" i="1" s="1"/>
  <c r="S119" i="1" s="1"/>
  <c r="AI149" i="1"/>
  <c r="S116" i="1"/>
  <c r="X115" i="1"/>
  <c r="T115" i="1"/>
  <c r="U115" i="1" s="1"/>
  <c r="S115" i="1" s="1"/>
  <c r="X111" i="1"/>
  <c r="T111" i="1"/>
  <c r="U111" i="1" s="1"/>
  <c r="S111" i="1" s="1"/>
  <c r="AI141" i="1"/>
  <c r="X107" i="1"/>
  <c r="T107" i="1"/>
  <c r="U107" i="1" s="1"/>
  <c r="S107" i="1" s="1"/>
  <c r="AI137" i="1"/>
  <c r="X103" i="1"/>
  <c r="T103" i="1"/>
  <c r="U103" i="1" s="1"/>
  <c r="S103" i="1" s="1"/>
  <c r="X100" i="1"/>
  <c r="T100" i="1"/>
  <c r="U100" i="1" s="1"/>
  <c r="S100" i="1" s="1"/>
  <c r="AI131" i="1"/>
  <c r="X96" i="1"/>
  <c r="T96" i="1"/>
  <c r="U96" i="1" s="1"/>
  <c r="S96" i="1" s="1"/>
  <c r="AI127" i="1"/>
  <c r="X188" i="1"/>
  <c r="T188" i="1"/>
  <c r="U188" i="1" s="1"/>
  <c r="S188" i="1" s="1"/>
  <c r="AI123" i="1"/>
  <c r="X185" i="1"/>
  <c r="T185" i="1"/>
  <c r="U185" i="1" s="1"/>
  <c r="S185" i="1" s="1"/>
  <c r="X181" i="1"/>
  <c r="T181" i="1"/>
  <c r="U181" i="1" s="1"/>
  <c r="S181" i="1" s="1"/>
  <c r="U180" i="1"/>
  <c r="S180" i="1" s="1"/>
  <c r="U93" i="1"/>
  <c r="S93" i="1" s="1"/>
  <c r="AI112" i="1"/>
  <c r="AI111" i="1"/>
  <c r="T174" i="1"/>
  <c r="X174" i="1"/>
  <c r="AG174" i="1"/>
  <c r="AI174" i="1" s="1"/>
  <c r="U166" i="1"/>
  <c r="S166" i="1" s="1"/>
  <c r="AI101" i="1"/>
  <c r="W162" i="1"/>
  <c r="U135" i="1"/>
  <c r="S135" i="1" s="1"/>
  <c r="U133" i="1"/>
  <c r="S133" i="1" s="1"/>
  <c r="U125" i="1"/>
  <c r="U117" i="1"/>
  <c r="S117" i="1" s="1"/>
  <c r="U113" i="1"/>
  <c r="S113" i="1" s="1"/>
  <c r="U105" i="1"/>
  <c r="S105" i="1" s="1"/>
  <c r="U205" i="1"/>
  <c r="S205" i="1" s="1"/>
  <c r="U183" i="1"/>
  <c r="S183" i="1" s="1"/>
  <c r="AI115" i="1"/>
  <c r="W173" i="1"/>
  <c r="U162" i="1"/>
  <c r="S162" i="1" s="1"/>
  <c r="AI97" i="1"/>
  <c r="W158" i="1"/>
  <c r="AG182" i="1"/>
  <c r="AI182" i="1" s="1"/>
  <c r="T177" i="1"/>
  <c r="U177" i="1" s="1"/>
  <c r="S177" i="1" s="1"/>
  <c r="X177" i="1"/>
  <c r="U173" i="1"/>
  <c r="S173" i="1" s="1"/>
  <c r="W169" i="1"/>
  <c r="U158" i="1"/>
  <c r="S158" i="1" s="1"/>
  <c r="AI93" i="1"/>
  <c r="X142" i="1"/>
  <c r="AI171" i="1"/>
  <c r="AI167" i="1"/>
  <c r="X132" i="1"/>
  <c r="X128" i="1"/>
  <c r="X124" i="1"/>
  <c r="AI154" i="1"/>
  <c r="X120" i="1"/>
  <c r="X116" i="1"/>
  <c r="AI146" i="1"/>
  <c r="X112" i="1"/>
  <c r="X108" i="1"/>
  <c r="AI138" i="1"/>
  <c r="X104" i="1"/>
  <c r="X101" i="1"/>
  <c r="AI132" i="1"/>
  <c r="X97" i="1"/>
  <c r="X189" i="1"/>
  <c r="AI124" i="1"/>
  <c r="X186" i="1"/>
  <c r="AI120" i="1"/>
  <c r="X182" i="1"/>
  <c r="AI116" i="1"/>
  <c r="U178" i="1"/>
  <c r="S178" i="1" s="1"/>
  <c r="AI105" i="1"/>
  <c r="U89" i="1"/>
  <c r="S89" i="1" s="1"/>
  <c r="AI89" i="1"/>
  <c r="U165" i="1"/>
  <c r="S165" i="1" s="1"/>
  <c r="U161" i="1"/>
  <c r="S161" i="1" s="1"/>
  <c r="U157" i="1"/>
  <c r="S157" i="1" s="1"/>
  <c r="U88" i="1"/>
  <c r="S88" i="1" s="1"/>
  <c r="T80" i="1"/>
  <c r="X80" i="1"/>
  <c r="AG80" i="1"/>
  <c r="AI77" i="1"/>
  <c r="T76" i="1"/>
  <c r="X76" i="1"/>
  <c r="AG76" i="1"/>
  <c r="W76" i="1" s="1"/>
  <c r="U62" i="1"/>
  <c r="S62" i="1" s="1"/>
  <c r="AI62" i="1"/>
  <c r="W58" i="1"/>
  <c r="U171" i="1"/>
  <c r="S171" i="1" s="1"/>
  <c r="U160" i="1"/>
  <c r="S160" i="1" s="1"/>
  <c r="U91" i="1"/>
  <c r="S91" i="1" s="1"/>
  <c r="AI74" i="1"/>
  <c r="AI58" i="1"/>
  <c r="X175" i="1"/>
  <c r="AI108" i="1"/>
  <c r="X171" i="1"/>
  <c r="AG170" i="1"/>
  <c r="AI170" i="1" s="1"/>
  <c r="AI104" i="1"/>
  <c r="X167" i="1"/>
  <c r="AG92" i="1"/>
  <c r="AI100" i="1"/>
  <c r="X164" i="1"/>
  <c r="AG163" i="1"/>
  <c r="AI163" i="1" s="1"/>
  <c r="AI96" i="1"/>
  <c r="X160" i="1"/>
  <c r="AG159" i="1"/>
  <c r="AI159" i="1" s="1"/>
  <c r="X91" i="1"/>
  <c r="AG90" i="1"/>
  <c r="W90" i="1" s="1"/>
  <c r="AI88" i="1"/>
  <c r="X87" i="1"/>
  <c r="AG86" i="1"/>
  <c r="T85" i="1"/>
  <c r="X85" i="1"/>
  <c r="AG82" i="1"/>
  <c r="W82" i="1" s="1"/>
  <c r="X83" i="1"/>
  <c r="U70" i="1"/>
  <c r="S70" i="1" s="1"/>
  <c r="AI70" i="1"/>
  <c r="AI54" i="1"/>
  <c r="AI107" i="1"/>
  <c r="X170" i="1"/>
  <c r="AI103" i="1"/>
  <c r="X92" i="1"/>
  <c r="AI99" i="1"/>
  <c r="X163" i="1"/>
  <c r="X159" i="1"/>
  <c r="AI91" i="1"/>
  <c r="X90" i="1"/>
  <c r="X86" i="1"/>
  <c r="AG85" i="1"/>
  <c r="T84" i="1"/>
  <c r="U84" i="1" s="1"/>
  <c r="S84" i="1" s="1"/>
  <c r="X82" i="1"/>
  <c r="W81" i="1"/>
  <c r="AI78" i="1"/>
  <c r="W77" i="1"/>
  <c r="U69" i="1"/>
  <c r="AI66" i="1"/>
  <c r="W62" i="1"/>
  <c r="U53" i="1"/>
  <c r="S53" i="1" s="1"/>
  <c r="X81" i="1"/>
  <c r="X77" i="1"/>
  <c r="X73" i="1"/>
  <c r="AG72" i="1"/>
  <c r="X69" i="1"/>
  <c r="AG68" i="1"/>
  <c r="X65" i="1"/>
  <c r="AG64" i="1"/>
  <c r="X61" i="1"/>
  <c r="AG60" i="1"/>
  <c r="X57" i="1"/>
  <c r="AG56" i="1"/>
  <c r="W56" i="1" s="1"/>
  <c r="X53" i="1"/>
  <c r="AG52" i="1"/>
  <c r="W52" i="1" s="1"/>
  <c r="AA50" i="1"/>
  <c r="T49" i="1"/>
  <c r="AG49" i="1"/>
  <c r="W49" i="1" s="1"/>
  <c r="AI46" i="1"/>
  <c r="AI73" i="1"/>
  <c r="X72" i="1"/>
  <c r="S69" i="1"/>
  <c r="X68" i="1"/>
  <c r="X64" i="1"/>
  <c r="AI61" i="1"/>
  <c r="S61" i="1"/>
  <c r="X60" i="1"/>
  <c r="AI57" i="1"/>
  <c r="X56" i="1"/>
  <c r="AI53" i="1"/>
  <c r="X52" i="1"/>
  <c r="U51" i="1"/>
  <c r="S51" i="1" s="1"/>
  <c r="T50" i="1"/>
  <c r="U46" i="1"/>
  <c r="S46" i="1" s="1"/>
  <c r="X79" i="1"/>
  <c r="X75" i="1"/>
  <c r="X71" i="1"/>
  <c r="X67" i="1"/>
  <c r="X63" i="1"/>
  <c r="X59" i="1"/>
  <c r="X55" i="1"/>
  <c r="X51" i="1"/>
  <c r="AG50" i="1"/>
  <c r="W46" i="1"/>
  <c r="U16" i="1"/>
  <c r="S16" i="1" s="1"/>
  <c r="U43" i="1"/>
  <c r="S43" i="1" s="1"/>
  <c r="U39" i="1"/>
  <c r="S39" i="1" s="1"/>
  <c r="U35" i="1"/>
  <c r="S35" i="1" s="1"/>
  <c r="U31" i="1"/>
  <c r="S31" i="1" s="1"/>
  <c r="U27" i="1"/>
  <c r="S27" i="1" s="1"/>
  <c r="U23" i="1"/>
  <c r="S23" i="1" s="1"/>
  <c r="U19" i="1"/>
  <c r="S19" i="1" s="1"/>
  <c r="S17" i="1"/>
  <c r="X16" i="1"/>
  <c r="AI47" i="1"/>
  <c r="AI44" i="1"/>
  <c r="S44" i="1"/>
  <c r="AG42" i="1"/>
  <c r="AI40" i="1"/>
  <c r="X39" i="1"/>
  <c r="AG38" i="1"/>
  <c r="AI36" i="1"/>
  <c r="X35" i="1"/>
  <c r="AG34" i="1"/>
  <c r="W34" i="1" s="1"/>
  <c r="AI32" i="1"/>
  <c r="X31" i="1"/>
  <c r="AG30" i="1"/>
  <c r="W30" i="1" s="1"/>
  <c r="AI28" i="1"/>
  <c r="X27" i="1"/>
  <c r="AG26" i="1"/>
  <c r="AI24" i="1"/>
  <c r="X23" i="1"/>
  <c r="AG22" i="1"/>
  <c r="AI20" i="1"/>
  <c r="X19" i="1"/>
  <c r="AG18" i="1"/>
  <c r="AI16" i="1"/>
  <c r="X15" i="1"/>
  <c r="AG14" i="1"/>
  <c r="AI43" i="1"/>
  <c r="X42" i="1"/>
  <c r="AI39" i="1"/>
  <c r="X38" i="1"/>
  <c r="AI35" i="1"/>
  <c r="X34" i="1"/>
  <c r="AI31" i="1"/>
  <c r="X30" i="1"/>
  <c r="AI27" i="1"/>
  <c r="X26" i="1"/>
  <c r="AI23" i="1"/>
  <c r="X22" i="1"/>
  <c r="AI19" i="1"/>
  <c r="X18" i="1"/>
  <c r="AI15" i="1"/>
  <c r="Y12" i="3"/>
  <c r="Y55" i="3"/>
  <c r="Y52" i="3"/>
  <c r="Y59" i="3"/>
  <c r="Y45" i="3"/>
  <c r="Y32" i="3"/>
  <c r="Y41" i="3"/>
  <c r="Y23" i="3"/>
  <c r="Y19" i="3"/>
  <c r="Y38" i="3"/>
  <c r="Y30" i="3"/>
  <c r="Y28" i="3"/>
  <c r="Y47" i="3"/>
  <c r="AD57" i="3"/>
  <c r="Y20" i="3"/>
  <c r="Y50" i="3"/>
  <c r="Y33" i="3"/>
  <c r="Y44" i="3"/>
  <c r="Y46" i="3"/>
  <c r="Y51" i="3"/>
  <c r="Y35" i="3"/>
  <c r="Y13" i="3"/>
  <c r="Y24" i="3"/>
  <c r="Y48" i="3"/>
  <c r="Y43" i="3"/>
  <c r="Y10" i="3"/>
  <c r="AD21" i="3"/>
  <c r="AD20" i="3"/>
  <c r="AD50" i="3"/>
  <c r="AD54" i="3"/>
  <c r="AD33" i="3"/>
  <c r="AD42" i="3"/>
  <c r="AD44" i="3"/>
  <c r="AD27" i="3"/>
  <c r="AD46" i="3"/>
  <c r="AD51" i="3"/>
  <c r="AD36" i="3"/>
  <c r="AD35" i="3"/>
  <c r="AD13" i="3"/>
  <c r="AD8" i="3"/>
  <c r="AD24" i="3"/>
  <c r="AD22" i="3"/>
  <c r="AD31" i="3"/>
  <c r="AD17" i="3"/>
  <c r="AD48" i="3"/>
  <c r="AD43" i="3"/>
  <c r="AD10" i="3"/>
  <c r="AD29" i="3"/>
  <c r="AD7" i="3"/>
  <c r="AD15" i="3"/>
  <c r="AD14" i="3"/>
  <c r="AD34" i="3"/>
  <c r="AD12" i="3"/>
  <c r="AD55" i="3"/>
  <c r="AD53" i="3"/>
  <c r="AD52" i="3"/>
  <c r="AD49" i="3"/>
  <c r="AD59" i="3"/>
  <c r="AD37" i="3"/>
  <c r="AD45" i="3"/>
  <c r="AD39" i="3"/>
  <c r="AD32" i="3"/>
  <c r="AD18" i="3"/>
  <c r="AD41" i="3"/>
  <c r="AD25" i="3"/>
  <c r="AD23" i="3"/>
  <c r="AD11" i="3"/>
  <c r="AD19" i="3"/>
  <c r="AD58" i="3"/>
  <c r="AD38" i="3"/>
  <c r="AD9" i="3"/>
  <c r="AD30" i="3"/>
  <c r="AD16" i="3"/>
  <c r="AD28" i="3"/>
  <c r="AD40" i="3"/>
  <c r="AD47" i="3"/>
  <c r="Y21" i="3"/>
  <c r="Y54" i="3"/>
  <c r="Y42" i="3"/>
  <c r="Y27" i="3"/>
  <c r="Y36" i="3"/>
  <c r="Y8" i="3"/>
  <c r="Y22" i="3"/>
  <c r="Y31" i="3"/>
  <c r="Y17" i="3"/>
  <c r="Y29" i="3"/>
  <c r="Y7" i="3"/>
  <c r="Y15" i="3"/>
  <c r="Y14" i="3"/>
  <c r="Y34" i="3"/>
  <c r="M56" i="3"/>
  <c r="R56" i="3"/>
  <c r="S56" i="3"/>
  <c r="U56" i="3"/>
  <c r="T56" i="3" s="1"/>
  <c r="V56" i="3"/>
  <c r="W56" i="3"/>
  <c r="X56" i="3"/>
  <c r="AI175" i="1" l="1"/>
  <c r="U179" i="1"/>
  <c r="S179" i="1" s="1"/>
  <c r="U129" i="1"/>
  <c r="S129" i="1" s="1"/>
  <c r="U40" i="1"/>
  <c r="S40" i="1" s="1"/>
  <c r="W98" i="1"/>
  <c r="W129" i="1"/>
  <c r="U81" i="1"/>
  <c r="S81" i="1" s="1"/>
  <c r="W67" i="1"/>
  <c r="W199" i="1"/>
  <c r="W60" i="1"/>
  <c r="W68" i="1"/>
  <c r="AI87" i="1"/>
  <c r="AI95" i="1"/>
  <c r="U164" i="1"/>
  <c r="S164" i="1" s="1"/>
  <c r="W80" i="1"/>
  <c r="W178" i="1"/>
  <c r="U94" i="1"/>
  <c r="S94" i="1" s="1"/>
  <c r="U121" i="1"/>
  <c r="S121" i="1" s="1"/>
  <c r="U120" i="1"/>
  <c r="S120" i="1" s="1"/>
  <c r="AI122" i="1"/>
  <c r="AI161" i="1"/>
  <c r="W147" i="1"/>
  <c r="W25" i="1"/>
  <c r="W73" i="1"/>
  <c r="U150" i="1"/>
  <c r="S150" i="1" s="1"/>
  <c r="W204" i="1"/>
  <c r="W190" i="1"/>
  <c r="AI83" i="1"/>
  <c r="W95" i="1"/>
  <c r="W48" i="1"/>
  <c r="AI65" i="1"/>
  <c r="U57" i="1"/>
  <c r="S57" i="1" s="1"/>
  <c r="W92" i="1"/>
  <c r="AI142" i="1"/>
  <c r="AI150" i="1"/>
  <c r="U190" i="1"/>
  <c r="S190" i="1" s="1"/>
  <c r="S125" i="1"/>
  <c r="U104" i="1"/>
  <c r="S104" i="1" s="1"/>
  <c r="AI213" i="1"/>
  <c r="U199" i="1"/>
  <c r="S199" i="1" s="1"/>
  <c r="W24" i="1"/>
  <c r="W69" i="1"/>
  <c r="W83" i="1"/>
  <c r="W175" i="1"/>
  <c r="U79" i="1"/>
  <c r="S79" i="1" s="1"/>
  <c r="W179" i="1"/>
  <c r="W200" i="1"/>
  <c r="W101" i="1"/>
  <c r="W132" i="1"/>
  <c r="AI128" i="1"/>
  <c r="W36" i="1"/>
  <c r="W183" i="1"/>
  <c r="W135" i="1"/>
  <c r="W192" i="1"/>
  <c r="W213" i="1"/>
  <c r="U25" i="1"/>
  <c r="S25" i="1" s="1"/>
  <c r="W28" i="1"/>
  <c r="W191" i="1"/>
  <c r="W174" i="1"/>
  <c r="U47" i="1"/>
  <c r="S47" i="1" s="1"/>
  <c r="W87" i="1"/>
  <c r="W167" i="1"/>
  <c r="W172" i="1"/>
  <c r="W121" i="1"/>
  <c r="W125" i="1"/>
  <c r="W164" i="1"/>
  <c r="U21" i="1"/>
  <c r="S21" i="1" s="1"/>
  <c r="AI21" i="1"/>
  <c r="U192" i="1"/>
  <c r="S192" i="1" s="1"/>
  <c r="W16" i="1"/>
  <c r="U29" i="1"/>
  <c r="S29" i="1" s="1"/>
  <c r="AI29" i="1"/>
  <c r="U37" i="1"/>
  <c r="S37" i="1" s="1"/>
  <c r="AI37" i="1"/>
  <c r="U59" i="1"/>
  <c r="S59" i="1" s="1"/>
  <c r="AI59" i="1"/>
  <c r="W59" i="1"/>
  <c r="U184" i="1"/>
  <c r="S184" i="1" s="1"/>
  <c r="AI184" i="1"/>
  <c r="W133" i="1"/>
  <c r="U147" i="1"/>
  <c r="S147" i="1" s="1"/>
  <c r="AI147" i="1"/>
  <c r="W153" i="1"/>
  <c r="W122" i="1"/>
  <c r="U196" i="1"/>
  <c r="S196" i="1" s="1"/>
  <c r="U209" i="1"/>
  <c r="S209" i="1" s="1"/>
  <c r="W99" i="1"/>
  <c r="AI92" i="1"/>
  <c r="U45" i="1"/>
  <c r="S45" i="1" s="1"/>
  <c r="AI45" i="1"/>
  <c r="W117" i="1"/>
  <c r="W139" i="1"/>
  <c r="W130" i="1"/>
  <c r="W40" i="1"/>
  <c r="W37" i="1"/>
  <c r="W142" i="1"/>
  <c r="W194" i="1"/>
  <c r="AI194" i="1"/>
  <c r="W198" i="1"/>
  <c r="AI198" i="1"/>
  <c r="W51" i="1"/>
  <c r="W47" i="1"/>
  <c r="U75" i="1"/>
  <c r="S75" i="1" s="1"/>
  <c r="AI75" i="1"/>
  <c r="W45" i="1"/>
  <c r="W93" i="1"/>
  <c r="U176" i="1"/>
  <c r="S176" i="1" s="1"/>
  <c r="AI176" i="1"/>
  <c r="U114" i="1"/>
  <c r="S114" i="1" s="1"/>
  <c r="AI114" i="1"/>
  <c r="W136" i="1"/>
  <c r="U204" i="1"/>
  <c r="S204" i="1" s="1"/>
  <c r="U50" i="1"/>
  <c r="S50" i="1" s="1"/>
  <c r="AI50" i="1"/>
  <c r="W50" i="1"/>
  <c r="U85" i="1"/>
  <c r="S85" i="1" s="1"/>
  <c r="AI85" i="1"/>
  <c r="U86" i="1"/>
  <c r="S86" i="1" s="1"/>
  <c r="AI86" i="1"/>
  <c r="U92" i="1"/>
  <c r="S92" i="1" s="1"/>
  <c r="AI102" i="1"/>
  <c r="AI80" i="1"/>
  <c r="U80" i="1"/>
  <c r="S80" i="1" s="1"/>
  <c r="W85" i="1"/>
  <c r="W86" i="1"/>
  <c r="U145" i="1"/>
  <c r="S145" i="1" s="1"/>
  <c r="AI181" i="1"/>
  <c r="AI187" i="1"/>
  <c r="U151" i="1"/>
  <c r="S151" i="1" s="1"/>
  <c r="W151" i="1"/>
  <c r="AI56" i="1"/>
  <c r="U56" i="1"/>
  <c r="S56" i="1" s="1"/>
  <c r="AI72" i="1"/>
  <c r="U72" i="1"/>
  <c r="S72" i="1" s="1"/>
  <c r="AI18" i="1"/>
  <c r="U18" i="1"/>
  <c r="S18" i="1" s="1"/>
  <c r="AI30" i="1"/>
  <c r="U30" i="1"/>
  <c r="S30" i="1" s="1"/>
  <c r="AI38" i="1"/>
  <c r="U38" i="1"/>
  <c r="S38" i="1" s="1"/>
  <c r="AI42" i="1"/>
  <c r="U42" i="1"/>
  <c r="S42" i="1" s="1"/>
  <c r="U49" i="1"/>
  <c r="S49" i="1" s="1"/>
  <c r="AI49" i="1"/>
  <c r="AI52" i="1"/>
  <c r="U52" i="1"/>
  <c r="S52" i="1" s="1"/>
  <c r="AI68" i="1"/>
  <c r="U68" i="1"/>
  <c r="S68" i="1" s="1"/>
  <c r="U163" i="1"/>
  <c r="S163" i="1" s="1"/>
  <c r="AI98" i="1"/>
  <c r="W72" i="1"/>
  <c r="U174" i="1"/>
  <c r="S174" i="1" s="1"/>
  <c r="AI110" i="1"/>
  <c r="U141" i="1"/>
  <c r="S141" i="1" s="1"/>
  <c r="AI177" i="1"/>
  <c r="W141" i="1"/>
  <c r="AI191" i="1"/>
  <c r="U156" i="1"/>
  <c r="S156" i="1" s="1"/>
  <c r="AI195" i="1"/>
  <c r="U194" i="1"/>
  <c r="S194" i="1" s="1"/>
  <c r="AI199" i="1"/>
  <c r="U198" i="1"/>
  <c r="S198" i="1" s="1"/>
  <c r="AI203" i="1"/>
  <c r="U202" i="1"/>
  <c r="S202" i="1" s="1"/>
  <c r="AI207" i="1"/>
  <c r="U207" i="1"/>
  <c r="S207" i="1" s="1"/>
  <c r="AI211" i="1"/>
  <c r="U211" i="1"/>
  <c r="S211" i="1" s="1"/>
  <c r="W211" i="1"/>
  <c r="AI64" i="1"/>
  <c r="U64" i="1"/>
  <c r="S64" i="1" s="1"/>
  <c r="AI14" i="1"/>
  <c r="U14" i="1"/>
  <c r="S14" i="1" s="1"/>
  <c r="AI22" i="1"/>
  <c r="U22" i="1"/>
  <c r="AI26" i="1"/>
  <c r="U26" i="1"/>
  <c r="S26" i="1" s="1"/>
  <c r="AI34" i="1"/>
  <c r="U34" i="1"/>
  <c r="S34" i="1" s="1"/>
  <c r="W14" i="1"/>
  <c r="AI60" i="1"/>
  <c r="U60" i="1"/>
  <c r="S60" i="1" s="1"/>
  <c r="U82" i="1"/>
  <c r="S82" i="1" s="1"/>
  <c r="AI82" i="1"/>
  <c r="W18" i="1"/>
  <c r="W38" i="1"/>
  <c r="W22" i="1"/>
  <c r="W26" i="1"/>
  <c r="W42" i="1"/>
  <c r="W64" i="1"/>
  <c r="U159" i="1"/>
  <c r="S159" i="1" s="1"/>
  <c r="AI94" i="1"/>
  <c r="W163" i="1"/>
  <c r="U182" i="1"/>
  <c r="S182" i="1" s="1"/>
  <c r="AI119" i="1"/>
  <c r="W159" i="1"/>
  <c r="W202" i="1"/>
  <c r="W156" i="1"/>
  <c r="W207" i="1"/>
  <c r="U90" i="1"/>
  <c r="S90" i="1" s="1"/>
  <c r="AI90" i="1"/>
  <c r="U170" i="1"/>
  <c r="S170" i="1" s="1"/>
  <c r="AI106" i="1"/>
  <c r="AI76" i="1"/>
  <c r="U76" i="1"/>
  <c r="S76" i="1" s="1"/>
  <c r="W170" i="1"/>
  <c r="W182" i="1"/>
  <c r="W145" i="1"/>
  <c r="AD26" i="3"/>
  <c r="Y56" i="3"/>
  <c r="AC56" i="3"/>
  <c r="B7" i="6" l="1"/>
  <c r="F7" i="6" s="1"/>
  <c r="K7" i="6"/>
  <c r="B8" i="6"/>
  <c r="F8" i="6" s="1"/>
  <c r="K8" i="6"/>
  <c r="B9" i="6"/>
  <c r="G9" i="6" s="1"/>
  <c r="K9" i="6"/>
  <c r="B10" i="6"/>
  <c r="H10" i="6" s="1"/>
  <c r="K10" i="6"/>
  <c r="B11" i="6"/>
  <c r="H11" i="6" s="1"/>
  <c r="F11" i="6"/>
  <c r="J11" i="6"/>
  <c r="K11" i="6"/>
  <c r="B12" i="6"/>
  <c r="F12" i="6" s="1"/>
  <c r="K12" i="6"/>
  <c r="B13" i="6"/>
  <c r="G13" i="6" s="1"/>
  <c r="K13" i="6"/>
  <c r="B14" i="6"/>
  <c r="H14" i="6" s="1"/>
  <c r="J14" i="6"/>
  <c r="K14" i="6"/>
  <c r="B15" i="6"/>
  <c r="G15" i="6" s="1"/>
  <c r="K15" i="6"/>
  <c r="G7" i="6" l="1"/>
  <c r="I15" i="6"/>
  <c r="I12" i="6"/>
  <c r="I11" i="6"/>
  <c r="F9" i="6"/>
  <c r="G11" i="6"/>
  <c r="J10" i="6"/>
  <c r="I7" i="6"/>
  <c r="J15" i="6"/>
  <c r="F14" i="6"/>
  <c r="H7" i="6"/>
  <c r="F15" i="6"/>
  <c r="I14" i="6"/>
  <c r="J7" i="6"/>
  <c r="G14" i="6"/>
  <c r="J13" i="6"/>
  <c r="I10" i="6"/>
  <c r="H15" i="6"/>
  <c r="I13" i="6"/>
  <c r="G10" i="6"/>
  <c r="J9" i="6"/>
  <c r="F13" i="6"/>
  <c r="F10" i="6"/>
  <c r="I9" i="6"/>
  <c r="I8" i="6"/>
  <c r="H12" i="6"/>
  <c r="H8" i="6"/>
  <c r="H13" i="6"/>
  <c r="G12" i="6"/>
  <c r="H9" i="6"/>
  <c r="G8" i="6"/>
  <c r="J12" i="6"/>
  <c r="J8" i="6"/>
  <c r="B81" i="9"/>
  <c r="B82" i="9"/>
  <c r="B83" i="9"/>
  <c r="C83" i="9" s="1"/>
  <c r="B84" i="9"/>
  <c r="B85" i="9"/>
  <c r="C85" i="9" l="1"/>
  <c r="C84" i="9"/>
  <c r="C82" i="9"/>
  <c r="AD56" i="3"/>
  <c r="B53" i="9" l="1"/>
  <c r="B54" i="9"/>
  <c r="B55" i="9"/>
  <c r="B56" i="9"/>
  <c r="C56" i="9" s="1"/>
  <c r="B57" i="9"/>
  <c r="B58" i="9"/>
  <c r="C58" i="9" s="1"/>
  <c r="B59" i="9"/>
  <c r="B60" i="9"/>
  <c r="C60" i="9" s="1"/>
  <c r="B61" i="9"/>
  <c r="B62" i="9"/>
  <c r="C62" i="9" s="1"/>
  <c r="B63" i="9"/>
  <c r="B64" i="9"/>
  <c r="C64" i="9" s="1"/>
  <c r="B65" i="9"/>
  <c r="B66" i="9"/>
  <c r="C66" i="9" s="1"/>
  <c r="B67" i="9"/>
  <c r="B68" i="9"/>
  <c r="C68" i="9" s="1"/>
  <c r="B69" i="9"/>
  <c r="B70" i="9"/>
  <c r="C70" i="9" s="1"/>
  <c r="B71" i="9"/>
  <c r="B72" i="9"/>
  <c r="C72" i="9" s="1"/>
  <c r="B73" i="9"/>
  <c r="B74" i="9"/>
  <c r="C74" i="9" s="1"/>
  <c r="B75" i="9"/>
  <c r="B76" i="9"/>
  <c r="C76" i="9" s="1"/>
  <c r="B77" i="9"/>
  <c r="B78" i="9"/>
  <c r="C78" i="9" s="1"/>
  <c r="B79" i="9"/>
  <c r="B80" i="9"/>
  <c r="C80" i="9" l="1"/>
  <c r="C81" i="9"/>
  <c r="C79" i="9"/>
  <c r="C75" i="9"/>
  <c r="C71" i="9"/>
  <c r="C67" i="9"/>
  <c r="C63" i="9"/>
  <c r="C59" i="9"/>
  <c r="C55" i="9"/>
  <c r="C54" i="9"/>
  <c r="C77" i="9"/>
  <c r="C73" i="9"/>
  <c r="C69" i="9"/>
  <c r="C65" i="9"/>
  <c r="C61" i="9"/>
  <c r="C57" i="9"/>
  <c r="G3" i="4" l="1"/>
  <c r="G4" i="4"/>
  <c r="G5" i="4"/>
  <c r="G6" i="4"/>
  <c r="G7" i="4"/>
  <c r="G8" i="4"/>
  <c r="G9" i="4"/>
  <c r="G10" i="4"/>
  <c r="G11" i="4"/>
  <c r="N34" i="3" s="1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8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6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5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0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2" i="4"/>
  <c r="N13" i="3" l="1"/>
  <c r="N35" i="3"/>
  <c r="N8" i="3"/>
  <c r="N11" i="3"/>
  <c r="N48" i="3"/>
  <c r="N43" i="3"/>
  <c r="N38" i="3"/>
  <c r="N9" i="3"/>
  <c r="N10" i="3"/>
  <c r="N15" i="3"/>
  <c r="N28" i="3"/>
  <c r="N40" i="3"/>
  <c r="N14" i="3"/>
  <c r="N21" i="3"/>
  <c r="N12" i="3"/>
  <c r="N53" i="3"/>
  <c r="N54" i="3"/>
  <c r="N55" i="3"/>
  <c r="N42" i="3"/>
  <c r="N27" i="3"/>
  <c r="N46" i="3"/>
  <c r="N45" i="3"/>
  <c r="N20" i="3"/>
  <c r="N50" i="3"/>
  <c r="N33" i="3"/>
  <c r="N25" i="3"/>
  <c r="N22" i="3"/>
  <c r="N56" i="3"/>
  <c r="N7" i="3"/>
  <c r="N47" i="3"/>
  <c r="N52" i="3"/>
  <c r="N49" i="3"/>
  <c r="N44" i="3"/>
  <c r="N51" i="3"/>
  <c r="N39" i="3"/>
  <c r="N36" i="3"/>
  <c r="N18" i="3"/>
  <c r="N32" i="3"/>
  <c r="N41" i="3"/>
  <c r="N31" i="3"/>
  <c r="N19" i="3"/>
  <c r="N16" i="3"/>
  <c r="N29" i="3"/>
  <c r="N57" i="3"/>
  <c r="N26" i="3"/>
  <c r="N59" i="3"/>
  <c r="N37" i="3"/>
  <c r="N24" i="3"/>
  <c r="N23" i="3"/>
  <c r="N17" i="3"/>
  <c r="N58" i="3"/>
  <c r="N30" i="3"/>
  <c r="L13" i="1"/>
  <c r="B3" i="6" l="1"/>
  <c r="H3" i="6" s="1"/>
  <c r="K3" i="6"/>
  <c r="B4" i="6"/>
  <c r="G4" i="6" s="1"/>
  <c r="K4" i="6"/>
  <c r="B5" i="6"/>
  <c r="H5" i="6" s="1"/>
  <c r="K5" i="6"/>
  <c r="B6" i="6"/>
  <c r="H6" i="6" s="1"/>
  <c r="K6" i="6"/>
  <c r="F4" i="6" l="1"/>
  <c r="J5" i="6"/>
  <c r="I3" i="6"/>
  <c r="G6" i="6"/>
  <c r="J6" i="6"/>
  <c r="F6" i="6"/>
  <c r="I5" i="6"/>
  <c r="G3" i="6"/>
  <c r="G5" i="6"/>
  <c r="J4" i="6"/>
  <c r="J3" i="6"/>
  <c r="F3" i="6"/>
  <c r="I6" i="6"/>
  <c r="F5" i="6"/>
  <c r="I4" i="6"/>
  <c r="H4" i="6"/>
  <c r="B2" i="9" l="1"/>
  <c r="B3" i="9"/>
  <c r="B4" i="9"/>
  <c r="B5" i="9"/>
  <c r="B6" i="9"/>
  <c r="B7" i="9"/>
  <c r="B8" i="9"/>
  <c r="B9" i="9"/>
  <c r="B10" i="9"/>
  <c r="B11" i="9"/>
  <c r="B12" i="9"/>
  <c r="B13" i="9"/>
  <c r="B14" i="9"/>
  <c r="B15" i="9"/>
  <c r="B16" i="9"/>
  <c r="B17" i="9"/>
  <c r="B18" i="9"/>
  <c r="B19" i="9"/>
  <c r="B20" i="9"/>
  <c r="B21" i="9"/>
  <c r="B22" i="9"/>
  <c r="B23" i="9"/>
  <c r="B24" i="9"/>
  <c r="B25" i="9"/>
  <c r="B26" i="9"/>
  <c r="B27" i="9"/>
  <c r="B28" i="9"/>
  <c r="B29" i="9"/>
  <c r="B30" i="9"/>
  <c r="B31" i="9"/>
  <c r="B32" i="9"/>
  <c r="B33" i="9"/>
  <c r="B34" i="9"/>
  <c r="B35" i="9"/>
  <c r="B36" i="9"/>
  <c r="B37" i="9"/>
  <c r="B38" i="9"/>
  <c r="B39" i="9"/>
  <c r="B40" i="9"/>
  <c r="B41" i="9"/>
  <c r="B42" i="9"/>
  <c r="B43" i="9"/>
  <c r="B44" i="9"/>
  <c r="B45" i="9"/>
  <c r="B46" i="9"/>
  <c r="B47" i="9"/>
  <c r="B48" i="9"/>
  <c r="B49" i="9"/>
  <c r="B50" i="9"/>
  <c r="B51" i="9"/>
  <c r="B52" i="9"/>
  <c r="C53" i="9" s="1"/>
  <c r="K13" i="1" l="1"/>
  <c r="M13" i="1"/>
  <c r="N13" i="1" s="1"/>
  <c r="V13" i="1"/>
  <c r="S34" i="3" s="1"/>
  <c r="Y13" i="1"/>
  <c r="Z13" i="1"/>
  <c r="AB13" i="1"/>
  <c r="AC13" i="1"/>
  <c r="AD13" i="1"/>
  <c r="X14" i="1" s="1"/>
  <c r="AE13" i="1"/>
  <c r="R34" i="3" s="1"/>
  <c r="AF13" i="1"/>
  <c r="T13" i="1" l="1"/>
  <c r="X13" i="1"/>
  <c r="AA13" i="1"/>
  <c r="AG13" i="1"/>
  <c r="C26" i="9"/>
  <c r="C50" i="9"/>
  <c r="C48" i="9"/>
  <c r="B1" i="9"/>
  <c r="C1" i="9" s="1"/>
  <c r="C4" i="9"/>
  <c r="C7" i="9"/>
  <c r="C24" i="9"/>
  <c r="C33" i="9"/>
  <c r="C45" i="9"/>
  <c r="C44" i="9"/>
  <c r="C42" i="9"/>
  <c r="C51" i="9"/>
  <c r="C10" i="9"/>
  <c r="C46" i="9"/>
  <c r="C15" i="9"/>
  <c r="C30" i="9"/>
  <c r="C16" i="9"/>
  <c r="C29" i="9"/>
  <c r="C12" i="9"/>
  <c r="C37" i="9"/>
  <c r="C36" i="9"/>
  <c r="C39" i="9"/>
  <c r="C13" i="9"/>
  <c r="C25" i="9" l="1"/>
  <c r="C19" i="9"/>
  <c r="C22" i="9"/>
  <c r="C17" i="9"/>
  <c r="C18" i="9"/>
  <c r="C20" i="9"/>
  <c r="C34" i="9"/>
  <c r="C52" i="9"/>
  <c r="C8" i="9"/>
  <c r="C9" i="9"/>
  <c r="C38" i="9"/>
  <c r="C47" i="9"/>
  <c r="C31" i="9"/>
  <c r="C32" i="9"/>
  <c r="C5" i="9"/>
  <c r="C6" i="9"/>
  <c r="C27" i="9"/>
  <c r="C35" i="9"/>
  <c r="C14" i="9"/>
  <c r="C28" i="9"/>
  <c r="C11" i="9"/>
  <c r="C40" i="9"/>
  <c r="C41" i="9"/>
  <c r="C43" i="9"/>
  <c r="C2" i="9"/>
  <c r="C3" i="9"/>
  <c r="C49" i="9"/>
  <c r="C21" i="9"/>
  <c r="C23" i="9"/>
  <c r="W13" i="1"/>
  <c r="AI13" i="1"/>
  <c r="U13" i="1"/>
  <c r="S13" i="1" s="1"/>
  <c r="M30" i="5" l="1"/>
  <c r="M29" i="5"/>
  <c r="M27" i="5"/>
  <c r="M26" i="5" l="1"/>
  <c r="AH13" i="1" l="1"/>
  <c r="J7" i="1"/>
  <c r="X6" i="1" l="1"/>
  <c r="W6" i="1"/>
  <c r="V6" i="1"/>
  <c r="S6" i="1"/>
  <c r="R2" i="1"/>
  <c r="I2" i="1"/>
  <c r="O6" i="1"/>
  <c r="N6" i="1"/>
  <c r="M6" i="1"/>
  <c r="J6" i="1"/>
  <c r="P3" i="5" l="1"/>
  <c r="M18" i="5" l="1"/>
  <c r="F282" i="4" l="1"/>
  <c r="F283" i="4"/>
  <c r="F284" i="4"/>
  <c r="F285" i="4"/>
  <c r="F286" i="4"/>
  <c r="F287" i="4"/>
  <c r="F288" i="4"/>
  <c r="F289" i="4"/>
  <c r="F290" i="4"/>
  <c r="F291" i="4"/>
  <c r="F292" i="4"/>
  <c r="F293" i="4"/>
  <c r="F294" i="4"/>
  <c r="F295" i="4"/>
  <c r="F296" i="4"/>
  <c r="F297" i="4"/>
  <c r="F298" i="4"/>
  <c r="F299" i="4"/>
  <c r="F300" i="4"/>
  <c r="F301" i="4"/>
  <c r="F302" i="4"/>
  <c r="F303" i="4"/>
  <c r="F304" i="4"/>
  <c r="F305" i="4"/>
  <c r="F306" i="4"/>
  <c r="F307" i="4"/>
  <c r="F308" i="4"/>
  <c r="F309" i="4"/>
  <c r="F310" i="4"/>
  <c r="F311" i="4"/>
  <c r="F312" i="4"/>
  <c r="F313" i="4"/>
  <c r="F314" i="4"/>
  <c r="F315" i="4"/>
  <c r="F316" i="4"/>
  <c r="F317" i="4"/>
  <c r="F318" i="4"/>
  <c r="F319" i="4"/>
  <c r="F320" i="4"/>
  <c r="F321" i="4"/>
  <c r="F322" i="4"/>
  <c r="F323" i="4"/>
  <c r="F324" i="4"/>
  <c r="F325" i="4"/>
  <c r="F326" i="4"/>
  <c r="F327" i="4"/>
  <c r="F328" i="4"/>
  <c r="F329" i="4"/>
  <c r="F330" i="4"/>
  <c r="F331" i="4"/>
  <c r="F332" i="4"/>
  <c r="F333" i="4"/>
  <c r="F334" i="4"/>
  <c r="F335" i="4"/>
  <c r="F336" i="4"/>
  <c r="F337" i="4"/>
  <c r="F338" i="4"/>
  <c r="F339" i="4"/>
  <c r="F340" i="4"/>
  <c r="F341" i="4"/>
  <c r="F342" i="4"/>
  <c r="F343" i="4"/>
  <c r="F344" i="4"/>
  <c r="F345" i="4"/>
  <c r="F346" i="4"/>
  <c r="F347" i="4"/>
  <c r="F348" i="4"/>
  <c r="F349" i="4"/>
  <c r="F350" i="4"/>
  <c r="F351" i="4"/>
  <c r="F352" i="4"/>
  <c r="F353" i="4"/>
  <c r="F354" i="4"/>
  <c r="F355" i="4"/>
  <c r="F356" i="4"/>
  <c r="F357" i="4"/>
  <c r="F358" i="4"/>
  <c r="F359" i="4"/>
  <c r="F360" i="4"/>
  <c r="F361" i="4"/>
  <c r="F362" i="4"/>
  <c r="F363" i="4"/>
  <c r="F364" i="4"/>
  <c r="F365" i="4"/>
  <c r="F366" i="4"/>
  <c r="F367" i="4"/>
  <c r="F368" i="4"/>
  <c r="F369" i="4"/>
  <c r="F370" i="4"/>
  <c r="F371" i="4"/>
  <c r="F372" i="4"/>
  <c r="F373" i="4"/>
  <c r="F374" i="4"/>
  <c r="F375" i="4"/>
  <c r="F376" i="4"/>
  <c r="F377" i="4"/>
  <c r="F378" i="4"/>
  <c r="F379" i="4"/>
  <c r="F380" i="4"/>
  <c r="F381" i="4"/>
  <c r="F382" i="4"/>
  <c r="F383" i="4"/>
  <c r="F384" i="4"/>
  <c r="F385" i="4"/>
  <c r="F386" i="4"/>
  <c r="F387" i="4"/>
  <c r="F388" i="4"/>
  <c r="F389" i="4"/>
  <c r="F390" i="4"/>
  <c r="F391" i="4"/>
  <c r="F392" i="4"/>
  <c r="F393" i="4"/>
  <c r="F394" i="4"/>
  <c r="F395" i="4"/>
  <c r="F396" i="4"/>
  <c r="F397" i="4"/>
  <c r="F398" i="4"/>
  <c r="F399" i="4"/>
  <c r="F400" i="4"/>
  <c r="F401" i="4"/>
  <c r="F402" i="4"/>
  <c r="F403" i="4"/>
  <c r="F404" i="4"/>
  <c r="F405" i="4"/>
  <c r="F406" i="4"/>
  <c r="F407" i="4"/>
  <c r="F408" i="4"/>
  <c r="F409" i="4"/>
  <c r="F410" i="4"/>
  <c r="F411" i="4"/>
  <c r="F412" i="4"/>
  <c r="F413" i="4"/>
  <c r="F414" i="4"/>
  <c r="F415" i="4"/>
  <c r="F416" i="4"/>
  <c r="F417" i="4"/>
  <c r="F418" i="4"/>
  <c r="F419" i="4"/>
  <c r="F420" i="4"/>
  <c r="F421" i="4"/>
  <c r="F422" i="4"/>
  <c r="F423" i="4"/>
  <c r="F424" i="4"/>
  <c r="F425" i="4"/>
  <c r="F426" i="4"/>
  <c r="F427" i="4"/>
  <c r="F428" i="4"/>
  <c r="F429" i="4"/>
  <c r="F430" i="4"/>
  <c r="F431" i="4"/>
  <c r="F432" i="4"/>
  <c r="F433" i="4"/>
  <c r="F434" i="4"/>
  <c r="F435" i="4"/>
  <c r="F436" i="4"/>
  <c r="F437" i="4"/>
  <c r="F438" i="4"/>
  <c r="F439" i="4"/>
  <c r="F440" i="4"/>
  <c r="F441" i="4"/>
  <c r="F442" i="4"/>
  <c r="F443" i="4"/>
  <c r="F444" i="4"/>
  <c r="F445" i="4"/>
  <c r="F446" i="4"/>
  <c r="F447" i="4"/>
  <c r="F448" i="4"/>
  <c r="F449" i="4"/>
  <c r="F450" i="4"/>
  <c r="F451" i="4"/>
  <c r="F452" i="4"/>
  <c r="F453" i="4"/>
  <c r="F454" i="4"/>
  <c r="F455" i="4"/>
  <c r="F456" i="4"/>
  <c r="F457" i="4"/>
  <c r="F458" i="4"/>
  <c r="F459" i="4"/>
  <c r="F460" i="4"/>
  <c r="F461" i="4"/>
  <c r="F462" i="4"/>
  <c r="F463" i="4"/>
  <c r="F464" i="4"/>
  <c r="F465" i="4"/>
  <c r="F466" i="4"/>
  <c r="F467" i="4"/>
  <c r="F468" i="4"/>
  <c r="F469" i="4"/>
  <c r="F470" i="4"/>
  <c r="F471" i="4"/>
  <c r="F472" i="4"/>
  <c r="F473" i="4"/>
  <c r="F474" i="4"/>
  <c r="F475" i="4"/>
  <c r="F476" i="4"/>
  <c r="F477" i="4"/>
  <c r="F478" i="4"/>
  <c r="F479" i="4"/>
  <c r="F480" i="4"/>
  <c r="F481" i="4"/>
  <c r="F482" i="4"/>
  <c r="F483" i="4"/>
  <c r="F484" i="4"/>
  <c r="F485" i="4"/>
  <c r="F486" i="4"/>
  <c r="F487" i="4"/>
  <c r="F488" i="4"/>
  <c r="F489" i="4"/>
  <c r="F490" i="4"/>
  <c r="F491" i="4"/>
  <c r="F492" i="4"/>
  <c r="F493" i="4"/>
  <c r="F494" i="4"/>
  <c r="F495" i="4"/>
  <c r="F496" i="4"/>
  <c r="F497" i="4"/>
  <c r="F498" i="4"/>
  <c r="F499" i="4"/>
  <c r="F500" i="4"/>
  <c r="F501" i="4"/>
  <c r="F502" i="4"/>
  <c r="F503" i="4"/>
  <c r="F504" i="4"/>
  <c r="F505" i="4"/>
  <c r="F506" i="4"/>
  <c r="F507" i="4"/>
  <c r="F508" i="4"/>
  <c r="F509" i="4"/>
  <c r="F510" i="4"/>
  <c r="F511" i="4"/>
  <c r="F512" i="4"/>
  <c r="F513" i="4"/>
  <c r="F514" i="4"/>
  <c r="F515" i="4"/>
  <c r="F516" i="4"/>
  <c r="F517" i="4"/>
  <c r="F518" i="4"/>
  <c r="F519" i="4"/>
  <c r="F520" i="4"/>
  <c r="F521" i="4"/>
  <c r="F522" i="4"/>
  <c r="F523" i="4"/>
  <c r="F524" i="4"/>
  <c r="F525" i="4"/>
  <c r="F526" i="4"/>
  <c r="F527" i="4"/>
  <c r="F528" i="4"/>
  <c r="F529" i="4"/>
  <c r="F530" i="4"/>
  <c r="F531" i="4"/>
  <c r="F532" i="4"/>
  <c r="F533" i="4"/>
  <c r="F534" i="4"/>
  <c r="F535" i="4"/>
  <c r="F536" i="4"/>
  <c r="F537" i="4"/>
  <c r="F538" i="4"/>
  <c r="F539" i="4"/>
  <c r="F540" i="4"/>
  <c r="F541" i="4"/>
  <c r="F542" i="4"/>
  <c r="F543" i="4"/>
  <c r="V5" i="1" l="1"/>
  <c r="V8" i="1" s="1"/>
  <c r="F266" i="4"/>
  <c r="F267" i="4"/>
  <c r="F268" i="4"/>
  <c r="F269" i="4"/>
  <c r="F270" i="4"/>
  <c r="F271" i="4"/>
  <c r="F272" i="4"/>
  <c r="F273" i="4"/>
  <c r="F274" i="4"/>
  <c r="F275" i="4"/>
  <c r="F276" i="4"/>
  <c r="F277" i="4"/>
  <c r="F278" i="4"/>
  <c r="F279" i="4"/>
  <c r="F280" i="4"/>
  <c r="F281" i="4"/>
  <c r="F254" i="4" l="1"/>
  <c r="F255" i="4"/>
  <c r="F256" i="4"/>
  <c r="F257" i="4"/>
  <c r="F258" i="4"/>
  <c r="F259" i="4"/>
  <c r="F260" i="4"/>
  <c r="F261" i="4"/>
  <c r="F262" i="4"/>
  <c r="F263" i="4"/>
  <c r="F264" i="4"/>
  <c r="F265" i="4"/>
  <c r="M14" i="5" l="1"/>
  <c r="M13" i="5"/>
  <c r="M12" i="5"/>
  <c r="M11" i="5"/>
  <c r="M10" i="5"/>
  <c r="M9" i="5"/>
  <c r="M8" i="5"/>
  <c r="M7" i="5"/>
  <c r="M6" i="5"/>
  <c r="M5" i="5"/>
  <c r="M4" i="5"/>
  <c r="M3" i="5"/>
  <c r="O2" i="3" l="1"/>
  <c r="O3" i="3" s="1"/>
  <c r="S7" i="1" l="1"/>
  <c r="S5" i="1"/>
  <c r="J5" i="1"/>
  <c r="M5" i="1"/>
  <c r="M8" i="1" s="1"/>
  <c r="W5" i="1" a="1"/>
  <c r="W5" i="1" s="1"/>
  <c r="W8" i="1" s="1"/>
  <c r="N5" i="1" a="1"/>
  <c r="N5" i="1" s="1"/>
  <c r="N8" i="1" s="1"/>
  <c r="X5" i="1" a="1"/>
  <c r="X5" i="1" s="1"/>
  <c r="X8" i="1" s="1"/>
  <c r="O5" i="1" a="1"/>
  <c r="O5" i="1" s="1"/>
  <c r="O8" i="1" s="1"/>
  <c r="J8" i="1" l="1"/>
  <c r="J4" i="1"/>
  <c r="S8" i="1"/>
  <c r="S4" i="1"/>
  <c r="S9" i="1" l="1"/>
  <c r="J9" i="1"/>
  <c r="S11" i="1" l="1"/>
  <c r="A11" i="1"/>
  <c r="B1" i="6" l="1"/>
  <c r="A5" i="3"/>
</calcChain>
</file>

<file path=xl/connections.xml><?xml version="1.0" encoding="utf-8"?>
<connections xmlns="http://schemas.openxmlformats.org/spreadsheetml/2006/main">
  <connection id="1" name="Denver Train Runs 04122016" type="6" refreshedVersion="5" deleted="1" background="1" saveData="1">
    <textPr codePage="437" sourceFile="C:\Users\rwhitlock\Desktop\Denver Train Runs 04122016.txt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<sst xmlns="http://schemas.openxmlformats.org/spreadsheetml/2006/main" count="2701" uniqueCount="969">
  <si>
    <t>Train ID</t>
  </si>
  <si>
    <t>Departure/Init Location</t>
  </si>
  <si>
    <t>Initialization Date/Time (US/Mountain)</t>
  </si>
  <si>
    <t>Departure Date/Time (US/Mountain)</t>
  </si>
  <si>
    <t>Delay (minutes)</t>
  </si>
  <si>
    <t>Arrival Location</t>
  </si>
  <si>
    <t>Arrival Date/Time (US/Mountain)</t>
  </si>
  <si>
    <t>2083 Enforcements (count)</t>
  </si>
  <si>
    <t>Trip Length</t>
  </si>
  <si>
    <t>Cut out runs</t>
  </si>
  <si>
    <t>PTC Runs</t>
  </si>
  <si>
    <t>Average</t>
  </si>
  <si>
    <t>Min</t>
  </si>
  <si>
    <t>Max</t>
  </si>
  <si>
    <t>Total</t>
  </si>
  <si>
    <t>NA</t>
  </si>
  <si>
    <t>Total Completed PTC runs</t>
  </si>
  <si>
    <t>Single Init runs</t>
  </si>
  <si>
    <t>Cut out</t>
  </si>
  <si>
    <t>Total Completed PTC runs (%)</t>
  </si>
  <si>
    <t>Trip Start MP</t>
  </si>
  <si>
    <t>Trip End MP</t>
  </si>
  <si>
    <t>Trip Distance</t>
  </si>
  <si>
    <t>Concerning?</t>
  </si>
  <si>
    <t>Comments</t>
  </si>
  <si>
    <t>Operating Date</t>
  </si>
  <si>
    <t>Onboard Software Version</t>
  </si>
  <si>
    <t>System Enforcement Y/N</t>
  </si>
  <si>
    <t xml:space="preserve">Data.Enforcement Direction of Travel </t>
  </si>
  <si>
    <t xml:space="preserve">Data.Target Start Milepost </t>
  </si>
  <si>
    <t xml:space="preserve">Data.Target Type </t>
  </si>
  <si>
    <t xml:space="preserve">Data.Enforcement Start Milepost </t>
  </si>
  <si>
    <t xml:space="preserve">Data.Enforcement Train Speed </t>
  </si>
  <si>
    <t xml:space="preserve">Data.Target Speed </t>
  </si>
  <si>
    <t xml:space="preserve">Data.Target Description </t>
  </si>
  <si>
    <t xml:space="preserve">Data.Warning/Enforcement Type </t>
  </si>
  <si>
    <t xml:space="preserve">Data.Train ID </t>
  </si>
  <si>
    <t xml:space="preserve">Source </t>
  </si>
  <si>
    <t xml:space="preserve">Time </t>
  </si>
  <si>
    <t>Enforcement MP</t>
  </si>
  <si>
    <t>Enforcement Desc</t>
  </si>
  <si>
    <t>w/o multiple inits</t>
  </si>
  <si>
    <t>w/ multiple inits</t>
  </si>
  <si>
    <t>Multi Init runs</t>
  </si>
  <si>
    <t>Loco ID</t>
  </si>
  <si>
    <t>Kibana Link</t>
  </si>
  <si>
    <t>Status</t>
  </si>
  <si>
    <t>Operator Name</t>
  </si>
  <si>
    <t>Difference between last trip</t>
  </si>
  <si>
    <t>Predictive Enforcement (2)</t>
  </si>
  <si>
    <t>Increasing Mileposts (1)</t>
  </si>
  <si>
    <t>Decreasing Mileposts (2)</t>
  </si>
  <si>
    <t>sunday - thu - 144/day</t>
  </si>
  <si>
    <t>fri-sat - 146/day</t>
  </si>
  <si>
    <t>Married Pair</t>
  </si>
  <si>
    <t>Kibana URL</t>
  </si>
  <si>
    <t>Possible Explanation</t>
  </si>
  <si>
    <t>Recorded Operator</t>
  </si>
  <si>
    <t>Trip ID</t>
  </si>
  <si>
    <t># Of Times Offered</t>
  </si>
  <si>
    <t>Loco</t>
  </si>
  <si>
    <t>Recorded Loco</t>
  </si>
  <si>
    <t>Recorded time</t>
  </si>
  <si>
    <t>Xing Completion Percentage</t>
  </si>
  <si>
    <t>IsEven</t>
  </si>
  <si>
    <t>Xing#</t>
  </si>
  <si>
    <t>BEGINMILEPOST</t>
  </si>
  <si>
    <t>ENDMILEPOST</t>
  </si>
  <si>
    <t>York and Josephine Street</t>
  </si>
  <si>
    <t>CLAYTON ST</t>
  </si>
  <si>
    <t>STEELE ST</t>
  </si>
  <si>
    <t>Dahlia Street</t>
  </si>
  <si>
    <t>Holly Street</t>
  </si>
  <si>
    <t>Monaco Parkway</t>
  </si>
  <si>
    <t>SB Quebec Parkway</t>
  </si>
  <si>
    <t>NB Quebec Parkway</t>
  </si>
  <si>
    <t>Ulster Street</t>
  </si>
  <si>
    <t>Havana Street</t>
  </si>
  <si>
    <t>Sable Boulevard</t>
  </si>
  <si>
    <t>Chambers Road</t>
  </si>
  <si>
    <t>Possible System Enforcement</t>
  </si>
  <si>
    <t>Training enforcement</t>
  </si>
  <si>
    <t>Trip Number Sortable</t>
  </si>
  <si>
    <t>LocoID</t>
  </si>
  <si>
    <t>UTC Time</t>
  </si>
  <si>
    <t>AstroGrep Path</t>
  </si>
  <si>
    <t>Search Path</t>
  </si>
  <si>
    <t>Search RegExp</t>
  </si>
  <si>
    <t>AstroGrepCall</t>
  </si>
  <si>
    <t>AWS CP</t>
  </si>
  <si>
    <t>S3 Bucket</t>
  </si>
  <si>
    <t>s3://rtdc.mdm.uploadarchive</t>
  </si>
  <si>
    <t>WalkAndUnGZ</t>
  </si>
  <si>
    <t>C:\Users\stu\Documents\GitHub\mrs-test-scripts\Headless Mode &amp; Sideloading\WalkAndUnGZ.bat</t>
  </si>
  <si>
    <t>AstroGrep</t>
  </si>
  <si>
    <t>UTC Offset</t>
  </si>
  <si>
    <t>EC or NWGL</t>
  </si>
  <si>
    <t>Omit due to TWC &lt; 1</t>
  </si>
  <si>
    <t>Reactive Enforcement (3)</t>
  </si>
  <si>
    <t>EC Threshold for Pink Highlight (Slow Run) (mins)</t>
  </si>
  <si>
    <t>NWGL Threshold for Pink Highlight (Slow run) (mins)</t>
  </si>
  <si>
    <t>EC Crossings</t>
  </si>
  <si>
    <t>NW Crossings</t>
  </si>
  <si>
    <t>BNSF FUEL YARD</t>
  </si>
  <si>
    <t>Kibana link</t>
  </si>
  <si>
    <t>EC</t>
  </si>
  <si>
    <t>NW</t>
  </si>
  <si>
    <t>EC/NW/GL</t>
  </si>
  <si>
    <t>RefineRTDCRunTimes</t>
  </si>
  <si>
    <t>RefineTime</t>
  </si>
  <si>
    <t>"%USERPROFILE%\Documents\GitHub\eaglep3\Utilities\RefineRTDCRunTimes.py"</t>
  </si>
  <si>
    <t>%USERPROFILE%\Documents\GitHub\mrs-test-scripts\Headless Mode &amp; Sideloading\WalkAndUnGZ.bat</t>
  </si>
  <si>
    <t>"%USERPROFILE%\AppData\Local\Temp\OnboardLogs"</t>
  </si>
  <si>
    <t>LEVIN</t>
  </si>
  <si>
    <t xml:space="preserve">baselines for EC: </t>
  </si>
  <si>
    <t>baselines for NWES:</t>
  </si>
  <si>
    <t>M - F = 47 trips</t>
  </si>
  <si>
    <t>Sat - Sun = 33 Trips</t>
  </si>
  <si>
    <t>Redmine API Key</t>
  </si>
  <si>
    <t>Redmine URL</t>
  </si>
  <si>
    <t>d6333d4a04012a730768444271f8ca06482dae87</t>
  </si>
  <si>
    <t>https://secure.xorail.net/redmine/issues.json</t>
  </si>
  <si>
    <t>Impact</t>
  </si>
  <si>
    <t>Operational Impact</t>
  </si>
  <si>
    <t>Denver Segment Assigned</t>
  </si>
  <si>
    <t>Enforcement</t>
  </si>
  <si>
    <t>Yes</t>
  </si>
  <si>
    <t>General</t>
  </si>
  <si>
    <t>Failed State</t>
  </si>
  <si>
    <t>No</t>
  </si>
  <si>
    <t>Signal</t>
  </si>
  <si>
    <t>Unexpected Cut-Out or Disengaged</t>
  </si>
  <si>
    <t>Crossings</t>
  </si>
  <si>
    <t>Initialization Problem</t>
  </si>
  <si>
    <t>STMS</t>
  </si>
  <si>
    <t>Immediate Train Stop</t>
  </si>
  <si>
    <t>Comms</t>
  </si>
  <si>
    <t>Others</t>
  </si>
  <si>
    <t>Wi-MAX</t>
  </si>
  <si>
    <t>Loco - Comms</t>
  </si>
  <si>
    <t>Subdiv</t>
  </si>
  <si>
    <t>RTDC Issue</t>
  </si>
  <si>
    <t>TBD</t>
  </si>
  <si>
    <t>Training</t>
  </si>
  <si>
    <t>Redmine Status</t>
  </si>
  <si>
    <t>Redmine Priority</t>
  </si>
  <si>
    <t>Redmine Assignee</t>
  </si>
  <si>
    <t>Redmine Operational Impact</t>
  </si>
  <si>
    <t>Redmine cURL</t>
  </si>
  <si>
    <t>Redmine add'l desc</t>
  </si>
  <si>
    <t>Seg't</t>
  </si>
  <si>
    <t>Output Refined Run Times to File?</t>
  </si>
  <si>
    <t>RefinedRTDCRunTimesOutputFile</t>
  </si>
  <si>
    <t>Trip Number</t>
  </si>
  <si>
    <t>rtdc.l.rtdc.4051:itc</t>
  </si>
  <si>
    <t>rtdc.l.rtdc.4052:itc</t>
  </si>
  <si>
    <t>Data.Current Information Milepost</t>
  </si>
  <si>
    <t>Stopped Distance Short of Target (ft)</t>
  </si>
  <si>
    <t>ozone</t>
  </si>
  <si>
    <t>temperature</t>
  </si>
  <si>
    <t>icon</t>
  </si>
  <si>
    <t>dewPoint</t>
  </si>
  <si>
    <t>humidity</t>
  </si>
  <si>
    <t>visibility</t>
  </si>
  <si>
    <t>summary</t>
  </si>
  <si>
    <t>apparentTemperature</t>
  </si>
  <si>
    <t>pressure</t>
  </si>
  <si>
    <t>windSpeed</t>
  </si>
  <si>
    <t>cloudCover</t>
  </si>
  <si>
    <t>time</t>
  </si>
  <si>
    <t>windBearing</t>
  </si>
  <si>
    <t>precipIntensity</t>
  </si>
  <si>
    <t>precipProbability</t>
  </si>
  <si>
    <t>human_readable_time</t>
  </si>
  <si>
    <t>Loco - PTC</t>
  </si>
  <si>
    <t>Power</t>
  </si>
  <si>
    <t>CLI Grep</t>
  </si>
  <si>
    <t>Time (US/Mountain)</t>
  </si>
  <si>
    <t>Source</t>
  </si>
  <si>
    <t>Employee Identifier</t>
  </si>
  <si>
    <t>Employee Last Name</t>
  </si>
  <si>
    <t>STURGEON</t>
  </si>
  <si>
    <t>s3://rtdc.mdm.uploadarchive.raw</t>
  </si>
  <si>
    <t>rtdc.l.rtdc.4009:itc</t>
  </si>
  <si>
    <t>rtdc.l.rtdc.4044:itc</t>
  </si>
  <si>
    <t>56-06</t>
  </si>
  <si>
    <t>315-06</t>
  </si>
  <si>
    <t>Powered by darksky [darksky.net]</t>
  </si>
  <si>
    <t>Enforcements Text</t>
  </si>
  <si>
    <t>Runs-Refined Text</t>
  </si>
  <si>
    <t>Trips Text</t>
  </si>
  <si>
    <t>Weather Text</t>
  </si>
  <si>
    <t>204:149</t>
  </si>
  <si>
    <t>204:143</t>
  </si>
  <si>
    <t>204:447</t>
  </si>
  <si>
    <t>204:451</t>
  </si>
  <si>
    <t>N</t>
  </si>
  <si>
    <t>PERMANENT SPEED RESTRICTION</t>
  </si>
  <si>
    <t>Speed (6)</t>
  </si>
  <si>
    <t>SIGNAL</t>
  </si>
  <si>
    <t>Signal based authority (5)</t>
  </si>
  <si>
    <t>TRACK WARRANT AUTHORITY</t>
  </si>
  <si>
    <t>Form based authority (4)</t>
  </si>
  <si>
    <t>Summary for DUS 2016-10-12: Partly cloudy until night.</t>
  </si>
  <si>
    <t>AWS CP Commands</t>
  </si>
  <si>
    <t>204:156</t>
  </si>
  <si>
    <t>rtdc.l.rtdc.4011:itc</t>
  </si>
  <si>
    <t>DE.1.0.8.0</t>
  </si>
  <si>
    <t>rtdc.l.rtdc.4040:itc</t>
  </si>
  <si>
    <t>rtdc.l.rtdc.4039:itc</t>
  </si>
  <si>
    <t>Human Factors</t>
  </si>
  <si>
    <t>STAMBAUGH</t>
  </si>
  <si>
    <t>rtdc.l.rtdc.4012:itc</t>
  </si>
  <si>
    <t>204:150</t>
  </si>
  <si>
    <t>rtdc.l.rtdc.4002:itc</t>
  </si>
  <si>
    <t>BADERTSCHER</t>
  </si>
  <si>
    <t>rtdc.l.rtdc.4022:itc</t>
  </si>
  <si>
    <t>HOLCOMB</t>
  </si>
  <si>
    <t>rtdc.l.rtdc.4038:itc</t>
  </si>
  <si>
    <t>rtdc.l.rtdc.4037:itc</t>
  </si>
  <si>
    <t>243-10</t>
  </si>
  <si>
    <t>309-10</t>
  </si>
  <si>
    <t>242-10</t>
  </si>
  <si>
    <t>311-10</t>
  </si>
  <si>
    <t>244-10</t>
  </si>
  <si>
    <t>313-10</t>
  </si>
  <si>
    <t>204:154</t>
  </si>
  <si>
    <t>204:141</t>
  </si>
  <si>
    <t>rtdc.l.rtdc.4014:itc</t>
  </si>
  <si>
    <t>CLI Grep2 (for slice disagreement)</t>
  </si>
  <si>
    <t>Y</t>
  </si>
  <si>
    <t>204:165</t>
  </si>
  <si>
    <t>204:455</t>
  </si>
  <si>
    <t>rtdc.l.rtdc.4031:itc</t>
  </si>
  <si>
    <t>204:442</t>
  </si>
  <si>
    <t>rtdc.l.rtdc.4046:itc</t>
  </si>
  <si>
    <t>204:460</t>
  </si>
  <si>
    <t>204:457</t>
  </si>
  <si>
    <t>204:471</t>
  </si>
  <si>
    <t>rtdc.l.rtdc.4042:itc</t>
  </si>
  <si>
    <t>rtdc.l.rtdc.4041:itc</t>
  </si>
  <si>
    <t>DAVIDSON</t>
  </si>
  <si>
    <t>SAFIEF</t>
  </si>
  <si>
    <t>rtdc.l.rtdc.4010:itc</t>
  </si>
  <si>
    <t>204:145</t>
  </si>
  <si>
    <t>204:233298</t>
  </si>
  <si>
    <t>rtdc.l.rtdc.4032:itc</t>
  </si>
  <si>
    <t>CHANDLER</t>
  </si>
  <si>
    <t>LALONDE</t>
  </si>
  <si>
    <t>81-25</t>
  </si>
  <si>
    <t>80-25</t>
  </si>
  <si>
    <t>309-25</t>
  </si>
  <si>
    <t>244-25</t>
  </si>
  <si>
    <t>311-25</t>
  </si>
  <si>
    <t>246-25</t>
  </si>
  <si>
    <t>313-25</t>
  </si>
  <si>
    <t>315-25</t>
  </si>
  <si>
    <t>partly-cloudy-night</t>
  </si>
  <si>
    <t>partly-cloudy-day</t>
  </si>
  <si>
    <t>204:458</t>
  </si>
  <si>
    <t>rtdc.l.rtdc.4016:itc</t>
  </si>
  <si>
    <t>LEVERE</t>
  </si>
  <si>
    <t>COOLAHAN</t>
  </si>
  <si>
    <t>204:163</t>
  </si>
  <si>
    <t>:.+((SYSTEM_STATE.+slice.+state.+changed )|(ment ac)|(multiple cpu faults)|(system.+state.+changed )|(\[timeout)|(PRM\|1\|D)|(kpr)|(kdp)|(\|lc)|(penalty))</t>
  </si>
  <si>
    <t>YANAI</t>
  </si>
  <si>
    <t>Partly Cloudy</t>
  </si>
  <si>
    <t>204:438</t>
  </si>
  <si>
    <t>rtdc.l.rtdc.4030:itc</t>
  </si>
  <si>
    <t>GRADE CROSSING</t>
  </si>
  <si>
    <t>Bulletin (2)</t>
  </si>
  <si>
    <t>rtdc.l.rtdc.4029:itc</t>
  </si>
  <si>
    <t>rtdc.l.rtdc.4043:itc</t>
  </si>
  <si>
    <t>204:446</t>
  </si>
  <si>
    <t>JOHN</t>
  </si>
  <si>
    <t>IAN</t>
  </si>
  <si>
    <t>DAVID</t>
  </si>
  <si>
    <t>CRAIG</t>
  </si>
  <si>
    <t>SCOTT</t>
  </si>
  <si>
    <t>JAMES</t>
  </si>
  <si>
    <t>Last + First</t>
  </si>
  <si>
    <t>Employee First Name</t>
  </si>
  <si>
    <t>rtdc.l.rtdc.4017:itc</t>
  </si>
  <si>
    <t>rtdc.l.rtdc.4019:itc</t>
  </si>
  <si>
    <t>rtdc.l.rtdc.4020:itc</t>
  </si>
  <si>
    <t>rtdc.l.rtdc.4018:itc</t>
  </si>
  <si>
    <t>204:469</t>
  </si>
  <si>
    <t>204:232978</t>
  </si>
  <si>
    <t>KELVIN</t>
  </si>
  <si>
    <t>204:453</t>
  </si>
  <si>
    <t>204:444</t>
  </si>
  <si>
    <t>204:233315</t>
  </si>
  <si>
    <t>204:152</t>
  </si>
  <si>
    <t>204:464</t>
  </si>
  <si>
    <t>204:233321</t>
  </si>
  <si>
    <t>300:58943</t>
  </si>
  <si>
    <t>204:232994</t>
  </si>
  <si>
    <t>rtdc.l.rtdc.4015:itc</t>
  </si>
  <si>
    <t>SWITCH UNKNOWN</t>
  </si>
  <si>
    <t>Track device (7)</t>
  </si>
  <si>
    <t>204:232974</t>
  </si>
  <si>
    <t>TEMPORARY SPEED RESTRICTION</t>
  </si>
  <si>
    <t>rtdc.l.rtdc.4045:itc</t>
  </si>
  <si>
    <t>844-06</t>
  </si>
  <si>
    <t>241-06</t>
  </si>
  <si>
    <t>240-06</t>
  </si>
  <si>
    <t>242-06</t>
  </si>
  <si>
    <t>230-06</t>
  </si>
  <si>
    <t>847-06</t>
  </si>
  <si>
    <t>232-06</t>
  </si>
  <si>
    <t>235-06</t>
  </si>
  <si>
    <t>908-06</t>
  </si>
  <si>
    <t>234-06</t>
  </si>
  <si>
    <t>237-06</t>
  </si>
  <si>
    <t>236-06</t>
  </si>
  <si>
    <t>239-06</t>
  </si>
  <si>
    <t>238-06</t>
  </si>
  <si>
    <t>243-06</t>
  </si>
  <si>
    <t>309-06</t>
  </si>
  <si>
    <t>311-06</t>
  </si>
  <si>
    <t>244-06</t>
  </si>
  <si>
    <t>313-06</t>
  </si>
  <si>
    <t>precipAccumulation</t>
  </si>
  <si>
    <t>precipType</t>
  </si>
  <si>
    <t>snow</t>
  </si>
  <si>
    <t>204:232979</t>
  </si>
  <si>
    <t>204:233272</t>
  </si>
  <si>
    <t>204:233274</t>
  </si>
  <si>
    <t>204:132</t>
  </si>
  <si>
    <t>300:23302</t>
  </si>
  <si>
    <t>300:58630</t>
  </si>
  <si>
    <t>MAELZER</t>
  </si>
  <si>
    <t>KURT</t>
  </si>
  <si>
    <t>BROWN</t>
  </si>
  <si>
    <t>JACOB</t>
  </si>
  <si>
    <t>MOSES</t>
  </si>
  <si>
    <t>BRADLEY</t>
  </si>
  <si>
    <t>236-07</t>
  </si>
  <si>
    <t>238-07</t>
  </si>
  <si>
    <t>241-07</t>
  </si>
  <si>
    <t>240-07</t>
  </si>
  <si>
    <t>243-07</t>
  </si>
  <si>
    <t>309-07</t>
  </si>
  <si>
    <t>242-07</t>
  </si>
  <si>
    <t>311-07</t>
  </si>
  <si>
    <t>244-07</t>
  </si>
  <si>
    <t>313-07</t>
  </si>
  <si>
    <t>315-07</t>
  </si>
  <si>
    <t>204:147</t>
  </si>
  <si>
    <t>204:232971</t>
  </si>
  <si>
    <t>204:139</t>
  </si>
  <si>
    <t>204:232981</t>
  </si>
  <si>
    <t>204:232975</t>
  </si>
  <si>
    <t>MICHAEL</t>
  </si>
  <si>
    <t>ROBINSON</t>
  </si>
  <si>
    <t>KADDIBA</t>
  </si>
  <si>
    <t>ISHMAEL</t>
  </si>
  <si>
    <t>JOSEPH</t>
  </si>
  <si>
    <t>SHOOK</t>
  </si>
  <si>
    <t>NEWELL</t>
  </si>
  <si>
    <t>DAVIS</t>
  </si>
  <si>
    <t>204:232986</t>
  </si>
  <si>
    <t>204:233040</t>
  </si>
  <si>
    <t>204:233317</t>
  </si>
  <si>
    <t>204:233308</t>
  </si>
  <si>
    <t>204:233282</t>
  </si>
  <si>
    <t>300:23306</t>
  </si>
  <si>
    <t>300:58623</t>
  </si>
  <si>
    <t>300:58632</t>
  </si>
  <si>
    <t>204:699</t>
  </si>
  <si>
    <t>rtdc.l.rtdc.4004:itc</t>
  </si>
  <si>
    <t>rtdc.l.rtdc.4026:itc</t>
  </si>
  <si>
    <t>rtdc.l.rtdc.4003:itc</t>
  </si>
  <si>
    <t>rtdc.l.rtdc.4021:itc</t>
  </si>
  <si>
    <t>DE LA ROSA</t>
  </si>
  <si>
    <t>ALEX</t>
  </si>
  <si>
    <t>WENDY</t>
  </si>
  <si>
    <t>KILLION</t>
  </si>
  <si>
    <t>rtdc.l.rtdc.4025:itc</t>
  </si>
  <si>
    <t>YORK</t>
  </si>
  <si>
    <t>EDGAR</t>
  </si>
  <si>
    <t>STEWART</t>
  </si>
  <si>
    <t>BARTLETT</t>
  </si>
  <si>
    <t>KIANDRA</t>
  </si>
  <si>
    <t>BRUDER</t>
  </si>
  <si>
    <t>RICHARD</t>
  </si>
  <si>
    <t>MACDONALD</t>
  </si>
  <si>
    <t>THOMAS</t>
  </si>
  <si>
    <t>DIANE</t>
  </si>
  <si>
    <t>245-10</t>
  </si>
  <si>
    <t>246-10</t>
  </si>
  <si>
    <t>315-10</t>
  </si>
  <si>
    <t>Mostly Cloudy</t>
  </si>
  <si>
    <t>rain</t>
  </si>
  <si>
    <t>Flurries</t>
  </si>
  <si>
    <t>204:233306</t>
  </si>
  <si>
    <t>204:134</t>
  </si>
  <si>
    <t>204:233310</t>
  </si>
  <si>
    <t>204:233006</t>
  </si>
  <si>
    <t>204:167</t>
  </si>
  <si>
    <t>204:233325</t>
  </si>
  <si>
    <t>204:233000</t>
  </si>
  <si>
    <t>204:233326</t>
  </si>
  <si>
    <t>204:233001</t>
  </si>
  <si>
    <t>204:233002</t>
  </si>
  <si>
    <t>204:233004</t>
  </si>
  <si>
    <t>204:232980</t>
  </si>
  <si>
    <t>204:138</t>
  </si>
  <si>
    <t>204:233304</t>
  </si>
  <si>
    <t>204:232989</t>
  </si>
  <si>
    <t>204:473</t>
  </si>
  <si>
    <t>204:232961</t>
  </si>
  <si>
    <t>204:232996</t>
  </si>
  <si>
    <t>204:232983</t>
  </si>
  <si>
    <t>204:127</t>
  </si>
  <si>
    <t>204:233303</t>
  </si>
  <si>
    <t>204:440</t>
  </si>
  <si>
    <t>204:467</t>
  </si>
  <si>
    <t>204:232977</t>
  </si>
  <si>
    <t>204:161</t>
  </si>
  <si>
    <t>204:233295</t>
  </si>
  <si>
    <t>204:232990</t>
  </si>
  <si>
    <t>204:233288</t>
  </si>
  <si>
    <t>204:160</t>
  </si>
  <si>
    <t>204:233318</t>
  </si>
  <si>
    <t>204:233302</t>
  </si>
  <si>
    <t>204:232982</t>
  </si>
  <si>
    <t>204:736</t>
  </si>
  <si>
    <t>300:58952</t>
  </si>
  <si>
    <t>300:58634</t>
  </si>
  <si>
    <t>300:58624</t>
  </si>
  <si>
    <t>204:1014</t>
  </si>
  <si>
    <t>204:418</t>
  </si>
  <si>
    <t>204:712</t>
  </si>
  <si>
    <t>300:58958</t>
  </si>
  <si>
    <t>204:480</t>
  </si>
  <si>
    <t>204:478</t>
  </si>
  <si>
    <t>204:233334</t>
  </si>
  <si>
    <t>204:233032</t>
  </si>
  <si>
    <t>204:233015</t>
  </si>
  <si>
    <t>204:232987</t>
  </si>
  <si>
    <t>204:232984</t>
  </si>
  <si>
    <t>204:170</t>
  </si>
  <si>
    <t>204:233324</t>
  </si>
  <si>
    <t>204:233300</t>
  </si>
  <si>
    <t>204:1162</t>
  </si>
  <si>
    <t>304-11</t>
  </si>
  <si>
    <t>101-11</t>
  </si>
  <si>
    <t>1800-11</t>
  </si>
  <si>
    <t>116-11</t>
  </si>
  <si>
    <t>1802-11</t>
  </si>
  <si>
    <t>122-11</t>
  </si>
  <si>
    <t>135-11</t>
  </si>
  <si>
    <t>130-11</t>
  </si>
  <si>
    <t>126-11</t>
  </si>
  <si>
    <t>128-11</t>
  </si>
  <si>
    <t>138-11</t>
  </si>
  <si>
    <t>149-11</t>
  </si>
  <si>
    <t>1810-11</t>
  </si>
  <si>
    <t>52-11</t>
  </si>
  <si>
    <t>156-11</t>
  </si>
  <si>
    <t>154-11</t>
  </si>
  <si>
    <t>170-11</t>
  </si>
  <si>
    <t>175-11</t>
  </si>
  <si>
    <t>177-11</t>
  </si>
  <si>
    <t>181-11</t>
  </si>
  <si>
    <t>185-11</t>
  </si>
  <si>
    <t>1818-11</t>
  </si>
  <si>
    <t>189-11</t>
  </si>
  <si>
    <t>193-11</t>
  </si>
  <si>
    <t>184-11</t>
  </si>
  <si>
    <t>1821-11</t>
  </si>
  <si>
    <t>1822-11</t>
  </si>
  <si>
    <t>203-11</t>
  </si>
  <si>
    <t>202-11</t>
  </si>
  <si>
    <t>72-11</t>
  </si>
  <si>
    <t>1825-11</t>
  </si>
  <si>
    <t>1826-11</t>
  </si>
  <si>
    <t>1828-11</t>
  </si>
  <si>
    <t>1829-11</t>
  </si>
  <si>
    <t>222-11</t>
  </si>
  <si>
    <t>1831-11</t>
  </si>
  <si>
    <t>1832-11</t>
  </si>
  <si>
    <t>239-11</t>
  </si>
  <si>
    <t>238-11</t>
  </si>
  <si>
    <t>242-11</t>
  </si>
  <si>
    <t>302-11</t>
  </si>
  <si>
    <t>ACKERMAN</t>
  </si>
  <si>
    <t>JARED</t>
  </si>
  <si>
    <t>103-11</t>
  </si>
  <si>
    <t>306-11</t>
  </si>
  <si>
    <t>102-11</t>
  </si>
  <si>
    <t>105-11</t>
  </si>
  <si>
    <t>310-11</t>
  </si>
  <si>
    <t>107-11</t>
  </si>
  <si>
    <t>104-11</t>
  </si>
  <si>
    <t>109-11</t>
  </si>
  <si>
    <t>113-11</t>
  </si>
  <si>
    <t>111-11</t>
  </si>
  <si>
    <t>HAITHCOX</t>
  </si>
  <si>
    <t>106-11</t>
  </si>
  <si>
    <t>108-11</t>
  </si>
  <si>
    <t>1901-11</t>
  </si>
  <si>
    <t>STARKS</t>
  </si>
  <si>
    <t>ANGELINA</t>
  </si>
  <si>
    <t>115-11</t>
  </si>
  <si>
    <t>117-11</t>
  </si>
  <si>
    <t>110-11</t>
  </si>
  <si>
    <t>112-11</t>
  </si>
  <si>
    <t>1801-11</t>
  </si>
  <si>
    <t>119-11</t>
  </si>
  <si>
    <t>114-11</t>
  </si>
  <si>
    <t>121-11</t>
  </si>
  <si>
    <t>123-11</t>
  </si>
  <si>
    <t>118-11</t>
  </si>
  <si>
    <t>125-11</t>
  </si>
  <si>
    <t>120-11</t>
  </si>
  <si>
    <t>127-11</t>
  </si>
  <si>
    <t>129-11</t>
  </si>
  <si>
    <t>124-11</t>
  </si>
  <si>
    <t>1803-11</t>
  </si>
  <si>
    <t>131-11</t>
  </si>
  <si>
    <t>1804-11</t>
  </si>
  <si>
    <t>133-11</t>
  </si>
  <si>
    <t>137-11</t>
  </si>
  <si>
    <t>132-11</t>
  </si>
  <si>
    <t>1805-11</t>
  </si>
  <si>
    <t>139-11</t>
  </si>
  <si>
    <t>1806-11</t>
  </si>
  <si>
    <t>141-11</t>
  </si>
  <si>
    <t>136-11</t>
  </si>
  <si>
    <t>143-11</t>
  </si>
  <si>
    <t>145-11</t>
  </si>
  <si>
    <t>1807-11</t>
  </si>
  <si>
    <t>140-11</t>
  </si>
  <si>
    <t>147-11</t>
  </si>
  <si>
    <t>142-11</t>
  </si>
  <si>
    <t>144-11</t>
  </si>
  <si>
    <t>1808-11</t>
  </si>
  <si>
    <t>151-11</t>
  </si>
  <si>
    <t>50-11</t>
  </si>
  <si>
    <t>146-11</t>
  </si>
  <si>
    <t>153-11</t>
  </si>
  <si>
    <t>1809-11</t>
  </si>
  <si>
    <t>155-11</t>
  </si>
  <si>
    <t>148-11</t>
  </si>
  <si>
    <t>150-11</t>
  </si>
  <si>
    <t>157-11</t>
  </si>
  <si>
    <t>152-11</t>
  </si>
  <si>
    <t>159-11</t>
  </si>
  <si>
    <t>161-11</t>
  </si>
  <si>
    <t>51-11</t>
  </si>
  <si>
    <t>OUN</t>
  </si>
  <si>
    <t>ZACK</t>
  </si>
  <si>
    <t>1811-11</t>
  </si>
  <si>
    <t>158-11</t>
  </si>
  <si>
    <t>163-11</t>
  </si>
  <si>
    <t>1812-11</t>
  </si>
  <si>
    <t>165-11</t>
  </si>
  <si>
    <t>53-11</t>
  </si>
  <si>
    <t>160-11</t>
  </si>
  <si>
    <t>167-11</t>
  </si>
  <si>
    <t>BERLING</t>
  </si>
  <si>
    <t>GARY</t>
  </si>
  <si>
    <t>162-11</t>
  </si>
  <si>
    <t>169-11</t>
  </si>
  <si>
    <t>1813-11</t>
  </si>
  <si>
    <t>164-11</t>
  </si>
  <si>
    <t>171-11</t>
  </si>
  <si>
    <t>166-11</t>
  </si>
  <si>
    <t>1814-11</t>
  </si>
  <si>
    <t>173-11</t>
  </si>
  <si>
    <t>168-11</t>
  </si>
  <si>
    <t>1815-11</t>
  </si>
  <si>
    <t>172-11</t>
  </si>
  <si>
    <t>179-11</t>
  </si>
  <si>
    <t>174-11</t>
  </si>
  <si>
    <t>1816-11</t>
  </si>
  <si>
    <t>176-11</t>
  </si>
  <si>
    <t>183-11</t>
  </si>
  <si>
    <t>MAHAN</t>
  </si>
  <si>
    <t>DUANE</t>
  </si>
  <si>
    <t>178-11</t>
  </si>
  <si>
    <t>1817-11</t>
  </si>
  <si>
    <t>ADANE</t>
  </si>
  <si>
    <t>ELSHADAY</t>
  </si>
  <si>
    <t>180-11</t>
  </si>
  <si>
    <t>182-11</t>
  </si>
  <si>
    <t>187-11</t>
  </si>
  <si>
    <t>1819-11</t>
  </si>
  <si>
    <t>191-11</t>
  </si>
  <si>
    <t>186-11</t>
  </si>
  <si>
    <t>188-11</t>
  </si>
  <si>
    <t>190-11</t>
  </si>
  <si>
    <t>195-11</t>
  </si>
  <si>
    <t>1820-11</t>
  </si>
  <si>
    <t>197-11</t>
  </si>
  <si>
    <t>192-11</t>
  </si>
  <si>
    <t>199-11</t>
  </si>
  <si>
    <t>194-11</t>
  </si>
  <si>
    <t>201-11</t>
  </si>
  <si>
    <t>196-11</t>
  </si>
  <si>
    <t>198-11</t>
  </si>
  <si>
    <t>205-11</t>
  </si>
  <si>
    <t>200-11</t>
  </si>
  <si>
    <t>207-11</t>
  </si>
  <si>
    <t>1823-11</t>
  </si>
  <si>
    <t>209-11</t>
  </si>
  <si>
    <t>204-11</t>
  </si>
  <si>
    <t>55-11</t>
  </si>
  <si>
    <t>ARVIDSON</t>
  </si>
  <si>
    <t>DANIEL</t>
  </si>
  <si>
    <t>70-11</t>
  </si>
  <si>
    <t>211-11</t>
  </si>
  <si>
    <t>1824-11</t>
  </si>
  <si>
    <t>206-11</t>
  </si>
  <si>
    <t>213-11</t>
  </si>
  <si>
    <t>208-11</t>
  </si>
  <si>
    <t>215-11</t>
  </si>
  <si>
    <t>210-11</t>
  </si>
  <si>
    <t>217-11</t>
  </si>
  <si>
    <t>71-11</t>
  </si>
  <si>
    <t>219-11</t>
  </si>
  <si>
    <t>212-11</t>
  </si>
  <si>
    <t>214-11</t>
  </si>
  <si>
    <t>303-11</t>
  </si>
  <si>
    <t>216-11</t>
  </si>
  <si>
    <t>1827-11</t>
  </si>
  <si>
    <t>221-11</t>
  </si>
  <si>
    <t>218-11</t>
  </si>
  <si>
    <t>220-11</t>
  </si>
  <si>
    <t>305-11</t>
  </si>
  <si>
    <t>223-11</t>
  </si>
  <si>
    <t>307-11</t>
  </si>
  <si>
    <t>225-11</t>
  </si>
  <si>
    <t>224-11</t>
  </si>
  <si>
    <t>227-11</t>
  </si>
  <si>
    <t>1830-11</t>
  </si>
  <si>
    <t>226-11</t>
  </si>
  <si>
    <t>MCREYNOLDS</t>
  </si>
  <si>
    <t>KYLE</t>
  </si>
  <si>
    <t>229-11</t>
  </si>
  <si>
    <t>231-11</t>
  </si>
  <si>
    <t>228-11</t>
  </si>
  <si>
    <t>233-11</t>
  </si>
  <si>
    <t>230-11</t>
  </si>
  <si>
    <t>1833-11</t>
  </si>
  <si>
    <t>232-11</t>
  </si>
  <si>
    <t>235-11</t>
  </si>
  <si>
    <t>1902-11</t>
  </si>
  <si>
    <t>237-11</t>
  </si>
  <si>
    <t>234-11</t>
  </si>
  <si>
    <t>236-11</t>
  </si>
  <si>
    <t>241-11</t>
  </si>
  <si>
    <t>240-11</t>
  </si>
  <si>
    <t>243-11</t>
  </si>
  <si>
    <t>309-11</t>
  </si>
  <si>
    <t>311-11</t>
  </si>
  <si>
    <t>244-11</t>
  </si>
  <si>
    <t>313-11</t>
  </si>
  <si>
    <t>315-11</t>
  </si>
  <si>
    <t>Light Snow</t>
  </si>
  <si>
    <t>Snow</t>
  </si>
  <si>
    <t>clear-night</t>
  </si>
  <si>
    <t>Clear</t>
  </si>
  <si>
    <t>204:763</t>
  </si>
  <si>
    <t>204:233362</t>
  </si>
  <si>
    <t>204:232725</t>
  </si>
  <si>
    <t>204:770</t>
  </si>
  <si>
    <t>204:233353</t>
  </si>
  <si>
    <t>204:232724</t>
  </si>
  <si>
    <t>204:233332</t>
  </si>
  <si>
    <t>204:232698</t>
  </si>
  <si>
    <t>204:19115</t>
  </si>
  <si>
    <t>204:189735</t>
  </si>
  <si>
    <t>204:497</t>
  </si>
  <si>
    <t>204:1051</t>
  </si>
  <si>
    <t>204:233101</t>
  </si>
  <si>
    <t>204:708</t>
  </si>
  <si>
    <t>204:232964</t>
  </si>
  <si>
    <t>204:232965</t>
  </si>
  <si>
    <t>204:158</t>
  </si>
  <si>
    <t>204:775</t>
  </si>
  <si>
    <t>204:232976</t>
  </si>
  <si>
    <t>204:754</t>
  </si>
  <si>
    <t>204:233340</t>
  </si>
  <si>
    <t>204:129</t>
  </si>
  <si>
    <t>204:252</t>
  </si>
  <si>
    <t>204:233319</t>
  </si>
  <si>
    <t>204:318</t>
  </si>
  <si>
    <t>204:233312</t>
  </si>
  <si>
    <t>204:185</t>
  </si>
  <si>
    <t>204:437</t>
  </si>
  <si>
    <t>204:232988</t>
  </si>
  <si>
    <t>204:548</t>
  </si>
  <si>
    <t>204:648</t>
  </si>
  <si>
    <t>204:508</t>
  </si>
  <si>
    <t>204:462</t>
  </si>
  <si>
    <t>204:233276</t>
  </si>
  <si>
    <t>204:232966</t>
  </si>
  <si>
    <t>204:233293</t>
  </si>
  <si>
    <t>204:1141</t>
  </si>
  <si>
    <t>204:227629</t>
  </si>
  <si>
    <t>204:232991</t>
  </si>
  <si>
    <t>204:493</t>
  </si>
  <si>
    <t>204:345</t>
  </si>
  <si>
    <t>204:233338</t>
  </si>
  <si>
    <t>204:233042</t>
  </si>
  <si>
    <t>204:449</t>
  </si>
  <si>
    <t>204:232993</t>
  </si>
  <si>
    <t>204:233299</t>
  </si>
  <si>
    <t>204:1171</t>
  </si>
  <si>
    <t>204:233284</t>
  </si>
  <si>
    <t>204:233346</t>
  </si>
  <si>
    <t>204:233059</t>
  </si>
  <si>
    <t>204:435</t>
  </si>
  <si>
    <t>204:233314</t>
  </si>
  <si>
    <t>204:1175</t>
  </si>
  <si>
    <t>204:789</t>
  </si>
  <si>
    <t>204:1074</t>
  </si>
  <si>
    <t>300:58965</t>
  </si>
  <si>
    <t>300:58649</t>
  </si>
  <si>
    <t>204:729</t>
  </si>
  <si>
    <t>300:58542</t>
  </si>
  <si>
    <t>204:783</t>
  </si>
  <si>
    <t>204:1055</t>
  </si>
  <si>
    <t>300:58640</t>
  </si>
  <si>
    <t>204:638</t>
  </si>
  <si>
    <t>204:943</t>
  </si>
  <si>
    <t>204:724</t>
  </si>
  <si>
    <t>204:1013</t>
  </si>
  <si>
    <t>204:706</t>
  </si>
  <si>
    <t>204:1002</t>
  </si>
  <si>
    <t>300:58626</t>
  </si>
  <si>
    <t>204:1016</t>
  </si>
  <si>
    <t>204:862</t>
  </si>
  <si>
    <t>204:1165</t>
  </si>
  <si>
    <t>300:58984</t>
  </si>
  <si>
    <t>300:58673</t>
  </si>
  <si>
    <t>204:997</t>
  </si>
  <si>
    <t>300:59005</t>
  </si>
  <si>
    <t>300:58683</t>
  </si>
  <si>
    <t>204:652</t>
  </si>
  <si>
    <t>204:951</t>
  </si>
  <si>
    <t>300:58886</t>
  </si>
  <si>
    <t>300:58558</t>
  </si>
  <si>
    <t>204:939</t>
  </si>
  <si>
    <t>300:58977</t>
  </si>
  <si>
    <t>300:58659</t>
  </si>
  <si>
    <t>204:692</t>
  </si>
  <si>
    <t>204:974</t>
  </si>
  <si>
    <t>300:59016</t>
  </si>
  <si>
    <t>300:58695</t>
  </si>
  <si>
    <t>204:626</t>
  </si>
  <si>
    <t>204:918</t>
  </si>
  <si>
    <t>300:59003</t>
  </si>
  <si>
    <t>300:58685</t>
  </si>
  <si>
    <t>204:633</t>
  </si>
  <si>
    <t>204:932</t>
  </si>
  <si>
    <t>204:233266</t>
  </si>
  <si>
    <t>204:985</t>
  </si>
  <si>
    <t>300:58996</t>
  </si>
  <si>
    <t>300:58681</t>
  </si>
  <si>
    <t>204:705</t>
  </si>
  <si>
    <t>300:58971</t>
  </si>
  <si>
    <t>204:232970</t>
  </si>
  <si>
    <t>204:19126</t>
  </si>
  <si>
    <t>204:233360</t>
  </si>
  <si>
    <t>300:58641</t>
  </si>
  <si>
    <t>300:21358</t>
  </si>
  <si>
    <t>204:1483</t>
  </si>
  <si>
    <t>204:233251</t>
  </si>
  <si>
    <t>204:232934</t>
  </si>
  <si>
    <t>204:172</t>
  </si>
  <si>
    <t>204:233336</t>
  </si>
  <si>
    <t>204:233019</t>
  </si>
  <si>
    <t>204:233286</t>
  </si>
  <si>
    <t>204:233331</t>
  </si>
  <si>
    <t>204:233013</t>
  </si>
  <si>
    <t>204:126</t>
  </si>
  <si>
    <t>204:232969</t>
  </si>
  <si>
    <t>204:61963</t>
  </si>
  <si>
    <t>204:36759</t>
  </si>
  <si>
    <t>204:1215</t>
  </si>
  <si>
    <t>204:233236</t>
  </si>
  <si>
    <t>204:232972</t>
  </si>
  <si>
    <t>204:500</t>
  </si>
  <si>
    <t>204:427</t>
  </si>
  <si>
    <t>204:233281</t>
  </si>
  <si>
    <t>204:232968</t>
  </si>
  <si>
    <t>204:232923</t>
  </si>
  <si>
    <t>204:232962</t>
  </si>
  <si>
    <t>300:23214</t>
  </si>
  <si>
    <t>204:428</t>
  </si>
  <si>
    <t>300:23346</t>
  </si>
  <si>
    <t>300:22337</t>
  </si>
  <si>
    <t>300:19859</t>
  </si>
  <si>
    <t>204:1543</t>
  </si>
  <si>
    <t>300:23297</t>
  </si>
  <si>
    <t>300:22843</t>
  </si>
  <si>
    <t>300:23271</t>
  </si>
  <si>
    <t>300:23304</t>
  </si>
  <si>
    <t>300:22852</t>
  </si>
  <si>
    <t>300:24012</t>
  </si>
  <si>
    <t>300:19180</t>
  </si>
  <si>
    <t>204:390</t>
  </si>
  <si>
    <t>300:25605</t>
  </si>
  <si>
    <t>300:23453</t>
  </si>
  <si>
    <t>204:947</t>
  </si>
  <si>
    <t>204:1262</t>
  </si>
  <si>
    <t>300:24222</t>
  </si>
  <si>
    <t>204:1477</t>
  </si>
  <si>
    <t>300:23066</t>
  </si>
  <si>
    <t>300:23504</t>
  </si>
  <si>
    <t>204:900</t>
  </si>
  <si>
    <t>204:1222</t>
  </si>
  <si>
    <t>300:24224</t>
  </si>
  <si>
    <t>300:21793</t>
  </si>
  <si>
    <t>204:2031</t>
  </si>
  <si>
    <t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t>
  </si>
  <si>
    <t>aws s3 cp s3://rtdc.mdm.uploadarchive.raw/RTDC4022/ "%USERPROFILE%\AppData\Local\Temp\OnboardLogs"\RTDC4022\2016-12-11 --exclude "*" --recursive --include "*20161211*" &amp; "%USERPROFILE%\Documents\GitHub\mrs-test-scripts\Headless Mode &amp; Sideloading\WalkAndUnGZ.bat" "%USERPROFILE%\AppData\Local\Temp\OnboardLogs"\RTDC4022\2016-12-11 &amp; aws s3 cp s3://rtdc.mdm.uploadarchive.raw/RTDC4022/ "%USERPROFILE%\AppData\Local\Temp\OnboardLogs"\RTDC4022\2016-12-12 --exclude "*" --recursive --include "*20161212*" &amp; "%USERPROFILE%\Documents\GitHub\mrs-test-scripts\Headless Mode &amp; Sideloading\WalkAndUnGZ.bat" "%USERPROFILE%\AppData\Local\Temp\OnboardLogs"\RTDC4022\2016-12-12</t>
  </si>
  <si>
    <t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t>
  </si>
  <si>
    <t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t>
  </si>
  <si>
    <t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t>
  </si>
  <si>
    <t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t>
  </si>
  <si>
    <t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t>
  </si>
  <si>
    <t>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 &amp; 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</t>
  </si>
  <si>
    <t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t>
  </si>
  <si>
    <t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t>
  </si>
  <si>
    <t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t>
  </si>
  <si>
    <t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t>
  </si>
  <si>
    <t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t>
  </si>
  <si>
    <t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t>
  </si>
  <si>
    <t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t>
  </si>
  <si>
    <t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t>
  </si>
  <si>
    <t>aws s3 cp s3://rtdc.mdm.uploadarchive.raw/RTDC4025/ "%USERPROFILE%\AppData\Local\Temp\OnboardLogs"\RTDC4025\1969-12-31 --exclude "*" --recursive --include "*19691231*" &amp; "%USERPROFILE%\Documents\GitHub\mrs-test-scripts\Headless Mode &amp; Sideloading\WalkAndUnGZ.bat" "%USERPROFILE%\AppData\Local\Temp\OnboardLogs"\RTDC4025\1969-12-31 &amp; aws s3 cp s3://rtdc.mdm.uploadarchive.raw/RTDC4025/ "%USERPROFILE%\AppData\Local\Temp\OnboardLogs"\RTDC4025\1970-01-01 --exclude "*" --recursive --include "*19700101*" &amp; "%USERPROFILE%\Documents\GitHub\mrs-test-scripts\Headless Mode &amp; Sideloading\WalkAndUnGZ.bat" "%USERPROFILE%\AppData\Local\Temp\OnboardLogs"\RTDC4025\1970-01-01</t>
  </si>
  <si>
    <t>DUS SW 9 not aligned for Main 1, then Pena transformer failure</t>
  </si>
  <si>
    <t>Cancelled</t>
  </si>
  <si>
    <t>Stop and barricade test</t>
  </si>
  <si>
    <t>Operator entered CCROC 1310 instead of 1321</t>
  </si>
  <si>
    <t>Quebec 4S stuck at STOP</t>
  </si>
  <si>
    <t>Around 19:12:47, Quebec 4S dropped from PROCEED CAB to STOP. Seemed to stay that way for a while. Do logs show anything weird?</t>
  </si>
  <si>
    <t>Early arrival</t>
  </si>
  <si>
    <t>Pena 4S STOP</t>
  </si>
  <si>
    <t>Early arrival (41st)</t>
  </si>
  <si>
    <t>Wi-MAX data drop</t>
  </si>
  <si>
    <t>http://stevetu21.github.io/eaglep3/load_kml.html?kml=http://rtdc.gmaps-snips.s3.amazonaws.com/0b7ee0b1-fb3a-4dcb-9f5e-d7fe20af3824.kml</t>
  </si>
  <si>
    <t>EC1443RH went offline 39 sec</t>
  </si>
  <si>
    <t>From 15:09:40 - 15:10:19, EC1443RH seems to be offline. Do logs tell us anything of note?</t>
  </si>
  <si>
    <t>EC1332RH went offline 40 sec</t>
  </si>
  <si>
    <t>From 01:11:57 - 01:12:36, EC1332RH seems to be offline. Do logs tell us anything of note?</t>
  </si>
  <si>
    <t>Went active too close to signal</t>
  </si>
  <si>
    <t>SYS :2016/12/11 10:52:39.696:ENFORCEMENT:Predictive Enforcement Action:  Target Number: 00001002  Target Speed:   0.0  Current Speed:   3.7</t>
  </si>
  <si>
    <t>SYS :2016/12/11 10:52:39.814:ENFORCEMENT:Predictive Enforcement Action:  Target Number: 00001002  Target Speed:   0.0  Current Speed:   3.7</t>
  </si>
  <si>
    <t>SYS :2016/12/11 11:22:19.682:ENFORCEMENT:Reactive Enforcement Action:  Target Number: 0000600A  Target Speed:   0.0  Current Speed:  15.2</t>
  </si>
  <si>
    <t>SYS :2016/12/11 12:56:52.948:ENFORCEMENT:Predictive Enforcement Action:  Target Number: 0000100C  Target Speed:   0.0  Current Speed:   6.3</t>
  </si>
  <si>
    <t>SYS :2016/12/11 12:56:53.456:ENFORCEMENT:Predictive Enforcement Action:  Target Number: 0000100C  Target Speed:   0.0  Current Speed:   6.3</t>
  </si>
  <si>
    <t>SYS :2016/12/11 12:56:53.781:ENFORCEMENT:Predictive Enforcement Action:  Target Number: 0000100C  Target Speed:   0.0  Current Speed:   6.3</t>
  </si>
  <si>
    <t>SYS :2016/12/11 13:32:56.943:ENFORCEMENT:Predictive Enforcement Action:  Target Number: 0000601C  Target Speed:   0.0  Current Speed:  17.8</t>
  </si>
  <si>
    <t>SYS :2016/12/11 13:32:58.220:ENFORCEMENT:Predictive Enforcement Action:  Target Number: 00006010  Target Speed:   0.0  Current Speed:  18.6</t>
  </si>
  <si>
    <t>SYS :2016/12/11 13:32:58.636:ENFORCEMENT:Predictive Enforcement Action:  Target Number: 00006010  Target Speed:   0.0  Current Speed:  18.6</t>
  </si>
  <si>
    <t>SYS :2016/12/11 13:48:08.470:ENFORCEMENT:Predictive Enforcement Action:  Target Number: 000100A3  Target Speed:  30.0  Current Speed:  40.2</t>
  </si>
  <si>
    <t>SYS :2016/12/11 13:48:08.800:ENFORCEMENT:Predictive Enforcement Action:  Target Number: 000100A3  Target Speed:  30.0  Current Speed:  40.2</t>
  </si>
  <si>
    <t>SYS :2016/12/11 13:48:08.967:ENFORCEMENT:Predictive Enforcement Action:  Target Number: 000100A3  Target Speed:  30.0  Current Speed:  40.2</t>
  </si>
  <si>
    <t>SYS :2016/12/11 14:16:42.098:ENFORCEMENT:Predictive Enforcement Action:  Target Number: 00006036  Target Speed:   0.0  Current Speed:  22.3</t>
  </si>
  <si>
    <t>SYS :2016/12/11 14:16:42.403:ENFORCEMENT:Predictive Enforcement Action:  Target Number: 00006079  Target Speed:   0.0  Current Speed:  22.5</t>
  </si>
  <si>
    <t>SYS :2016/12/11 14:16:42.562:ENFORCEMENT:Predictive Enforcement Action:  Target Number: 00006079  Target Speed:   0.0  Current Speed:  22.5</t>
  </si>
  <si>
    <t>SYS :2016/12/11 14:52:13.398:ENFORCEMENT:Predictive Enforcement Action:  Target Number: 00001006  Target Speed:   0.0  Current Speed:   9.0</t>
  </si>
  <si>
    <t>SYS :2016/12/11 14:52:13.554:ENFORCEMENT:Predictive Enforcement Action:  Target Number: 00001006  Target Speed:   0.0  Current Speed:   9.0</t>
  </si>
  <si>
    <t>SYS :2016/12/11 14:52:14.092:ENFORCEMENT:Predictive Enforcement Action:  Target Number: 00001005  Target Speed:   0.0  Current Speed:   9.0</t>
  </si>
  <si>
    <t>SYS :2016/12/11 14:56:27.298:ENFORCEMENT:Predictive Enforcement Action:  Target Number: 00001002  Target Speed:   0.0  Current Speed:   6.7</t>
  </si>
  <si>
    <t>SYS :2016/12/11 14:56:27.458:ENFORCEMENT:Predictive Enforcement Action:  Target Number: 00001010  Target Speed:   0.0  Current Speed:   6.7</t>
  </si>
  <si>
    <t>SYS :2016/12/11 15:07:04.146:ENFORCEMENT:Predictive Enforcement Action:  Target Number: 00017027  Target Speed:  14.0  Current Speed:  19.8</t>
  </si>
  <si>
    <t>SYS :2016/12/11 15:07:04.289:ENFORCEMENT:Predictive Enforcement Action:  Target Number: 0001702A  Target Speed:  14.0  Current Speed:  19.8</t>
  </si>
  <si>
    <t>SYS :2016/12/11 15:07:04.688:ENFORCEMENT:Predictive Enforcement Action:  Target Number: 0001702A  Target Speed:  14.0  Current Speed:  19.8</t>
  </si>
  <si>
    <t>SYS :2016/12/11 15:16:58.955:ENFORCEMENT:Predictive Enforcement Action:  Target Number: 00006093  Target Speed:   0.0  Current Speed:  43.8</t>
  </si>
  <si>
    <t>SYS :2016/12/11 15:16:58.962:ENFORCEMENT:Predictive Enforcement Action:  Target Number: 0000603B  Target Speed:   0.0  Current Speed:  43.8</t>
  </si>
  <si>
    <t>SYS :2016/12/11 15:16:59.646:ENFORCEMENT:Predictive Enforcement Action:  Target Number: 0000608C  Target Speed:   0.0  Current Speed:  43.8</t>
  </si>
  <si>
    <t>SYS :2016/12/11 15:21:17.600:ENFORCEMENT:Predictive Enforcement Action:  Target Number: 00001006  Target Speed:   0.0  Current Speed:   6.5</t>
  </si>
  <si>
    <t>SYS :2016/12/11 15:21:18.201:ENFORCEMENT:Predictive Enforcement Action:  Target Number: 00001006  Target Speed:   0.0  Current Speed:   6.5</t>
  </si>
  <si>
    <t>SYS :2016/12/11 15:37:23.806:ENFORCEMENT:Predictive Enforcement Action:  Target Number: 00001009  Target Speed:   0.0  Current Speed:   3.6</t>
  </si>
  <si>
    <t>SYS :2016/12/11 15:37:24.544:ENFORCEMENT:Predictive Enforcement Action:  Target Number: 00001009  Target Speed:   0.0  Current Speed:   3.6</t>
  </si>
  <si>
    <t>SYS :2016/12/11 16:13:31.907:ENFORCEMENT:Reactive Enforcement Action:  Target Number: 00010075  Target Speed:  35.0  Current Speed:  40.1</t>
  </si>
  <si>
    <t>SYS :2016/12/11 16:13:32.420:ENFORCEMENT:Reactive Enforcement Action:  Target Number: 0001001A  Target Speed:  35.0  Current Speed:  40.1</t>
  </si>
  <si>
    <t>SYS :2016/12/11 16:13:33.000:ENFORCEMENT:Reactive Enforcement Action:  Target Number: 00010075  Target Speed:  35.0  Current Speed:  40.1</t>
  </si>
  <si>
    <t>SYS :2016/12/11 17:19:13.127:ENFORCEMENT:Reactive Enforcement Action:  Target Number: 0001007A  Target Speed:  35.0  Current Speed:  40.0</t>
  </si>
  <si>
    <t>SYS :2016/12/11 17:19:13.271:ENFORCEMENT:Reactive Enforcement Action:  Target Number: 00010088  Target Speed:  35.0  Current Speed:  40.0</t>
  </si>
  <si>
    <t>SYS :2016/12/11 17:19:13.676:ENFORCEMENT:Reactive Enforcement Action:  Target Number: 0001008A  Target Speed:  35.0  Current Speed:  40.0</t>
  </si>
  <si>
    <t>SYS :2016/12/11 17:45:36.801:ENFORCEMENT:Predictive Enforcement Action:  Target Number: 000100EB  Target Speed:  30.0  Current Speed:  36.2</t>
  </si>
  <si>
    <t>SYS :2016/12/11 17:45:37.292:ENFORCEMENT:Predictive Enforcement Action:  Target Number: 00010040  Target Speed:  30.0  Current Speed:  35.9</t>
  </si>
  <si>
    <t>SYS :2016/12/11 17:45:37.469:ENFORCEMENT:Predictive Enforcement Action:  Target Number: 000100EB  Target Speed:  30.0  Current Speed:  35.9</t>
  </si>
  <si>
    <t>SYS :2016/12/11 17:50:36.800:ENFORCEMENT:Predictive Enforcement Action:  Target Number: 00017052  Target Speed:  30.0  Current Speed:  39.6</t>
  </si>
  <si>
    <t>SYS :2016/12/11 17:50:37.466:ENFORCEMENT:Predictive Enforcement Action:  Target Number: 00017052  Target Speed:  30.0  Current Speed:  38.6</t>
  </si>
  <si>
    <t>SYS :2016/12/11 17:57:10.453:ENFORCEMENT:Predictive Enforcement Action:  Target Number: 00001017  Target Speed:   0.0  Current Speed:   3.7</t>
  </si>
  <si>
    <t>SYS :2016/12/11 17:57:10.782:ENFORCEMENT:Predictive Enforcement Action:  Target Number: 00001017  Target Speed:   0.0  Current Speed:   3.7</t>
  </si>
  <si>
    <t>SYS :2016/12/11 17:57:11.266:ENFORCEMENT:Predictive Enforcement Action:  Target Number: 00001009  Target Speed:   0.0  Current Speed:   3.6</t>
  </si>
  <si>
    <t>SYS :2016/12/11 18:17:08.578:ENFORCEMENT:Reactive Enforcement Action:  Target Number: 0001008A  Target Speed:  40.0  Current Speed:  45.1</t>
  </si>
  <si>
    <t>SYS :2016/12/11 18:17:09.110:ENFORCEMENT:Reactive Enforcement Action:  Target Number: 00010076  Target Speed:  40.0  Current Speed:  45.1</t>
  </si>
  <si>
    <t>SYS :2016/12/11 18:30:40.895:ENFORCEMENT:Predictive Enforcement Action:  Target Number: 00006153  Target Speed:   0.0  Current Speed:  52.9</t>
  </si>
  <si>
    <t>SYS :2016/12/11 18:30:41.994:ENFORCEMENT:Predictive Enforcement Action:  Target Number: 00006144  Target Speed:   0.0  Current Speed:  51.8</t>
  </si>
  <si>
    <t>SYS :2016/12/11 18:30:42.641:ENFORCEMENT:Predictive Enforcement Action:  Target Number: 00006020  Target Speed:   0.0  Current Speed:  50.6</t>
  </si>
  <si>
    <t>SYS :2016/12/11 18:33:40.622:ENFORCEMENT:Predictive Enforcement Action:  Target Number: 0000A007  Target Speed:  10.0  Current Speed:  39.6</t>
  </si>
  <si>
    <t>SYS :2016/12/11 18:33:41.229:ENFORCEMENT:Predictive Enforcement Action:  Target Number: 0000A007  Target Speed:  10.0  Current Speed:  39.1</t>
  </si>
  <si>
    <t>SYS :2016/12/11 18:47:54.915:ENFORCEMENT:Predictive Enforcement Action:  Target Number: 0000A008  Target Speed:  10.0  Current Speed:  50.2</t>
  </si>
  <si>
    <t>SYS :2016/12/11 18:48:10.007:ENFORCEMENT:Predictive Enforcement Action:  Target Number: 0000A008  Target Speed:  10.0  Current Speed:  29.6</t>
  </si>
  <si>
    <t>SYS :2016/12/11 18:50:59.211:ENFORCEMENT:Predictive Enforcement Action:  Target Number: 0000100B  Target Speed:   0.0  Current Speed:   4.8</t>
  </si>
  <si>
    <t>SYS :2016/12/11 18:50:59.601:ENFORCEMENT:Predictive Enforcement Action:  Target Number: 0000100B  Target Speed:   0.0  Current Speed:   4.8</t>
  </si>
  <si>
    <t>SYS :2016/12/11 18:56:08.455:ENFORCEMENT:Predictive Enforcement Action:  Target Number: 0000101E  Target Speed:   0.0  Current Speed:   5.3</t>
  </si>
  <si>
    <t>SYS :2016/12/11 19:01:18.284:ENFORCEMENT:Predictive Enforcement Action:  Target Number: 00001002  Target Speed:   0.0  Current Speed:  10.2</t>
  </si>
  <si>
    <t>SYS :2016/12/11 20:13:39.599:ENFORCEMENT:Reactive Enforcement Action:  Target Number: 00010017  Target Speed:  35.0  Current Speed:  40.2</t>
  </si>
  <si>
    <t>SYS :2016/12/11 20:13:39.899:ENFORCEMENT:Reactive Enforcement Action:  Target Number: 000100BD  Target Speed:  35.0  Current Speed:  40.2</t>
  </si>
  <si>
    <t>SYS :2016/12/11 20:13:39.989:ENFORCEMENT:Reactive Enforcement Action:  Target Number: 000100BD  Target Speed:  35.0  Current Speed:  40.2</t>
  </si>
  <si>
    <t>SYS :2016/12/11 20:26:35.855:ENFORCEMENT:Predictive Enforcement Action:  Target Number: 0000A00A  Target Speed:  15.0  Current Speed:  46.7</t>
  </si>
  <si>
    <t>SYS :2016/12/11 20:26:36.041:ENFORCEMENT:Predictive Enforcement Action:  Target Number: 0000A00A  Target Speed:  15.0  Current Speed:  46.7</t>
  </si>
  <si>
    <t>SYS :2016/12/11 20:44:19.137:ENFORCEMENT:Predictive Enforcement Action:  Target Number: 0000A010  Target Speed:  15.0  Current Speed:  59.2</t>
  </si>
  <si>
    <t>SYS :2016/12/11 20:44:19.286:ENFORCEMENT:Predictive Enforcement Action:  Target Number: 0000A010  Target Speed:  15.0  Current Speed:  59.2</t>
  </si>
  <si>
    <t>SYS :2016/12/11 20:44:19.688:ENFORCEMENT:Predictive Enforcement Action:  Target Number: 0000A010  Target Speed:  15.0  Current Speed:  59.2</t>
  </si>
  <si>
    <t>SYS :2016/12/11 20:45:15.148:ENFORCEMENT:Predictive Enforcement Action:  Target Number: 0000A010  Target Speed:  15.0  Current Speed:  20.9</t>
  </si>
  <si>
    <t>SYS :2016/12/11 20:45:15.302:ENFORCEMENT:Predictive Enforcement Action:  Target Number: 0000A010  Target Speed:  15.0  Current Speed:  20.9</t>
  </si>
  <si>
    <t>SYS :2016/12/11 20:45:15.697:ENFORCEMENT:Predictive Enforcement Action:  Target Number: 0000A010  Target Speed:  15.0  Current Speed:  20.9</t>
  </si>
  <si>
    <t>SYS :2016/12/11 21:17:24.719:ENFORCEMENT:Predictive Enforcement Action:  Target Number: 0000A018  Target Speed:  15.0  Current Speed:  31.5</t>
  </si>
  <si>
    <t>SYS :2016/12/11 21:17:24.807:ENFORCEMENT:Predictive Enforcement Action:  Target Number: 0000A007  Target Speed:  15.0  Current Speed:  31.5</t>
  </si>
  <si>
    <t>SYS :2016/12/11 21:17:25.039:ENFORCEMENT:Predictive Enforcement Action:  Target Number: 0000A018  Target Speed:  15.0  Current Speed:  31.5</t>
  </si>
  <si>
    <t>SYS :2016/12/11 21:27:31.230:ENFORCEMENT:Reactive Enforcement Action:  Target Number: 0001708B  Target Speed:   5.0  Current Speed:  10.3</t>
  </si>
  <si>
    <t>SYS :2016/12/11 21:27:31.890:ENFORCEMENT:Reactive Enforcement Action:  Target Number: 0001708B  Target Speed:   5.0  Current Speed:  10.3</t>
  </si>
  <si>
    <t>SYS :2016/12/11 21:27:32.407:ENFORCEMENT:Reactive Enforcement Action:  Target Number: 0001706D  Target Speed:   5.0  Current Speed:  10.3</t>
  </si>
  <si>
    <t>SYS :2016/12/11 21:46:18.470:ENFORCEMENT:Reactive Enforcement Action:  Target Number: 00010157  Target Speed:  40.0  Current Speed:  45.3</t>
  </si>
  <si>
    <t>SYS :2016/12/11 21:46:19.299:ENFORCEMENT:Reactive Enforcement Action:  Target Number: 000100AC  Target Speed:  40.0  Current Speed:  45.3</t>
  </si>
  <si>
    <t>SYS :2016/12/11 21:46:19.797:ENFORCEMENT:Reactive Enforcement Action:  Target Number: 00010157  Target Speed:  40.0  Current Speed:  45.3</t>
  </si>
  <si>
    <t>SYS :2016/12/11 22:10:01.845:ENFORCEMENT:Predictive Enforcement Action:  Target Number: 000060FE  Target Speed:   0.0  Current Speed:  53.7</t>
  </si>
  <si>
    <t>SYS :2016/12/11 22:10:02.031:ENFORCEMENT:Predictive Enforcement Action:  Target Number: 000060FD  Target Speed:   0.0  Current Speed:  53.7</t>
  </si>
  <si>
    <t>SYS :2016/12/11 22:22:12.983:ENFORCEMENT:Predictive Enforcement Action:  Target Number: 00004045  Target Speed:   0.0  Current Speed:  39.4</t>
  </si>
  <si>
    <t>SYS :2016/12/11 22:22:13.065:ENFORCEMENT:Predictive Enforcement Action:  Target Number: 00004078  Target Speed:   0.0  Current Speed:  39.6</t>
  </si>
  <si>
    <t>SYS :2016/12/11 22:22:13.134:ENFORCEMENT:Predictive Enforcement Action:  Target Number: 00004074  Target Speed:   0.0  Current Speed:  39.4</t>
  </si>
  <si>
    <t>SYS :2016/12/11 22:25:29.835:ENFORCEMENT:Predictive Enforcement Action:  Target Number: 00001009  Target Speed:   0.0  Current Speed:   3.7</t>
  </si>
  <si>
    <t>SYS :2016/12/11 22:25:30.023:ENFORCEMENT:Predictive Enforcement Action:  Target Number: 00001009  Target Speed:   0.0  Current Speed:   3.7</t>
  </si>
  <si>
    <t>SYS :2016/12/11 22:42:37.546:ENFORCEMENT:Predictive Enforcement Action:  Target Number: 0000100E  Target Speed:   0.0  Current Speed:   5.1</t>
  </si>
  <si>
    <t>SYS :2016/12/11 22:42:37.796:ENFORCEMENT:Predictive Enforcement Action:  Target Number: 0000100E  Target Speed:   0.0  Current Speed:   5.1</t>
  </si>
  <si>
    <t>SYS :2016/12/11 22:59:06.969:ENFORCEMENT:Predictive Enforcement Action:  Target Number: 00001007  Target Speed:   0.0  Current Speed:   8.3</t>
  </si>
  <si>
    <t>SYS :2016/12/11 22:59:07.038:ENFORCEMENT:Predictive Enforcement Action:  Target Number: 0000100E  Target Speed:   0.0  Current Speed:   8.3</t>
  </si>
  <si>
    <t>SYS :2016/12/11 22:59:07.111:ENFORCEMENT:Predictive Enforcement Action:  Target Number: 0000100E  Target Speed:   0.0  Current Speed:   8.3</t>
  </si>
  <si>
    <t>SYS :2016/12/11 23:44:04.290:ENFORCEMENT:Reactive Enforcement Action:  Target Number: 00006170  Target Speed:  20.0  Current Speed:  25.9</t>
  </si>
  <si>
    <t>SYS :2016/12/11 23:44:04.462:ENFORCEMENT:Reactive Enforcement Action:  Target Number: 00006226  Target Speed:  20.0  Current Speed:  25.9</t>
  </si>
  <si>
    <t>SYS :2016/12/11 23:44:05.794:ENFORCEMENT:Reactive Enforcement Action:  Target Number: 0000623F  Target Speed:  20.0  Current Speed:  25.9</t>
  </si>
  <si>
    <t>SYS :2016/12/11 23:46:00.472:ENFORCEMENT:Reactive Enforcement Action:  Target Number: 00006226  Target Speed:  20.0  Current Speed:  26.0</t>
  </si>
  <si>
    <t>SYS :2016/12/11 23:46:01.294:ENFORCEMENT:Reactive Enforcement Action:  Target Number: 00006170  Target Speed:  20.0  Current Speed:  26.0</t>
  </si>
  <si>
    <t>SYS :2016/12/11 23:46:01.797:ENFORCEMENT:Reactive Enforcement Action:  Target Number: 0000623F  Target Speed:  20.0  Current Speed:  26.0</t>
  </si>
  <si>
    <t>SYS :2016/12/12 00:13:53.836:ENFORCEMENT:Predictive Enforcement Action:  Target Number: 0000100B  Target Speed:   0.0  Current Speed:   4.2</t>
  </si>
  <si>
    <t>SYS :2016/12/12 00:30:45.798:ENFORCEMENT:Reactive Enforcement Action:  Target Number: 0000A013  Target Speed:  15.0  Current Speed:  20.0</t>
  </si>
  <si>
    <t>SYS :2016/12/12 00:30:46.508:ENFORCEMENT:Reactive Enforcement Action:  Target Number: 0000A013  Target Speed:  15.0  Current Speed:  20.0</t>
  </si>
  <si>
    <t>SYS :2016/12/12 00:30:46.833:ENFORCEMENT:Reactive Enforcement Action:  Target Number: 0000A013  Target Speed:  15.0  Current Speed:  20.0</t>
  </si>
  <si>
    <t>SYS :2016/12/12 01:32:35.608:ENFORCEMENT:Predictive Enforcement Action:  Target Number: 000101C9  Target Speed:  15.0  Current Speed:  29.7</t>
  </si>
  <si>
    <t>SYS :2016/12/12 01:55:39.451:ENFORCEMENT:Predictive Enforcement Action:  Target Number: 0000102D  Target Speed:   0.0  Current Speed:   2.2</t>
  </si>
  <si>
    <t>SYS :2016/12/12 01:55:40.269:ENFORCEMENT:Predictive Enforcement Action:  Target Number: 0000101F  Target Speed:   0.0  Current Speed:   2.2</t>
  </si>
  <si>
    <t>SYS :2016/12/12 02:46:15.468:ENFORCEMENT:Reactive Enforcement Action:  Target Number: 000101B6  Target Speed:  40.0  Current Speed:  45.4</t>
  </si>
  <si>
    <t>SYS :2016/12/12 02:46:16.286:ENFORCEMENT:Reactive Enforcement Action:  Target Number: 0001010B  Target Speed:  40.0  Current Speed:  45.4</t>
  </si>
  <si>
    <t>SYS :2016/12/12 02:46:16.791:ENFORCEMENT:Reactive Enforcement Action:  Target Number: 000101B6  Target Speed:  40.0  Current Speed:  45.4</t>
  </si>
  <si>
    <t>SYS :2016/12/12 03:36:51.603:ENFORCEMENT:Predictive Enforcement Action:  Target Number: 00001031  Target Speed:   0.0  Current Speed:   4.2</t>
  </si>
  <si>
    <t>SYS :2016/12/12 03:37:29.599:ENFORCEMENT:Predictive Enforcement Action:  Target Number: 00001016  Target Speed:   0.0  Current Speed:   5.1</t>
  </si>
  <si>
    <t>SYS :2016/12/12 03:54:55.466:ENFORCEMENT:Predictive Enforcement Action:  Target Number: 00001037  Target Speed:   0.0  Current Speed:  12.4</t>
  </si>
  <si>
    <t>SYS :2016/12/12 04:38:56.607:ENFORCEMENT:Predictive Enforcement Action:  Target Number: 00001036  Target Speed:   0.0  Current Speed:   5.9</t>
  </si>
  <si>
    <t>SYS :2016/12/12 04:40:23.602:ENFORCEMENT:Predictive Enforcement Action:  Target Number: 00001036  Target Speed:   0.0  Current Speed:   1.5</t>
  </si>
  <si>
    <t>SYS :2016/12/12 04:58:24.460:ENFORCEMENT:Predictive Enforcement Action:  Target Number: 00001039  Target Speed:   0.0  Current Speed:   5.3</t>
  </si>
  <si>
    <t>SYS :2016/12/12 04:58:25.273:ENFORCEMENT:Predictive Enforcement Action:  Target Number: 0000102B  Target Speed:   0.0  Current Speed:   5.3</t>
  </si>
  <si>
    <t>SYS :2016/12/12 04:58:25.790:ENFORCEMENT:Predictive Enforcement Action:  Target Number: 0000103A  Target Speed:   0.0  Current Speed:   5.3</t>
  </si>
  <si>
    <t>SYS :2016/12/12 07:25:28.620:ENFORCEMENT:Predictive Enforcement Action:  Target Number: 0000A021  Target Speed:  10.0  Current Speed:  17.5</t>
  </si>
  <si>
    <t>SYS :2016/12/12 07:25:29.219:ENFORCEMENT:Predictive Enforcement Action:  Target Number: 0000A021  Target Speed:  10.0  Current Speed:  17.5</t>
  </si>
  <si>
    <t>Banner without braking</t>
  </si>
  <si>
    <t>Wi-MAX data drop, no enforcement or cut out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</si>
</sst>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h:mm:ss;@"/>
    <numFmt numFmtId="165" formatCode="0.0%"/>
    <numFmt numFmtId="166" formatCode="yyyy\-mm\-dd"/>
    <numFmt numFmtId="167" formatCode="yyyy\-mm\-dd\ hh:mm:ss"/>
    <numFmt numFmtId="168" formatCode="m/d/yy\ h:mm;@"/>
    <numFmt numFmtId="169" formatCode="[$-F400]h:mm:ss\ AM/PM"/>
    <numFmt numFmtId="170" formatCode="0.000"/>
    <numFmt numFmtId="171" formatCode="0.0000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11"/>
      <color theme="0" tint="-0.34998626667073579"/>
      <name val="Calibri"/>
      <family val="2"/>
      <scheme val="minor"/>
    </font>
    <font>
      <sz val="10"/>
      <color indexed="8"/>
      <name val="Arial"/>
      <family val="2"/>
    </font>
    <font>
      <sz val="11"/>
      <color indexed="8"/>
      <name val="Calibri"/>
      <family val="2"/>
    </font>
    <font>
      <sz val="11"/>
      <color theme="0" tint="-0.499984740745262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onsolas"/>
      <family val="3"/>
    </font>
    <font>
      <b/>
      <sz val="9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FF0000"/>
      <name val="Calibri"/>
      <family val="2"/>
      <scheme val="minor"/>
    </font>
    <font>
      <sz val="9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rgb="FFE4C9FF"/>
        <bgColor indexed="64"/>
      </patternFill>
    </fill>
    <fill>
      <patternFill patternType="solid">
        <fgColor theme="5" tint="0.79998168889431442"/>
        <bgColor indexed="64"/>
      </patternFill>
    </fill>
  </fills>
  <borders count="1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/>
      <bottom style="medium">
        <color rgb="FFECF0F1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9" fontId="0" fillId="0" borderId="0"/>
    <xf numFmtId="169" fontId="7" fillId="0" borderId="0"/>
    <xf numFmtId="9" fontId="10" fillId="0" borderId="0" applyFont="0" applyFill="0" applyBorder="0" applyAlignment="0" applyProtection="0"/>
    <xf numFmtId="169" fontId="10" fillId="0" borderId="0"/>
    <xf numFmtId="169" fontId="20" fillId="0" borderId="0" applyNumberFormat="0" applyFill="0" applyBorder="0" applyAlignment="0" applyProtection="0"/>
  </cellStyleXfs>
  <cellXfs count="186">
    <xf numFmtId="169" fontId="0" fillId="0" borderId="0" xfId="0"/>
    <xf numFmtId="169" fontId="0" fillId="0" borderId="0" xfId="0" applyFill="1"/>
    <xf numFmtId="1" fontId="0" fillId="0" borderId="0" xfId="0" applyNumberFormat="1"/>
    <xf numFmtId="1" fontId="0" fillId="0" borderId="2" xfId="0" applyNumberFormat="1" applyBorder="1" applyAlignment="1">
      <alignment horizontal="center" vertical="center"/>
    </xf>
    <xf numFmtId="169" fontId="0" fillId="0" borderId="0" xfId="0" applyBorder="1" applyAlignment="1">
      <alignment horizontal="center" vertical="center" wrapText="1"/>
    </xf>
    <xf numFmtId="169" fontId="0" fillId="0" borderId="4" xfId="0" applyBorder="1" applyAlignment="1">
      <alignment horizontal="center" vertical="center" wrapText="1"/>
    </xf>
    <xf numFmtId="164" fontId="0" fillId="0" borderId="5" xfId="0" applyNumberFormat="1" applyFill="1" applyBorder="1" applyAlignment="1">
      <alignment horizontal="left"/>
    </xf>
    <xf numFmtId="1" fontId="0" fillId="0" borderId="5" xfId="0" applyNumberFormat="1" applyFill="1" applyBorder="1" applyAlignment="1">
      <alignment horizontal="left"/>
    </xf>
    <xf numFmtId="167" fontId="0" fillId="0" borderId="0" xfId="0" applyNumberFormat="1"/>
    <xf numFmtId="169" fontId="0" fillId="0" borderId="5" xfId="0" applyFill="1" applyBorder="1" applyAlignment="1"/>
    <xf numFmtId="169" fontId="0" fillId="0" borderId="0" xfId="0" applyAlignment="1">
      <alignment horizontal="center" vertical="center"/>
    </xf>
    <xf numFmtId="169" fontId="3" fillId="0" borderId="6" xfId="0" applyFont="1" applyBorder="1" applyAlignment="1">
      <alignment horizontal="center" wrapText="1"/>
    </xf>
    <xf numFmtId="166" fontId="4" fillId="0" borderId="7" xfId="0" applyNumberFormat="1" applyFont="1" applyBorder="1" applyAlignment="1">
      <alignment horizontal="center" vertical="center" wrapText="1"/>
    </xf>
    <xf numFmtId="167" fontId="0" fillId="0" borderId="5" xfId="0" applyNumberFormat="1" applyFill="1" applyBorder="1" applyAlignment="1">
      <alignment horizontal="left"/>
    </xf>
    <xf numFmtId="169" fontId="1" fillId="0" borderId="5" xfId="0" applyFont="1" applyFill="1" applyBorder="1" applyAlignment="1">
      <alignment horizontal="left" vertical="center" wrapText="1"/>
    </xf>
    <xf numFmtId="169" fontId="1" fillId="0" borderId="5" xfId="0" applyFont="1" applyBorder="1" applyAlignment="1">
      <alignment horizontal="left" vertical="center" wrapText="1"/>
    </xf>
    <xf numFmtId="167" fontId="1" fillId="0" borderId="5" xfId="0" applyNumberFormat="1" applyFont="1" applyBorder="1" applyAlignment="1">
      <alignment horizontal="left" vertical="center" wrapText="1"/>
    </xf>
    <xf numFmtId="20" fontId="1" fillId="0" borderId="5" xfId="0" applyNumberFormat="1" applyFont="1" applyFill="1" applyBorder="1" applyAlignment="1">
      <alignment horizontal="left" vertical="center" wrapText="1"/>
    </xf>
    <xf numFmtId="1" fontId="1" fillId="0" borderId="5" xfId="0" applyNumberFormat="1" applyFont="1" applyBorder="1" applyAlignment="1">
      <alignment horizontal="left" vertical="center" wrapText="1"/>
    </xf>
    <xf numFmtId="169" fontId="1" fillId="0" borderId="5" xfId="0" applyFont="1" applyBorder="1" applyAlignment="1">
      <alignment horizontal="center" vertical="center" wrapText="1"/>
    </xf>
    <xf numFmtId="169" fontId="5" fillId="0" borderId="0" xfId="0" applyFont="1"/>
    <xf numFmtId="169" fontId="0" fillId="0" borderId="0" xfId="0"/>
    <xf numFmtId="169" fontId="0" fillId="0" borderId="5" xfId="0" applyFill="1" applyBorder="1" applyAlignment="1">
      <alignment horizontal="left"/>
    </xf>
    <xf numFmtId="1" fontId="0" fillId="0" borderId="5" xfId="0" applyNumberFormat="1" applyFill="1" applyBorder="1"/>
    <xf numFmtId="169" fontId="0" fillId="0" borderId="0" xfId="0" applyBorder="1"/>
    <xf numFmtId="167" fontId="0" fillId="0" borderId="8" xfId="0" applyNumberFormat="1" applyBorder="1"/>
    <xf numFmtId="17" fontId="0" fillId="0" borderId="0" xfId="0" applyNumberFormat="1"/>
    <xf numFmtId="167" fontId="0" fillId="0" borderId="0" xfId="0" applyNumberFormat="1" applyBorder="1"/>
    <xf numFmtId="169" fontId="0" fillId="0" borderId="0" xfId="0" applyAlignment="1">
      <alignment horizontal="left"/>
    </xf>
    <xf numFmtId="169" fontId="0" fillId="0" borderId="0" xfId="0" applyFill="1" applyBorder="1"/>
    <xf numFmtId="168" fontId="0" fillId="0" borderId="5" xfId="0" applyNumberFormat="1" applyFill="1" applyBorder="1" applyAlignment="1">
      <alignment horizontal="left"/>
    </xf>
    <xf numFmtId="169" fontId="0" fillId="0" borderId="5" xfId="0" applyBorder="1"/>
    <xf numFmtId="169" fontId="8" fillId="4" borderId="9" xfId="1" applyFont="1" applyFill="1" applyBorder="1" applyAlignment="1">
      <alignment horizontal="center"/>
    </xf>
    <xf numFmtId="169" fontId="8" fillId="0" borderId="10" xfId="1" applyFont="1" applyFill="1" applyBorder="1" applyAlignment="1">
      <alignment wrapText="1"/>
    </xf>
    <xf numFmtId="169" fontId="8" fillId="0" borderId="10" xfId="1" applyFont="1" applyFill="1" applyBorder="1" applyAlignment="1">
      <alignment horizontal="right" wrapText="1"/>
    </xf>
    <xf numFmtId="9" fontId="0" fillId="0" borderId="5" xfId="0" applyNumberFormat="1" applyFill="1" applyBorder="1"/>
    <xf numFmtId="167" fontId="0" fillId="0" borderId="5" xfId="0" applyNumberFormat="1" applyBorder="1"/>
    <xf numFmtId="22" fontId="0" fillId="0" borderId="5" xfId="0" applyNumberFormat="1" applyFill="1" applyBorder="1" applyAlignment="1">
      <alignment horizontal="left"/>
    </xf>
    <xf numFmtId="167" fontId="0" fillId="0" borderId="0" xfId="0" applyNumberFormat="1" applyAlignment="1">
      <alignment horizontal="left"/>
    </xf>
    <xf numFmtId="169" fontId="0" fillId="0" borderId="0" xfId="0" applyFill="1" applyAlignment="1">
      <alignment horizontal="left"/>
    </xf>
    <xf numFmtId="20" fontId="0" fillId="0" borderId="0" xfId="0" applyNumberFormat="1" applyFill="1" applyAlignment="1">
      <alignment horizontal="left" wrapText="1"/>
    </xf>
    <xf numFmtId="1" fontId="0" fillId="0" borderId="0" xfId="0" applyNumberFormat="1" applyAlignment="1">
      <alignment horizontal="left"/>
    </xf>
    <xf numFmtId="169" fontId="0" fillId="0" borderId="3" xfId="0" applyFill="1" applyBorder="1" applyAlignment="1">
      <alignment horizontal="left" vertical="center"/>
    </xf>
    <xf numFmtId="1" fontId="0" fillId="0" borderId="3" xfId="0" applyNumberFormat="1" applyBorder="1" applyAlignment="1">
      <alignment horizontal="left" vertical="center"/>
    </xf>
    <xf numFmtId="169" fontId="0" fillId="0" borderId="4" xfId="0" applyBorder="1" applyAlignment="1">
      <alignment horizontal="left" vertical="center"/>
    </xf>
    <xf numFmtId="1" fontId="0" fillId="0" borderId="3" xfId="0" applyNumberFormat="1" applyFill="1" applyBorder="1" applyAlignment="1">
      <alignment horizontal="left" vertical="center"/>
    </xf>
    <xf numFmtId="165" fontId="0" fillId="0" borderId="0" xfId="0" applyNumberFormat="1" applyAlignment="1">
      <alignment horizontal="left"/>
    </xf>
    <xf numFmtId="1" fontId="0" fillId="0" borderId="5" xfId="0" applyNumberFormat="1" applyBorder="1"/>
    <xf numFmtId="169" fontId="0" fillId="0" borderId="0" xfId="0" applyNumberFormat="1"/>
    <xf numFmtId="169" fontId="0" fillId="0" borderId="0" xfId="0" applyNumberFormat="1" applyAlignment="1">
      <alignment horizontal="center" vertical="center"/>
    </xf>
    <xf numFmtId="169" fontId="0" fillId="0" borderId="5" xfId="0" applyFill="1" applyBorder="1"/>
    <xf numFmtId="169" fontId="9" fillId="0" borderId="0" xfId="0" applyFont="1" applyBorder="1" applyAlignment="1">
      <alignment horizontal="center" vertical="center" wrapText="1"/>
    </xf>
    <xf numFmtId="169" fontId="9" fillId="0" borderId="0" xfId="0" applyFont="1" applyFill="1" applyBorder="1"/>
    <xf numFmtId="169" fontId="9" fillId="0" borderId="0" xfId="0" applyFont="1" applyFill="1"/>
    <xf numFmtId="169" fontId="0" fillId="0" borderId="5" xfId="0" applyBorder="1" applyAlignment="1">
      <alignment horizontal="center" vertical="center" wrapText="1"/>
    </xf>
    <xf numFmtId="1" fontId="0" fillId="0" borderId="4" xfId="0" applyNumberFormat="1" applyBorder="1" applyAlignment="1">
      <alignment horizontal="left" vertical="center"/>
    </xf>
    <xf numFmtId="170" fontId="5" fillId="0" borderId="0" xfId="0" applyNumberFormat="1" applyFont="1" applyAlignment="1">
      <alignment horizontal="left"/>
    </xf>
    <xf numFmtId="170" fontId="0" fillId="0" borderId="0" xfId="0" applyNumberFormat="1"/>
    <xf numFmtId="170" fontId="9" fillId="0" borderId="0" xfId="0" applyNumberFormat="1" applyFont="1" applyBorder="1" applyAlignment="1">
      <alignment horizontal="center" vertical="center" wrapText="1"/>
    </xf>
    <xf numFmtId="170" fontId="9" fillId="0" borderId="0" xfId="0" applyNumberFormat="1" applyFont="1" applyBorder="1" applyAlignment="1">
      <alignment horizontal="left" vertical="center" wrapText="1"/>
    </xf>
    <xf numFmtId="170" fontId="9" fillId="0" borderId="0" xfId="0" applyNumberFormat="1" applyFont="1" applyFill="1" applyBorder="1" applyAlignment="1">
      <alignment horizontal="left"/>
    </xf>
    <xf numFmtId="170" fontId="9" fillId="0" borderId="0" xfId="0" applyNumberFormat="1" applyFont="1" applyFill="1"/>
    <xf numFmtId="1" fontId="5" fillId="0" borderId="0" xfId="0" applyNumberFormat="1" applyFont="1" applyAlignment="1">
      <alignment horizontal="left"/>
    </xf>
    <xf numFmtId="1" fontId="9" fillId="0" borderId="0" xfId="0" applyNumberFormat="1" applyFont="1" applyBorder="1" applyAlignment="1">
      <alignment horizontal="left" vertical="center" wrapText="1"/>
    </xf>
    <xf numFmtId="1" fontId="9" fillId="0" borderId="0" xfId="0" applyNumberFormat="1" applyFont="1" applyFill="1" applyBorder="1" applyAlignment="1">
      <alignment horizontal="left"/>
    </xf>
    <xf numFmtId="171" fontId="5" fillId="0" borderId="0" xfId="0" applyNumberFormat="1" applyFont="1"/>
    <xf numFmtId="171" fontId="9" fillId="0" borderId="0" xfId="0" applyNumberFormat="1" applyFont="1" applyBorder="1" applyAlignment="1">
      <alignment horizontal="center" vertical="center" wrapText="1"/>
    </xf>
    <xf numFmtId="171" fontId="9" fillId="0" borderId="0" xfId="0" applyNumberFormat="1" applyFont="1" applyFill="1" applyBorder="1"/>
    <xf numFmtId="169" fontId="0" fillId="0" borderId="0" xfId="0" applyNumberFormat="1"/>
    <xf numFmtId="2" fontId="0" fillId="0" borderId="0" xfId="0" applyNumberFormat="1"/>
    <xf numFmtId="169" fontId="8" fillId="4" borderId="0" xfId="1" applyFont="1" applyFill="1" applyBorder="1" applyAlignment="1">
      <alignment horizontal="center"/>
    </xf>
    <xf numFmtId="166" fontId="0" fillId="0" borderId="1" xfId="0" applyNumberFormat="1" applyBorder="1" applyAlignment="1"/>
    <xf numFmtId="166" fontId="0" fillId="0" borderId="2" xfId="0" applyNumberFormat="1" applyBorder="1" applyAlignment="1"/>
    <xf numFmtId="166" fontId="0" fillId="0" borderId="4" xfId="0" applyNumberFormat="1" applyBorder="1" applyAlignment="1">
      <alignment horizontal="left"/>
    </xf>
    <xf numFmtId="169" fontId="1" fillId="0" borderId="1" xfId="0" applyFont="1" applyBorder="1" applyAlignment="1"/>
    <xf numFmtId="169" fontId="1" fillId="0" borderId="4" xfId="0" applyFont="1" applyBorder="1" applyAlignment="1"/>
    <xf numFmtId="169" fontId="1" fillId="0" borderId="2" xfId="0" applyFont="1" applyBorder="1" applyAlignment="1"/>
    <xf numFmtId="20" fontId="0" fillId="0" borderId="1" xfId="0" applyNumberFormat="1" applyBorder="1" applyAlignment="1">
      <alignment vertical="center"/>
    </xf>
    <xf numFmtId="20" fontId="0" fillId="0" borderId="2" xfId="0" applyNumberFormat="1" applyBorder="1" applyAlignment="1">
      <alignment vertical="center"/>
    </xf>
    <xf numFmtId="20" fontId="0" fillId="0" borderId="2" xfId="0" applyNumberFormat="1" applyBorder="1" applyAlignment="1">
      <alignment horizontal="left" vertical="center"/>
    </xf>
    <xf numFmtId="167" fontId="0" fillId="0" borderId="3" xfId="0" applyNumberFormat="1" applyBorder="1" applyAlignment="1">
      <alignment horizontal="left" vertical="center"/>
    </xf>
    <xf numFmtId="167" fontId="0" fillId="2" borderId="3" xfId="0" applyNumberFormat="1" applyFill="1" applyBorder="1" applyAlignment="1">
      <alignment horizontal="left" vertical="center"/>
    </xf>
    <xf numFmtId="167" fontId="0" fillId="3" borderId="3" xfId="0" applyNumberFormat="1" applyFill="1" applyBorder="1" applyAlignment="1">
      <alignment horizontal="left" vertical="center"/>
    </xf>
    <xf numFmtId="20" fontId="0" fillId="0" borderId="0" xfId="0" applyNumberFormat="1" applyFill="1" applyAlignment="1">
      <alignment horizontal="left"/>
    </xf>
    <xf numFmtId="1" fontId="0" fillId="0" borderId="0" xfId="0" applyNumberFormat="1" applyAlignment="1"/>
    <xf numFmtId="169" fontId="1" fillId="0" borderId="17" xfId="0" applyFont="1" applyBorder="1" applyAlignment="1">
      <alignment horizontal="left" vertical="center" wrapText="1"/>
    </xf>
    <xf numFmtId="169" fontId="0" fillId="5" borderId="0" xfId="0" applyFill="1"/>
    <xf numFmtId="169" fontId="9" fillId="5" borderId="0" xfId="0" applyFont="1" applyFill="1" applyBorder="1" applyAlignment="1">
      <alignment horizontal="center" vertical="center" wrapText="1"/>
    </xf>
    <xf numFmtId="169" fontId="9" fillId="5" borderId="0" xfId="0" applyFont="1" applyFill="1"/>
    <xf numFmtId="169" fontId="0" fillId="6" borderId="0" xfId="0" applyFill="1"/>
    <xf numFmtId="169" fontId="9" fillId="6" borderId="0" xfId="0" applyFont="1" applyFill="1" applyBorder="1" applyAlignment="1">
      <alignment horizontal="center" vertical="center" wrapText="1"/>
    </xf>
    <xf numFmtId="169" fontId="9" fillId="6" borderId="0" xfId="0" applyFont="1" applyFill="1"/>
    <xf numFmtId="169" fontId="9" fillId="7" borderId="0" xfId="0" applyFont="1" applyFill="1"/>
    <xf numFmtId="169" fontId="9" fillId="7" borderId="0" xfId="0" applyFont="1" applyFill="1" applyBorder="1" applyAlignment="1">
      <alignment horizontal="center" vertical="center" wrapText="1"/>
    </xf>
    <xf numFmtId="169" fontId="1" fillId="0" borderId="1" xfId="0" applyFont="1" applyFill="1" applyBorder="1" applyAlignment="1"/>
    <xf numFmtId="169" fontId="5" fillId="0" borderId="0" xfId="0" applyFont="1" applyFill="1"/>
    <xf numFmtId="169" fontId="5" fillId="8" borderId="0" xfId="0" applyFont="1" applyFill="1"/>
    <xf numFmtId="169" fontId="9" fillId="8" borderId="0" xfId="0" applyFont="1" applyFill="1" applyBorder="1" applyAlignment="1">
      <alignment horizontal="center" vertical="center" wrapText="1"/>
    </xf>
    <xf numFmtId="169" fontId="9" fillId="8" borderId="0" xfId="0" applyFont="1" applyFill="1" applyBorder="1"/>
    <xf numFmtId="169" fontId="0" fillId="6" borderId="0" xfId="0" applyFill="1" applyAlignment="1">
      <alignment horizontal="center" vertical="center"/>
    </xf>
    <xf numFmtId="169" fontId="9" fillId="6" borderId="5" xfId="0" applyFont="1" applyFill="1" applyBorder="1"/>
    <xf numFmtId="169" fontId="6" fillId="8" borderId="0" xfId="0" applyFont="1" applyFill="1"/>
    <xf numFmtId="169" fontId="6" fillId="8" borderId="0" xfId="0" applyFont="1" applyFill="1" applyAlignment="1">
      <alignment horizontal="center" vertical="center"/>
    </xf>
    <xf numFmtId="169" fontId="9" fillId="8" borderId="5" xfId="0" applyFont="1" applyFill="1" applyBorder="1" applyAlignment="1"/>
    <xf numFmtId="169" fontId="0" fillId="5" borderId="0" xfId="0" applyFill="1" applyAlignment="1">
      <alignment horizontal="center" vertical="center"/>
    </xf>
    <xf numFmtId="169" fontId="9" fillId="5" borderId="5" xfId="0" applyFont="1" applyFill="1" applyBorder="1"/>
    <xf numFmtId="169" fontId="0" fillId="0" borderId="0" xfId="0" applyNumberFormat="1"/>
    <xf numFmtId="169" fontId="1" fillId="0" borderId="0" xfId="0" applyNumberFormat="1" applyFont="1" applyBorder="1" applyAlignment="1">
      <alignment horizontal="center" wrapText="1"/>
    </xf>
    <xf numFmtId="169" fontId="0" fillId="0" borderId="0" xfId="0" applyNumberFormat="1" applyAlignment="1">
      <alignment horizontal="center"/>
    </xf>
    <xf numFmtId="169" fontId="0" fillId="0" borderId="17" xfId="0" applyFill="1" applyBorder="1" applyAlignment="1">
      <alignment horizontal="left"/>
    </xf>
    <xf numFmtId="1" fontId="1" fillId="0" borderId="0" xfId="0" applyNumberFormat="1" applyFont="1" applyBorder="1"/>
    <xf numFmtId="169" fontId="0" fillId="9" borderId="0" xfId="0" applyFill="1"/>
    <xf numFmtId="169" fontId="1" fillId="0" borderId="0" xfId="3" applyFont="1"/>
    <xf numFmtId="169" fontId="10" fillId="0" borderId="0" xfId="3"/>
    <xf numFmtId="169" fontId="12" fillId="0" borderId="0" xfId="0" applyNumberFormat="1" applyFont="1"/>
    <xf numFmtId="169" fontId="10" fillId="0" borderId="0" xfId="3" applyNumberFormat="1"/>
    <xf numFmtId="169" fontId="0" fillId="0" borderId="0" xfId="3" applyFont="1"/>
    <xf numFmtId="169" fontId="0" fillId="0" borderId="0" xfId="3" applyNumberFormat="1" applyFont="1"/>
    <xf numFmtId="169" fontId="9" fillId="9" borderId="0" xfId="0" applyFont="1" applyFill="1" applyBorder="1" applyAlignment="1">
      <alignment horizontal="center" vertical="center" wrapText="1"/>
    </xf>
    <xf numFmtId="169" fontId="9" fillId="9" borderId="0" xfId="0" applyFont="1" applyFill="1"/>
    <xf numFmtId="167" fontId="13" fillId="0" borderId="5" xfId="0" applyNumberFormat="1" applyFont="1" applyFill="1" applyBorder="1" applyAlignment="1">
      <alignment horizontal="center" vertical="center" wrapText="1"/>
    </xf>
    <xf numFmtId="169" fontId="13" fillId="0" borderId="5" xfId="0" applyFont="1" applyFill="1" applyBorder="1" applyAlignment="1">
      <alignment horizontal="center" vertical="center" wrapText="1"/>
    </xf>
    <xf numFmtId="1" fontId="13" fillId="0" borderId="5" xfId="0" applyNumberFormat="1" applyFont="1" applyFill="1" applyBorder="1" applyAlignment="1">
      <alignment horizontal="center" vertical="center" wrapText="1"/>
    </xf>
    <xf numFmtId="169" fontId="14" fillId="0" borderId="5" xfId="0" applyFont="1" applyFill="1" applyBorder="1"/>
    <xf numFmtId="169" fontId="15" fillId="6" borderId="5" xfId="0" applyFont="1" applyFill="1" applyBorder="1" applyAlignment="1">
      <alignment horizontal="center" vertical="center" wrapText="1"/>
    </xf>
    <xf numFmtId="169" fontId="15" fillId="8" borderId="5" xfId="0" applyFont="1" applyFill="1" applyBorder="1" applyAlignment="1">
      <alignment horizontal="center" vertical="center" wrapText="1"/>
    </xf>
    <xf numFmtId="169" fontId="15" fillId="5" borderId="5" xfId="0" applyFont="1" applyFill="1" applyBorder="1"/>
    <xf numFmtId="169" fontId="13" fillId="0" borderId="5" xfId="0" applyNumberFormat="1" applyFont="1" applyFill="1" applyBorder="1" applyAlignment="1">
      <alignment horizontal="center" vertical="center" wrapText="1"/>
    </xf>
    <xf numFmtId="169" fontId="16" fillId="9" borderId="0" xfId="0" applyFont="1" applyFill="1" applyBorder="1" applyAlignment="1">
      <alignment horizontal="center" vertical="center" wrapText="1"/>
    </xf>
    <xf numFmtId="169" fontId="16" fillId="0" borderId="0" xfId="0" applyFont="1" applyBorder="1" applyAlignment="1">
      <alignment horizontal="center" vertical="center" wrapText="1"/>
    </xf>
    <xf numFmtId="169" fontId="14" fillId="0" borderId="0" xfId="0" applyFont="1" applyFill="1"/>
    <xf numFmtId="1" fontId="0" fillId="2" borderId="12" xfId="0" applyNumberFormat="1" applyFill="1" applyBorder="1" applyAlignment="1">
      <alignment vertical="center"/>
    </xf>
    <xf numFmtId="1" fontId="0" fillId="0" borderId="15" xfId="0" applyNumberFormat="1" applyBorder="1" applyAlignment="1">
      <alignment vertical="center"/>
    </xf>
    <xf numFmtId="169" fontId="0" fillId="0" borderId="0" xfId="0" applyNumberFormat="1" applyAlignment="1"/>
    <xf numFmtId="169" fontId="1" fillId="0" borderId="0" xfId="0" applyNumberFormat="1" applyFont="1" applyAlignment="1"/>
    <xf numFmtId="169" fontId="0" fillId="0" borderId="0" xfId="0" applyNumberFormat="1" applyAlignment="1">
      <alignment horizontal="left"/>
    </xf>
    <xf numFmtId="169" fontId="0" fillId="0" borderId="0" xfId="0" applyNumberFormat="1"/>
    <xf numFmtId="169" fontId="13" fillId="0" borderId="5" xfId="0" applyNumberFormat="1" applyFont="1" applyFill="1" applyBorder="1" applyAlignment="1">
      <alignment horizontal="center" vertical="center" wrapText="1"/>
    </xf>
    <xf numFmtId="169" fontId="17" fillId="6" borderId="0" xfId="0" applyFont="1" applyFill="1"/>
    <xf numFmtId="169" fontId="18" fillId="0" borderId="0" xfId="0" applyFont="1" applyFill="1"/>
    <xf numFmtId="169" fontId="18" fillId="0" borderId="0" xfId="0" applyFont="1" applyFill="1" applyAlignment="1">
      <alignment horizontal="center" vertical="center"/>
    </xf>
    <xf numFmtId="169" fontId="19" fillId="0" borderId="0" xfId="0" applyFont="1" applyFill="1"/>
    <xf numFmtId="2" fontId="1" fillId="0" borderId="5" xfId="0" applyNumberFormat="1" applyFont="1" applyFill="1" applyBorder="1" applyAlignment="1">
      <alignment horizontal="center" wrapText="1"/>
    </xf>
    <xf numFmtId="2" fontId="1" fillId="0" borderId="5" xfId="0" applyNumberFormat="1" applyFont="1" applyBorder="1" applyAlignment="1">
      <alignment horizontal="center" vertical="center" wrapText="1"/>
    </xf>
    <xf numFmtId="2" fontId="1" fillId="0" borderId="5" xfId="0" applyNumberFormat="1" applyFont="1" applyFill="1" applyBorder="1" applyAlignment="1">
      <alignment horizontal="center" vertical="center"/>
    </xf>
    <xf numFmtId="2" fontId="1" fillId="0" borderId="5" xfId="0" applyNumberFormat="1" applyFont="1" applyBorder="1"/>
    <xf numFmtId="9" fontId="0" fillId="0" borderId="0" xfId="2" applyNumberFormat="1" applyFont="1" applyAlignment="1">
      <alignment horizontal="left"/>
    </xf>
    <xf numFmtId="169" fontId="0" fillId="2" borderId="11" xfId="0" applyNumberFormat="1" applyFill="1" applyBorder="1" applyAlignment="1">
      <alignment vertical="center"/>
    </xf>
    <xf numFmtId="169" fontId="0" fillId="2" borderId="12" xfId="0" applyNumberFormat="1" applyFill="1" applyBorder="1" applyAlignment="1">
      <alignment horizontal="left" vertical="center"/>
    </xf>
    <xf numFmtId="169" fontId="0" fillId="0" borderId="14" xfId="0" applyNumberFormat="1" applyBorder="1" applyAlignment="1">
      <alignment vertical="center"/>
    </xf>
    <xf numFmtId="169" fontId="0" fillId="0" borderId="15" xfId="0" applyNumberFormat="1" applyBorder="1" applyAlignment="1">
      <alignment horizontal="left" vertical="center"/>
    </xf>
    <xf numFmtId="169" fontId="0" fillId="0" borderId="0" xfId="0" applyNumberFormat="1" applyAlignment="1">
      <alignment horizontal="center" vertical="center"/>
    </xf>
    <xf numFmtId="169" fontId="13" fillId="0" borderId="5" xfId="0" applyNumberFormat="1" applyFont="1" applyFill="1" applyBorder="1" applyAlignment="1">
      <alignment horizontal="left" vertical="center" wrapText="1"/>
    </xf>
    <xf numFmtId="167" fontId="0" fillId="0" borderId="0" xfId="0" applyNumberFormat="1" applyAlignment="1"/>
    <xf numFmtId="2" fontId="0" fillId="0" borderId="5" xfId="0" applyNumberFormat="1" applyBorder="1"/>
    <xf numFmtId="1" fontId="0" fillId="0" borderId="17" xfId="0" applyNumberFormat="1" applyBorder="1"/>
    <xf numFmtId="169" fontId="0" fillId="0" borderId="17" xfId="0" applyFill="1" applyBorder="1" applyAlignment="1">
      <alignment horizontal="left" vertical="center"/>
    </xf>
    <xf numFmtId="169" fontId="0" fillId="0" borderId="5" xfId="0" applyFill="1" applyBorder="1" applyAlignment="1">
      <alignment vertical="center"/>
    </xf>
    <xf numFmtId="169" fontId="0" fillId="0" borderId="5" xfId="0" applyNumberFormat="1" applyBorder="1" applyAlignment="1">
      <alignment horizontal="center"/>
    </xf>
    <xf numFmtId="167" fontId="1" fillId="0" borderId="0" xfId="0" applyNumberFormat="1" applyFont="1"/>
    <xf numFmtId="2" fontId="1" fillId="0" borderId="0" xfId="0" applyNumberFormat="1" applyFont="1"/>
    <xf numFmtId="169" fontId="0" fillId="0" borderId="0" xfId="0" applyNumberFormat="1" applyAlignment="1">
      <alignment horizontal="left"/>
    </xf>
    <xf numFmtId="169" fontId="1" fillId="0" borderId="0" xfId="0" applyNumberFormat="1" applyFont="1" applyBorder="1" applyAlignment="1">
      <alignment horizontal="left" wrapText="1"/>
    </xf>
    <xf numFmtId="169" fontId="0" fillId="0" borderId="5" xfId="0" applyNumberFormat="1" applyBorder="1" applyAlignment="1">
      <alignment horizontal="left"/>
    </xf>
    <xf numFmtId="0" fontId="1" fillId="0" borderId="0" xfId="0" applyNumberFormat="1" applyFont="1"/>
    <xf numFmtId="0" fontId="0" fillId="0" borderId="0" xfId="0" applyNumberFormat="1"/>
    <xf numFmtId="0" fontId="0" fillId="0" borderId="0" xfId="0" applyNumberFormat="1" applyAlignment="1">
      <alignment horizontal="left"/>
    </xf>
    <xf numFmtId="0" fontId="0" fillId="0" borderId="4" xfId="0" applyNumberFormat="1" applyBorder="1" applyAlignment="1">
      <alignment horizontal="left"/>
    </xf>
    <xf numFmtId="0" fontId="0" fillId="0" borderId="2" xfId="0" applyNumberFormat="1" applyBorder="1" applyAlignment="1">
      <alignment horizontal="left" vertical="center"/>
    </xf>
    <xf numFmtId="0" fontId="0" fillId="0" borderId="4" xfId="0" applyNumberFormat="1" applyBorder="1" applyAlignment="1">
      <alignment horizontal="left" vertical="center"/>
    </xf>
    <xf numFmtId="0" fontId="0" fillId="0" borderId="5" xfId="0" applyNumberFormat="1" applyBorder="1" applyAlignment="1">
      <alignment horizontal="center" vertical="center" wrapText="1"/>
    </xf>
    <xf numFmtId="0" fontId="0" fillId="0" borderId="5" xfId="0" applyNumberFormat="1" applyFill="1" applyBorder="1"/>
    <xf numFmtId="0" fontId="1" fillId="0" borderId="2" xfId="0" applyNumberFormat="1" applyFont="1" applyBorder="1" applyAlignment="1"/>
    <xf numFmtId="0" fontId="0" fillId="0" borderId="2" xfId="0" applyNumberFormat="1" applyBorder="1" applyAlignment="1">
      <alignment horizontal="center" vertical="center"/>
    </xf>
    <xf numFmtId="0" fontId="0" fillId="0" borderId="0" xfId="0" applyNumberFormat="1" applyAlignment="1"/>
    <xf numFmtId="0" fontId="5" fillId="0" borderId="0" xfId="0" applyNumberFormat="1" applyFont="1"/>
    <xf numFmtId="0" fontId="9" fillId="0" borderId="0" xfId="0" applyNumberFormat="1" applyFont="1" applyBorder="1" applyAlignment="1">
      <alignment horizontal="center" vertical="center" wrapText="1"/>
    </xf>
    <xf numFmtId="0" fontId="9" fillId="0" borderId="0" xfId="0" applyNumberFormat="1" applyFont="1" applyFill="1" applyBorder="1"/>
    <xf numFmtId="0" fontId="0" fillId="0" borderId="0" xfId="0" applyNumberFormat="1" applyBorder="1"/>
    <xf numFmtId="0" fontId="0" fillId="2" borderId="13" xfId="0" applyNumberFormat="1" applyFill="1" applyBorder="1" applyAlignment="1"/>
    <xf numFmtId="0" fontId="0" fillId="0" borderId="16" xfId="0" applyNumberFormat="1" applyBorder="1" applyAlignment="1"/>
    <xf numFmtId="0" fontId="13" fillId="0" borderId="5" xfId="0" applyNumberFormat="1" applyFont="1" applyFill="1" applyBorder="1" applyAlignment="1">
      <alignment horizontal="center" vertical="center" wrapText="1"/>
    </xf>
    <xf numFmtId="0" fontId="0" fillId="0" borderId="5" xfId="0" applyNumberFormat="1" applyFill="1" applyBorder="1" applyAlignment="1"/>
    <xf numFmtId="169" fontId="20" fillId="0" borderId="0" xfId="4" applyFill="1"/>
    <xf numFmtId="169" fontId="2" fillId="0" borderId="0" xfId="0" applyFont="1" applyBorder="1" applyAlignment="1">
      <alignment horizontal="center" vertical="center"/>
    </xf>
    <xf numFmtId="169" fontId="1" fillId="0" borderId="0" xfId="0" applyFont="1" applyBorder="1" applyAlignment="1">
      <alignment horizontal="center"/>
    </xf>
  </cellXfs>
  <cellStyles count="5">
    <cellStyle name="Hyperlink" xfId="4" builtinId="8"/>
    <cellStyle name="Normal" xfId="0" builtinId="0"/>
    <cellStyle name="Normal 2" xfId="3"/>
    <cellStyle name="Normal_XINGS" xfId="1"/>
    <cellStyle name="Percent" xfId="2" builtinId="5"/>
  </cellStyles>
  <dxfs count="11">
    <dxf>
      <font>
        <color rgb="FF9C0006"/>
      </font>
      <fill>
        <patternFill>
          <bgColor rgb="FFFFC7CE"/>
        </patternFill>
      </fill>
    </dxf>
    <dxf>
      <fill>
        <patternFill>
          <bgColor rgb="FFFFFF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6500"/>
      </font>
      <fill>
        <patternFill>
          <bgColor rgb="FFFFEB9C"/>
        </patternFill>
      </fill>
    </dxf>
    <dxf>
      <fill>
        <patternFill>
          <bgColor theme="5" tint="0.79998168889431442"/>
        </patternFill>
      </fill>
    </dxf>
    <dxf>
      <fill>
        <patternFill>
          <bgColor theme="5" tint="0.79998168889431442"/>
        </patternFill>
      </fill>
    </dxf>
    <dxf>
      <fill>
        <patternFill>
          <bgColor rgb="FFFFFF00"/>
        </patternFill>
      </fill>
    </dxf>
    <dxf>
      <font>
        <color theme="0"/>
      </font>
      <fill>
        <patternFill>
          <bgColor rgb="FFFF0000"/>
        </patternFill>
      </fill>
    </dxf>
    <dxf>
      <font>
        <color rgb="FF9C6500"/>
      </font>
      <fill>
        <patternFill>
          <bgColor rgb="FFFFEB9C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E4C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onnections" Target="connection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24</xdr:col>
          <xdr:colOff>552450</xdr:colOff>
          <xdr:row>2</xdr:row>
          <xdr:rowOff>38100</xdr:rowOff>
        </xdr:from>
        <xdr:to>
          <xdr:col>26</xdr:col>
          <xdr:colOff>466725</xdr:colOff>
          <xdr:row>4</xdr:row>
          <xdr:rowOff>190500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15</xdr:col>
          <xdr:colOff>352425</xdr:colOff>
          <xdr:row>1</xdr:row>
          <xdr:rowOff>28575</xdr:rowOff>
        </xdr:from>
        <xdr:to>
          <xdr:col>15</xdr:col>
          <xdr:colOff>1152525</xdr:colOff>
          <xdr:row>3</xdr:row>
          <xdr:rowOff>66675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Apply Formatting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5</xdr:row>
          <xdr:rowOff>47625</xdr:rowOff>
        </xdr:from>
        <xdr:to>
          <xdr:col>0</xdr:col>
          <xdr:colOff>1628775</xdr:colOff>
          <xdr:row>8</xdr:row>
          <xdr:rowOff>66675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Email Report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304800</xdr:colOff>
          <xdr:row>9</xdr:row>
          <xdr:rowOff>85725</xdr:rowOff>
        </xdr:from>
        <xdr:to>
          <xdr:col>0</xdr:col>
          <xdr:colOff>1552575</xdr:colOff>
          <xdr:row>12</xdr:row>
          <xdr:rowOff>38100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Import Raw Data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295275</xdr:colOff>
          <xdr:row>12</xdr:row>
          <xdr:rowOff>142875</xdr:rowOff>
        </xdr:from>
        <xdr:to>
          <xdr:col>0</xdr:col>
          <xdr:colOff>1543050</xdr:colOff>
          <xdr:row>15</xdr:row>
          <xdr:rowOff>95250</xdr:rowOff>
        </xdr:to>
        <xdr:sp macro="" textlink="">
          <xdr:nvSpPr>
            <xdr:cNvPr id="6147" name="Button 3" hidden="1">
              <a:extLst>
                <a:ext uri="{63B3BB69-23CF-44E3-9099-C40C66FF867C}">
                  <a14:compatExt spid="_x0000_s614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Update Date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stu\Documents\GitHub\eaglep3\Utilities\Daily%20Observations.xlsb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microsoft.com/office/2006/relationships/xlExternalLinkPath/xlStartup" Target="PERSONAL.XLSB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Driver"/>
      <sheetName val="List Values"/>
      <sheetName val="Constants"/>
    </sheetNames>
    <sheetDataSet>
      <sheetData sheetId="0"/>
      <sheetData sheetId="1"/>
      <sheetData sheetId="2">
        <row r="4">
          <cell r="B4" t="str">
            <v>d6333d4a04012a730768444271f8ca06482dae87</v>
          </cell>
        </row>
        <row r="5">
          <cell r="B5" t="str">
            <v>https://secure.xorail.net/redmine/issues.json</v>
          </cell>
        </row>
      </sheetData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</sheetNames>
    <definedNames>
      <definedName name="DailyMorningStuff_Enforcements"/>
      <definedName name="DailyMorningStuff_Runs"/>
      <definedName name="ImportRawText"/>
      <definedName name="Mail_workbook_Outlook"/>
      <definedName name="SetTodaysDate"/>
    </definedNames>
    <sheetDataSet>
      <sheetData sheetId="0"/>
    </sheetDataSet>
  </externalBook>
</externalLink>
</file>

<file path=xl/queryTables/queryTable1.xml><?xml version="1.0" encoding="utf-8"?>
<queryTable xmlns="http://schemas.openxmlformats.org/spreadsheetml/2006/main" name="Denver Train Runs 04122016" connectionId="1" autoFormatId="16" applyNumberFormats="0" applyBorderFormats="0" applyFontFormats="0" applyPatternFormats="0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queryTable" Target="../queryTables/query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2.bin"/><Relationship Id="rId1" Type="http://schemas.openxmlformats.org/officeDocument/2006/relationships/hyperlink" Target="http://stevetu21.github.io/eaglep3/load_kml.html?kml=http://rtdc.gmaps-snips.s3.amazonaws.com/0b7ee0b1-fb3a-4dcb-9f5e-d7fe20af3824.kml" TargetMode="External"/><Relationship Id="rId5" Type="http://schemas.openxmlformats.org/officeDocument/2006/relationships/ctrlProp" Target="../ctrlProps/ctrlProp2.xml"/><Relationship Id="rId4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CM236"/>
  <sheetViews>
    <sheetView tabSelected="1" topLeftCell="A157" zoomScaleNormal="100" workbookViewId="0">
      <selection activeCell="R176" sqref="R176"/>
    </sheetView>
  </sheetViews>
  <sheetFormatPr defaultRowHeight="15" x14ac:dyDescent="0.25"/>
  <cols>
    <col min="1" max="1" width="8" style="39" customWidth="1"/>
    <col min="2" max="2" width="6.140625" style="41" customWidth="1"/>
    <col min="3" max="3" width="13.5703125" style="28" hidden="1" customWidth="1"/>
    <col min="4" max="4" width="16.140625" style="28" hidden="1" customWidth="1"/>
    <col min="5" max="5" width="19.5703125" style="38" hidden="1" customWidth="1"/>
    <col min="6" max="6" width="18.28515625" style="38" customWidth="1"/>
    <col min="7" max="7" width="4.85546875" style="41" hidden="1" customWidth="1"/>
    <col min="8" max="8" width="22.140625" style="38" hidden="1" customWidth="1"/>
    <col min="9" max="9" width="18.5703125" style="38" customWidth="1"/>
    <col min="10" max="10" width="7.28515625" style="41" customWidth="1"/>
    <col min="11" max="11" width="10.42578125" style="28" customWidth="1"/>
    <col min="12" max="12" width="11.7109375" style="28" customWidth="1"/>
    <col min="13" max="13" width="9.5703125" style="40" customWidth="1"/>
    <col min="14" max="14" width="4.85546875" style="41" customWidth="1"/>
    <col min="15" max="15" width="3.85546875" style="2" customWidth="1"/>
    <col min="16" max="16" width="3.42578125" style="2" customWidth="1"/>
    <col min="17" max="17" width="3.7109375" hidden="1" customWidth="1"/>
    <col min="18" max="18" width="30.5703125" customWidth="1"/>
    <col min="19" max="19" width="6" style="21" customWidth="1"/>
    <col min="20" max="20" width="3.85546875" customWidth="1"/>
    <col min="21" max="21" width="5" style="165" customWidth="1"/>
    <col min="22" max="22" width="5.7109375" style="96" customWidth="1"/>
    <col min="23" max="23" width="3.85546875" style="20" customWidth="1"/>
    <col min="24" max="24" width="6.5703125" style="175" customWidth="1"/>
    <col min="25" max="25" width="11.5703125" style="65" bestFit="1" customWidth="1"/>
    <col min="26" max="26" width="7.28515625" style="65" customWidth="1"/>
    <col min="27" max="27" width="9.140625" style="65"/>
    <col min="28" max="28" width="10.7109375" style="62" hidden="1" customWidth="1"/>
    <col min="29" max="29" width="9.42578125" style="56" hidden="1" customWidth="1"/>
    <col min="30" max="30" width="7.85546875" style="57" customWidth="1"/>
    <col min="31" max="31" width="4.5703125" style="89" customWidth="1"/>
    <col min="32" max="32" width="6.28515625" style="86" customWidth="1"/>
    <col min="33" max="33" width="5.42578125" customWidth="1"/>
    <col min="34" max="34" width="5" style="92" customWidth="1"/>
    <col min="35" max="35" width="5.7109375" style="111" customWidth="1"/>
    <col min="36" max="36" width="9.85546875" customWidth="1"/>
    <col min="37" max="37" width="7.7109375" customWidth="1"/>
    <col min="38" max="38" width="7.85546875" customWidth="1"/>
  </cols>
  <sheetData>
    <row r="1" spans="1:91" s="21" customFormat="1" ht="15.75" thickBot="1" x14ac:dyDescent="0.3">
      <c r="A1" s="39"/>
      <c r="B1" s="41"/>
      <c r="C1" s="28"/>
      <c r="D1" s="28"/>
      <c r="E1" s="38"/>
      <c r="F1" s="38"/>
      <c r="G1" s="41"/>
      <c r="H1" s="38"/>
      <c r="I1" s="38" t="s">
        <v>105</v>
      </c>
      <c r="J1" s="41"/>
      <c r="K1" s="28"/>
      <c r="L1" s="28"/>
      <c r="M1" s="40"/>
      <c r="N1" s="41"/>
      <c r="O1" s="2"/>
      <c r="P1" s="2"/>
      <c r="R1" s="38" t="s">
        <v>106</v>
      </c>
      <c r="S1" s="41"/>
      <c r="T1" s="28"/>
      <c r="U1" s="166"/>
      <c r="V1" s="40"/>
      <c r="W1" s="41"/>
      <c r="X1" s="165"/>
      <c r="Y1" s="65"/>
      <c r="Z1" s="65"/>
      <c r="AA1" s="65"/>
      <c r="AB1" s="62"/>
      <c r="AC1" s="56"/>
      <c r="AD1" s="57"/>
      <c r="AE1" s="1"/>
      <c r="AF1" s="1"/>
      <c r="AG1" s="1"/>
      <c r="AH1" s="53"/>
      <c r="AI1" s="1"/>
    </row>
    <row r="2" spans="1:91" s="21" customFormat="1" ht="15.75" thickBot="1" x14ac:dyDescent="0.3">
      <c r="A2" s="39"/>
      <c r="B2" s="41"/>
      <c r="C2" s="28"/>
      <c r="D2" s="28"/>
      <c r="E2" s="38"/>
      <c r="F2" s="38"/>
      <c r="G2" s="41"/>
      <c r="H2" s="38"/>
      <c r="I2" s="71">
        <f>Variables!$A$2</f>
        <v>42715</v>
      </c>
      <c r="J2" s="72"/>
      <c r="K2" s="73"/>
      <c r="L2" s="73"/>
      <c r="M2" s="74" t="s">
        <v>8</v>
      </c>
      <c r="N2" s="75"/>
      <c r="O2" s="76"/>
      <c r="P2" s="2"/>
      <c r="R2" s="71">
        <f>Variables!$A$2</f>
        <v>42715</v>
      </c>
      <c r="S2" s="72"/>
      <c r="T2" s="73"/>
      <c r="U2" s="167"/>
      <c r="V2" s="94" t="s">
        <v>8</v>
      </c>
      <c r="W2" s="75"/>
      <c r="X2" s="172"/>
      <c r="Y2" s="65"/>
      <c r="Z2" s="65"/>
      <c r="AA2" s="65"/>
      <c r="AB2" s="62"/>
      <c r="AC2" s="56"/>
      <c r="AD2" s="57"/>
      <c r="AE2" s="1"/>
      <c r="AF2" s="1"/>
      <c r="AG2" s="1"/>
      <c r="AH2" s="53"/>
      <c r="AI2" s="1"/>
    </row>
    <row r="3" spans="1:91" s="21" customFormat="1" ht="15.75" thickBot="1" x14ac:dyDescent="0.3">
      <c r="A3" s="39"/>
      <c r="B3" s="41"/>
      <c r="C3" s="28"/>
      <c r="D3" s="28"/>
      <c r="E3" s="38"/>
      <c r="F3" s="38"/>
      <c r="G3" s="41"/>
      <c r="H3" s="38"/>
      <c r="I3" s="77" t="s">
        <v>10</v>
      </c>
      <c r="J3" s="78"/>
      <c r="K3" s="79"/>
      <c r="L3" s="79"/>
      <c r="M3" s="42" t="s">
        <v>11</v>
      </c>
      <c r="N3" s="43" t="s">
        <v>12</v>
      </c>
      <c r="O3" s="3" t="s">
        <v>13</v>
      </c>
      <c r="P3" s="2"/>
      <c r="R3" s="77" t="s">
        <v>10</v>
      </c>
      <c r="S3" s="78"/>
      <c r="T3" s="79"/>
      <c r="U3" s="168"/>
      <c r="V3" s="42" t="s">
        <v>11</v>
      </c>
      <c r="W3" s="43" t="s">
        <v>12</v>
      </c>
      <c r="X3" s="173" t="s">
        <v>13</v>
      </c>
      <c r="Y3" s="65"/>
      <c r="Z3" s="65"/>
      <c r="AA3" s="65"/>
      <c r="AB3" s="62"/>
      <c r="AC3" s="56"/>
      <c r="AD3" s="57"/>
      <c r="AE3" s="1"/>
      <c r="AF3" s="1"/>
      <c r="AG3" s="1"/>
      <c r="AH3" s="53"/>
      <c r="AI3" s="1"/>
    </row>
    <row r="4" spans="1:91" s="21" customFormat="1" ht="15.75" thickBot="1" x14ac:dyDescent="0.3">
      <c r="A4" s="39"/>
      <c r="B4" s="41"/>
      <c r="C4" s="28"/>
      <c r="D4" s="28"/>
      <c r="E4" s="38"/>
      <c r="F4" s="38"/>
      <c r="G4" s="41"/>
      <c r="H4" s="38"/>
      <c r="I4" s="80" t="s">
        <v>14</v>
      </c>
      <c r="J4" s="55">
        <f>SUM(J5:J7)</f>
        <v>142</v>
      </c>
      <c r="K4" s="44"/>
      <c r="L4" s="44"/>
      <c r="M4" s="45" t="s">
        <v>15</v>
      </c>
      <c r="N4" s="43" t="s">
        <v>15</v>
      </c>
      <c r="O4" s="3" t="s">
        <v>15</v>
      </c>
      <c r="P4" s="2"/>
      <c r="R4" s="80" t="s">
        <v>14</v>
      </c>
      <c r="S4" s="55">
        <f>SUM(S5:S7)</f>
        <v>34</v>
      </c>
      <c r="T4" s="44"/>
      <c r="U4" s="169"/>
      <c r="V4" s="45" t="s">
        <v>15</v>
      </c>
      <c r="W4" s="43" t="s">
        <v>15</v>
      </c>
      <c r="X4" s="173" t="s">
        <v>15</v>
      </c>
      <c r="Y4" s="65"/>
      <c r="Z4" s="65"/>
      <c r="AA4" s="65"/>
      <c r="AB4" s="62"/>
      <c r="AC4" s="56"/>
      <c r="AD4" s="57"/>
      <c r="AE4" s="1"/>
      <c r="AF4" s="1"/>
      <c r="AG4" s="1"/>
      <c r="AH4" s="53"/>
      <c r="AI4" s="1"/>
    </row>
    <row r="5" spans="1:91" s="21" customFormat="1" ht="15.75" thickBot="1" x14ac:dyDescent="0.3">
      <c r="A5" s="39"/>
      <c r="B5" s="41"/>
      <c r="C5" s="28"/>
      <c r="D5" s="28"/>
      <c r="E5" s="38"/>
      <c r="F5" s="38"/>
      <c r="G5" s="41"/>
      <c r="H5" s="38"/>
      <c r="I5" s="80" t="s">
        <v>17</v>
      </c>
      <c r="J5" s="55">
        <f>COUNTIFS($N$13:$N$9360,"&gt;0",$AG$13:$AG$9360,I1)</f>
        <v>139</v>
      </c>
      <c r="K5" s="44"/>
      <c r="L5" s="44"/>
      <c r="M5" s="45">
        <f>AVERAGEIFS($N$13:$N$9360,$AG$13:$AG$9360,I1)</f>
        <v>41.14928057614091</v>
      </c>
      <c r="N5" s="43">
        <f t="array" ref="N5">MIN(IF($AG$13:$AG$9360=I1,IF(ISNUMBER($N$13:$N$9360),IF($N$13:$N$9360&gt;0,$N$13:$N$9360))))</f>
        <v>33.500000004423782</v>
      </c>
      <c r="O5" s="3">
        <f t="array" ref="O5">MAX(IF($AG$13:$AG$9360=I1,IF(ISNUMBER($N$13:$N$9360),IF($N$13:$N$9360&gt;0,$N$13:$N$9360))))</f>
        <v>50.916666666744277</v>
      </c>
      <c r="P5" s="2"/>
      <c r="R5" s="80" t="s">
        <v>17</v>
      </c>
      <c r="S5" s="55">
        <f>COUNTIFS($N$13:$N$9360,"&gt;0",$AG$13:$AG$9360,R1)</f>
        <v>34</v>
      </c>
      <c r="T5" s="44"/>
      <c r="U5" s="169"/>
      <c r="V5" s="45">
        <f>AVERAGEIFS($N$13:$N$9360,$AG$13:$AG$9360,R1)</f>
        <v>15.128431372577325</v>
      </c>
      <c r="W5" s="43">
        <f t="array" ref="W5">MIN(IF($AG$13:$AG$9360=R1,IF(ISNUMBER($N$13:$N$9360),IF($N$13:$N$9360&gt;0,$N$13:$N$9360))))</f>
        <v>13.033333331113681</v>
      </c>
      <c r="X5" s="173">
        <f t="array" ref="X5">MAX(IF($AG$13:$AG$9360=R1,IF(ISNUMBER($N$13:$N$9360),IF($N$13:$N$9360&gt;0,$N$13:$N$9360))))</f>
        <v>19.566666672471911</v>
      </c>
      <c r="Y5" s="65"/>
      <c r="Z5" s="65"/>
      <c r="AA5" s="65"/>
      <c r="AB5" s="62"/>
      <c r="AC5" s="56"/>
      <c r="AD5" s="57"/>
      <c r="AE5" s="1"/>
      <c r="AF5" s="1"/>
      <c r="AG5" s="1"/>
      <c r="AH5" s="53"/>
      <c r="AI5" s="1"/>
    </row>
    <row r="6" spans="1:91" s="21" customFormat="1" ht="15.75" thickBot="1" x14ac:dyDescent="0.3">
      <c r="A6" s="39"/>
      <c r="B6" s="41"/>
      <c r="C6" s="28"/>
      <c r="D6" s="28"/>
      <c r="E6" s="38"/>
      <c r="F6" s="38"/>
      <c r="G6" s="41"/>
      <c r="H6" s="38"/>
      <c r="I6" s="81" t="s">
        <v>43</v>
      </c>
      <c r="J6" s="55">
        <f>COUNT($O$13:$O$144)</f>
        <v>0</v>
      </c>
      <c r="K6" s="44"/>
      <c r="L6" s="44"/>
      <c r="M6" s="45">
        <f>IFERROR(AVERAGE($O$13:$O$144),0)</f>
        <v>0</v>
      </c>
      <c r="N6" s="43">
        <f>MIN($O$13:$O$144)</f>
        <v>0</v>
      </c>
      <c r="O6" s="3">
        <f>MAX($O$13:$O$144)</f>
        <v>0</v>
      </c>
      <c r="P6" s="2"/>
      <c r="R6" s="81" t="s">
        <v>43</v>
      </c>
      <c r="S6" s="55">
        <f>COUNT($O$13:$O$144)</f>
        <v>0</v>
      </c>
      <c r="T6" s="44"/>
      <c r="U6" s="169"/>
      <c r="V6" s="45">
        <f>IFERROR(AVERAGE($O$13:$O$144),0)</f>
        <v>0</v>
      </c>
      <c r="W6" s="43">
        <f>MIN($O$13:$O$144)</f>
        <v>0</v>
      </c>
      <c r="X6" s="173">
        <f>MAX($O$13:$O$144)</f>
        <v>0</v>
      </c>
      <c r="Y6" s="65"/>
      <c r="Z6" s="65"/>
      <c r="AA6" s="65"/>
      <c r="AB6" s="62"/>
      <c r="AC6" s="56"/>
      <c r="AD6" s="57"/>
      <c r="AE6" s="1"/>
      <c r="AF6" s="1"/>
      <c r="AG6" s="1"/>
      <c r="AH6" s="53"/>
      <c r="AI6" s="1"/>
    </row>
    <row r="7" spans="1:91" s="21" customFormat="1" ht="15.75" thickBot="1" x14ac:dyDescent="0.3">
      <c r="A7" s="39"/>
      <c r="B7" s="41"/>
      <c r="C7" s="28"/>
      <c r="D7" s="28"/>
      <c r="E7" s="38"/>
      <c r="F7" s="38"/>
      <c r="G7" s="41"/>
      <c r="H7" s="38"/>
      <c r="I7" s="82" t="s">
        <v>9</v>
      </c>
      <c r="J7" s="55">
        <f>COUNTIFS($P$13:$P$9360,"&gt;0",$AG$13:$AG$9360,I1)</f>
        <v>3</v>
      </c>
      <c r="K7" s="44"/>
      <c r="L7" s="44"/>
      <c r="M7" s="43" t="s">
        <v>15</v>
      </c>
      <c r="N7" s="43" t="s">
        <v>15</v>
      </c>
      <c r="O7" s="3" t="s">
        <v>15</v>
      </c>
      <c r="P7" s="2"/>
      <c r="R7" s="82" t="s">
        <v>9</v>
      </c>
      <c r="S7" s="55">
        <f>COUNTIFS($P$13:$P$9360,"&gt;0",$AG$13:$AG$9360,R1)</f>
        <v>0</v>
      </c>
      <c r="T7" s="44"/>
      <c r="U7" s="169"/>
      <c r="V7" s="45" t="s">
        <v>15</v>
      </c>
      <c r="W7" s="43" t="s">
        <v>15</v>
      </c>
      <c r="X7" s="173" t="s">
        <v>15</v>
      </c>
      <c r="Y7" s="65"/>
      <c r="Z7" s="65"/>
      <c r="AA7" s="65"/>
      <c r="AB7" s="62"/>
      <c r="AC7" s="56"/>
      <c r="AD7" s="57"/>
      <c r="AE7" s="1"/>
      <c r="AF7" s="1"/>
      <c r="AG7" s="1"/>
      <c r="AH7" s="53"/>
      <c r="AI7" s="1"/>
    </row>
    <row r="8" spans="1:91" s="21" customFormat="1" ht="15.75" thickBot="1" x14ac:dyDescent="0.3">
      <c r="A8" s="39"/>
      <c r="B8" s="41"/>
      <c r="C8" s="28"/>
      <c r="D8" s="28"/>
      <c r="E8" s="38"/>
      <c r="F8" s="38"/>
      <c r="G8" s="41"/>
      <c r="H8" s="38"/>
      <c r="I8" s="80" t="s">
        <v>16</v>
      </c>
      <c r="J8" s="55">
        <f>J5</f>
        <v>139</v>
      </c>
      <c r="K8" s="44"/>
      <c r="L8" s="44"/>
      <c r="M8" s="45">
        <f>M5</f>
        <v>41.14928057614091</v>
      </c>
      <c r="N8" s="43">
        <f>N5</f>
        <v>33.500000004423782</v>
      </c>
      <c r="O8" s="3">
        <f>O5</f>
        <v>50.916666666744277</v>
      </c>
      <c r="P8" s="2"/>
      <c r="R8" s="80" t="s">
        <v>16</v>
      </c>
      <c r="S8" s="55">
        <f>S5</f>
        <v>34</v>
      </c>
      <c r="T8" s="44"/>
      <c r="U8" s="169"/>
      <c r="V8" s="45">
        <f>V5</f>
        <v>15.128431372577325</v>
      </c>
      <c r="W8" s="43">
        <f>W5</f>
        <v>13.033333331113681</v>
      </c>
      <c r="X8" s="173">
        <f>X5</f>
        <v>19.566666672471911</v>
      </c>
      <c r="Y8" s="65"/>
      <c r="Z8" s="65"/>
      <c r="AA8" s="65"/>
      <c r="AB8" s="62"/>
      <c r="AC8" s="56"/>
      <c r="AD8" s="57"/>
      <c r="AE8" s="1"/>
      <c r="AF8" s="1"/>
      <c r="AG8" s="1"/>
      <c r="AH8" s="53"/>
      <c r="AI8" s="1"/>
    </row>
    <row r="9" spans="1:91" s="21" customFormat="1" ht="15.75" thickBot="1" x14ac:dyDescent="0.3">
      <c r="A9" s="39"/>
      <c r="B9" s="41"/>
      <c r="C9" s="28"/>
      <c r="D9" s="28"/>
      <c r="E9" s="38"/>
      <c r="F9" s="38"/>
      <c r="G9" s="41"/>
      <c r="H9" s="38"/>
      <c r="I9" s="80" t="s">
        <v>19</v>
      </c>
      <c r="J9" s="146">
        <f>J8/J4</f>
        <v>0.97887323943661975</v>
      </c>
      <c r="K9" s="46"/>
      <c r="L9" s="46"/>
      <c r="M9" s="83"/>
      <c r="N9" s="41"/>
      <c r="O9" s="84"/>
      <c r="P9" s="2"/>
      <c r="R9" s="80" t="s">
        <v>19</v>
      </c>
      <c r="S9" s="146">
        <f>S8/S4</f>
        <v>1</v>
      </c>
      <c r="T9" s="46"/>
      <c r="U9" s="166"/>
      <c r="V9" s="83"/>
      <c r="W9" s="41"/>
      <c r="X9" s="174"/>
      <c r="Y9" s="65"/>
      <c r="Z9" s="65"/>
      <c r="AA9" s="65"/>
      <c r="AB9" s="62"/>
      <c r="AC9" s="56"/>
      <c r="AD9" s="57"/>
      <c r="AE9" s="1"/>
      <c r="AF9" s="1"/>
      <c r="AG9" s="1"/>
      <c r="AH9" s="53"/>
      <c r="AI9" s="1"/>
    </row>
    <row r="10" spans="1:91" s="21" customFormat="1" x14ac:dyDescent="0.25">
      <c r="A10" s="39"/>
      <c r="B10" s="41"/>
      <c r="C10" s="28"/>
      <c r="D10" s="28"/>
      <c r="E10" s="38"/>
      <c r="F10" s="38"/>
      <c r="G10" s="41"/>
      <c r="H10" s="38"/>
      <c r="I10" s="38"/>
      <c r="J10" s="41"/>
      <c r="K10" s="28"/>
      <c r="L10" s="28"/>
      <c r="M10" s="40"/>
      <c r="N10" s="41"/>
      <c r="O10" s="2"/>
      <c r="P10" s="2"/>
      <c r="U10" s="165"/>
      <c r="V10" s="95"/>
      <c r="W10" s="20"/>
      <c r="X10" s="175"/>
      <c r="Y10" s="65"/>
      <c r="Z10" s="65"/>
      <c r="AA10" s="65"/>
      <c r="AB10" s="62"/>
      <c r="AC10" s="56"/>
      <c r="AD10" s="57"/>
      <c r="AE10" s="1"/>
      <c r="AF10" s="1"/>
      <c r="AG10" s="1"/>
      <c r="AH10" s="53"/>
      <c r="AI10" s="1"/>
    </row>
    <row r="11" spans="1:91" ht="16.5" thickBot="1" x14ac:dyDescent="0.3">
      <c r="A11" s="184" t="str">
        <f>"Eagle P3 System Performance - "&amp;TEXT(Variables!A2,"yyyy-mm-dd")</f>
        <v>Eagle P3 System Performance - 2016-12-11</v>
      </c>
      <c r="B11" s="184"/>
      <c r="C11" s="184"/>
      <c r="D11" s="184"/>
      <c r="E11" s="184"/>
      <c r="F11" s="184"/>
      <c r="G11" s="184"/>
      <c r="H11" s="184"/>
      <c r="I11" s="184"/>
      <c r="J11" s="184"/>
      <c r="K11" s="184"/>
      <c r="L11" s="184"/>
      <c r="M11" s="184"/>
      <c r="N11" s="184"/>
      <c r="O11" s="184"/>
      <c r="P11" s="184"/>
      <c r="S11" s="69">
        <f>AVERAGE(S13:S99)</f>
        <v>1</v>
      </c>
      <c r="V11" s="95"/>
      <c r="AE11" s="1"/>
      <c r="AF11" s="1"/>
      <c r="AG11" s="1"/>
      <c r="AH11" s="53"/>
      <c r="AI11" s="1"/>
    </row>
    <row r="12" spans="1:91" s="5" customFormat="1" ht="69" customHeight="1" thickBot="1" x14ac:dyDescent="0.3">
      <c r="A12" s="14" t="s">
        <v>0</v>
      </c>
      <c r="B12" s="18" t="s">
        <v>44</v>
      </c>
      <c r="C12" s="15" t="s">
        <v>26</v>
      </c>
      <c r="D12" s="15" t="s">
        <v>1</v>
      </c>
      <c r="E12" s="16" t="s">
        <v>2</v>
      </c>
      <c r="F12" s="16" t="s">
        <v>3</v>
      </c>
      <c r="G12" s="18" t="s">
        <v>4</v>
      </c>
      <c r="H12" s="16" t="s">
        <v>5</v>
      </c>
      <c r="I12" s="16" t="s">
        <v>6</v>
      </c>
      <c r="J12" s="18" t="s">
        <v>7</v>
      </c>
      <c r="K12" s="85" t="s">
        <v>54</v>
      </c>
      <c r="L12" s="15" t="s">
        <v>47</v>
      </c>
      <c r="M12" s="17" t="s">
        <v>8</v>
      </c>
      <c r="N12" s="15" t="s">
        <v>41</v>
      </c>
      <c r="O12" s="18" t="s">
        <v>42</v>
      </c>
      <c r="P12" s="18" t="s">
        <v>18</v>
      </c>
      <c r="Q12" s="19" t="s">
        <v>46</v>
      </c>
      <c r="R12" s="19" t="s">
        <v>24</v>
      </c>
      <c r="S12" s="19" t="s">
        <v>63</v>
      </c>
      <c r="T12" s="54" t="s">
        <v>64</v>
      </c>
      <c r="U12" s="170" t="s">
        <v>65</v>
      </c>
      <c r="V12" s="97" t="s">
        <v>45</v>
      </c>
      <c r="W12" s="51" t="s">
        <v>23</v>
      </c>
      <c r="X12" s="176" t="s">
        <v>48</v>
      </c>
      <c r="Y12" s="66" t="s">
        <v>20</v>
      </c>
      <c r="Z12" s="66" t="s">
        <v>21</v>
      </c>
      <c r="AA12" s="66" t="s">
        <v>22</v>
      </c>
      <c r="AB12" s="63" t="s">
        <v>39</v>
      </c>
      <c r="AC12" s="59" t="s">
        <v>40</v>
      </c>
      <c r="AD12" s="58" t="s">
        <v>82</v>
      </c>
      <c r="AE12" s="90" t="s">
        <v>89</v>
      </c>
      <c r="AF12" s="87" t="s">
        <v>94</v>
      </c>
      <c r="AG12" s="4" t="s">
        <v>107</v>
      </c>
      <c r="AH12" s="93" t="s">
        <v>109</v>
      </c>
      <c r="AI12" s="118" t="s">
        <v>148</v>
      </c>
      <c r="AJ12" s="51" t="s">
        <v>149</v>
      </c>
      <c r="AK12" s="51" t="s">
        <v>122</v>
      </c>
      <c r="AL12" s="51" t="s">
        <v>150</v>
      </c>
      <c r="AM12" s="4"/>
      <c r="AN12" s="4"/>
      <c r="AO12" s="4"/>
      <c r="AP12" s="4"/>
      <c r="AQ12" s="4"/>
      <c r="AR12" s="4"/>
      <c r="AS12" s="4"/>
      <c r="AT12" s="4"/>
      <c r="AU12" s="4"/>
      <c r="AV12" s="4"/>
      <c r="AW12" s="4"/>
      <c r="AX12" s="4"/>
      <c r="AY12" s="4"/>
      <c r="AZ12" s="4"/>
      <c r="BA12" s="4"/>
      <c r="BB12" s="4"/>
      <c r="BC12" s="4"/>
      <c r="BD12" s="4"/>
      <c r="BE12" s="4"/>
      <c r="BF12" s="4"/>
      <c r="BG12" s="4"/>
      <c r="BH12" s="4"/>
      <c r="BI12" s="4"/>
      <c r="BJ12" s="4"/>
      <c r="BK12" s="4"/>
      <c r="BL12" s="4"/>
      <c r="BM12" s="4"/>
      <c r="BN12" s="4"/>
      <c r="BO12" s="4"/>
      <c r="BP12" s="4"/>
      <c r="BQ12" s="4"/>
      <c r="BR12" s="4"/>
      <c r="BS12" s="4"/>
      <c r="BT12" s="4"/>
      <c r="BU12" s="4"/>
      <c r="BV12" s="4"/>
      <c r="BW12" s="4"/>
      <c r="BX12" s="4"/>
      <c r="BY12" s="4"/>
      <c r="BZ12" s="4"/>
      <c r="CA12" s="4"/>
      <c r="CB12" s="4"/>
      <c r="CC12" s="4"/>
      <c r="CD12" s="4"/>
      <c r="CE12" s="4"/>
      <c r="CF12" s="4"/>
      <c r="CG12" s="4"/>
      <c r="CH12" s="4"/>
      <c r="CI12" s="4"/>
      <c r="CJ12" s="4"/>
      <c r="CK12" s="4"/>
      <c r="CL12" s="4"/>
      <c r="CM12" s="4"/>
    </row>
    <row r="13" spans="1:91" s="1" customFormat="1" x14ac:dyDescent="0.25">
      <c r="A13" s="37" t="s">
        <v>447</v>
      </c>
      <c r="B13" s="7">
        <v>4029</v>
      </c>
      <c r="C13" s="22" t="s">
        <v>207</v>
      </c>
      <c r="D13" s="22" t="s">
        <v>665</v>
      </c>
      <c r="E13" s="13">
        <v>42715.131539351853</v>
      </c>
      <c r="F13" s="13">
        <v>42715.174513888887</v>
      </c>
      <c r="G13" s="7">
        <v>1</v>
      </c>
      <c r="H13" s="22" t="s">
        <v>666</v>
      </c>
      <c r="I13" s="13">
        <v>42715.203738425924</v>
      </c>
      <c r="J13" s="7">
        <v>1</v>
      </c>
      <c r="K13" s="109" t="str">
        <f t="shared" ref="K13:K76" si="0">IF(ISEVEN(B13),(B13-1)&amp;"/"&amp;B13,B13&amp;"/"&amp;(B13+1))</f>
        <v>4029/4030</v>
      </c>
      <c r="L13" s="22" t="str">
        <f>VLOOKUP(A13,'Trips&amp;Operators'!$C$1:$G$99999,5,FALSE)</f>
        <v>KILLION DAVID</v>
      </c>
      <c r="M13" s="6">
        <f t="shared" ref="M13:M76" si="1">I13-F13</f>
        <v>2.9224537036498077E-2</v>
      </c>
      <c r="N13" s="7">
        <f t="shared" ref="N13:N20" si="2">24*60*SUM($M13:$M13)</f>
        <v>42.083333332557231</v>
      </c>
      <c r="O13" s="7"/>
      <c r="P13" s="7"/>
      <c r="Q13" s="23"/>
      <c r="R13" s="23"/>
      <c r="S13" s="35">
        <f t="shared" ref="S13:S21" si="3">SUM(U13:U13)/IF(AG13="EC",12,1)</f>
        <v>1</v>
      </c>
      <c r="T13" s="50" t="str">
        <f t="shared" ref="T13:T76" si="4">IF(ISEVEN(LEFT(AD13,4)),"Southbound","NorthBound")</f>
        <v>NorthBound</v>
      </c>
      <c r="U13" s="171">
        <f>IF(AG13="EC",COUNTIFS(Variables!$M$2:$M$19,IF(T13="NorthBound","&gt;=","&lt;=")&amp;Y13,Variables!$M$2:$M$19,IF(T13="NorthBound","&lt;=","&gt;=")&amp;Z13),COUNTIFS(Variables!$P$2:$P$19,IF(T13="NorthBound","&gt;=","&lt;=")&amp;Y13,Variables!$P$2:$P$19,IF(T13="NorthBound","&lt;=","&gt;=")&amp;Z13))</f>
        <v>12</v>
      </c>
      <c r="V13" s="98" t="str">
        <f t="shared" ref="V13:V76" si="5">"https://search-rtdc-monitor-bjffxe2xuh6vdkpspy63sjmuny.us-east-1.es.amazonaws.com/_plugin/kibana/#/discover/Steve-Slow-Train-Analysis-(2080s-and-2083s)?_g=(refreshInterval:(display:Off,section:0,value:0),time:(from:'"&amp;TEXT(E13-1/24,"yyyy-MM-DD hh:mm:ss")&amp;utc_offset&amp;"00',mode:absolute,to:'"&amp;TEXT(I13+1/24,"yyyy-MM-DD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13&amp;"%22')),sort:!(Time,asc))"</f>
        <v>https://search-rtdc-monitor-bjffxe2xuh6vdkpspy63sjmuny.us-east-1.es.amazonaws.com/_plugin/kibana/#/discover/Steve-Slow-Train-Analysis-(2080s-and-2083s)?_g=(refreshInterval:(display:Off,section:0,value:0),time:(from:'2016-12-11 02:09:25-700',mode:absolute,to:'2016-12-11 05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" s="52" t="str">
        <f t="shared" ref="W13:W76" si="6">IF(AA13&lt;IF(AG13="EC",23,5.65),"Y","N")</f>
        <v>N</v>
      </c>
      <c r="X13" s="177" t="e">
        <f t="shared" ref="X13:X42" si="7">VALUE(LEFT(AD13,4))-VALUE(LEFT(AD12,4))</f>
        <v>#VALUE!</v>
      </c>
      <c r="Y13" s="67">
        <f t="shared" ref="Y13:Y76" si="8">RIGHT(D13,LEN(D13)-4)/10000</f>
        <v>7.6300000000000007E-2</v>
      </c>
      <c r="Z13" s="67">
        <f t="shared" ref="Z13:Z76" si="9">RIGHT(H13,LEN(H13)-4)/10000</f>
        <v>23.336200000000002</v>
      </c>
      <c r="AA13" s="67">
        <f t="shared" ref="AA13:AA76" si="10">ABS(Z13-Y13)</f>
        <v>23.259900000000002</v>
      </c>
      <c r="AB13" s="64" t="e">
        <f>VLOOKUP(A13,Enforcements!$C$7:$K$20,8,0)</f>
        <v>#N/A</v>
      </c>
      <c r="AC13" s="60" t="e">
        <f>VLOOKUP(A13,Enforcements!$C$7:$E$20,3,0)</f>
        <v>#N/A</v>
      </c>
      <c r="AD13" s="61" t="str">
        <f t="shared" ref="AD13:AD76" si="11">IF(LEN(A13)=6,"0"&amp;A13,A13)</f>
        <v>0101-11</v>
      </c>
      <c r="AE13" s="91" t="str">
        <f t="shared" ref="AE13:AE76" si="12">"aws s3 cp "&amp;s3_bucket&amp;"/RTDC"&amp;B13&amp;"/ "&amp;search_path&amp;"\RTDC"&amp;B13&amp;"\"&amp;TEXT(F13,"YYYY-MM-DD")&amp;" --exclude ""*"" --recursive --include ""*"&amp;TEXT(F13,"YYYYMMDD")&amp;"*"" &amp; """&amp;walkandungz&amp;""" "&amp;search_path&amp;"\RTDC"&amp;B13&amp;"\"&amp;TEXT(F13,"YYYY-MM-DD")
&amp;" &amp; "&amp;"aws s3 cp "&amp;s3_bucket&amp;"/RTDC"&amp;B13&amp;"/ "&amp;search_path&amp;"\RTDC"&amp;B13&amp;"\"&amp;TEXT(F13+1,"YYYY-MM-DD")&amp;" --exclude ""*"" --recursive --include ""*"&amp;TEXT(F13+1,"YYYYMMDD")&amp;"*"" &amp; """&amp;walkandungz&amp;""" "&amp;search_path&amp;"\RTDC"&amp;B13&amp;"\"&amp;TEXT(F13+1,"YYYY-MM-DD")</f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13" s="88" t="str">
        <f t="shared" ref="AF13:AF76" si="13">astrogrep_path&amp;" /spath="&amp;search_path&amp;" /stypes=""app*"&amp;B13&amp;"*"&amp;TEXT(I13-utc_offset/24,"YYYYMMDD")&amp;"*"" /stext="" "&amp;TEXT(I13-utc_offset/24,"HH")&amp;search_regexp&amp;""" /e /r /s"</f>
        <v>"C:\Program Files (x86)\AstroGrep\AstroGrep.exe" /spath="%USERPROFILE%\AppData\Local\Temp\OnboardLogs" /stypes="app*4029*20161211*" /stext=" 11:.+((SYSTEM_STATE.+slice.+state.+changed )|(ment ac)|(multiple cpu faults)|(system.+state.+changed )|(\[timeout)|(PRM\|1\|D)|(kpr)|(kdp)|(\|lc)|(penalty))" /e /r /s</v>
      </c>
      <c r="AG13" s="1" t="str">
        <f t="shared" ref="AG13:AG76" si="14">IFERROR(IF(VALUE(LEFT(AD13,2))&lt;=2,"EC",IF(OR(VALUE(LEFT(AD13,2))=8,VALUE(LEFT(AD13,2))=18),"NW","Other")),"Other")</f>
        <v>EC</v>
      </c>
      <c r="AH13" s="92" t="str">
        <f t="shared" ref="AH13" si="15">refinertdcruntimes&amp;" --tripid "&amp;A13&amp;" --locoid "&amp;B13&amp;" --swversion "&amp;C13&amp;" --startMP "&amp;D13&amp;" --initTime "&amp;TEXT(E13,"yyyy-mm-ddTHH:MM:SS")&amp;" --startdatetime "&amp;TEXT(F13,"yyyy-mm-ddTHH:MM:SS")&amp;" --delay "&amp;G13&amp;" --endMP "&amp;H13&amp;" --enddatetime "&amp;TEXT(I13,"yyyy-mm-ddTHH:MM:SS")&amp;" --enforcementcount "&amp;J13&amp;IF(outputrefinedruntimes," &gt;&gt;"&amp;RefinedRTDCRunTimesOutputFile,"")</f>
        <v>"%USERPROFILE%\Documents\GitHub\eaglep3\Utilities\RefineRTDCRunTimes.py" --tripid 101-11 --locoid 4029 --swversion DE.1.0.8.0 --startMP 204:763 --initTime 2016-12-11T03:09:25 --startdatetime 2016-12-11T04:11:18 --delay 1 --endMP 204:233362 --enddatetime 2016-12-11T04:53:23 --enforcementcount 1 &gt;&gt;C:\Users\stu\Documents\GitHub\eaglep3-reporting\EC\2016-12-11-refined-times.txt</v>
      </c>
      <c r="AI13" s="119" t="str">
        <f t="shared" ref="AI13" si="16">"echo {""issue"":{""subject"":"""&amp;R13&amp;""",""project_id"":79,""tracker_id"":40,""status_id"":"&amp;redmine_status&amp;",""priority_id"":"&amp;redmine_priority&amp;",""assigned_to_id"":"&amp;redmine_assignee&amp;",""start_date"":"""&amp;TEXT(I13,"YYYY-mm-dd")&amp;""",""description"":"""&amp;AJ13&amp;""",""custom_fields"":[{""id"":1,""name"":""Subdivision"",""value"":"""&amp;AG13&amp;"""},{""id"":4,""name"":""Milepost"",""value"":"""&amp;Z13&amp;"""},{""id"":17,""name"":""Train ID"",""value"":"""&amp;A13&amp;"""},{""id"":16,""name"":""Locomotive ID"",""value"":"""&amp;B13&amp;"""},{""id"":130,""name"":""Impact"",""value"":"""&amp;AK13&amp;"""},{""id"":150,""name"":""Time of Event (Mountain Time)"",""value"":"""&amp;TEXT(I13,"hh:mm:ss")&amp;"""},{""id"":151,""name"":""Denver Issue ID"",""value"":"""&amp;"""},{""id"":178,""name"":""Operational Impact"",""value"":"""&amp;redmine_op_impact&amp;"""},{""id"":179,""name"":""Denver Segment Assigned"",""value"":"""&amp;AL13&amp;"""}]}}"&amp;"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{"issue":{"subject":"","project_id":79,"tracker_id":40,"status_id":1,"priority_id":2,"assigned_to_id":23,"start_date":"2016-12-11","description":"","custom_fields":[{"id":1,"name":"Subdivision","value":"EC"},{"id":4,"name":"Milepost","value":"23.3362"},{"id":17,"name":"Train ID","value":"101-11"},{"id":16,"name":"Locomotive ID","value":"4029"},{"id":130,"name":"Impact","value":""},{"id":150,"name":"Time of Event (Mountain Time)","value":"04:53:23"},{"id":151,"name":"Denver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" s="53"/>
      <c r="AK13" s="53"/>
      <c r="AL13" s="5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/>
      <c r="CB13"/>
      <c r="CC13"/>
      <c r="CD13"/>
      <c r="CE13"/>
      <c r="CF13"/>
      <c r="CG13"/>
      <c r="CH13"/>
      <c r="CI13"/>
      <c r="CJ13"/>
      <c r="CK13"/>
      <c r="CL13"/>
      <c r="CM13"/>
    </row>
    <row r="14" spans="1:91" s="1" customFormat="1" x14ac:dyDescent="0.25">
      <c r="A14" s="37" t="s">
        <v>491</v>
      </c>
      <c r="B14" s="7">
        <v>4012</v>
      </c>
      <c r="C14" s="22" t="s">
        <v>207</v>
      </c>
      <c r="D14" s="22" t="s">
        <v>667</v>
      </c>
      <c r="E14" s="13">
        <v>42715.172638888886</v>
      </c>
      <c r="F14" s="13">
        <v>42715.174513888887</v>
      </c>
      <c r="G14" s="7">
        <v>1</v>
      </c>
      <c r="H14" s="22" t="s">
        <v>226</v>
      </c>
      <c r="I14" s="13">
        <v>42715.203738425924</v>
      </c>
      <c r="J14" s="7">
        <v>1</v>
      </c>
      <c r="K14" s="109" t="str">
        <f t="shared" si="0"/>
        <v>4011/4012</v>
      </c>
      <c r="L14" s="22" t="str">
        <f>VLOOKUP(A14,'Trips&amp;Operators'!$C$1:$G$99999,5,FALSE)</f>
        <v>KILLION DAVID</v>
      </c>
      <c r="M14" s="6">
        <f t="shared" si="1"/>
        <v>2.9224537036498077E-2</v>
      </c>
      <c r="N14" s="7">
        <f t="shared" si="2"/>
        <v>42.083333332557231</v>
      </c>
      <c r="O14" s="7"/>
      <c r="P14" s="7"/>
      <c r="Q14" s="23"/>
      <c r="R14" s="23"/>
      <c r="S14" s="35">
        <f t="shared" si="3"/>
        <v>1</v>
      </c>
      <c r="T14" s="50" t="str">
        <f t="shared" si="4"/>
        <v>Southbound</v>
      </c>
      <c r="U14" s="171">
        <f>IF(AG14="EC",COUNTIFS(Variables!$M$2:$M$19,IF(T14="NorthBound","&gt;=","&lt;=")&amp;Y14,Variables!$M$2:$M$19,IF(T14="NorthBound","&lt;=","&gt;=")&amp;Z14),COUNTIFS(Variables!$P$2:$P$19,IF(T14="NorthBound","&gt;=","&lt;=")&amp;Y14,Variables!$P$2:$P$19,IF(T14="NorthBound","&lt;=","&gt;=")&amp;Z14))</f>
        <v>12</v>
      </c>
      <c r="V1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03:08:36-700',mode:absolute,to:'2016-12-11 05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4" s="52" t="str">
        <f t="shared" si="6"/>
        <v>N</v>
      </c>
      <c r="X14" s="177">
        <f t="shared" si="7"/>
        <v>1</v>
      </c>
      <c r="Y14" s="67">
        <f t="shared" si="8"/>
        <v>23.272500000000001</v>
      </c>
      <c r="Z14" s="67">
        <f t="shared" si="9"/>
        <v>1.54E-2</v>
      </c>
      <c r="AA14" s="67">
        <f t="shared" si="10"/>
        <v>23.257100000000001</v>
      </c>
      <c r="AB14" s="64" t="e">
        <f>VLOOKUP(A14,Enforcements!$C$7:$K$20,8,0)</f>
        <v>#N/A</v>
      </c>
      <c r="AC14" s="60" t="e">
        <f>VLOOKUP(A14,Enforcements!$C$7:$E$20,3,0)</f>
        <v>#N/A</v>
      </c>
      <c r="AD14" s="61" t="str">
        <f t="shared" si="11"/>
        <v>0102-11</v>
      </c>
      <c r="AE14" s="91" t="str">
        <f t="shared" si="12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14" s="88" t="str">
        <f t="shared" si="13"/>
        <v>"C:\Program Files (x86)\AstroGrep\AstroGrep.exe" /spath="%USERPROFILE%\AppData\Local\Temp\OnboardLogs" /stypes="app*4012*20161211*" /stext=" 11:.+((SYSTEM_STATE.+slice.+state.+changed )|(ment ac)|(multiple cpu faults)|(system.+state.+changed )|(\[timeout)|(PRM\|1\|D)|(kpr)|(kdp)|(\|lc)|(penalty))" /e /r /s</v>
      </c>
      <c r="AG14" s="1" t="str">
        <f t="shared" si="14"/>
        <v>EC</v>
      </c>
      <c r="AH14" s="92" t="str">
        <f t="shared" ref="AH14:AH76" si="17">refinertdcruntimes&amp;" --tripid "&amp;A14&amp;" --locoid "&amp;B14&amp;" --swversion "&amp;C14&amp;" --startMP "&amp;D14&amp;" --initTime "&amp;TEXT(E14,"yyyy-mm-ddTHH:MM:SS")&amp;" --startdatetime "&amp;TEXT(F14,"yyyy-mm-ddTHH:MM:SS")&amp;" --delay "&amp;G14&amp;" --endMP "&amp;H14&amp;" --enddatetime "&amp;TEXT(I14,"yyyy-mm-ddTHH:MM:SS")&amp;" --enforcementcount "&amp;J14&amp;IF(outputrefinedruntimes," &gt;&gt;"&amp;RefinedRTDCRunTimesOutputFile,"")</f>
        <v>"%USERPROFILE%\Documents\GitHub\eaglep3\Utilities\RefineRTDCRunTimes.py" --tripid 102-11 --locoid 4012 --swversion DE.1.0.8.0 --startMP 204:232725 --initTime 2016-12-11T04:08:36 --startdatetime 2016-12-11T04:11:18 --delay 1 --endMP 204:154 --enddatetime 2016-12-11T04:53:23 --enforcementcount 1 &gt;&gt;C:\Users\stu\Documents\GitHub\eaglep3-reporting\EC\2016-12-11-refined-times.txt</v>
      </c>
      <c r="AI14" s="119" t="str">
        <f t="shared" ref="AI14:AI76" si="18">"echo {""issue"":{""subject"":"""&amp;R14&amp;""",""project_id"":79,""tracker_id"":40,""status_id"":"&amp;redmine_status&amp;",""priority_id"":"&amp;redmine_priority&amp;",""assigned_to_id"":"&amp;redmine_assignee&amp;",""start_date"":"""&amp;TEXT(I14,"YYYY-mm-dd")&amp;""",""description"":"""&amp;AJ14&amp;""",""custom_fields"":[{""id"":1,""name"":""Subdivision"",""value"":"""&amp;AG14&amp;"""},{""id"":4,""name"":""Milepost"",""value"":"""&amp;Z14&amp;"""},{""id"":17,""name"":""Train ID"",""value"":"""&amp;A14&amp;"""},{""id"":16,""name"":""Locomotive ID"",""value"":"""&amp;B14&amp;"""},{""id"":130,""name"":""Impact"",""value"":"""&amp;AK14&amp;"""},{""id"":150,""name"":""Time of Event (Mountain Time)"",""value"":"""&amp;TEXT(I14,"hh:mm:ss")&amp;"""},{""id"":151,""name"":""Denver Issue ID"",""value"":"""&amp;"""},{""id"":178,""name"":""Operational Impact"",""value"":"""&amp;redmine_op_impact&amp;"""},{""id"":179,""name"":""Denver Segment Assigned"",""value"":"""&amp;AL14&amp;"""}]}}"&amp;"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{"issue":{"subject":"","project_id":79,"tracker_id":40,"status_id":1,"priority_id":2,"assigned_to_id":23,"start_date":"2016-12-11","description":"","custom_fields":[{"id":1,"name":"Subdivision","value":"EC"},{"id":4,"name":"Milepost","value":"0.0154"},{"id":17,"name":"Train ID","value":"102-11"},{"id":16,"name":"Locomotive ID","value":"4012"},{"id":130,"name":"Impact","value":""},{"id":150,"name":"Time of Event (Mountain Time)","value":"04:53:23"},{"id":151,"name":"Denver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" s="53"/>
      <c r="AK14" s="53"/>
      <c r="AL14" s="53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  <c r="CG14"/>
      <c r="CH14"/>
      <c r="CI14"/>
      <c r="CJ14"/>
      <c r="CK14"/>
      <c r="CL14"/>
      <c r="CM14"/>
    </row>
    <row r="15" spans="1:91" s="1" customFormat="1" x14ac:dyDescent="0.25">
      <c r="A15" s="37" t="s">
        <v>489</v>
      </c>
      <c r="B15" s="7">
        <v>4044</v>
      </c>
      <c r="C15" s="22" t="s">
        <v>207</v>
      </c>
      <c r="D15" s="22" t="s">
        <v>668</v>
      </c>
      <c r="E15" s="13">
        <v>42715.15116898148</v>
      </c>
      <c r="F15" s="13">
        <v>42715.195335648146</v>
      </c>
      <c r="G15" s="7">
        <v>2</v>
      </c>
      <c r="H15" s="22" t="s">
        <v>669</v>
      </c>
      <c r="I15" s="13">
        <v>42715.223495370374</v>
      </c>
      <c r="J15" s="7">
        <v>1</v>
      </c>
      <c r="K15" s="109" t="str">
        <f t="shared" si="0"/>
        <v>4043/4044</v>
      </c>
      <c r="L15" s="22" t="str">
        <f>VLOOKUP(A15,'Trips&amp;Operators'!$C$1:$G$99999,5,FALSE)</f>
        <v>ACKERMAN JARED</v>
      </c>
      <c r="M15" s="6">
        <f t="shared" si="1"/>
        <v>2.8159722227428574E-2</v>
      </c>
      <c r="N15" s="7">
        <f t="shared" si="2"/>
        <v>40.550000007497147</v>
      </c>
      <c r="O15" s="7"/>
      <c r="P15" s="7"/>
      <c r="Q15" s="23"/>
      <c r="R15" s="23"/>
      <c r="S15" s="35">
        <f t="shared" si="3"/>
        <v>1</v>
      </c>
      <c r="T15" s="50" t="str">
        <f t="shared" si="4"/>
        <v>NorthBound</v>
      </c>
      <c r="U15" s="171">
        <f>IF(AG15="EC",COUNTIFS(Variables!$M$2:$M$19,IF(T15="NorthBound","&gt;=","&lt;=")&amp;Y15,Variables!$M$2:$M$19,IF(T15="NorthBound","&lt;=","&gt;=")&amp;Z15),COUNTIFS(Variables!$P$2:$P$19,IF(T15="NorthBound","&gt;=","&lt;=")&amp;Y15,Variables!$P$2:$P$19,IF(T15="NorthBound","&lt;=","&gt;=")&amp;Z15))</f>
        <v>12</v>
      </c>
      <c r="V1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02:37:41-700',mode:absolute,to:'2016-12-11 06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" s="52" t="str">
        <f t="shared" si="6"/>
        <v>N</v>
      </c>
      <c r="X15" s="177">
        <f t="shared" si="7"/>
        <v>1</v>
      </c>
      <c r="Y15" s="67">
        <f t="shared" si="8"/>
        <v>7.6999999999999999E-2</v>
      </c>
      <c r="Z15" s="67">
        <f t="shared" si="9"/>
        <v>23.3353</v>
      </c>
      <c r="AA15" s="67">
        <f t="shared" si="10"/>
        <v>23.258299999999998</v>
      </c>
      <c r="AB15" s="64" t="e">
        <f>VLOOKUP(A15,Enforcements!$C$7:$K$20,8,0)</f>
        <v>#N/A</v>
      </c>
      <c r="AC15" s="60" t="e">
        <f>VLOOKUP(A15,Enforcements!$C$7:$E$20,3,0)</f>
        <v>#N/A</v>
      </c>
      <c r="AD15" s="61" t="str">
        <f t="shared" si="11"/>
        <v>0103-11</v>
      </c>
      <c r="AE15" s="91" t="str">
        <f t="shared" si="12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15" s="88" t="str">
        <f t="shared" si="13"/>
        <v>"C:\Program Files (x86)\AstroGrep\AstroGrep.exe" /spath="%USERPROFILE%\AppData\Local\Temp\OnboardLogs" /stypes="app*4044*20161211*" /stext=" 12:.+((SYSTEM_STATE.+slice.+state.+changed )|(ment ac)|(multiple cpu faults)|(system.+state.+changed )|(\[timeout)|(PRM\|1\|D)|(kpr)|(kdp)|(\|lc)|(penalty))" /e /r /s</v>
      </c>
      <c r="AG15" s="1" t="str">
        <f t="shared" si="14"/>
        <v>EC</v>
      </c>
      <c r="AH15" s="92" t="str">
        <f t="shared" si="17"/>
        <v>"%USERPROFILE%\Documents\GitHub\eaglep3\Utilities\RefineRTDCRunTimes.py" --tripid 103-11 --locoid 4044 --swversion DE.1.0.8.0 --startMP 204:770 --initTime 2016-12-11T03:37:41 --startdatetime 2016-12-11T04:41:17 --delay 2 --endMP 204:233353 --enddatetime 2016-12-11T05:21:50 --enforcementcount 1 &gt;&gt;C:\Users\stu\Documents\GitHub\eaglep3-reporting\EC\2016-12-11-refined-times.txt</v>
      </c>
      <c r="AI1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{"issue":{"subject":"","project_id":79,"tracker_id":40,"status_id":1,"priority_id":2,"assigned_to_id":23,"start_date":"2016-12-11","description":"","custom_fields":[{"id":1,"name":"Subdivision","value":"EC"},{"id":4,"name":"Milepost","value":"23.3353"},{"id":17,"name":"Train ID","value":"103-11"},{"id":16,"name":"Locomotive ID","value":"4044"},{"id":130,"name":"Impact","value":""},{"id":150,"name":"Time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" s="53"/>
      <c r="AK15" s="53"/>
      <c r="AL15" s="53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/>
      <c r="CB15"/>
      <c r="CC15"/>
      <c r="CD15"/>
      <c r="CE15"/>
      <c r="CF15"/>
      <c r="CG15"/>
      <c r="CH15"/>
      <c r="CI15"/>
      <c r="CJ15"/>
      <c r="CK15"/>
      <c r="CL15"/>
      <c r="CM15"/>
    </row>
    <row r="16" spans="1:91" s="1" customFormat="1" x14ac:dyDescent="0.25">
      <c r="A16" s="37" t="s">
        <v>495</v>
      </c>
      <c r="B16" s="7">
        <v>4010</v>
      </c>
      <c r="C16" s="22" t="s">
        <v>207</v>
      </c>
      <c r="D16" s="22" t="s">
        <v>670</v>
      </c>
      <c r="E16" s="13">
        <v>42715.191307870373</v>
      </c>
      <c r="F16" s="13">
        <v>42715.195335648146</v>
      </c>
      <c r="G16" s="7">
        <v>1</v>
      </c>
      <c r="H16" s="22" t="s">
        <v>205</v>
      </c>
      <c r="I16" s="13">
        <v>42715.223495370374</v>
      </c>
      <c r="J16" s="7">
        <v>1</v>
      </c>
      <c r="K16" s="109" t="str">
        <f t="shared" si="0"/>
        <v>4009/4010</v>
      </c>
      <c r="L16" s="22" t="str">
        <f>VLOOKUP(A16,'Trips&amp;Operators'!$C$1:$G$99999,5,FALSE)</f>
        <v>ACKERMAN JARED</v>
      </c>
      <c r="M16" s="6">
        <f t="shared" si="1"/>
        <v>2.8159722227428574E-2</v>
      </c>
      <c r="N16" s="7">
        <f t="shared" si="2"/>
        <v>40.550000007497147</v>
      </c>
      <c r="O16" s="7"/>
      <c r="P16" s="7"/>
      <c r="Q16" s="23"/>
      <c r="R16" s="23"/>
      <c r="S16" s="35">
        <f t="shared" si="3"/>
        <v>1</v>
      </c>
      <c r="T16" s="50" t="str">
        <f t="shared" si="4"/>
        <v>Southbound</v>
      </c>
      <c r="U16" s="171">
        <f>IF(AG16="EC",COUNTIFS(Variables!$M$2:$M$19,IF(T16="NorthBound","&gt;=","&lt;=")&amp;Y16,Variables!$M$2:$M$19,IF(T16="NorthBound","&lt;=","&gt;=")&amp;Z16),COUNTIFS(Variables!$P$2:$P$19,IF(T16="NorthBound","&gt;=","&lt;=")&amp;Y16,Variables!$P$2:$P$19,IF(T16="NorthBound","&lt;=","&gt;=")&amp;Z16))</f>
        <v>12</v>
      </c>
      <c r="V1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03:35:29-700',mode:absolute,to:'2016-12-11 06:21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6" s="52" t="str">
        <f t="shared" si="6"/>
        <v>N</v>
      </c>
      <c r="X16" s="177">
        <f t="shared" si="7"/>
        <v>1</v>
      </c>
      <c r="Y16" s="67">
        <f t="shared" si="8"/>
        <v>23.272400000000001</v>
      </c>
      <c r="Z16" s="67">
        <f t="shared" si="9"/>
        <v>1.5599999999999999E-2</v>
      </c>
      <c r="AA16" s="67">
        <f t="shared" si="10"/>
        <v>23.256800000000002</v>
      </c>
      <c r="AB16" s="64" t="e">
        <f>VLOOKUP(A16,Enforcements!$C$7:$K$20,8,0)</f>
        <v>#N/A</v>
      </c>
      <c r="AC16" s="60" t="e">
        <f>VLOOKUP(A16,Enforcements!$C$7:$E$20,3,0)</f>
        <v>#N/A</v>
      </c>
      <c r="AD16" s="61" t="str">
        <f t="shared" si="11"/>
        <v>0104-11</v>
      </c>
      <c r="AE16" s="91" t="str">
        <f t="shared" si="12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16" s="88" t="str">
        <f t="shared" si="13"/>
        <v>"C:\Program Files (x86)\AstroGrep\AstroGrep.exe" /spath="%USERPROFILE%\AppData\Local\Temp\OnboardLogs" /stypes="app*4010*20161211*" /stext=" 12:.+((SYSTEM_STATE.+slice.+state.+changed )|(ment ac)|(multiple cpu faults)|(system.+state.+changed )|(\[timeout)|(PRM\|1\|D)|(kpr)|(kdp)|(\|lc)|(penalty))" /e /r /s</v>
      </c>
      <c r="AG16" s="1" t="str">
        <f t="shared" si="14"/>
        <v>EC</v>
      </c>
      <c r="AH16" s="92" t="str">
        <f t="shared" si="17"/>
        <v>"%USERPROFILE%\Documents\GitHub\eaglep3\Utilities\RefineRTDCRunTimes.py" --tripid 104-11 --locoid 4010 --swversion DE.1.0.8.0 --startMP 204:232724 --initTime 2016-12-11T04:35:29 --startdatetime 2016-12-11T04:41:17 --delay 1 --endMP 204:156 --enddatetime 2016-12-11T05:21:50 --enforcementcount 1 &gt;&gt;C:\Users\stu\Documents\GitHub\eaglep3-reporting\EC\2016-12-11-refined-times.txt</v>
      </c>
      <c r="AI1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{"issue":{"subject":"","project_id":79,"tracker_id":40,"status_id":1,"priority_id":2,"assigned_to_id":23,"start_date":"2016-12-11","description":"","custom_fields":[{"id":1,"name":"Subdivision","value":"EC"},{"id":4,"name":"Milepost","value":"0.0156"},{"id":17,"name":"Train ID","value":"104-11"},{"id":16,"name":"Locomotive ID","value":"4010"},{"id":130,"name":"Impact","value":""},{"id":150,"name":"Time of Event (Mountain Time)","value":"05:21:50"},{"id":151,"name":"Denver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" s="53"/>
      <c r="AK16" s="53"/>
      <c r="AL16" s="53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/>
      <c r="CB16"/>
      <c r="CC16"/>
      <c r="CD16"/>
      <c r="CE16"/>
      <c r="CF16"/>
      <c r="CG16"/>
      <c r="CH16"/>
      <c r="CI16"/>
      <c r="CJ16"/>
      <c r="CK16"/>
      <c r="CL16"/>
      <c r="CM16"/>
    </row>
    <row r="17" spans="1:91" s="1" customFormat="1" x14ac:dyDescent="0.25">
      <c r="A17" s="37" t="s">
        <v>492</v>
      </c>
      <c r="B17" s="7">
        <v>4025</v>
      </c>
      <c r="C17" s="22" t="s">
        <v>207</v>
      </c>
      <c r="D17" s="22" t="s">
        <v>369</v>
      </c>
      <c r="E17" s="13">
        <v>42715.172962962963</v>
      </c>
      <c r="F17" s="13">
        <v>42715.177395833336</v>
      </c>
      <c r="G17" s="7">
        <v>1</v>
      </c>
      <c r="H17" s="22" t="s">
        <v>671</v>
      </c>
      <c r="I17" s="13">
        <v>42715.202175925922</v>
      </c>
      <c r="J17" s="7">
        <v>1</v>
      </c>
      <c r="K17" s="109" t="str">
        <f t="shared" si="0"/>
        <v>4025/4026</v>
      </c>
      <c r="L17" s="22" t="str">
        <f>VLOOKUP(A17,'Trips&amp;Operators'!$C$1:$G$99999,5,FALSE)</f>
        <v>MAELZER KURT</v>
      </c>
      <c r="M17" s="6">
        <f t="shared" si="1"/>
        <v>2.4780092586297542E-2</v>
      </c>
      <c r="N17" s="7">
        <f t="shared" si="2"/>
        <v>35.68333332426846</v>
      </c>
      <c r="O17" s="7"/>
      <c r="P17" s="7"/>
      <c r="Q17" s="23"/>
      <c r="R17" s="23"/>
      <c r="S17" s="35">
        <f t="shared" si="3"/>
        <v>1</v>
      </c>
      <c r="T17" s="50" t="str">
        <f t="shared" si="4"/>
        <v>NorthBound</v>
      </c>
      <c r="U17" s="171">
        <f>IF(AG17="EC",COUNTIFS(Variables!$M$2:$M$19,IF(T17="NorthBound","&gt;=","&lt;=")&amp;Y17,Variables!$M$2:$M$19,IF(T17="NorthBound","&lt;=","&gt;=")&amp;Z17),COUNTIFS(Variables!$P$2:$P$19,IF(T17="NorthBound","&gt;=","&lt;=")&amp;Y17,Variables!$P$2:$P$19,IF(T17="NorthBound","&lt;=","&gt;=")&amp;Z17))</f>
        <v>12</v>
      </c>
      <c r="V1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03:09:04-700',mode:absolute,to:'2016-12-11 05:51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17" s="52" t="str">
        <f t="shared" si="6"/>
        <v>N</v>
      </c>
      <c r="X17" s="177">
        <f t="shared" si="7"/>
        <v>1</v>
      </c>
      <c r="Y17" s="67">
        <f t="shared" si="8"/>
        <v>6.9900000000000004E-2</v>
      </c>
      <c r="Z17" s="67">
        <f t="shared" si="9"/>
        <v>23.333200000000001</v>
      </c>
      <c r="AA17" s="67">
        <f t="shared" si="10"/>
        <v>23.263300000000001</v>
      </c>
      <c r="AB17" s="64" t="e">
        <f>VLOOKUP(A17,Enforcements!$C$7:$K$20,8,0)</f>
        <v>#N/A</v>
      </c>
      <c r="AC17" s="60" t="e">
        <f>VLOOKUP(A17,Enforcements!$C$7:$E$20,3,0)</f>
        <v>#N/A</v>
      </c>
      <c r="AD17" s="61" t="str">
        <f t="shared" si="11"/>
        <v>0105-11</v>
      </c>
      <c r="AE17" s="91" t="str">
        <f t="shared" si="12"/>
        <v>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 &amp; aws s3 cp s3://rtdc.mdm.uploadarchive.raw/RTDC4025/ "%USERPROFILE%\AppData\Local\Temp\OnboardLogs"\RTDC4025\2016-12-12 --exclude "*" --recursive --include "*20161212*" &amp; "%USERPROFILE%\Documents\GitHub\mrs-test-scripts\Headless Mode &amp; Sideloading\WalkAndUnGZ.bat" "%USERPROFILE%\AppData\Local\Temp\OnboardLogs"\RTDC4025\2016-12-12</v>
      </c>
      <c r="AF17" s="88" t="str">
        <f t="shared" si="13"/>
        <v>"C:\Program Files (x86)\AstroGrep\AstroGrep.exe" /spath="%USERPROFILE%\AppData\Local\Temp\OnboardLogs" /stypes="app*4025*20161211*" /stext=" 11:.+((SYSTEM_STATE.+slice.+state.+changed )|(ment ac)|(multiple cpu faults)|(system.+state.+changed )|(\[timeout)|(PRM\|1\|D)|(kpr)|(kdp)|(\|lc)|(penalty))" /e /r /s</v>
      </c>
      <c r="AG17" s="1" t="str">
        <f t="shared" si="14"/>
        <v>EC</v>
      </c>
      <c r="AH17" s="92" t="str">
        <f t="shared" si="17"/>
        <v>"%USERPROFILE%\Documents\GitHub\eaglep3\Utilities\RefineRTDCRunTimes.py" --tripid 105-11 --locoid 4025 --swversion DE.1.0.8.0 --startMP 204:699 --initTime 2016-12-11T04:09:04 --startdatetime 2016-12-11T04:15:27 --delay 1 --endMP 204:233332 --enddatetime 2016-12-11T04:51:08 --enforcementcount 1 &gt;&gt;C:\Users\stu\Documents\GitHub\eaglep3-reporting\EC\2016-12-11-refined-times.txt</v>
      </c>
      <c r="AI17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{"issue":{"subject":"","project_id":79,"tracker_id":40,"status_id":1,"priority_id":2,"assigned_to_id":23,"start_date":"2016-12-11","description":"","custom_fields":[{"id":1,"name":"Subdivision","value":"EC"},{"id":4,"name":"Milepost","value":"23.3332"},{"id":17,"name":"Train ID","value":"105-11"},{"id":16,"name":"Locomotive ID","value":"4025"},{"id":130,"name":"Impact","value":""},{"id":150,"name":"Time of Event (Mountain Time)","value":"04:51:08"},{"id":151,"name":"Denver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" s="53"/>
      <c r="AK17" s="53"/>
      <c r="AL17" s="53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/>
      <c r="CB17"/>
      <c r="CC17"/>
      <c r="CD17"/>
      <c r="CE17"/>
      <c r="CF17"/>
      <c r="CG17"/>
      <c r="CH17"/>
      <c r="CI17"/>
      <c r="CJ17"/>
      <c r="CK17"/>
      <c r="CL17"/>
      <c r="CM17"/>
    </row>
    <row r="18" spans="1:91" s="1" customFormat="1" x14ac:dyDescent="0.25">
      <c r="A18" s="37" t="s">
        <v>500</v>
      </c>
      <c r="B18" s="7">
        <v>4041</v>
      </c>
      <c r="C18" s="22" t="s">
        <v>207</v>
      </c>
      <c r="D18" s="22" t="s">
        <v>672</v>
      </c>
      <c r="E18" s="13">
        <v>42715.213275462964</v>
      </c>
      <c r="F18" s="13">
        <v>42715.216249999998</v>
      </c>
      <c r="G18" s="7">
        <v>1</v>
      </c>
      <c r="H18" s="22" t="s">
        <v>328</v>
      </c>
      <c r="I18" s="13">
        <v>42715.247048611112</v>
      </c>
      <c r="J18" s="7">
        <v>1</v>
      </c>
      <c r="K18" s="109" t="str">
        <f t="shared" si="0"/>
        <v>4041/4042</v>
      </c>
      <c r="L18" s="22" t="str">
        <f>VLOOKUP(A18,'Trips&amp;Operators'!$C$1:$G$99999,5,FALSE)</f>
        <v>MAELZER KURT</v>
      </c>
      <c r="M18" s="6">
        <f t="shared" si="1"/>
        <v>3.0798611114732921E-2</v>
      </c>
      <c r="N18" s="7">
        <f t="shared" si="2"/>
        <v>44.350000005215406</v>
      </c>
      <c r="O18" s="7"/>
      <c r="P18" s="7"/>
      <c r="Q18" s="23"/>
      <c r="R18" s="23"/>
      <c r="S18" s="35">
        <f t="shared" si="3"/>
        <v>1</v>
      </c>
      <c r="T18" s="50" t="str">
        <f t="shared" si="4"/>
        <v>Southbound</v>
      </c>
      <c r="U18" s="171">
        <f>IF(AG18="EC",COUNTIFS(Variables!$M$2:$M$19,IF(T18="NorthBound","&gt;=","&lt;=")&amp;Y18,Variables!$M$2:$M$19,IF(T18="NorthBound","&lt;=","&gt;=")&amp;Z18),COUNTIFS(Variables!$P$2:$P$19,IF(T18="NorthBound","&gt;=","&lt;=")&amp;Y18,Variables!$P$2:$P$19,IF(T18="NorthBound","&lt;=","&gt;=")&amp;Z18))</f>
        <v>12</v>
      </c>
      <c r="V1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04:07:07-700',mode:absolute,to:'2016-12-11 06:55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8" s="52" t="str">
        <f t="shared" si="6"/>
        <v>N</v>
      </c>
      <c r="X18" s="177">
        <f t="shared" si="7"/>
        <v>1</v>
      </c>
      <c r="Y18" s="67">
        <f t="shared" si="8"/>
        <v>23.2698</v>
      </c>
      <c r="Z18" s="67">
        <f t="shared" si="9"/>
        <v>1.32E-2</v>
      </c>
      <c r="AA18" s="67">
        <f t="shared" si="10"/>
        <v>23.256599999999999</v>
      </c>
      <c r="AB18" s="64" t="e">
        <f>VLOOKUP(A18,Enforcements!$C$7:$K$20,8,0)</f>
        <v>#N/A</v>
      </c>
      <c r="AC18" s="60" t="e">
        <f>VLOOKUP(A18,Enforcements!$C$7:$E$20,3,0)</f>
        <v>#N/A</v>
      </c>
      <c r="AD18" s="61" t="str">
        <f t="shared" si="11"/>
        <v>0106-11</v>
      </c>
      <c r="AE18" s="91" t="str">
        <f t="shared" si="12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8" s="88" t="str">
        <f t="shared" si="13"/>
        <v>"C:\Program Files (x86)\AstroGrep\AstroGrep.exe" /spath="%USERPROFILE%\AppData\Local\Temp\OnboardLogs" /stypes="app*4041*20161211*" /stext=" 12:.+((SYSTEM_STATE.+slice.+state.+changed )|(ment ac)|(multiple cpu faults)|(system.+state.+changed )|(\[timeout)|(PRM\|1\|D)|(kpr)|(kdp)|(\|lc)|(penalty))" /e /r /s</v>
      </c>
      <c r="AG18" s="1" t="str">
        <f t="shared" si="14"/>
        <v>EC</v>
      </c>
      <c r="AH18" s="92" t="str">
        <f t="shared" si="17"/>
        <v>"%USERPROFILE%\Documents\GitHub\eaglep3\Utilities\RefineRTDCRunTimes.py" --tripid 106-11 --locoid 4041 --swversion DE.1.0.8.0 --startMP 204:232698 --initTime 2016-12-11T05:07:07 --startdatetime 2016-12-11T05:11:24 --delay 1 --endMP 204:132 --enddatetime 2016-12-11T05:55:45 --enforcementcount 1 &gt;&gt;C:\Users\stu\Documents\GitHub\eaglep3-reporting\EC\2016-12-11-refined-times.txt</v>
      </c>
      <c r="AI18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{"issue":{"subject":"","project_id":79,"tracker_id":40,"status_id":1,"priority_id":2,"assigned_to_id":23,"start_date":"2016-12-11","description":"","custom_fields":[{"id":1,"name":"Subdivision","value":"EC"},{"id":4,"name":"Milepost","value":"0.0132"},{"id":17,"name":"Train ID","value":"106-11"},{"id":16,"name":"Locomotive ID","value":"4041"},{"id":130,"name":"Impact","value":""},{"id":150,"name":"Time of Event (Mountain Time)","value":"05:55:45"},{"id":151,"name":"Denver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" s="53"/>
      <c r="AK18" s="53"/>
      <c r="AL18" s="53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/>
      <c r="CB18"/>
      <c r="CC18"/>
      <c r="CD18"/>
      <c r="CE18"/>
      <c r="CF18"/>
      <c r="CG18"/>
      <c r="CH18"/>
      <c r="CI18"/>
      <c r="CJ18"/>
      <c r="CK18"/>
      <c r="CL18"/>
      <c r="CM18"/>
    </row>
    <row r="19" spans="1:91" s="1" customFormat="1" x14ac:dyDescent="0.25">
      <c r="A19" s="37" t="s">
        <v>494</v>
      </c>
      <c r="B19" s="7">
        <v>4018</v>
      </c>
      <c r="C19" s="22" t="s">
        <v>207</v>
      </c>
      <c r="D19" s="22" t="s">
        <v>194</v>
      </c>
      <c r="E19" s="13">
        <v>42715.185416666667</v>
      </c>
      <c r="F19" s="13">
        <v>42715.187662037039</v>
      </c>
      <c r="G19" s="7">
        <v>1</v>
      </c>
      <c r="H19" s="22" t="s">
        <v>397</v>
      </c>
      <c r="I19" s="13">
        <v>42715.212708333333</v>
      </c>
      <c r="J19" s="7">
        <v>1</v>
      </c>
      <c r="K19" s="109" t="str">
        <f t="shared" si="0"/>
        <v>4017/4018</v>
      </c>
      <c r="L19" s="22" t="str">
        <f>VLOOKUP(A19,'Trips&amp;Operators'!$C$1:$G$99999,5,FALSE)</f>
        <v>DAVIS WENDY</v>
      </c>
      <c r="M19" s="6">
        <f t="shared" si="1"/>
        <v>2.5046296294021886E-2</v>
      </c>
      <c r="N19" s="7">
        <f t="shared" si="2"/>
        <v>36.066666663391516</v>
      </c>
      <c r="O19" s="7"/>
      <c r="P19" s="7"/>
      <c r="Q19" s="23"/>
      <c r="R19" s="23"/>
      <c r="S19" s="35">
        <f t="shared" si="3"/>
        <v>1</v>
      </c>
      <c r="T19" s="50" t="str">
        <f t="shared" si="4"/>
        <v>NorthBound</v>
      </c>
      <c r="U19" s="171">
        <f>IF(AG19="EC",COUNTIFS(Variables!$M$2:$M$19,IF(T19="NorthBound","&gt;=","&lt;=")&amp;Y19,Variables!$M$2:$M$19,IF(T19="NorthBound","&lt;=","&gt;=")&amp;Z19),COUNTIFS(Variables!$P$2:$P$19,IF(T19="NorthBound","&gt;=","&lt;=")&amp;Y19,Variables!$P$2:$P$19,IF(T19="NorthBound","&lt;=","&gt;=")&amp;Z19))</f>
        <v>12</v>
      </c>
      <c r="V1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03:27:00-700',mode:absolute,to:'2016-12-11 06:06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9" s="52" t="str">
        <f t="shared" si="6"/>
        <v>N</v>
      </c>
      <c r="X19" s="177">
        <f t="shared" si="7"/>
        <v>1</v>
      </c>
      <c r="Y19" s="67">
        <f t="shared" si="8"/>
        <v>4.4699999999999997E-2</v>
      </c>
      <c r="Z19" s="67">
        <f t="shared" si="9"/>
        <v>23.331</v>
      </c>
      <c r="AA19" s="67">
        <f t="shared" si="10"/>
        <v>23.286300000000001</v>
      </c>
      <c r="AB19" s="64" t="e">
        <f>VLOOKUP(A19,Enforcements!$C$7:$K$20,8,0)</f>
        <v>#N/A</v>
      </c>
      <c r="AC19" s="60" t="e">
        <f>VLOOKUP(A19,Enforcements!$C$7:$E$20,3,0)</f>
        <v>#N/A</v>
      </c>
      <c r="AD19" s="61" t="str">
        <f t="shared" si="11"/>
        <v>0107-11</v>
      </c>
      <c r="AE19" s="91" t="str">
        <f t="shared" si="12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19" s="88" t="str">
        <f t="shared" si="13"/>
        <v>"C:\Program Files (x86)\AstroGrep\AstroGrep.exe" /spath="%USERPROFILE%\AppData\Local\Temp\OnboardLogs" /stypes="app*4018*20161211*" /stext=" 12:.+((SYSTEM_STATE.+slice.+state.+changed )|(ment ac)|(multiple cpu faults)|(system.+state.+changed )|(\[timeout)|(PRM\|1\|D)|(kpr)|(kdp)|(\|lc)|(penalty))" /e /r /s</v>
      </c>
      <c r="AG19" s="1" t="str">
        <f t="shared" si="14"/>
        <v>EC</v>
      </c>
      <c r="AH19" s="92" t="str">
        <f t="shared" si="17"/>
        <v>"%USERPROFILE%\Documents\GitHub\eaglep3\Utilities\RefineRTDCRunTimes.py" --tripid 107-11 --locoid 4018 --swversion DE.1.0.8.0 --startMP 204:447 --initTime 2016-12-11T04:27:00 --startdatetime 2016-12-11T04:30:14 --delay 1 --endMP 204:233310 --enddatetime 2016-12-11T05:06:18 --enforcementcount 1 &gt;&gt;C:\Users\stu\Documents\GitHub\eaglep3-reporting\EC\2016-12-11-refined-times.txt</v>
      </c>
      <c r="AI19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{"issue":{"subject":"","project_id":79,"tracker_id":40,"status_id":1,"priority_id":2,"assigned_to_id":23,"start_date":"2016-12-11","description":"","custom_fields":[{"id":1,"name":"Subdivision","value":"EC"},{"id":4,"name":"Milepost","value":"23.331"},{"id":17,"name":"Train ID","value":"107-11"},{"id":16,"name":"Locomotive ID","value":"4018"},{"id":130,"name":"Impact","value":""},{"id":150,"name":"Time of Event (Mountain Time)","value":"05:06:18"},{"id":151,"name":"Denver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" s="53"/>
      <c r="AK19" s="53"/>
      <c r="AL19" s="53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/>
      <c r="CB19"/>
      <c r="CC19"/>
      <c r="CD19"/>
      <c r="CE19"/>
      <c r="CF19"/>
      <c r="CG19"/>
      <c r="CH19"/>
      <c r="CI19"/>
      <c r="CJ19"/>
      <c r="CK19"/>
      <c r="CL19"/>
      <c r="CM19"/>
    </row>
    <row r="20" spans="1:91" s="1" customFormat="1" x14ac:dyDescent="0.25">
      <c r="A20" s="37" t="s">
        <v>501</v>
      </c>
      <c r="B20" s="7">
        <v>4017</v>
      </c>
      <c r="C20" s="22" t="s">
        <v>207</v>
      </c>
      <c r="D20" s="22" t="s">
        <v>401</v>
      </c>
      <c r="E20" s="13">
        <v>42715.222939814812</v>
      </c>
      <c r="F20" s="13">
        <v>42715.2265625</v>
      </c>
      <c r="G20" s="7">
        <v>1</v>
      </c>
      <c r="H20" s="22" t="s">
        <v>226</v>
      </c>
      <c r="I20" s="13">
        <v>42715.258831018517</v>
      </c>
      <c r="J20" s="7">
        <v>1</v>
      </c>
      <c r="K20" s="109" t="str">
        <f t="shared" si="0"/>
        <v>4017/4018</v>
      </c>
      <c r="L20" s="22" t="str">
        <f>VLOOKUP(A20,'Trips&amp;Operators'!$C$1:$G$99999,5,FALSE)</f>
        <v>DAVIS WENDY</v>
      </c>
      <c r="M20" s="6">
        <f t="shared" si="1"/>
        <v>3.2268518516502809E-2</v>
      </c>
      <c r="N20" s="7">
        <f t="shared" si="2"/>
        <v>46.466666663764045</v>
      </c>
      <c r="O20" s="7"/>
      <c r="P20" s="7"/>
      <c r="Q20" s="23"/>
      <c r="R20" s="23"/>
      <c r="S20" s="35">
        <f t="shared" si="3"/>
        <v>1</v>
      </c>
      <c r="T20" s="50" t="str">
        <f t="shared" si="4"/>
        <v>Southbound</v>
      </c>
      <c r="U20" s="171">
        <f>IF(AG20="EC",COUNTIFS(Variables!$M$2:$M$19,IF(T20="NorthBound","&gt;=","&lt;=")&amp;Y20,Variables!$M$2:$M$19,IF(T20="NorthBound","&lt;=","&gt;=")&amp;Z20),COUNTIFS(Variables!$P$2:$P$19,IF(T20="NorthBound","&gt;=","&lt;=")&amp;Y20,Variables!$P$2:$P$19,IF(T20="NorthBound","&lt;=","&gt;=")&amp;Z20))</f>
        <v>12</v>
      </c>
      <c r="V2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04:21:02-700',mode:absolute,to:'2016-12-11 07:12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20" s="52" t="str">
        <f t="shared" si="6"/>
        <v>N</v>
      </c>
      <c r="X20" s="177">
        <f t="shared" si="7"/>
        <v>1</v>
      </c>
      <c r="Y20" s="67">
        <f t="shared" si="8"/>
        <v>23.3</v>
      </c>
      <c r="Z20" s="67">
        <f t="shared" si="9"/>
        <v>1.54E-2</v>
      </c>
      <c r="AA20" s="67">
        <f t="shared" si="10"/>
        <v>23.284600000000001</v>
      </c>
      <c r="AB20" s="64" t="e">
        <f>VLOOKUP(A20,Enforcements!$C$7:$K$20,8,0)</f>
        <v>#N/A</v>
      </c>
      <c r="AC20" s="60" t="e">
        <f>VLOOKUP(A20,Enforcements!$C$7:$E$20,3,0)</f>
        <v>#N/A</v>
      </c>
      <c r="AD20" s="61" t="str">
        <f t="shared" si="11"/>
        <v>0108-11</v>
      </c>
      <c r="AE20" s="91" t="str">
        <f t="shared" si="12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20" s="88" t="str">
        <f t="shared" si="13"/>
        <v>"C:\Program Files (x86)\AstroGrep\AstroGrep.exe" /spath="%USERPROFILE%\AppData\Local\Temp\OnboardLogs" /stypes="app*4017*20161211*" /stext=" 13:.+((SYSTEM_STATE.+slice.+state.+changed )|(ment ac)|(multiple cpu faults)|(system.+state.+changed )|(\[timeout)|(PRM\|1\|D)|(kpr)|(kdp)|(\|lc)|(penalty))" /e /r /s</v>
      </c>
      <c r="AG20" s="1" t="str">
        <f t="shared" si="14"/>
        <v>EC</v>
      </c>
      <c r="AH20" s="92" t="str">
        <f t="shared" si="17"/>
        <v>"%USERPROFILE%\Documents\GitHub\eaglep3\Utilities\RefineRTDCRunTimes.py" --tripid 108-11 --locoid 4017 --swversion DE.1.0.8.0 --startMP 204:233000 --initTime 2016-12-11T05:21:02 --startdatetime 2016-12-11T05:26:15 --delay 1 --endMP 204:154 --enddatetime 2016-12-11T06:12:43 --enforcementcount 1 &gt;&gt;C:\Users\stu\Documents\GitHub\eaglep3-reporting\EC\2016-12-11-refined-times.txt</v>
      </c>
      <c r="AI20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{"issue":{"subject":"","project_id":79,"tracker_id":40,"status_id":1,"priority_id":2,"assigned_to_id":23,"start_date":"2016-12-11","description":"","custom_fields":[{"id":1,"name":"Subdivision","value":"EC"},{"id":4,"name":"Milepost","value":"0.0154"},{"id":17,"name":"Train ID","value":"108-11"},{"id":16,"name":"Locomotive ID","value":"4017"},{"id":130,"name":"Impact","value":""},{"id":150,"name":"Time of Event (Mountain Time)","value":"06:12:43"},{"id":151,"name":"Denver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" s="53"/>
      <c r="AK20" s="53"/>
      <c r="AL20" s="53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/>
      <c r="CB20"/>
      <c r="CC20"/>
      <c r="CD20"/>
      <c r="CE20"/>
      <c r="CF20"/>
      <c r="CG20"/>
      <c r="CH20"/>
      <c r="CI20"/>
      <c r="CJ20"/>
      <c r="CK20"/>
      <c r="CL20"/>
      <c r="CM20"/>
    </row>
    <row r="21" spans="1:91" s="1" customFormat="1" x14ac:dyDescent="0.25">
      <c r="A21" s="37" t="s">
        <v>496</v>
      </c>
      <c r="B21" s="7">
        <v>4031</v>
      </c>
      <c r="C21" s="22" t="s">
        <v>207</v>
      </c>
      <c r="D21" s="22" t="s">
        <v>673</v>
      </c>
      <c r="E21" s="13">
        <v>42715.202013888891</v>
      </c>
      <c r="F21" s="13">
        <v>42715.202997685185</v>
      </c>
      <c r="G21" s="7">
        <v>1</v>
      </c>
      <c r="H21" s="22" t="s">
        <v>674</v>
      </c>
      <c r="I21" s="13">
        <v>42715.221828703703</v>
      </c>
      <c r="J21" s="7">
        <v>1</v>
      </c>
      <c r="K21" s="109" t="str">
        <f t="shared" si="0"/>
        <v>4031/4032</v>
      </c>
      <c r="L21" s="22" t="str">
        <f>VLOOKUP(A21,'Trips&amp;Operators'!$C$1:$G$99999,5,FALSE)</f>
        <v>ROBINSON KADDIBA</v>
      </c>
      <c r="M21" s="6">
        <f t="shared" si="1"/>
        <v>1.8831018518540077E-2</v>
      </c>
      <c r="N21" s="7"/>
      <c r="O21" s="7"/>
      <c r="P21" s="7">
        <f>24*60*SUM($M21:$M21)</f>
        <v>27.116666666697711</v>
      </c>
      <c r="Q21" s="23"/>
      <c r="R21" s="23" t="s">
        <v>836</v>
      </c>
      <c r="S21" s="35">
        <f t="shared" si="3"/>
        <v>1</v>
      </c>
      <c r="T21" s="50" t="str">
        <f t="shared" si="4"/>
        <v>NorthBound</v>
      </c>
      <c r="U21" s="171">
        <f>IF(AG21="EC",COUNTIFS(Variables!$M$2:$M$19,IF(T21="NorthBound","&gt;=","&lt;=")&amp;Y21,Variables!$M$2:$M$19,IF(T21="NorthBound","&lt;=","&gt;=")&amp;Z21),COUNTIFS(Variables!$P$2:$P$19,IF(T21="NorthBound","&gt;=","&lt;=")&amp;Y21,Variables!$P$2:$P$19,IF(T21="NorthBound","&lt;=","&gt;=")&amp;Z21))</f>
        <v>12</v>
      </c>
      <c r="V2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03:50:54-700',mode:absolute,to:'2016-12-11 06:19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1" s="52" t="str">
        <f t="shared" si="6"/>
        <v>Y</v>
      </c>
      <c r="X21" s="177">
        <f t="shared" si="7"/>
        <v>1</v>
      </c>
      <c r="Y21" s="67">
        <f t="shared" si="8"/>
        <v>1.9115</v>
      </c>
      <c r="Z21" s="67">
        <f t="shared" si="9"/>
        <v>18.973500000000001</v>
      </c>
      <c r="AA21" s="67">
        <f t="shared" si="10"/>
        <v>17.062000000000001</v>
      </c>
      <c r="AB21" s="64" t="e">
        <f>VLOOKUP(A21,Enforcements!$C$7:$K$20,8,0)</f>
        <v>#N/A</v>
      </c>
      <c r="AC21" s="60" t="e">
        <f>VLOOKUP(A21,Enforcements!$C$7:$E$20,3,0)</f>
        <v>#N/A</v>
      </c>
      <c r="AD21" s="61" t="str">
        <f t="shared" si="11"/>
        <v>0109-11</v>
      </c>
      <c r="AE21" s="91" t="str">
        <f t="shared" si="12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21" s="88" t="str">
        <f t="shared" si="13"/>
        <v>"C:\Program Files (x86)\AstroGrep\AstroGrep.exe" /spath="%USERPROFILE%\AppData\Local\Temp\OnboardLogs" /stypes="app*4031*20161211*" /stext=" 12:.+((SYSTEM_STATE.+slice.+state.+changed )|(ment ac)|(multiple cpu faults)|(system.+state.+changed )|(\[timeout)|(PRM\|1\|D)|(kpr)|(kdp)|(\|lc)|(penalty))" /e /r /s</v>
      </c>
      <c r="AG21" s="1" t="str">
        <f t="shared" si="14"/>
        <v>EC</v>
      </c>
      <c r="AH21" s="92" t="str">
        <f t="shared" si="17"/>
        <v>"%USERPROFILE%\Documents\GitHub\eaglep3\Utilities\RefineRTDCRunTimes.py" --tripid 109-11 --locoid 4031 --swversion DE.1.0.8.0 --startMP 204:19115 --initTime 2016-12-11T04:50:54 --startdatetime 2016-12-11T04:52:19 --delay 1 --endMP 204:189735 --enddatetime 2016-12-11T05:19:26 --enforcementcount 1 &gt;&gt;C:\Users\stu\Documents\GitHub\eaglep3-reporting\EC\2016-12-11-refined-times.txt</v>
      </c>
      <c r="AI21" s="119" t="str">
        <f t="shared" si="18"/>
        <v>echo {"issue":{"subject":"DUS SW 9 not aligned for Main 1, then Pena transformer failure","project_id":79,"tracker_id":40,"status_id":1,"priority_id":2,"assigned_to_id":23,"start_date":"2016-12-11","description":"","custom_fields":[{"id":1,"name":"Subdivision","value":"EC"},{"id":4,"name":"Milepost","value":"18.9735"},{"id":17,"name":"Train ID","value":"109-11"},{"id":16,"name":"Locomotive ID","value":"4031"},{"id":130,"name":"Impact","value":""},{"id":150,"name":"Time of Event (Mountain Time)","value":"05:19:26"},{"id":151,"name":"Denver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" s="53"/>
      <c r="AK21" s="53"/>
      <c r="AL21" s="53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/>
      <c r="CB21"/>
      <c r="CC21"/>
      <c r="CD21"/>
      <c r="CE21"/>
      <c r="CF21"/>
      <c r="CG21"/>
      <c r="CH21"/>
      <c r="CI21"/>
      <c r="CJ21"/>
      <c r="CK21"/>
      <c r="CL21"/>
      <c r="CM21"/>
    </row>
    <row r="22" spans="1:91" s="1" customFormat="1" x14ac:dyDescent="0.25">
      <c r="A22" s="37" t="s">
        <v>496</v>
      </c>
      <c r="B22" s="7">
        <v>4031</v>
      </c>
      <c r="C22" s="22" t="s">
        <v>207</v>
      </c>
      <c r="D22" s="22" t="s">
        <v>675</v>
      </c>
      <c r="E22" s="13">
        <v>42715.194201388891</v>
      </c>
      <c r="F22" s="13">
        <v>42715.202997685185</v>
      </c>
      <c r="G22" s="7">
        <v>1</v>
      </c>
      <c r="H22" s="22" t="s">
        <v>676</v>
      </c>
      <c r="I22" s="13">
        <v>42715.221284722225</v>
      </c>
      <c r="J22" s="7">
        <v>1</v>
      </c>
      <c r="K22" s="109" t="str">
        <f t="shared" si="0"/>
        <v>4031/4032</v>
      </c>
      <c r="L22" s="22" t="str">
        <f>VLOOKUP(A22,'Trips&amp;Operators'!$C$1:$G$99999,5,FALSE)</f>
        <v>ROBINSON KADDIBA</v>
      </c>
      <c r="M22" s="6">
        <f t="shared" si="1"/>
        <v>1.8287037040863652E-2</v>
      </c>
      <c r="N22" s="7"/>
      <c r="O22" s="7"/>
      <c r="P22" s="7"/>
      <c r="Q22" s="23"/>
      <c r="R22" s="23"/>
      <c r="S22" s="35"/>
      <c r="T22" s="50" t="str">
        <f t="shared" si="4"/>
        <v>NorthBound</v>
      </c>
      <c r="U22" s="171">
        <f>IF(AG22="EC",COUNTIFS(Variables!$M$2:$M$19,IF(T22="NorthBound","&gt;=","&lt;=")&amp;Y22,Variables!$M$2:$M$19,IF(T22="NorthBound","&lt;=","&gt;=")&amp;Z22),COUNTIFS(Variables!$P$2:$P$19,IF(T22="NorthBound","&gt;=","&lt;=")&amp;Y22,Variables!$P$2:$P$19,IF(T22="NorthBound","&lt;=","&gt;=")&amp;Z22))</f>
        <v>0</v>
      </c>
      <c r="V2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03:39:39-700',mode:absolute,to:'2016-12-11 06:18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22" s="52" t="str">
        <f t="shared" si="6"/>
        <v>Y</v>
      </c>
      <c r="X22" s="177">
        <f t="shared" si="7"/>
        <v>0</v>
      </c>
      <c r="Y22" s="67">
        <f t="shared" si="8"/>
        <v>4.9700000000000001E-2</v>
      </c>
      <c r="Z22" s="67">
        <f t="shared" si="9"/>
        <v>0.1051</v>
      </c>
      <c r="AA22" s="67">
        <f t="shared" si="10"/>
        <v>5.5399999999999998E-2</v>
      </c>
      <c r="AB22" s="64" t="e">
        <f>VLOOKUP(A22,Enforcements!$C$7:$K$20,8,0)</f>
        <v>#N/A</v>
      </c>
      <c r="AC22" s="60" t="e">
        <f>VLOOKUP(A22,Enforcements!$C$7:$E$20,3,0)</f>
        <v>#N/A</v>
      </c>
      <c r="AD22" s="61" t="str">
        <f t="shared" si="11"/>
        <v>0109-11</v>
      </c>
      <c r="AE22" s="91" t="str">
        <f t="shared" si="12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22" s="88" t="str">
        <f t="shared" si="13"/>
        <v>"C:\Program Files (x86)\AstroGrep\AstroGrep.exe" /spath="%USERPROFILE%\AppData\Local\Temp\OnboardLogs" /stypes="app*4031*20161211*" /stext=" 12:.+((SYSTEM_STATE.+slice.+state.+changed )|(ment ac)|(multiple cpu faults)|(system.+state.+changed )|(\[timeout)|(PRM\|1\|D)|(kpr)|(kdp)|(\|lc)|(penalty))" /e /r /s</v>
      </c>
      <c r="AG22" s="1" t="str">
        <f t="shared" si="14"/>
        <v>EC</v>
      </c>
      <c r="AH22" s="92" t="str">
        <f t="shared" si="17"/>
        <v>"%USERPROFILE%\Documents\GitHub\eaglep3\Utilities\RefineRTDCRunTimes.py" --tripid 109-11 --locoid 4031 --swversion DE.1.0.8.0 --startMP 204:497 --initTime 2016-12-11T04:39:39 --startdatetime 2016-12-11T04:52:19 --delay 1 --endMP 204:1051 --enddatetime 2016-12-11T05:18:39 --enforcementcount 1 &gt;&gt;C:\Users\stu\Documents\GitHub\eaglep3-reporting\EC\2016-12-11-refined-times.txt</v>
      </c>
      <c r="AI22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{"issue":{"subject":"","project_id":79,"tracker_id":40,"status_id":1,"priority_id":2,"assigned_to_id":23,"start_date":"2016-12-11","description":"","custom_fields":[{"id":1,"name":"Subdivision","value":"EC"},{"id":4,"name":"Milepost","value":"0.1051"},{"id":17,"name":"Train ID","value":"109-11"},{"id":16,"name":"Locomotive ID","value":"4031"},{"id":130,"name":"Impact","value":""},{"id":150,"name":"Time of Event (Mountain Time)","value":"05:18:39"},{"id":151,"name":"Denver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2" s="53"/>
      <c r="AK22" s="53"/>
      <c r="AL22" s="53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/>
      <c r="CB22"/>
      <c r="CC22"/>
      <c r="CD22"/>
      <c r="CE22"/>
      <c r="CF22"/>
      <c r="CG22"/>
      <c r="CH22"/>
      <c r="CI22"/>
      <c r="CJ22"/>
      <c r="CK22"/>
      <c r="CL22"/>
      <c r="CM22"/>
    </row>
    <row r="23" spans="1:91" s="1" customFormat="1" x14ac:dyDescent="0.25">
      <c r="A23" s="37" t="s">
        <v>507</v>
      </c>
      <c r="B23" s="7">
        <v>4032</v>
      </c>
      <c r="C23" s="22" t="s">
        <v>207</v>
      </c>
      <c r="D23" s="22" t="s">
        <v>677</v>
      </c>
      <c r="E23" s="13">
        <v>42715.232592592591</v>
      </c>
      <c r="F23" s="13">
        <v>42715.234537037039</v>
      </c>
      <c r="G23" s="7">
        <v>1</v>
      </c>
      <c r="H23" s="22" t="s">
        <v>213</v>
      </c>
      <c r="I23" s="13">
        <v>42715.265983796293</v>
      </c>
      <c r="J23" s="7">
        <v>1</v>
      </c>
      <c r="K23" s="109" t="str">
        <f t="shared" si="0"/>
        <v>4031/4032</v>
      </c>
      <c r="L23" s="22" t="str">
        <f>VLOOKUP(A23,'Trips&amp;Operators'!$C$1:$G$99999,5,FALSE)</f>
        <v>ROBINSON KADDIBA</v>
      </c>
      <c r="M23" s="6">
        <f t="shared" si="1"/>
        <v>3.1446759254322387E-2</v>
      </c>
      <c r="N23" s="7">
        <f t="shared" ref="N23:N54" si="19">24*60*SUM($M23:$M23)</f>
        <v>45.283333326224238</v>
      </c>
      <c r="O23" s="7"/>
      <c r="P23" s="7"/>
      <c r="Q23" s="23"/>
      <c r="R23" s="23"/>
      <c r="S23" s="35">
        <f t="shared" ref="S23:S54" si="20">SUM(U23:U23)/IF(AG23="EC",12,1)</f>
        <v>1</v>
      </c>
      <c r="T23" s="50" t="str">
        <f t="shared" si="4"/>
        <v>Southbound</v>
      </c>
      <c r="U23" s="171">
        <f>IF(AG23="EC",COUNTIFS(Variables!$M$2:$M$19,IF(T23="NorthBound","&gt;=","&lt;=")&amp;Y23,Variables!$M$2:$M$19,IF(T23="NorthBound","&lt;=","&gt;=")&amp;Z23),COUNTIFS(Variables!$P$2:$P$19,IF(T23="NorthBound","&gt;=","&lt;=")&amp;Y23,Variables!$P$2:$P$19,IF(T23="NorthBound","&lt;=","&gt;=")&amp;Z23))</f>
        <v>12</v>
      </c>
      <c r="V2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04:34:56-700',mode:absolute,to:'2016-12-11 07:23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23" s="52" t="str">
        <f t="shared" si="6"/>
        <v>N</v>
      </c>
      <c r="X23" s="177">
        <f t="shared" si="7"/>
        <v>1</v>
      </c>
      <c r="Y23" s="67">
        <f t="shared" si="8"/>
        <v>23.310099999999998</v>
      </c>
      <c r="Z23" s="67">
        <f t="shared" si="9"/>
        <v>1.4999999999999999E-2</v>
      </c>
      <c r="AA23" s="67">
        <f t="shared" si="10"/>
        <v>23.295099999999998</v>
      </c>
      <c r="AB23" s="64" t="e">
        <f>VLOOKUP(A23,Enforcements!$C$7:$K$20,8,0)</f>
        <v>#N/A</v>
      </c>
      <c r="AC23" s="60" t="e">
        <f>VLOOKUP(A23,Enforcements!$C$7:$E$20,3,0)</f>
        <v>#N/A</v>
      </c>
      <c r="AD23" s="61" t="str">
        <f t="shared" si="11"/>
        <v>0110-11</v>
      </c>
      <c r="AE23" s="91" t="str">
        <f t="shared" si="12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23" s="88" t="str">
        <f t="shared" si="13"/>
        <v>"C:\Program Files (x86)\AstroGrep\AstroGrep.exe" /spath="%USERPROFILE%\AppData\Local\Temp\OnboardLogs" /stypes="app*4032*20161211*" /stext=" 13:.+((SYSTEM_STATE.+slice.+state.+changed )|(ment ac)|(multiple cpu faults)|(system.+state.+changed )|(\[timeout)|(PRM\|1\|D)|(kpr)|(kdp)|(\|lc)|(penalty))" /e /r /s</v>
      </c>
      <c r="AG23" s="1" t="str">
        <f t="shared" si="14"/>
        <v>EC</v>
      </c>
      <c r="AH23" s="92" t="str">
        <f t="shared" si="17"/>
        <v>"%USERPROFILE%\Documents\GitHub\eaglep3\Utilities\RefineRTDCRunTimes.py" --tripid 110-11 --locoid 4032 --swversion DE.1.0.8.0 --startMP 204:233101 --initTime 2016-12-11T05:34:56 --startdatetime 2016-12-11T05:37:44 --delay 1 --endMP 204:150 --enddatetime 2016-12-11T06:23:01 --enforcementcount 1 &gt;&gt;C:\Users\stu\Documents\GitHub\eaglep3-reporting\EC\2016-12-11-refined-times.txt</v>
      </c>
      <c r="AI23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{"issue":{"subject":"","project_id":79,"tracker_id":40,"status_id":1,"priority_id":2,"assigned_to_id":23,"start_date":"2016-12-11","description":"","custom_fields":[{"id":1,"name":"Subdivision","value":"EC"},{"id":4,"name":"Milepost","value":"0.015"},{"id":17,"name":"Train ID","value":"110-11"},{"id":16,"name":"Locomotive ID","value":"4032"},{"id":130,"name":"Impact","value":""},{"id":150,"name":"Time of Event (Mountain Time)","value":"06:23:01"},{"id":151,"name":"Denver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3" s="53"/>
      <c r="AK23" s="53"/>
      <c r="AL23" s="5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/>
      <c r="CB23"/>
      <c r="CC23"/>
      <c r="CD23"/>
      <c r="CE23"/>
      <c r="CF23"/>
      <c r="CG23"/>
      <c r="CH23"/>
      <c r="CI23"/>
      <c r="CJ23"/>
      <c r="CK23"/>
      <c r="CL23"/>
      <c r="CM23"/>
    </row>
    <row r="24" spans="1:91" s="1" customFormat="1" x14ac:dyDescent="0.25">
      <c r="A24" s="37" t="s">
        <v>498</v>
      </c>
      <c r="B24" s="7">
        <v>4029</v>
      </c>
      <c r="C24" s="22" t="s">
        <v>207</v>
      </c>
      <c r="D24" s="22" t="s">
        <v>678</v>
      </c>
      <c r="E24" s="13">
        <v>42715.208356481482</v>
      </c>
      <c r="F24" s="13">
        <v>42715.210347222222</v>
      </c>
      <c r="G24" s="7">
        <v>1</v>
      </c>
      <c r="H24" s="22" t="s">
        <v>326</v>
      </c>
      <c r="I24" s="13">
        <v>42715.238206018519</v>
      </c>
      <c r="J24" s="7">
        <v>1</v>
      </c>
      <c r="K24" s="109" t="str">
        <f t="shared" si="0"/>
        <v>4029/4030</v>
      </c>
      <c r="L24" s="22" t="str">
        <f>VLOOKUP(A24,'Trips&amp;Operators'!$C$1:$G$99999,5,FALSE)</f>
        <v>HAITHCOX MICHAEL</v>
      </c>
      <c r="M24" s="6">
        <f t="shared" si="1"/>
        <v>2.7858796296641231E-2</v>
      </c>
      <c r="N24" s="7">
        <f t="shared" si="19"/>
        <v>40.116666667163372</v>
      </c>
      <c r="O24" s="7"/>
      <c r="P24" s="7"/>
      <c r="Q24" s="23"/>
      <c r="R24" s="23"/>
      <c r="S24" s="35">
        <f t="shared" si="20"/>
        <v>1</v>
      </c>
      <c r="T24" s="50" t="str">
        <f t="shared" si="4"/>
        <v>NorthBound</v>
      </c>
      <c r="U24" s="171">
        <f>IF(AG24="EC",COUNTIFS(Variables!$M$2:$M$19,IF(T24="NorthBound","&gt;=","&lt;=")&amp;Y24,Variables!$M$2:$M$19,IF(T24="NorthBound","&lt;=","&gt;=")&amp;Z24),COUNTIFS(Variables!$P$2:$P$19,IF(T24="NorthBound","&gt;=","&lt;=")&amp;Y24,Variables!$P$2:$P$19,IF(T24="NorthBound","&lt;=","&gt;=")&amp;Z24))</f>
        <v>12</v>
      </c>
      <c r="V2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04:00:02-700',mode:absolute,to:'2016-12-11 06:43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24" s="52" t="str">
        <f t="shared" si="6"/>
        <v>N</v>
      </c>
      <c r="X24" s="177">
        <f t="shared" si="7"/>
        <v>1</v>
      </c>
      <c r="Y24" s="67">
        <f t="shared" si="8"/>
        <v>7.0800000000000002E-2</v>
      </c>
      <c r="Z24" s="67">
        <f t="shared" si="9"/>
        <v>23.327200000000001</v>
      </c>
      <c r="AA24" s="67">
        <f t="shared" si="10"/>
        <v>23.256400000000003</v>
      </c>
      <c r="AB24" s="64" t="e">
        <f>VLOOKUP(A24,Enforcements!$C$7:$K$20,8,0)</f>
        <v>#N/A</v>
      </c>
      <c r="AC24" s="60" t="e">
        <f>VLOOKUP(A24,Enforcements!$C$7:$E$20,3,0)</f>
        <v>#N/A</v>
      </c>
      <c r="AD24" s="61" t="str">
        <f t="shared" si="11"/>
        <v>0111-11</v>
      </c>
      <c r="AE24" s="91" t="str">
        <f t="shared" si="12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24" s="88" t="str">
        <f t="shared" si="13"/>
        <v>"C:\Program Files (x86)\AstroGrep\AstroGrep.exe" /spath="%USERPROFILE%\AppData\Local\Temp\OnboardLogs" /stypes="app*4029*20161211*" /stext=" 12:.+((SYSTEM_STATE.+slice.+state.+changed )|(ment ac)|(multiple cpu faults)|(system.+state.+changed )|(\[timeout)|(PRM\|1\|D)|(kpr)|(kdp)|(\|lc)|(penalty))" /e /r /s</v>
      </c>
      <c r="AG24" s="1" t="str">
        <f t="shared" si="14"/>
        <v>EC</v>
      </c>
      <c r="AH24" s="92" t="str">
        <f t="shared" si="17"/>
        <v>"%USERPROFILE%\Documents\GitHub\eaglep3\Utilities\RefineRTDCRunTimes.py" --tripid 111-11 --locoid 4029 --swversion DE.1.0.8.0 --startMP 204:708 --initTime 2016-12-11T05:00:02 --startdatetime 2016-12-11T05:02:54 --delay 1 --endMP 204:233272 --enddatetime 2016-12-11T05:43:01 --enforcementcount 1 &gt;&gt;C:\Users\stu\Documents\GitHub\eaglep3-reporting\EC\2016-12-11-refined-times.txt</v>
      </c>
      <c r="AI24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{"issue":{"subject":"","project_id":79,"tracker_id":40,"status_id":1,"priority_id":2,"assigned_to_id":23,"start_date":"2016-12-11","description":"","custom_fields":[{"id":1,"name":"Subdivision","value":"EC"},{"id":4,"name":"Milepost","value":"23.3272"},{"id":17,"name":"Train ID","value":"111-11"},{"id":16,"name":"Locomotive ID","value":"4029"},{"id":130,"name":"Impact","value":""},{"id":150,"name":"Time of Event (Mountain Time)","value":"05:43:01"},{"id":151,"name":"Denver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4" s="53"/>
      <c r="AK24" s="53"/>
      <c r="AL24" s="53"/>
      <c r="AM24"/>
      <c r="AN24"/>
      <c r="AO24"/>
      <c r="AP24"/>
      <c r="AQ24"/>
      <c r="AR24"/>
      <c r="AS24"/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  <c r="BH24"/>
      <c r="BI24"/>
      <c r="BJ24"/>
      <c r="BK24"/>
      <c r="BL24"/>
      <c r="BM24"/>
      <c r="BN24"/>
      <c r="BO24"/>
      <c r="BP24"/>
      <c r="BQ24"/>
      <c r="BR24"/>
      <c r="BS24"/>
      <c r="BT24"/>
      <c r="BU24"/>
      <c r="BV24"/>
      <c r="BW24"/>
      <c r="BX24"/>
      <c r="BY24"/>
      <c r="BZ24"/>
      <c r="CA24"/>
      <c r="CB24"/>
      <c r="CC24"/>
      <c r="CD24"/>
      <c r="CE24"/>
      <c r="CF24"/>
      <c r="CG24"/>
      <c r="CH24"/>
      <c r="CI24"/>
      <c r="CJ24"/>
      <c r="CK24"/>
      <c r="CL24"/>
      <c r="CM24"/>
    </row>
    <row r="25" spans="1:91" s="1" customFormat="1" x14ac:dyDescent="0.25">
      <c r="A25" s="37" t="s">
        <v>508</v>
      </c>
      <c r="B25" s="7">
        <v>4030</v>
      </c>
      <c r="C25" s="22" t="s">
        <v>207</v>
      </c>
      <c r="D25" s="22" t="s">
        <v>679</v>
      </c>
      <c r="E25" s="13">
        <v>42715.242314814815</v>
      </c>
      <c r="F25" s="13">
        <v>42715.247418981482</v>
      </c>
      <c r="G25" s="7">
        <v>1</v>
      </c>
      <c r="H25" s="22" t="s">
        <v>423</v>
      </c>
      <c r="I25" s="13">
        <v>42715.277685185189</v>
      </c>
      <c r="J25" s="7">
        <v>1</v>
      </c>
      <c r="K25" s="109" t="str">
        <f t="shared" si="0"/>
        <v>4029/4030</v>
      </c>
      <c r="L25" s="22" t="str">
        <f>VLOOKUP(A25,'Trips&amp;Operators'!$C$1:$G$99999,5,FALSE)</f>
        <v>HAITHCOX MICHAEL</v>
      </c>
      <c r="M25" s="6">
        <f t="shared" si="1"/>
        <v>3.0266203706560191E-2</v>
      </c>
      <c r="N25" s="7">
        <f t="shared" si="19"/>
        <v>43.583333337446675</v>
      </c>
      <c r="O25" s="7"/>
      <c r="P25" s="7"/>
      <c r="Q25" s="23"/>
      <c r="R25" s="23"/>
      <c r="S25" s="35">
        <f t="shared" si="20"/>
        <v>1</v>
      </c>
      <c r="T25" s="50" t="str">
        <f t="shared" si="4"/>
        <v>Southbound</v>
      </c>
      <c r="U25" s="171">
        <f>IF(AG25="EC",COUNTIFS(Variables!$M$2:$M$19,IF(T25="NorthBound","&gt;=","&lt;=")&amp;Y25,Variables!$M$2:$M$19,IF(T25="NorthBound","&lt;=","&gt;=")&amp;Z25),COUNTIFS(Variables!$P$2:$P$19,IF(T25="NorthBound","&gt;=","&lt;=")&amp;Y25,Variables!$P$2:$P$19,IF(T25="NorthBound","&lt;=","&gt;=")&amp;Z25))</f>
        <v>12</v>
      </c>
      <c r="V2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04:48:56-700',mode:absolute,to:'2016-12-11 07:39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25" s="52" t="str">
        <f t="shared" si="6"/>
        <v>N</v>
      </c>
      <c r="X25" s="177">
        <f t="shared" si="7"/>
        <v>1</v>
      </c>
      <c r="Y25" s="67">
        <f t="shared" si="8"/>
        <v>23.296399999999998</v>
      </c>
      <c r="Z25" s="67">
        <f t="shared" si="9"/>
        <v>1.6E-2</v>
      </c>
      <c r="AA25" s="67">
        <f t="shared" si="10"/>
        <v>23.2804</v>
      </c>
      <c r="AB25" s="64" t="e">
        <f>VLOOKUP(A25,Enforcements!$C$7:$K$20,8,0)</f>
        <v>#N/A</v>
      </c>
      <c r="AC25" s="60" t="e">
        <f>VLOOKUP(A25,Enforcements!$C$7:$E$20,3,0)</f>
        <v>#N/A</v>
      </c>
      <c r="AD25" s="61" t="str">
        <f t="shared" si="11"/>
        <v>0112-11</v>
      </c>
      <c r="AE25" s="91" t="str">
        <f t="shared" si="12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25" s="88" t="str">
        <f t="shared" si="13"/>
        <v>"C:\Program Files (x86)\AstroGrep\AstroGrep.exe" /spath="%USERPROFILE%\AppData\Local\Temp\OnboardLogs" /stypes="app*4030*20161211*" /stext=" 13:.+((SYSTEM_STATE.+slice.+state.+changed )|(ment ac)|(multiple cpu faults)|(system.+state.+changed )|(\[timeout)|(PRM\|1\|D)|(kpr)|(kdp)|(\|lc)|(penalty))" /e /r /s</v>
      </c>
      <c r="AG25" s="1" t="str">
        <f t="shared" si="14"/>
        <v>EC</v>
      </c>
      <c r="AH25" s="92" t="str">
        <f t="shared" si="17"/>
        <v>"%USERPROFILE%\Documents\GitHub\eaglep3\Utilities\RefineRTDCRunTimes.py" --tripid 112-11 --locoid 4030 --swversion DE.1.0.8.0 --startMP 204:232964 --initTime 2016-12-11T05:48:56 --startdatetime 2016-12-11T05:56:17 --delay 1 --endMP 204:160 --enddatetime 2016-12-11T06:39:52 --enforcementcount 1 &gt;&gt;C:\Users\stu\Documents\GitHub\eaglep3-reporting\EC\2016-12-11-refined-times.txt</v>
      </c>
      <c r="AI2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{"issue":{"subject":"","project_id":79,"tracker_id":40,"status_id":1,"priority_id":2,"assigned_to_id":23,"start_date":"2016-12-11","description":"","custom_fields":[{"id":1,"name":"Subdivision","value":"EC"},{"id":4,"name":"Milepost","value":"0.016"},{"id":17,"name":"Train ID","value":"112-11"},{"id":16,"name":"Locomotive ID","value":"4030"},{"id":130,"name":"Impact","value":""},{"id":150,"name":"Time of Event (Mountain Time)","value":"06:39:52"},{"id":151,"name":"Denver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5" s="53"/>
      <c r="AK25" s="53"/>
      <c r="AL25" s="53"/>
      <c r="AM25"/>
      <c r="AN25"/>
      <c r="AO25"/>
      <c r="AP25"/>
      <c r="AQ25"/>
      <c r="AR25"/>
      <c r="AS25"/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  <c r="BH25"/>
      <c r="BI25"/>
      <c r="BJ25"/>
      <c r="BK25"/>
      <c r="BL25"/>
      <c r="BM25"/>
      <c r="BN25"/>
      <c r="BO25"/>
      <c r="BP25"/>
      <c r="BQ25"/>
      <c r="BR25"/>
      <c r="BS25"/>
      <c r="BT25"/>
      <c r="BU25"/>
      <c r="BV25"/>
      <c r="BW25"/>
      <c r="BX25"/>
      <c r="BY25"/>
      <c r="BZ25"/>
      <c r="CA25"/>
      <c r="CB25"/>
      <c r="CC25"/>
      <c r="CD25"/>
      <c r="CE25"/>
      <c r="CF25"/>
      <c r="CG25"/>
      <c r="CH25"/>
      <c r="CI25"/>
      <c r="CJ25"/>
      <c r="CK25"/>
      <c r="CL25"/>
      <c r="CM25"/>
    </row>
    <row r="26" spans="1:91" s="1" customFormat="1" x14ac:dyDescent="0.25">
      <c r="A26" s="37" t="s">
        <v>497</v>
      </c>
      <c r="B26" s="7">
        <v>4011</v>
      </c>
      <c r="C26" s="22" t="s">
        <v>207</v>
      </c>
      <c r="D26" s="22" t="s">
        <v>236</v>
      </c>
      <c r="E26" s="13">
        <v>42715.20820601852</v>
      </c>
      <c r="F26" s="13">
        <v>42715.218958333331</v>
      </c>
      <c r="G26" s="7">
        <v>1</v>
      </c>
      <c r="H26" s="22" t="s">
        <v>365</v>
      </c>
      <c r="I26" s="13">
        <v>42715.246435185189</v>
      </c>
      <c r="J26" s="7">
        <v>1</v>
      </c>
      <c r="K26" s="109" t="str">
        <f t="shared" si="0"/>
        <v>4011/4012</v>
      </c>
      <c r="L26" s="22" t="str">
        <f>VLOOKUP(A26,'Trips&amp;Operators'!$C$1:$G$99999,5,FALSE)</f>
        <v>KILLION DAVID</v>
      </c>
      <c r="M26" s="6">
        <f t="shared" si="1"/>
        <v>2.7476851857500151E-2</v>
      </c>
      <c r="N26" s="7">
        <f t="shared" si="19"/>
        <v>39.566666674800217</v>
      </c>
      <c r="O26" s="7"/>
      <c r="P26" s="7"/>
      <c r="Q26" s="23"/>
      <c r="R26" s="23"/>
      <c r="S26" s="35">
        <f t="shared" si="20"/>
        <v>1</v>
      </c>
      <c r="T26" s="50" t="str">
        <f t="shared" si="4"/>
        <v>NorthBound</v>
      </c>
      <c r="U26" s="171">
        <f>IF(AG26="EC",COUNTIFS(Variables!$M$2:$M$19,IF(T26="NorthBound","&gt;=","&lt;=")&amp;Y26,Variables!$M$2:$M$19,IF(T26="NorthBound","&lt;=","&gt;=")&amp;Z26),COUNTIFS(Variables!$P$2:$P$19,IF(T26="NorthBound","&gt;=","&lt;=")&amp;Y26,Variables!$P$2:$P$19,IF(T26="NorthBound","&lt;=","&gt;=")&amp;Z26))</f>
        <v>12</v>
      </c>
      <c r="V2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03:59:49-700',mode:absolute,to:'2016-12-11 06:54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26" s="52" t="str">
        <f t="shared" si="6"/>
        <v>N</v>
      </c>
      <c r="X26" s="177">
        <f t="shared" si="7"/>
        <v>1</v>
      </c>
      <c r="Y26" s="67">
        <f t="shared" si="8"/>
        <v>4.5999999999999999E-2</v>
      </c>
      <c r="Z26" s="67">
        <f t="shared" si="9"/>
        <v>23.328199999999999</v>
      </c>
      <c r="AA26" s="67">
        <f t="shared" si="10"/>
        <v>23.2822</v>
      </c>
      <c r="AB26" s="64" t="e">
        <f>VLOOKUP(A26,Enforcements!$C$7:$K$20,8,0)</f>
        <v>#N/A</v>
      </c>
      <c r="AC26" s="60" t="e">
        <f>VLOOKUP(A26,Enforcements!$C$7:$E$20,3,0)</f>
        <v>#N/A</v>
      </c>
      <c r="AD26" s="61" t="str">
        <f t="shared" si="11"/>
        <v>0113-11</v>
      </c>
      <c r="AE26" s="91" t="str">
        <f t="shared" si="12"/>
        <v>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 &amp; 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</v>
      </c>
      <c r="AF26" s="88" t="str">
        <f t="shared" si="13"/>
        <v>"C:\Program Files (x86)\AstroGrep\AstroGrep.exe" /spath="%USERPROFILE%\AppData\Local\Temp\OnboardLogs" /stypes="app*4011*20161211*" /stext=" 12:.+((SYSTEM_STATE.+slice.+state.+changed )|(ment ac)|(multiple cpu faults)|(system.+state.+changed )|(\[timeout)|(PRM\|1\|D)|(kpr)|(kdp)|(\|lc)|(penalty))" /e /r /s</v>
      </c>
      <c r="AG26" s="1" t="str">
        <f t="shared" si="14"/>
        <v>EC</v>
      </c>
      <c r="AH26" s="92" t="str">
        <f t="shared" si="17"/>
        <v>"%USERPROFILE%\Documents\GitHub\eaglep3\Utilities\RefineRTDCRunTimes.py" --tripid 113-11 --locoid 4011 --swversion DE.1.0.8.0 --startMP 204:460 --initTime 2016-12-11T04:59:49 --startdatetime 2016-12-11T05:15:18 --delay 1 --endMP 204:233282 --enddatetime 2016-12-11T05:54:52 --enforcementcount 1 &gt;&gt;C:\Users\stu\Documents\GitHub\eaglep3-reporting\EC\2016-12-11-refined-times.txt</v>
      </c>
      <c r="AI2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{"issue":{"subject":"","project_id":79,"tracker_id":40,"status_id":1,"priority_id":2,"assigned_to_id":23,"start_date":"2016-12-11","description":"","custom_fields":[{"id":1,"name":"Subdivision","value":"EC"},{"id":4,"name":"Milepost","value":"23.3282"},{"id":17,"name":"Train ID","value":"113-11"},{"id":16,"name":"Locomotive ID","value":"4011"},{"id":130,"name":"Impact","value":""},{"id":150,"name":"Time of Event (Mountain Time)","value":"05:54:52"},{"id":151,"name":"Denver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6" s="53"/>
      <c r="AK26" s="53"/>
      <c r="AL26" s="53"/>
      <c r="AM26"/>
      <c r="AN26"/>
      <c r="AO26"/>
      <c r="AP26"/>
      <c r="AQ26"/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  <c r="BH26"/>
      <c r="BI26"/>
      <c r="BJ26"/>
      <c r="BK26"/>
      <c r="BL26"/>
      <c r="BM26"/>
      <c r="BN26"/>
      <c r="BO26"/>
      <c r="BP26"/>
      <c r="BQ26"/>
      <c r="BR26"/>
      <c r="BS26"/>
      <c r="BT26"/>
      <c r="BU26"/>
      <c r="BV26"/>
      <c r="BW26"/>
      <c r="BX26"/>
      <c r="BY26"/>
      <c r="BZ26"/>
      <c r="CA26"/>
      <c r="CB26"/>
      <c r="CC26"/>
      <c r="CD26"/>
      <c r="CE26"/>
      <c r="CF26"/>
      <c r="CG26"/>
      <c r="CH26"/>
      <c r="CI26"/>
      <c r="CJ26"/>
      <c r="CK26"/>
      <c r="CL26"/>
      <c r="CM26"/>
    </row>
    <row r="27" spans="1:91" s="1" customFormat="1" x14ac:dyDescent="0.25">
      <c r="A27" s="37" t="s">
        <v>511</v>
      </c>
      <c r="B27" s="7">
        <v>4012</v>
      </c>
      <c r="C27" s="22" t="s">
        <v>207</v>
      </c>
      <c r="D27" s="22" t="s">
        <v>680</v>
      </c>
      <c r="E27" s="13">
        <v>42715.25472222222</v>
      </c>
      <c r="F27" s="13">
        <v>42715.257997685185</v>
      </c>
      <c r="G27" s="7">
        <v>1</v>
      </c>
      <c r="H27" s="22" t="s">
        <v>681</v>
      </c>
      <c r="I27" s="13">
        <v>42715.287083333336</v>
      </c>
      <c r="J27" s="7">
        <v>1</v>
      </c>
      <c r="K27" s="109" t="str">
        <f t="shared" si="0"/>
        <v>4011/4012</v>
      </c>
      <c r="L27" s="22" t="str">
        <f>VLOOKUP(A27,'Trips&amp;Operators'!$C$1:$G$99999,5,FALSE)</f>
        <v>KILLION DAVID</v>
      </c>
      <c r="M27" s="6">
        <f t="shared" si="1"/>
        <v>2.9085648151522037E-2</v>
      </c>
      <c r="N27" s="7">
        <f t="shared" si="19"/>
        <v>41.883333338191733</v>
      </c>
      <c r="O27" s="7"/>
      <c r="P27" s="7"/>
      <c r="Q27" s="23"/>
      <c r="R27" s="23"/>
      <c r="S27" s="35">
        <f t="shared" si="20"/>
        <v>1</v>
      </c>
      <c r="T27" s="50" t="str">
        <f t="shared" si="4"/>
        <v>Southbound</v>
      </c>
      <c r="U27" s="171">
        <f>IF(AG27="EC",COUNTIFS(Variables!$M$2:$M$19,IF(T27="NorthBound","&gt;=","&lt;=")&amp;Y27,Variables!$M$2:$M$19,IF(T27="NorthBound","&lt;=","&gt;=")&amp;Z27),COUNTIFS(Variables!$P$2:$P$19,IF(T27="NorthBound","&gt;=","&lt;=")&amp;Y27,Variables!$P$2:$P$19,IF(T27="NorthBound","&lt;=","&gt;=")&amp;Z27))</f>
        <v>12</v>
      </c>
      <c r="V2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05:06:48-700',mode:absolute,to:'2016-12-11 07:53:24-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27" s="52" t="str">
        <f t="shared" si="6"/>
        <v>N</v>
      </c>
      <c r="X27" s="177">
        <f t="shared" si="7"/>
        <v>1</v>
      </c>
      <c r="Y27" s="67">
        <f t="shared" si="8"/>
        <v>23.296500000000002</v>
      </c>
      <c r="Z27" s="67">
        <f t="shared" si="9"/>
        <v>1.5800000000000002E-2</v>
      </c>
      <c r="AA27" s="67">
        <f t="shared" si="10"/>
        <v>23.280700000000003</v>
      </c>
      <c r="AB27" s="64" t="e">
        <f>VLOOKUP(A27,Enforcements!$C$7:$K$20,8,0)</f>
        <v>#N/A</v>
      </c>
      <c r="AC27" s="60" t="e">
        <f>VLOOKUP(A27,Enforcements!$C$7:$E$20,3,0)</f>
        <v>#N/A</v>
      </c>
      <c r="AD27" s="61" t="str">
        <f t="shared" si="11"/>
        <v>0114-11</v>
      </c>
      <c r="AE27" s="91" t="str">
        <f t="shared" si="12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27" s="88" t="str">
        <f t="shared" si="13"/>
        <v>"C:\Program Files (x86)\AstroGrep\AstroGrep.exe" /spath="%USERPROFILE%\AppData\Local\Temp\OnboardLogs" /stypes="app*4012*20161211*" /stext=" 13:.+((SYSTEM_STATE.+slice.+state.+changed )|(ment ac)|(multiple cpu faults)|(system.+state.+changed )|(\[timeout)|(PRM\|1\|D)|(kpr)|(kdp)|(\|lc)|(penalty))" /e /r /s</v>
      </c>
      <c r="AG27" s="1" t="str">
        <f t="shared" si="14"/>
        <v>EC</v>
      </c>
      <c r="AH27" s="92" t="str">
        <f t="shared" si="17"/>
        <v>"%USERPROFILE%\Documents\GitHub\eaglep3\Utilities\RefineRTDCRunTimes.py" --tripid 114-11 --locoid 4012 --swversion DE.1.0.8.0 --startMP 204:232965 --initTime 2016-12-11T06:06:48 --startdatetime 2016-12-11T06:11:31 --delay 1 --endMP 204:158 --enddatetime 2016-12-11T06:53:24 --enforcementcount 1 &gt;&gt;C:\Users\stu\Documents\GitHub\eaglep3-reporting\EC\2016-12-11-refined-times.txt</v>
      </c>
      <c r="AI27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{"issue":{"subject":"","project_id":79,"tracker_id":40,"status_id":1,"priority_id":2,"assigned_to_id":23,"start_date":"2016-12-11","description":"","custom_fields":[{"id":1,"name":"Subdivision","value":"EC"},{"id":4,"name":"Milepost","value":"0.0158"},{"id":17,"name":"Train ID","value":"114-11"},{"id":16,"name":"Locomotive ID","value":"4012"},{"id":130,"name":"Impact","value":""},{"id":150,"name":"Time of Event (Mountain Time)","value":"06:53:24"},{"id":151,"name":"Denver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7" s="53"/>
      <c r="AK27" s="53"/>
      <c r="AL27" s="53"/>
      <c r="AM27"/>
      <c r="AN27"/>
      <c r="AO27"/>
      <c r="AP27"/>
      <c r="AQ27"/>
      <c r="AR27"/>
      <c r="AS27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  <c r="BH27"/>
      <c r="BI27"/>
      <c r="BJ27"/>
      <c r="BK27"/>
      <c r="BL27"/>
      <c r="BM27"/>
      <c r="BN27"/>
      <c r="BO27"/>
      <c r="BP27"/>
      <c r="BQ27"/>
      <c r="BR27"/>
      <c r="BS27"/>
      <c r="BT27"/>
      <c r="BU27"/>
      <c r="BV27"/>
      <c r="BW27"/>
      <c r="BX27"/>
      <c r="BY27"/>
      <c r="BZ27"/>
      <c r="CA27"/>
      <c r="CB27"/>
      <c r="CC27"/>
      <c r="CD27"/>
      <c r="CE27"/>
      <c r="CF27"/>
      <c r="CG27"/>
      <c r="CH27"/>
      <c r="CI27"/>
      <c r="CJ27"/>
      <c r="CK27"/>
      <c r="CL27"/>
      <c r="CM27"/>
    </row>
    <row r="28" spans="1:91" s="1" customFormat="1" x14ac:dyDescent="0.25">
      <c r="A28" s="37" t="s">
        <v>505</v>
      </c>
      <c r="B28" s="7">
        <v>4044</v>
      </c>
      <c r="C28" s="22" t="s">
        <v>207</v>
      </c>
      <c r="D28" s="22" t="s">
        <v>682</v>
      </c>
      <c r="E28" s="13">
        <v>42715.225254629629</v>
      </c>
      <c r="F28" s="13">
        <v>42715.229548611111</v>
      </c>
      <c r="G28" s="7">
        <v>1</v>
      </c>
      <c r="H28" s="22" t="s">
        <v>245</v>
      </c>
      <c r="I28" s="13">
        <v>42715.254652777781</v>
      </c>
      <c r="J28" s="7">
        <v>1</v>
      </c>
      <c r="K28" s="109" t="str">
        <f t="shared" si="0"/>
        <v>4043/4044</v>
      </c>
      <c r="L28" s="22" t="str">
        <f>VLOOKUP(A28,'Trips&amp;Operators'!$C$1:$G$99999,5,FALSE)</f>
        <v>YORK EDGAR</v>
      </c>
      <c r="M28" s="6">
        <f t="shared" si="1"/>
        <v>2.510416667064419E-2</v>
      </c>
      <c r="N28" s="7">
        <f t="shared" si="19"/>
        <v>36.150000005727634</v>
      </c>
      <c r="O28" s="7"/>
      <c r="P28" s="7"/>
      <c r="Q28" s="23"/>
      <c r="R28" s="23"/>
      <c r="S28" s="35">
        <f t="shared" si="20"/>
        <v>1</v>
      </c>
      <c r="T28" s="50" t="str">
        <f t="shared" si="4"/>
        <v>NorthBound</v>
      </c>
      <c r="U28" s="171">
        <f>IF(AG28="EC",COUNTIFS(Variables!$M$2:$M$19,IF(T28="NorthBound","&gt;=","&lt;=")&amp;Y28,Variables!$M$2:$M$19,IF(T28="NorthBound","&lt;=","&gt;=")&amp;Z28),COUNTIFS(Variables!$P$2:$P$19,IF(T28="NorthBound","&gt;=","&lt;=")&amp;Y28,Variables!$P$2:$P$19,IF(T28="NorthBound","&lt;=","&gt;=")&amp;Z28))</f>
        <v>12</v>
      </c>
      <c r="V2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04:24:22-700',mode:absolute,to:'2016-12-11 07:06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8" s="52" t="str">
        <f t="shared" si="6"/>
        <v>N</v>
      </c>
      <c r="X28" s="177">
        <f t="shared" si="7"/>
        <v>1</v>
      </c>
      <c r="Y28" s="67">
        <f t="shared" si="8"/>
        <v>7.7499999999999999E-2</v>
      </c>
      <c r="Z28" s="67">
        <f t="shared" si="9"/>
        <v>23.329799999999999</v>
      </c>
      <c r="AA28" s="67">
        <f t="shared" si="10"/>
        <v>23.252299999999998</v>
      </c>
      <c r="AB28" s="64" t="e">
        <f>VLOOKUP(A28,Enforcements!$C$7:$K$20,8,0)</f>
        <v>#N/A</v>
      </c>
      <c r="AC28" s="60" t="e">
        <f>VLOOKUP(A28,Enforcements!$C$7:$E$20,3,0)</f>
        <v>#N/A</v>
      </c>
      <c r="AD28" s="61" t="str">
        <f t="shared" si="11"/>
        <v>0115-11</v>
      </c>
      <c r="AE28" s="91" t="str">
        <f t="shared" si="12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28" s="88" t="str">
        <f t="shared" si="13"/>
        <v>"C:\Program Files (x86)\AstroGrep\AstroGrep.exe" /spath="%USERPROFILE%\AppData\Local\Temp\OnboardLogs" /stypes="app*4044*20161211*" /stext=" 13:.+((SYSTEM_STATE.+slice.+state.+changed )|(ment ac)|(multiple cpu faults)|(system.+state.+changed )|(\[timeout)|(PRM\|1\|D)|(kpr)|(kdp)|(\|lc)|(penalty))" /e /r /s</v>
      </c>
      <c r="AG28" s="1" t="str">
        <f t="shared" si="14"/>
        <v>EC</v>
      </c>
      <c r="AH28" s="92" t="str">
        <f t="shared" si="17"/>
        <v>"%USERPROFILE%\Documents\GitHub\eaglep3\Utilities\RefineRTDCRunTimes.py" --tripid 115-11 --locoid 4044 --swversion DE.1.0.8.0 --startMP 204:775 --initTime 2016-12-11T05:24:22 --startdatetime 2016-12-11T05:30:33 --delay 1 --endMP 204:233298 --enddatetime 2016-12-11T06:06:42 --enforcementcount 1 &gt;&gt;C:\Users\stu\Documents\GitHub\eaglep3-reporting\EC\2016-12-11-refined-times.txt</v>
      </c>
      <c r="AI28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{"issue":{"subject":"","project_id":79,"tracker_id":40,"status_id":1,"priority_id":2,"assigned_to_id":23,"start_date":"2016-12-11","description":"","custom_fields":[{"id":1,"name":"Subdivision","value":"EC"},{"id":4,"name":"Milepost","value":"23.3298"},{"id":17,"name":"Train ID","value":"115-11"},{"id":16,"name":"Locomotive ID","value":"4044"},{"id":130,"name":"Impact","value":""},{"id":150,"name":"Time of Event (Mountain Time)","value":"06:06:42"},{"id":151,"name":"Denver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8" s="53"/>
      <c r="AK28" s="53"/>
      <c r="AL28" s="53"/>
      <c r="AM28"/>
      <c r="AN28"/>
      <c r="AO28"/>
      <c r="AP28"/>
      <c r="AQ28"/>
      <c r="AR28"/>
      <c r="AS28"/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  <c r="BH28"/>
      <c r="BI28"/>
      <c r="BJ28"/>
      <c r="BK28"/>
      <c r="BL28"/>
      <c r="BM28"/>
      <c r="BN28"/>
      <c r="BO28"/>
      <c r="BP28"/>
      <c r="BQ28"/>
      <c r="BR28"/>
      <c r="BS28"/>
      <c r="BT28"/>
      <c r="BU28"/>
      <c r="BV28"/>
      <c r="BW28"/>
      <c r="BX28"/>
      <c r="BY28"/>
      <c r="BZ28"/>
      <c r="CA28"/>
      <c r="CB28"/>
      <c r="CC28"/>
      <c r="CD28"/>
      <c r="CE28"/>
      <c r="CF28"/>
      <c r="CG28"/>
      <c r="CH28"/>
      <c r="CI28"/>
      <c r="CJ28"/>
      <c r="CK28"/>
      <c r="CL28"/>
      <c r="CM28"/>
    </row>
    <row r="29" spans="1:91" s="1" customFormat="1" x14ac:dyDescent="0.25">
      <c r="A29" s="37" t="s">
        <v>449</v>
      </c>
      <c r="B29" s="7">
        <v>4043</v>
      </c>
      <c r="C29" s="22" t="s">
        <v>207</v>
      </c>
      <c r="D29" s="22" t="s">
        <v>683</v>
      </c>
      <c r="E29" s="13">
        <v>42715.255787037036</v>
      </c>
      <c r="F29" s="13">
        <v>42715.268587962964</v>
      </c>
      <c r="G29" s="7">
        <v>1</v>
      </c>
      <c r="H29" s="22" t="s">
        <v>328</v>
      </c>
      <c r="I29" s="13">
        <v>42715.29619212963</v>
      </c>
      <c r="J29" s="7">
        <v>1</v>
      </c>
      <c r="K29" s="109" t="str">
        <f t="shared" si="0"/>
        <v>4043/4044</v>
      </c>
      <c r="L29" s="22" t="str">
        <f>VLOOKUP(A29,'Trips&amp;Operators'!$C$1:$G$99999,5,FALSE)</f>
        <v>YORK EDGAR</v>
      </c>
      <c r="M29" s="6">
        <f t="shared" si="1"/>
        <v>2.7604166665696539E-2</v>
      </c>
      <c r="N29" s="7">
        <f t="shared" si="19"/>
        <v>39.749999998603016</v>
      </c>
      <c r="O29" s="7"/>
      <c r="P29" s="7"/>
      <c r="Q29" s="23"/>
      <c r="R29" s="23"/>
      <c r="S29" s="35">
        <f t="shared" si="20"/>
        <v>1</v>
      </c>
      <c r="T29" s="50" t="str">
        <f t="shared" si="4"/>
        <v>Southbound</v>
      </c>
      <c r="U29" s="171">
        <f>IF(AG29="EC",COUNTIFS(Variables!$M$2:$M$19,IF(T29="NorthBound","&gt;=","&lt;=")&amp;Y29,Variables!$M$2:$M$19,IF(T29="NorthBound","&lt;=","&gt;=")&amp;Z29),COUNTIFS(Variables!$P$2:$P$19,IF(T29="NorthBound","&gt;=","&lt;=")&amp;Y29,Variables!$P$2:$P$19,IF(T29="NorthBound","&lt;=","&gt;=")&amp;Z29))</f>
        <v>12</v>
      </c>
      <c r="V2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05:08:20-700',mode:absolute,to:'2016-12-11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29" s="52" t="str">
        <f t="shared" si="6"/>
        <v>N</v>
      </c>
      <c r="X29" s="177">
        <f t="shared" si="7"/>
        <v>1</v>
      </c>
      <c r="Y29" s="67">
        <f t="shared" si="8"/>
        <v>23.297599999999999</v>
      </c>
      <c r="Z29" s="67">
        <f t="shared" si="9"/>
        <v>1.32E-2</v>
      </c>
      <c r="AA29" s="67">
        <f t="shared" si="10"/>
        <v>23.284399999999998</v>
      </c>
      <c r="AB29" s="64" t="str">
        <f>VLOOKUP(A29,Enforcements!$C$7:$K$20,8,0)</f>
        <v>Signal based authority (5)</v>
      </c>
      <c r="AC29" s="60" t="str">
        <f>VLOOKUP(A29,Enforcements!$C$7:$E$20,3,0)</f>
        <v>SIGNAL</v>
      </c>
      <c r="AD29" s="61" t="str">
        <f t="shared" si="11"/>
        <v>0116-11</v>
      </c>
      <c r="AE29" s="91" t="str">
        <f t="shared" si="12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29" s="88" t="str">
        <f t="shared" si="13"/>
        <v>"C:\Program Files (x86)\AstroGrep\AstroGrep.exe" /spath="%USERPROFILE%\AppData\Local\Temp\OnboardLogs" /stypes="app*4043*20161211*" /stext=" 14:.+((SYSTEM_STATE.+slice.+state.+changed )|(ment ac)|(multiple cpu faults)|(system.+state.+changed )|(\[timeout)|(PRM\|1\|D)|(kpr)|(kdp)|(\|lc)|(penalty))" /e /r /s</v>
      </c>
      <c r="AG29" s="1" t="str">
        <f t="shared" si="14"/>
        <v>EC</v>
      </c>
      <c r="AH29" s="92" t="str">
        <f t="shared" si="17"/>
        <v>"%USERPROFILE%\Documents\GitHub\eaglep3\Utilities\RefineRTDCRunTimes.py" --tripid 116-11 --locoid 4043 --swversion DE.1.0.8.0 --startMP 204:232976 --initTime 2016-12-11T06:08:20 --startdatetime 2016-12-11T06:26:46 --delay 1 --endMP 204:132 --enddatetime 2016-12-11T07:06:31 --enforcementcount 1 &gt;&gt;C:\Users\stu\Documents\GitHub\eaglep3-reporting\EC\2016-12-11-refined-times.txt</v>
      </c>
      <c r="AI29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{"issue":{"subject":"","project_id":79,"tracker_id":40,"status_id":1,"priority_id":2,"assigned_to_id":23,"start_date":"2016-12-11","description":"","custom_fields":[{"id":1,"name":"Subdivision","value":"EC"},{"id":4,"name":"Milepost","value":"0.0132"},{"id":17,"name":"Train ID","value":"116-11"},{"id":16,"name":"Locomotive ID","value":"4043"},{"id":130,"name":"Impact","value":""},{"id":150,"name":"Time of Event (Mountain Time)","value":"07:06:31"},{"id":151,"name":"Denver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9" s="53"/>
      <c r="AK29" s="53"/>
      <c r="AL29" s="53"/>
      <c r="AM29"/>
      <c r="AN29"/>
      <c r="AO29"/>
      <c r="AP29"/>
      <c r="AQ29"/>
      <c r="AR29"/>
      <c r="AS29"/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  <c r="BH29"/>
      <c r="BI29"/>
      <c r="BJ29"/>
      <c r="BK29"/>
      <c r="BL29"/>
      <c r="BM29"/>
      <c r="BN29"/>
      <c r="BO29"/>
      <c r="BP29"/>
      <c r="BQ29"/>
      <c r="BR29"/>
      <c r="BS29"/>
      <c r="BT29"/>
      <c r="BU29"/>
      <c r="BV29"/>
      <c r="BW29"/>
      <c r="BX29"/>
      <c r="BY29"/>
      <c r="BZ29"/>
      <c r="CA29"/>
      <c r="CB29"/>
      <c r="CC29"/>
      <c r="CD29"/>
      <c r="CE29"/>
      <c r="CF29"/>
      <c r="CG29"/>
      <c r="CH29"/>
      <c r="CI29"/>
      <c r="CJ29"/>
      <c r="CK29"/>
      <c r="CL29"/>
      <c r="CM29"/>
    </row>
    <row r="30" spans="1:91" s="1" customFormat="1" x14ac:dyDescent="0.25">
      <c r="A30" s="37" t="s">
        <v>506</v>
      </c>
      <c r="B30" s="7">
        <v>4009</v>
      </c>
      <c r="C30" s="22" t="s">
        <v>207</v>
      </c>
      <c r="D30" s="22" t="s">
        <v>232</v>
      </c>
      <c r="E30" s="13">
        <v>42715.230127314811</v>
      </c>
      <c r="F30" s="13">
        <v>42715.239756944444</v>
      </c>
      <c r="G30" s="7">
        <v>2</v>
      </c>
      <c r="H30" s="22" t="s">
        <v>443</v>
      </c>
      <c r="I30" s="13">
        <v>42715.264999999999</v>
      </c>
      <c r="J30" s="7">
        <v>1</v>
      </c>
      <c r="K30" s="109" t="str">
        <f t="shared" si="0"/>
        <v>4009/4010</v>
      </c>
      <c r="L30" s="22" t="str">
        <f>VLOOKUP(A30,'Trips&amp;Operators'!$C$1:$G$99999,5,FALSE)</f>
        <v>ACKERMAN JARED</v>
      </c>
      <c r="M30" s="6">
        <f t="shared" si="1"/>
        <v>2.5243055555620231E-2</v>
      </c>
      <c r="N30" s="7">
        <f t="shared" si="19"/>
        <v>36.350000000093132</v>
      </c>
      <c r="O30" s="7"/>
      <c r="P30" s="7"/>
      <c r="Q30" s="23"/>
      <c r="R30" s="23"/>
      <c r="S30" s="35">
        <f t="shared" si="20"/>
        <v>1</v>
      </c>
      <c r="T30" s="50" t="str">
        <f t="shared" si="4"/>
        <v>NorthBound</v>
      </c>
      <c r="U30" s="171">
        <f>IF(AG30="EC",COUNTIFS(Variables!$M$2:$M$19,IF(T30="NorthBound","&gt;=","&lt;=")&amp;Y30,Variables!$M$2:$M$19,IF(T30="NorthBound","&lt;=","&gt;=")&amp;Z30),COUNTIFS(Variables!$P$2:$P$19,IF(T30="NorthBound","&gt;=","&lt;=")&amp;Y30,Variables!$P$2:$P$19,IF(T30="NorthBound","&lt;=","&gt;=")&amp;Z30))</f>
        <v>12</v>
      </c>
      <c r="V3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04:31:23-700',mode:absolute,to:'2016-12-11 07:21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30" s="52" t="str">
        <f t="shared" si="6"/>
        <v>N</v>
      </c>
      <c r="X30" s="177">
        <f t="shared" si="7"/>
        <v>1</v>
      </c>
      <c r="Y30" s="67">
        <f t="shared" si="8"/>
        <v>4.5499999999999999E-2</v>
      </c>
      <c r="Z30" s="67">
        <f t="shared" si="9"/>
        <v>23.3324</v>
      </c>
      <c r="AA30" s="67">
        <f t="shared" si="10"/>
        <v>23.286899999999999</v>
      </c>
      <c r="AB30" s="64" t="e">
        <f>VLOOKUP(A30,Enforcements!$C$7:$K$20,8,0)</f>
        <v>#N/A</v>
      </c>
      <c r="AC30" s="60" t="e">
        <f>VLOOKUP(A30,Enforcements!$C$7:$E$20,3,0)</f>
        <v>#N/A</v>
      </c>
      <c r="AD30" s="61" t="str">
        <f t="shared" si="11"/>
        <v>0117-11</v>
      </c>
      <c r="AE30" s="91" t="str">
        <f t="shared" si="12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30" s="88" t="str">
        <f t="shared" si="13"/>
        <v>"C:\Program Files (x86)\AstroGrep\AstroGrep.exe" /spath="%USERPROFILE%\AppData\Local\Temp\OnboardLogs" /stypes="app*4009*20161211*" /stext=" 13:.+((SYSTEM_STATE.+slice.+state.+changed )|(ment ac)|(multiple cpu faults)|(system.+state.+changed )|(\[timeout)|(PRM\|1\|D)|(kpr)|(kdp)|(\|lc)|(penalty))" /e /r /s</v>
      </c>
      <c r="AG30" s="1" t="str">
        <f t="shared" si="14"/>
        <v>EC</v>
      </c>
      <c r="AH30" s="92" t="str">
        <f t="shared" si="17"/>
        <v>"%USERPROFILE%\Documents\GitHub\eaglep3\Utilities\RefineRTDCRunTimes.py" --tripid 117-11 --locoid 4009 --swversion DE.1.0.8.0 --startMP 204:455 --initTime 2016-12-11T05:31:23 --startdatetime 2016-12-11T05:45:15 --delay 2 --endMP 204:233324 --enddatetime 2016-12-11T06:21:36 --enforcementcount 1 &gt;&gt;C:\Users\stu\Documents\GitHub\eaglep3-reporting\EC\2016-12-11-refined-times.txt</v>
      </c>
      <c r="AI30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{"issue":{"subject":"","project_id":79,"tracker_id":40,"status_id":1,"priority_id":2,"assigned_to_id":23,"start_date":"2016-12-11","description":"","custom_fields":[{"id":1,"name":"Subdivision","value":"EC"},{"id":4,"name":"Milepost","value":"23.3324"},{"id":17,"name":"Train ID","value":"117-11"},{"id":16,"name":"Locomotive ID","value":"4009"},{"id":130,"name":"Impact","value":""},{"id":150,"name":"Time of Event (Mountain Time)","value":"06:21:36"},{"id":151,"name":"Denver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0" s="53"/>
      <c r="AK30" s="53"/>
      <c r="AL30" s="53"/>
      <c r="AM30"/>
      <c r="AN30"/>
      <c r="AO30"/>
      <c r="AP30"/>
      <c r="AQ30"/>
      <c r="AR30"/>
      <c r="AS30"/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  <c r="BH30"/>
      <c r="BI30"/>
      <c r="BJ30"/>
      <c r="BK30"/>
      <c r="BL30"/>
      <c r="BM30"/>
      <c r="BN30"/>
      <c r="BO30"/>
      <c r="BP30"/>
      <c r="BQ30"/>
      <c r="BR30"/>
      <c r="BS30"/>
      <c r="BT30"/>
      <c r="BU30"/>
      <c r="BV30"/>
      <c r="BW30"/>
      <c r="BX30"/>
      <c r="BY30"/>
      <c r="BZ30"/>
      <c r="CA30"/>
      <c r="CB30"/>
      <c r="CC30"/>
      <c r="CD30"/>
      <c r="CE30"/>
      <c r="CF30"/>
      <c r="CG30"/>
      <c r="CH30"/>
      <c r="CI30"/>
      <c r="CJ30"/>
      <c r="CK30"/>
      <c r="CL30"/>
      <c r="CM30"/>
    </row>
    <row r="31" spans="1:91" s="1" customFormat="1" x14ac:dyDescent="0.25">
      <c r="A31" s="37" t="s">
        <v>514</v>
      </c>
      <c r="B31" s="7">
        <v>4010</v>
      </c>
      <c r="C31" s="22" t="s">
        <v>207</v>
      </c>
      <c r="D31" s="22" t="s">
        <v>421</v>
      </c>
      <c r="E31" s="13">
        <v>42715.270752314813</v>
      </c>
      <c r="F31" s="13">
        <v>42715.278634259259</v>
      </c>
      <c r="G31" s="7">
        <v>2</v>
      </c>
      <c r="H31" s="22" t="s">
        <v>227</v>
      </c>
      <c r="I31" s="13">
        <v>42715.307488425926</v>
      </c>
      <c r="J31" s="7">
        <v>1</v>
      </c>
      <c r="K31" s="109" t="str">
        <f t="shared" si="0"/>
        <v>4009/4010</v>
      </c>
      <c r="L31" s="22" t="str">
        <f>VLOOKUP(A31,'Trips&amp;Operators'!$C$1:$G$99999,5,FALSE)</f>
        <v>ACKERMAN JARED</v>
      </c>
      <c r="M31" s="6">
        <f t="shared" si="1"/>
        <v>2.8854166666860692E-2</v>
      </c>
      <c r="N31" s="7">
        <f t="shared" si="19"/>
        <v>41.550000000279397</v>
      </c>
      <c r="O31" s="7"/>
      <c r="P31" s="7"/>
      <c r="Q31" s="23"/>
      <c r="R31" s="23"/>
      <c r="S31" s="35">
        <f t="shared" si="20"/>
        <v>1</v>
      </c>
      <c r="T31" s="50" t="str">
        <f t="shared" si="4"/>
        <v>Southbound</v>
      </c>
      <c r="U31" s="171">
        <f>IF(AG31="EC",COUNTIFS(Variables!$M$2:$M$19,IF(T31="NorthBound","&gt;=","&lt;=")&amp;Y31,Variables!$M$2:$M$19,IF(T31="NorthBound","&lt;=","&gt;=")&amp;Z31),COUNTIFS(Variables!$P$2:$P$19,IF(T31="NorthBound","&gt;=","&lt;=")&amp;Y31,Variables!$P$2:$P$19,IF(T31="NorthBound","&lt;=","&gt;=")&amp;Z31))</f>
        <v>12</v>
      </c>
      <c r="V3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05:29:53-700',mode:absolute,to:'2016-12-11 08:22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31" s="52" t="str">
        <f t="shared" si="6"/>
        <v>N</v>
      </c>
      <c r="X31" s="177">
        <f t="shared" si="7"/>
        <v>1</v>
      </c>
      <c r="Y31" s="67">
        <f t="shared" si="8"/>
        <v>23.298999999999999</v>
      </c>
      <c r="Z31" s="67">
        <f t="shared" si="9"/>
        <v>1.41E-2</v>
      </c>
      <c r="AA31" s="67">
        <f t="shared" si="10"/>
        <v>23.2849</v>
      </c>
      <c r="AB31" s="64" t="e">
        <f>VLOOKUP(A31,Enforcements!$C$7:$K$20,8,0)</f>
        <v>#N/A</v>
      </c>
      <c r="AC31" s="60" t="e">
        <f>VLOOKUP(A31,Enforcements!$C$7:$E$20,3,0)</f>
        <v>#N/A</v>
      </c>
      <c r="AD31" s="61" t="str">
        <f t="shared" si="11"/>
        <v>0118-11</v>
      </c>
      <c r="AE31" s="91" t="str">
        <f t="shared" si="12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31" s="88" t="str">
        <f t="shared" si="13"/>
        <v>"C:\Program Files (x86)\AstroGrep\AstroGrep.exe" /spath="%USERPROFILE%\AppData\Local\Temp\OnboardLogs" /stypes="app*4010*20161211*" /stext=" 14:.+((SYSTEM_STATE.+slice.+state.+changed )|(ment ac)|(multiple cpu faults)|(system.+state.+changed )|(\[timeout)|(PRM\|1\|D)|(kpr)|(kdp)|(\|lc)|(penalty))" /e /r /s</v>
      </c>
      <c r="AG31" s="1" t="str">
        <f t="shared" si="14"/>
        <v>EC</v>
      </c>
      <c r="AH31" s="92" t="str">
        <f t="shared" si="17"/>
        <v>"%USERPROFILE%\Documents\GitHub\eaglep3\Utilities\RefineRTDCRunTimes.py" --tripid 118-11 --locoid 4010 --swversion DE.1.0.8.0 --startMP 204:232990 --initTime 2016-12-11T06:29:53 --startdatetime 2016-12-11T06:41:14 --delay 2 --endMP 204:141 --enddatetime 2016-12-11T07:22:47 --enforcementcount 1 &gt;&gt;C:\Users\stu\Documents\GitHub\eaglep3-reporting\EC\2016-12-11-refined-times.txt</v>
      </c>
      <c r="AI31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ID","value":"118-11"},{"id":16,"name":"Locomotive ID","value":"4010"},{"id":130,"name":"Impact","value":""},{"id":150,"name":"Time of Event (Mountain Time)","value":"07:22:47"},{"id":151,"name":"Denver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1" s="53"/>
      <c r="AK31" s="53"/>
      <c r="AL31" s="53"/>
      <c r="AM31"/>
      <c r="AN31"/>
      <c r="AO31"/>
      <c r="AP31"/>
      <c r="AQ31"/>
      <c r="AR31"/>
      <c r="AS31"/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  <c r="BH31"/>
      <c r="BI31"/>
      <c r="BJ31"/>
      <c r="BK31"/>
      <c r="BL31"/>
      <c r="BM31"/>
      <c r="BN31"/>
      <c r="BO31"/>
      <c r="BP31"/>
      <c r="BQ31"/>
      <c r="BR31"/>
      <c r="BS31"/>
      <c r="BT31"/>
      <c r="BU31"/>
      <c r="BV31"/>
      <c r="BW31"/>
      <c r="BX31"/>
      <c r="BY31"/>
      <c r="BZ31"/>
      <c r="CA31"/>
      <c r="CB31"/>
      <c r="CC31"/>
      <c r="CD31"/>
      <c r="CE31"/>
      <c r="CF31"/>
      <c r="CG31"/>
      <c r="CH31"/>
      <c r="CI31"/>
      <c r="CJ31"/>
      <c r="CK31"/>
      <c r="CL31"/>
      <c r="CM31"/>
    </row>
    <row r="32" spans="1:91" s="1" customFormat="1" x14ac:dyDescent="0.25">
      <c r="A32" s="37" t="s">
        <v>510</v>
      </c>
      <c r="B32" s="7">
        <v>4025</v>
      </c>
      <c r="C32" s="22" t="s">
        <v>207</v>
      </c>
      <c r="D32" s="22" t="s">
        <v>684</v>
      </c>
      <c r="E32" s="13">
        <v>42715.250092592592</v>
      </c>
      <c r="F32" s="13">
        <v>42715.251458333332</v>
      </c>
      <c r="G32" s="7">
        <v>1</v>
      </c>
      <c r="H32" s="22" t="s">
        <v>685</v>
      </c>
      <c r="I32" s="13">
        <v>42715.276307870372</v>
      </c>
      <c r="J32" s="7">
        <v>1</v>
      </c>
      <c r="K32" s="109" t="str">
        <f t="shared" si="0"/>
        <v>4025/4026</v>
      </c>
      <c r="L32" s="22" t="str">
        <f>VLOOKUP(A32,'Trips&amp;Operators'!$C$1:$G$99999,5,FALSE)</f>
        <v>MAELZER KURT</v>
      </c>
      <c r="M32" s="6">
        <f t="shared" si="1"/>
        <v>2.4849537039699499E-2</v>
      </c>
      <c r="N32" s="7">
        <f t="shared" si="19"/>
        <v>35.783333337167278</v>
      </c>
      <c r="O32" s="7"/>
      <c r="P32" s="7"/>
      <c r="Q32" s="23"/>
      <c r="R32" s="23"/>
      <c r="S32" s="35">
        <f t="shared" si="20"/>
        <v>1</v>
      </c>
      <c r="T32" s="50" t="str">
        <f t="shared" si="4"/>
        <v>NorthBound</v>
      </c>
      <c r="U32" s="171">
        <f>IF(AG32="EC",COUNTIFS(Variables!$M$2:$M$19,IF(T32="NorthBound","&gt;=","&lt;=")&amp;Y32,Variables!$M$2:$M$19,IF(T32="NorthBound","&lt;=","&gt;=")&amp;Z32),COUNTIFS(Variables!$P$2:$P$19,IF(T32="NorthBound","&gt;=","&lt;=")&amp;Y32,Variables!$P$2:$P$19,IF(T32="NorthBound","&lt;=","&gt;=")&amp;Z32))</f>
        <v>12</v>
      </c>
      <c r="V3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05:00:08-700',mode:absolute,to:'2016-12-11 07:37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4025%22')),sort:!(Time,asc))</v>
      </c>
      <c r="W32" s="52" t="str">
        <f t="shared" si="6"/>
        <v>N</v>
      </c>
      <c r="X32" s="177">
        <f t="shared" si="7"/>
        <v>1</v>
      </c>
      <c r="Y32" s="67">
        <f t="shared" si="8"/>
        <v>7.5399999999999995E-2</v>
      </c>
      <c r="Z32" s="67">
        <f t="shared" si="9"/>
        <v>23.334</v>
      </c>
      <c r="AA32" s="67">
        <f t="shared" si="10"/>
        <v>23.258600000000001</v>
      </c>
      <c r="AB32" s="64" t="e">
        <f>VLOOKUP(A32,Enforcements!$C$7:$K$20,8,0)</f>
        <v>#N/A</v>
      </c>
      <c r="AC32" s="60" t="e">
        <f>VLOOKUP(A32,Enforcements!$C$7:$E$20,3,0)</f>
        <v>#N/A</v>
      </c>
      <c r="AD32" s="61" t="str">
        <f t="shared" si="11"/>
        <v>0119-11</v>
      </c>
      <c r="AE32" s="91" t="str">
        <f t="shared" si="12"/>
        <v>aws s3 cp s3://rtdc.mdm.uploadarchive.raw/RTDC4025/ "%USERPROFILE%\AppData\Local\Temp\OnboardLogs"\RTDC4025\2016-12-11 --exclude "*" --recursive --include "*20161211*" &amp; "%USERPROFILE%\Documents\GitHub\mrs-test-scripts\Headless Mode &amp; Sideloading\WalkAndUnGZ.bat" "%USERPROFILE%\AppData\Local\Temp\OnboardLogs"\RTDC4025\2016-12-11 &amp; aws s3 cp s3://rtdc.mdm.uploadarchive.raw/RTDC4025/ "%USERPROFILE%\AppData\Local\Temp\OnboardLogs"\RTDC4025\2016-12-12 --exclude "*" --recursive --include "*20161212*" &amp; "%USERPROFILE%\Documents\GitHub\mrs-test-scripts\Headless Mode &amp; Sideloading\WalkAndUnGZ.bat" "%USERPROFILE%\AppData\Local\Temp\OnboardLogs"\RTDC4025\2016-12-12</v>
      </c>
      <c r="AF32" s="88" t="str">
        <f t="shared" si="13"/>
        <v>"C:\Program Files (x86)\AstroGrep\AstroGrep.exe" /spath="%USERPROFILE%\AppData\Local\Temp\OnboardLogs" /stypes="app*4025*20161211*" /stext=" 13:.+((SYSTEM_STATE.+slice.+state.+changed )|(ment ac)|(multiple cpu faults)|(system.+state.+changed )|(\[timeout)|(PRM\|1\|D)|(kpr)|(kdp)|(\|lc)|(penalty))" /e /r /s</v>
      </c>
      <c r="AG32" s="1" t="str">
        <f t="shared" si="14"/>
        <v>EC</v>
      </c>
      <c r="AH32" s="92" t="str">
        <f t="shared" si="17"/>
        <v>"%USERPROFILE%\Documents\GitHub\eaglep3\Utilities\RefineRTDCRunTimes.py" --tripid 119-11 --locoid 4025 --swversion DE.1.0.8.0 --startMP 204:754 --initTime 2016-12-11T06:00:08 --startdatetime 2016-12-11T06:02:06 --delay 1 --endMP 204:233340 --enddatetime 2016-12-11T06:37:53 --enforcementcount 1 &gt;&gt;C:\Users\stu\Documents\GitHub\eaglep3-reporting\EC\2016-12-11-refined-times.txt</v>
      </c>
      <c r="AI32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{"issue":{"subject":"","project_id":79,"tracker_id":40,"status_id":1,"priority_id":2,"assigned_to_id":23,"start_date":"2016-12-11","description":"","custom_fields":[{"id":1,"name":"Subdivision","value":"EC"},{"id":4,"name":"Milepost","value":"23.334"},{"id":17,"name":"Train ID","value":"119-11"},{"id":16,"name":"Locomotive ID","value":"4025"},{"id":130,"name":"Impact","value":""},{"id":150,"name":"Time of Event (Mountain Time)","value":"06:37:53"},{"id":151,"name":"Denver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2" s="53"/>
      <c r="AK32" s="53"/>
      <c r="AL32" s="53"/>
      <c r="AM32"/>
      <c r="AN32"/>
      <c r="AO32"/>
      <c r="AP32"/>
      <c r="AQ32"/>
      <c r="AR32"/>
      <c r="AS32"/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  <c r="BH32"/>
      <c r="BI32"/>
      <c r="BJ32"/>
      <c r="BK32"/>
      <c r="BL32"/>
      <c r="BM32"/>
      <c r="BN32"/>
      <c r="BO32"/>
      <c r="BP32"/>
      <c r="BQ32"/>
      <c r="BR32"/>
      <c r="BS32"/>
      <c r="BT32"/>
      <c r="BU32"/>
      <c r="BV32"/>
      <c r="BW32"/>
      <c r="BX32"/>
      <c r="BY32"/>
      <c r="BZ32"/>
      <c r="CA32"/>
      <c r="CB32"/>
      <c r="CC32"/>
      <c r="CD32"/>
      <c r="CE32"/>
      <c r="CF32"/>
      <c r="CG32"/>
      <c r="CH32"/>
      <c r="CI32"/>
      <c r="CJ32"/>
      <c r="CK32"/>
      <c r="CL32"/>
      <c r="CM32"/>
    </row>
    <row r="33" spans="1:91" s="1" customFormat="1" x14ac:dyDescent="0.25">
      <c r="A33" s="37" t="s">
        <v>516</v>
      </c>
      <c r="B33" s="7">
        <v>4026</v>
      </c>
      <c r="C33" s="22" t="s">
        <v>207</v>
      </c>
      <c r="D33" s="22" t="s">
        <v>405</v>
      </c>
      <c r="E33" s="13">
        <v>42715.287245370368</v>
      </c>
      <c r="F33" s="13">
        <v>42715.289155092592</v>
      </c>
      <c r="G33" s="7">
        <v>1</v>
      </c>
      <c r="H33" s="22" t="s">
        <v>686</v>
      </c>
      <c r="I33" s="13">
        <v>42715.316828703704</v>
      </c>
      <c r="J33" s="7">
        <v>1</v>
      </c>
      <c r="K33" s="109" t="str">
        <f t="shared" si="0"/>
        <v>4025/4026</v>
      </c>
      <c r="L33" s="22" t="str">
        <f>VLOOKUP(A33,'Trips&amp;Operators'!$C$1:$G$99999,5,FALSE)</f>
        <v>MAELZER KURT</v>
      </c>
      <c r="M33" s="6">
        <f t="shared" si="1"/>
        <v>2.7673611111822538E-2</v>
      </c>
      <c r="N33" s="7">
        <f t="shared" si="19"/>
        <v>39.850000001024455</v>
      </c>
      <c r="O33" s="7"/>
      <c r="P33" s="7"/>
      <c r="Q33" s="23"/>
      <c r="R33" s="23"/>
      <c r="S33" s="35">
        <f t="shared" si="20"/>
        <v>1</v>
      </c>
      <c r="T33" s="50" t="str">
        <f t="shared" si="4"/>
        <v>Southbound</v>
      </c>
      <c r="U33" s="171">
        <f>IF(AG33="EC",COUNTIFS(Variables!$M$2:$M$19,IF(T33="NorthBound","&gt;=","&lt;=")&amp;Y33,Variables!$M$2:$M$19,IF(T33="NorthBound","&lt;=","&gt;=")&amp;Z33),COUNTIFS(Variables!$P$2:$P$19,IF(T33="NorthBound","&gt;=","&lt;=")&amp;Y33,Variables!$P$2:$P$19,IF(T33="NorthBound","&lt;=","&gt;=")&amp;Z33))</f>
        <v>12</v>
      </c>
      <c r="V3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05:53:38-700',mode:absolute,to:'2016-12-11 08:36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4026%22')),sort:!(Time,asc))</v>
      </c>
      <c r="W33" s="52" t="str">
        <f t="shared" si="6"/>
        <v>N</v>
      </c>
      <c r="X33" s="177">
        <f t="shared" si="7"/>
        <v>1</v>
      </c>
      <c r="Y33" s="67">
        <f t="shared" si="8"/>
        <v>23.3004</v>
      </c>
      <c r="Z33" s="67">
        <f t="shared" si="9"/>
        <v>1.29E-2</v>
      </c>
      <c r="AA33" s="67">
        <f t="shared" si="10"/>
        <v>23.287500000000001</v>
      </c>
      <c r="AB33" s="64" t="e">
        <f>VLOOKUP(A33,Enforcements!$C$7:$K$20,8,0)</f>
        <v>#N/A</v>
      </c>
      <c r="AC33" s="60" t="e">
        <f>VLOOKUP(A33,Enforcements!$C$7:$E$20,3,0)</f>
        <v>#N/A</v>
      </c>
      <c r="AD33" s="61" t="str">
        <f t="shared" si="11"/>
        <v>0120-11</v>
      </c>
      <c r="AE33" s="91" t="str">
        <f t="shared" si="12"/>
        <v>aws s3 cp s3://rtdc.mdm.uploadarchive.raw/RTDC4026/ "%USERPROFILE%\AppData\Local\Temp\OnboardLogs"\RTDC4026\2016-12-11 --exclude "*" --recursive --include "*20161211*" &amp; "%USERPROFILE%\Documents\GitHub\mrs-test-scripts\Headless Mode &amp; Sideloading\WalkAndUnGZ.bat" "%USERPROFILE%\AppData\Local\Temp\OnboardLogs"\RTDC4026\2016-12-11 &amp; aws s3 cp s3://rtdc.mdm.uploadarchive.raw/RTDC4026/ "%USERPROFILE%\AppData\Local\Temp\OnboardLogs"\RTDC4026\2016-12-12 --exclude "*" --recursive --include "*20161212*" &amp; "%USERPROFILE%\Documents\GitHub\mrs-test-scripts\Headless Mode &amp; Sideloading\WalkAndUnGZ.bat" "%USERPROFILE%\AppData\Local\Temp\OnboardLogs"\RTDC4026\2016-12-12</v>
      </c>
      <c r="AF33" s="88" t="str">
        <f t="shared" si="13"/>
        <v>"C:\Program Files (x86)\AstroGrep\AstroGrep.exe" /spath="%USERPROFILE%\AppData\Local\Temp\OnboardLogs" /stypes="app*4026*20161211*" /stext=" 14:.+((SYSTEM_STATE.+slice.+state.+changed )|(ment ac)|(multiple cpu faults)|(system.+state.+changed )|(\[timeout)|(PRM\|1\|D)|(kpr)|(kdp)|(\|lc)|(penalty))" /e /r /s</v>
      </c>
      <c r="AG33" s="1" t="str">
        <f t="shared" si="14"/>
        <v>EC</v>
      </c>
      <c r="AH33" s="92" t="str">
        <f t="shared" si="17"/>
        <v>"%USERPROFILE%\Documents\GitHub\eaglep3\Utilities\RefineRTDCRunTimes.py" --tripid 120-11 --locoid 4026 --swversion DE.1.0.8.0 --startMP 204:233004 --initTime 2016-12-11T06:53:38 --startdatetime 2016-12-11T06:56:23 --delay 1 --endMP 204:129 --enddatetime 2016-12-11T07:36:14 --enforcementcount 1 &gt;&gt;C:\Users\stu\Documents\GitHub\eaglep3-reporting\EC\2016-12-11-refined-times.txt</v>
      </c>
      <c r="AI33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{"issue":{"subject":"","project_id":79,"tracker_id":40,"status_id":1,"priority_id":2,"assigned_to_id":23,"start_date":"2016-12-11","description":"","custom_fields":[{"id":1,"name":"Subdivision","value":"EC"},{"id":4,"name":"Milepost","value":"0.0129"},{"id":17,"name":"Train ID","value":"120-11"},{"id":16,"name":"Locomotive ID","value":"4026"},{"id":130,"name":"Impact","value":""},{"id":150,"name":"Time of Event (Mountain Time)","value":"07:36:14"},{"id":151,"name":"Denver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3" s="53"/>
      <c r="AK33" s="53"/>
      <c r="AL33" s="53"/>
      <c r="AM33"/>
      <c r="AN33"/>
      <c r="AO33"/>
      <c r="AP33"/>
      <c r="AQ33"/>
      <c r="AR33"/>
      <c r="AS33"/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  <c r="BH33"/>
      <c r="BI33"/>
      <c r="BJ33"/>
      <c r="BK33"/>
      <c r="BL33"/>
      <c r="BM33"/>
      <c r="BN33"/>
      <c r="BO33"/>
      <c r="BP33"/>
      <c r="BQ33"/>
      <c r="BR33"/>
      <c r="BS33"/>
      <c r="BT33"/>
      <c r="BU33"/>
      <c r="BV33"/>
      <c r="BW33"/>
      <c r="BX33"/>
      <c r="BY33"/>
      <c r="BZ33"/>
      <c r="CA33"/>
      <c r="CB33"/>
      <c r="CC33"/>
      <c r="CD33"/>
      <c r="CE33"/>
      <c r="CF33"/>
      <c r="CG33"/>
      <c r="CH33"/>
      <c r="CI33"/>
      <c r="CJ33"/>
      <c r="CK33"/>
      <c r="CL33"/>
      <c r="CM33"/>
    </row>
    <row r="34" spans="1:91" s="1" customFormat="1" x14ac:dyDescent="0.25">
      <c r="A34" s="37" t="s">
        <v>512</v>
      </c>
      <c r="B34" s="7">
        <v>4018</v>
      </c>
      <c r="C34" s="22" t="s">
        <v>207</v>
      </c>
      <c r="D34" s="22" t="s">
        <v>267</v>
      </c>
      <c r="E34" s="13">
        <v>42715.259745370371</v>
      </c>
      <c r="F34" s="13">
        <v>42715.261377314811</v>
      </c>
      <c r="G34" s="7">
        <v>1</v>
      </c>
      <c r="H34" s="22" t="s">
        <v>424</v>
      </c>
      <c r="I34" s="13">
        <v>42715.286979166667</v>
      </c>
      <c r="J34" s="7">
        <v>1</v>
      </c>
      <c r="K34" s="109" t="str">
        <f t="shared" si="0"/>
        <v>4017/4018</v>
      </c>
      <c r="L34" s="22" t="str">
        <f>VLOOKUP(A34,'Trips&amp;Operators'!$C$1:$G$99999,5,FALSE)</f>
        <v>DAVIS WENDY</v>
      </c>
      <c r="M34" s="6">
        <f t="shared" si="1"/>
        <v>2.5601851855753921E-2</v>
      </c>
      <c r="N34" s="7">
        <f t="shared" si="19"/>
        <v>36.866666672285646</v>
      </c>
      <c r="O34" s="7"/>
      <c r="P34" s="7"/>
      <c r="Q34" s="23"/>
      <c r="R34" s="23"/>
      <c r="S34" s="35">
        <f t="shared" si="20"/>
        <v>1</v>
      </c>
      <c r="T34" s="50" t="str">
        <f t="shared" si="4"/>
        <v>NorthBound</v>
      </c>
      <c r="U34" s="171">
        <f>IF(AG34="EC",COUNTIFS(Variables!$M$2:$M$19,IF(T34="NorthBound","&gt;=","&lt;=")&amp;Y34,Variables!$M$2:$M$19,IF(T34="NorthBound","&lt;=","&gt;=")&amp;Z34),COUNTIFS(Variables!$P$2:$P$19,IF(T34="NorthBound","&gt;=","&lt;=")&amp;Y34,Variables!$P$2:$P$19,IF(T34="NorthBound","&lt;=","&gt;=")&amp;Z34))</f>
        <v>12</v>
      </c>
      <c r="V3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05:14:02-700',mode:absolute,to:'2016-12-11 07:53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34" s="52" t="str">
        <f t="shared" si="6"/>
        <v>N</v>
      </c>
      <c r="X34" s="177">
        <f t="shared" si="7"/>
        <v>1</v>
      </c>
      <c r="Y34" s="67">
        <f t="shared" si="8"/>
        <v>4.3799999999999999E-2</v>
      </c>
      <c r="Z34" s="67">
        <f t="shared" si="9"/>
        <v>23.331800000000001</v>
      </c>
      <c r="AA34" s="67">
        <f t="shared" si="10"/>
        <v>23.288</v>
      </c>
      <c r="AB34" s="64" t="e">
        <f>VLOOKUP(A34,Enforcements!$C$7:$K$20,8,0)</f>
        <v>#N/A</v>
      </c>
      <c r="AC34" s="60" t="e">
        <f>VLOOKUP(A34,Enforcements!$C$7:$E$20,3,0)</f>
        <v>#N/A</v>
      </c>
      <c r="AD34" s="61" t="str">
        <f t="shared" si="11"/>
        <v>0121-11</v>
      </c>
      <c r="AE34" s="91" t="str">
        <f t="shared" si="12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34" s="88" t="str">
        <f t="shared" si="13"/>
        <v>"C:\Program Files (x86)\AstroGrep\AstroGrep.exe" /spath="%USERPROFILE%\AppData\Local\Temp\OnboardLogs" /stypes="app*4018*20161211*" /stext=" 13:.+((SYSTEM_STATE.+slice.+state.+changed )|(ment ac)|(multiple cpu faults)|(system.+state.+changed )|(\[timeout)|(PRM\|1\|D)|(kpr)|(kdp)|(\|lc)|(penalty))" /e /r /s</v>
      </c>
      <c r="AG34" s="1" t="str">
        <f t="shared" si="14"/>
        <v>EC</v>
      </c>
      <c r="AH34" s="92" t="str">
        <f t="shared" si="17"/>
        <v>"%USERPROFILE%\Documents\GitHub\eaglep3\Utilities\RefineRTDCRunTimes.py" --tripid 121-11 --locoid 4018 --swversion DE.1.0.8.0 --startMP 204:438 --initTime 2016-12-11T06:14:02 --startdatetime 2016-12-11T06:16:23 --delay 1 --endMP 204:233318 --enddatetime 2016-12-11T06:53:15 --enforcementcount 1 &gt;&gt;C:\Users\stu\Documents\GitHub\eaglep3-reporting\EC\2016-12-11-refined-times.txt</v>
      </c>
      <c r="AI34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{"issue":{"subject":"","project_id":79,"tracker_id":40,"status_id":1,"priority_id":2,"assigned_to_id":23,"start_date":"2016-12-11","description":"","custom_fields":[{"id":1,"name":"Subdivision","value":"EC"},{"id":4,"name":"Milepost","value":"23.3318"},{"id":17,"name":"Train ID","value":"121-11"},{"id":16,"name":"Locomotive ID","value":"4018"},{"id":130,"name":"Impact","value":""},{"id":150,"name":"Time of Event (Mountain Time)","value":"06:53:15"},{"id":151,"name":"Denver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4" s="53"/>
      <c r="AK34" s="53"/>
      <c r="AL34" s="53"/>
      <c r="AM34"/>
      <c r="AN34"/>
      <c r="AO34"/>
      <c r="AP34"/>
      <c r="AQ34"/>
      <c r="AR34"/>
      <c r="AS34"/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  <c r="BH34"/>
      <c r="BI34"/>
      <c r="BJ34"/>
      <c r="BK34"/>
      <c r="BL34"/>
      <c r="BM34"/>
      <c r="BN34"/>
      <c r="BO34"/>
      <c r="BP34"/>
      <c r="BQ34"/>
      <c r="BR34"/>
      <c r="BS34"/>
      <c r="BT34"/>
      <c r="BU34"/>
      <c r="BV34"/>
      <c r="BW34"/>
      <c r="BX34"/>
      <c r="BY34"/>
      <c r="BZ34"/>
      <c r="CA34"/>
      <c r="CB34"/>
      <c r="CC34"/>
      <c r="CD34"/>
      <c r="CE34"/>
      <c r="CF34"/>
      <c r="CG34"/>
      <c r="CH34"/>
      <c r="CI34"/>
      <c r="CJ34"/>
      <c r="CK34"/>
      <c r="CL34"/>
      <c r="CM34"/>
    </row>
    <row r="35" spans="1:91" s="1" customFormat="1" x14ac:dyDescent="0.25">
      <c r="A35" s="37" t="s">
        <v>451</v>
      </c>
      <c r="B35" s="7">
        <v>4017</v>
      </c>
      <c r="C35" s="22" t="s">
        <v>207</v>
      </c>
      <c r="D35" s="22" t="s">
        <v>403</v>
      </c>
      <c r="E35" s="13">
        <v>42715.297777777778</v>
      </c>
      <c r="F35" s="13">
        <v>42715.299467592595</v>
      </c>
      <c r="G35" s="7">
        <v>0</v>
      </c>
      <c r="H35" s="22" t="s">
        <v>687</v>
      </c>
      <c r="I35" s="13">
        <v>42715.328020833331</v>
      </c>
      <c r="J35" s="7">
        <v>1</v>
      </c>
      <c r="K35" s="109" t="str">
        <f t="shared" si="0"/>
        <v>4017/4018</v>
      </c>
      <c r="L35" s="22" t="str">
        <f>VLOOKUP(A35,'Trips&amp;Operators'!$C$1:$G$99999,5,FALSE)</f>
        <v>DAVIS WENDY</v>
      </c>
      <c r="M35" s="6">
        <f t="shared" si="1"/>
        <v>2.8553240736073349E-2</v>
      </c>
      <c r="N35" s="7">
        <f t="shared" si="19"/>
        <v>41.116666659945622</v>
      </c>
      <c r="O35" s="7"/>
      <c r="P35" s="7"/>
      <c r="Q35" s="23"/>
      <c r="R35" s="23"/>
      <c r="S35" s="35">
        <f t="shared" si="20"/>
        <v>1</v>
      </c>
      <c r="T35" s="50" t="str">
        <f t="shared" si="4"/>
        <v>Southbound</v>
      </c>
      <c r="U35" s="171">
        <f>IF(AG35="EC",COUNTIFS(Variables!$M$2:$M$19,IF(T35="NorthBound","&gt;=","&lt;=")&amp;Y35,Variables!$M$2:$M$19,IF(T35="NorthBound","&lt;=","&gt;=")&amp;Z35),COUNTIFS(Variables!$P$2:$P$19,IF(T35="NorthBound","&gt;=","&lt;=")&amp;Y35,Variables!$P$2:$P$19,IF(T35="NorthBound","&lt;=","&gt;=")&amp;Z35))</f>
        <v>12</v>
      </c>
      <c r="V3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06:08:48-700',mode:absolute,to:'2016-12-11 08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35" s="52" t="str">
        <f t="shared" si="6"/>
        <v>N</v>
      </c>
      <c r="X35" s="177">
        <f t="shared" si="7"/>
        <v>1</v>
      </c>
      <c r="Y35" s="67">
        <f t="shared" si="8"/>
        <v>23.3001</v>
      </c>
      <c r="Z35" s="67">
        <f t="shared" si="9"/>
        <v>2.52E-2</v>
      </c>
      <c r="AA35" s="67">
        <f t="shared" si="10"/>
        <v>23.274899999999999</v>
      </c>
      <c r="AB35" s="64" t="str">
        <f>VLOOKUP(A35,Enforcements!$C$7:$K$20,8,0)</f>
        <v>Signal based authority (5)</v>
      </c>
      <c r="AC35" s="60" t="str">
        <f>VLOOKUP(A35,Enforcements!$C$7:$E$20,3,0)</f>
        <v>SIGNAL</v>
      </c>
      <c r="AD35" s="61" t="str">
        <f t="shared" si="11"/>
        <v>0122-11</v>
      </c>
      <c r="AE35" s="91" t="str">
        <f t="shared" si="12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35" s="88" t="str">
        <f t="shared" si="13"/>
        <v>"C:\Program Files (x86)\AstroGrep\AstroGrep.exe" /spath="%USERPROFILE%\AppData\Local\Temp\OnboardLogs" /stypes="app*4017*20161211*" /stext=" 14:.+((SYSTEM_STATE.+slice.+state.+changed )|(ment ac)|(multiple cpu faults)|(system.+state.+changed )|(\[timeout)|(PRM\|1\|D)|(kpr)|(kdp)|(\|lc)|(penalty))" /e /r /s</v>
      </c>
      <c r="AG35" s="1" t="str">
        <f t="shared" si="14"/>
        <v>EC</v>
      </c>
      <c r="AH35" s="92" t="str">
        <f t="shared" si="17"/>
        <v>"%USERPROFILE%\Documents\GitHub\eaglep3\Utilities\RefineRTDCRunTimes.py" --tripid 122-11 --locoid 4017 --swversion DE.1.0.8.0 --startMP 204:233001 --initTime 2016-12-11T07:08:48 --startdatetime 2016-12-11T07:11:14 --delay 0 --endMP 204:252 --enddatetime 2016-12-11T07:52:21 --enforcementcount 1 &gt;&gt;C:\Users\stu\Documents\GitHub\eaglep3-reporting\EC\2016-12-11-refined-times.txt</v>
      </c>
      <c r="AI3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{"issue":{"subject":"","project_id":79,"tracker_id":40,"status_id":1,"priority_id":2,"assigned_to_id":23,"start_date":"2016-12-11","description":"","custom_fields":[{"id":1,"name":"Subdivision","value":"EC"},{"id":4,"name":"Milepost","value":"0.0252"},{"id":17,"name":"Train ID","value":"122-11"},{"id":16,"name":"Locomotive ID","value":"4017"},{"id":130,"name":"Impact","value":""},{"id":150,"name":"Time of Event (Mountain Time)","value":"07:52:21"},{"id":151,"name":"Denver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5" s="53"/>
      <c r="AK35" s="53"/>
      <c r="AL35" s="53"/>
      <c r="AM35"/>
      <c r="AN35"/>
      <c r="AO35"/>
      <c r="AP35"/>
      <c r="AQ35"/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  <c r="BH35"/>
      <c r="BI35"/>
      <c r="BJ35"/>
      <c r="BK35"/>
      <c r="BL35"/>
      <c r="BM35"/>
      <c r="BN35"/>
      <c r="BO35"/>
      <c r="BP35"/>
      <c r="BQ35"/>
      <c r="BR35"/>
      <c r="BS35"/>
      <c r="BT35"/>
      <c r="BU35"/>
      <c r="BV35"/>
      <c r="BW35"/>
      <c r="BX35"/>
      <c r="BY35"/>
      <c r="BZ35"/>
      <c r="CA35"/>
      <c r="CB35"/>
      <c r="CC35"/>
      <c r="CD35"/>
      <c r="CE35"/>
      <c r="CF35"/>
      <c r="CG35"/>
      <c r="CH35"/>
      <c r="CI35"/>
      <c r="CJ35"/>
      <c r="CK35"/>
      <c r="CL35"/>
      <c r="CM35"/>
    </row>
    <row r="36" spans="1:91" s="1" customFormat="1" x14ac:dyDescent="0.25">
      <c r="A36" s="37" t="s">
        <v>513</v>
      </c>
      <c r="B36" s="7">
        <v>4031</v>
      </c>
      <c r="C36" s="22" t="s">
        <v>207</v>
      </c>
      <c r="D36" s="22" t="s">
        <v>234</v>
      </c>
      <c r="E36" s="13">
        <v>42715.267453703702</v>
      </c>
      <c r="F36" s="13">
        <v>42715.270983796298</v>
      </c>
      <c r="G36" s="7">
        <v>1</v>
      </c>
      <c r="H36" s="22" t="s">
        <v>688</v>
      </c>
      <c r="I36" s="13">
        <v>42715.295439814814</v>
      </c>
      <c r="J36" s="7">
        <v>1</v>
      </c>
      <c r="K36" s="109" t="str">
        <f t="shared" si="0"/>
        <v>4031/4032</v>
      </c>
      <c r="L36" s="22" t="str">
        <f>VLOOKUP(A36,'Trips&amp;Operators'!$C$1:$G$99999,5,FALSE)</f>
        <v>ROBINSON KADDIBA</v>
      </c>
      <c r="M36" s="6">
        <f t="shared" si="1"/>
        <v>2.4456018516502809E-2</v>
      </c>
      <c r="N36" s="7">
        <f t="shared" si="19"/>
        <v>35.216666663764045</v>
      </c>
      <c r="O36" s="7"/>
      <c r="P36" s="7"/>
      <c r="Q36" s="23"/>
      <c r="R36" s="23"/>
      <c r="S36" s="35">
        <f t="shared" si="20"/>
        <v>1</v>
      </c>
      <c r="T36" s="50" t="str">
        <f t="shared" si="4"/>
        <v>NorthBound</v>
      </c>
      <c r="U36" s="171">
        <f>IF(AG36="EC",COUNTIFS(Variables!$M$2:$M$19,IF(T36="NorthBound","&gt;=","&lt;=")&amp;Y36,Variables!$M$2:$M$19,IF(T36="NorthBound","&lt;=","&gt;=")&amp;Z36),COUNTIFS(Variables!$P$2:$P$19,IF(T36="NorthBound","&gt;=","&lt;=")&amp;Y36,Variables!$P$2:$P$19,IF(T36="NorthBound","&lt;=","&gt;=")&amp;Z36))</f>
        <v>12</v>
      </c>
      <c r="V3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05:25:08-700',mode:absolute,to:'2016-12-11 08:05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36" s="52" t="str">
        <f t="shared" si="6"/>
        <v>N</v>
      </c>
      <c r="X36" s="177">
        <f t="shared" si="7"/>
        <v>1</v>
      </c>
      <c r="Y36" s="67">
        <f t="shared" si="8"/>
        <v>4.4200000000000003E-2</v>
      </c>
      <c r="Z36" s="67">
        <f t="shared" si="9"/>
        <v>23.331900000000001</v>
      </c>
      <c r="AA36" s="67">
        <f t="shared" si="10"/>
        <v>23.287700000000001</v>
      </c>
      <c r="AB36" s="64" t="e">
        <f>VLOOKUP(A36,Enforcements!$C$7:$K$20,8,0)</f>
        <v>#N/A</v>
      </c>
      <c r="AC36" s="60" t="e">
        <f>VLOOKUP(A36,Enforcements!$C$7:$E$20,3,0)</f>
        <v>#N/A</v>
      </c>
      <c r="AD36" s="61" t="str">
        <f t="shared" si="11"/>
        <v>0123-11</v>
      </c>
      <c r="AE36" s="91" t="str">
        <f t="shared" si="12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36" s="88" t="str">
        <f t="shared" si="13"/>
        <v>"C:\Program Files (x86)\AstroGrep\AstroGrep.exe" /spath="%USERPROFILE%\AppData\Local\Temp\OnboardLogs" /stypes="app*4031*20161211*" /stext=" 14:.+((SYSTEM_STATE.+slice.+state.+changed )|(ment ac)|(multiple cpu faults)|(system.+state.+changed )|(\[timeout)|(PRM\|1\|D)|(kpr)|(kdp)|(\|lc)|(penalty))" /e /r /s</v>
      </c>
      <c r="AG36" s="1" t="str">
        <f t="shared" si="14"/>
        <v>EC</v>
      </c>
      <c r="AH36" s="92" t="str">
        <f t="shared" si="17"/>
        <v>"%USERPROFILE%\Documents\GitHub\eaglep3\Utilities\RefineRTDCRunTimes.py" --tripid 123-11 --locoid 4031 --swversion DE.1.0.8.0 --startMP 204:442 --initTime 2016-12-11T06:25:08 --startdatetime 2016-12-11T06:30:13 --delay 1 --endMP 204:233319 --enddatetime 2016-12-11T07:05:26 --enforcementcount 1 &gt;&gt;C:\Users\stu\Documents\GitHub\eaglep3-reporting\EC\2016-12-11-refined-times.txt</v>
      </c>
      <c r="AI3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{"issue":{"subject":"","project_id":79,"tracker_id":40,"status_id":1,"priority_id":2,"assigned_to_id":23,"start_date":"2016-12-11","description":"","custom_fields":[{"id":1,"name":"Subdivision","value":"EC"},{"id":4,"name":"Milepost","value":"23.3319"},{"id":17,"name":"Train ID","value":"123-11"},{"id":16,"name":"Locomotive ID","value":"4031"},{"id":130,"name":"Impact","value":""},{"id":150,"name":"Time of Event (Mountain Time)","value":"07:05:26"},{"id":151,"name":"Denver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6" s="53"/>
      <c r="AK36" s="53"/>
      <c r="AL36" s="53"/>
      <c r="AM36"/>
      <c r="AN36"/>
      <c r="AO36"/>
      <c r="AP36"/>
      <c r="AQ36"/>
      <c r="AR36"/>
      <c r="AS36"/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  <c r="BH36"/>
      <c r="BI36"/>
      <c r="BJ36"/>
      <c r="BK36"/>
      <c r="BL36"/>
      <c r="BM36"/>
      <c r="BN36"/>
      <c r="BO36"/>
      <c r="BP36"/>
      <c r="BQ36"/>
      <c r="BR36"/>
      <c r="BS36"/>
      <c r="BT36"/>
      <c r="BU36"/>
      <c r="BV36"/>
      <c r="BW36"/>
      <c r="BX36"/>
      <c r="BY36"/>
      <c r="BZ36"/>
      <c r="CA36"/>
      <c r="CB36"/>
      <c r="CC36"/>
      <c r="CD36"/>
      <c r="CE36"/>
      <c r="CF36"/>
      <c r="CG36"/>
      <c r="CH36"/>
      <c r="CI36"/>
      <c r="CJ36"/>
      <c r="CK36"/>
      <c r="CL36"/>
      <c r="CM36"/>
    </row>
    <row r="37" spans="1:91" s="1" customFormat="1" x14ac:dyDescent="0.25">
      <c r="A37" s="37" t="s">
        <v>519</v>
      </c>
      <c r="B37" s="7">
        <v>4032</v>
      </c>
      <c r="C37" s="22" t="s">
        <v>207</v>
      </c>
      <c r="D37" s="22" t="s">
        <v>439</v>
      </c>
      <c r="E37" s="13">
        <v>42715.30300925926</v>
      </c>
      <c r="F37" s="13">
        <v>42715.309884259259</v>
      </c>
      <c r="G37" s="7">
        <v>1</v>
      </c>
      <c r="H37" s="22" t="s">
        <v>689</v>
      </c>
      <c r="I37" s="13">
        <v>42715.337592592594</v>
      </c>
      <c r="J37" s="7">
        <v>1</v>
      </c>
      <c r="K37" s="109" t="str">
        <f t="shared" si="0"/>
        <v>4031/4032</v>
      </c>
      <c r="L37" s="22" t="str">
        <f>VLOOKUP(A37,'Trips&amp;Operators'!$C$1:$G$99999,5,FALSE)</f>
        <v>ROBINSON KADDIBA</v>
      </c>
      <c r="M37" s="6">
        <f t="shared" si="1"/>
        <v>2.7708333334885538E-2</v>
      </c>
      <c r="N37" s="7">
        <f t="shared" si="19"/>
        <v>39.900000002235174</v>
      </c>
      <c r="O37" s="7"/>
      <c r="P37" s="7"/>
      <c r="Q37" s="23"/>
      <c r="R37" s="23"/>
      <c r="S37" s="35">
        <f t="shared" si="20"/>
        <v>1</v>
      </c>
      <c r="T37" s="50" t="str">
        <f t="shared" si="4"/>
        <v>Southbound</v>
      </c>
      <c r="U37" s="171">
        <f>IF(AG37="EC",COUNTIFS(Variables!$M$2:$M$19,IF(T37="NorthBound","&gt;=","&lt;=")&amp;Y37,Variables!$M$2:$M$19,IF(T37="NorthBound","&lt;=","&gt;=")&amp;Z37),COUNTIFS(Variables!$P$2:$P$19,IF(T37="NorthBound","&gt;=","&lt;=")&amp;Y37,Variables!$P$2:$P$19,IF(T37="NorthBound","&lt;=","&gt;=")&amp;Z37))</f>
        <v>12</v>
      </c>
      <c r="V3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06:16:20-700',mode:absolute,to:'2016-12-11 09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37" s="52" t="str">
        <f t="shared" si="6"/>
        <v>N</v>
      </c>
      <c r="X37" s="177">
        <f t="shared" si="7"/>
        <v>1</v>
      </c>
      <c r="Y37" s="67">
        <f t="shared" si="8"/>
        <v>23.301500000000001</v>
      </c>
      <c r="Z37" s="67">
        <f t="shared" si="9"/>
        <v>3.1800000000000002E-2</v>
      </c>
      <c r="AA37" s="67">
        <f t="shared" si="10"/>
        <v>23.2697</v>
      </c>
      <c r="AB37" s="64" t="e">
        <f>VLOOKUP(A37,Enforcements!$C$7:$K$20,8,0)</f>
        <v>#N/A</v>
      </c>
      <c r="AC37" s="60" t="e">
        <f>VLOOKUP(A37,Enforcements!$C$7:$E$20,3,0)</f>
        <v>#N/A</v>
      </c>
      <c r="AD37" s="61" t="str">
        <f t="shared" si="11"/>
        <v>0124-11</v>
      </c>
      <c r="AE37" s="91" t="str">
        <f t="shared" si="12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37" s="88" t="str">
        <f t="shared" si="13"/>
        <v>"C:\Program Files (x86)\AstroGrep\AstroGrep.exe" /spath="%USERPROFILE%\AppData\Local\Temp\OnboardLogs" /stypes="app*4032*20161211*" /stext=" 15:.+((SYSTEM_STATE.+slice.+state.+changed )|(ment ac)|(multiple cpu faults)|(system.+state.+changed )|(\[timeout)|(PRM\|1\|D)|(kpr)|(kdp)|(\|lc)|(penalty))" /e /r /s</v>
      </c>
      <c r="AG37" s="1" t="str">
        <f t="shared" si="14"/>
        <v>EC</v>
      </c>
      <c r="AH37" s="92" t="str">
        <f t="shared" si="17"/>
        <v>"%USERPROFILE%\Documents\GitHub\eaglep3\Utilities\RefineRTDCRunTimes.py" --tripid 124-11 --locoid 4032 --swversion DE.1.0.8.0 --startMP 204:233015 --initTime 2016-12-11T07:16:20 --startdatetime 2016-12-11T07:26:14 --delay 1 --endMP 204:318 --enddatetime 2016-12-11T08:06:08 --enforcementcount 1 &gt;&gt;C:\Users\stu\Documents\GitHub\eaglep3-reporting\EC\2016-12-11-refined-times.txt</v>
      </c>
      <c r="AI37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{"issue":{"subject":"","project_id":79,"tracker_id":40,"status_id":1,"priority_id":2,"assigned_to_id":23,"start_date":"2016-12-11","description":"","custom_fields":[{"id":1,"name":"Subdivision","value":"EC"},{"id":4,"name":"Milepost","value":"0.0318"},{"id":17,"name":"Train ID","value":"124-11"},{"id":16,"name":"Locomotive ID","value":"4032"},{"id":130,"name":"Impact","value":""},{"id":150,"name":"Time of Event (Mountain Time)","value":"08:06:08"},{"id":151,"name":"Denver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7" s="53"/>
      <c r="AK37" s="53"/>
      <c r="AL37" s="53"/>
      <c r="AM37"/>
      <c r="AN37"/>
      <c r="AO37"/>
      <c r="AP37"/>
      <c r="AQ37"/>
      <c r="AR37"/>
      <c r="AS37"/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  <c r="BH37"/>
      <c r="BI37"/>
      <c r="BJ37"/>
      <c r="BK37"/>
      <c r="BL37"/>
      <c r="BM37"/>
      <c r="BN37"/>
      <c r="BO37"/>
      <c r="BP37"/>
      <c r="BQ37"/>
      <c r="BR37"/>
      <c r="BS37"/>
      <c r="BT37"/>
      <c r="BU37"/>
      <c r="BV37"/>
      <c r="BW37"/>
      <c r="BX37"/>
      <c r="BY37"/>
      <c r="BZ37"/>
      <c r="CA37"/>
      <c r="CB37"/>
      <c r="CC37"/>
      <c r="CD37"/>
      <c r="CE37"/>
      <c r="CF37"/>
      <c r="CG37"/>
      <c r="CH37"/>
      <c r="CI37"/>
      <c r="CJ37"/>
      <c r="CK37"/>
      <c r="CL37"/>
      <c r="CM37"/>
    </row>
    <row r="38" spans="1:91" s="1" customFormat="1" x14ac:dyDescent="0.25">
      <c r="A38" s="37" t="s">
        <v>515</v>
      </c>
      <c r="B38" s="7">
        <v>4029</v>
      </c>
      <c r="C38" s="22" t="s">
        <v>207</v>
      </c>
      <c r="D38" s="22" t="s">
        <v>195</v>
      </c>
      <c r="E38" s="13">
        <v>42715.278645833336</v>
      </c>
      <c r="F38" s="13">
        <v>42715.281458333331</v>
      </c>
      <c r="G38" s="7">
        <v>1</v>
      </c>
      <c r="H38" s="22" t="s">
        <v>690</v>
      </c>
      <c r="I38" s="13">
        <v>42715.306469907409</v>
      </c>
      <c r="J38" s="7">
        <v>1</v>
      </c>
      <c r="K38" s="109" t="str">
        <f t="shared" si="0"/>
        <v>4029/4030</v>
      </c>
      <c r="L38" s="22" t="str">
        <f>VLOOKUP(A38,'Trips&amp;Operators'!$C$1:$G$99999,5,FALSE)</f>
        <v>HAITHCOX MICHAEL</v>
      </c>
      <c r="M38" s="6">
        <f t="shared" si="1"/>
        <v>2.5011574078234844E-2</v>
      </c>
      <c r="N38" s="7">
        <f t="shared" si="19"/>
        <v>36.016666672658175</v>
      </c>
      <c r="O38" s="7"/>
      <c r="P38" s="7"/>
      <c r="Q38" s="23"/>
      <c r="R38" s="23"/>
      <c r="S38" s="35">
        <f t="shared" si="20"/>
        <v>1</v>
      </c>
      <c r="T38" s="50" t="str">
        <f t="shared" si="4"/>
        <v>NorthBound</v>
      </c>
      <c r="U38" s="171">
        <f>IF(AG38="EC",COUNTIFS(Variables!$M$2:$M$19,IF(T38="NorthBound","&gt;=","&lt;=")&amp;Y38,Variables!$M$2:$M$19,IF(T38="NorthBound","&lt;=","&gt;=")&amp;Z38),COUNTIFS(Variables!$P$2:$P$19,IF(T38="NorthBound","&gt;=","&lt;=")&amp;Y38,Variables!$P$2:$P$19,IF(T38="NorthBound","&lt;=","&gt;=")&amp;Z38))</f>
        <v>12</v>
      </c>
      <c r="V3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05:41:15-700',mode:absolute,to:'2016-12-11 08:21:19-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38" s="52" t="str">
        <f t="shared" si="6"/>
        <v>N</v>
      </c>
      <c r="X38" s="177">
        <f t="shared" si="7"/>
        <v>1</v>
      </c>
      <c r="Y38" s="67">
        <f t="shared" si="8"/>
        <v>4.5100000000000001E-2</v>
      </c>
      <c r="Z38" s="67">
        <f t="shared" si="9"/>
        <v>23.331199999999999</v>
      </c>
      <c r="AA38" s="67">
        <f t="shared" si="10"/>
        <v>23.286099999999998</v>
      </c>
      <c r="AB38" s="64" t="e">
        <f>VLOOKUP(A38,Enforcements!$C$7:$K$20,8,0)</f>
        <v>#N/A</v>
      </c>
      <c r="AC38" s="60" t="e">
        <f>VLOOKUP(A38,Enforcements!$C$7:$E$20,3,0)</f>
        <v>#N/A</v>
      </c>
      <c r="AD38" s="61" t="str">
        <f t="shared" si="11"/>
        <v>0125-11</v>
      </c>
      <c r="AE38" s="91" t="str">
        <f t="shared" si="12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38" s="88" t="str">
        <f t="shared" si="13"/>
        <v>"C:\Program Files (x86)\AstroGrep\AstroGrep.exe" /spath="%USERPROFILE%\AppData\Local\Temp\OnboardLogs" /stypes="app*4029*20161211*" /stext=" 14:.+((SYSTEM_STATE.+slice.+state.+changed )|(ment ac)|(multiple cpu faults)|(system.+state.+changed )|(\[timeout)|(PRM\|1\|D)|(kpr)|(kdp)|(\|lc)|(penalty))" /e /r /s</v>
      </c>
      <c r="AG38" s="1" t="str">
        <f t="shared" si="14"/>
        <v>EC</v>
      </c>
      <c r="AH38" s="92" t="str">
        <f t="shared" si="17"/>
        <v>"%USERPROFILE%\Documents\GitHub\eaglep3\Utilities\RefineRTDCRunTimes.py" --tripid 125-11 --locoid 4029 --swversion DE.1.0.8.0 --startMP 204:451 --initTime 2016-12-11T06:41:15 --startdatetime 2016-12-11T06:45:18 --delay 1 --endMP 204:233312 --enddatetime 2016-12-11T07:21:19 --enforcementcount 1 &gt;&gt;C:\Users\stu\Documents\GitHub\eaglep3-reporting\EC\2016-12-11-refined-times.txt</v>
      </c>
      <c r="AI38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{"issue":{"subject":"","project_id":79,"tracker_id":40,"status_id":1,"priority_id":2,"assigned_to_id":23,"start_date":"2016-12-11","description":"","custom_fields":[{"id":1,"name":"Subdivision","value":"EC"},{"id":4,"name":"Milepost","value":"23.3312"},{"id":17,"name":"Train ID","value":"125-11"},{"id":16,"name":"Locomotive ID","value":"4029"},{"id":130,"name":"Impact","value":""},{"id":150,"name":"Time of Event (Mountain Time)","value":"07:21:19"},{"id":151,"name":"Denver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8" s="53"/>
      <c r="AK38" s="53"/>
      <c r="AL38" s="53"/>
      <c r="AM38"/>
      <c r="AN38"/>
      <c r="AO38"/>
      <c r="AP38"/>
      <c r="AQ38"/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  <c r="BH38"/>
      <c r="BI38"/>
      <c r="BJ38"/>
      <c r="BK38"/>
      <c r="BL38"/>
      <c r="BM38"/>
      <c r="BN38"/>
      <c r="BO38"/>
      <c r="BP38"/>
      <c r="BQ38"/>
      <c r="BR38"/>
      <c r="BS38"/>
      <c r="BT38"/>
      <c r="BU38"/>
      <c r="BV38"/>
      <c r="BW38"/>
      <c r="BX38"/>
      <c r="BY38"/>
      <c r="BZ38"/>
      <c r="CA38"/>
      <c r="CB38"/>
      <c r="CC38"/>
      <c r="CD38"/>
      <c r="CE38"/>
      <c r="CF38"/>
      <c r="CG38"/>
      <c r="CH38"/>
      <c r="CI38"/>
      <c r="CJ38"/>
      <c r="CK38"/>
      <c r="CL38"/>
      <c r="CM38"/>
    </row>
    <row r="39" spans="1:91" s="1" customFormat="1" x14ac:dyDescent="0.25">
      <c r="A39" s="37" t="s">
        <v>454</v>
      </c>
      <c r="B39" s="7">
        <v>4030</v>
      </c>
      <c r="C39" s="22" t="s">
        <v>207</v>
      </c>
      <c r="D39" s="22" t="s">
        <v>349</v>
      </c>
      <c r="E39" s="13">
        <v>42715.313252314816</v>
      </c>
      <c r="F39" s="13">
        <v>42715.320393518516</v>
      </c>
      <c r="G39" s="7">
        <v>2</v>
      </c>
      <c r="H39" s="22" t="s">
        <v>691</v>
      </c>
      <c r="I39" s="13">
        <v>42715.34820601852</v>
      </c>
      <c r="J39" s="7">
        <v>1</v>
      </c>
      <c r="K39" s="109" t="str">
        <f t="shared" si="0"/>
        <v>4029/4030</v>
      </c>
      <c r="L39" s="22" t="str">
        <f>VLOOKUP(A39,'Trips&amp;Operators'!$C$1:$G$99999,5,FALSE)</f>
        <v>HAITHCOX MICHAEL</v>
      </c>
      <c r="M39" s="6">
        <f t="shared" si="1"/>
        <v>2.7812500004074536E-2</v>
      </c>
      <c r="N39" s="7">
        <f t="shared" si="19"/>
        <v>40.050000005867332</v>
      </c>
      <c r="O39" s="7"/>
      <c r="P39" s="7"/>
      <c r="Q39" s="23"/>
      <c r="R39" s="23"/>
      <c r="S39" s="35">
        <f t="shared" si="20"/>
        <v>1</v>
      </c>
      <c r="T39" s="50" t="str">
        <f t="shared" si="4"/>
        <v>Southbound</v>
      </c>
      <c r="U39" s="171">
        <f>IF(AG39="EC",COUNTIFS(Variables!$M$2:$M$19,IF(T39="NorthBound","&gt;=","&lt;=")&amp;Y39,Variables!$M$2:$M$19,IF(T39="NorthBound","&lt;=","&gt;=")&amp;Z39),COUNTIFS(Variables!$P$2:$P$19,IF(T39="NorthBound","&gt;=","&lt;=")&amp;Y39,Variables!$P$2:$P$19,IF(T39="NorthBound","&lt;=","&gt;=")&amp;Z39))</f>
        <v>12</v>
      </c>
      <c r="V3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06:31:05-700',mode:absolute,to:'2016-12-11 09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39" s="52" t="str">
        <f t="shared" si="6"/>
        <v>N</v>
      </c>
      <c r="X39" s="177">
        <f t="shared" si="7"/>
        <v>1</v>
      </c>
      <c r="Y39" s="67">
        <f t="shared" si="8"/>
        <v>23.2971</v>
      </c>
      <c r="Z39" s="67">
        <f t="shared" si="9"/>
        <v>1.8499999999999999E-2</v>
      </c>
      <c r="AA39" s="67">
        <f t="shared" si="10"/>
        <v>23.278600000000001</v>
      </c>
      <c r="AB39" s="64" t="e">
        <f>VLOOKUP(A39,Enforcements!$C$7:$K$20,8,0)</f>
        <v>#N/A</v>
      </c>
      <c r="AC39" s="60" t="e">
        <f>VLOOKUP(A39,Enforcements!$C$7:$E$20,3,0)</f>
        <v>#N/A</v>
      </c>
      <c r="AD39" s="61" t="str">
        <f t="shared" si="11"/>
        <v>0126-11</v>
      </c>
      <c r="AE39" s="91" t="str">
        <f t="shared" si="12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39" s="88" t="str">
        <f t="shared" si="13"/>
        <v>"C:\Program Files (x86)\AstroGrep\AstroGrep.exe" /spath="%USERPROFILE%\AppData\Local\Temp\OnboardLogs" /stypes="app*4030*20161211*" /stext=" 15:.+((SYSTEM_STATE.+slice.+state.+changed )|(ment ac)|(multiple cpu faults)|(system.+state.+changed )|(\[timeout)|(PRM\|1\|D)|(kpr)|(kdp)|(\|lc)|(penalty))" /e /r /s</v>
      </c>
      <c r="AG39" s="1" t="str">
        <f t="shared" si="14"/>
        <v>EC</v>
      </c>
      <c r="AH39" s="92" t="str">
        <f t="shared" si="17"/>
        <v>"%USERPROFILE%\Documents\GitHub\eaglep3\Utilities\RefineRTDCRunTimes.py" --tripid 126-11 --locoid 4030 --swversion DE.1.0.8.0 --startMP 204:232971 --initTime 2016-12-11T07:31:05 --startdatetime 2016-12-11T07:41:22 --delay 2 --endMP 204:185 --enddatetime 2016-12-11T08:21:25 --enforcementcount 1 &gt;&gt;C:\Users\stu\Documents\GitHub\eaglep3-reporting\EC\2016-12-11-refined-times.txt</v>
      </c>
      <c r="AI39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{"issue":{"subject":"","project_id":79,"tracker_id":40,"status_id":1,"priority_id":2,"assigned_to_id":23,"start_date":"2016-12-11","description":"","custom_fields":[{"id":1,"name":"Subdivision","value":"EC"},{"id":4,"name":"Milepost","value":"0.0185"},{"id":17,"name":"Train ID","value":"126-11"},{"id":16,"name":"Locomotive ID","value":"4030"},{"id":130,"name":"Impact","value":""},{"id":150,"name":"Time of Event (Mountain Time)","value":"08:21:25"},{"id":151,"name":"Denver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39" s="53"/>
      <c r="AK39" s="53"/>
      <c r="AL39" s="53"/>
      <c r="AM39"/>
      <c r="AN39"/>
      <c r="AO39"/>
      <c r="AP39"/>
      <c r="AQ39"/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  <c r="BH39"/>
      <c r="BI39"/>
      <c r="BJ39"/>
      <c r="BK39"/>
      <c r="BL39"/>
      <c r="BM39"/>
      <c r="BN39"/>
      <c r="BO39"/>
      <c r="BP39"/>
      <c r="BQ39"/>
      <c r="BR39"/>
      <c r="BS39"/>
      <c r="BT39"/>
      <c r="BU39"/>
      <c r="BV39"/>
      <c r="BW39"/>
      <c r="BX39"/>
      <c r="BY39"/>
      <c r="BZ39"/>
      <c r="CA39"/>
      <c r="CB39"/>
      <c r="CC39"/>
      <c r="CD39"/>
      <c r="CE39"/>
      <c r="CF39"/>
      <c r="CG39"/>
      <c r="CH39"/>
      <c r="CI39"/>
      <c r="CJ39"/>
      <c r="CK39"/>
      <c r="CL39"/>
      <c r="CM39"/>
    </row>
    <row r="40" spans="1:91" s="1" customFormat="1" x14ac:dyDescent="0.25">
      <c r="A40" s="37" t="s">
        <v>517</v>
      </c>
      <c r="B40" s="7">
        <v>4011</v>
      </c>
      <c r="C40" s="22" t="s">
        <v>207</v>
      </c>
      <c r="D40" s="22" t="s">
        <v>417</v>
      </c>
      <c r="E40" s="13">
        <v>42715.290960648148</v>
      </c>
      <c r="F40" s="13">
        <v>42715.292175925926</v>
      </c>
      <c r="G40" s="7">
        <v>1</v>
      </c>
      <c r="H40" s="22" t="s">
        <v>397</v>
      </c>
      <c r="I40" s="13">
        <v>42715.318506944444</v>
      </c>
      <c r="J40" s="7">
        <v>1</v>
      </c>
      <c r="K40" s="109" t="str">
        <f t="shared" si="0"/>
        <v>4011/4012</v>
      </c>
      <c r="L40" s="22" t="str">
        <f>VLOOKUP(A40,'Trips&amp;Operators'!$C$1:$G$99999,5,FALSE)</f>
        <v>KILLION DAVID</v>
      </c>
      <c r="M40" s="6">
        <f t="shared" si="1"/>
        <v>2.6331018518249039E-2</v>
      </c>
      <c r="N40" s="7">
        <f t="shared" si="19"/>
        <v>37.916666666278616</v>
      </c>
      <c r="O40" s="7"/>
      <c r="P40" s="7"/>
      <c r="Q40" s="23"/>
      <c r="R40" s="23"/>
      <c r="S40" s="35">
        <f t="shared" si="20"/>
        <v>1</v>
      </c>
      <c r="T40" s="50" t="str">
        <f t="shared" si="4"/>
        <v>NorthBound</v>
      </c>
      <c r="U40" s="171">
        <f>IF(AG40="EC",COUNTIFS(Variables!$M$2:$M$19,IF(T40="NorthBound","&gt;=","&lt;=")&amp;Y40,Variables!$M$2:$M$19,IF(T40="NorthBound","&lt;=","&gt;=")&amp;Z40),COUNTIFS(Variables!$P$2:$P$19,IF(T40="NorthBound","&gt;=","&lt;=")&amp;Y40,Variables!$P$2:$P$19,IF(T40="NorthBound","&lt;=","&gt;=")&amp;Z40))</f>
        <v>12</v>
      </c>
      <c r="V4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05:58:59-700',mode:absolute,to:'2016-12-11 08:38:39-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40" s="52" t="str">
        <f t="shared" si="6"/>
        <v>N</v>
      </c>
      <c r="X40" s="177">
        <f t="shared" si="7"/>
        <v>1</v>
      </c>
      <c r="Y40" s="67">
        <f t="shared" si="8"/>
        <v>4.6699999999999998E-2</v>
      </c>
      <c r="Z40" s="67">
        <f t="shared" si="9"/>
        <v>23.331</v>
      </c>
      <c r="AA40" s="67">
        <f t="shared" si="10"/>
        <v>23.284299999999998</v>
      </c>
      <c r="AB40" s="64" t="e">
        <f>VLOOKUP(A40,Enforcements!$C$7:$K$20,8,0)</f>
        <v>#N/A</v>
      </c>
      <c r="AC40" s="60" t="e">
        <f>VLOOKUP(A40,Enforcements!$C$7:$E$20,3,0)</f>
        <v>#N/A</v>
      </c>
      <c r="AD40" s="61" t="str">
        <f t="shared" si="11"/>
        <v>0127-11</v>
      </c>
      <c r="AE40" s="91" t="str">
        <f t="shared" si="12"/>
        <v>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 &amp; 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</v>
      </c>
      <c r="AF40" s="88" t="str">
        <f t="shared" si="13"/>
        <v>"C:\Program Files (x86)\AstroGrep\AstroGrep.exe" /spath="%USERPROFILE%\AppData\Local\Temp\OnboardLogs" /stypes="app*4011*20161211*" /stext=" 14:.+((SYSTEM_STATE.+slice.+state.+changed )|(ment ac)|(multiple cpu faults)|(system.+state.+changed )|(\[timeout)|(PRM\|1\|D)|(kpr)|(kdp)|(\|lc)|(penalty))" /e /r /s</v>
      </c>
      <c r="AG40" s="1" t="str">
        <f t="shared" si="14"/>
        <v>EC</v>
      </c>
      <c r="AH40" s="92" t="str">
        <f t="shared" si="17"/>
        <v>"%USERPROFILE%\Documents\GitHub\eaglep3\Utilities\RefineRTDCRunTimes.py" --tripid 127-11 --locoid 4011 --swversion DE.1.0.8.0 --startMP 204:467 --initTime 2016-12-11T06:58:59 --startdatetime 2016-12-11T07:00:44 --delay 1 --endMP 204:233310 --enddatetime 2016-12-11T07:38:39 --enforcementcount 1 &gt;&gt;C:\Users\stu\Documents\GitHub\eaglep3-reporting\EC\2016-12-11-refined-times.txt</v>
      </c>
      <c r="AI40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{"issue":{"subject":"","project_id":79,"tracker_id":40,"status_id":1,"priority_id":2,"assigned_to_id":23,"start_date":"2016-12-11","description":"","custom_fields":[{"id":1,"name":"Subdivision","value":"EC"},{"id":4,"name":"Milepost","value":"23.331"},{"id":17,"name":"Train ID","value":"127-11"},{"id":16,"name":"Locomotive ID","value":"4011"},{"id":130,"name":"Impact","value":""},{"id":150,"name":"Time of Event (Mountain Time)","value":"07:38:39"},{"id":151,"name":"Denver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0" s="53"/>
      <c r="AK40" s="53"/>
      <c r="AL40" s="53"/>
      <c r="AM40"/>
      <c r="AN40"/>
      <c r="AO40"/>
      <c r="AP40"/>
      <c r="AQ40"/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  <c r="BH40"/>
      <c r="BI40"/>
      <c r="BJ40"/>
      <c r="BK40"/>
      <c r="BL40"/>
      <c r="BM40"/>
      <c r="BN40"/>
      <c r="BO40"/>
      <c r="BP40"/>
      <c r="BQ40"/>
      <c r="BR40"/>
      <c r="BS40"/>
      <c r="BT40"/>
      <c r="BU40"/>
      <c r="BV40"/>
      <c r="BW40"/>
      <c r="BX40"/>
      <c r="BY40"/>
      <c r="BZ40"/>
      <c r="CA40"/>
      <c r="CB40"/>
      <c r="CC40"/>
      <c r="CD40"/>
      <c r="CE40"/>
      <c r="CF40"/>
      <c r="CG40"/>
      <c r="CH40"/>
      <c r="CI40"/>
      <c r="CJ40"/>
      <c r="CK40"/>
      <c r="CL40"/>
      <c r="CM40"/>
    </row>
    <row r="41" spans="1:91" s="1" customFormat="1" x14ac:dyDescent="0.25">
      <c r="A41" s="37" t="s">
        <v>455</v>
      </c>
      <c r="B41" s="7">
        <v>4012</v>
      </c>
      <c r="C41" s="22" t="s">
        <v>207</v>
      </c>
      <c r="D41" s="22" t="s">
        <v>412</v>
      </c>
      <c r="E41" s="13">
        <v>42715.325706018521</v>
      </c>
      <c r="F41" s="13">
        <v>42715.33079861111</v>
      </c>
      <c r="G41" s="7">
        <v>1</v>
      </c>
      <c r="H41" s="22" t="s">
        <v>227</v>
      </c>
      <c r="I41" s="13">
        <v>42715.359351851854</v>
      </c>
      <c r="J41" s="7">
        <v>1</v>
      </c>
      <c r="K41" s="109" t="str">
        <f t="shared" si="0"/>
        <v>4011/4012</v>
      </c>
      <c r="L41" s="22" t="str">
        <f>VLOOKUP(A41,'Trips&amp;Operators'!$C$1:$G$99999,5,FALSE)</f>
        <v>KILLION DAVID</v>
      </c>
      <c r="M41" s="6">
        <f t="shared" si="1"/>
        <v>2.8553240743349306E-2</v>
      </c>
      <c r="N41" s="7">
        <f t="shared" si="19"/>
        <v>41.116666670423001</v>
      </c>
      <c r="O41" s="7"/>
      <c r="P41" s="7"/>
      <c r="Q41" s="23"/>
      <c r="R41" s="23"/>
      <c r="S41" s="35">
        <f t="shared" si="20"/>
        <v>1</v>
      </c>
      <c r="T41" s="50" t="str">
        <f t="shared" si="4"/>
        <v>Southbound</v>
      </c>
      <c r="U41" s="171">
        <f>IF(AG41="EC",COUNTIFS(Variables!$M$2:$M$19,IF(T41="NorthBound","&gt;=","&lt;=")&amp;Y41,Variables!$M$2:$M$19,IF(T41="NorthBound","&lt;=","&gt;=")&amp;Z41),COUNTIFS(Variables!$P$2:$P$19,IF(T41="NorthBound","&gt;=","&lt;=")&amp;Y41,Variables!$P$2:$P$19,IF(T41="NorthBound","&lt;=","&gt;=")&amp;Z41))</f>
        <v>12</v>
      </c>
      <c r="V4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06:49:01-700',mode:absolute,to:'2016-12-11 09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41" s="52" t="str">
        <f t="shared" si="6"/>
        <v>N</v>
      </c>
      <c r="X41" s="177">
        <f t="shared" si="7"/>
        <v>1</v>
      </c>
      <c r="Y41" s="67">
        <f t="shared" si="8"/>
        <v>23.299600000000002</v>
      </c>
      <c r="Z41" s="67">
        <f t="shared" si="9"/>
        <v>1.41E-2</v>
      </c>
      <c r="AA41" s="67">
        <f t="shared" si="10"/>
        <v>23.285500000000003</v>
      </c>
      <c r="AB41" s="64" t="e">
        <f>VLOOKUP(A41,Enforcements!$C$7:$K$20,8,0)</f>
        <v>#N/A</v>
      </c>
      <c r="AC41" s="60" t="e">
        <f>VLOOKUP(A41,Enforcements!$C$7:$E$20,3,0)</f>
        <v>#N/A</v>
      </c>
      <c r="AD41" s="61" t="str">
        <f t="shared" si="11"/>
        <v>0128-11</v>
      </c>
      <c r="AE41" s="91" t="str">
        <f t="shared" si="12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41" s="88" t="str">
        <f t="shared" si="13"/>
        <v>"C:\Program Files (x86)\AstroGrep\AstroGrep.exe" /spath="%USERPROFILE%\AppData\Local\Temp\OnboardLogs" /stypes="app*4012*20161211*" /stext=" 15:.+((SYSTEM_STATE.+slice.+state.+changed )|(ment ac)|(multiple cpu faults)|(system.+state.+changed )|(\[timeout)|(PRM\|1\|D)|(kpr)|(kdp)|(\|lc)|(penalty))" /e /r /s</v>
      </c>
      <c r="AG41" s="1" t="str">
        <f t="shared" si="14"/>
        <v>EC</v>
      </c>
      <c r="AH41" s="92" t="str">
        <f t="shared" si="17"/>
        <v>"%USERPROFILE%\Documents\GitHub\eaglep3\Utilities\RefineRTDCRunTimes.py" --tripid 128-11 --locoid 4012 --swversion DE.1.0.8.0 --startMP 204:232996 --initTime 2016-12-11T07:49:01 --startdatetime 2016-12-11T07:56:21 --delay 1 --endMP 204:141 --enddatetime 2016-12-11T08:37:28 --enforcementcount 1 &gt;&gt;C:\Users\stu\Documents\GitHub\eaglep3-reporting\EC\2016-12-11-refined-times.txt</v>
      </c>
      <c r="AI41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ID","value":"128-11"},{"id":16,"name":"Locomotive ID","value":"4012"},{"id":130,"name":"Impact","value":""},{"id":150,"name":"Time of Event (Mountain Time)","value":"08:37:28"},{"id":151,"name":"Denver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1" s="53"/>
      <c r="AK41" s="53"/>
      <c r="AL41" s="53"/>
      <c r="AM41"/>
      <c r="AN41"/>
      <c r="AO41"/>
      <c r="AP41"/>
      <c r="AQ41"/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  <c r="BH41"/>
      <c r="BI41"/>
      <c r="BJ41"/>
      <c r="BK41"/>
      <c r="BL41"/>
      <c r="BM41"/>
      <c r="BN41"/>
      <c r="BO41"/>
      <c r="BP41"/>
      <c r="BQ41"/>
      <c r="BR41"/>
      <c r="BS41"/>
      <c r="BT41"/>
      <c r="BU41"/>
      <c r="BV41"/>
      <c r="BW41"/>
      <c r="BX41"/>
      <c r="BY41"/>
      <c r="BZ41"/>
      <c r="CA41"/>
      <c r="CB41"/>
      <c r="CC41"/>
      <c r="CD41"/>
      <c r="CE41"/>
      <c r="CF41"/>
      <c r="CG41"/>
      <c r="CH41"/>
      <c r="CI41"/>
      <c r="CJ41"/>
      <c r="CK41"/>
      <c r="CL41"/>
      <c r="CM41"/>
    </row>
    <row r="42" spans="1:91" s="1" customFormat="1" x14ac:dyDescent="0.25">
      <c r="A42" s="37" t="s">
        <v>518</v>
      </c>
      <c r="B42" s="7">
        <v>4044</v>
      </c>
      <c r="C42" s="22" t="s">
        <v>207</v>
      </c>
      <c r="D42" s="22" t="s">
        <v>692</v>
      </c>
      <c r="E42" s="13">
        <v>42715.299108796295</v>
      </c>
      <c r="F42" s="13">
        <v>42715.302627314813</v>
      </c>
      <c r="G42" s="7">
        <v>1</v>
      </c>
      <c r="H42" s="22" t="s">
        <v>690</v>
      </c>
      <c r="I42" s="13">
        <v>42715.326412037037</v>
      </c>
      <c r="J42" s="7">
        <v>1</v>
      </c>
      <c r="K42" s="109" t="str">
        <f t="shared" si="0"/>
        <v>4043/4044</v>
      </c>
      <c r="L42" s="22" t="str">
        <f>VLOOKUP(A42,'Trips&amp;Operators'!$C$1:$G$99999,5,FALSE)</f>
        <v>YORK EDGAR</v>
      </c>
      <c r="M42" s="6">
        <f t="shared" si="1"/>
        <v>2.3784722223354038E-2</v>
      </c>
      <c r="N42" s="7">
        <f t="shared" si="19"/>
        <v>34.250000001629815</v>
      </c>
      <c r="O42" s="7"/>
      <c r="P42" s="7"/>
      <c r="Q42" s="23"/>
      <c r="R42" s="23"/>
      <c r="S42" s="35">
        <f t="shared" si="20"/>
        <v>1</v>
      </c>
      <c r="T42" s="50" t="str">
        <f t="shared" si="4"/>
        <v>NorthBound</v>
      </c>
      <c r="U42" s="171">
        <f>IF(AG42="EC",COUNTIFS(Variables!$M$2:$M$19,IF(T42="NorthBound","&gt;=","&lt;=")&amp;Y42,Variables!$M$2:$M$19,IF(T42="NorthBound","&lt;=","&gt;=")&amp;Z42),COUNTIFS(Variables!$P$2:$P$19,IF(T42="NorthBound","&gt;=","&lt;=")&amp;Y42,Variables!$P$2:$P$19,IF(T42="NorthBound","&lt;=","&gt;=")&amp;Z42))</f>
        <v>12</v>
      </c>
      <c r="V4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06:10:43-700',mode:absolute,to:'2016-12-11 08:50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42" s="52" t="str">
        <f t="shared" si="6"/>
        <v>N</v>
      </c>
      <c r="X42" s="177">
        <f t="shared" si="7"/>
        <v>1</v>
      </c>
      <c r="Y42" s="67">
        <f t="shared" si="8"/>
        <v>4.3700000000000003E-2</v>
      </c>
      <c r="Z42" s="67">
        <f t="shared" si="9"/>
        <v>23.331199999999999</v>
      </c>
      <c r="AA42" s="67">
        <f t="shared" si="10"/>
        <v>23.287499999999998</v>
      </c>
      <c r="AB42" s="64" t="e">
        <f>VLOOKUP(A42,Enforcements!$C$7:$K$20,8,0)</f>
        <v>#N/A</v>
      </c>
      <c r="AC42" s="60" t="e">
        <f>VLOOKUP(A42,Enforcements!$C$7:$E$20,3,0)</f>
        <v>#N/A</v>
      </c>
      <c r="AD42" s="61" t="str">
        <f t="shared" si="11"/>
        <v>0129-11</v>
      </c>
      <c r="AE42" s="91" t="str">
        <f t="shared" si="12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42" s="88" t="str">
        <f t="shared" si="13"/>
        <v>"C:\Program Files (x86)\AstroGrep\AstroGrep.exe" /spath="%USERPROFILE%\AppData\Local\Temp\OnboardLogs" /stypes="app*4044*20161211*" /stext=" 14:.+((SYSTEM_STATE.+slice.+state.+changed )|(ment ac)|(multiple cpu faults)|(system.+state.+changed )|(\[timeout)|(PRM\|1\|D)|(kpr)|(kdp)|(\|lc)|(penalty))" /e /r /s</v>
      </c>
      <c r="AG42" s="1" t="str">
        <f t="shared" si="14"/>
        <v>EC</v>
      </c>
      <c r="AH42" s="92" t="str">
        <f t="shared" si="17"/>
        <v>"%USERPROFILE%\Documents\GitHub\eaglep3\Utilities\RefineRTDCRunTimes.py" --tripid 129-11 --locoid 4044 --swversion DE.1.0.8.0 --startMP 204:437 --initTime 2016-12-11T07:10:43 --startdatetime 2016-12-11T07:15:47 --delay 1 --endMP 204:233312 --enddatetime 2016-12-11T07:50:02 --enforcementcount 1 &gt;&gt;C:\Users\stu\Documents\GitHub\eaglep3-reporting\EC\2016-12-11-refined-times.txt</v>
      </c>
      <c r="AI42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{"issue":{"subject":"","project_id":79,"tracker_id":40,"status_id":1,"priority_id":2,"assigned_to_id":23,"start_date":"2016-12-11","description":"","custom_fields":[{"id":1,"name":"Subdivision","value":"EC"},{"id":4,"name":"Milepost","value":"23.3312"},{"id":17,"name":"Train ID","value":"129-11"},{"id":16,"name":"Locomotive ID","value":"4044"},{"id":130,"name":"Impact","value":""},{"id":150,"name":"Time of Event (Mountain Time)","value":"07:50:02"},{"id":151,"name":"Denver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2" s="53"/>
      <c r="AK42" s="53"/>
      <c r="AL42" s="53"/>
      <c r="AM42"/>
      <c r="AN42"/>
      <c r="AO42"/>
      <c r="AP42"/>
      <c r="AQ42"/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  <c r="BH42"/>
      <c r="BI42"/>
      <c r="BJ42"/>
      <c r="BK42"/>
      <c r="BL42"/>
      <c r="BM42"/>
      <c r="BN42"/>
      <c r="BO42"/>
      <c r="BP42"/>
      <c r="BQ42"/>
      <c r="BR42"/>
      <c r="BS42"/>
      <c r="BT42"/>
      <c r="BU42"/>
      <c r="BV42"/>
      <c r="BW42"/>
      <c r="BX42"/>
      <c r="BY42"/>
      <c r="BZ42"/>
      <c r="CA42"/>
      <c r="CB42"/>
      <c r="CC42"/>
      <c r="CD42"/>
      <c r="CE42"/>
      <c r="CF42"/>
      <c r="CG42"/>
      <c r="CH42"/>
      <c r="CI42"/>
      <c r="CJ42"/>
      <c r="CK42"/>
      <c r="CL42"/>
      <c r="CM42"/>
    </row>
    <row r="43" spans="1:91" s="1" customFormat="1" x14ac:dyDescent="0.25">
      <c r="A43" s="37" t="s">
        <v>453</v>
      </c>
      <c r="B43" s="7">
        <v>4043</v>
      </c>
      <c r="C43" s="22" t="s">
        <v>207</v>
      </c>
      <c r="D43" s="22" t="s">
        <v>693</v>
      </c>
      <c r="E43" s="13">
        <v>42715.327800925923</v>
      </c>
      <c r="F43" s="13">
        <v>42715.341493055559</v>
      </c>
      <c r="G43" s="7">
        <v>1</v>
      </c>
      <c r="H43" s="22" t="s">
        <v>292</v>
      </c>
      <c r="I43" s="13">
        <v>42715.368483796294</v>
      </c>
      <c r="J43" s="7">
        <v>1</v>
      </c>
      <c r="K43" s="109" t="str">
        <f t="shared" si="0"/>
        <v>4043/4044</v>
      </c>
      <c r="L43" s="22" t="str">
        <f>VLOOKUP(A43,'Trips&amp;Operators'!$C$1:$G$99999,5,FALSE)</f>
        <v>YORK EDGAR</v>
      </c>
      <c r="M43" s="6">
        <f t="shared" si="1"/>
        <v>2.6990740734618157E-2</v>
      </c>
      <c r="N43" s="7">
        <f t="shared" si="19"/>
        <v>38.866666657850146</v>
      </c>
      <c r="O43" s="7"/>
      <c r="P43" s="7"/>
      <c r="Q43" s="23"/>
      <c r="R43" s="23"/>
      <c r="S43" s="35">
        <f t="shared" si="20"/>
        <v>1</v>
      </c>
      <c r="T43" s="50" t="str">
        <f t="shared" si="4"/>
        <v>Southbound</v>
      </c>
      <c r="U43" s="171">
        <f>IF(AG43="EC",COUNTIFS(Variables!$M$2:$M$19,IF(T43="NorthBound","&gt;=","&lt;=")&amp;Y43,Variables!$M$2:$M$19,IF(T43="NorthBound","&lt;=","&gt;=")&amp;Z43),COUNTIFS(Variables!$P$2:$P$19,IF(T43="NorthBound","&gt;=","&lt;=")&amp;Y43,Variables!$P$2:$P$19,IF(T43="NorthBound","&lt;=","&gt;=")&amp;Z43))</f>
        <v>12</v>
      </c>
      <c r="V4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06:52:02-700',mode:absolute,to:'2016-12-11 09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43" s="52" t="str">
        <f t="shared" si="6"/>
        <v>N</v>
      </c>
      <c r="X43" s="177">
        <f t="shared" ref="X43:X50" si="21">VALUE(LEFT(AD43,4))-VALUE(LEFT(AD42,4))</f>
        <v>1</v>
      </c>
      <c r="Y43" s="67">
        <f t="shared" si="8"/>
        <v>23.2988</v>
      </c>
      <c r="Z43" s="67">
        <f t="shared" si="9"/>
        <v>1.52E-2</v>
      </c>
      <c r="AA43" s="67">
        <f t="shared" si="10"/>
        <v>23.2836</v>
      </c>
      <c r="AB43" s="64" t="str">
        <f>VLOOKUP(A43,Enforcements!$C$7:$K$20,8,0)</f>
        <v>Signal based authority (5)</v>
      </c>
      <c r="AC43" s="60" t="str">
        <f>VLOOKUP(A43,Enforcements!$C$7:$E$20,3,0)</f>
        <v>SIGNAL</v>
      </c>
      <c r="AD43" s="61" t="str">
        <f t="shared" si="11"/>
        <v>0130-11</v>
      </c>
      <c r="AE43" s="91" t="str">
        <f t="shared" si="12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43" s="88" t="str">
        <f t="shared" si="13"/>
        <v>"C:\Program Files (x86)\AstroGrep\AstroGrep.exe" /spath="%USERPROFILE%\AppData\Local\Temp\OnboardLogs" /stypes="app*4043*20161211*" /stext=" 15:.+((SYSTEM_STATE.+slice.+state.+changed )|(ment ac)|(multiple cpu faults)|(system.+state.+changed )|(\[timeout)|(PRM\|1\|D)|(kpr)|(kdp)|(\|lc)|(penalty))" /e /r /s</v>
      </c>
      <c r="AG43" s="1" t="str">
        <f t="shared" si="14"/>
        <v>EC</v>
      </c>
      <c r="AH43" s="92" t="str">
        <f t="shared" si="17"/>
        <v>"%USERPROFILE%\Documents\GitHub\eaglep3\Utilities\RefineRTDCRunTimes.py" --tripid 130-11 --locoid 4043 --swversion DE.1.0.8.0 --startMP 204:232988 --initTime 2016-12-11T07:52:02 --startdatetime 2016-12-11T08:11:45 --delay 1 --endMP 204:152 --enddatetime 2016-12-11T08:50:37 --enforcementcount 1 &gt;&gt;C:\Users\stu\Documents\GitHub\eaglep3-reporting\EC\2016-12-11-refined-times.txt</v>
      </c>
      <c r="AI43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{"issue":{"subject":"","project_id":79,"tracker_id":40,"status_id":1,"priority_id":2,"assigned_to_id":23,"start_date":"2016-12-11","description":"","custom_fields":[{"id":1,"name":"Subdivision","value":"EC"},{"id":4,"name":"Milepost","value":"0.0152"},{"id":17,"name":"Train ID","value":"130-11"},{"id":16,"name":"Locomotive ID","value":"4043"},{"id":130,"name":"Impact","value":""},{"id":150,"name":"Time of Event (Mountain Time)","value":"08:50:37"},{"id":151,"name":"Denver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3" s="53"/>
      <c r="AK43" s="53"/>
      <c r="AL43" s="53"/>
      <c r="AM43"/>
      <c r="AN43"/>
      <c r="AO43"/>
      <c r="AP43"/>
      <c r="AQ43"/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  <c r="BH43"/>
      <c r="BI43"/>
      <c r="BJ43"/>
      <c r="BK43"/>
      <c r="BL43"/>
      <c r="BM43"/>
      <c r="BN43"/>
      <c r="BO43"/>
      <c r="BP43"/>
      <c r="BQ43"/>
      <c r="BR43"/>
      <c r="BS43"/>
      <c r="BT43"/>
      <c r="BU43"/>
      <c r="BV43"/>
      <c r="BW43"/>
      <c r="BX43"/>
      <c r="BY43"/>
      <c r="BZ43"/>
      <c r="CA43"/>
      <c r="CB43"/>
      <c r="CC43"/>
      <c r="CD43"/>
      <c r="CE43"/>
      <c r="CF43"/>
      <c r="CG43"/>
      <c r="CH43"/>
      <c r="CI43"/>
      <c r="CJ43"/>
      <c r="CK43"/>
      <c r="CL43"/>
      <c r="CM43"/>
    </row>
    <row r="44" spans="1:91" s="1" customFormat="1" x14ac:dyDescent="0.25">
      <c r="A44" s="37" t="s">
        <v>521</v>
      </c>
      <c r="B44" s="7">
        <v>4009</v>
      </c>
      <c r="C44" s="22" t="s">
        <v>207</v>
      </c>
      <c r="D44" s="22" t="s">
        <v>273</v>
      </c>
      <c r="E44" s="13">
        <v>42715.308981481481</v>
      </c>
      <c r="F44" s="13">
        <v>42715.312673611108</v>
      </c>
      <c r="G44" s="7">
        <v>1</v>
      </c>
      <c r="H44" s="22" t="s">
        <v>444</v>
      </c>
      <c r="I44" s="13">
        <v>42715.337291666663</v>
      </c>
      <c r="J44" s="7">
        <v>1</v>
      </c>
      <c r="K44" s="109" t="str">
        <f t="shared" si="0"/>
        <v>4009/4010</v>
      </c>
      <c r="L44" s="22" t="str">
        <f>VLOOKUP(A44,'Trips&amp;Operators'!$C$1:$G$99999,5,FALSE)</f>
        <v>ACKERMAN JARED</v>
      </c>
      <c r="M44" s="6">
        <f t="shared" si="1"/>
        <v>2.4618055555038154E-2</v>
      </c>
      <c r="N44" s="7">
        <f t="shared" si="19"/>
        <v>35.449999999254942</v>
      </c>
      <c r="O44" s="7"/>
      <c r="P44" s="7"/>
      <c r="Q44" s="23"/>
      <c r="R44" s="23"/>
      <c r="S44" s="35">
        <f t="shared" si="20"/>
        <v>1</v>
      </c>
      <c r="T44" s="50" t="str">
        <f t="shared" si="4"/>
        <v>NorthBound</v>
      </c>
      <c r="U44" s="171">
        <f>IF(AG44="EC",COUNTIFS(Variables!$M$2:$M$19,IF(T44="NorthBound","&gt;=","&lt;=")&amp;Y44,Variables!$M$2:$M$19,IF(T44="NorthBound","&lt;=","&gt;=")&amp;Z44),COUNTIFS(Variables!$P$2:$P$19,IF(T44="NorthBound","&gt;=","&lt;=")&amp;Y44,Variables!$P$2:$P$19,IF(T44="NorthBound","&lt;=","&gt;=")&amp;Z44))</f>
        <v>12</v>
      </c>
      <c r="V4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06:24:56-700',mode:absolute,to:'2016-12-11 09:05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44" s="52" t="str">
        <f t="shared" si="6"/>
        <v>N</v>
      </c>
      <c r="X44" s="177">
        <f t="shared" si="21"/>
        <v>1</v>
      </c>
      <c r="Y44" s="67">
        <f t="shared" si="8"/>
        <v>4.4600000000000001E-2</v>
      </c>
      <c r="Z44" s="67">
        <f t="shared" si="9"/>
        <v>23.33</v>
      </c>
      <c r="AA44" s="67">
        <f t="shared" si="10"/>
        <v>23.285399999999999</v>
      </c>
      <c r="AB44" s="64" t="e">
        <f>VLOOKUP(A44,Enforcements!$C$7:$K$20,8,0)</f>
        <v>#N/A</v>
      </c>
      <c r="AC44" s="60" t="e">
        <f>VLOOKUP(A44,Enforcements!$C$7:$E$20,3,0)</f>
        <v>#N/A</v>
      </c>
      <c r="AD44" s="61" t="str">
        <f t="shared" si="11"/>
        <v>0131-11</v>
      </c>
      <c r="AE44" s="91" t="str">
        <f t="shared" si="12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44" s="88" t="str">
        <f t="shared" si="13"/>
        <v>"C:\Program Files (x86)\AstroGrep\AstroGrep.exe" /spath="%USERPROFILE%\AppData\Local\Temp\OnboardLogs" /stypes="app*4009*20161211*" /stext=" 15:.+((SYSTEM_STATE.+slice.+state.+changed )|(ment ac)|(multiple cpu faults)|(system.+state.+changed )|(\[timeout)|(PRM\|1\|D)|(kpr)|(kdp)|(\|lc)|(penalty))" /e /r /s</v>
      </c>
      <c r="AG44" s="1" t="str">
        <f t="shared" si="14"/>
        <v>EC</v>
      </c>
      <c r="AH44" s="92" t="str">
        <f t="shared" si="17"/>
        <v>"%USERPROFILE%\Documents\GitHub\eaglep3\Utilities\RefineRTDCRunTimes.py" --tripid 131-11 --locoid 4009 --swversion DE.1.0.8.0 --startMP 204:446 --initTime 2016-12-11T07:24:56 --startdatetime 2016-12-11T07:30:15 --delay 1 --endMP 204:233300 --enddatetime 2016-12-11T08:05:42 --enforcementcount 1 &gt;&gt;C:\Users\stu\Documents\GitHub\eaglep3-reporting\EC\2016-12-11-refined-times.txt</v>
      </c>
      <c r="AI44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{"issue":{"subject":"","project_id":79,"tracker_id":40,"status_id":1,"priority_id":2,"assigned_to_id":23,"start_date":"2016-12-11","description":"","custom_fields":[{"id":1,"name":"Subdivision","value":"EC"},{"id":4,"name":"Milepost","value":"23.33"},{"id":17,"name":"Train ID","value":"131-11"},{"id":16,"name":"Locomotive ID","value":"4009"},{"id":130,"name":"Impact","value":""},{"id":150,"name":"Time of Event (Mountain Time)","value":"08:05:42"},{"id":151,"name":"Denver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4" s="53"/>
      <c r="AK44" s="53"/>
      <c r="AL44" s="53"/>
      <c r="AM44"/>
      <c r="AN44"/>
      <c r="AO44"/>
      <c r="AP44"/>
      <c r="AQ44"/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  <c r="BH44"/>
      <c r="BI44"/>
      <c r="BJ44"/>
      <c r="BK44"/>
      <c r="BL44"/>
      <c r="BM44"/>
      <c r="BN44"/>
      <c r="BO44"/>
      <c r="BP44"/>
      <c r="BQ44"/>
      <c r="BR44"/>
      <c r="BS44"/>
      <c r="BT44"/>
      <c r="BU44"/>
      <c r="BV44"/>
      <c r="BW44"/>
      <c r="BX44"/>
      <c r="BY44"/>
      <c r="BZ44"/>
      <c r="CA44"/>
      <c r="CB44"/>
      <c r="CC44"/>
      <c r="CD44"/>
      <c r="CE44"/>
      <c r="CF44"/>
      <c r="CG44"/>
      <c r="CH44"/>
      <c r="CI44"/>
      <c r="CJ44"/>
      <c r="CK44"/>
      <c r="CL44"/>
      <c r="CM44"/>
    </row>
    <row r="45" spans="1:91" s="1" customFormat="1" x14ac:dyDescent="0.25">
      <c r="A45" s="37" t="s">
        <v>525</v>
      </c>
      <c r="B45" s="7">
        <v>4010</v>
      </c>
      <c r="C45" s="22" t="s">
        <v>207</v>
      </c>
      <c r="D45" s="22" t="s">
        <v>296</v>
      </c>
      <c r="E45" s="13">
        <v>42715.345150462963</v>
      </c>
      <c r="F45" s="13">
        <v>42715.351597222223</v>
      </c>
      <c r="G45" s="7">
        <v>1</v>
      </c>
      <c r="H45" s="22" t="s">
        <v>263</v>
      </c>
      <c r="I45" s="13">
        <v>42715.379259259258</v>
      </c>
      <c r="J45" s="7">
        <v>1</v>
      </c>
      <c r="K45" s="109" t="str">
        <f t="shared" si="0"/>
        <v>4009/4010</v>
      </c>
      <c r="L45" s="22" t="str">
        <f>VLOOKUP(A45,'Trips&amp;Operators'!$C$1:$G$99999,5,FALSE)</f>
        <v>ACKERMAN JARED</v>
      </c>
      <c r="M45" s="6">
        <f t="shared" si="1"/>
        <v>2.7662037035042886E-2</v>
      </c>
      <c r="N45" s="7">
        <f t="shared" si="19"/>
        <v>39.833333330461755</v>
      </c>
      <c r="O45" s="7"/>
      <c r="P45" s="7"/>
      <c r="Q45" s="23"/>
      <c r="R45" s="23"/>
      <c r="S45" s="35">
        <f t="shared" si="20"/>
        <v>1</v>
      </c>
      <c r="T45" s="50" t="str">
        <f t="shared" si="4"/>
        <v>Southbound</v>
      </c>
      <c r="U45" s="171">
        <f>IF(AG45="EC",COUNTIFS(Variables!$M$2:$M$19,IF(T45="NorthBound","&gt;=","&lt;=")&amp;Y45,Variables!$M$2:$M$19,IF(T45="NorthBound","&lt;=","&gt;=")&amp;Z45),COUNTIFS(Variables!$P$2:$P$19,IF(T45="NorthBound","&gt;=","&lt;=")&amp;Y45,Variables!$P$2:$P$19,IF(T45="NorthBound","&lt;=","&gt;=")&amp;Z45))</f>
        <v>12</v>
      </c>
      <c r="V4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07:17:01-700',mode:absolute,to:'2016-12-11 10:06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45" s="52" t="str">
        <f t="shared" si="6"/>
        <v>N</v>
      </c>
      <c r="X45" s="177">
        <f t="shared" si="21"/>
        <v>1</v>
      </c>
      <c r="Y45" s="67">
        <f t="shared" si="8"/>
        <v>23.299399999999999</v>
      </c>
      <c r="Z45" s="67">
        <f t="shared" si="9"/>
        <v>1.6299999999999999E-2</v>
      </c>
      <c r="AA45" s="67">
        <f t="shared" si="10"/>
        <v>23.283099999999997</v>
      </c>
      <c r="AB45" s="64" t="e">
        <f>VLOOKUP(A45,Enforcements!$C$7:$K$20,8,0)</f>
        <v>#N/A</v>
      </c>
      <c r="AC45" s="60" t="e">
        <f>VLOOKUP(A45,Enforcements!$C$7:$E$20,3,0)</f>
        <v>#N/A</v>
      </c>
      <c r="AD45" s="61" t="str">
        <f t="shared" si="11"/>
        <v>0132-11</v>
      </c>
      <c r="AE45" s="91" t="str">
        <f t="shared" si="12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45" s="88" t="str">
        <f t="shared" si="13"/>
        <v>"C:\Program Files (x86)\AstroGrep\AstroGrep.exe" /spath="%USERPROFILE%\AppData\Local\Temp\OnboardLogs" /stypes="app*4010*20161211*" /stext=" 16:.+((SYSTEM_STATE.+slice.+state.+changed )|(ment ac)|(multiple cpu faults)|(system.+state.+changed )|(\[timeout)|(PRM\|1\|D)|(kpr)|(kdp)|(\|lc)|(penalty))" /e /r /s</v>
      </c>
      <c r="AG45" s="1" t="str">
        <f t="shared" si="14"/>
        <v>EC</v>
      </c>
      <c r="AH45" s="92" t="str">
        <f t="shared" si="17"/>
        <v>"%USERPROFILE%\Documents\GitHub\eaglep3\Utilities\RefineRTDCRunTimes.py" --tripid 132-11 --locoid 4010 --swversion DE.1.0.8.0 --startMP 204:232994 --initTime 2016-12-11T08:17:01 --startdatetime 2016-12-11T08:26:18 --delay 1 --endMP 204:163 --enddatetime 2016-12-11T09:06:08 --enforcementcount 1 &gt;&gt;C:\Users\stu\Documents\GitHub\eaglep3-reporting\EC\2016-12-11-refined-times.txt</v>
      </c>
      <c r="AI4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{"issue":{"subject":"","project_id":79,"tracker_id":40,"status_id":1,"priority_id":2,"assigned_to_id":23,"start_date":"2016-12-11","description":"","custom_fields":[{"id":1,"name":"Subdivision","value":"EC"},{"id":4,"name":"Milepost","value":"0.0163"},{"id":17,"name":"Train ID","value":"132-11"},{"id":16,"name":"Locomotive ID","value":"4010"},{"id":130,"name":"Impact","value":""},{"id":150,"name":"Time of Event (Mountain Time)","value":"09:06:08"},{"id":151,"name":"Denver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5" s="53"/>
      <c r="AK45" s="53"/>
      <c r="AL45" s="53"/>
      <c r="AM45"/>
      <c r="AN45"/>
      <c r="AO45"/>
      <c r="AP45"/>
      <c r="AQ45"/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  <c r="BH45"/>
      <c r="BI45"/>
      <c r="BJ45"/>
      <c r="BK45"/>
      <c r="BL45"/>
      <c r="BM45"/>
      <c r="BN45"/>
      <c r="BO45"/>
      <c r="BP45"/>
      <c r="BQ45"/>
      <c r="BR45"/>
      <c r="BS45"/>
      <c r="BT45"/>
      <c r="BU45"/>
      <c r="BV45"/>
      <c r="BW45"/>
      <c r="BX45"/>
      <c r="BY45"/>
      <c r="BZ45"/>
      <c r="CA45"/>
      <c r="CB45"/>
      <c r="CC45"/>
      <c r="CD45"/>
      <c r="CE45"/>
      <c r="CF45"/>
      <c r="CG45"/>
      <c r="CH45"/>
      <c r="CI45"/>
      <c r="CJ45"/>
      <c r="CK45"/>
      <c r="CL45"/>
      <c r="CM45"/>
    </row>
    <row r="46" spans="1:91" s="1" customFormat="1" x14ac:dyDescent="0.25">
      <c r="A46" s="37" t="s">
        <v>452</v>
      </c>
      <c r="B46" s="7">
        <v>4018</v>
      </c>
      <c r="C46" s="22" t="s">
        <v>207</v>
      </c>
      <c r="D46" s="22" t="s">
        <v>694</v>
      </c>
      <c r="E46" s="13">
        <v>42715.329236111109</v>
      </c>
      <c r="F46" s="13">
        <v>42715.333981481483</v>
      </c>
      <c r="G46" s="7">
        <v>1</v>
      </c>
      <c r="H46" s="22" t="s">
        <v>245</v>
      </c>
      <c r="I46" s="13">
        <v>42715.359201388892</v>
      </c>
      <c r="J46" s="7">
        <v>1</v>
      </c>
      <c r="K46" s="109" t="str">
        <f t="shared" si="0"/>
        <v>4017/4018</v>
      </c>
      <c r="L46" s="22" t="str">
        <f>VLOOKUP(A46,'Trips&amp;Operators'!$C$1:$G$99999,5,FALSE)</f>
        <v>DAVIS WENDY</v>
      </c>
      <c r="M46" s="6">
        <f t="shared" si="1"/>
        <v>2.5219907409336884E-2</v>
      </c>
      <c r="N46" s="7">
        <f t="shared" si="19"/>
        <v>36.316666669445112</v>
      </c>
      <c r="O46" s="7"/>
      <c r="P46" s="7"/>
      <c r="Q46" s="23"/>
      <c r="R46" s="23"/>
      <c r="S46" s="35">
        <f t="shared" si="20"/>
        <v>1</v>
      </c>
      <c r="T46" s="50" t="str">
        <f t="shared" si="4"/>
        <v>NorthBound</v>
      </c>
      <c r="U46" s="171">
        <f>IF(AG46="EC",COUNTIFS(Variables!$M$2:$M$19,IF(T46="NorthBound","&gt;=","&lt;=")&amp;Y46,Variables!$M$2:$M$19,IF(T46="NorthBound","&lt;=","&gt;=")&amp;Z46),COUNTIFS(Variables!$P$2:$P$19,IF(T46="NorthBound","&gt;=","&lt;=")&amp;Y46,Variables!$P$2:$P$19,IF(T46="NorthBound","&lt;=","&gt;=")&amp;Z46))</f>
        <v>12</v>
      </c>
      <c r="V4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06:54:06-700',mode:absolute,to:'2016-12-11 09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46" s="52" t="str">
        <f t="shared" si="6"/>
        <v>N</v>
      </c>
      <c r="X46" s="177">
        <f t="shared" si="21"/>
        <v>3</v>
      </c>
      <c r="Y46" s="67">
        <f t="shared" si="8"/>
        <v>5.4800000000000001E-2</v>
      </c>
      <c r="Z46" s="67">
        <f t="shared" si="9"/>
        <v>23.329799999999999</v>
      </c>
      <c r="AA46" s="67">
        <f t="shared" si="10"/>
        <v>23.274999999999999</v>
      </c>
      <c r="AB46" s="64" t="str">
        <f>VLOOKUP(A46,Enforcements!$C$7:$K$20,8,0)</f>
        <v>Bulletin (2)</v>
      </c>
      <c r="AC46" s="60" t="str">
        <f>VLOOKUP(A46,Enforcements!$C$7:$E$20,3,0)</f>
        <v>GRADE CROSSING</v>
      </c>
      <c r="AD46" s="61" t="str">
        <f t="shared" si="11"/>
        <v>0135-11</v>
      </c>
      <c r="AE46" s="91" t="str">
        <f t="shared" si="12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46" s="88" t="str">
        <f t="shared" si="13"/>
        <v>"C:\Program Files (x86)\AstroGrep\AstroGrep.exe" /spath="%USERPROFILE%\AppData\Local\Temp\OnboardLogs" /stypes="app*4018*20161211*" /stext=" 15:.+((SYSTEM_STATE.+slice.+state.+changed )|(ment ac)|(multiple cpu faults)|(system.+state.+changed )|(\[timeout)|(PRM\|1\|D)|(kpr)|(kdp)|(\|lc)|(penalty))" /e /r /s</v>
      </c>
      <c r="AG46" s="1" t="str">
        <f t="shared" si="14"/>
        <v>EC</v>
      </c>
      <c r="AH46" s="92" t="str">
        <f t="shared" si="17"/>
        <v>"%USERPROFILE%\Documents\GitHub\eaglep3\Utilities\RefineRTDCRunTimes.py" --tripid 135-11 --locoid 4018 --swversion DE.1.0.8.0 --startMP 204:548 --initTime 2016-12-11T07:54:06 --startdatetime 2016-12-11T08:00:56 --delay 1 --endMP 204:233298 --enddatetime 2016-12-11T08:37:15 --enforcementcount 1 &gt;&gt;C:\Users\stu\Documents\GitHub\eaglep3-reporting\EC\2016-12-11-refined-times.txt</v>
      </c>
      <c r="AI4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{"issue":{"subject":"","project_id":79,"tracker_id":40,"status_id":1,"priority_id":2,"assigned_to_id":23,"start_date":"2016-12-11","description":"","custom_fields":[{"id":1,"name":"Subdivision","value":"EC"},{"id":4,"name":"Milepost","value":"23.3298"},{"id":17,"name":"Train ID","value":"135-11"},{"id":16,"name":"Locomotive ID","value":"4018"},{"id":130,"name":"Impact","value":""},{"id":150,"name":"Time of Event (Mountain Time)","value":"08:37:15"},{"id":151,"name":"Denver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6" s="53"/>
      <c r="AK46" s="53"/>
      <c r="AL46" s="53"/>
      <c r="AM46"/>
      <c r="AN46"/>
      <c r="AO46"/>
      <c r="AP46"/>
      <c r="AQ46"/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  <c r="BH46"/>
      <c r="BI46"/>
      <c r="BJ46"/>
      <c r="BK46"/>
      <c r="BL46"/>
      <c r="BM46"/>
      <c r="BN46"/>
      <c r="BO46"/>
      <c r="BP46"/>
      <c r="BQ46"/>
      <c r="BR46"/>
      <c r="BS46"/>
      <c r="BT46"/>
      <c r="BU46"/>
      <c r="BV46"/>
      <c r="BW46"/>
      <c r="BX46"/>
      <c r="BY46"/>
      <c r="BZ46"/>
      <c r="CA46"/>
      <c r="CB46"/>
      <c r="CC46"/>
      <c r="CD46"/>
      <c r="CE46"/>
      <c r="CF46"/>
      <c r="CG46"/>
      <c r="CH46"/>
      <c r="CI46"/>
      <c r="CJ46"/>
      <c r="CK46"/>
      <c r="CL46"/>
      <c r="CM46"/>
    </row>
    <row r="47" spans="1:91" s="1" customFormat="1" x14ac:dyDescent="0.25">
      <c r="A47" s="37" t="s">
        <v>530</v>
      </c>
      <c r="B47" s="7">
        <v>4017</v>
      </c>
      <c r="C47" s="22" t="s">
        <v>207</v>
      </c>
      <c r="D47" s="22" t="s">
        <v>412</v>
      </c>
      <c r="E47" s="13">
        <v>42715.366805555554</v>
      </c>
      <c r="F47" s="13">
        <v>42715.372372685182</v>
      </c>
      <c r="G47" s="7">
        <v>1</v>
      </c>
      <c r="H47" s="22" t="s">
        <v>227</v>
      </c>
      <c r="I47" s="13">
        <v>42715.400821759256</v>
      </c>
      <c r="J47" s="7">
        <v>1</v>
      </c>
      <c r="K47" s="109" t="str">
        <f t="shared" si="0"/>
        <v>4017/4018</v>
      </c>
      <c r="L47" s="22" t="str">
        <f>VLOOKUP(A47,'Trips&amp;Operators'!$C$1:$G$99999,5,FALSE)</f>
        <v>DAVIS WENDY</v>
      </c>
      <c r="M47" s="6">
        <f t="shared" si="1"/>
        <v>2.8449074074160308E-2</v>
      </c>
      <c r="N47" s="7">
        <f t="shared" si="19"/>
        <v>40.966666666790843</v>
      </c>
      <c r="O47" s="7"/>
      <c r="P47" s="7"/>
      <c r="Q47" s="23"/>
      <c r="R47" s="23"/>
      <c r="S47" s="35">
        <f t="shared" si="20"/>
        <v>1</v>
      </c>
      <c r="T47" s="50" t="str">
        <f t="shared" si="4"/>
        <v>Southbound</v>
      </c>
      <c r="U47" s="171">
        <f>IF(AG47="EC",COUNTIFS(Variables!$M$2:$M$19,IF(T47="NorthBound","&gt;=","&lt;=")&amp;Y47,Variables!$M$2:$M$19,IF(T47="NorthBound","&lt;=","&gt;=")&amp;Z47),COUNTIFS(Variables!$P$2:$P$19,IF(T47="NorthBound","&gt;=","&lt;=")&amp;Y47,Variables!$P$2:$P$19,IF(T47="NorthBound","&lt;=","&gt;=")&amp;Z47))</f>
        <v>12</v>
      </c>
      <c r="V4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07:48:12-700',mode:absolute,to:'2016-12-11 10:37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47" s="52" t="str">
        <f t="shared" si="6"/>
        <v>N</v>
      </c>
      <c r="X47" s="177">
        <f t="shared" si="21"/>
        <v>1</v>
      </c>
      <c r="Y47" s="67">
        <f t="shared" si="8"/>
        <v>23.299600000000002</v>
      </c>
      <c r="Z47" s="67">
        <f t="shared" si="9"/>
        <v>1.41E-2</v>
      </c>
      <c r="AA47" s="67">
        <f t="shared" si="10"/>
        <v>23.285500000000003</v>
      </c>
      <c r="AB47" s="64" t="e">
        <f>VLOOKUP(A47,Enforcements!$C$7:$K$20,8,0)</f>
        <v>#N/A</v>
      </c>
      <c r="AC47" s="60" t="e">
        <f>VLOOKUP(A47,Enforcements!$C$7:$E$20,3,0)</f>
        <v>#N/A</v>
      </c>
      <c r="AD47" s="61" t="str">
        <f t="shared" si="11"/>
        <v>0136-11</v>
      </c>
      <c r="AE47" s="91" t="str">
        <f t="shared" si="12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47" s="88" t="str">
        <f t="shared" si="13"/>
        <v>"C:\Program Files (x86)\AstroGrep\AstroGrep.exe" /spath="%USERPROFILE%\AppData\Local\Temp\OnboardLogs" /stypes="app*4017*20161211*" /stext=" 16:.+((SYSTEM_STATE.+slice.+state.+changed )|(ment ac)|(multiple cpu faults)|(system.+state.+changed )|(\[timeout)|(PRM\|1\|D)|(kpr)|(kdp)|(\|lc)|(penalty))" /e /r /s</v>
      </c>
      <c r="AG47" s="1" t="str">
        <f t="shared" si="14"/>
        <v>EC</v>
      </c>
      <c r="AH47" s="92" t="str">
        <f t="shared" si="17"/>
        <v>"%USERPROFILE%\Documents\GitHub\eaglep3\Utilities\RefineRTDCRunTimes.py" --tripid 136-11 --locoid 4017 --swversion DE.1.0.8.0 --startMP 204:232996 --initTime 2016-12-11T08:48:12 --startdatetime 2016-12-11T08:56:13 --delay 1 --endMP 204:141 --enddatetime 2016-12-11T09:37:11 --enforcementcount 1 &gt;&gt;C:\Users\stu\Documents\GitHub\eaglep3-reporting\EC\2016-12-11-refined-times.txt</v>
      </c>
      <c r="AI47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ID","value":"136-11"},{"id":16,"name":"Locomotive ID","value":"4017"},{"id":130,"name":"Impact","value":""},{"id":150,"name":"Time of Event (Mountain Time)","value":"09:37:11"},{"id":151,"name":"Denver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7" s="53"/>
      <c r="AK47" s="53"/>
      <c r="AL47" s="53"/>
      <c r="AM47"/>
      <c r="AN47"/>
      <c r="AO47"/>
      <c r="AP47"/>
      <c r="AQ47"/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  <c r="BH47"/>
      <c r="BI47"/>
      <c r="BJ47"/>
      <c r="BK47"/>
      <c r="BL47"/>
      <c r="BM47"/>
      <c r="BN47"/>
      <c r="BO47"/>
      <c r="BP47"/>
      <c r="BQ47"/>
      <c r="BR47"/>
      <c r="BS47"/>
      <c r="BT47"/>
      <c r="BU47"/>
      <c r="BV47"/>
      <c r="BW47"/>
      <c r="BX47"/>
      <c r="BY47"/>
      <c r="BZ47"/>
      <c r="CA47"/>
      <c r="CB47"/>
      <c r="CC47"/>
      <c r="CD47"/>
      <c r="CE47"/>
      <c r="CF47"/>
      <c r="CG47"/>
      <c r="CH47"/>
      <c r="CI47"/>
      <c r="CJ47"/>
      <c r="CK47"/>
      <c r="CL47"/>
      <c r="CM47"/>
    </row>
    <row r="48" spans="1:91" s="1" customFormat="1" x14ac:dyDescent="0.25">
      <c r="A48" s="37" t="s">
        <v>524</v>
      </c>
      <c r="B48" s="7">
        <v>4031</v>
      </c>
      <c r="C48" s="22" t="s">
        <v>207</v>
      </c>
      <c r="D48" s="22" t="s">
        <v>695</v>
      </c>
      <c r="E48" s="13">
        <v>42715.340740740743</v>
      </c>
      <c r="F48" s="13">
        <v>42715.343946759262</v>
      </c>
      <c r="G48" s="7">
        <v>1</v>
      </c>
      <c r="H48" s="22" t="s">
        <v>402</v>
      </c>
      <c r="I48" s="13">
        <v>42715.368379629632</v>
      </c>
      <c r="J48" s="7">
        <v>1</v>
      </c>
      <c r="K48" s="109" t="str">
        <f t="shared" si="0"/>
        <v>4031/4032</v>
      </c>
      <c r="L48" s="22" t="str">
        <f>VLOOKUP(A48,'Trips&amp;Operators'!$C$1:$G$99999,5,FALSE)</f>
        <v>ROBINSON KADDIBA</v>
      </c>
      <c r="M48" s="6">
        <f t="shared" si="1"/>
        <v>2.4432870370219462E-2</v>
      </c>
      <c r="N48" s="7">
        <f t="shared" si="19"/>
        <v>35.183333333116025</v>
      </c>
      <c r="O48" s="7"/>
      <c r="P48" s="7"/>
      <c r="Q48" s="23"/>
      <c r="R48" s="23"/>
      <c r="S48" s="35">
        <f t="shared" si="20"/>
        <v>1</v>
      </c>
      <c r="T48" s="50" t="str">
        <f t="shared" si="4"/>
        <v>NorthBound</v>
      </c>
      <c r="U48" s="171">
        <f>IF(AG48="EC",COUNTIFS(Variables!$M$2:$M$19,IF(T48="NorthBound","&gt;=","&lt;=")&amp;Y48,Variables!$M$2:$M$19,IF(T48="NorthBound","&lt;=","&gt;=")&amp;Z48),COUNTIFS(Variables!$P$2:$P$19,IF(T48="NorthBound","&gt;=","&lt;=")&amp;Y48,Variables!$P$2:$P$19,IF(T48="NorthBound","&lt;=","&gt;=")&amp;Z48))</f>
        <v>12</v>
      </c>
      <c r="V4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07:10:40-700',mode:absolute,to:'2016-12-11 09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48" s="52" t="str">
        <f t="shared" si="6"/>
        <v>N</v>
      </c>
      <c r="X48" s="177">
        <f t="shared" si="21"/>
        <v>1</v>
      </c>
      <c r="Y48" s="67">
        <f t="shared" si="8"/>
        <v>6.4799999999999996E-2</v>
      </c>
      <c r="Z48" s="67">
        <f t="shared" si="9"/>
        <v>23.332599999999999</v>
      </c>
      <c r="AA48" s="67">
        <f t="shared" si="10"/>
        <v>23.267799999999998</v>
      </c>
      <c r="AB48" s="64" t="e">
        <f>VLOOKUP(A48,Enforcements!$C$7:$K$20,8,0)</f>
        <v>#N/A</v>
      </c>
      <c r="AC48" s="60" t="e">
        <f>VLOOKUP(A48,Enforcements!$C$7:$E$20,3,0)</f>
        <v>#N/A</v>
      </c>
      <c r="AD48" s="61" t="str">
        <f t="shared" si="11"/>
        <v>0137-11</v>
      </c>
      <c r="AE48" s="91" t="str">
        <f t="shared" si="12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48" s="88" t="str">
        <f t="shared" si="13"/>
        <v>"C:\Program Files (x86)\AstroGrep\AstroGrep.exe" /spath="%USERPROFILE%\AppData\Local\Temp\OnboardLogs" /stypes="app*4031*20161211*" /stext=" 15:.+((SYSTEM_STATE.+slice.+state.+changed )|(ment ac)|(multiple cpu faults)|(system.+state.+changed )|(\[timeout)|(PRM\|1\|D)|(kpr)|(kdp)|(\|lc)|(penalty))" /e /r /s</v>
      </c>
      <c r="AG48" s="1" t="str">
        <f t="shared" si="14"/>
        <v>EC</v>
      </c>
      <c r="AH48" s="92" t="str">
        <f t="shared" si="17"/>
        <v>"%USERPROFILE%\Documents\GitHub\eaglep3\Utilities\RefineRTDCRunTimes.py" --tripid 137-11 --locoid 4031 --swversion DE.1.0.8.0 --startMP 204:648 --initTime 2016-12-11T08:10:40 --startdatetime 2016-12-11T08:15:17 --delay 1 --endMP 204:233326 --enddatetime 2016-12-11T08:50:28 --enforcementcount 1 &gt;&gt;C:\Users\stu\Documents\GitHub\eaglep3-reporting\EC\2016-12-11-refined-times.txt</v>
      </c>
      <c r="AI48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{"issue":{"subject":"","project_id":79,"tracker_id":40,"status_id":1,"priority_id":2,"assigned_to_id":23,"start_date":"2016-12-11","description":"","custom_fields":[{"id":1,"name":"Subdivision","value":"EC"},{"id":4,"name":"Milepost","value":"23.3326"},{"id":17,"name":"Train ID","value":"137-11"},{"id":16,"name":"Locomotive ID","value":"4031"},{"id":130,"name":"Impact","value":""},{"id":150,"name":"Time of Event (Mountain Time)","value":"08:50:28"},{"id":151,"name":"Denver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8" s="53"/>
      <c r="AK48" s="53"/>
      <c r="AL48" s="53"/>
      <c r="AM48"/>
      <c r="AN48"/>
      <c r="AO48"/>
      <c r="AP48"/>
      <c r="AQ48"/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  <c r="BH48"/>
      <c r="BI48"/>
      <c r="BJ48"/>
      <c r="BK48"/>
      <c r="BL48"/>
      <c r="BM48"/>
      <c r="BN48"/>
      <c r="BO48"/>
      <c r="BP48"/>
      <c r="BQ48"/>
      <c r="BR48"/>
      <c r="BS48"/>
      <c r="BT48"/>
      <c r="BU48"/>
      <c r="BV48"/>
      <c r="BW48"/>
      <c r="BX48"/>
      <c r="BY48"/>
      <c r="BZ48"/>
      <c r="CA48"/>
      <c r="CB48"/>
      <c r="CC48"/>
      <c r="CD48"/>
      <c r="CE48"/>
      <c r="CF48"/>
      <c r="CG48"/>
      <c r="CH48"/>
      <c r="CI48"/>
      <c r="CJ48"/>
      <c r="CK48"/>
      <c r="CL48"/>
      <c r="CM48"/>
    </row>
    <row r="49" spans="1:91" s="1" customFormat="1" x14ac:dyDescent="0.25">
      <c r="A49" s="37" t="s">
        <v>456</v>
      </c>
      <c r="B49" s="7">
        <v>4032</v>
      </c>
      <c r="C49" s="22" t="s">
        <v>207</v>
      </c>
      <c r="D49" s="22" t="s">
        <v>421</v>
      </c>
      <c r="E49" s="13">
        <v>42715.376956018517</v>
      </c>
      <c r="F49" s="13">
        <v>42715.382881944446</v>
      </c>
      <c r="G49" s="7">
        <v>1</v>
      </c>
      <c r="H49" s="22" t="s">
        <v>328</v>
      </c>
      <c r="I49" s="13">
        <v>42715.415625000001</v>
      </c>
      <c r="J49" s="7">
        <v>1</v>
      </c>
      <c r="K49" s="109" t="str">
        <f t="shared" si="0"/>
        <v>4031/4032</v>
      </c>
      <c r="L49" s="22" t="str">
        <f>VLOOKUP(A49,'Trips&amp;Operators'!$C$1:$G$99999,5,FALSE)</f>
        <v>ROBINSON KADDIBA</v>
      </c>
      <c r="M49" s="6">
        <f t="shared" si="1"/>
        <v>3.2743055555329192E-2</v>
      </c>
      <c r="N49" s="7">
        <f t="shared" si="19"/>
        <v>47.149999999674037</v>
      </c>
      <c r="O49" s="7"/>
      <c r="P49" s="7"/>
      <c r="Q49" s="23"/>
      <c r="R49" s="23"/>
      <c r="S49" s="35">
        <f t="shared" si="20"/>
        <v>1</v>
      </c>
      <c r="T49" s="50" t="str">
        <f t="shared" si="4"/>
        <v>Southbound</v>
      </c>
      <c r="U49" s="171">
        <f>IF(AG49="EC",COUNTIFS(Variables!$M$2:$M$19,IF(T49="NorthBound","&gt;=","&lt;=")&amp;Y49,Variables!$M$2:$M$19,IF(T49="NorthBound","&lt;=","&gt;=")&amp;Z49),COUNTIFS(Variables!$P$2:$P$19,IF(T49="NorthBound","&gt;=","&lt;=")&amp;Y49,Variables!$P$2:$P$19,IF(T49="NorthBound","&lt;=","&gt;=")&amp;Z49))</f>
        <v>12</v>
      </c>
      <c r="V4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08:02:49-700',mode:absolute,to:'2016-12-11 10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49" s="52" t="str">
        <f t="shared" si="6"/>
        <v>N</v>
      </c>
      <c r="X49" s="177">
        <f t="shared" si="21"/>
        <v>1</v>
      </c>
      <c r="Y49" s="67">
        <f t="shared" si="8"/>
        <v>23.298999999999999</v>
      </c>
      <c r="Z49" s="67">
        <f t="shared" si="9"/>
        <v>1.32E-2</v>
      </c>
      <c r="AA49" s="67">
        <f t="shared" si="10"/>
        <v>23.285799999999998</v>
      </c>
      <c r="AB49" s="64" t="str">
        <f>VLOOKUP(A49,Enforcements!$C$7:$K$20,8,0)</f>
        <v>Speed (6)</v>
      </c>
      <c r="AC49" s="60" t="str">
        <f>VLOOKUP(A49,Enforcements!$C$7:$E$20,3,0)</f>
        <v>PERMANENT SPEED RESTRICTION</v>
      </c>
      <c r="AD49" s="61" t="str">
        <f t="shared" si="11"/>
        <v>0138-11</v>
      </c>
      <c r="AE49" s="91" t="str">
        <f t="shared" si="12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49" s="88" t="str">
        <f t="shared" si="13"/>
        <v>"C:\Program Files (x86)\AstroGrep\AstroGrep.exe" /spath="%USERPROFILE%\AppData\Local\Temp\OnboardLogs" /stypes="app*4032*20161211*" /stext=" 16:.+((SYSTEM_STATE.+slice.+state.+changed )|(ment ac)|(multiple cpu faults)|(system.+state.+changed )|(\[timeout)|(PRM\|1\|D)|(kpr)|(kdp)|(\|lc)|(penalty))" /e /r /s</v>
      </c>
      <c r="AG49" s="1" t="str">
        <f t="shared" si="14"/>
        <v>EC</v>
      </c>
      <c r="AH49" s="92" t="str">
        <f t="shared" si="17"/>
        <v>"%USERPROFILE%\Documents\GitHub\eaglep3\Utilities\RefineRTDCRunTimes.py" --tripid 138-11 --locoid 4032 --swversion DE.1.0.8.0 --startMP 204:232990 --initTime 2016-12-11T09:02:49 --startdatetime 2016-12-11T09:11:21 --delay 1 --endMP 204:132 --enddatetime 2016-12-11T09:58:30 --enforcementcount 1 &gt;&gt;C:\Users\stu\Documents\GitHub\eaglep3-reporting\EC\2016-12-11-refined-times.txt</v>
      </c>
      <c r="AI49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{"issue":{"subject":"","project_id":79,"tracker_id":40,"status_id":1,"priority_id":2,"assigned_to_id":23,"start_date":"2016-12-11","description":"","custom_fields":[{"id":1,"name":"Subdivision","value":"EC"},{"id":4,"name":"Milepost","value":"0.0132"},{"id":17,"name":"Train ID","value":"138-11"},{"id":16,"name":"Locomotive ID","value":"4032"},{"id":130,"name":"Impact","value":""},{"id":150,"name":"Time of Event (Mountain Time)","value":"09:58:30"},{"id":151,"name":"Denver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49" s="53"/>
      <c r="AK49" s="53"/>
      <c r="AL49" s="53"/>
      <c r="AM49"/>
      <c r="AN49"/>
      <c r="AO49"/>
      <c r="AP49"/>
      <c r="AQ49"/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  <c r="BH49"/>
      <c r="BI49"/>
      <c r="BJ49"/>
      <c r="BK49"/>
      <c r="BL49"/>
      <c r="BM49"/>
      <c r="BN49"/>
      <c r="BO49"/>
      <c r="BP49"/>
      <c r="BQ49"/>
      <c r="BR49"/>
      <c r="BS49"/>
      <c r="BT49"/>
      <c r="BU49"/>
      <c r="BV49"/>
      <c r="BW49"/>
      <c r="BX49"/>
      <c r="BY49"/>
      <c r="BZ49"/>
      <c r="CA49"/>
      <c r="CB49"/>
      <c r="CC49"/>
      <c r="CD49"/>
      <c r="CE49"/>
      <c r="CF49"/>
      <c r="CG49"/>
      <c r="CH49"/>
      <c r="CI49"/>
      <c r="CJ49"/>
      <c r="CK49"/>
      <c r="CL49"/>
      <c r="CM49"/>
    </row>
    <row r="50" spans="1:91" s="1" customFormat="1" x14ac:dyDescent="0.25">
      <c r="A50" s="37" t="s">
        <v>527</v>
      </c>
      <c r="B50" s="7">
        <v>4029</v>
      </c>
      <c r="C50" s="22" t="s">
        <v>207</v>
      </c>
      <c r="D50" s="22" t="s">
        <v>696</v>
      </c>
      <c r="E50" s="13">
        <v>42715.349722222221</v>
      </c>
      <c r="F50" s="13">
        <v>42715.354375000003</v>
      </c>
      <c r="G50" s="7">
        <v>1</v>
      </c>
      <c r="H50" s="22" t="s">
        <v>425</v>
      </c>
      <c r="I50" s="13">
        <v>42715.379560185182</v>
      </c>
      <c r="J50" s="7">
        <v>1</v>
      </c>
      <c r="K50" s="109" t="str">
        <f t="shared" si="0"/>
        <v>4029/4030</v>
      </c>
      <c r="L50" s="22" t="str">
        <f>VLOOKUP(A50,'Trips&amp;Operators'!$C$1:$G$99999,5,FALSE)</f>
        <v>HAITHCOX MICHAEL</v>
      </c>
      <c r="M50" s="6">
        <f t="shared" si="1"/>
        <v>2.5185185178997926E-2</v>
      </c>
      <c r="N50" s="7">
        <f t="shared" si="19"/>
        <v>36.266666657757014</v>
      </c>
      <c r="O50" s="7"/>
      <c r="P50" s="7"/>
      <c r="Q50" s="23"/>
      <c r="R50" s="23"/>
      <c r="S50" s="35">
        <f t="shared" si="20"/>
        <v>1</v>
      </c>
      <c r="T50" s="50" t="str">
        <f t="shared" si="4"/>
        <v>NorthBound</v>
      </c>
      <c r="U50" s="171">
        <f>IF(AG50="EC",COUNTIFS(Variables!$M$2:$M$19,IF(T50="NorthBound","&gt;=","&lt;=")&amp;Y50,Variables!$M$2:$M$19,IF(T50="NorthBound","&lt;=","&gt;=")&amp;Z50),COUNTIFS(Variables!$P$2:$P$19,IF(T50="NorthBound","&gt;=","&lt;=")&amp;Y50,Variables!$P$2:$P$19,IF(T50="NorthBound","&lt;=","&gt;=")&amp;Z50))</f>
        <v>12</v>
      </c>
      <c r="V5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07:23:36-700',mode:absolute,to:'2016-12-11 10:06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50" s="52" t="str">
        <f t="shared" si="6"/>
        <v>N</v>
      </c>
      <c r="X50" s="177">
        <f t="shared" si="21"/>
        <v>1</v>
      </c>
      <c r="Y50" s="67">
        <f t="shared" si="8"/>
        <v>5.0799999999999998E-2</v>
      </c>
      <c r="Z50" s="67">
        <f t="shared" si="9"/>
        <v>23.330200000000001</v>
      </c>
      <c r="AA50" s="67">
        <f t="shared" si="10"/>
        <v>23.279400000000003</v>
      </c>
      <c r="AB50" s="64" t="e">
        <f>VLOOKUP(A50,Enforcements!$C$7:$K$20,8,0)</f>
        <v>#N/A</v>
      </c>
      <c r="AC50" s="60" t="e">
        <f>VLOOKUP(A50,Enforcements!$C$7:$E$20,3,0)</f>
        <v>#N/A</v>
      </c>
      <c r="AD50" s="61" t="str">
        <f t="shared" si="11"/>
        <v>0139-11</v>
      </c>
      <c r="AE50" s="91" t="str">
        <f t="shared" si="12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50" s="88" t="str">
        <f t="shared" si="13"/>
        <v>"C:\Program Files (x86)\AstroGrep\AstroGrep.exe" /spath="%USERPROFILE%\AppData\Local\Temp\OnboardLogs" /stypes="app*4029*20161211*" /stext=" 16:.+((SYSTEM_STATE.+slice.+state.+changed )|(ment ac)|(multiple cpu faults)|(system.+state.+changed )|(\[timeout)|(PRM\|1\|D)|(kpr)|(kdp)|(\|lc)|(penalty))" /e /r /s</v>
      </c>
      <c r="AG50" s="1" t="str">
        <f t="shared" si="14"/>
        <v>EC</v>
      </c>
      <c r="AH50" s="92" t="str">
        <f t="shared" si="17"/>
        <v>"%USERPROFILE%\Documents\GitHub\eaglep3\Utilities\RefineRTDCRunTimes.py" --tripid 139-11 --locoid 4029 --swversion DE.1.0.8.0 --startMP 204:508 --initTime 2016-12-11T08:23:36 --startdatetime 2016-12-11T08:30:18 --delay 1 --endMP 204:233302 --enddatetime 2016-12-11T09:06:34 --enforcementcount 1 &gt;&gt;C:\Users\stu\Documents\GitHub\eaglep3-reporting\EC\2016-12-11-refined-times.txt</v>
      </c>
      <c r="AI50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{"issue":{"subject":"","project_id":79,"tracker_id":40,"status_id":1,"priority_id":2,"assigned_to_id":23,"start_date":"2016-12-11","description":"","custom_fields":[{"id":1,"name":"Subdivision","value":"EC"},{"id":4,"name":"Milepost","value":"23.3302"},{"id":17,"name":"Train ID","value":"139-11"},{"id":16,"name":"Locomotive ID","value":"4029"},{"id":130,"name":"Impact","value":""},{"id":150,"name":"Time of Event (Mountain Time)","value":"09:06:34"},{"id":151,"name":"Denver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0" s="53"/>
      <c r="AK50" s="53"/>
      <c r="AL50" s="53"/>
      <c r="AM50"/>
      <c r="AN50"/>
      <c r="AO50"/>
      <c r="AP50"/>
      <c r="AQ50"/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  <c r="BH50"/>
      <c r="BI50"/>
      <c r="BJ50"/>
      <c r="BK50"/>
      <c r="BL50"/>
      <c r="BM50"/>
      <c r="BN50"/>
      <c r="BO50"/>
      <c r="BP50"/>
      <c r="BQ50"/>
      <c r="BR50"/>
      <c r="BS50"/>
      <c r="BT50"/>
      <c r="BU50"/>
      <c r="BV50"/>
      <c r="BW50"/>
      <c r="BX50"/>
      <c r="BY50"/>
      <c r="BZ50"/>
      <c r="CA50"/>
      <c r="CB50"/>
      <c r="CC50"/>
      <c r="CD50"/>
      <c r="CE50"/>
      <c r="CF50"/>
      <c r="CG50"/>
      <c r="CH50"/>
      <c r="CI50"/>
      <c r="CJ50"/>
      <c r="CK50"/>
      <c r="CL50"/>
      <c r="CM50"/>
    </row>
    <row r="51" spans="1:91" s="1" customFormat="1" x14ac:dyDescent="0.25">
      <c r="A51" s="37" t="s">
        <v>534</v>
      </c>
      <c r="B51" s="7">
        <v>4030</v>
      </c>
      <c r="C51" s="22" t="s">
        <v>207</v>
      </c>
      <c r="D51" s="22" t="s">
        <v>325</v>
      </c>
      <c r="E51" s="13">
        <v>42715.388391203705</v>
      </c>
      <c r="F51" s="13">
        <v>42715.393333333333</v>
      </c>
      <c r="G51" s="7">
        <v>1</v>
      </c>
      <c r="H51" s="22" t="s">
        <v>193</v>
      </c>
      <c r="I51" s="13">
        <v>42715.421666666669</v>
      </c>
      <c r="J51" s="7">
        <v>1</v>
      </c>
      <c r="K51" s="109" t="str">
        <f t="shared" si="0"/>
        <v>4029/4030</v>
      </c>
      <c r="L51" s="22" t="str">
        <f>VLOOKUP(A51,'Trips&amp;Operators'!$C$1:$G$99999,5,FALSE)</f>
        <v>HAITHCOX MICHAEL</v>
      </c>
      <c r="M51" s="6">
        <f t="shared" si="1"/>
        <v>2.8333333335467614E-2</v>
      </c>
      <c r="N51" s="7">
        <f t="shared" si="19"/>
        <v>40.800000003073364</v>
      </c>
      <c r="O51" s="7"/>
      <c r="P51" s="7"/>
      <c r="Q51" s="23"/>
      <c r="R51" s="23"/>
      <c r="S51" s="35">
        <f t="shared" si="20"/>
        <v>1</v>
      </c>
      <c r="T51" s="50" t="str">
        <f t="shared" si="4"/>
        <v>Southbound</v>
      </c>
      <c r="U51" s="171">
        <f>IF(AG51="EC",COUNTIFS(Variables!$M$2:$M$19,IF(T51="NorthBound","&gt;=","&lt;=")&amp;Y51,Variables!$M$2:$M$19,IF(T51="NorthBound","&lt;=","&gt;=")&amp;Z51),COUNTIFS(Variables!$P$2:$P$19,IF(T51="NorthBound","&gt;=","&lt;=")&amp;Y51,Variables!$P$2:$P$19,IF(T51="NorthBound","&lt;=","&gt;=")&amp;Z51))</f>
        <v>12</v>
      </c>
      <c r="V5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08:19:17-700',mode:absolute,to:'2016-12-11 11:07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51" s="52" t="str">
        <f t="shared" si="6"/>
        <v>N</v>
      </c>
      <c r="X51" s="177">
        <f t="shared" ref="X51:X82" si="22">VALUE(LEFT(AD51,4))-VALUE(LEFT(AD50,4))</f>
        <v>1</v>
      </c>
      <c r="Y51" s="67">
        <f t="shared" si="8"/>
        <v>23.297899999999998</v>
      </c>
      <c r="Z51" s="67">
        <f t="shared" si="9"/>
        <v>1.43E-2</v>
      </c>
      <c r="AA51" s="67">
        <f t="shared" si="10"/>
        <v>23.2836</v>
      </c>
      <c r="AB51" s="64" t="e">
        <f>VLOOKUP(A51,Enforcements!$C$7:$K$20,8,0)</f>
        <v>#N/A</v>
      </c>
      <c r="AC51" s="60" t="e">
        <f>VLOOKUP(A51,Enforcements!$C$7:$E$20,3,0)</f>
        <v>#N/A</v>
      </c>
      <c r="AD51" s="61" t="str">
        <f t="shared" si="11"/>
        <v>0140-11</v>
      </c>
      <c r="AE51" s="91" t="str">
        <f t="shared" si="12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51" s="88" t="str">
        <f t="shared" si="13"/>
        <v>"C:\Program Files (x86)\AstroGrep\AstroGrep.exe" /spath="%USERPROFILE%\AppData\Local\Temp\OnboardLogs" /stypes="app*4030*20161211*" /stext=" 17:.+((SYSTEM_STATE.+slice.+state.+changed )|(ment ac)|(multiple cpu faults)|(system.+state.+changed )|(\[timeout)|(PRM\|1\|D)|(kpr)|(kdp)|(\|lc)|(penalty))" /e /r /s</v>
      </c>
      <c r="AG51" s="1" t="str">
        <f t="shared" si="14"/>
        <v>EC</v>
      </c>
      <c r="AH51" s="92" t="str">
        <f t="shared" si="17"/>
        <v>"%USERPROFILE%\Documents\GitHub\eaglep3\Utilities\RefineRTDCRunTimes.py" --tripid 140-11 --locoid 4030 --swversion DE.1.0.8.0 --startMP 204:232979 --initTime 2016-12-11T09:19:17 --startdatetime 2016-12-11T09:26:24 --delay 1 --endMP 204:143 --enddatetime 2016-12-11T10:07:12 --enforcementcount 1 &gt;&gt;C:\Users\stu\Documents\GitHub\eaglep3-reporting\EC\2016-12-11-refined-times.txt</v>
      </c>
      <c r="AI51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{"issue":{"subject":"","project_id":79,"tracker_id":40,"status_id":1,"priority_id":2,"assigned_to_id":23,"start_date":"2016-12-11","description":"","custom_fields":[{"id":1,"name":"Subdivision","value":"EC"},{"id":4,"name":"Milepost","value":"0.0143"},{"id":17,"name":"Train ID","value":"140-11"},{"id":16,"name":"Locomotive ID","value":"4030"},{"id":130,"name":"Impact","value":""},{"id":150,"name":"Time of Event (Mountain Time)","value":"10:07:12"},{"id":151,"name":"Denver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1" s="53"/>
      <c r="AK51" s="53"/>
      <c r="AL51" s="53"/>
      <c r="AM51"/>
      <c r="AN51"/>
      <c r="AO51"/>
      <c r="AP51"/>
      <c r="AQ51"/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  <c r="BH51"/>
      <c r="BI51"/>
      <c r="BJ51"/>
      <c r="BK51"/>
      <c r="BL51"/>
      <c r="BM51"/>
      <c r="BN51"/>
      <c r="BO51"/>
      <c r="BP51"/>
      <c r="BQ51"/>
      <c r="BR51"/>
      <c r="BS51"/>
      <c r="BT51"/>
      <c r="BU51"/>
      <c r="BV51"/>
      <c r="BW51"/>
      <c r="BX51"/>
      <c r="BY51"/>
      <c r="BZ51"/>
      <c r="CA51"/>
      <c r="CB51"/>
      <c r="CC51"/>
      <c r="CD51"/>
      <c r="CE51"/>
      <c r="CF51"/>
      <c r="CG51"/>
      <c r="CH51"/>
      <c r="CI51"/>
      <c r="CJ51"/>
      <c r="CK51"/>
      <c r="CL51"/>
      <c r="CM51"/>
    </row>
    <row r="52" spans="1:91" s="1" customFormat="1" x14ac:dyDescent="0.25">
      <c r="A52" s="37" t="s">
        <v>529</v>
      </c>
      <c r="B52" s="7">
        <v>4011</v>
      </c>
      <c r="C52" s="22" t="s">
        <v>207</v>
      </c>
      <c r="D52" s="22" t="s">
        <v>289</v>
      </c>
      <c r="E52" s="13">
        <v>42715.360763888886</v>
      </c>
      <c r="F52" s="13">
        <v>42715.364803240744</v>
      </c>
      <c r="G52" s="7">
        <v>1</v>
      </c>
      <c r="H52" s="22" t="s">
        <v>365</v>
      </c>
      <c r="I52" s="13">
        <v>42715.390173611115</v>
      </c>
      <c r="J52" s="7">
        <v>1</v>
      </c>
      <c r="K52" s="109" t="str">
        <f t="shared" si="0"/>
        <v>4011/4012</v>
      </c>
      <c r="L52" s="22" t="str">
        <f>VLOOKUP(A52,'Trips&amp;Operators'!$C$1:$G$99999,5,FALSE)</f>
        <v>KILLION DAVID</v>
      </c>
      <c r="M52" s="6">
        <f t="shared" si="1"/>
        <v>2.5370370371092577E-2</v>
      </c>
      <c r="N52" s="7">
        <f t="shared" si="19"/>
        <v>36.53333333437331</v>
      </c>
      <c r="O52" s="7"/>
      <c r="P52" s="7"/>
      <c r="Q52" s="23"/>
      <c r="R52" s="23"/>
      <c r="S52" s="35">
        <f t="shared" si="20"/>
        <v>1</v>
      </c>
      <c r="T52" s="50" t="str">
        <f t="shared" si="4"/>
        <v>NorthBound</v>
      </c>
      <c r="U52" s="171">
        <f>IF(AG52="EC",COUNTIFS(Variables!$M$2:$M$19,IF(T52="NorthBound","&gt;=","&lt;=")&amp;Y52,Variables!$M$2:$M$19,IF(T52="NorthBound","&lt;=","&gt;=")&amp;Z52),COUNTIFS(Variables!$P$2:$P$19,IF(T52="NorthBound","&gt;=","&lt;=")&amp;Y52,Variables!$P$2:$P$19,IF(T52="NorthBound","&lt;=","&gt;=")&amp;Z52))</f>
        <v>12</v>
      </c>
      <c r="V5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07:39:30-700',mode:absolute,to:'2016-12-11 10:21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52" s="52" t="str">
        <f t="shared" si="6"/>
        <v>N</v>
      </c>
      <c r="X52" s="177">
        <f t="shared" si="22"/>
        <v>1</v>
      </c>
      <c r="Y52" s="67">
        <f t="shared" si="8"/>
        <v>4.53E-2</v>
      </c>
      <c r="Z52" s="67">
        <f t="shared" si="9"/>
        <v>23.328199999999999</v>
      </c>
      <c r="AA52" s="67">
        <f t="shared" si="10"/>
        <v>23.282899999999998</v>
      </c>
      <c r="AB52" s="64" t="e">
        <f>VLOOKUP(A52,Enforcements!$C$7:$K$20,8,0)</f>
        <v>#N/A</v>
      </c>
      <c r="AC52" s="60" t="e">
        <f>VLOOKUP(A52,Enforcements!$C$7:$E$20,3,0)</f>
        <v>#N/A</v>
      </c>
      <c r="AD52" s="61" t="str">
        <f t="shared" si="11"/>
        <v>0141-11</v>
      </c>
      <c r="AE52" s="91" t="str">
        <f t="shared" si="12"/>
        <v>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 &amp; 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</v>
      </c>
      <c r="AF52" s="88" t="str">
        <f t="shared" si="13"/>
        <v>"C:\Program Files (x86)\AstroGrep\AstroGrep.exe" /spath="%USERPROFILE%\AppData\Local\Temp\OnboardLogs" /stypes="app*4011*20161211*" /stext=" 16:.+((SYSTEM_STATE.+slice.+state.+changed )|(ment ac)|(multiple cpu faults)|(system.+state.+changed )|(\[timeout)|(PRM\|1\|D)|(kpr)|(kdp)|(\|lc)|(penalty))" /e /r /s</v>
      </c>
      <c r="AG52" s="1" t="str">
        <f t="shared" si="14"/>
        <v>EC</v>
      </c>
      <c r="AH52" s="92" t="str">
        <f t="shared" si="17"/>
        <v>"%USERPROFILE%\Documents\GitHub\eaglep3\Utilities\RefineRTDCRunTimes.py" --tripid 141-11 --locoid 4011 --swversion DE.1.0.8.0 --startMP 204:453 --initTime 2016-12-11T08:39:30 --startdatetime 2016-12-11T08:45:19 --delay 1 --endMP 204:233282 --enddatetime 2016-12-11T09:21:51 --enforcementcount 1 &gt;&gt;C:\Users\stu\Documents\GitHub\eaglep3-reporting\EC\2016-12-11-refined-times.txt</v>
      </c>
      <c r="AI52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{"issue":{"subject":"","project_id":79,"tracker_id":40,"status_id":1,"priority_id":2,"assigned_to_id":23,"start_date":"2016-12-11","description":"","custom_fields":[{"id":1,"name":"Subdivision","value":"EC"},{"id":4,"name":"Milepost","value":"23.3282"},{"id":17,"name":"Train ID","value":"141-11"},{"id":16,"name":"Locomotive ID","value":"4011"},{"id":130,"name":"Impact","value":""},{"id":150,"name":"Time of Event (Mountain Time)","value":"09:21:51"},{"id":151,"name":"Denver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2" s="53"/>
      <c r="AK52" s="53"/>
      <c r="AL52" s="53"/>
      <c r="AM52"/>
      <c r="AN52"/>
      <c r="AO52"/>
      <c r="AP52"/>
      <c r="AQ52"/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  <c r="BH52"/>
      <c r="BI52"/>
      <c r="BJ52"/>
      <c r="BK52"/>
      <c r="BL52"/>
      <c r="BM52"/>
      <c r="BN52"/>
      <c r="BO52"/>
      <c r="BP52"/>
      <c r="BQ52"/>
      <c r="BR52"/>
      <c r="BS52"/>
      <c r="BT52"/>
      <c r="BU52"/>
      <c r="BV52"/>
      <c r="BW52"/>
      <c r="BX52"/>
      <c r="BY52"/>
      <c r="BZ52"/>
      <c r="CA52"/>
      <c r="CB52"/>
      <c r="CC52"/>
      <c r="CD52"/>
      <c r="CE52"/>
      <c r="CF52"/>
      <c r="CG52"/>
      <c r="CH52"/>
      <c r="CI52"/>
      <c r="CJ52"/>
      <c r="CK52"/>
      <c r="CL52"/>
      <c r="CM52"/>
    </row>
    <row r="53" spans="1:91" s="1" customFormat="1" x14ac:dyDescent="0.25">
      <c r="A53" s="37" t="s">
        <v>536</v>
      </c>
      <c r="B53" s="7">
        <v>4012</v>
      </c>
      <c r="C53" s="22" t="s">
        <v>207</v>
      </c>
      <c r="D53" s="22" t="s">
        <v>418</v>
      </c>
      <c r="E53" s="13">
        <v>42715.398726851854</v>
      </c>
      <c r="F53" s="13">
        <v>42715.403645833336</v>
      </c>
      <c r="G53" s="7">
        <v>1</v>
      </c>
      <c r="H53" s="22" t="s">
        <v>445</v>
      </c>
      <c r="I53" s="13">
        <v>42715.435104166667</v>
      </c>
      <c r="J53" s="7">
        <v>1</v>
      </c>
      <c r="K53" s="109" t="str">
        <f t="shared" si="0"/>
        <v>4011/4012</v>
      </c>
      <c r="L53" s="22" t="str">
        <f>VLOOKUP(A53,'Trips&amp;Operators'!$C$1:$G$99999,5,FALSE)</f>
        <v>KILLION DAVID</v>
      </c>
      <c r="M53" s="6">
        <f t="shared" si="1"/>
        <v>3.145833333110204E-2</v>
      </c>
      <c r="N53" s="7">
        <f t="shared" si="19"/>
        <v>45.299999996786937</v>
      </c>
      <c r="O53" s="7"/>
      <c r="P53" s="7"/>
      <c r="Q53" s="23"/>
      <c r="R53" s="23"/>
      <c r="S53" s="35">
        <f t="shared" si="20"/>
        <v>1</v>
      </c>
      <c r="T53" s="50" t="str">
        <f t="shared" si="4"/>
        <v>Southbound</v>
      </c>
      <c r="U53" s="171">
        <f>IF(AG53="EC",COUNTIFS(Variables!$M$2:$M$19,IF(T53="NorthBound","&gt;=","&lt;=")&amp;Y53,Variables!$M$2:$M$19,IF(T53="NorthBound","&lt;=","&gt;=")&amp;Z53),COUNTIFS(Variables!$P$2:$P$19,IF(T53="NorthBound","&gt;=","&lt;=")&amp;Y53,Variables!$P$2:$P$19,IF(T53="NorthBound","&lt;=","&gt;=")&amp;Z53))</f>
        <v>12</v>
      </c>
      <c r="V5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08:34:10-700',mode:absolute,to:'2016-12-11 11:26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53" s="52" t="str">
        <f t="shared" si="6"/>
        <v>N</v>
      </c>
      <c r="X53" s="177">
        <f t="shared" si="22"/>
        <v>1</v>
      </c>
      <c r="Y53" s="67">
        <f t="shared" si="8"/>
        <v>23.297699999999999</v>
      </c>
      <c r="Z53" s="67">
        <f t="shared" si="9"/>
        <v>0.1162</v>
      </c>
      <c r="AA53" s="67">
        <f t="shared" si="10"/>
        <v>23.1815</v>
      </c>
      <c r="AB53" s="64" t="e">
        <f>VLOOKUP(A53,Enforcements!$C$7:$K$20,8,0)</f>
        <v>#N/A</v>
      </c>
      <c r="AC53" s="60" t="e">
        <f>VLOOKUP(A53,Enforcements!$C$7:$E$20,3,0)</f>
        <v>#N/A</v>
      </c>
      <c r="AD53" s="61" t="str">
        <f t="shared" si="11"/>
        <v>0142-11</v>
      </c>
      <c r="AE53" s="91" t="str">
        <f t="shared" si="12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53" s="88" t="str">
        <f t="shared" si="13"/>
        <v>"C:\Program Files (x86)\AstroGrep\AstroGrep.exe" /spath="%USERPROFILE%\AppData\Local\Temp\OnboardLogs" /stypes="app*4012*20161211*" /stext=" 17:.+((SYSTEM_STATE.+slice.+state.+changed )|(ment ac)|(multiple cpu faults)|(system.+state.+changed )|(\[timeout)|(PRM\|1\|D)|(kpr)|(kdp)|(\|lc)|(penalty))" /e /r /s</v>
      </c>
      <c r="AG53" s="1" t="str">
        <f t="shared" si="14"/>
        <v>EC</v>
      </c>
      <c r="AH53" s="92" t="str">
        <f t="shared" si="17"/>
        <v>"%USERPROFILE%\Documents\GitHub\eaglep3\Utilities\RefineRTDCRunTimes.py" --tripid 142-11 --locoid 4012 --swversion DE.1.0.8.0 --startMP 204:232977 --initTime 2016-12-11T09:34:10 --startdatetime 2016-12-11T09:41:15 --delay 1 --endMP 204:1162 --enddatetime 2016-12-11T10:26:33 --enforcementcount 1 &gt;&gt;C:\Users\stu\Documents\GitHub\eaglep3-reporting\EC\2016-12-11-refined-times.txt</v>
      </c>
      <c r="AI53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{"issue":{"subject":"","project_id":79,"tracker_id":40,"status_id":1,"priority_id":2,"assigned_to_id":23,"start_date":"2016-12-11","description":"","custom_fields":[{"id":1,"name":"Subdivision","value":"EC"},{"id":4,"name":"Milepost","value":"0.1162"},{"id":17,"name":"Train ID","value":"142-11"},{"id":16,"name":"Locomotive ID","value":"4012"},{"id":130,"name":"Impact","value":""},{"id":150,"name":"Time of Event (Mountain Time)","value":"10:26:33"},{"id":151,"name":"Denver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3" s="53"/>
      <c r="AK53" s="53"/>
      <c r="AL53" s="53"/>
      <c r="AM53"/>
      <c r="AN53"/>
      <c r="AO53"/>
      <c r="AP53"/>
      <c r="AQ53"/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  <c r="BH53"/>
      <c r="BI53"/>
      <c r="BJ53"/>
      <c r="BK53"/>
      <c r="BL53"/>
      <c r="BM53"/>
      <c r="BN53"/>
      <c r="BO53"/>
      <c r="BP53"/>
      <c r="BQ53"/>
      <c r="BR53"/>
      <c r="BS53"/>
      <c r="BT53"/>
      <c r="BU53"/>
      <c r="BV53"/>
      <c r="BW53"/>
      <c r="BX53"/>
      <c r="BY53"/>
      <c r="BZ53"/>
      <c r="CA53"/>
      <c r="CB53"/>
      <c r="CC53"/>
      <c r="CD53"/>
      <c r="CE53"/>
      <c r="CF53"/>
      <c r="CG53"/>
      <c r="CH53"/>
      <c r="CI53"/>
      <c r="CJ53"/>
      <c r="CK53"/>
      <c r="CL53"/>
      <c r="CM53"/>
    </row>
    <row r="54" spans="1:91" s="1" customFormat="1" x14ac:dyDescent="0.25">
      <c r="A54" s="37" t="s">
        <v>531</v>
      </c>
      <c r="B54" s="7">
        <v>4044</v>
      </c>
      <c r="C54" s="22" t="s">
        <v>207</v>
      </c>
      <c r="D54" s="22" t="s">
        <v>697</v>
      </c>
      <c r="E54" s="13">
        <v>42715.369930555556</v>
      </c>
      <c r="F54" s="13">
        <v>42715.375451388885</v>
      </c>
      <c r="G54" s="7">
        <v>1</v>
      </c>
      <c r="H54" s="22" t="s">
        <v>698</v>
      </c>
      <c r="I54" s="13">
        <v>42715.399456018517</v>
      </c>
      <c r="J54" s="7">
        <v>1</v>
      </c>
      <c r="K54" s="109" t="str">
        <f t="shared" si="0"/>
        <v>4043/4044</v>
      </c>
      <c r="L54" s="22" t="str">
        <f>VLOOKUP(A54,'Trips&amp;Operators'!$C$1:$G$99999,5,FALSE)</f>
        <v>YORK EDGAR</v>
      </c>
      <c r="M54" s="6">
        <f t="shared" si="1"/>
        <v>2.400462963123573E-2</v>
      </c>
      <c r="N54" s="7">
        <f t="shared" si="19"/>
        <v>34.566666668979451</v>
      </c>
      <c r="O54" s="7"/>
      <c r="P54" s="7"/>
      <c r="Q54" s="23"/>
      <c r="R54" s="23"/>
      <c r="S54" s="35">
        <f t="shared" si="20"/>
        <v>1</v>
      </c>
      <c r="T54" s="50" t="str">
        <f t="shared" si="4"/>
        <v>NorthBound</v>
      </c>
      <c r="U54" s="171">
        <f>IF(AG54="EC",COUNTIFS(Variables!$M$2:$M$19,IF(T54="NorthBound","&gt;=","&lt;=")&amp;Y54,Variables!$M$2:$M$19,IF(T54="NorthBound","&lt;=","&gt;=")&amp;Z54),COUNTIFS(Variables!$P$2:$P$19,IF(T54="NorthBound","&gt;=","&lt;=")&amp;Y54,Variables!$P$2:$P$19,IF(T54="NorthBound","&lt;=","&gt;=")&amp;Z54))</f>
        <v>12</v>
      </c>
      <c r="V5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07:52:42-700',mode:absolute,to:'2016-12-11 10:35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54" s="52" t="str">
        <f t="shared" si="6"/>
        <v>N</v>
      </c>
      <c r="X54" s="177">
        <f t="shared" si="22"/>
        <v>1</v>
      </c>
      <c r="Y54" s="67">
        <f t="shared" si="8"/>
        <v>4.6199999999999998E-2</v>
      </c>
      <c r="Z54" s="67">
        <f t="shared" si="9"/>
        <v>23.3276</v>
      </c>
      <c r="AA54" s="67">
        <f t="shared" si="10"/>
        <v>23.281400000000001</v>
      </c>
      <c r="AB54" s="64" t="e">
        <f>VLOOKUP(A54,Enforcements!$C$7:$K$20,8,0)</f>
        <v>#N/A</v>
      </c>
      <c r="AC54" s="60" t="e">
        <f>VLOOKUP(A54,Enforcements!$C$7:$E$20,3,0)</f>
        <v>#N/A</v>
      </c>
      <c r="AD54" s="61" t="str">
        <f t="shared" si="11"/>
        <v>0143-11</v>
      </c>
      <c r="AE54" s="91" t="str">
        <f t="shared" si="12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54" s="88" t="str">
        <f t="shared" si="13"/>
        <v>"C:\Program Files (x86)\AstroGrep\AstroGrep.exe" /spath="%USERPROFILE%\AppData\Local\Temp\OnboardLogs" /stypes="app*4044*20161211*" /stext=" 16:.+((SYSTEM_STATE.+slice.+state.+changed )|(ment ac)|(multiple cpu faults)|(system.+state.+changed )|(\[timeout)|(PRM\|1\|D)|(kpr)|(kdp)|(\|lc)|(penalty))" /e /r /s</v>
      </c>
      <c r="AG54" s="1" t="str">
        <f t="shared" si="14"/>
        <v>EC</v>
      </c>
      <c r="AH54" s="92" t="str">
        <f t="shared" si="17"/>
        <v>"%USERPROFILE%\Documents\GitHub\eaglep3\Utilities\RefineRTDCRunTimes.py" --tripid 143-11 --locoid 4044 --swversion DE.1.0.8.0 --startMP 204:462 --initTime 2016-12-11T08:52:42 --startdatetime 2016-12-11T09:00:39 --delay 1 --endMP 204:233276 --enddatetime 2016-12-11T09:35:13 --enforcementcount 1 &gt;&gt;C:\Users\stu\Documents\GitHub\eaglep3-reporting\EC\2016-12-11-refined-times.txt</v>
      </c>
      <c r="AI54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{"issue":{"subject":"","project_id":79,"tracker_id":40,"status_id":1,"priority_id":2,"assigned_to_id":23,"start_date":"2016-12-11","description":"","custom_fields":[{"id":1,"name":"Subdivision","value":"EC"},{"id":4,"name":"Milepost","value":"23.3276"},{"id":17,"name":"Train ID","value":"143-11"},{"id":16,"name":"Locomotive ID","value":"4044"},{"id":130,"name":"Impact","value":""},{"id":150,"name":"Time of Event (Mountain Time)","value":"09:35:13"},{"id":151,"name":"Denver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4" s="53"/>
      <c r="AK54" s="53"/>
      <c r="AL54" s="53"/>
      <c r="AM54"/>
      <c r="AN54"/>
      <c r="AO54"/>
      <c r="AP54"/>
      <c r="AQ54"/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  <c r="BH54"/>
      <c r="BI54"/>
      <c r="BJ54"/>
      <c r="BK54"/>
      <c r="BL54"/>
      <c r="BM54"/>
      <c r="BN54"/>
      <c r="BO54"/>
      <c r="BP54"/>
      <c r="BQ54"/>
      <c r="BR54"/>
      <c r="BS54"/>
      <c r="BT54"/>
      <c r="BU54"/>
      <c r="BV54"/>
      <c r="BW54"/>
      <c r="BX54"/>
      <c r="BY54"/>
      <c r="BZ54"/>
      <c r="CA54"/>
      <c r="CB54"/>
      <c r="CC54"/>
      <c r="CD54"/>
      <c r="CE54"/>
      <c r="CF54"/>
      <c r="CG54"/>
      <c r="CH54"/>
      <c r="CI54"/>
      <c r="CJ54"/>
      <c r="CK54"/>
      <c r="CL54"/>
      <c r="CM54"/>
    </row>
    <row r="55" spans="1:91" s="1" customFormat="1" x14ac:dyDescent="0.25">
      <c r="A55" s="37" t="s">
        <v>537</v>
      </c>
      <c r="B55" s="7">
        <v>4043</v>
      </c>
      <c r="C55" s="22" t="s">
        <v>207</v>
      </c>
      <c r="D55" s="22" t="s">
        <v>699</v>
      </c>
      <c r="E55" s="13">
        <v>42715.400902777779</v>
      </c>
      <c r="F55" s="13">
        <v>42715.414305555554</v>
      </c>
      <c r="G55" s="7">
        <v>0</v>
      </c>
      <c r="H55" s="22" t="s">
        <v>681</v>
      </c>
      <c r="I55" s="13">
        <v>42715.440879629627</v>
      </c>
      <c r="J55" s="7">
        <v>1</v>
      </c>
      <c r="K55" s="109" t="str">
        <f t="shared" si="0"/>
        <v>4043/4044</v>
      </c>
      <c r="L55" s="22" t="str">
        <f>VLOOKUP(A55,'Trips&amp;Operators'!$C$1:$G$99999,5,FALSE)</f>
        <v>YORK EDGAR</v>
      </c>
      <c r="M55" s="6">
        <f t="shared" si="1"/>
        <v>2.6574074072414078E-2</v>
      </c>
      <c r="N55" s="7">
        <f t="shared" ref="N55:N86" si="23">24*60*SUM($M55:$M55)</f>
        <v>38.266666664276272</v>
      </c>
      <c r="O55" s="7"/>
      <c r="P55" s="7"/>
      <c r="Q55" s="23"/>
      <c r="R55" s="23"/>
      <c r="S55" s="35">
        <f t="shared" ref="S55:S86" si="24">SUM(U55:U55)/IF(AG55="EC",12,1)</f>
        <v>1</v>
      </c>
      <c r="T55" s="50" t="str">
        <f t="shared" si="4"/>
        <v>Southbound</v>
      </c>
      <c r="U55" s="171">
        <f>IF(AG55="EC",COUNTIFS(Variables!$M$2:$M$19,IF(T55="NorthBound","&gt;=","&lt;=")&amp;Y55,Variables!$M$2:$M$19,IF(T55="NorthBound","&lt;=","&gt;=")&amp;Z55),COUNTIFS(Variables!$P$2:$P$19,IF(T55="NorthBound","&gt;=","&lt;=")&amp;Y55,Variables!$P$2:$P$19,IF(T55="NorthBound","&lt;=","&gt;=")&amp;Z55))</f>
        <v>12</v>
      </c>
      <c r="V5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08:37:18-700',mode:absolute,to:'2016-12-11 11:34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55" s="52" t="str">
        <f t="shared" si="6"/>
        <v>N</v>
      </c>
      <c r="X55" s="177">
        <f t="shared" si="22"/>
        <v>1</v>
      </c>
      <c r="Y55" s="67">
        <f t="shared" si="8"/>
        <v>23.296600000000002</v>
      </c>
      <c r="Z55" s="67">
        <f t="shared" si="9"/>
        <v>1.5800000000000002E-2</v>
      </c>
      <c r="AA55" s="67">
        <f t="shared" si="10"/>
        <v>23.280800000000003</v>
      </c>
      <c r="AB55" s="64" t="e">
        <f>VLOOKUP(A55,Enforcements!$C$7:$K$20,8,0)</f>
        <v>#N/A</v>
      </c>
      <c r="AC55" s="60" t="e">
        <f>VLOOKUP(A55,Enforcements!$C$7:$E$20,3,0)</f>
        <v>#N/A</v>
      </c>
      <c r="AD55" s="61" t="str">
        <f t="shared" si="11"/>
        <v>0144-11</v>
      </c>
      <c r="AE55" s="91" t="str">
        <f t="shared" si="12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55" s="88" t="str">
        <f t="shared" si="13"/>
        <v>"C:\Program Files (x86)\AstroGrep\AstroGrep.exe" /spath="%USERPROFILE%\AppData\Local\Temp\OnboardLogs" /stypes="app*4043*20161211*" /stext=" 17:.+((SYSTEM_STATE.+slice.+state.+changed )|(ment ac)|(multiple cpu faults)|(system.+state.+changed )|(\[timeout)|(PRM\|1\|D)|(kpr)|(kdp)|(\|lc)|(penalty))" /e /r /s</v>
      </c>
      <c r="AG55" s="1" t="str">
        <f t="shared" si="14"/>
        <v>EC</v>
      </c>
      <c r="AH55" s="92" t="str">
        <f t="shared" si="17"/>
        <v>"%USERPROFILE%\Documents\GitHub\eaglep3\Utilities\RefineRTDCRunTimes.py" --tripid 144-11 --locoid 4043 --swversion DE.1.0.8.0 --startMP 204:232966 --initTime 2016-12-11T09:37:18 --startdatetime 2016-12-11T09:56:36 --delay 0 --endMP 204:158 --enddatetime 2016-12-11T10:34:52 --enforcementcount 1 &gt;&gt;C:\Users\stu\Documents\GitHub\eaglep3-reporting\EC\2016-12-11-refined-times.txt</v>
      </c>
      <c r="AI5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{"issue":{"subject":"","project_id":79,"tracker_id":40,"status_id":1,"priority_id":2,"assigned_to_id":23,"start_date":"2016-12-11","description":"","custom_fields":[{"id":1,"name":"Subdivision","value":"EC"},{"id":4,"name":"Milepost","value":"0.0158"},{"id":17,"name":"Train ID","value":"144-11"},{"id":16,"name":"Locomotive ID","value":"4043"},{"id":130,"name":"Impact","value":""},{"id":150,"name":"Time of Event (Mountain Time)","value":"10:34:52"},{"id":151,"name":"Denver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5" s="53"/>
      <c r="AK55" s="53"/>
      <c r="AL55" s="53"/>
      <c r="AM55"/>
      <c r="AN55"/>
      <c r="AO55"/>
      <c r="AP55"/>
      <c r="AQ55"/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  <c r="BH55"/>
      <c r="BI55"/>
      <c r="BJ55"/>
      <c r="BK55"/>
      <c r="BL55"/>
      <c r="BM55"/>
      <c r="BN55"/>
      <c r="BO55"/>
      <c r="BP55"/>
      <c r="BQ55"/>
      <c r="BR55"/>
      <c r="BS55"/>
      <c r="BT55"/>
      <c r="BU55"/>
      <c r="BV55"/>
      <c r="BW55"/>
      <c r="BX55"/>
      <c r="BY55"/>
      <c r="BZ55"/>
      <c r="CA55"/>
      <c r="CB55"/>
      <c r="CC55"/>
      <c r="CD55"/>
      <c r="CE55"/>
      <c r="CF55"/>
      <c r="CG55"/>
      <c r="CH55"/>
      <c r="CI55"/>
      <c r="CJ55"/>
      <c r="CK55"/>
      <c r="CL55"/>
      <c r="CM55"/>
    </row>
    <row r="56" spans="1:91" s="29" customFormat="1" x14ac:dyDescent="0.25">
      <c r="A56" s="37" t="s">
        <v>532</v>
      </c>
      <c r="B56" s="7">
        <v>4009</v>
      </c>
      <c r="C56" s="22" t="s">
        <v>207</v>
      </c>
      <c r="D56" s="22" t="s">
        <v>417</v>
      </c>
      <c r="E56" s="13">
        <v>42715.380787037036</v>
      </c>
      <c r="F56" s="13">
        <v>42715.385613425926</v>
      </c>
      <c r="G56" s="7">
        <v>2</v>
      </c>
      <c r="H56" s="22" t="s">
        <v>700</v>
      </c>
      <c r="I56" s="13">
        <v>42715.410046296296</v>
      </c>
      <c r="J56" s="7">
        <v>1</v>
      </c>
      <c r="K56" s="109" t="str">
        <f t="shared" si="0"/>
        <v>4009/4010</v>
      </c>
      <c r="L56" s="22" t="str">
        <f>VLOOKUP(A56,'Trips&amp;Operators'!$C$1:$G$99999,5,FALSE)</f>
        <v>ACKERMAN JARED</v>
      </c>
      <c r="M56" s="6">
        <f t="shared" si="1"/>
        <v>2.4432870370219462E-2</v>
      </c>
      <c r="N56" s="7">
        <f t="shared" si="23"/>
        <v>35.183333333116025</v>
      </c>
      <c r="O56" s="7"/>
      <c r="P56" s="7"/>
      <c r="Q56" s="23"/>
      <c r="R56" s="23"/>
      <c r="S56" s="35">
        <f t="shared" si="24"/>
        <v>1</v>
      </c>
      <c r="T56" s="50" t="str">
        <f t="shared" si="4"/>
        <v>NorthBound</v>
      </c>
      <c r="U56" s="171">
        <f>IF(AG56="EC",COUNTIFS(Variables!$M$2:$M$19,IF(T56="NorthBound","&gt;=","&lt;=")&amp;Y56,Variables!$M$2:$M$19,IF(T56="NorthBound","&lt;=","&gt;=")&amp;Z56),COUNTIFS(Variables!$P$2:$P$19,IF(T56="NorthBound","&gt;=","&lt;=")&amp;Y56,Variables!$P$2:$P$19,IF(T56="NorthBound","&lt;=","&gt;=")&amp;Z56))</f>
        <v>12</v>
      </c>
      <c r="V5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08:08:20-700',mode:absolute,to:'2016-12-11 10:50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56" s="52" t="str">
        <f t="shared" si="6"/>
        <v>N</v>
      </c>
      <c r="X56" s="177">
        <f t="shared" si="22"/>
        <v>1</v>
      </c>
      <c r="Y56" s="67">
        <f t="shared" si="8"/>
        <v>4.6699999999999998E-2</v>
      </c>
      <c r="Z56" s="67">
        <f t="shared" si="9"/>
        <v>23.3293</v>
      </c>
      <c r="AA56" s="67">
        <f t="shared" si="10"/>
        <v>23.282599999999999</v>
      </c>
      <c r="AB56" s="64" t="e">
        <f>VLOOKUP(A56,Enforcements!$C$7:$K$20,8,0)</f>
        <v>#N/A</v>
      </c>
      <c r="AC56" s="60" t="e">
        <f>VLOOKUP(A56,Enforcements!$C$7:$E$20,3,0)</f>
        <v>#N/A</v>
      </c>
      <c r="AD56" s="61" t="str">
        <f t="shared" si="11"/>
        <v>0145-11</v>
      </c>
      <c r="AE56" s="91" t="str">
        <f t="shared" si="12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56" s="88" t="str">
        <f t="shared" si="13"/>
        <v>"C:\Program Files (x86)\AstroGrep\AstroGrep.exe" /spath="%USERPROFILE%\AppData\Local\Temp\OnboardLogs" /stypes="app*4009*20161211*" /stext=" 16:.+((SYSTEM_STATE.+slice.+state.+changed )|(ment ac)|(multiple cpu faults)|(system.+state.+changed )|(\[timeout)|(PRM\|1\|D)|(kpr)|(kdp)|(\|lc)|(penalty))" /e /r /s</v>
      </c>
      <c r="AG56" s="1" t="str">
        <f t="shared" si="14"/>
        <v>EC</v>
      </c>
      <c r="AH56" s="92" t="str">
        <f t="shared" si="17"/>
        <v>"%USERPROFILE%\Documents\GitHub\eaglep3\Utilities\RefineRTDCRunTimes.py" --tripid 145-11 --locoid 4009 --swversion DE.1.0.8.0 --startMP 204:467 --initTime 2016-12-11T09:08:20 --startdatetime 2016-12-11T09:15:17 --delay 2 --endMP 204:233293 --enddatetime 2016-12-11T09:50:28 --enforcementcount 1 &gt;&gt;C:\Users\stu\Documents\GitHub\eaglep3-reporting\EC\2016-12-11-refined-times.txt</v>
      </c>
      <c r="AI5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{"issue":{"subject":"","project_id":79,"tracker_id":40,"status_id":1,"priority_id":2,"assigned_to_id":23,"start_date":"2016-12-11","description":"","custom_fields":[{"id":1,"name":"Subdivision","value":"EC"},{"id":4,"name":"Milepost","value":"23.3293"},{"id":17,"name":"Train ID","value":"145-11"},{"id":16,"name":"Locomotive ID","value":"4009"},{"id":130,"name":"Impact","value":""},{"id":150,"name":"Time of Event (Mountain Time)","value":"09:50:28"},{"id":151,"name":"Denver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6" s="53"/>
      <c r="AK56" s="53"/>
      <c r="AL56" s="53"/>
      <c r="AM56"/>
      <c r="AN56"/>
      <c r="AO56"/>
      <c r="AP56"/>
      <c r="AQ56"/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  <c r="BH56"/>
      <c r="BI56"/>
      <c r="BJ56"/>
      <c r="BK56"/>
      <c r="BL56"/>
      <c r="BM56"/>
      <c r="BN56"/>
      <c r="BO56"/>
      <c r="BP56"/>
      <c r="BQ56"/>
      <c r="BR56"/>
      <c r="BS56"/>
      <c r="BT56"/>
      <c r="BU56"/>
      <c r="BV56"/>
      <c r="BW56"/>
      <c r="BX56"/>
      <c r="BY56"/>
      <c r="BZ56"/>
      <c r="CA56"/>
      <c r="CB56"/>
      <c r="CC56"/>
      <c r="CD56"/>
      <c r="CE56"/>
      <c r="CF56"/>
      <c r="CG56"/>
      <c r="CH56"/>
      <c r="CI56"/>
      <c r="CJ56"/>
      <c r="CK56"/>
      <c r="CL56"/>
      <c r="CM56"/>
    </row>
    <row r="57" spans="1:91" s="1" customFormat="1" x14ac:dyDescent="0.25">
      <c r="A57" s="37" t="s">
        <v>541</v>
      </c>
      <c r="B57" s="7">
        <v>4010</v>
      </c>
      <c r="C57" s="22" t="s">
        <v>207</v>
      </c>
      <c r="D57" s="22" t="s">
        <v>352</v>
      </c>
      <c r="E57" s="13">
        <v>42715.416273148148</v>
      </c>
      <c r="F57" s="13">
        <v>42715.424502314818</v>
      </c>
      <c r="G57" s="7">
        <v>2</v>
      </c>
      <c r="H57" s="22" t="s">
        <v>681</v>
      </c>
      <c r="I57" s="13">
        <v>42715.451990740738</v>
      </c>
      <c r="J57" s="7">
        <v>1</v>
      </c>
      <c r="K57" s="109" t="str">
        <f t="shared" si="0"/>
        <v>4009/4010</v>
      </c>
      <c r="L57" s="22" t="str">
        <f>VLOOKUP(A57,'Trips&amp;Operators'!$C$1:$G$99999,5,FALSE)</f>
        <v>ACKERMAN JARED</v>
      </c>
      <c r="M57" s="6">
        <f t="shared" si="1"/>
        <v>2.7488425919727888E-2</v>
      </c>
      <c r="N57" s="7">
        <f t="shared" si="23"/>
        <v>39.583333324408159</v>
      </c>
      <c r="O57" s="7"/>
      <c r="P57" s="7"/>
      <c r="Q57" s="23"/>
      <c r="R57" s="23"/>
      <c r="S57" s="35">
        <f t="shared" si="24"/>
        <v>1</v>
      </c>
      <c r="T57" s="50" t="str">
        <f t="shared" si="4"/>
        <v>Southbound</v>
      </c>
      <c r="U57" s="171">
        <f>IF(AG57="EC",COUNTIFS(Variables!$M$2:$M$19,IF(T57="NorthBound","&gt;=","&lt;=")&amp;Y57,Variables!$M$2:$M$19,IF(T57="NorthBound","&lt;=","&gt;=")&amp;Z57),COUNTIFS(Variables!$P$2:$P$19,IF(T57="NorthBound","&gt;=","&lt;=")&amp;Y57,Variables!$P$2:$P$19,IF(T57="NorthBound","&lt;=","&gt;=")&amp;Z57))</f>
        <v>12</v>
      </c>
      <c r="V5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08:59:26-700',mode:absolute,to:'2016-12-11 11:50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57" s="52" t="str">
        <f t="shared" si="6"/>
        <v>N</v>
      </c>
      <c r="X57" s="177">
        <f t="shared" si="22"/>
        <v>1</v>
      </c>
      <c r="Y57" s="67">
        <f t="shared" si="8"/>
        <v>23.297499999999999</v>
      </c>
      <c r="Z57" s="67">
        <f t="shared" si="9"/>
        <v>1.5800000000000002E-2</v>
      </c>
      <c r="AA57" s="67">
        <f t="shared" si="10"/>
        <v>23.281700000000001</v>
      </c>
      <c r="AB57" s="64" t="e">
        <f>VLOOKUP(A57,Enforcements!$C$7:$K$20,8,0)</f>
        <v>#N/A</v>
      </c>
      <c r="AC57" s="60" t="e">
        <f>VLOOKUP(A57,Enforcements!$C$7:$E$20,3,0)</f>
        <v>#N/A</v>
      </c>
      <c r="AD57" s="61" t="str">
        <f t="shared" si="11"/>
        <v>0146-11</v>
      </c>
      <c r="AE57" s="91" t="str">
        <f t="shared" si="12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57" s="88" t="str">
        <f t="shared" si="13"/>
        <v>"C:\Program Files (x86)\AstroGrep\AstroGrep.exe" /spath="%USERPROFILE%\AppData\Local\Temp\OnboardLogs" /stypes="app*4010*20161211*" /stext=" 17:.+((SYSTEM_STATE.+slice.+state.+changed )|(ment ac)|(multiple cpu faults)|(system.+state.+changed )|(\[timeout)|(PRM\|1\|D)|(kpr)|(kdp)|(\|lc)|(penalty))" /e /r /s</v>
      </c>
      <c r="AG57" s="1" t="str">
        <f t="shared" si="14"/>
        <v>EC</v>
      </c>
      <c r="AH57" s="92" t="str">
        <f t="shared" si="17"/>
        <v>"%USERPROFILE%\Documents\GitHub\eaglep3\Utilities\RefineRTDCRunTimes.py" --tripid 146-11 --locoid 4010 --swversion DE.1.0.8.0 --startMP 204:232975 --initTime 2016-12-11T09:59:26 --startdatetime 2016-12-11T10:11:17 --delay 2 --endMP 204:158 --enddatetime 2016-12-11T10:50:52 --enforcementcount 1 &gt;&gt;C:\Users\stu\Documents\GitHub\eaglep3-reporting\EC\2016-12-11-refined-times.txt</v>
      </c>
      <c r="AI57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{"issue":{"subject":"","project_id":79,"tracker_id":40,"status_id":1,"priority_id":2,"assigned_to_id":23,"start_date":"2016-12-11","description":"","custom_fields":[{"id":1,"name":"Subdivision","value":"EC"},{"id":4,"name":"Milepost","value":"0.0158"},{"id":17,"name":"Train ID","value":"146-11"},{"id":16,"name":"Locomotive ID","value":"4010"},{"id":130,"name":"Impact","value":""},{"id":150,"name":"Time of Event (Mountain Time)","value":"10:50:52"},{"id":151,"name":"Denver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7" s="53"/>
      <c r="AK57" s="53"/>
      <c r="AL57" s="53"/>
      <c r="AM57"/>
      <c r="AN57"/>
      <c r="AO57"/>
      <c r="AP57"/>
      <c r="AQ57"/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  <c r="BH57"/>
      <c r="BI57"/>
      <c r="BJ57"/>
      <c r="BK57"/>
      <c r="BL57"/>
      <c r="BM57"/>
      <c r="BN57"/>
      <c r="BO57"/>
      <c r="BP57"/>
      <c r="BQ57"/>
      <c r="BR57"/>
      <c r="BS57"/>
      <c r="BT57"/>
      <c r="BU57"/>
      <c r="BV57"/>
      <c r="BW57"/>
      <c r="BX57"/>
      <c r="BY57"/>
      <c r="BZ57"/>
      <c r="CA57"/>
      <c r="CB57"/>
      <c r="CC57"/>
      <c r="CD57"/>
      <c r="CE57"/>
      <c r="CF57"/>
      <c r="CG57"/>
      <c r="CH57"/>
      <c r="CI57"/>
      <c r="CJ57"/>
      <c r="CK57"/>
      <c r="CL57"/>
      <c r="CM57"/>
    </row>
    <row r="58" spans="1:91" s="1" customFormat="1" x14ac:dyDescent="0.25">
      <c r="A58" s="37" t="s">
        <v>535</v>
      </c>
      <c r="B58" s="7">
        <v>4042</v>
      </c>
      <c r="C58" s="22" t="s">
        <v>207</v>
      </c>
      <c r="D58" s="22" t="s">
        <v>259</v>
      </c>
      <c r="E58" s="13">
        <v>42715.388124999998</v>
      </c>
      <c r="F58" s="13">
        <v>42715.396064814813</v>
      </c>
      <c r="G58" s="7">
        <v>3</v>
      </c>
      <c r="H58" s="22" t="s">
        <v>291</v>
      </c>
      <c r="I58" s="13">
        <v>42715.42119212963</v>
      </c>
      <c r="J58" s="7">
        <v>1</v>
      </c>
      <c r="K58" s="109" t="str">
        <f t="shared" si="0"/>
        <v>4041/4042</v>
      </c>
      <c r="L58" s="22" t="str">
        <f>VLOOKUP(A58,'Trips&amp;Operators'!$C$1:$G$99999,5,FALSE)</f>
        <v>DE LA ROSA ALEX</v>
      </c>
      <c r="M58" s="6">
        <f t="shared" si="1"/>
        <v>2.5127314816927537E-2</v>
      </c>
      <c r="N58" s="7">
        <f t="shared" si="23"/>
        <v>36.183333336375654</v>
      </c>
      <c r="O58" s="7"/>
      <c r="P58" s="7"/>
      <c r="Q58" s="23"/>
      <c r="R58" s="23"/>
      <c r="S58" s="35">
        <f t="shared" si="24"/>
        <v>1</v>
      </c>
      <c r="T58" s="50" t="str">
        <f t="shared" si="4"/>
        <v>NorthBound</v>
      </c>
      <c r="U58" s="171">
        <f>IF(AG58="EC",COUNTIFS(Variables!$M$2:$M$19,IF(T58="NorthBound","&gt;=","&lt;=")&amp;Y58,Variables!$M$2:$M$19,IF(T58="NorthBound","&lt;=","&gt;=")&amp;Z58),COUNTIFS(Variables!$P$2:$P$19,IF(T58="NorthBound","&gt;=","&lt;=")&amp;Y58,Variables!$P$2:$P$19,IF(T58="NorthBound","&lt;=","&gt;=")&amp;Z58))</f>
        <v>12</v>
      </c>
      <c r="V5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08:18:54-700',mode:absolute,to:'2016-12-11 11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58" s="52" t="str">
        <f t="shared" si="6"/>
        <v>N</v>
      </c>
      <c r="X58" s="177">
        <f t="shared" si="22"/>
        <v>1</v>
      </c>
      <c r="Y58" s="67">
        <f t="shared" si="8"/>
        <v>4.58E-2</v>
      </c>
      <c r="Z58" s="67">
        <f t="shared" si="9"/>
        <v>23.331499999999998</v>
      </c>
      <c r="AA58" s="67">
        <f t="shared" si="10"/>
        <v>23.285699999999999</v>
      </c>
      <c r="AB58" s="64" t="e">
        <f>VLOOKUP(A58,Enforcements!$C$7:$K$20,8,0)</f>
        <v>#N/A</v>
      </c>
      <c r="AC58" s="60" t="e">
        <f>VLOOKUP(A58,Enforcements!$C$7:$E$20,3,0)</f>
        <v>#N/A</v>
      </c>
      <c r="AD58" s="61" t="str">
        <f t="shared" si="11"/>
        <v>0147-11</v>
      </c>
      <c r="AE58" s="91" t="str">
        <f t="shared" si="12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58" s="88" t="str">
        <f t="shared" si="13"/>
        <v>"C:\Program Files (x86)\AstroGrep\AstroGrep.exe" /spath="%USERPROFILE%\AppData\Local\Temp\OnboardLogs" /stypes="app*4042*20161211*" /stext=" 17:.+((SYSTEM_STATE.+slice.+state.+changed )|(ment ac)|(multiple cpu faults)|(system.+state.+changed )|(\[timeout)|(PRM\|1\|D)|(kpr)|(kdp)|(\|lc)|(penalty))" /e /r /s</v>
      </c>
      <c r="AG58" s="1" t="str">
        <f t="shared" si="14"/>
        <v>EC</v>
      </c>
      <c r="AH58" s="92" t="str">
        <f t="shared" si="17"/>
        <v>"%USERPROFILE%\Documents\GitHub\eaglep3\Utilities\RefineRTDCRunTimes.py" --tripid 147-11 --locoid 4042 --swversion DE.1.0.8.0 --startMP 204:458 --initTime 2016-12-11T09:18:54 --startdatetime 2016-12-11T09:30:20 --delay 3 --endMP 204:233315 --enddatetime 2016-12-11T10:06:31 --enforcementcount 1 &gt;&gt;C:\Users\stu\Documents\GitHub\eaglep3-reporting\EC\2016-12-11-refined-times.txt</v>
      </c>
      <c r="AI58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{"issue":{"subject":"","project_id":79,"tracker_id":40,"status_id":1,"priority_id":2,"assigned_to_id":23,"start_date":"2016-12-11","description":"","custom_fields":[{"id":1,"name":"Subdivision","value":"EC"},{"id":4,"name":"Milepost","value":"23.3315"},{"id":17,"name":"Train ID","value":"147-11"},{"id":16,"name":"Locomotive ID","value":"4042"},{"id":130,"name":"Impact","value":""},{"id":150,"name":"Time of Event (Mountain Time)","value":"10:06:31"},{"id":151,"name":"Denver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8" s="53"/>
      <c r="AK58" s="53"/>
      <c r="AL58" s="53"/>
      <c r="AM58"/>
      <c r="AN58"/>
      <c r="AO58"/>
      <c r="AP58"/>
      <c r="AQ58"/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  <c r="BH58"/>
      <c r="BI58"/>
      <c r="BJ58"/>
      <c r="BK58"/>
      <c r="BL58"/>
      <c r="BM58"/>
      <c r="BN58"/>
      <c r="BO58"/>
      <c r="BP58"/>
      <c r="BQ58"/>
      <c r="BR58"/>
      <c r="BS58"/>
      <c r="BT58"/>
      <c r="BU58"/>
      <c r="BV58"/>
      <c r="BW58"/>
      <c r="BX58"/>
      <c r="BY58"/>
      <c r="BZ58"/>
      <c r="CA58"/>
      <c r="CB58"/>
      <c r="CC58"/>
      <c r="CD58"/>
      <c r="CE58"/>
      <c r="CF58"/>
      <c r="CG58"/>
      <c r="CH58"/>
      <c r="CI58"/>
      <c r="CJ58"/>
      <c r="CK58"/>
      <c r="CL58"/>
      <c r="CM58"/>
    </row>
    <row r="59" spans="1:91" s="1" customFormat="1" x14ac:dyDescent="0.25">
      <c r="A59" s="37" t="s">
        <v>545</v>
      </c>
      <c r="B59" s="7">
        <v>4041</v>
      </c>
      <c r="C59" s="22" t="s">
        <v>207</v>
      </c>
      <c r="D59" s="22" t="s">
        <v>409</v>
      </c>
      <c r="E59" s="13">
        <v>42715.432627314818</v>
      </c>
      <c r="F59" s="13">
        <v>42715.435243055559</v>
      </c>
      <c r="G59" s="7">
        <v>1</v>
      </c>
      <c r="H59" s="22" t="s">
        <v>227</v>
      </c>
      <c r="I59" s="13">
        <v>42715.461539351854</v>
      </c>
      <c r="J59" s="7">
        <v>1</v>
      </c>
      <c r="K59" s="109" t="str">
        <f t="shared" si="0"/>
        <v>4041/4042</v>
      </c>
      <c r="L59" s="22" t="str">
        <f>VLOOKUP(A59,'Trips&amp;Operators'!$C$1:$G$99999,5,FALSE)</f>
        <v>DE LA ROSA ALEX</v>
      </c>
      <c r="M59" s="6">
        <f t="shared" si="1"/>
        <v>2.6296296295186039E-2</v>
      </c>
      <c r="N59" s="7">
        <f t="shared" si="23"/>
        <v>37.866666665067896</v>
      </c>
      <c r="O59" s="7"/>
      <c r="P59" s="7"/>
      <c r="Q59" s="23"/>
      <c r="R59" s="23"/>
      <c r="S59" s="35">
        <f t="shared" si="24"/>
        <v>1</v>
      </c>
      <c r="T59" s="50" t="str">
        <f t="shared" si="4"/>
        <v>Southbound</v>
      </c>
      <c r="U59" s="171">
        <f>IF(AG59="EC",COUNTIFS(Variables!$M$2:$M$19,IF(T59="NorthBound","&gt;=","&lt;=")&amp;Y59,Variables!$M$2:$M$19,IF(T59="NorthBound","&lt;=","&gt;=")&amp;Z59),COUNTIFS(Variables!$P$2:$P$19,IF(T59="NorthBound","&gt;=","&lt;=")&amp;Y59,Variables!$P$2:$P$19,IF(T59="NorthBound","&lt;=","&gt;=")&amp;Z59))</f>
        <v>12</v>
      </c>
      <c r="V5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09:22:59-700',mode:absolute,to:'2016-12-11 12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59" s="52" t="str">
        <f t="shared" si="6"/>
        <v>N</v>
      </c>
      <c r="X59" s="177">
        <f t="shared" si="22"/>
        <v>1</v>
      </c>
      <c r="Y59" s="67">
        <f t="shared" si="8"/>
        <v>23.2989</v>
      </c>
      <c r="Z59" s="67">
        <f t="shared" si="9"/>
        <v>1.41E-2</v>
      </c>
      <c r="AA59" s="67">
        <f t="shared" si="10"/>
        <v>23.284800000000001</v>
      </c>
      <c r="AB59" s="64" t="e">
        <f>VLOOKUP(A59,Enforcements!$C$7:$K$20,8,0)</f>
        <v>#N/A</v>
      </c>
      <c r="AC59" s="60" t="e">
        <f>VLOOKUP(A59,Enforcements!$C$7:$E$20,3,0)</f>
        <v>#N/A</v>
      </c>
      <c r="AD59" s="61" t="str">
        <f t="shared" si="11"/>
        <v>0148-11</v>
      </c>
      <c r="AE59" s="91" t="str">
        <f t="shared" si="12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59" s="88" t="str">
        <f t="shared" si="13"/>
        <v>"C:\Program Files (x86)\AstroGrep\AstroGrep.exe" /spath="%USERPROFILE%\AppData\Local\Temp\OnboardLogs" /stypes="app*4041*20161211*" /stext=" 18:.+((SYSTEM_STATE.+slice.+state.+changed )|(ment ac)|(multiple cpu faults)|(system.+state.+changed )|(\[timeout)|(PRM\|1\|D)|(kpr)|(kdp)|(\|lc)|(penalty))" /e /r /s</v>
      </c>
      <c r="AG59" s="1" t="str">
        <f t="shared" si="14"/>
        <v>EC</v>
      </c>
      <c r="AH59" s="92" t="str">
        <f t="shared" si="17"/>
        <v>"%USERPROFILE%\Documents\GitHub\eaglep3\Utilities\RefineRTDCRunTimes.py" --tripid 148-11 --locoid 4041 --swversion DE.1.0.8.0 --startMP 204:232989 --initTime 2016-12-11T10:22:59 --startdatetime 2016-12-11T10:26:45 --delay 1 --endMP 204:141 --enddatetime 2016-12-11T11:04:37 --enforcementcount 1 &gt;&gt;C:\Users\stu\Documents\GitHub\eaglep3-reporting\EC\2016-12-11-refined-times.txt</v>
      </c>
      <c r="AI59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ID","value":"148-11"},{"id":16,"name":"Locomotive ID","value":"4041"},{"id":130,"name":"Impact","value":""},{"id":150,"name":"Time of Event (Mountain Time)","value":"11:04:37"},{"id":151,"name":"Denver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59" s="53"/>
      <c r="AK59" s="53"/>
      <c r="AL59" s="53"/>
      <c r="AM59"/>
      <c r="AN59"/>
      <c r="AO59"/>
      <c r="AP59"/>
      <c r="AQ59"/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  <c r="BH59"/>
      <c r="BI59"/>
      <c r="BJ59"/>
      <c r="BK59"/>
      <c r="BL59"/>
      <c r="BM59"/>
      <c r="BN59"/>
      <c r="BO59"/>
      <c r="BP59"/>
      <c r="BQ59"/>
      <c r="BR59"/>
      <c r="BS59"/>
      <c r="BT59"/>
      <c r="BU59"/>
      <c r="BV59"/>
      <c r="BW59"/>
      <c r="BX59"/>
      <c r="BY59"/>
      <c r="BZ59"/>
      <c r="CA59"/>
      <c r="CB59"/>
      <c r="CC59"/>
      <c r="CD59"/>
      <c r="CE59"/>
      <c r="CF59"/>
      <c r="CG59"/>
      <c r="CH59"/>
      <c r="CI59"/>
      <c r="CJ59"/>
      <c r="CK59"/>
      <c r="CL59"/>
      <c r="CM59"/>
    </row>
    <row r="60" spans="1:91" s="1" customFormat="1" x14ac:dyDescent="0.25">
      <c r="A60" s="37" t="s">
        <v>457</v>
      </c>
      <c r="B60" s="7">
        <v>4018</v>
      </c>
      <c r="C60" s="22" t="s">
        <v>207</v>
      </c>
      <c r="D60" s="22" t="s">
        <v>194</v>
      </c>
      <c r="E60" s="13">
        <v>42715.402430555558</v>
      </c>
      <c r="F60" s="13">
        <v>42715.406435185185</v>
      </c>
      <c r="G60" s="7">
        <v>1</v>
      </c>
      <c r="H60" s="22" t="s">
        <v>420</v>
      </c>
      <c r="I60" s="13">
        <v>42715.432141203702</v>
      </c>
      <c r="J60" s="7">
        <v>1</v>
      </c>
      <c r="K60" s="109" t="str">
        <f t="shared" si="0"/>
        <v>4017/4018</v>
      </c>
      <c r="L60" s="22" t="str">
        <f>VLOOKUP(A60,'Trips&amp;Operators'!$C$1:$G$99999,5,FALSE)</f>
        <v>DAVIS WENDY</v>
      </c>
      <c r="M60" s="6">
        <f t="shared" si="1"/>
        <v>2.5706018517666962E-2</v>
      </c>
      <c r="N60" s="7">
        <f t="shared" si="23"/>
        <v>37.016666665440425</v>
      </c>
      <c r="O60" s="7"/>
      <c r="P60" s="7"/>
      <c r="Q60" s="23"/>
      <c r="R60" s="23"/>
      <c r="S60" s="35">
        <f t="shared" si="24"/>
        <v>1</v>
      </c>
      <c r="T60" s="50" t="str">
        <f t="shared" si="4"/>
        <v>NorthBound</v>
      </c>
      <c r="U60" s="171">
        <f>IF(AG60="EC",COUNTIFS(Variables!$M$2:$M$19,IF(T60="NorthBound","&gt;=","&lt;=")&amp;Y60,Variables!$M$2:$M$19,IF(T60="NorthBound","&lt;=","&gt;=")&amp;Z60),COUNTIFS(Variables!$P$2:$P$19,IF(T60="NorthBound","&gt;=","&lt;=")&amp;Y60,Variables!$P$2:$P$19,IF(T60="NorthBound","&lt;=","&gt;=")&amp;Z60))</f>
        <v>12</v>
      </c>
      <c r="V6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08:39:30-700',mode:absolute,to:'2016-12-11 11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60" s="52" t="str">
        <f t="shared" si="6"/>
        <v>N</v>
      </c>
      <c r="X60" s="177">
        <f t="shared" si="22"/>
        <v>1</v>
      </c>
      <c r="Y60" s="67">
        <f t="shared" si="8"/>
        <v>4.4699999999999997E-2</v>
      </c>
      <c r="Z60" s="67">
        <f t="shared" si="9"/>
        <v>23.329499999999999</v>
      </c>
      <c r="AA60" s="67">
        <f t="shared" si="10"/>
        <v>23.284800000000001</v>
      </c>
      <c r="AB60" s="64" t="str">
        <f>VLOOKUP(A60,Enforcements!$C$7:$K$20,8,0)</f>
        <v>Speed (6)</v>
      </c>
      <c r="AC60" s="60" t="str">
        <f>VLOOKUP(A60,Enforcements!$C$7:$E$20,3,0)</f>
        <v>PERMANENT SPEED RESTRICTION</v>
      </c>
      <c r="AD60" s="61" t="str">
        <f t="shared" si="11"/>
        <v>0149-11</v>
      </c>
      <c r="AE60" s="91" t="str">
        <f t="shared" si="12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60" s="88" t="str">
        <f t="shared" si="13"/>
        <v>"C:\Program Files (x86)\AstroGrep\AstroGrep.exe" /spath="%USERPROFILE%\AppData\Local\Temp\OnboardLogs" /stypes="app*4018*20161211*" /stext=" 17:.+((SYSTEM_STATE.+slice.+state.+changed )|(ment ac)|(multiple cpu faults)|(system.+state.+changed )|(\[timeout)|(PRM\|1\|D)|(kpr)|(kdp)|(\|lc)|(penalty))" /e /r /s</v>
      </c>
      <c r="AG60" s="1" t="str">
        <f t="shared" si="14"/>
        <v>EC</v>
      </c>
      <c r="AH60" s="92" t="str">
        <f t="shared" si="17"/>
        <v>"%USERPROFILE%\Documents\GitHub\eaglep3\Utilities\RefineRTDCRunTimes.py" --tripid 149-11 --locoid 4018 --swversion DE.1.0.8.0 --startMP 204:447 --initTime 2016-12-11T09:39:30 --startdatetime 2016-12-11T09:45:16 --delay 1 --endMP 204:233295 --enddatetime 2016-12-11T10:22:17 --enforcementcount 1 &gt;&gt;C:\Users\stu\Documents\GitHub\eaglep3-reporting\EC\2016-12-11-refined-times.txt</v>
      </c>
      <c r="AI60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{"issue":{"subject":"","project_id":79,"tracker_id":40,"status_id":1,"priority_id":2,"assigned_to_id":23,"start_date":"2016-12-11","description":"","custom_fields":[{"id":1,"name":"Subdivision","value":"EC"},{"id":4,"name":"Milepost","value":"23.3295"},{"id":17,"name":"Train ID","value":"149-11"},{"id":16,"name":"Locomotive ID","value":"4018"},{"id":130,"name":"Impact","value":""},{"id":150,"name":"Time of Event (Mountain Time)","value":"10:22:17"},{"id":151,"name":"Denver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0" s="53"/>
      <c r="AK60" s="53"/>
      <c r="AL60" s="53"/>
      <c r="AM60"/>
      <c r="AN60"/>
      <c r="AO60"/>
      <c r="AP60"/>
      <c r="AQ60"/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  <c r="BH60"/>
      <c r="BI60"/>
      <c r="BJ60"/>
      <c r="BK60"/>
      <c r="BL60"/>
      <c r="BM60"/>
      <c r="BN60"/>
      <c r="BO60"/>
      <c r="BP60"/>
      <c r="BQ60"/>
      <c r="BR60"/>
      <c r="BS60"/>
      <c r="BT60"/>
      <c r="BU60"/>
      <c r="BV60"/>
      <c r="BW60"/>
      <c r="BX60"/>
      <c r="BY60"/>
      <c r="BZ60"/>
      <c r="CA60"/>
      <c r="CB60"/>
      <c r="CC60"/>
      <c r="CD60"/>
      <c r="CE60"/>
      <c r="CF60"/>
      <c r="CG60"/>
      <c r="CH60"/>
      <c r="CI60"/>
      <c r="CJ60"/>
      <c r="CK60"/>
      <c r="CL60"/>
      <c r="CM60"/>
    </row>
    <row r="61" spans="1:91" s="1" customFormat="1" x14ac:dyDescent="0.25">
      <c r="A61" s="37" t="s">
        <v>546</v>
      </c>
      <c r="B61" s="7">
        <v>4017</v>
      </c>
      <c r="C61" s="22" t="s">
        <v>207</v>
      </c>
      <c r="D61" s="22" t="s">
        <v>287</v>
      </c>
      <c r="E61" s="13">
        <v>42715.442037037035</v>
      </c>
      <c r="F61" s="13">
        <v>42715.445381944446</v>
      </c>
      <c r="G61" s="7">
        <v>1</v>
      </c>
      <c r="H61" s="22" t="s">
        <v>328</v>
      </c>
      <c r="I61" s="13">
        <v>42715.474108796298</v>
      </c>
      <c r="J61" s="7">
        <v>1</v>
      </c>
      <c r="K61" s="109" t="str">
        <f t="shared" si="0"/>
        <v>4017/4018</v>
      </c>
      <c r="L61" s="22" t="str">
        <f>VLOOKUP(A61,'Trips&amp;Operators'!$C$1:$G$99999,5,FALSE)</f>
        <v>DAVIS WENDY</v>
      </c>
      <c r="M61" s="6">
        <f t="shared" si="1"/>
        <v>2.8726851851388346E-2</v>
      </c>
      <c r="N61" s="7">
        <f t="shared" si="23"/>
        <v>41.366666665999219</v>
      </c>
      <c r="O61" s="7"/>
      <c r="P61" s="7"/>
      <c r="Q61" s="23"/>
      <c r="R61" s="23"/>
      <c r="S61" s="35">
        <f t="shared" si="24"/>
        <v>1</v>
      </c>
      <c r="T61" s="50" t="str">
        <f t="shared" si="4"/>
        <v>Southbound</v>
      </c>
      <c r="U61" s="171">
        <f>IF(AG61="EC",COUNTIFS(Variables!$M$2:$M$19,IF(T61="NorthBound","&gt;=","&lt;=")&amp;Y61,Variables!$M$2:$M$19,IF(T61="NorthBound","&lt;=","&gt;=")&amp;Z61),COUNTIFS(Variables!$P$2:$P$19,IF(T61="NorthBound","&gt;=","&lt;=")&amp;Y61,Variables!$P$2:$P$19,IF(T61="NorthBound","&lt;=","&gt;=")&amp;Z61))</f>
        <v>12</v>
      </c>
      <c r="V6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09:36:32-700',mode:absolute,to:'2016-12-11 12:22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61" s="52" t="str">
        <f t="shared" si="6"/>
        <v>N</v>
      </c>
      <c r="X61" s="177">
        <f t="shared" si="22"/>
        <v>1</v>
      </c>
      <c r="Y61" s="67">
        <f t="shared" si="8"/>
        <v>23.297799999999999</v>
      </c>
      <c r="Z61" s="67">
        <f t="shared" si="9"/>
        <v>1.32E-2</v>
      </c>
      <c r="AA61" s="67">
        <f t="shared" si="10"/>
        <v>23.284599999999998</v>
      </c>
      <c r="AB61" s="64" t="e">
        <f>VLOOKUP(A61,Enforcements!$C$7:$K$20,8,0)</f>
        <v>#N/A</v>
      </c>
      <c r="AC61" s="60" t="e">
        <f>VLOOKUP(A61,Enforcements!$C$7:$E$20,3,0)</f>
        <v>#N/A</v>
      </c>
      <c r="AD61" s="61" t="str">
        <f t="shared" si="11"/>
        <v>0150-11</v>
      </c>
      <c r="AE61" s="91" t="str">
        <f t="shared" si="12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61" s="88" t="str">
        <f t="shared" si="13"/>
        <v>"C:\Program Files (x86)\AstroGrep\AstroGrep.exe" /spath="%USERPROFILE%\AppData\Local\Temp\OnboardLogs" /stypes="app*4017*20161211*" /stext=" 18:.+((SYSTEM_STATE.+slice.+state.+changed )|(ment ac)|(multiple cpu faults)|(system.+state.+changed )|(\[timeout)|(PRM\|1\|D)|(kpr)|(kdp)|(\|lc)|(penalty))" /e /r /s</v>
      </c>
      <c r="AG61" s="1" t="str">
        <f t="shared" si="14"/>
        <v>EC</v>
      </c>
      <c r="AH61" s="92" t="str">
        <f t="shared" si="17"/>
        <v>"%USERPROFILE%\Documents\GitHub\eaglep3\Utilities\RefineRTDCRunTimes.py" --tripid 150-11 --locoid 4017 --swversion DE.1.0.8.0 --startMP 204:232978 --initTime 2016-12-11T10:36:32 --startdatetime 2016-12-11T10:41:21 --delay 1 --endMP 204:132 --enddatetime 2016-12-11T11:22:43 --enforcementcount 1 &gt;&gt;C:\Users\stu\Documents\GitHub\eaglep3-reporting\EC\2016-12-11-refined-times.txt</v>
      </c>
      <c r="AI61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{"issue":{"subject":"","project_id":79,"tracker_id":40,"status_id":1,"priority_id":2,"assigned_to_id":23,"start_date":"2016-12-11","description":"","custom_fields":[{"id":1,"name":"Subdivision","value":"EC"},{"id":4,"name":"Milepost","value":"0.0132"},{"id":17,"name":"Train ID","value":"150-11"},{"id":16,"name":"Locomotive ID","value":"4017"},{"id":130,"name":"Impact","value":""},{"id":150,"name":"Time of Event (Mountain Time)","value":"11:22:43"},{"id":151,"name":"Denver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1" s="53"/>
      <c r="AK61" s="53"/>
      <c r="AL61" s="53"/>
      <c r="AM61"/>
      <c r="AN61"/>
      <c r="AO61"/>
      <c r="AP61"/>
      <c r="AQ61"/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  <c r="BH61"/>
      <c r="BI61"/>
      <c r="BJ61"/>
      <c r="BK61"/>
      <c r="BL61"/>
      <c r="BM61"/>
      <c r="BN61"/>
      <c r="BO61"/>
      <c r="BP61"/>
      <c r="BQ61"/>
      <c r="BR61"/>
      <c r="BS61"/>
      <c r="BT61"/>
      <c r="BU61"/>
      <c r="BV61"/>
      <c r="BW61"/>
      <c r="BX61"/>
      <c r="BY61"/>
      <c r="BZ61"/>
      <c r="CA61"/>
      <c r="CB61"/>
      <c r="CC61"/>
      <c r="CD61"/>
      <c r="CE61"/>
      <c r="CF61"/>
      <c r="CG61"/>
      <c r="CH61"/>
      <c r="CI61"/>
      <c r="CJ61"/>
      <c r="CK61"/>
      <c r="CL61"/>
      <c r="CM61"/>
    </row>
    <row r="62" spans="1:91" s="1" customFormat="1" x14ac:dyDescent="0.25">
      <c r="A62" s="37" t="s">
        <v>539</v>
      </c>
      <c r="B62" s="7">
        <v>4022</v>
      </c>
      <c r="C62" s="22" t="s">
        <v>207</v>
      </c>
      <c r="D62" s="22" t="s">
        <v>701</v>
      </c>
      <c r="E62" s="13">
        <v>42715.410729166666</v>
      </c>
      <c r="F62" s="13">
        <v>42715.417164351849</v>
      </c>
      <c r="G62" s="7">
        <v>1</v>
      </c>
      <c r="H62" s="22" t="s">
        <v>702</v>
      </c>
      <c r="I62" s="13">
        <v>42715.440428240741</v>
      </c>
      <c r="J62" s="7">
        <v>1</v>
      </c>
      <c r="K62" s="109" t="str">
        <f t="shared" si="0"/>
        <v>4021/4022</v>
      </c>
      <c r="L62" s="22" t="str">
        <f>VLOOKUP(A62,'Trips&amp;Operators'!$C$1:$G$99999,5,FALSE)</f>
        <v>ISHMAEL JOSEPH</v>
      </c>
      <c r="M62" s="6">
        <f t="shared" si="1"/>
        <v>2.326388889196096E-2</v>
      </c>
      <c r="N62" s="7">
        <f t="shared" si="23"/>
        <v>33.500000004423782</v>
      </c>
      <c r="O62" s="7"/>
      <c r="P62" s="7"/>
      <c r="Q62" s="23"/>
      <c r="R62" s="23" t="s">
        <v>838</v>
      </c>
      <c r="S62" s="35">
        <f t="shared" si="24"/>
        <v>1</v>
      </c>
      <c r="T62" s="50" t="str">
        <f t="shared" si="4"/>
        <v>NorthBound</v>
      </c>
      <c r="U62" s="171">
        <f>IF(AG62="EC",COUNTIFS(Variables!$M$2:$M$19,IF(T62="NorthBound","&gt;=","&lt;=")&amp;Y62,Variables!$M$2:$M$19,IF(T62="NorthBound","&lt;=","&gt;=")&amp;Z62),COUNTIFS(Variables!$P$2:$P$19,IF(T62="NorthBound","&gt;=","&lt;=")&amp;Y62,Variables!$P$2:$P$19,IF(T62="NorthBound","&lt;=","&gt;=")&amp;Z62))</f>
        <v>12</v>
      </c>
      <c r="V6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08:51:27-700',mode:absolute,to:'2016-12-11 11:34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62" s="52" t="str">
        <f t="shared" si="6"/>
        <v>Y</v>
      </c>
      <c r="X62" s="177">
        <f t="shared" si="22"/>
        <v>1</v>
      </c>
      <c r="Y62" s="67">
        <f t="shared" si="8"/>
        <v>0.11409999999999999</v>
      </c>
      <c r="Z62" s="67">
        <f t="shared" si="9"/>
        <v>22.762899999999998</v>
      </c>
      <c r="AA62" s="67">
        <f t="shared" si="10"/>
        <v>22.648799999999998</v>
      </c>
      <c r="AB62" s="64" t="e">
        <f>VLOOKUP(A62,Enforcements!$C$7:$K$20,8,0)</f>
        <v>#N/A</v>
      </c>
      <c r="AC62" s="60" t="e">
        <f>VLOOKUP(A62,Enforcements!$C$7:$E$20,3,0)</f>
        <v>#N/A</v>
      </c>
      <c r="AD62" s="61" t="str">
        <f t="shared" si="11"/>
        <v>0151-11</v>
      </c>
      <c r="AE62" s="91" t="str">
        <f t="shared" si="12"/>
        <v>aws s3 cp s3://rtdc.mdm.uploadarchive.raw/RTDC4022/ "%USERPROFILE%\AppData\Local\Temp\OnboardLogs"\RTDC4022\2016-12-11 --exclude "*" --recursive --include "*20161211*" &amp; "%USERPROFILE%\Documents\GitHub\mrs-test-scripts\Headless Mode &amp; Sideloading\WalkAndUnGZ.bat" "%USERPROFILE%\AppData\Local\Temp\OnboardLogs"\RTDC4022\2016-12-11 &amp; aws s3 cp s3://rtdc.mdm.uploadarchive.raw/RTDC4022/ "%USERPROFILE%\AppData\Local\Temp\OnboardLogs"\RTDC4022\2016-12-12 --exclude "*" --recursive --include "*20161212*" &amp; "%USERPROFILE%\Documents\GitHub\mrs-test-scripts\Headless Mode &amp; Sideloading\WalkAndUnGZ.bat" "%USERPROFILE%\AppData\Local\Temp\OnboardLogs"\RTDC4022\2016-12-12</v>
      </c>
      <c r="AF62" s="88" t="str">
        <f t="shared" si="13"/>
        <v>"C:\Program Files (x86)\AstroGrep\AstroGrep.exe" /spath="%USERPROFILE%\AppData\Local\Temp\OnboardLogs" /stypes="app*4022*20161211*" /stext=" 17:.+((SYSTEM_STATE.+slice.+state.+changed )|(ment ac)|(multiple cpu faults)|(system.+state.+changed )|(\[timeout)|(PRM\|1\|D)|(kpr)|(kdp)|(\|lc)|(penalty))" /e /r /s</v>
      </c>
      <c r="AG62" s="1" t="str">
        <f t="shared" si="14"/>
        <v>EC</v>
      </c>
      <c r="AH62" s="92" t="str">
        <f t="shared" si="17"/>
        <v>"%USERPROFILE%\Documents\GitHub\eaglep3\Utilities\RefineRTDCRunTimes.py" --tripid 151-11 --locoid 4022 --swversion DE.1.0.8.0 --startMP 204:1141 --initTime 2016-12-11T09:51:27 --startdatetime 2016-12-11T10:00:43 --delay 1 --endMP 204:227629 --enddatetime 2016-12-11T10:34:13 --enforcementcount 1 &gt;&gt;C:\Users\stu\Documents\GitHub\eaglep3-reporting\EC\2016-12-11-refined-times.txt</v>
      </c>
      <c r="AI62" s="119" t="str">
        <f t="shared" si="18"/>
        <v>echo {"issue":{"subject":"Stop and barricade test","project_id":79,"tracker_id":40,"status_id":1,"priority_id":2,"assigned_to_id":23,"start_date":"2016-12-11","description":"","custom_fields":[{"id":1,"name":"Subdivision","value":"EC"},{"id":4,"name":"Milepost","value":"22.7629"},{"id":17,"name":"Train ID","value":"151-11"},{"id":16,"name":"Locomotive ID","value":"4022"},{"id":130,"name":"Impact","value":""},{"id":150,"name":"Time of Event (Mountain Time)","value":"10:34:13"},{"id":151,"name":"Denver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2" s="53"/>
      <c r="AK62" s="53"/>
      <c r="AL62" s="53"/>
      <c r="AM62"/>
      <c r="AN62"/>
      <c r="AO62"/>
      <c r="AP62"/>
      <c r="AQ62"/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  <c r="BH62"/>
      <c r="BI62"/>
      <c r="BJ62"/>
      <c r="BK62"/>
      <c r="BL62"/>
      <c r="BM62"/>
      <c r="BN62"/>
      <c r="BO62"/>
      <c r="BP62"/>
      <c r="BQ62"/>
      <c r="BR62"/>
      <c r="BS62"/>
      <c r="BT62"/>
      <c r="BU62"/>
      <c r="BV62"/>
      <c r="BW62"/>
      <c r="BX62"/>
      <c r="BY62"/>
      <c r="BZ62"/>
      <c r="CA62"/>
      <c r="CB62"/>
      <c r="CC62"/>
      <c r="CD62"/>
      <c r="CE62"/>
      <c r="CF62"/>
      <c r="CG62"/>
      <c r="CH62"/>
      <c r="CI62"/>
      <c r="CJ62"/>
      <c r="CK62"/>
      <c r="CL62"/>
      <c r="CM62"/>
    </row>
    <row r="63" spans="1:91" s="1" customFormat="1" x14ac:dyDescent="0.25">
      <c r="A63" s="37" t="s">
        <v>548</v>
      </c>
      <c r="B63" s="7">
        <v>4021</v>
      </c>
      <c r="C63" s="22" t="s">
        <v>207</v>
      </c>
      <c r="D63" s="22" t="s">
        <v>703</v>
      </c>
      <c r="E63" s="13">
        <v>42715.452824074076</v>
      </c>
      <c r="F63" s="13">
        <v>42715.455891203703</v>
      </c>
      <c r="G63" s="7">
        <v>1</v>
      </c>
      <c r="H63" s="22" t="s">
        <v>681</v>
      </c>
      <c r="I63" s="13">
        <v>42715.483078703706</v>
      </c>
      <c r="J63" s="7">
        <v>1</v>
      </c>
      <c r="K63" s="109" t="str">
        <f t="shared" si="0"/>
        <v>4021/4022</v>
      </c>
      <c r="L63" s="22" t="str">
        <f>VLOOKUP(A63,'Trips&amp;Operators'!$C$1:$G$99999,5,FALSE)</f>
        <v>ISHMAEL JOSEPH</v>
      </c>
      <c r="M63" s="6">
        <f t="shared" si="1"/>
        <v>2.718750000349246E-2</v>
      </c>
      <c r="N63" s="7">
        <f t="shared" si="23"/>
        <v>39.150000005029142</v>
      </c>
      <c r="O63" s="7"/>
      <c r="P63" s="7"/>
      <c r="Q63" s="23"/>
      <c r="R63" s="23"/>
      <c r="S63" s="35">
        <f t="shared" si="24"/>
        <v>1</v>
      </c>
      <c r="T63" s="50" t="str">
        <f t="shared" si="4"/>
        <v>Southbound</v>
      </c>
      <c r="U63" s="171">
        <f>IF(AG63="EC",COUNTIFS(Variables!$M$2:$M$19,IF(T63="NorthBound","&gt;=","&lt;=")&amp;Y63,Variables!$M$2:$M$19,IF(T63="NorthBound","&lt;=","&gt;=")&amp;Z63),COUNTIFS(Variables!$P$2:$P$19,IF(T63="NorthBound","&gt;=","&lt;=")&amp;Y63,Variables!$P$2:$P$19,IF(T63="NorthBound","&lt;=","&gt;=")&amp;Z63))</f>
        <v>12</v>
      </c>
      <c r="V6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09:52:04-700',mode:absolute,to:'2016-12-11 12:35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63" s="52" t="str">
        <f t="shared" si="6"/>
        <v>N</v>
      </c>
      <c r="X63" s="177">
        <f t="shared" si="22"/>
        <v>1</v>
      </c>
      <c r="Y63" s="67">
        <f t="shared" si="8"/>
        <v>23.299099999999999</v>
      </c>
      <c r="Z63" s="67">
        <f t="shared" si="9"/>
        <v>1.5800000000000002E-2</v>
      </c>
      <c r="AA63" s="67">
        <f t="shared" si="10"/>
        <v>23.283300000000001</v>
      </c>
      <c r="AB63" s="64" t="e">
        <f>VLOOKUP(A63,Enforcements!$C$7:$K$20,8,0)</f>
        <v>#N/A</v>
      </c>
      <c r="AC63" s="60" t="e">
        <f>VLOOKUP(A63,Enforcements!$C$7:$E$20,3,0)</f>
        <v>#N/A</v>
      </c>
      <c r="AD63" s="61" t="str">
        <f t="shared" si="11"/>
        <v>0152-11</v>
      </c>
      <c r="AE63" s="91" t="str">
        <f t="shared" si="12"/>
        <v>aws s3 cp s3://rtdc.mdm.uploadarchive.raw/RTDC4021/ "%USERPROFILE%\AppData\Local\Temp\OnboardLogs"\RTDC4021\2016-12-11 --exclude "*" --recursive --include "*20161211*" &amp; "%USERPROFILE%\Documents\GitHub\mrs-test-scripts\Headless Mode &amp; Sideloading\WalkAndUnGZ.bat" "%USERPROFILE%\AppData\Local\Temp\OnboardLogs"\RTDC4021\2016-12-11 &amp; aws s3 cp s3://rtdc.mdm.uploadarchive.raw/RTDC4021/ "%USERPROFILE%\AppData\Local\Temp\OnboardLogs"\RTDC4021\2016-12-12 --exclude "*" --recursive --include "*20161212*" &amp; "%USERPROFILE%\Documents\GitHub\mrs-test-scripts\Headless Mode &amp; Sideloading\WalkAndUnGZ.bat" "%USERPROFILE%\AppData\Local\Temp\OnboardLogs"\RTDC4021\2016-12-12</v>
      </c>
      <c r="AF63" s="88" t="str">
        <f t="shared" si="13"/>
        <v>"C:\Program Files (x86)\AstroGrep\AstroGrep.exe" /spath="%USERPROFILE%\AppData\Local\Temp\OnboardLogs" /stypes="app*4021*20161211*" /stext=" 18:.+((SYSTEM_STATE.+slice.+state.+changed )|(ment ac)|(multiple cpu faults)|(system.+state.+changed )|(\[timeout)|(PRM\|1\|D)|(kpr)|(kdp)|(\|lc)|(penalty))" /e /r /s</v>
      </c>
      <c r="AG63" s="1" t="str">
        <f t="shared" si="14"/>
        <v>EC</v>
      </c>
      <c r="AH63" s="92" t="str">
        <f t="shared" si="17"/>
        <v>"%USERPROFILE%\Documents\GitHub\eaglep3\Utilities\RefineRTDCRunTimes.py" --tripid 152-11 --locoid 4021 --swversion DE.1.0.8.0 --startMP 204:232991 --initTime 2016-12-11T10:52:04 --startdatetime 2016-12-11T10:56:29 --delay 1 --endMP 204:158 --enddatetime 2016-12-11T11:35:38 --enforcementcount 1 &gt;&gt;C:\Users\stu\Documents\GitHub\eaglep3-reporting\EC\2016-12-11-refined-times.txt</v>
      </c>
      <c r="AI63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{"issue":{"subject":"","project_id":79,"tracker_id":40,"status_id":1,"priority_id":2,"assigned_to_id":23,"start_date":"2016-12-11","description":"","custom_fields":[{"id":1,"name":"Subdivision","value":"EC"},{"id":4,"name":"Milepost","value":"0.0158"},{"id":17,"name":"Train ID","value":"152-11"},{"id":16,"name":"Locomotive ID","value":"4021"},{"id":130,"name":"Impact","value":""},{"id":150,"name":"Time of Event (Mountain Time)","value":"11:35:38"},{"id":151,"name":"Denver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3" s="53"/>
      <c r="AK63" s="53"/>
      <c r="AL63" s="53"/>
      <c r="AM63"/>
      <c r="AN63"/>
      <c r="AO63"/>
      <c r="AP63"/>
      <c r="AQ63"/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  <c r="BH63"/>
      <c r="BI63"/>
      <c r="BJ63"/>
      <c r="BK63"/>
      <c r="BL63"/>
      <c r="BM63"/>
      <c r="BN63"/>
      <c r="BO63"/>
      <c r="BP63"/>
      <c r="BQ63"/>
      <c r="BR63"/>
      <c r="BS63"/>
      <c r="BT63"/>
      <c r="BU63"/>
      <c r="BV63"/>
      <c r="BW63"/>
      <c r="BX63"/>
      <c r="BY63"/>
      <c r="BZ63"/>
      <c r="CA63"/>
      <c r="CB63"/>
      <c r="CC63"/>
      <c r="CD63"/>
      <c r="CE63"/>
      <c r="CF63"/>
      <c r="CG63"/>
      <c r="CH63"/>
      <c r="CI63"/>
      <c r="CJ63"/>
      <c r="CK63"/>
      <c r="CL63"/>
      <c r="CM63"/>
    </row>
    <row r="64" spans="1:91" s="1" customFormat="1" x14ac:dyDescent="0.25">
      <c r="A64" s="37" t="s">
        <v>542</v>
      </c>
      <c r="B64" s="7">
        <v>4029</v>
      </c>
      <c r="C64" s="22" t="s">
        <v>207</v>
      </c>
      <c r="D64" s="22" t="s">
        <v>704</v>
      </c>
      <c r="E64" s="13">
        <v>42715.423148148147</v>
      </c>
      <c r="F64" s="13">
        <v>42715.42732638889</v>
      </c>
      <c r="G64" s="7">
        <v>1</v>
      </c>
      <c r="H64" s="22" t="s">
        <v>327</v>
      </c>
      <c r="I64" s="13">
        <v>42715.45175925926</v>
      </c>
      <c r="J64" s="7">
        <v>1</v>
      </c>
      <c r="K64" s="109" t="str">
        <f t="shared" si="0"/>
        <v>4029/4030</v>
      </c>
      <c r="L64" s="22" t="str">
        <f>VLOOKUP(A64,'Trips&amp;Operators'!$C$1:$G$99999,5,FALSE)</f>
        <v>HAITHCOX MICHAEL</v>
      </c>
      <c r="M64" s="6">
        <f t="shared" si="1"/>
        <v>2.4432870370219462E-2</v>
      </c>
      <c r="N64" s="7">
        <f t="shared" si="23"/>
        <v>35.183333333116025</v>
      </c>
      <c r="O64" s="7"/>
      <c r="P64" s="7"/>
      <c r="Q64" s="23"/>
      <c r="R64" s="23"/>
      <c r="S64" s="35">
        <f t="shared" si="24"/>
        <v>1</v>
      </c>
      <c r="T64" s="50" t="str">
        <f t="shared" si="4"/>
        <v>NorthBound</v>
      </c>
      <c r="U64" s="171">
        <f>IF(AG64="EC",COUNTIFS(Variables!$M$2:$M$19,IF(T64="NorthBound","&gt;=","&lt;=")&amp;Y64,Variables!$M$2:$M$19,IF(T64="NorthBound","&lt;=","&gt;=")&amp;Z64),COUNTIFS(Variables!$P$2:$P$19,IF(T64="NorthBound","&gt;=","&lt;=")&amp;Y64,Variables!$P$2:$P$19,IF(T64="NorthBound","&lt;=","&gt;=")&amp;Z64))</f>
        <v>12</v>
      </c>
      <c r="V6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09:09:20-700',mode:absolute,to:'2016-12-11 11:50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64" s="52" t="str">
        <f t="shared" si="6"/>
        <v>N</v>
      </c>
      <c r="X64" s="177">
        <f t="shared" si="22"/>
        <v>1</v>
      </c>
      <c r="Y64" s="67">
        <f t="shared" si="8"/>
        <v>4.9299999999999997E-2</v>
      </c>
      <c r="Z64" s="67">
        <f t="shared" si="9"/>
        <v>23.327400000000001</v>
      </c>
      <c r="AA64" s="67">
        <f t="shared" si="10"/>
        <v>23.278100000000002</v>
      </c>
      <c r="AB64" s="64" t="e">
        <f>VLOOKUP(A64,Enforcements!$C$7:$K$20,8,0)</f>
        <v>#N/A</v>
      </c>
      <c r="AC64" s="60" t="e">
        <f>VLOOKUP(A64,Enforcements!$C$7:$E$20,3,0)</f>
        <v>#N/A</v>
      </c>
      <c r="AD64" s="61" t="str">
        <f t="shared" si="11"/>
        <v>0153-11</v>
      </c>
      <c r="AE64" s="91" t="str">
        <f t="shared" si="12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64" s="88" t="str">
        <f t="shared" si="13"/>
        <v>"C:\Program Files (x86)\AstroGrep\AstroGrep.exe" /spath="%USERPROFILE%\AppData\Local\Temp\OnboardLogs" /stypes="app*4029*20161211*" /stext=" 17:.+((SYSTEM_STATE.+slice.+state.+changed )|(ment ac)|(multiple cpu faults)|(system.+state.+changed )|(\[timeout)|(PRM\|1\|D)|(kpr)|(kdp)|(\|lc)|(penalty))" /e /r /s</v>
      </c>
      <c r="AG64" s="1" t="str">
        <f t="shared" si="14"/>
        <v>EC</v>
      </c>
      <c r="AH64" s="92" t="str">
        <f t="shared" si="17"/>
        <v>"%USERPROFILE%\Documents\GitHub\eaglep3\Utilities\RefineRTDCRunTimes.py" --tripid 153-11 --locoid 4029 --swversion DE.1.0.8.0 --startMP 204:493 --initTime 2016-12-11T10:09:20 --startdatetime 2016-12-11T10:15:21 --delay 1 --endMP 204:233274 --enddatetime 2016-12-11T10:50:32 --enforcementcount 1 &gt;&gt;C:\Users\stu\Documents\GitHub\eaglep3-reporting\EC\2016-12-11-refined-times.txt</v>
      </c>
      <c r="AI64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{"issue":{"subject":"","project_id":79,"tracker_id":40,"status_id":1,"priority_id":2,"assigned_to_id":23,"start_date":"2016-12-11","description":"","custom_fields":[{"id":1,"name":"Subdivision","value":"EC"},{"id":4,"name":"Milepost","value":"23.3274"},{"id":17,"name":"Train ID","value":"153-11"},{"id":16,"name":"Locomotive ID","value":"4029"},{"id":130,"name":"Impact","value":""},{"id":150,"name":"Time of Event (Mountain Time)","value":"10:50:32"},{"id":151,"name":"Denver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4" s="53"/>
      <c r="AK64" s="53"/>
      <c r="AL64" s="53"/>
      <c r="AM64"/>
      <c r="AN64"/>
      <c r="AO64"/>
      <c r="AP64"/>
      <c r="AQ64"/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</row>
    <row r="65" spans="1:91" s="1" customFormat="1" x14ac:dyDescent="0.25">
      <c r="A65" s="37" t="s">
        <v>461</v>
      </c>
      <c r="B65" s="7">
        <v>4030</v>
      </c>
      <c r="C65" s="22" t="s">
        <v>207</v>
      </c>
      <c r="D65" s="22" t="s">
        <v>411</v>
      </c>
      <c r="E65" s="13">
        <v>42715.463009259256</v>
      </c>
      <c r="F65" s="13">
        <v>42715.466168981482</v>
      </c>
      <c r="G65" s="7">
        <v>1</v>
      </c>
      <c r="H65" s="22" t="s">
        <v>192</v>
      </c>
      <c r="I65" s="13">
        <v>42715.493819444448</v>
      </c>
      <c r="J65" s="7">
        <v>1</v>
      </c>
      <c r="K65" s="109" t="str">
        <f t="shared" si="0"/>
        <v>4029/4030</v>
      </c>
      <c r="L65" s="22" t="str">
        <f>VLOOKUP(A65,'Trips&amp;Operators'!$C$1:$G$99999,5,FALSE)</f>
        <v>HAITHCOX MICHAEL</v>
      </c>
      <c r="M65" s="6">
        <f t="shared" si="1"/>
        <v>2.7650462965539191E-2</v>
      </c>
      <c r="N65" s="7">
        <f t="shared" si="23"/>
        <v>39.816666670376435</v>
      </c>
      <c r="O65" s="7"/>
      <c r="P65" s="7"/>
      <c r="Q65" s="23"/>
      <c r="R65" s="23"/>
      <c r="S65" s="35">
        <f t="shared" si="24"/>
        <v>1</v>
      </c>
      <c r="T65" s="50" t="str">
        <f t="shared" si="4"/>
        <v>Southbound</v>
      </c>
      <c r="U65" s="171">
        <f>IF(AG65="EC",COUNTIFS(Variables!$M$2:$M$19,IF(T65="NorthBound","&gt;=","&lt;=")&amp;Y65,Variables!$M$2:$M$19,IF(T65="NorthBound","&lt;=","&gt;=")&amp;Z65),COUNTIFS(Variables!$P$2:$P$19,IF(T65="NorthBound","&gt;=","&lt;=")&amp;Y65,Variables!$P$2:$P$19,IF(T65="NorthBound","&lt;=","&gt;=")&amp;Z65))</f>
        <v>12</v>
      </c>
      <c r="V6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10:06:44-700',mode:absolute,to:'2016-12-11 12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65" s="52" t="str">
        <f t="shared" si="6"/>
        <v>N</v>
      </c>
      <c r="X65" s="177">
        <f t="shared" si="22"/>
        <v>1</v>
      </c>
      <c r="Y65" s="67">
        <f t="shared" si="8"/>
        <v>23.296099999999999</v>
      </c>
      <c r="Z65" s="67">
        <f t="shared" si="9"/>
        <v>1.49E-2</v>
      </c>
      <c r="AA65" s="67">
        <f t="shared" si="10"/>
        <v>23.281199999999998</v>
      </c>
      <c r="AB65" s="64" t="str">
        <f>VLOOKUP(A65,Enforcements!$C$7:$K$20,8,0)</f>
        <v>Bulletin (2)</v>
      </c>
      <c r="AC65" s="60" t="str">
        <f>VLOOKUP(A65,Enforcements!$C$7:$E$20,3,0)</f>
        <v>TEMPORARY SPEED RESTRICTION</v>
      </c>
      <c r="AD65" s="61" t="str">
        <f t="shared" si="11"/>
        <v>0154-11</v>
      </c>
      <c r="AE65" s="91" t="str">
        <f t="shared" si="12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65" s="88" t="str">
        <f t="shared" si="13"/>
        <v>"C:\Program Files (x86)\AstroGrep\AstroGrep.exe" /spath="%USERPROFILE%\AppData\Local\Temp\OnboardLogs" /stypes="app*4030*20161211*" /stext=" 18:.+((SYSTEM_STATE.+slice.+state.+changed )|(ment ac)|(multiple cpu faults)|(system.+state.+changed )|(\[timeout)|(PRM\|1\|D)|(kpr)|(kdp)|(\|lc)|(penalty))" /e /r /s</v>
      </c>
      <c r="AG65" s="1" t="str">
        <f t="shared" si="14"/>
        <v>EC</v>
      </c>
      <c r="AH65" s="92" t="str">
        <f t="shared" si="17"/>
        <v>"%USERPROFILE%\Documents\GitHub\eaglep3\Utilities\RefineRTDCRunTimes.py" --tripid 154-11 --locoid 4030 --swversion DE.1.0.8.0 --startMP 204:232961 --initTime 2016-12-11T11:06:44 --startdatetime 2016-12-11T11:11:17 --delay 1 --endMP 204:149 --enddatetime 2016-12-11T11:51:06 --enforcementcount 1 &gt;&gt;C:\Users\stu\Documents\GitHub\eaglep3-reporting\EC\2016-12-11-refined-times.txt</v>
      </c>
      <c r="AI6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{"issue":{"subject":"","project_id":79,"tracker_id":40,"status_id":1,"priority_id":2,"assigned_to_id":23,"start_date":"2016-12-11","description":"","custom_fields":[{"id":1,"name":"Subdivision","value":"EC"},{"id":4,"name":"Milepost","value":"0.0149"},{"id":17,"name":"Train ID","value":"154-11"},{"id":16,"name":"Locomotive ID","value":"4030"},{"id":130,"name":"Impact","value":""},{"id":150,"name":"Time of Event (Mountain Time)","value":"11:51:06"},{"id":151,"name":"Denver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5" s="53"/>
      <c r="AK65" s="53"/>
      <c r="AL65" s="53"/>
      <c r="AM65"/>
      <c r="AN65"/>
      <c r="AO65"/>
      <c r="AP65"/>
      <c r="AQ65"/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</row>
    <row r="66" spans="1:91" s="1" customFormat="1" x14ac:dyDescent="0.25">
      <c r="A66" s="37" t="s">
        <v>544</v>
      </c>
      <c r="B66" s="7">
        <v>4031</v>
      </c>
      <c r="C66" s="22" t="s">
        <v>207</v>
      </c>
      <c r="D66" s="22" t="s">
        <v>705</v>
      </c>
      <c r="E66" s="13">
        <v>42715.432326388887</v>
      </c>
      <c r="F66" s="13">
        <v>42715.437662037039</v>
      </c>
      <c r="G66" s="7">
        <v>2</v>
      </c>
      <c r="H66" s="22" t="s">
        <v>706</v>
      </c>
      <c r="I66" s="13">
        <v>42715.462766203702</v>
      </c>
      <c r="J66" s="7">
        <v>1</v>
      </c>
      <c r="K66" s="109" t="str">
        <f t="shared" si="0"/>
        <v>4031/4032</v>
      </c>
      <c r="L66" s="22" t="str">
        <f>VLOOKUP(A66,'Trips&amp;Operators'!$C$1:$G$99999,5,FALSE)</f>
        <v>BROWN JACOB</v>
      </c>
      <c r="M66" s="6">
        <f t="shared" si="1"/>
        <v>2.5104166663368233E-2</v>
      </c>
      <c r="N66" s="7">
        <f t="shared" si="23"/>
        <v>36.149999995250255</v>
      </c>
      <c r="O66" s="7"/>
      <c r="P66" s="7"/>
      <c r="Q66" s="23"/>
      <c r="R66" s="23"/>
      <c r="S66" s="35">
        <f t="shared" si="24"/>
        <v>1</v>
      </c>
      <c r="T66" s="50" t="str">
        <f t="shared" si="4"/>
        <v>NorthBound</v>
      </c>
      <c r="U66" s="171">
        <f>IF(AG66="EC",COUNTIFS(Variables!$M$2:$M$19,IF(T66="NorthBound","&gt;=","&lt;=")&amp;Y66,Variables!$M$2:$M$19,IF(T66="NorthBound","&lt;=","&gt;=")&amp;Z66),COUNTIFS(Variables!$P$2:$P$19,IF(T66="NorthBound","&gt;=","&lt;=")&amp;Y66,Variables!$P$2:$P$19,IF(T66="NorthBound","&lt;=","&gt;=")&amp;Z66))</f>
        <v>12</v>
      </c>
      <c r="V6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09:22:33-700',mode:absolute,to:'2016-12-11 12:06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66" s="52" t="str">
        <f t="shared" si="6"/>
        <v>N</v>
      </c>
      <c r="X66" s="177">
        <f t="shared" si="22"/>
        <v>1</v>
      </c>
      <c r="Y66" s="67">
        <f t="shared" si="8"/>
        <v>3.4500000000000003E-2</v>
      </c>
      <c r="Z66" s="67">
        <f t="shared" si="9"/>
        <v>23.3338</v>
      </c>
      <c r="AA66" s="67">
        <f t="shared" si="10"/>
        <v>23.299299999999999</v>
      </c>
      <c r="AB66" s="64" t="e">
        <f>VLOOKUP(A66,Enforcements!$C$7:$K$20,8,0)</f>
        <v>#N/A</v>
      </c>
      <c r="AC66" s="60" t="e">
        <f>VLOOKUP(A66,Enforcements!$C$7:$E$20,3,0)</f>
        <v>#N/A</v>
      </c>
      <c r="AD66" s="61" t="str">
        <f t="shared" si="11"/>
        <v>0155-11</v>
      </c>
      <c r="AE66" s="91" t="str">
        <f t="shared" si="12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66" s="88" t="str">
        <f t="shared" si="13"/>
        <v>"C:\Program Files (x86)\AstroGrep\AstroGrep.exe" /spath="%USERPROFILE%\AppData\Local\Temp\OnboardLogs" /stypes="app*4031*20161211*" /stext=" 18:.+((SYSTEM_STATE.+slice.+state.+changed )|(ment ac)|(multiple cpu faults)|(system.+state.+changed )|(\[timeout)|(PRM\|1\|D)|(kpr)|(kdp)|(\|lc)|(penalty))" /e /r /s</v>
      </c>
      <c r="AG66" s="1" t="str">
        <f t="shared" si="14"/>
        <v>EC</v>
      </c>
      <c r="AH66" s="92" t="str">
        <f t="shared" si="17"/>
        <v>"%USERPROFILE%\Documents\GitHub\eaglep3\Utilities\RefineRTDCRunTimes.py" --tripid 155-11 --locoid 4031 --swversion DE.1.0.8.0 --startMP 204:345 --initTime 2016-12-11T10:22:33 --startdatetime 2016-12-11T10:30:14 --delay 2 --endMP 204:233338 --enddatetime 2016-12-11T11:06:23 --enforcementcount 1 &gt;&gt;C:\Users\stu\Documents\GitHub\eaglep3-reporting\EC\2016-12-11-refined-times.txt</v>
      </c>
      <c r="AI6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{"issue":{"subject":"","project_id":79,"tracker_id":40,"status_id":1,"priority_id":2,"assigned_to_id":23,"start_date":"2016-12-11","description":"","custom_fields":[{"id":1,"name":"Subdivision","value":"EC"},{"id":4,"name":"Milepost","value":"23.3338"},{"id":17,"name":"Train ID","value":"155-11"},{"id":16,"name":"Locomotive ID","value":"4031"},{"id":130,"name":"Impact","value":""},{"id":150,"name":"Time of Event (Mountain Time)","value":"11:06:23"},{"id":151,"name":"Denver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6" s="53"/>
      <c r="AK66" s="53"/>
      <c r="AL66" s="53"/>
      <c r="AM66"/>
      <c r="AN66"/>
      <c r="AO66"/>
      <c r="AP66"/>
      <c r="AQ66"/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</row>
    <row r="67" spans="1:91" s="1" customFormat="1" x14ac:dyDescent="0.25">
      <c r="A67" s="37" t="s">
        <v>460</v>
      </c>
      <c r="B67" s="7">
        <v>4032</v>
      </c>
      <c r="C67" s="22" t="s">
        <v>207</v>
      </c>
      <c r="D67" s="22" t="s">
        <v>707</v>
      </c>
      <c r="E67" s="13">
        <v>42715.469884259262</v>
      </c>
      <c r="F67" s="13">
        <v>42715.4765162037</v>
      </c>
      <c r="G67" s="7">
        <v>1</v>
      </c>
      <c r="H67" s="22" t="s">
        <v>350</v>
      </c>
      <c r="I67" s="13">
        <v>42715.504166666666</v>
      </c>
      <c r="J67" s="7">
        <v>1</v>
      </c>
      <c r="K67" s="109" t="str">
        <f t="shared" si="0"/>
        <v>4031/4032</v>
      </c>
      <c r="L67" s="22" t="str">
        <f>VLOOKUP(A67,'Trips&amp;Operators'!$C$1:$G$99999,5,FALSE)</f>
        <v>BROWN JACOB</v>
      </c>
      <c r="M67" s="6">
        <f t="shared" si="1"/>
        <v>2.7650462965539191E-2</v>
      </c>
      <c r="N67" s="7">
        <f t="shared" si="23"/>
        <v>39.816666670376435</v>
      </c>
      <c r="O67" s="7"/>
      <c r="P67" s="7"/>
      <c r="Q67" s="23"/>
      <c r="R67" s="23"/>
      <c r="S67" s="35">
        <f t="shared" si="24"/>
        <v>1</v>
      </c>
      <c r="T67" s="50" t="str">
        <f t="shared" si="4"/>
        <v>Southbound</v>
      </c>
      <c r="U67" s="171">
        <f>IF(AG67="EC",COUNTIFS(Variables!$M$2:$M$19,IF(T67="NorthBound","&gt;=","&lt;=")&amp;Y67,Variables!$M$2:$M$19,IF(T67="NorthBound","&lt;=","&gt;=")&amp;Z67),COUNTIFS(Variables!$P$2:$P$19,IF(T67="NorthBound","&gt;=","&lt;=")&amp;Y67,Variables!$P$2:$P$19,IF(T67="NorthBound","&lt;=","&gt;=")&amp;Z67))</f>
        <v>12</v>
      </c>
      <c r="V67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10:16:38-700',mode:absolute,to:'2016-12-11 13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67" s="52" t="str">
        <f t="shared" si="6"/>
        <v>N</v>
      </c>
      <c r="X67" s="177">
        <f t="shared" si="22"/>
        <v>1</v>
      </c>
      <c r="Y67" s="67">
        <f t="shared" si="8"/>
        <v>23.304200000000002</v>
      </c>
      <c r="Z67" s="67">
        <f t="shared" si="9"/>
        <v>1.3899999999999999E-2</v>
      </c>
      <c r="AA67" s="67">
        <f t="shared" si="10"/>
        <v>23.290300000000002</v>
      </c>
      <c r="AB67" s="64" t="str">
        <f>VLOOKUP(A67,Enforcements!$C$7:$K$20,8,0)</f>
        <v>Signal based authority (5)</v>
      </c>
      <c r="AC67" s="60" t="str">
        <f>VLOOKUP(A67,Enforcements!$C$7:$E$20,3,0)</f>
        <v>SIGNAL</v>
      </c>
      <c r="AD67" s="61" t="str">
        <f t="shared" si="11"/>
        <v>0156-11</v>
      </c>
      <c r="AE67" s="91" t="str">
        <f t="shared" si="12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67" s="88" t="str">
        <f t="shared" si="13"/>
        <v>"C:\Program Files (x86)\AstroGrep\AstroGrep.exe" /spath="%USERPROFILE%\AppData\Local\Temp\OnboardLogs" /stypes="app*4032*20161211*" /stext=" 19:.+((SYSTEM_STATE.+slice.+state.+changed )|(ment ac)|(multiple cpu faults)|(system.+state.+changed )|(\[timeout)|(PRM\|1\|D)|(kpr)|(kdp)|(\|lc)|(penalty))" /e /r /s</v>
      </c>
      <c r="AG67" s="1" t="str">
        <f t="shared" si="14"/>
        <v>EC</v>
      </c>
      <c r="AH67" s="92" t="str">
        <f t="shared" si="17"/>
        <v>"%USERPROFILE%\Documents\GitHub\eaglep3\Utilities\RefineRTDCRunTimes.py" --tripid 156-11 --locoid 4032 --swversion DE.1.0.8.0 --startMP 204:233042 --initTime 2016-12-11T11:16:38 --startdatetime 2016-12-11T11:26:11 --delay 1 --endMP 204:139 --enddatetime 2016-12-11T12:06:00 --enforcementcount 1 &gt;&gt;C:\Users\stu\Documents\GitHub\eaglep3-reporting\EC\2016-12-11-refined-times.txt</v>
      </c>
      <c r="AI67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{"issue":{"subject":"","project_id":79,"tracker_id":40,"status_id":1,"priority_id":2,"assigned_to_id":23,"start_date":"2016-12-11","description":"","custom_fields":[{"id":1,"name":"Subdivision","value":"EC"},{"id":4,"name":"Milepost","value":"0.0139"},{"id":17,"name":"Train ID","value":"156-11"},{"id":16,"name":"Locomotive ID","value":"4032"},{"id":130,"name":"Impact","value":""},{"id":150,"name":"Time of Event (Mountain Time)","value":"12:06:00"},{"id":151,"name":"Denver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7" s="53"/>
      <c r="AK67" s="53"/>
      <c r="AL67" s="53"/>
      <c r="AM67"/>
      <c r="AN67"/>
      <c r="AO67"/>
      <c r="AP67"/>
      <c r="AQ67"/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</row>
    <row r="68" spans="1:91" s="1" customFormat="1" x14ac:dyDescent="0.25">
      <c r="A68" s="37" t="s">
        <v>547</v>
      </c>
      <c r="B68" s="7">
        <v>4044</v>
      </c>
      <c r="C68" s="22" t="s">
        <v>207</v>
      </c>
      <c r="D68" s="22" t="s">
        <v>236</v>
      </c>
      <c r="E68" s="13">
        <v>42715.442789351851</v>
      </c>
      <c r="F68" s="13">
        <v>42715.448854166665</v>
      </c>
      <c r="G68" s="7">
        <v>1</v>
      </c>
      <c r="H68" s="22" t="s">
        <v>420</v>
      </c>
      <c r="I68" s="13">
        <v>42715.472268518519</v>
      </c>
      <c r="J68" s="7">
        <v>1</v>
      </c>
      <c r="K68" s="109" t="str">
        <f t="shared" si="0"/>
        <v>4043/4044</v>
      </c>
      <c r="L68" s="22" t="str">
        <f>VLOOKUP(A68,'Trips&amp;Operators'!$C$1:$G$99999,5,FALSE)</f>
        <v>YORK EDGAR</v>
      </c>
      <c r="M68" s="6">
        <f t="shared" si="1"/>
        <v>2.3414351853716653E-2</v>
      </c>
      <c r="N68" s="7">
        <f t="shared" si="23"/>
        <v>33.71666666935198</v>
      </c>
      <c r="O68" s="7"/>
      <c r="P68" s="7"/>
      <c r="Q68" s="23"/>
      <c r="R68" s="23"/>
      <c r="S68" s="35">
        <f t="shared" si="24"/>
        <v>1</v>
      </c>
      <c r="T68" s="50" t="str">
        <f t="shared" si="4"/>
        <v>NorthBound</v>
      </c>
      <c r="U68" s="171">
        <f>IF(AG68="EC",COUNTIFS(Variables!$M$2:$M$19,IF(T68="NorthBound","&gt;=","&lt;=")&amp;Y68,Variables!$M$2:$M$19,IF(T68="NorthBound","&lt;=","&gt;=")&amp;Z68),COUNTIFS(Variables!$P$2:$P$19,IF(T68="NorthBound","&gt;=","&lt;=")&amp;Y68,Variables!$P$2:$P$19,IF(T68="NorthBound","&lt;=","&gt;=")&amp;Z68))</f>
        <v>12</v>
      </c>
      <c r="V68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09:37:37-700',mode:absolute,to:'2016-12-11 12:20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68" s="52" t="str">
        <f t="shared" si="6"/>
        <v>N</v>
      </c>
      <c r="X68" s="177">
        <f t="shared" si="22"/>
        <v>1</v>
      </c>
      <c r="Y68" s="67">
        <f t="shared" si="8"/>
        <v>4.5999999999999999E-2</v>
      </c>
      <c r="Z68" s="67">
        <f t="shared" si="9"/>
        <v>23.329499999999999</v>
      </c>
      <c r="AA68" s="67">
        <f t="shared" si="10"/>
        <v>23.2835</v>
      </c>
      <c r="AB68" s="64" t="e">
        <f>VLOOKUP(A68,Enforcements!$C$7:$K$20,8,0)</f>
        <v>#N/A</v>
      </c>
      <c r="AC68" s="60" t="e">
        <f>VLOOKUP(A68,Enforcements!$C$7:$E$20,3,0)</f>
        <v>#N/A</v>
      </c>
      <c r="AD68" s="61" t="str">
        <f t="shared" si="11"/>
        <v>0157-11</v>
      </c>
      <c r="AE68" s="91" t="str">
        <f t="shared" si="12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68" s="88" t="str">
        <f t="shared" si="13"/>
        <v>"C:\Program Files (x86)\AstroGrep\AstroGrep.exe" /spath="%USERPROFILE%\AppData\Local\Temp\OnboardLogs" /stypes="app*4044*20161211*" /stext=" 18:.+((SYSTEM_STATE.+slice.+state.+changed )|(ment ac)|(multiple cpu faults)|(system.+state.+changed )|(\[timeout)|(PRM\|1\|D)|(kpr)|(kdp)|(\|lc)|(penalty))" /e /r /s</v>
      </c>
      <c r="AG68" s="1" t="str">
        <f t="shared" si="14"/>
        <v>EC</v>
      </c>
      <c r="AH68" s="92" t="str">
        <f t="shared" si="17"/>
        <v>"%USERPROFILE%\Documents\GitHub\eaglep3\Utilities\RefineRTDCRunTimes.py" --tripid 157-11 --locoid 4044 --swversion DE.1.0.8.0 --startMP 204:460 --initTime 2016-12-11T10:37:37 --startdatetime 2016-12-11T10:46:21 --delay 1 --endMP 204:233295 --enddatetime 2016-12-11T11:20:04 --enforcementcount 1 &gt;&gt;C:\Users\stu\Documents\GitHub\eaglep3-reporting\EC\2016-12-11-refined-times.txt</v>
      </c>
      <c r="AI68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{"issue":{"subject":"","project_id":79,"tracker_id":40,"status_id":1,"priority_id":2,"assigned_to_id":23,"start_date":"2016-12-11","description":"","custom_fields":[{"id":1,"name":"Subdivision","value":"EC"},{"id":4,"name":"Milepost","value":"23.3295"},{"id":17,"name":"Train ID","value":"157-11"},{"id":16,"name":"Locomotive ID","value":"4044"},{"id":130,"name":"Impact","value":""},{"id":150,"name":"Time of Event (Mountain Time)","value":"11:20:04"},{"id":151,"name":"Denver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8" s="53"/>
      <c r="AK68" s="53"/>
      <c r="AL68" s="53"/>
      <c r="AM68"/>
      <c r="AN68"/>
      <c r="AO68"/>
      <c r="AP68"/>
      <c r="AQ68"/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  <c r="BH68"/>
      <c r="BI68"/>
      <c r="BJ68"/>
      <c r="BK68"/>
      <c r="BL68"/>
      <c r="BM68"/>
      <c r="BN68"/>
      <c r="BO68"/>
      <c r="BP68"/>
      <c r="BQ68"/>
      <c r="BR68"/>
      <c r="BS68"/>
      <c r="BT68"/>
      <c r="BU68"/>
      <c r="BV68"/>
      <c r="BW68"/>
      <c r="BX68"/>
      <c r="BY68"/>
      <c r="BZ68"/>
      <c r="CA68"/>
      <c r="CB68"/>
      <c r="CC68"/>
      <c r="CD68"/>
      <c r="CE68"/>
      <c r="CF68"/>
      <c r="CG68"/>
      <c r="CH68"/>
      <c r="CI68"/>
      <c r="CJ68"/>
      <c r="CK68"/>
      <c r="CL68"/>
      <c r="CM68"/>
    </row>
    <row r="69" spans="1:91" s="1" customFormat="1" x14ac:dyDescent="0.25">
      <c r="A69" s="37" t="s">
        <v>555</v>
      </c>
      <c r="B69" s="7">
        <v>4043</v>
      </c>
      <c r="C69" s="22" t="s">
        <v>207</v>
      </c>
      <c r="D69" s="22" t="s">
        <v>287</v>
      </c>
      <c r="E69" s="13">
        <v>42715.473530092589</v>
      </c>
      <c r="F69" s="13">
        <v>42715.48715277778</v>
      </c>
      <c r="G69" s="7">
        <v>1</v>
      </c>
      <c r="H69" s="22" t="s">
        <v>193</v>
      </c>
      <c r="I69" s="13">
        <v>42715.513240740744</v>
      </c>
      <c r="J69" s="7">
        <v>1</v>
      </c>
      <c r="K69" s="109" t="str">
        <f t="shared" si="0"/>
        <v>4043/4044</v>
      </c>
      <c r="L69" s="22" t="str">
        <f>VLOOKUP(A69,'Trips&amp;Operators'!$C$1:$G$99999,5,FALSE)</f>
        <v>YORK EDGAR</v>
      </c>
      <c r="M69" s="6">
        <f t="shared" si="1"/>
        <v>2.6087962964083999E-2</v>
      </c>
      <c r="N69" s="7">
        <f t="shared" si="23"/>
        <v>37.566666668280959</v>
      </c>
      <c r="O69" s="7"/>
      <c r="P69" s="7"/>
      <c r="Q69" s="23"/>
      <c r="R69" s="23"/>
      <c r="S69" s="35">
        <f t="shared" si="24"/>
        <v>1</v>
      </c>
      <c r="T69" s="50" t="str">
        <f t="shared" si="4"/>
        <v>Southbound</v>
      </c>
      <c r="U69" s="171">
        <f>IF(AG69="EC",COUNTIFS(Variables!$M$2:$M$19,IF(T69="NorthBound","&gt;=","&lt;=")&amp;Y69,Variables!$M$2:$M$19,IF(T69="NorthBound","&lt;=","&gt;=")&amp;Z69),COUNTIFS(Variables!$P$2:$P$19,IF(T69="NorthBound","&gt;=","&lt;=")&amp;Y69,Variables!$P$2:$P$19,IF(T69="NorthBound","&lt;=","&gt;=")&amp;Z69))</f>
        <v>12</v>
      </c>
      <c r="V69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10:21:53-700',mode:absolute,to:'2016-12-11 13:19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69" s="52" t="str">
        <f t="shared" si="6"/>
        <v>N</v>
      </c>
      <c r="X69" s="177">
        <f t="shared" si="22"/>
        <v>1</v>
      </c>
      <c r="Y69" s="67">
        <f t="shared" si="8"/>
        <v>23.297799999999999</v>
      </c>
      <c r="Z69" s="67">
        <f t="shared" si="9"/>
        <v>1.43E-2</v>
      </c>
      <c r="AA69" s="67">
        <f t="shared" si="10"/>
        <v>23.2835</v>
      </c>
      <c r="AB69" s="64" t="e">
        <f>VLOOKUP(A69,Enforcements!$C$7:$K$20,8,0)</f>
        <v>#N/A</v>
      </c>
      <c r="AC69" s="60" t="e">
        <f>VLOOKUP(A69,Enforcements!$C$7:$E$20,3,0)</f>
        <v>#N/A</v>
      </c>
      <c r="AD69" s="61" t="str">
        <f t="shared" si="11"/>
        <v>0158-11</v>
      </c>
      <c r="AE69" s="91" t="str">
        <f t="shared" si="12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69" s="88" t="str">
        <f t="shared" si="13"/>
        <v>"C:\Program Files (x86)\AstroGrep\AstroGrep.exe" /spath="%USERPROFILE%\AppData\Local\Temp\OnboardLogs" /stypes="app*4043*20161211*" /stext=" 19:.+((SYSTEM_STATE.+slice.+state.+changed )|(ment ac)|(multiple cpu faults)|(system.+state.+changed )|(\[timeout)|(PRM\|1\|D)|(kpr)|(kdp)|(\|lc)|(penalty))" /e /r /s</v>
      </c>
      <c r="AG69" s="1" t="str">
        <f t="shared" si="14"/>
        <v>EC</v>
      </c>
      <c r="AH69" s="92" t="str">
        <f t="shared" si="17"/>
        <v>"%USERPROFILE%\Documents\GitHub\eaglep3\Utilities\RefineRTDCRunTimes.py" --tripid 158-11 --locoid 4043 --swversion DE.1.0.8.0 --startMP 204:232978 --initTime 2016-12-11T11:21:53 --startdatetime 2016-12-11T11:41:30 --delay 1 --endMP 204:143 --enddatetime 2016-12-11T12:19:04 --enforcementcount 1 &gt;&gt;C:\Users\stu\Documents\GitHub\eaglep3-reporting\EC\2016-12-11-refined-times.txt</v>
      </c>
      <c r="AI69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{"issue":{"subject":"","project_id":79,"tracker_id":40,"status_id":1,"priority_id":2,"assigned_to_id":23,"start_date":"2016-12-11","description":"","custom_fields":[{"id":1,"name":"Subdivision","value":"EC"},{"id":4,"name":"Milepost","value":"0.0143"},{"id":17,"name":"Train ID","value":"158-11"},{"id":16,"name":"Locomotive ID","value":"4043"},{"id":130,"name":"Impact","value":""},{"id":150,"name":"Time of Event (Mountain Time)","value":"12:19:04"},{"id":151,"name":"Denver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69" s="53"/>
      <c r="AK69" s="53"/>
      <c r="AL69" s="53"/>
      <c r="AM69"/>
      <c r="AN69"/>
      <c r="AO69"/>
      <c r="AP69"/>
      <c r="AQ69"/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  <c r="BH69"/>
      <c r="BI69"/>
      <c r="BJ69"/>
      <c r="BK69"/>
      <c r="BL69"/>
      <c r="BM69"/>
      <c r="BN69"/>
      <c r="BO69"/>
      <c r="BP69"/>
      <c r="BQ69"/>
      <c r="BR69"/>
      <c r="BS69"/>
      <c r="BT69"/>
      <c r="BU69"/>
      <c r="BV69"/>
      <c r="BW69"/>
      <c r="BX69"/>
      <c r="BY69"/>
      <c r="BZ69"/>
      <c r="CA69"/>
      <c r="CB69"/>
      <c r="CC69"/>
      <c r="CD69"/>
      <c r="CE69"/>
      <c r="CF69"/>
      <c r="CG69"/>
      <c r="CH69"/>
      <c r="CI69"/>
      <c r="CJ69"/>
      <c r="CK69"/>
      <c r="CL69"/>
      <c r="CM69"/>
    </row>
    <row r="70" spans="1:91" s="1" customFormat="1" x14ac:dyDescent="0.25">
      <c r="A70" s="37" t="s">
        <v>549</v>
      </c>
      <c r="B70" s="7">
        <v>4009</v>
      </c>
      <c r="C70" s="22" t="s">
        <v>207</v>
      </c>
      <c r="D70" s="22" t="s">
        <v>697</v>
      </c>
      <c r="E70" s="13">
        <v>42715.453981481478</v>
      </c>
      <c r="F70" s="13">
        <v>42715.458599537036</v>
      </c>
      <c r="G70" s="7">
        <v>2</v>
      </c>
      <c r="H70" s="22" t="s">
        <v>395</v>
      </c>
      <c r="I70" s="13">
        <v>42715.483460648145</v>
      </c>
      <c r="J70" s="7">
        <v>1</v>
      </c>
      <c r="K70" s="109" t="str">
        <f t="shared" si="0"/>
        <v>4009/4010</v>
      </c>
      <c r="L70" s="22" t="str">
        <f>VLOOKUP(A70,'Trips&amp;Operators'!$C$1:$G$99999,5,FALSE)</f>
        <v>STEWART MICHAEL</v>
      </c>
      <c r="M70" s="6">
        <f t="shared" si="1"/>
        <v>2.4861111109203193E-2</v>
      </c>
      <c r="N70" s="7">
        <f t="shared" si="23"/>
        <v>35.799999997252598</v>
      </c>
      <c r="O70" s="7"/>
      <c r="P70" s="7"/>
      <c r="Q70" s="23"/>
      <c r="R70" s="23"/>
      <c r="S70" s="35">
        <f t="shared" si="24"/>
        <v>1</v>
      </c>
      <c r="T70" s="50" t="str">
        <f t="shared" si="4"/>
        <v>NorthBound</v>
      </c>
      <c r="U70" s="171">
        <f>IF(AG70="EC",COUNTIFS(Variables!$M$2:$M$19,IF(T70="NorthBound","&gt;=","&lt;=")&amp;Y70,Variables!$M$2:$M$19,IF(T70="NorthBound","&lt;=","&gt;=")&amp;Z70),COUNTIFS(Variables!$P$2:$P$19,IF(T70="NorthBound","&gt;=","&lt;=")&amp;Y70,Variables!$P$2:$P$19,IF(T70="NorthBound","&lt;=","&gt;=")&amp;Z70))</f>
        <v>12</v>
      </c>
      <c r="V70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09:53:44-700',mode:absolute,to:'2016-12-11 12:36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70" s="52" t="str">
        <f t="shared" si="6"/>
        <v>N</v>
      </c>
      <c r="X70" s="177">
        <f t="shared" si="22"/>
        <v>1</v>
      </c>
      <c r="Y70" s="67">
        <f t="shared" si="8"/>
        <v>4.6199999999999998E-2</v>
      </c>
      <c r="Z70" s="67">
        <f t="shared" si="9"/>
        <v>23.3306</v>
      </c>
      <c r="AA70" s="67">
        <f t="shared" si="10"/>
        <v>23.284400000000002</v>
      </c>
      <c r="AB70" s="64" t="e">
        <f>VLOOKUP(A70,Enforcements!$C$7:$K$20,8,0)</f>
        <v>#N/A</v>
      </c>
      <c r="AC70" s="60" t="e">
        <f>VLOOKUP(A70,Enforcements!$C$7:$E$20,3,0)</f>
        <v>#N/A</v>
      </c>
      <c r="AD70" s="61" t="str">
        <f t="shared" si="11"/>
        <v>0159-11</v>
      </c>
      <c r="AE70" s="91" t="str">
        <f t="shared" si="12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70" s="88" t="str">
        <f t="shared" si="13"/>
        <v>"C:\Program Files (x86)\AstroGrep\AstroGrep.exe" /spath="%USERPROFILE%\AppData\Local\Temp\OnboardLogs" /stypes="app*4009*20161211*" /stext=" 18:.+((SYSTEM_STATE.+slice.+state.+changed )|(ment ac)|(multiple cpu faults)|(system.+state.+changed )|(\[timeout)|(PRM\|1\|D)|(kpr)|(kdp)|(\|lc)|(penalty))" /e /r /s</v>
      </c>
      <c r="AG70" s="1" t="str">
        <f t="shared" si="14"/>
        <v>EC</v>
      </c>
      <c r="AH70" s="92" t="str">
        <f t="shared" si="17"/>
        <v>"%USERPROFILE%\Documents\GitHub\eaglep3\Utilities\RefineRTDCRunTimes.py" --tripid 159-11 --locoid 4009 --swversion DE.1.0.8.0 --startMP 204:462 --initTime 2016-12-11T10:53:44 --startdatetime 2016-12-11T11:00:23 --delay 2 --endMP 204:233306 --enddatetime 2016-12-11T11:36:11 --enforcementcount 1 &gt;&gt;C:\Users\stu\Documents\GitHub\eaglep3-reporting\EC\2016-12-11-refined-times.txt</v>
      </c>
      <c r="AI70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{"issue":{"subject":"","project_id":79,"tracker_id":40,"status_id":1,"priority_id":2,"assigned_to_id":23,"start_date":"2016-12-11","description":"","custom_fields":[{"id":1,"name":"Subdivision","value":"EC"},{"id":4,"name":"Milepost","value":"23.3306"},{"id":17,"name":"Train ID","value":"159-11"},{"id":16,"name":"Locomotive ID","value":"4009"},{"id":130,"name":"Impact","value":""},{"id":150,"name":"Time of Event (Mountain Time)","value":"11:36:11"},{"id":151,"name":"Denver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0" s="53"/>
      <c r="AK70" s="53"/>
      <c r="AL70" s="53"/>
      <c r="AM70"/>
      <c r="AN70"/>
      <c r="AO70"/>
      <c r="AP70"/>
      <c r="AQ70"/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</row>
    <row r="71" spans="1:91" s="1" customFormat="1" x14ac:dyDescent="0.25">
      <c r="A71" s="37" t="s">
        <v>560</v>
      </c>
      <c r="B71" s="7">
        <v>4010</v>
      </c>
      <c r="C71" s="22" t="s">
        <v>207</v>
      </c>
      <c r="D71" s="22" t="s">
        <v>418</v>
      </c>
      <c r="E71" s="13">
        <v>42715.495034722226</v>
      </c>
      <c r="F71" s="13">
        <v>42715.497604166667</v>
      </c>
      <c r="G71" s="7">
        <v>1</v>
      </c>
      <c r="H71" s="22" t="s">
        <v>205</v>
      </c>
      <c r="I71" s="13">
        <v>42715.525405092594</v>
      </c>
      <c r="J71" s="7">
        <v>1</v>
      </c>
      <c r="K71" s="109" t="str">
        <f t="shared" si="0"/>
        <v>4009/4010</v>
      </c>
      <c r="L71" s="22" t="str">
        <f>VLOOKUP(A71,'Trips&amp;Operators'!$C$1:$G$99999,5,FALSE)</f>
        <v>STEWART MICHAEL</v>
      </c>
      <c r="M71" s="6">
        <f t="shared" si="1"/>
        <v>2.7800925927294884E-2</v>
      </c>
      <c r="N71" s="7">
        <f t="shared" si="23"/>
        <v>40.033333335304633</v>
      </c>
      <c r="O71" s="7"/>
      <c r="P71" s="7"/>
      <c r="Q71" s="23"/>
      <c r="R71" s="23"/>
      <c r="S71" s="35">
        <f t="shared" si="24"/>
        <v>1</v>
      </c>
      <c r="T71" s="50" t="str">
        <f t="shared" si="4"/>
        <v>Southbound</v>
      </c>
      <c r="U71" s="171">
        <f>IF(AG71="EC",COUNTIFS(Variables!$M$2:$M$19,IF(T71="NorthBound","&gt;=","&lt;=")&amp;Y71,Variables!$M$2:$M$19,IF(T71="NorthBound","&lt;=","&gt;=")&amp;Z71),COUNTIFS(Variables!$P$2:$P$19,IF(T71="NorthBound","&gt;=","&lt;=")&amp;Y71,Variables!$P$2:$P$19,IF(T71="NorthBound","&lt;=","&gt;=")&amp;Z71))</f>
        <v>12</v>
      </c>
      <c r="V71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10:52:51-700',mode:absolute,to:'2016-12-11 13:36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71" s="52" t="str">
        <f t="shared" si="6"/>
        <v>N</v>
      </c>
      <c r="X71" s="177">
        <f t="shared" si="22"/>
        <v>1</v>
      </c>
      <c r="Y71" s="67">
        <f t="shared" si="8"/>
        <v>23.297699999999999</v>
      </c>
      <c r="Z71" s="67">
        <f t="shared" si="9"/>
        <v>1.5599999999999999E-2</v>
      </c>
      <c r="AA71" s="67">
        <f t="shared" si="10"/>
        <v>23.2821</v>
      </c>
      <c r="AB71" s="64" t="e">
        <f>VLOOKUP(A71,Enforcements!$C$7:$K$20,8,0)</f>
        <v>#N/A</v>
      </c>
      <c r="AC71" s="60" t="e">
        <f>VLOOKUP(A71,Enforcements!$C$7:$E$20,3,0)</f>
        <v>#N/A</v>
      </c>
      <c r="AD71" s="61" t="str">
        <f t="shared" si="11"/>
        <v>0160-11</v>
      </c>
      <c r="AE71" s="91" t="str">
        <f t="shared" si="12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71" s="88" t="str">
        <f t="shared" si="13"/>
        <v>"C:\Program Files (x86)\AstroGrep\AstroGrep.exe" /spath="%USERPROFILE%\AppData\Local\Temp\OnboardLogs" /stypes="app*4010*20161211*" /stext=" 19:.+((SYSTEM_STATE.+slice.+state.+changed )|(ment ac)|(multiple cpu faults)|(system.+state.+changed )|(\[timeout)|(PRM\|1\|D)|(kpr)|(kdp)|(\|lc)|(penalty))" /e /r /s</v>
      </c>
      <c r="AG71" s="1" t="str">
        <f t="shared" si="14"/>
        <v>EC</v>
      </c>
      <c r="AH71" s="92" t="str">
        <f t="shared" si="17"/>
        <v>"%USERPROFILE%\Documents\GitHub\eaglep3\Utilities\RefineRTDCRunTimes.py" --tripid 160-11 --locoid 4010 --swversion DE.1.0.8.0 --startMP 204:232977 --initTime 2016-12-11T11:52:51 --startdatetime 2016-12-11T11:56:33 --delay 1 --endMP 204:156 --enddatetime 2016-12-11T12:36:35 --enforcementcount 1 &gt;&gt;C:\Users\stu\Documents\GitHub\eaglep3-reporting\EC\2016-12-11-refined-times.txt</v>
      </c>
      <c r="AI71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{"issue":{"subject":"","project_id":79,"tracker_id":40,"status_id":1,"priority_id":2,"assigned_to_id":23,"start_date":"2016-12-11","description":"","custom_fields":[{"id":1,"name":"Subdivision","value":"EC"},{"id":4,"name":"Milepost","value":"0.0156"},{"id":17,"name":"Train ID","value":"160-11"},{"id":16,"name":"Locomotive ID","value":"4010"},{"id":130,"name":"Impact","value":""},{"id":150,"name":"Time of Event (Mountain Time)","value":"12:36:35"},{"id":151,"name":"Denver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1" s="53"/>
      <c r="AK71" s="53"/>
      <c r="AL71" s="53"/>
      <c r="AM71"/>
      <c r="AN71"/>
      <c r="AO71"/>
      <c r="AP71"/>
      <c r="AQ71"/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</row>
    <row r="72" spans="1:91" s="1" customFormat="1" x14ac:dyDescent="0.25">
      <c r="A72" s="37" t="s">
        <v>550</v>
      </c>
      <c r="B72" s="7">
        <v>4042</v>
      </c>
      <c r="C72" s="22" t="s">
        <v>207</v>
      </c>
      <c r="D72" s="22" t="s">
        <v>692</v>
      </c>
      <c r="E72" s="13">
        <v>42715.463599537034</v>
      </c>
      <c r="F72" s="13">
        <v>42715.468935185185</v>
      </c>
      <c r="G72" s="7">
        <v>1</v>
      </c>
      <c r="H72" s="22" t="s">
        <v>415</v>
      </c>
      <c r="I72" s="13">
        <v>42715.494363425925</v>
      </c>
      <c r="J72" s="7">
        <v>1</v>
      </c>
      <c r="K72" s="109" t="str">
        <f t="shared" si="0"/>
        <v>4041/4042</v>
      </c>
      <c r="L72" s="22" t="str">
        <f>VLOOKUP(A72,'Trips&amp;Operators'!$C$1:$G$99999,5,FALSE)</f>
        <v>BARTLETT KIANDRA</v>
      </c>
      <c r="M72" s="6">
        <f t="shared" si="1"/>
        <v>2.5428240740438923E-2</v>
      </c>
      <c r="N72" s="7">
        <f t="shared" si="23"/>
        <v>36.616666666232049</v>
      </c>
      <c r="O72" s="7"/>
      <c r="P72" s="7"/>
      <c r="Q72" s="23"/>
      <c r="R72" s="23"/>
      <c r="S72" s="35">
        <f t="shared" si="24"/>
        <v>1</v>
      </c>
      <c r="T72" s="50" t="str">
        <f t="shared" si="4"/>
        <v>NorthBound</v>
      </c>
      <c r="U72" s="171">
        <f>IF(AG72="EC",COUNTIFS(Variables!$M$2:$M$19,IF(T72="NorthBound","&gt;=","&lt;=")&amp;Y72,Variables!$M$2:$M$19,IF(T72="NorthBound","&lt;=","&gt;=")&amp;Z72),COUNTIFS(Variables!$P$2:$P$19,IF(T72="NorthBound","&gt;=","&lt;=")&amp;Y72,Variables!$P$2:$P$19,IF(T72="NorthBound","&lt;=","&gt;=")&amp;Z72))</f>
        <v>12</v>
      </c>
      <c r="V72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10:07:35-700',mode:absolute,to:'2016-12-11 12:51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72" s="52" t="str">
        <f t="shared" si="6"/>
        <v>N</v>
      </c>
      <c r="X72" s="177">
        <f t="shared" si="22"/>
        <v>1</v>
      </c>
      <c r="Y72" s="67">
        <f t="shared" si="8"/>
        <v>4.3700000000000003E-2</v>
      </c>
      <c r="Z72" s="67">
        <f t="shared" si="9"/>
        <v>23.330300000000001</v>
      </c>
      <c r="AA72" s="67">
        <f t="shared" si="10"/>
        <v>23.2866</v>
      </c>
      <c r="AB72" s="64" t="e">
        <f>VLOOKUP(A72,Enforcements!$C$7:$K$20,8,0)</f>
        <v>#N/A</v>
      </c>
      <c r="AC72" s="60" t="e">
        <f>VLOOKUP(A72,Enforcements!$C$7:$E$20,3,0)</f>
        <v>#N/A</v>
      </c>
      <c r="AD72" s="61" t="str">
        <f t="shared" si="11"/>
        <v>0161-11</v>
      </c>
      <c r="AE72" s="91" t="str">
        <f t="shared" si="12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72" s="88" t="str">
        <f t="shared" si="13"/>
        <v>"C:\Program Files (x86)\AstroGrep\AstroGrep.exe" /spath="%USERPROFILE%\AppData\Local\Temp\OnboardLogs" /stypes="app*4042*20161211*" /stext=" 18:.+((SYSTEM_STATE.+slice.+state.+changed )|(ment ac)|(multiple cpu faults)|(system.+state.+changed )|(\[timeout)|(PRM\|1\|D)|(kpr)|(kdp)|(\|lc)|(penalty))" /e /r /s</v>
      </c>
      <c r="AG72" s="1" t="str">
        <f t="shared" si="14"/>
        <v>EC</v>
      </c>
      <c r="AH72" s="92" t="str">
        <f t="shared" si="17"/>
        <v>"%USERPROFILE%\Documents\GitHub\eaglep3\Utilities\RefineRTDCRunTimes.py" --tripid 161-11 --locoid 4042 --swversion DE.1.0.8.0 --startMP 204:437 --initTime 2016-12-11T11:07:35 --startdatetime 2016-12-11T11:15:16 --delay 1 --endMP 204:233303 --enddatetime 2016-12-11T11:51:53 --enforcementcount 1 &gt;&gt;C:\Users\stu\Documents\GitHub\eaglep3-reporting\EC\2016-12-11-refined-times.txt</v>
      </c>
      <c r="AI72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{"issue":{"subject":"","project_id":79,"tracker_id":40,"status_id":1,"priority_id":2,"assigned_to_id":23,"start_date":"2016-12-11","description":"","custom_fields":[{"id":1,"name":"Subdivision","value":"EC"},{"id":4,"name":"Milepost","value":"23.3303"},{"id":17,"name":"Train ID","value":"161-11"},{"id":16,"name":"Locomotive ID","value":"4042"},{"id":130,"name":"Impact","value":""},{"id":150,"name":"Time of Event (Mountain Time)","value":"11:51:53"},{"id":151,"name":"Denver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2" s="53"/>
      <c r="AK72" s="53"/>
      <c r="AL72" s="53"/>
      <c r="AM72"/>
      <c r="AN72"/>
      <c r="AO72"/>
      <c r="AP72"/>
      <c r="AQ72"/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</row>
    <row r="73" spans="1:91" s="1" customFormat="1" x14ac:dyDescent="0.25">
      <c r="A73" s="37" t="s">
        <v>564</v>
      </c>
      <c r="B73" s="7">
        <v>4041</v>
      </c>
      <c r="C73" s="22" t="s">
        <v>207</v>
      </c>
      <c r="D73" s="22" t="s">
        <v>441</v>
      </c>
      <c r="E73" s="13">
        <v>42715.496631944443</v>
      </c>
      <c r="F73" s="13">
        <v>42715.507939814815</v>
      </c>
      <c r="G73" s="7">
        <v>1</v>
      </c>
      <c r="H73" s="22" t="s">
        <v>192</v>
      </c>
      <c r="I73" s="13">
        <v>42715.534849537034</v>
      </c>
      <c r="J73" s="7">
        <v>1</v>
      </c>
      <c r="K73" s="109" t="str">
        <f t="shared" si="0"/>
        <v>4041/4042</v>
      </c>
      <c r="L73" s="22" t="str">
        <f>VLOOKUP(A73,'Trips&amp;Operators'!$C$1:$G$99999,5,FALSE)</f>
        <v>BARTLETT KIANDRA</v>
      </c>
      <c r="M73" s="6">
        <f t="shared" si="1"/>
        <v>2.6909722218988463E-2</v>
      </c>
      <c r="N73" s="7">
        <f t="shared" si="23"/>
        <v>38.749999995343387</v>
      </c>
      <c r="O73" s="7"/>
      <c r="P73" s="7"/>
      <c r="Q73" s="23"/>
      <c r="R73" s="23"/>
      <c r="S73" s="35">
        <f t="shared" si="24"/>
        <v>1</v>
      </c>
      <c r="T73" s="50" t="str">
        <f t="shared" si="4"/>
        <v>Southbound</v>
      </c>
      <c r="U73" s="171">
        <f>IF(AG73="EC",COUNTIFS(Variables!$M$2:$M$19,IF(T73="NorthBound","&gt;=","&lt;=")&amp;Y73,Variables!$M$2:$M$19,IF(T73="NorthBound","&lt;=","&gt;=")&amp;Z73),COUNTIFS(Variables!$P$2:$P$19,IF(T73="NorthBound","&gt;=","&lt;=")&amp;Y73,Variables!$P$2:$P$19,IF(T73="NorthBound","&lt;=","&gt;=")&amp;Z73))</f>
        <v>12</v>
      </c>
      <c r="V73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10:55:09-700',mode:absolute,to:'2016-12-11 13:50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73" s="52" t="str">
        <f t="shared" si="6"/>
        <v>N</v>
      </c>
      <c r="X73" s="177">
        <f t="shared" si="22"/>
        <v>1</v>
      </c>
      <c r="Y73" s="67">
        <f t="shared" si="8"/>
        <v>23.298400000000001</v>
      </c>
      <c r="Z73" s="67">
        <f t="shared" si="9"/>
        <v>1.49E-2</v>
      </c>
      <c r="AA73" s="67">
        <f t="shared" si="10"/>
        <v>23.2835</v>
      </c>
      <c r="AB73" s="64" t="e">
        <f>VLOOKUP(A73,Enforcements!$C$7:$K$20,8,0)</f>
        <v>#N/A</v>
      </c>
      <c r="AC73" s="60" t="e">
        <f>VLOOKUP(A73,Enforcements!$C$7:$E$20,3,0)</f>
        <v>#N/A</v>
      </c>
      <c r="AD73" s="61" t="str">
        <f t="shared" si="11"/>
        <v>0162-11</v>
      </c>
      <c r="AE73" s="91" t="str">
        <f t="shared" si="12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73" s="88" t="str">
        <f t="shared" si="13"/>
        <v>"C:\Program Files (x86)\AstroGrep\AstroGrep.exe" /spath="%USERPROFILE%\AppData\Local\Temp\OnboardLogs" /stypes="app*4041*20161211*" /stext=" 19:.+((SYSTEM_STATE.+slice.+state.+changed )|(ment ac)|(multiple cpu faults)|(system.+state.+changed )|(\[timeout)|(PRM\|1\|D)|(kpr)|(kdp)|(\|lc)|(penalty))" /e /r /s</v>
      </c>
      <c r="AG73" s="1" t="str">
        <f t="shared" si="14"/>
        <v>EC</v>
      </c>
      <c r="AH73" s="92" t="str">
        <f t="shared" si="17"/>
        <v>"%USERPROFILE%\Documents\GitHub\eaglep3\Utilities\RefineRTDCRunTimes.py" --tripid 162-11 --locoid 4041 --swversion DE.1.0.8.0 --startMP 204:232984 --initTime 2016-12-11T11:55:09 --startdatetime 2016-12-11T12:11:26 --delay 1 --endMP 204:149 --enddatetime 2016-12-11T12:50:11 --enforcementcount 1 &gt;&gt;C:\Users\stu\Documents\GitHub\eaglep3-reporting\EC\2016-12-11-refined-times.txt</v>
      </c>
      <c r="AI73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{"issue":{"subject":"","project_id":79,"tracker_id":40,"status_id":1,"priority_id":2,"assigned_to_id":23,"start_date":"2016-12-11","description":"","custom_fields":[{"id":1,"name":"Subdivision","value":"EC"},{"id":4,"name":"Milepost","value":"0.0149"},{"id":17,"name":"Train ID","value":"162-11"},{"id":16,"name":"Locomotive ID","value":"4041"},{"id":130,"name":"Impact","value":""},{"id":150,"name":"Time of Event (Mountain Time)","value":"12:50:11"},{"id":151,"name":"Denver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3" s="53"/>
      <c r="AK73" s="53"/>
      <c r="AL73" s="53"/>
      <c r="AM73"/>
      <c r="AN73"/>
      <c r="AO73"/>
      <c r="AP73"/>
      <c r="AQ73"/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</row>
    <row r="74" spans="1:91" s="1" customFormat="1" x14ac:dyDescent="0.25">
      <c r="A74" s="37" t="s">
        <v>556</v>
      </c>
      <c r="B74" s="7">
        <v>4018</v>
      </c>
      <c r="C74" s="22" t="s">
        <v>207</v>
      </c>
      <c r="D74" s="22" t="s">
        <v>708</v>
      </c>
      <c r="E74" s="13">
        <v>42715.476863425924</v>
      </c>
      <c r="F74" s="13">
        <v>42715.479386574072</v>
      </c>
      <c r="G74" s="7">
        <v>1</v>
      </c>
      <c r="H74" s="22" t="s">
        <v>363</v>
      </c>
      <c r="I74" s="13">
        <v>42715.505972222221</v>
      </c>
      <c r="J74" s="7">
        <v>1</v>
      </c>
      <c r="K74" s="109" t="str">
        <f t="shared" si="0"/>
        <v>4017/4018</v>
      </c>
      <c r="L74" s="22" t="str">
        <f>VLOOKUP(A74,'Trips&amp;Operators'!$C$1:$G$99999,5,FALSE)</f>
        <v>BRUDER RICHARD</v>
      </c>
      <c r="M74" s="6">
        <f t="shared" si="1"/>
        <v>2.658564814919373E-2</v>
      </c>
      <c r="N74" s="7">
        <f t="shared" si="23"/>
        <v>38.283333334838971</v>
      </c>
      <c r="O74" s="7"/>
      <c r="P74" s="7"/>
      <c r="Q74" s="23"/>
      <c r="R74" s="23"/>
      <c r="S74" s="35">
        <f t="shared" si="24"/>
        <v>1</v>
      </c>
      <c r="T74" s="50" t="str">
        <f t="shared" si="4"/>
        <v>NorthBound</v>
      </c>
      <c r="U74" s="171">
        <f>IF(AG74="EC",COUNTIFS(Variables!$M$2:$M$19,IF(T74="NorthBound","&gt;=","&lt;=")&amp;Y74,Variables!$M$2:$M$19,IF(T74="NorthBound","&lt;=","&gt;=")&amp;Z74),COUNTIFS(Variables!$P$2:$P$19,IF(T74="NorthBound","&gt;=","&lt;=")&amp;Y74,Variables!$P$2:$P$19,IF(T74="NorthBound","&lt;=","&gt;=")&amp;Z74))</f>
        <v>12</v>
      </c>
      <c r="V74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10:26:41-700',mode:absolute,to:'2016-12-11 13:08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74" s="52" t="str">
        <f t="shared" si="6"/>
        <v>N</v>
      </c>
      <c r="X74" s="177">
        <f t="shared" si="22"/>
        <v>1</v>
      </c>
      <c r="Y74" s="67">
        <f t="shared" si="8"/>
        <v>4.4900000000000002E-2</v>
      </c>
      <c r="Z74" s="67">
        <f t="shared" si="9"/>
        <v>23.331700000000001</v>
      </c>
      <c r="AA74" s="67">
        <f t="shared" si="10"/>
        <v>23.286800000000003</v>
      </c>
      <c r="AB74" s="64" t="e">
        <f>VLOOKUP(A74,Enforcements!$C$7:$K$20,8,0)</f>
        <v>#N/A</v>
      </c>
      <c r="AC74" s="60" t="e">
        <f>VLOOKUP(A74,Enforcements!$C$7:$E$20,3,0)</f>
        <v>#N/A</v>
      </c>
      <c r="AD74" s="61" t="str">
        <f t="shared" si="11"/>
        <v>0163-11</v>
      </c>
      <c r="AE74" s="91" t="str">
        <f t="shared" si="12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74" s="88" t="str">
        <f t="shared" si="13"/>
        <v>"C:\Program Files (x86)\AstroGrep\AstroGrep.exe" /spath="%USERPROFILE%\AppData\Local\Temp\OnboardLogs" /stypes="app*4018*20161211*" /stext=" 19:.+((SYSTEM_STATE.+slice.+state.+changed )|(ment ac)|(multiple cpu faults)|(system.+state.+changed )|(\[timeout)|(PRM\|1\|D)|(kpr)|(kdp)|(\|lc)|(penalty))" /e /r /s</v>
      </c>
      <c r="AG74" s="1" t="str">
        <f t="shared" si="14"/>
        <v>EC</v>
      </c>
      <c r="AH74" s="92" t="str">
        <f t="shared" si="17"/>
        <v>"%USERPROFILE%\Documents\GitHub\eaglep3\Utilities\RefineRTDCRunTimes.py" --tripid 163-11 --locoid 4018 --swversion DE.1.0.8.0 --startMP 204:449 --initTime 2016-12-11T11:26:41 --startdatetime 2016-12-11T11:30:19 --delay 1 --endMP 204:233317 --enddatetime 2016-12-11T12:08:36 --enforcementcount 1 &gt;&gt;C:\Users\stu\Documents\GitHub\eaglep3-reporting\EC\2016-12-11-refined-times.txt</v>
      </c>
      <c r="AI74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{"issue":{"subject":"","project_id":79,"tracker_id":40,"status_id":1,"priority_id":2,"assigned_to_id":23,"start_date":"2016-12-11","description":"","custom_fields":[{"id":1,"name":"Subdivision","value":"EC"},{"id":4,"name":"Milepost","value":"23.3317"},{"id":17,"name":"Train ID","value":"163-11"},{"id":16,"name":"Locomotive ID","value":"4018"},{"id":130,"name":"Impact","value":""},{"id":150,"name":"Time of Event (Mountain Time)","value":"12:08:36"},{"id":151,"name":"Denver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4" s="53"/>
      <c r="AK74" s="53"/>
      <c r="AL74" s="53"/>
      <c r="AM74"/>
      <c r="AN74"/>
      <c r="AO74"/>
      <c r="AP74"/>
      <c r="AQ74"/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</row>
    <row r="75" spans="1:91" s="1" customFormat="1" x14ac:dyDescent="0.25">
      <c r="A75" s="37" t="s">
        <v>567</v>
      </c>
      <c r="B75" s="7">
        <v>4017</v>
      </c>
      <c r="C75" s="22" t="s">
        <v>207</v>
      </c>
      <c r="D75" s="22" t="s">
        <v>709</v>
      </c>
      <c r="E75" s="13">
        <v>42715.512974537036</v>
      </c>
      <c r="F75" s="13">
        <v>42715.518275462964</v>
      </c>
      <c r="G75" s="7">
        <v>6</v>
      </c>
      <c r="H75" s="22" t="s">
        <v>192</v>
      </c>
      <c r="I75" s="13">
        <v>42715.546168981484</v>
      </c>
      <c r="J75" s="7">
        <v>1</v>
      </c>
      <c r="K75" s="109" t="str">
        <f t="shared" si="0"/>
        <v>4017/4018</v>
      </c>
      <c r="L75" s="22" t="str">
        <f>VLOOKUP(A75,'Trips&amp;Operators'!$C$1:$G$99999,5,FALSE)</f>
        <v>BRUDER RICHARD</v>
      </c>
      <c r="M75" s="6">
        <f t="shared" si="1"/>
        <v>2.789351851970423E-2</v>
      </c>
      <c r="N75" s="7">
        <f t="shared" si="23"/>
        <v>40.166666668374091</v>
      </c>
      <c r="O75" s="7"/>
      <c r="P75" s="7"/>
      <c r="Q75" s="23"/>
      <c r="R75" s="23"/>
      <c r="S75" s="35">
        <f t="shared" si="24"/>
        <v>1</v>
      </c>
      <c r="T75" s="50" t="str">
        <f t="shared" si="4"/>
        <v>Southbound</v>
      </c>
      <c r="U75" s="171">
        <f>IF(AG75="EC",COUNTIFS(Variables!$M$2:$M$19,IF(T75="NorthBound","&gt;=","&lt;=")&amp;Y75,Variables!$M$2:$M$19,IF(T75="NorthBound","&lt;=","&gt;=")&amp;Z75),COUNTIFS(Variables!$P$2:$P$19,IF(T75="NorthBound","&gt;=","&lt;=")&amp;Y75,Variables!$P$2:$P$19,IF(T75="NorthBound","&lt;=","&gt;=")&amp;Z75))</f>
        <v>12</v>
      </c>
      <c r="V75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11:18:41-700',mode:absolute,to:'2016-12-11 14:06:29-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75" s="52" t="str">
        <f t="shared" si="6"/>
        <v>N</v>
      </c>
      <c r="X75" s="177">
        <f t="shared" si="22"/>
        <v>1</v>
      </c>
      <c r="Y75" s="67">
        <f t="shared" si="8"/>
        <v>23.299299999999999</v>
      </c>
      <c r="Z75" s="67">
        <f t="shared" si="9"/>
        <v>1.49E-2</v>
      </c>
      <c r="AA75" s="67">
        <f t="shared" si="10"/>
        <v>23.284399999999998</v>
      </c>
      <c r="AB75" s="64" t="e">
        <f>VLOOKUP(A75,Enforcements!$C$7:$K$20,8,0)</f>
        <v>#N/A</v>
      </c>
      <c r="AC75" s="60" t="e">
        <f>VLOOKUP(A75,Enforcements!$C$7:$E$20,3,0)</f>
        <v>#N/A</v>
      </c>
      <c r="AD75" s="61" t="str">
        <f t="shared" si="11"/>
        <v>0164-11</v>
      </c>
      <c r="AE75" s="91" t="str">
        <f t="shared" si="12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75" s="88" t="str">
        <f t="shared" si="13"/>
        <v>"C:\Program Files (x86)\AstroGrep\AstroGrep.exe" /spath="%USERPROFILE%\AppData\Local\Temp\OnboardLogs" /stypes="app*4017*20161211*" /stext=" 20:.+((SYSTEM_STATE.+slice.+state.+changed )|(ment ac)|(multiple cpu faults)|(system.+state.+changed )|(\[timeout)|(PRM\|1\|D)|(kpr)|(kdp)|(\|lc)|(penalty))" /e /r /s</v>
      </c>
      <c r="AG75" s="1" t="str">
        <f t="shared" si="14"/>
        <v>EC</v>
      </c>
      <c r="AH75" s="92" t="str">
        <f t="shared" si="17"/>
        <v>"%USERPROFILE%\Documents\GitHub\eaglep3\Utilities\RefineRTDCRunTimes.py" --tripid 164-11 --locoid 4017 --swversion DE.1.0.8.0 --startMP 204:232993 --initTime 2016-12-11T12:18:41 --startdatetime 2016-12-11T12:26:19 --delay 6 --endMP 204:149 --enddatetime 2016-12-11T13:06:29 --enforcementcount 1 &gt;&gt;C:\Users\stu\Documents\GitHub\eaglep3-reporting\EC\2016-12-11-refined-times.txt</v>
      </c>
      <c r="AI75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{"issue":{"subject":"","project_id":79,"tracker_id":40,"status_id":1,"priority_id":2,"assigned_to_id":23,"start_date":"2016-12-11","description":"","custom_fields":[{"id":1,"name":"Subdivision","value":"EC"},{"id":4,"name":"Milepost","value":"0.0149"},{"id":17,"name":"Train ID","value":"164-11"},{"id":16,"name":"Locomotive ID","value":"4017"},{"id":130,"name":"Impact","value":""},{"id":150,"name":"Time of Event (Mountain Time)","value":"13:06:29"},{"id":151,"name":"Denver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5" s="53"/>
      <c r="AK75" s="53"/>
      <c r="AL75" s="53"/>
      <c r="AM75"/>
      <c r="AN75"/>
      <c r="AO75"/>
      <c r="AP75"/>
      <c r="AQ75"/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</row>
    <row r="76" spans="1:91" s="1" customFormat="1" x14ac:dyDescent="0.25">
      <c r="A76" s="37" t="s">
        <v>558</v>
      </c>
      <c r="B76" s="7">
        <v>4022</v>
      </c>
      <c r="C76" s="22" t="s">
        <v>207</v>
      </c>
      <c r="D76" s="22" t="s">
        <v>293</v>
      </c>
      <c r="E76" s="13">
        <v>42715.485914351855</v>
      </c>
      <c r="F76" s="13">
        <v>42715.489884259259</v>
      </c>
      <c r="G76" s="7">
        <v>1</v>
      </c>
      <c r="H76" s="22" t="s">
        <v>700</v>
      </c>
      <c r="I76" s="13">
        <v>42715.515462962961</v>
      </c>
      <c r="J76" s="7">
        <v>1</v>
      </c>
      <c r="K76" s="109" t="str">
        <f t="shared" si="0"/>
        <v>4021/4022</v>
      </c>
      <c r="L76" s="22" t="str">
        <f>VLOOKUP(A76,'Trips&amp;Operators'!$C$1:$G$99999,5,FALSE)</f>
        <v>MOSES BRADLEY</v>
      </c>
      <c r="M76" s="6">
        <f t="shared" si="1"/>
        <v>2.5578703702194616E-2</v>
      </c>
      <c r="N76" s="7">
        <f t="shared" si="23"/>
        <v>36.833333331160247</v>
      </c>
      <c r="O76" s="7"/>
      <c r="P76" s="7"/>
      <c r="Q76" s="23"/>
      <c r="R76" s="23"/>
      <c r="S76" s="35">
        <f t="shared" si="24"/>
        <v>1</v>
      </c>
      <c r="T76" s="50" t="str">
        <f t="shared" si="4"/>
        <v>NorthBound</v>
      </c>
      <c r="U76" s="171">
        <f>IF(AG76="EC",COUNTIFS(Variables!$M$2:$M$19,IF(T76="NorthBound","&gt;=","&lt;=")&amp;Y76,Variables!$M$2:$M$19,IF(T76="NorthBound","&lt;=","&gt;=")&amp;Z76),COUNTIFS(Variables!$P$2:$P$19,IF(T76="NorthBound","&gt;=","&lt;=")&amp;Y76,Variables!$P$2:$P$19,IF(T76="NorthBound","&lt;=","&gt;=")&amp;Z76))</f>
        <v>12</v>
      </c>
      <c r="V76" s="98" t="str">
        <f t="shared" si="5"/>
        <v>https://search-rtdc-monitor-bjffxe2xuh6vdkpspy63sjmuny.us-east-1.es.amazonaws.com/_plugin/kibana/#/discover/Steve-Slow-Train-Analysis-(2080s-and-2083s)?_g=(refreshInterval:(display:Off,section:0,value:0),time:(from:'2016-12-11 10:39:43-700',mode:absolute,to:'2016-12-11 13:22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76" s="52" t="str">
        <f t="shared" si="6"/>
        <v>N</v>
      </c>
      <c r="X76" s="177">
        <f t="shared" si="22"/>
        <v>1</v>
      </c>
      <c r="Y76" s="67">
        <f t="shared" si="8"/>
        <v>4.6399999999999997E-2</v>
      </c>
      <c r="Z76" s="67">
        <f t="shared" si="9"/>
        <v>23.3293</v>
      </c>
      <c r="AA76" s="67">
        <f t="shared" si="10"/>
        <v>23.282900000000001</v>
      </c>
      <c r="AB76" s="64" t="e">
        <f>VLOOKUP(A76,Enforcements!$C$7:$K$20,8,0)</f>
        <v>#N/A</v>
      </c>
      <c r="AC76" s="60" t="e">
        <f>VLOOKUP(A76,Enforcements!$C$7:$E$20,3,0)</f>
        <v>#N/A</v>
      </c>
      <c r="AD76" s="61" t="str">
        <f t="shared" si="11"/>
        <v>0165-11</v>
      </c>
      <c r="AE76" s="91" t="str">
        <f t="shared" si="12"/>
        <v>aws s3 cp s3://rtdc.mdm.uploadarchive.raw/RTDC4022/ "%USERPROFILE%\AppData\Local\Temp\OnboardLogs"\RTDC4022\2016-12-11 --exclude "*" --recursive --include "*20161211*" &amp; "%USERPROFILE%\Documents\GitHub\mrs-test-scripts\Headless Mode &amp; Sideloading\WalkAndUnGZ.bat" "%USERPROFILE%\AppData\Local\Temp\OnboardLogs"\RTDC4022\2016-12-11 &amp; aws s3 cp s3://rtdc.mdm.uploadarchive.raw/RTDC4022/ "%USERPROFILE%\AppData\Local\Temp\OnboardLogs"\RTDC4022\2016-12-12 --exclude "*" --recursive --include "*20161212*" &amp; "%USERPROFILE%\Documents\GitHub\mrs-test-scripts\Headless Mode &amp; Sideloading\WalkAndUnGZ.bat" "%USERPROFILE%\AppData\Local\Temp\OnboardLogs"\RTDC4022\2016-12-12</v>
      </c>
      <c r="AF76" s="88" t="str">
        <f t="shared" si="13"/>
        <v>"C:\Program Files (x86)\AstroGrep\AstroGrep.exe" /spath="%USERPROFILE%\AppData\Local\Temp\OnboardLogs" /stypes="app*4022*20161211*" /stext=" 19:.+((SYSTEM_STATE.+slice.+state.+changed )|(ment ac)|(multiple cpu faults)|(system.+state.+changed )|(\[timeout)|(PRM\|1\|D)|(kpr)|(kdp)|(\|lc)|(penalty))" /e /r /s</v>
      </c>
      <c r="AG76" s="1" t="str">
        <f t="shared" si="14"/>
        <v>EC</v>
      </c>
      <c r="AH76" s="92" t="str">
        <f t="shared" si="17"/>
        <v>"%USERPROFILE%\Documents\GitHub\eaglep3\Utilities\RefineRTDCRunTimes.py" --tripid 165-11 --locoid 4022 --swversion DE.1.0.8.0 --startMP 204:464 --initTime 2016-12-11T11:39:43 --startdatetime 2016-12-11T11:45:26 --delay 1 --endMP 204:233293 --enddatetime 2016-12-11T12:22:16 --enforcementcount 1 &gt;&gt;C:\Users\stu\Documents\GitHub\eaglep3-reporting\EC\2016-12-11-refined-times.txt</v>
      </c>
      <c r="AI76" s="119" t="str">
        <f t="shared" si="18"/>
        <v>echo {"issue":{"subject":"","project_id":79,"tracker_id":40,"status_id":1,"priority_id":2,"assigned_to_id":23,"start_date":"2016-12-11","description":"","custom_fields":[{"id":1,"name":"Subdivision","value":"EC"},{"id":4,"name":"Milepost","value":"23.3293"},{"id":17,"name":"Train ID","value":"165-11"},{"id":16,"name":"Locomotive ID","value":"4022"},{"id":130,"name":"Impact","value":""},{"id":150,"name":"Time of Event (Mountain Time)","value":"12:22:16"},{"id":151,"name":"Denver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6" s="53"/>
      <c r="AK76" s="53"/>
      <c r="AL76" s="53"/>
      <c r="AM76"/>
      <c r="AN76"/>
      <c r="AO76"/>
      <c r="AP76"/>
      <c r="AQ76"/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</row>
    <row r="77" spans="1:91" s="1" customFormat="1" x14ac:dyDescent="0.25">
      <c r="A77" s="37" t="s">
        <v>569</v>
      </c>
      <c r="B77" s="7">
        <v>4021</v>
      </c>
      <c r="C77" s="22" t="s">
        <v>207</v>
      </c>
      <c r="D77" s="22" t="s">
        <v>406</v>
      </c>
      <c r="E77" s="13">
        <v>42715.523888888885</v>
      </c>
      <c r="F77" s="13">
        <v>42715.528726851851</v>
      </c>
      <c r="G77" s="7">
        <v>1</v>
      </c>
      <c r="H77" s="22" t="s">
        <v>348</v>
      </c>
      <c r="I77" s="13">
        <v>42715.557800925926</v>
      </c>
      <c r="J77" s="7">
        <v>1</v>
      </c>
      <c r="K77" s="109" t="str">
        <f t="shared" ref="K77:K140" si="25">IF(ISEVEN(B77),(B77-1)&amp;"/"&amp;B77,B77&amp;"/"&amp;(B77+1))</f>
        <v>4021/4022</v>
      </c>
      <c r="L77" s="22" t="str">
        <f>VLOOKUP(A77,'Trips&amp;Operators'!$C$1:$G$99999,5,FALSE)</f>
        <v>MOSES BRADLEY</v>
      </c>
      <c r="M77" s="6">
        <f t="shared" ref="M77:M140" si="26">I77-F77</f>
        <v>2.9074074074742384E-2</v>
      </c>
      <c r="N77" s="7">
        <f t="shared" si="23"/>
        <v>41.866666667629033</v>
      </c>
      <c r="O77" s="7"/>
      <c r="P77" s="7"/>
      <c r="Q77" s="23"/>
      <c r="R77" s="23"/>
      <c r="S77" s="35">
        <f t="shared" si="24"/>
        <v>1</v>
      </c>
      <c r="T77" s="50" t="str">
        <f t="shared" ref="T77:T140" si="27">IF(ISEVEN(LEFT(AD77,4)),"Southbound","NorthBound")</f>
        <v>Southbound</v>
      </c>
      <c r="U77" s="171">
        <f>IF(AG77="EC",COUNTIFS(Variables!$M$2:$M$19,IF(T77="NorthBound","&gt;=","&lt;=")&amp;Y77,Variables!$M$2:$M$19,IF(T77="NorthBound","&lt;=","&gt;=")&amp;Z77),COUNTIFS(Variables!$P$2:$P$19,IF(T77="NorthBound","&gt;=","&lt;=")&amp;Y77,Variables!$P$2:$P$19,IF(T77="NorthBound","&lt;=","&gt;=")&amp;Z77))</f>
        <v>12</v>
      </c>
      <c r="V77" s="98" t="str">
        <f t="shared" ref="V77:V140" si="28">"https://search-rtdc-monitor-bjffxe2xuh6vdkpspy63sjmuny.us-east-1.es.amazonaws.com/_plugin/kibana/#/discover/Steve-Slow-Train-Analysis-(2080s-and-2083s)?_g=(refreshInterval:(display:Off,section:0,value:0),time:(from:'"&amp;TEXT(E77-1/24,"yyyy-MM-DD hh:mm:ss")&amp;utc_offset&amp;"00',mode:absolute,to:'"&amp;TEXT(I77+1/24,"yyyy-MM-DD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77&amp;"%22')),sort:!(Time,asc))"</f>
        <v>https://search-rtdc-monitor-bjffxe2xuh6vdkpspy63sjmuny.us-east-1.es.amazonaws.com/_plugin/kibana/#/discover/Steve-Slow-Train-Analysis-(2080s-and-2083s)?_g=(refreshInterval:(display:Off,section:0,value:0),time:(from:'2016-12-11 11:34:24-700',mode:absolute,to:'2016-12-11 14:23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77" s="52" t="str">
        <f t="shared" ref="W77:W140" si="29">IF(AA77&lt;IF(AG77="EC",23,5.65),"Y","N")</f>
        <v>N</v>
      </c>
      <c r="X77" s="177">
        <f t="shared" si="22"/>
        <v>1</v>
      </c>
      <c r="Y77" s="67">
        <f t="shared" ref="Y77:Y140" si="30">RIGHT(D77,LEN(D77)-4)/10000</f>
        <v>23.297999999999998</v>
      </c>
      <c r="Z77" s="67">
        <f t="shared" ref="Z77:Z140" si="31">RIGHT(H77,LEN(H77)-4)/10000</f>
        <v>1.47E-2</v>
      </c>
      <c r="AA77" s="67">
        <f t="shared" ref="AA77:AA140" si="32">ABS(Z77-Y77)</f>
        <v>23.283299999999997</v>
      </c>
      <c r="AB77" s="64" t="e">
        <f>VLOOKUP(A77,Enforcements!$C$7:$K$20,8,0)</f>
        <v>#N/A</v>
      </c>
      <c r="AC77" s="60" t="e">
        <f>VLOOKUP(A77,Enforcements!$C$7:$E$20,3,0)</f>
        <v>#N/A</v>
      </c>
      <c r="AD77" s="61" t="str">
        <f t="shared" ref="AD77:AD140" si="33">IF(LEN(A77)=6,"0"&amp;A77,A77)</f>
        <v>0166-11</v>
      </c>
      <c r="AE77" s="91" t="str">
        <f t="shared" ref="AE77:AE140" si="34">"aws s3 cp "&amp;s3_bucket&amp;"/RTDC"&amp;B77&amp;"/ "&amp;search_path&amp;"\RTDC"&amp;B77&amp;"\"&amp;TEXT(F77,"YYYY-MM-DD")&amp;" --exclude ""*"" --recursive --include ""*"&amp;TEXT(F77,"YYYYMMDD")&amp;"*"" &amp; """&amp;walkandungz&amp;""" "&amp;search_path&amp;"\RTDC"&amp;B77&amp;"\"&amp;TEXT(F77,"YYYY-MM-DD")
&amp;" &amp; "&amp;"aws s3 cp "&amp;s3_bucket&amp;"/RTDC"&amp;B77&amp;"/ "&amp;search_path&amp;"\RTDC"&amp;B77&amp;"\"&amp;TEXT(F77+1,"YYYY-MM-DD")&amp;" --exclude ""*"" --recursive --include ""*"&amp;TEXT(F77+1,"YYYYMMDD")&amp;"*"" &amp; """&amp;walkandungz&amp;""" "&amp;search_path&amp;"\RTDC"&amp;B77&amp;"\"&amp;TEXT(F77+1,"YYYY-MM-DD")</f>
        <v>aws s3 cp s3://rtdc.mdm.uploadarchive.raw/RTDC4021/ "%USERPROFILE%\AppData\Local\Temp\OnboardLogs"\RTDC4021\2016-12-11 --exclude "*" --recursive --include "*20161211*" &amp; "%USERPROFILE%\Documents\GitHub\mrs-test-scripts\Headless Mode &amp; Sideloading\WalkAndUnGZ.bat" "%USERPROFILE%\AppData\Local\Temp\OnboardLogs"\RTDC4021\2016-12-11 &amp; aws s3 cp s3://rtdc.mdm.uploadarchive.raw/RTDC4021/ "%USERPROFILE%\AppData\Local\Temp\OnboardLogs"\RTDC4021\2016-12-12 --exclude "*" --recursive --include "*20161212*" &amp; "%USERPROFILE%\Documents\GitHub\mrs-test-scripts\Headless Mode &amp; Sideloading\WalkAndUnGZ.bat" "%USERPROFILE%\AppData\Local\Temp\OnboardLogs"\RTDC4021\2016-12-12</v>
      </c>
      <c r="AF77" s="88" t="str">
        <f t="shared" ref="AF77:AF140" si="35">astrogrep_path&amp;" /spath="&amp;search_path&amp;" /stypes=""app*"&amp;B77&amp;"*"&amp;TEXT(I77-utc_offset/24,"YYYYMMDD")&amp;"*"" /stext="" "&amp;TEXT(I77-utc_offset/24,"HH")&amp;search_regexp&amp;""" /e /r /s"</f>
        <v>"C:\Program Files (x86)\AstroGrep\AstroGrep.exe" /spath="%USERPROFILE%\AppData\Local\Temp\OnboardLogs" /stypes="app*4021*20161211*" /stext=" 20:.+((SYSTEM_STATE.+slice.+state.+changed )|(ment ac)|(multiple cpu faults)|(system.+state.+changed )|(\[timeout)|(PRM\|1\|D)|(kpr)|(kdp)|(\|lc)|(penalty))" /e /r /s</v>
      </c>
      <c r="AG77" s="1" t="str">
        <f t="shared" ref="AG77:AG140" si="36">IFERROR(IF(VALUE(LEFT(AD77,2))&lt;=2,"EC",IF(OR(VALUE(LEFT(AD77,2))=8,VALUE(LEFT(AD77,2))=18),"NW","Other")),"Other")</f>
        <v>EC</v>
      </c>
      <c r="AH77" s="92" t="str">
        <f t="shared" ref="AH77:AH138" si="37">refinertdcruntimes&amp;" --tripid "&amp;A77&amp;" --locoid "&amp;B77&amp;" --swversion "&amp;C77&amp;" --startMP "&amp;D77&amp;" --initTime "&amp;TEXT(E77,"yyyy-mm-ddTHH:MM:SS")&amp;" --startdatetime "&amp;TEXT(F77,"yyyy-mm-ddTHH:MM:SS")&amp;" --delay "&amp;G77&amp;" --endMP "&amp;H77&amp;" --enddatetime "&amp;TEXT(I77,"yyyy-mm-ddTHH:MM:SS")&amp;" --enforcementcount "&amp;J77&amp;IF(outputrefinedruntimes," &gt;&gt;"&amp;RefinedRTDCRunTimesOutputFile,"")</f>
        <v>"%USERPROFILE%\Documents\GitHub\eaglep3\Utilities\RefineRTDCRunTimes.py" --tripid 166-11 --locoid 4021 --swversion DE.1.0.8.0 --startMP 204:232980 --initTime 2016-12-11T12:34:24 --startdatetime 2016-12-11T12:41:22 --delay 1 --endMP 204:147 --enddatetime 2016-12-11T13:23:14 --enforcementcount 1 &gt;&gt;C:\Users\stu\Documents\GitHub\eaglep3-reporting\EC\2016-12-11-refined-times.txt</v>
      </c>
      <c r="AI77" s="119" t="str">
        <f t="shared" ref="AI77:AI138" si="38">"echo {""issue"":{""subject"":"""&amp;R77&amp;""",""project_id"":79,""tracker_id"":40,""status_id"":"&amp;redmine_status&amp;",""priority_id"":"&amp;redmine_priority&amp;",""assigned_to_id"":"&amp;redmine_assignee&amp;",""start_date"":"""&amp;TEXT(I77,"YYYY-mm-dd")&amp;""",""description"":"""&amp;AJ77&amp;""",""custom_fields"":[{""id"":1,""name"":""Subdivision"",""value"":"""&amp;AG77&amp;"""},{""id"":4,""name"":""Milepost"",""value"":"""&amp;Z77&amp;"""},{""id"":17,""name"":""Train ID"",""value"":"""&amp;A77&amp;"""},{""id"":16,""name"":""Locomotive ID"",""value"":"""&amp;B77&amp;"""},{""id"":130,""name"":""Impact"",""value"":"""&amp;AK77&amp;"""},{""id"":150,""name"":""Time of Event (Mountain Time)"",""value"":"""&amp;TEXT(I77,"hh:mm:ss")&amp;"""},{""id"":151,""name"":""Denver Issue ID"",""value"":"""&amp;"""},{""id"":178,""name"":""Operational Impact"",""value"":"""&amp;redmine_op_impact&amp;"""},{""id"":179,""name"":""Denver Segment Assigned"",""value"":"""&amp;AL77&amp;"""}]}}"&amp;"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{"issue":{"subject":"","project_id":79,"tracker_id":40,"status_id":1,"priority_id":2,"assigned_to_id":23,"start_date":"2016-12-11","description":"","custom_fields":[{"id":1,"name":"Subdivision","value":"EC"},{"id":4,"name":"Milepost","value":"0.0147"},{"id":17,"name":"Train ID","value":"166-11"},{"id":16,"name":"Locomotive ID","value":"4021"},{"id":130,"name":"Impact","value":""},{"id":150,"name":"Time of Event (Mountain Time)","value":"13:23:14"},{"id":151,"name":"Denver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7" s="53"/>
      <c r="AK77" s="53"/>
      <c r="AL77" s="53"/>
      <c r="AM77"/>
      <c r="AN77"/>
      <c r="AO77"/>
      <c r="AP77"/>
      <c r="AQ77"/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</row>
    <row r="78" spans="1:91" s="1" customFormat="1" x14ac:dyDescent="0.25">
      <c r="A78" s="37" t="s">
        <v>561</v>
      </c>
      <c r="B78" s="7">
        <v>4029</v>
      </c>
      <c r="C78" s="22" t="s">
        <v>207</v>
      </c>
      <c r="D78" s="22" t="s">
        <v>273</v>
      </c>
      <c r="E78" s="13">
        <v>42715.495625000003</v>
      </c>
      <c r="F78" s="13">
        <v>42715.500509259262</v>
      </c>
      <c r="G78" s="7">
        <v>2</v>
      </c>
      <c r="H78" s="22" t="s">
        <v>363</v>
      </c>
      <c r="I78" s="13">
        <v>42715.526805555557</v>
      </c>
      <c r="J78" s="7">
        <v>1</v>
      </c>
      <c r="K78" s="109" t="str">
        <f t="shared" si="25"/>
        <v>4029/4030</v>
      </c>
      <c r="L78" s="22" t="str">
        <f>VLOOKUP(A78,'Trips&amp;Operators'!$C$1:$G$99999,5,FALSE)</f>
        <v>BERLING GARY</v>
      </c>
      <c r="M78" s="6">
        <f t="shared" si="26"/>
        <v>2.6296296295186039E-2</v>
      </c>
      <c r="N78" s="7">
        <f t="shared" si="23"/>
        <v>37.866666665067896</v>
      </c>
      <c r="O78" s="7"/>
      <c r="P78" s="7"/>
      <c r="Q78" s="23"/>
      <c r="R78" s="23"/>
      <c r="S78" s="35">
        <f t="shared" si="24"/>
        <v>1</v>
      </c>
      <c r="T78" s="50" t="str">
        <f t="shared" si="27"/>
        <v>NorthBound</v>
      </c>
      <c r="U78" s="171">
        <f>IF(AG78="EC",COUNTIFS(Variables!$M$2:$M$19,IF(T78="NorthBound","&gt;=","&lt;=")&amp;Y78,Variables!$M$2:$M$19,IF(T78="NorthBound","&lt;=","&gt;=")&amp;Z78),COUNTIFS(Variables!$P$2:$P$19,IF(T78="NorthBound","&gt;=","&lt;=")&amp;Y78,Variables!$P$2:$P$19,IF(T78="NorthBound","&lt;=","&gt;=")&amp;Z78))</f>
        <v>12</v>
      </c>
      <c r="V7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10:53:42-700',mode:absolute,to:'2016-12-11 13:38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78" s="52" t="str">
        <f t="shared" si="29"/>
        <v>N</v>
      </c>
      <c r="X78" s="177">
        <f t="shared" si="22"/>
        <v>1</v>
      </c>
      <c r="Y78" s="67">
        <f t="shared" si="30"/>
        <v>4.4600000000000001E-2</v>
      </c>
      <c r="Z78" s="67">
        <f t="shared" si="31"/>
        <v>23.331700000000001</v>
      </c>
      <c r="AA78" s="67">
        <f t="shared" si="32"/>
        <v>23.287100000000002</v>
      </c>
      <c r="AB78" s="64" t="e">
        <f>VLOOKUP(A78,Enforcements!$C$7:$K$20,8,0)</f>
        <v>#N/A</v>
      </c>
      <c r="AC78" s="60" t="e">
        <f>VLOOKUP(A78,Enforcements!$C$7:$E$20,3,0)</f>
        <v>#N/A</v>
      </c>
      <c r="AD78" s="61" t="str">
        <f t="shared" si="33"/>
        <v>0167-11</v>
      </c>
      <c r="AE78" s="91" t="str">
        <f t="shared" si="34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78" s="88" t="str">
        <f t="shared" si="35"/>
        <v>"C:\Program Files (x86)\AstroGrep\AstroGrep.exe" /spath="%USERPROFILE%\AppData\Local\Temp\OnboardLogs" /stypes="app*4029*20161211*" /stext=" 19:.+((SYSTEM_STATE.+slice.+state.+changed )|(ment ac)|(multiple cpu faults)|(system.+state.+changed )|(\[timeout)|(PRM\|1\|D)|(kpr)|(kdp)|(\|lc)|(penalty))" /e /r /s</v>
      </c>
      <c r="AG78" s="1" t="str">
        <f t="shared" si="36"/>
        <v>EC</v>
      </c>
      <c r="AH78" s="92" t="str">
        <f t="shared" si="37"/>
        <v>"%USERPROFILE%\Documents\GitHub\eaglep3\Utilities\RefineRTDCRunTimes.py" --tripid 167-11 --locoid 4029 --swversion DE.1.0.8.0 --startMP 204:446 --initTime 2016-12-11T11:53:42 --startdatetime 2016-12-11T12:00:44 --delay 2 --endMP 204:233317 --enddatetime 2016-12-11T12:38:36 --enforcementcount 1 &gt;&gt;C:\Users\stu\Documents\GitHub\eaglep3-reporting\EC\2016-12-11-refined-times.txt</v>
      </c>
      <c r="AI78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{"issue":{"subject":"","project_id":79,"tracker_id":40,"status_id":1,"priority_id":2,"assigned_to_id":23,"start_date":"2016-12-11","description":"","custom_fields":[{"id":1,"name":"Subdivision","value":"EC"},{"id":4,"name":"Milepost","value":"23.3317"},{"id":17,"name":"Train ID","value":"167-11"},{"id":16,"name":"Locomotive ID","value":"4029"},{"id":130,"name":"Impact","value":""},{"id":150,"name":"Time of Event (Mountain Time)","value":"12:38:36"},{"id":151,"name":"Denver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8" s="53"/>
      <c r="AK78" s="53"/>
      <c r="AL78" s="53"/>
      <c r="AM78"/>
      <c r="AN78"/>
      <c r="AO78"/>
      <c r="AP78"/>
      <c r="AQ78"/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</row>
    <row r="79" spans="1:91" s="1" customFormat="1" x14ac:dyDescent="0.25">
      <c r="A79" s="37" t="s">
        <v>572</v>
      </c>
      <c r="B79" s="7">
        <v>4030</v>
      </c>
      <c r="C79" s="22" t="s">
        <v>207</v>
      </c>
      <c r="D79" s="22" t="s">
        <v>405</v>
      </c>
      <c r="E79" s="13">
        <v>42715.533263888887</v>
      </c>
      <c r="F79" s="13">
        <v>42715.539131944446</v>
      </c>
      <c r="G79" s="7">
        <v>1</v>
      </c>
      <c r="H79" s="22" t="s">
        <v>193</v>
      </c>
      <c r="I79" s="13">
        <v>42715.568136574075</v>
      </c>
      <c r="J79" s="7">
        <v>1</v>
      </c>
      <c r="K79" s="109" t="str">
        <f t="shared" si="25"/>
        <v>4029/4030</v>
      </c>
      <c r="L79" s="22" t="str">
        <f>VLOOKUP(A79,'Trips&amp;Operators'!$C$1:$G$99999,5,FALSE)</f>
        <v>BERLING GARY</v>
      </c>
      <c r="M79" s="6">
        <f t="shared" si="26"/>
        <v>2.9004629628616385E-2</v>
      </c>
      <c r="N79" s="7">
        <f t="shared" si="23"/>
        <v>41.766666665207595</v>
      </c>
      <c r="O79" s="7"/>
      <c r="P79" s="7"/>
      <c r="Q79" s="23"/>
      <c r="R79" s="23"/>
      <c r="S79" s="35">
        <f t="shared" si="24"/>
        <v>1</v>
      </c>
      <c r="T79" s="50" t="str">
        <f t="shared" si="27"/>
        <v>Southbound</v>
      </c>
      <c r="U79" s="171">
        <f>IF(AG79="EC",COUNTIFS(Variables!$M$2:$M$19,IF(T79="NorthBound","&gt;=","&lt;=")&amp;Y79,Variables!$M$2:$M$19,IF(T79="NorthBound","&lt;=","&gt;=")&amp;Z79),COUNTIFS(Variables!$P$2:$P$19,IF(T79="NorthBound","&gt;=","&lt;=")&amp;Y79,Variables!$P$2:$P$19,IF(T79="NorthBound","&lt;=","&gt;=")&amp;Z79))</f>
        <v>12</v>
      </c>
      <c r="V7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11:47:54-700',mode:absolute,to:'2016-12-11 14:38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79" s="52" t="str">
        <f t="shared" si="29"/>
        <v>N</v>
      </c>
      <c r="X79" s="177">
        <f t="shared" si="22"/>
        <v>1</v>
      </c>
      <c r="Y79" s="67">
        <f t="shared" si="30"/>
        <v>23.3004</v>
      </c>
      <c r="Z79" s="67">
        <f t="shared" si="31"/>
        <v>1.43E-2</v>
      </c>
      <c r="AA79" s="67">
        <f t="shared" si="32"/>
        <v>23.286100000000001</v>
      </c>
      <c r="AB79" s="64" t="e">
        <f>VLOOKUP(A79,Enforcements!$C$7:$K$20,8,0)</f>
        <v>#N/A</v>
      </c>
      <c r="AC79" s="60" t="e">
        <f>VLOOKUP(A79,Enforcements!$C$7:$E$20,3,0)</f>
        <v>#N/A</v>
      </c>
      <c r="AD79" s="61" t="str">
        <f t="shared" si="33"/>
        <v>0168-11</v>
      </c>
      <c r="AE79" s="91" t="str">
        <f t="shared" si="34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79" s="88" t="str">
        <f t="shared" si="35"/>
        <v>"C:\Program Files (x86)\AstroGrep\AstroGrep.exe" /spath="%USERPROFILE%\AppData\Local\Temp\OnboardLogs" /stypes="app*4030*20161211*" /stext=" 20:.+((SYSTEM_STATE.+slice.+state.+changed )|(ment ac)|(multiple cpu faults)|(system.+state.+changed )|(\[timeout)|(PRM\|1\|D)|(kpr)|(kdp)|(\|lc)|(penalty))" /e /r /s</v>
      </c>
      <c r="AG79" s="1" t="str">
        <f t="shared" si="36"/>
        <v>EC</v>
      </c>
      <c r="AH79" s="92" t="str">
        <f t="shared" si="37"/>
        <v>"%USERPROFILE%\Documents\GitHub\eaglep3\Utilities\RefineRTDCRunTimes.py" --tripid 168-11 --locoid 4030 --swversion DE.1.0.8.0 --startMP 204:233004 --initTime 2016-12-11T12:47:54 --startdatetime 2016-12-11T12:56:21 --delay 1 --endMP 204:143 --enddatetime 2016-12-11T13:38:07 --enforcementcount 1 &gt;&gt;C:\Users\stu\Documents\GitHub\eaglep3-reporting\EC\2016-12-11-refined-times.txt</v>
      </c>
      <c r="AI79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{"issue":{"subject":"","project_id":79,"tracker_id":40,"status_id":1,"priority_id":2,"assigned_to_id":23,"start_date":"2016-12-11","description":"","custom_fields":[{"id":1,"name":"Subdivision","value":"EC"},{"id":4,"name":"Milepost","value":"0.0143"},{"id":17,"name":"Train ID","value":"168-11"},{"id":16,"name":"Locomotive ID","value":"4030"},{"id":130,"name":"Impact","value":""},{"id":150,"name":"Time of Event (Mountain Time)","value":"13:38:07"},{"id":151,"name":"Denver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79" s="53"/>
      <c r="AK79" s="53"/>
      <c r="AL79" s="53"/>
      <c r="AM79"/>
      <c r="AN79"/>
      <c r="AO79"/>
      <c r="AP79"/>
      <c r="AQ79"/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</row>
    <row r="80" spans="1:91" s="1" customFormat="1" x14ac:dyDescent="0.25">
      <c r="A80" s="37" t="s">
        <v>565</v>
      </c>
      <c r="B80" s="7">
        <v>4031</v>
      </c>
      <c r="C80" s="22" t="s">
        <v>207</v>
      </c>
      <c r="D80" s="22" t="s">
        <v>416</v>
      </c>
      <c r="E80" s="13">
        <v>42715.507997685185</v>
      </c>
      <c r="F80" s="13">
        <v>42715.51059027778</v>
      </c>
      <c r="G80" s="7">
        <v>2</v>
      </c>
      <c r="H80" s="22" t="s">
        <v>710</v>
      </c>
      <c r="I80" s="13">
        <v>42715.535613425927</v>
      </c>
      <c r="J80" s="7">
        <v>1</v>
      </c>
      <c r="K80" s="109" t="str">
        <f t="shared" si="25"/>
        <v>4031/4032</v>
      </c>
      <c r="L80" s="22" t="str">
        <f>VLOOKUP(A80,'Trips&amp;Operators'!$C$1:$G$99999,5,FALSE)</f>
        <v>BROWN JACOB</v>
      </c>
      <c r="M80" s="6">
        <f t="shared" si="26"/>
        <v>2.5023148147738539E-2</v>
      </c>
      <c r="N80" s="7">
        <f t="shared" si="23"/>
        <v>36.033333332743496</v>
      </c>
      <c r="O80" s="7"/>
      <c r="P80" s="7"/>
      <c r="Q80" s="23"/>
      <c r="R80" s="23"/>
      <c r="S80" s="35">
        <f t="shared" si="24"/>
        <v>1</v>
      </c>
      <c r="T80" s="50" t="str">
        <f t="shared" si="27"/>
        <v>NorthBound</v>
      </c>
      <c r="U80" s="171">
        <f>IF(AG80="EC",COUNTIFS(Variables!$M$2:$M$19,IF(T80="NorthBound","&gt;=","&lt;=")&amp;Y80,Variables!$M$2:$M$19,IF(T80="NorthBound","&lt;=","&gt;=")&amp;Z80),COUNTIFS(Variables!$P$2:$P$19,IF(T80="NorthBound","&gt;=","&lt;=")&amp;Y80,Variables!$P$2:$P$19,IF(T80="NorthBound","&lt;=","&gt;=")&amp;Z80))</f>
        <v>12</v>
      </c>
      <c r="V8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11:11:31-700',mode:absolute,to:'2016-12-11 13:51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80" s="52" t="str">
        <f t="shared" si="29"/>
        <v>N</v>
      </c>
      <c r="X80" s="177">
        <f t="shared" si="22"/>
        <v>1</v>
      </c>
      <c r="Y80" s="67">
        <f t="shared" si="30"/>
        <v>4.3999999999999997E-2</v>
      </c>
      <c r="Z80" s="67">
        <f t="shared" si="31"/>
        <v>23.329899999999999</v>
      </c>
      <c r="AA80" s="67">
        <f t="shared" si="32"/>
        <v>23.285899999999998</v>
      </c>
      <c r="AB80" s="64" t="e">
        <f>VLOOKUP(A80,Enforcements!$C$7:$K$20,8,0)</f>
        <v>#N/A</v>
      </c>
      <c r="AC80" s="60" t="e">
        <f>VLOOKUP(A80,Enforcements!$C$7:$E$20,3,0)</f>
        <v>#N/A</v>
      </c>
      <c r="AD80" s="61" t="str">
        <f t="shared" si="33"/>
        <v>0169-11</v>
      </c>
      <c r="AE80" s="91" t="str">
        <f t="shared" si="34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80" s="88" t="str">
        <f t="shared" si="35"/>
        <v>"C:\Program Files (x86)\AstroGrep\AstroGrep.exe" /spath="%USERPROFILE%\AppData\Local\Temp\OnboardLogs" /stypes="app*4031*20161211*" /stext=" 19:.+((SYSTEM_STATE.+slice.+state.+changed )|(ment ac)|(multiple cpu faults)|(system.+state.+changed )|(\[timeout)|(PRM\|1\|D)|(kpr)|(kdp)|(\|lc)|(penalty))" /e /r /s</v>
      </c>
      <c r="AG80" s="1" t="str">
        <f t="shared" si="36"/>
        <v>EC</v>
      </c>
      <c r="AH80" s="92" t="str">
        <f t="shared" si="37"/>
        <v>"%USERPROFILE%\Documents\GitHub\eaglep3\Utilities\RefineRTDCRunTimes.py" --tripid 169-11 --locoid 4031 --swversion DE.1.0.8.0 --startMP 204:440 --initTime 2016-12-11T12:11:31 --startdatetime 2016-12-11T12:15:15 --delay 2 --endMP 204:233299 --enddatetime 2016-12-11T12:51:17 --enforcementcount 1 &gt;&gt;C:\Users\stu\Documents\GitHub\eaglep3-reporting\EC\2016-12-11-refined-times.txt</v>
      </c>
      <c r="AI80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{"issue":{"subject":"","project_id":79,"tracker_id":40,"status_id":1,"priority_id":2,"assigned_to_id":23,"start_date":"2016-12-11","description":"","custom_fields":[{"id":1,"name":"Subdivision","value":"EC"},{"id":4,"name":"Milepost","value":"23.3299"},{"id":17,"name":"Train ID","value":"169-11"},{"id":16,"name":"Locomotive ID","value":"4031"},{"id":130,"name":"Impact","value":""},{"id":150,"name":"Time of Event (Mountain Time)","value":"12:51:17"},{"id":151,"name":"Denver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0" s="53"/>
      <c r="AK80" s="53"/>
      <c r="AL80" s="53"/>
      <c r="AM80"/>
      <c r="AN80"/>
      <c r="AO80"/>
      <c r="AP80"/>
      <c r="AQ80"/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  <c r="BH80"/>
      <c r="BI80"/>
      <c r="BJ80"/>
      <c r="BK80"/>
      <c r="BL80"/>
      <c r="BM80"/>
      <c r="BN80"/>
      <c r="BO80"/>
      <c r="BP80"/>
      <c r="BQ80"/>
      <c r="BR80"/>
      <c r="BS80"/>
      <c r="BT80"/>
      <c r="BU80"/>
      <c r="BV80"/>
      <c r="BW80"/>
      <c r="BX80"/>
      <c r="BY80"/>
      <c r="BZ80"/>
      <c r="CA80"/>
      <c r="CB80"/>
      <c r="CC80"/>
      <c r="CD80"/>
      <c r="CE80"/>
      <c r="CF80"/>
      <c r="CG80"/>
      <c r="CH80"/>
      <c r="CI80"/>
      <c r="CJ80"/>
      <c r="CK80"/>
      <c r="CL80"/>
      <c r="CM80"/>
    </row>
    <row r="81" spans="1:91" s="1" customFormat="1" x14ac:dyDescent="0.25">
      <c r="A81" s="37" t="s">
        <v>462</v>
      </c>
      <c r="B81" s="7">
        <v>4032</v>
      </c>
      <c r="C81" s="22" t="s">
        <v>207</v>
      </c>
      <c r="D81" s="22" t="s">
        <v>361</v>
      </c>
      <c r="E81" s="13">
        <v>42715.545474537037</v>
      </c>
      <c r="F81" s="13">
        <v>42715.549479166664</v>
      </c>
      <c r="G81" s="7">
        <v>1</v>
      </c>
      <c r="H81" s="22" t="s">
        <v>711</v>
      </c>
      <c r="I81" s="13">
        <v>42715.582337962966</v>
      </c>
      <c r="J81" s="7">
        <v>1</v>
      </c>
      <c r="K81" s="109" t="str">
        <f t="shared" si="25"/>
        <v>4031/4032</v>
      </c>
      <c r="L81" s="22" t="str">
        <f>VLOOKUP(A81,'Trips&amp;Operators'!$C$1:$G$99999,5,FALSE)</f>
        <v>BROWN JACOB</v>
      </c>
      <c r="M81" s="6">
        <f t="shared" si="26"/>
        <v>3.2858796301297843E-2</v>
      </c>
      <c r="N81" s="7">
        <f t="shared" si="23"/>
        <v>47.316666673868895</v>
      </c>
      <c r="O81" s="7"/>
      <c r="P81" s="7"/>
      <c r="Q81" s="23"/>
      <c r="R81" s="23"/>
      <c r="S81" s="35">
        <f t="shared" si="24"/>
        <v>1</v>
      </c>
      <c r="T81" s="50" t="str">
        <f t="shared" si="27"/>
        <v>Southbound</v>
      </c>
      <c r="U81" s="171">
        <f>IF(AG81="EC",COUNTIFS(Variables!$M$2:$M$19,IF(T81="NorthBound","&gt;=","&lt;=")&amp;Y81,Variables!$M$2:$M$19,IF(T81="NorthBound","&lt;=","&gt;=")&amp;Z81),COUNTIFS(Variables!$P$2:$P$19,IF(T81="NorthBound","&gt;=","&lt;=")&amp;Y81,Variables!$P$2:$P$19,IF(T81="NorthBound","&lt;=","&gt;=")&amp;Z81))</f>
        <v>12</v>
      </c>
      <c r="V8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12:05:29-700',mode:absolute,to:'2016-12-11 14:58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81" s="52" t="str">
        <f t="shared" si="29"/>
        <v>N</v>
      </c>
      <c r="X81" s="177">
        <f t="shared" si="22"/>
        <v>1</v>
      </c>
      <c r="Y81" s="67">
        <f t="shared" si="30"/>
        <v>23.2986</v>
      </c>
      <c r="Z81" s="67">
        <f t="shared" si="31"/>
        <v>0.1171</v>
      </c>
      <c r="AA81" s="67">
        <f t="shared" si="32"/>
        <v>23.1815</v>
      </c>
      <c r="AB81" s="64" t="str">
        <f>VLOOKUP(A81,Enforcements!$C$7:$K$20,8,0)</f>
        <v>Speed (6)</v>
      </c>
      <c r="AC81" s="60" t="str">
        <f>VLOOKUP(A81,Enforcements!$C$7:$E$20,3,0)</f>
        <v>PERMANENT SPEED RESTRICTION</v>
      </c>
      <c r="AD81" s="61" t="str">
        <f t="shared" si="33"/>
        <v>0170-11</v>
      </c>
      <c r="AE81" s="91" t="str">
        <f t="shared" si="34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81" s="88" t="str">
        <f t="shared" si="35"/>
        <v>"C:\Program Files (x86)\AstroGrep\AstroGrep.exe" /spath="%USERPROFILE%\AppData\Local\Temp\OnboardLogs" /stypes="app*4032*20161211*" /stext=" 20:.+((SYSTEM_STATE.+slice.+state.+changed )|(ment ac)|(multiple cpu faults)|(system.+state.+changed )|(\[timeout)|(PRM\|1\|D)|(kpr)|(kdp)|(\|lc)|(penalty))" /e /r /s</v>
      </c>
      <c r="AG81" s="1" t="str">
        <f t="shared" si="36"/>
        <v>EC</v>
      </c>
      <c r="AH81" s="92" t="str">
        <f t="shared" si="37"/>
        <v>"%USERPROFILE%\Documents\GitHub\eaglep3\Utilities\RefineRTDCRunTimes.py" --tripid 170-11 --locoid 4032 --swversion DE.1.0.8.0 --startMP 204:232986 --initTime 2016-12-11T13:05:29 --startdatetime 2016-12-11T13:11:15 --delay 1 --endMP 204:1171 --enddatetime 2016-12-11T13:58:34 --enforcementcount 1 &gt;&gt;C:\Users\stu\Documents\GitHub\eaglep3-reporting\EC\2016-12-11-refined-times.txt</v>
      </c>
      <c r="AI81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{"issue":{"subject":"","project_id":79,"tracker_id":40,"status_id":1,"priority_id":2,"assigned_to_id":23,"start_date":"2016-12-11","description":"","custom_fields":[{"id":1,"name":"Subdivision","value":"EC"},{"id":4,"name":"Milepost","value":"0.1171"},{"id":17,"name":"Train ID","value":"170-11"},{"id":16,"name":"Locomotive ID","value":"4032"},{"id":130,"name":"Impact","value":""},{"id":150,"name":"Time of Event (Mountain Time)","value":"13:58:34"},{"id":151,"name":"Denver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1" s="53"/>
      <c r="AK81" s="53"/>
      <c r="AL81" s="53"/>
      <c r="AM81"/>
      <c r="AN81"/>
      <c r="AO81"/>
      <c r="AP81"/>
      <c r="AQ81"/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  <c r="BH81"/>
      <c r="BI81"/>
      <c r="BJ81"/>
      <c r="BK81"/>
      <c r="BL81"/>
      <c r="BM81"/>
      <c r="BN81"/>
      <c r="BO81"/>
      <c r="BP81"/>
      <c r="BQ81"/>
      <c r="BR81"/>
      <c r="BS81"/>
      <c r="BT81"/>
      <c r="BU81"/>
      <c r="BV81"/>
      <c r="BW81"/>
      <c r="BX81"/>
      <c r="BY81"/>
      <c r="BZ81"/>
      <c r="CA81"/>
      <c r="CB81"/>
      <c r="CC81"/>
      <c r="CD81"/>
      <c r="CE81"/>
      <c r="CF81"/>
      <c r="CG81"/>
      <c r="CH81"/>
      <c r="CI81"/>
      <c r="CJ81"/>
      <c r="CK81"/>
      <c r="CL81"/>
      <c r="CM81"/>
    </row>
    <row r="82" spans="1:91" s="1" customFormat="1" x14ac:dyDescent="0.25">
      <c r="A82" s="37" t="s">
        <v>568</v>
      </c>
      <c r="B82" s="7">
        <v>4044</v>
      </c>
      <c r="C82" s="22" t="s">
        <v>207</v>
      </c>
      <c r="D82" s="22" t="s">
        <v>273</v>
      </c>
      <c r="E82" s="13">
        <v>42715.516180555554</v>
      </c>
      <c r="F82" s="13">
        <v>42715.521099537036</v>
      </c>
      <c r="G82" s="7">
        <v>1</v>
      </c>
      <c r="H82" s="22" t="s">
        <v>294</v>
      </c>
      <c r="I82" s="13">
        <v>42715.546458333331</v>
      </c>
      <c r="J82" s="7">
        <v>1</v>
      </c>
      <c r="K82" s="109" t="str">
        <f t="shared" si="25"/>
        <v>4043/4044</v>
      </c>
      <c r="L82" s="22" t="str">
        <f>VLOOKUP(A82,'Trips&amp;Operators'!$C$1:$G$99999,5,FALSE)</f>
        <v>SHOOK JOHN</v>
      </c>
      <c r="M82" s="6">
        <f t="shared" si="26"/>
        <v>2.5358796294312924E-2</v>
      </c>
      <c r="N82" s="7">
        <f t="shared" si="23"/>
        <v>36.516666663810611</v>
      </c>
      <c r="O82" s="7"/>
      <c r="P82" s="7"/>
      <c r="Q82" s="23"/>
      <c r="R82" s="23"/>
      <c r="S82" s="35">
        <f t="shared" si="24"/>
        <v>1</v>
      </c>
      <c r="T82" s="50" t="str">
        <f t="shared" si="27"/>
        <v>NorthBound</v>
      </c>
      <c r="U82" s="171">
        <f>IF(AG82="EC",COUNTIFS(Variables!$M$2:$M$19,IF(T82="NorthBound","&gt;=","&lt;=")&amp;Y82,Variables!$M$2:$M$19,IF(T82="NorthBound","&lt;=","&gt;=")&amp;Z82),COUNTIFS(Variables!$P$2:$P$19,IF(T82="NorthBound","&gt;=","&lt;=")&amp;Y82,Variables!$P$2:$P$19,IF(T82="NorthBound","&lt;=","&gt;=")&amp;Z82))</f>
        <v>12</v>
      </c>
      <c r="V8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11:23:18-700',mode:absolute,to:'2016-12-11 14:06:54-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82" s="52" t="str">
        <f t="shared" si="29"/>
        <v>N</v>
      </c>
      <c r="X82" s="177">
        <f t="shared" si="22"/>
        <v>1</v>
      </c>
      <c r="Y82" s="67">
        <f t="shared" si="30"/>
        <v>4.4600000000000001E-2</v>
      </c>
      <c r="Z82" s="67">
        <f t="shared" si="31"/>
        <v>23.332100000000001</v>
      </c>
      <c r="AA82" s="67">
        <f t="shared" si="32"/>
        <v>23.287500000000001</v>
      </c>
      <c r="AB82" s="64" t="e">
        <f>VLOOKUP(A82,Enforcements!$C$7:$K$20,8,0)</f>
        <v>#N/A</v>
      </c>
      <c r="AC82" s="60" t="e">
        <f>VLOOKUP(A82,Enforcements!$C$7:$E$20,3,0)</f>
        <v>#N/A</v>
      </c>
      <c r="AD82" s="61" t="str">
        <f t="shared" si="33"/>
        <v>0171-11</v>
      </c>
      <c r="AE82" s="91" t="str">
        <f t="shared" si="34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82" s="88" t="str">
        <f t="shared" si="35"/>
        <v>"C:\Program Files (x86)\AstroGrep\AstroGrep.exe" /spath="%USERPROFILE%\AppData\Local\Temp\OnboardLogs" /stypes="app*4044*20161211*" /stext=" 20:.+((SYSTEM_STATE.+slice.+state.+changed )|(ment ac)|(multiple cpu faults)|(system.+state.+changed )|(\[timeout)|(PRM\|1\|D)|(kpr)|(kdp)|(\|lc)|(penalty))" /e /r /s</v>
      </c>
      <c r="AG82" s="1" t="str">
        <f t="shared" si="36"/>
        <v>EC</v>
      </c>
      <c r="AH82" s="92" t="str">
        <f t="shared" si="37"/>
        <v>"%USERPROFILE%\Documents\GitHub\eaglep3\Utilities\RefineRTDCRunTimes.py" --tripid 171-11 --locoid 4044 --swversion DE.1.0.8.0 --startMP 204:446 --initTime 2016-12-11T12:23:18 --startdatetime 2016-12-11T12:30:23 --delay 1 --endMP 204:233321 --enddatetime 2016-12-11T13:06:54 --enforcementcount 1 &gt;&gt;C:\Users\stu\Documents\GitHub\eaglep3-reporting\EC\2016-12-11-refined-times.txt</v>
      </c>
      <c r="AI82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{"issue":{"subject":"","project_id":79,"tracker_id":40,"status_id":1,"priority_id":2,"assigned_to_id":23,"start_date":"2016-12-11","description":"","custom_fields":[{"id":1,"name":"Subdivision","value":"EC"},{"id":4,"name":"Milepost","value":"23.3321"},{"id":17,"name":"Train ID","value":"171-11"},{"id":16,"name":"Locomotive ID","value":"4044"},{"id":130,"name":"Impact","value":""},{"id":150,"name":"Time of Event (Mountain Time)","value":"13:06:54"},{"id":151,"name":"Denver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2" s="53"/>
      <c r="AK82" s="53"/>
      <c r="AL82" s="53"/>
      <c r="AM82"/>
      <c r="AN82"/>
      <c r="AO82"/>
      <c r="AP82"/>
      <c r="AQ82"/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  <c r="BH82"/>
      <c r="BI82"/>
      <c r="BJ82"/>
      <c r="BK82"/>
      <c r="BL82"/>
      <c r="BM82"/>
      <c r="BN82"/>
      <c r="BO82"/>
      <c r="BP82"/>
      <c r="BQ82"/>
      <c r="BR82"/>
      <c r="BS82"/>
      <c r="BT82"/>
      <c r="BU82"/>
      <c r="BV82"/>
      <c r="BW82"/>
      <c r="BX82"/>
      <c r="BY82"/>
      <c r="BZ82"/>
      <c r="CA82"/>
      <c r="CB82"/>
      <c r="CC82"/>
      <c r="CD82"/>
      <c r="CE82"/>
      <c r="CF82"/>
      <c r="CG82"/>
      <c r="CH82"/>
      <c r="CI82"/>
      <c r="CJ82"/>
      <c r="CK82"/>
      <c r="CL82"/>
      <c r="CM82"/>
    </row>
    <row r="83" spans="1:91" s="1" customFormat="1" x14ac:dyDescent="0.25">
      <c r="A83" s="37" t="s">
        <v>574</v>
      </c>
      <c r="B83" s="7">
        <v>4043</v>
      </c>
      <c r="C83" s="22" t="s">
        <v>207</v>
      </c>
      <c r="D83" s="22" t="s">
        <v>362</v>
      </c>
      <c r="E83" s="13">
        <v>42715.557870370372</v>
      </c>
      <c r="F83" s="13">
        <v>42715.559953703705</v>
      </c>
      <c r="G83" s="7">
        <v>1</v>
      </c>
      <c r="H83" s="22" t="s">
        <v>227</v>
      </c>
      <c r="I83" s="13">
        <v>42715.590856481482</v>
      </c>
      <c r="J83" s="7">
        <v>1</v>
      </c>
      <c r="K83" s="109" t="str">
        <f t="shared" si="25"/>
        <v>4043/4044</v>
      </c>
      <c r="L83" s="22" t="str">
        <f>VLOOKUP(A83,'Trips&amp;Operators'!$C$1:$G$99999,5,FALSE)</f>
        <v>SHOOK JOHN</v>
      </c>
      <c r="M83" s="6">
        <f t="shared" si="26"/>
        <v>3.0902777776645962E-2</v>
      </c>
      <c r="N83" s="7">
        <f t="shared" si="23"/>
        <v>44.499999998370185</v>
      </c>
      <c r="O83" s="7"/>
      <c r="P83" s="7"/>
      <c r="Q83" s="23"/>
      <c r="R83" s="23"/>
      <c r="S83" s="35">
        <f t="shared" si="24"/>
        <v>1</v>
      </c>
      <c r="T83" s="50" t="str">
        <f t="shared" si="27"/>
        <v>Southbound</v>
      </c>
      <c r="U83" s="171">
        <f>IF(AG83="EC",COUNTIFS(Variables!$M$2:$M$19,IF(T83="NorthBound","&gt;=","&lt;=")&amp;Y83,Variables!$M$2:$M$19,IF(T83="NorthBound","&lt;=","&gt;=")&amp;Z83),COUNTIFS(Variables!$P$2:$P$19,IF(T83="NorthBound","&gt;=","&lt;=")&amp;Y83,Variables!$P$2:$P$19,IF(T83="NorthBound","&lt;=","&gt;=")&amp;Z83))</f>
        <v>12</v>
      </c>
      <c r="V8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12:23:20-700',mode:absolute,to:'2016-12-11 15:10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83" s="52" t="str">
        <f t="shared" si="29"/>
        <v>N</v>
      </c>
      <c r="X83" s="177">
        <f t="shared" ref="X83:X114" si="39">VALUE(LEFT(AD83,4))-VALUE(LEFT(AD82,4))</f>
        <v>1</v>
      </c>
      <c r="Y83" s="67">
        <f t="shared" si="30"/>
        <v>23.303999999999998</v>
      </c>
      <c r="Z83" s="67">
        <f t="shared" si="31"/>
        <v>1.41E-2</v>
      </c>
      <c r="AA83" s="67">
        <f t="shared" si="32"/>
        <v>23.289899999999999</v>
      </c>
      <c r="AB83" s="64" t="e">
        <f>VLOOKUP(A83,Enforcements!$C$7:$K$20,8,0)</f>
        <v>#N/A</v>
      </c>
      <c r="AC83" s="60" t="e">
        <f>VLOOKUP(A83,Enforcements!$C$7:$E$20,3,0)</f>
        <v>#N/A</v>
      </c>
      <c r="AD83" s="61" t="str">
        <f t="shared" si="33"/>
        <v>0172-11</v>
      </c>
      <c r="AE83" s="91" t="str">
        <f t="shared" si="34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83" s="88" t="str">
        <f t="shared" si="35"/>
        <v>"C:\Program Files (x86)\AstroGrep\AstroGrep.exe" /spath="%USERPROFILE%\AppData\Local\Temp\OnboardLogs" /stypes="app*4043*20161211*" /stext=" 21:.+((SYSTEM_STATE.+slice.+state.+changed )|(ment ac)|(multiple cpu faults)|(system.+state.+changed )|(\[timeout)|(PRM\|1\|D)|(kpr)|(kdp)|(\|lc)|(penalty))" /e /r /s</v>
      </c>
      <c r="AG83" s="1" t="str">
        <f t="shared" si="36"/>
        <v>EC</v>
      </c>
      <c r="AH83" s="92" t="str">
        <f t="shared" si="37"/>
        <v>"%USERPROFILE%\Documents\GitHub\eaglep3\Utilities\RefineRTDCRunTimes.py" --tripid 172-11 --locoid 4043 --swversion DE.1.0.8.0 --startMP 204:233040 --initTime 2016-12-11T13:23:20 --startdatetime 2016-12-11T13:26:20 --delay 1 --endMP 204:141 --enddatetime 2016-12-11T14:10:50 --enforcementcount 1 &gt;&gt;C:\Users\stu\Documents\GitHub\eaglep3-reporting\EC\2016-12-11-refined-times.txt</v>
      </c>
      <c r="AI83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ID","value":"172-11"},{"id":16,"name":"Locomotive ID","value":"4043"},{"id":130,"name":"Impact","value":""},{"id":150,"name":"Time of Event (Mountain Time)","value":"14:10:50"},{"id":151,"name":"Denver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3" s="53"/>
      <c r="AK83" s="53"/>
      <c r="AL83" s="53"/>
      <c r="AM83"/>
      <c r="AN83"/>
      <c r="AO83"/>
      <c r="AP83"/>
      <c r="AQ83"/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/>
      <c r="BI83"/>
      <c r="BJ83"/>
      <c r="BK83"/>
      <c r="BL83"/>
      <c r="BM83"/>
      <c r="BN83"/>
      <c r="BO83"/>
      <c r="BP83"/>
      <c r="BQ83"/>
      <c r="BR83"/>
      <c r="BS83"/>
      <c r="BT83"/>
      <c r="BU83"/>
      <c r="BV83"/>
      <c r="BW83"/>
      <c r="BX83"/>
      <c r="BY83"/>
      <c r="BZ83"/>
      <c r="CA83"/>
      <c r="CB83"/>
      <c r="CC83"/>
      <c r="CD83"/>
      <c r="CE83"/>
      <c r="CF83"/>
      <c r="CG83"/>
      <c r="CH83"/>
      <c r="CI83"/>
      <c r="CJ83"/>
      <c r="CK83"/>
      <c r="CL83"/>
      <c r="CM83"/>
    </row>
    <row r="84" spans="1:91" s="1" customFormat="1" x14ac:dyDescent="0.25">
      <c r="A84" s="37" t="s">
        <v>571</v>
      </c>
      <c r="B84" s="7">
        <v>4009</v>
      </c>
      <c r="C84" s="22" t="s">
        <v>207</v>
      </c>
      <c r="D84" s="22" t="s">
        <v>436</v>
      </c>
      <c r="E84" s="13">
        <v>42715.527499999997</v>
      </c>
      <c r="F84" s="13">
        <v>42715.531469907408</v>
      </c>
      <c r="G84" s="7">
        <v>2</v>
      </c>
      <c r="H84" s="22" t="s">
        <v>712</v>
      </c>
      <c r="I84" s="13">
        <v>42715.560393518521</v>
      </c>
      <c r="J84" s="7">
        <v>1</v>
      </c>
      <c r="K84" s="109" t="str">
        <f t="shared" si="25"/>
        <v>4009/4010</v>
      </c>
      <c r="L84" s="22" t="str">
        <f>VLOOKUP(A84,'Trips&amp;Operators'!$C$1:$G$99999,5,FALSE)</f>
        <v>STEWART MICHAEL</v>
      </c>
      <c r="M84" s="6">
        <f t="shared" si="26"/>
        <v>2.8923611112986691E-2</v>
      </c>
      <c r="N84" s="7">
        <f t="shared" si="23"/>
        <v>41.650000002700835</v>
      </c>
      <c r="O84" s="7"/>
      <c r="P84" s="7"/>
      <c r="Q84" s="23"/>
      <c r="R84" s="23"/>
      <c r="S84" s="35">
        <f t="shared" si="24"/>
        <v>1</v>
      </c>
      <c r="T84" s="50" t="str">
        <f t="shared" si="27"/>
        <v>NorthBound</v>
      </c>
      <c r="U84" s="171">
        <f>IF(AG84="EC",COUNTIFS(Variables!$M$2:$M$19,IF(T84="NorthBound","&gt;=","&lt;=")&amp;Y84,Variables!$M$2:$M$19,IF(T84="NorthBound","&lt;=","&gt;=")&amp;Z84),COUNTIFS(Variables!$P$2:$P$19,IF(T84="NorthBound","&gt;=","&lt;=")&amp;Y84,Variables!$P$2:$P$19,IF(T84="NorthBound","&lt;=","&gt;=")&amp;Z84))</f>
        <v>12</v>
      </c>
      <c r="V8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11:39:36-700',mode:absolute,to:'2016-12-11 14:26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84" s="52" t="str">
        <f t="shared" si="29"/>
        <v>N</v>
      </c>
      <c r="X84" s="177">
        <f t="shared" si="39"/>
        <v>1</v>
      </c>
      <c r="Y84" s="67">
        <f t="shared" si="30"/>
        <v>4.7800000000000002E-2</v>
      </c>
      <c r="Z84" s="67">
        <f t="shared" si="31"/>
        <v>23.328399999999998</v>
      </c>
      <c r="AA84" s="67">
        <f t="shared" si="32"/>
        <v>23.2806</v>
      </c>
      <c r="AB84" s="64" t="e">
        <f>VLOOKUP(A84,Enforcements!$C$7:$K$20,8,0)</f>
        <v>#N/A</v>
      </c>
      <c r="AC84" s="60" t="e">
        <f>VLOOKUP(A84,Enforcements!$C$7:$E$20,3,0)</f>
        <v>#N/A</v>
      </c>
      <c r="AD84" s="61" t="str">
        <f t="shared" si="33"/>
        <v>0173-11</v>
      </c>
      <c r="AE84" s="91" t="str">
        <f t="shared" si="34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84" s="88" t="str">
        <f t="shared" si="35"/>
        <v>"C:\Program Files (x86)\AstroGrep\AstroGrep.exe" /spath="%USERPROFILE%\AppData\Local\Temp\OnboardLogs" /stypes="app*4009*20161211*" /stext=" 20:.+((SYSTEM_STATE.+slice.+state.+changed )|(ment ac)|(multiple cpu faults)|(system.+state.+changed )|(\[timeout)|(PRM\|1\|D)|(kpr)|(kdp)|(\|lc)|(penalty))" /e /r /s</v>
      </c>
      <c r="AG84" s="1" t="str">
        <f t="shared" si="36"/>
        <v>EC</v>
      </c>
      <c r="AH84" s="92" t="str">
        <f t="shared" si="37"/>
        <v>"%USERPROFILE%\Documents\GitHub\eaglep3\Utilities\RefineRTDCRunTimes.py" --tripid 173-11 --locoid 4009 --swversion DE.1.0.8.0 --startMP 204:478 --initTime 2016-12-11T12:39:36 --startdatetime 2016-12-11T12:45:19 --delay 2 --endMP 204:233284 --enddatetime 2016-12-11T13:26:58 --enforcementcount 1 &gt;&gt;C:\Users\stu\Documents\GitHub\eaglep3-reporting\EC\2016-12-11-refined-times.txt</v>
      </c>
      <c r="AI84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{"issue":{"subject":"","project_id":79,"tracker_id":40,"status_id":1,"priority_id":2,"assigned_to_id":23,"start_date":"2016-12-11","description":"","custom_fields":[{"id":1,"name":"Subdivision","value":"EC"},{"id":4,"name":"Milepost","value":"23.3284"},{"id":17,"name":"Train ID","value":"173-11"},{"id":16,"name":"Locomotive ID","value":"4009"},{"id":130,"name":"Impact","value":""},{"id":150,"name":"Time of Event (Mountain Time)","value":"13:26:58"},{"id":151,"name":"Denver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4" s="53"/>
      <c r="AK84" s="53"/>
      <c r="AL84" s="53"/>
      <c r="AM84"/>
      <c r="AN84"/>
      <c r="AO84"/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  <c r="BH84"/>
      <c r="BI84"/>
      <c r="BJ84"/>
      <c r="BK84"/>
      <c r="BL84"/>
      <c r="BM84"/>
      <c r="BN84"/>
      <c r="BO84"/>
      <c r="BP84"/>
      <c r="BQ84"/>
      <c r="BR84"/>
      <c r="BS84"/>
      <c r="BT84"/>
      <c r="BU84"/>
      <c r="BV84"/>
      <c r="BW84"/>
      <c r="BX84"/>
      <c r="BY84"/>
      <c r="BZ84"/>
      <c r="CA84"/>
      <c r="CB84"/>
      <c r="CC84"/>
      <c r="CD84"/>
      <c r="CE84"/>
      <c r="CF84"/>
      <c r="CG84"/>
      <c r="CH84"/>
      <c r="CI84"/>
      <c r="CJ84"/>
      <c r="CK84"/>
      <c r="CL84"/>
      <c r="CM84"/>
    </row>
    <row r="85" spans="1:91" s="1" customFormat="1" x14ac:dyDescent="0.25">
      <c r="A85" s="37" t="s">
        <v>576</v>
      </c>
      <c r="B85" s="7">
        <v>4010</v>
      </c>
      <c r="C85" s="22" t="s">
        <v>207</v>
      </c>
      <c r="D85" s="22" t="s">
        <v>287</v>
      </c>
      <c r="E85" s="13">
        <v>42715.568252314813</v>
      </c>
      <c r="F85" s="13">
        <v>42715.571747685186</v>
      </c>
      <c r="G85" s="7">
        <v>1</v>
      </c>
      <c r="H85" s="22" t="s">
        <v>231</v>
      </c>
      <c r="I85" s="13">
        <v>42715.606666666667</v>
      </c>
      <c r="J85" s="7">
        <v>1</v>
      </c>
      <c r="K85" s="109" t="str">
        <f t="shared" si="25"/>
        <v>4009/4010</v>
      </c>
      <c r="L85" s="22" t="str">
        <f>VLOOKUP(A85,'Trips&amp;Operators'!$C$1:$G$99999,5,FALSE)</f>
        <v>STEWART MICHAEL</v>
      </c>
      <c r="M85" s="6">
        <f t="shared" si="26"/>
        <v>3.4918981480586808E-2</v>
      </c>
      <c r="N85" s="7">
        <f t="shared" si="23"/>
        <v>50.283333332045004</v>
      </c>
      <c r="O85" s="7"/>
      <c r="P85" s="7"/>
      <c r="Q85" s="23"/>
      <c r="R85" s="23"/>
      <c r="S85" s="35">
        <f t="shared" si="24"/>
        <v>1</v>
      </c>
      <c r="T85" s="50" t="str">
        <f t="shared" si="27"/>
        <v>Southbound</v>
      </c>
      <c r="U85" s="171">
        <f>IF(AG85="EC",COUNTIFS(Variables!$M$2:$M$19,IF(T85="NorthBound","&gt;=","&lt;=")&amp;Y85,Variables!$M$2:$M$19,IF(T85="NorthBound","&lt;=","&gt;=")&amp;Z85),COUNTIFS(Variables!$P$2:$P$19,IF(T85="NorthBound","&gt;=","&lt;=")&amp;Y85,Variables!$P$2:$P$19,IF(T85="NorthBound","&lt;=","&gt;=")&amp;Z85))</f>
        <v>12</v>
      </c>
      <c r="V8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12:38:17-700',mode:absolute,to:'2016-12-11 15:33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85" s="52" t="str">
        <f t="shared" si="29"/>
        <v>N</v>
      </c>
      <c r="X85" s="177">
        <f t="shared" si="39"/>
        <v>1</v>
      </c>
      <c r="Y85" s="67">
        <f t="shared" si="30"/>
        <v>23.297799999999999</v>
      </c>
      <c r="Z85" s="67">
        <f t="shared" si="31"/>
        <v>1.6500000000000001E-2</v>
      </c>
      <c r="AA85" s="67">
        <f t="shared" si="32"/>
        <v>23.281299999999998</v>
      </c>
      <c r="AB85" s="64" t="e">
        <f>VLOOKUP(A85,Enforcements!$C$7:$K$20,8,0)</f>
        <v>#N/A</v>
      </c>
      <c r="AC85" s="60" t="e">
        <f>VLOOKUP(A85,Enforcements!$C$7:$E$20,3,0)</f>
        <v>#N/A</v>
      </c>
      <c r="AD85" s="61" t="str">
        <f t="shared" si="33"/>
        <v>0174-11</v>
      </c>
      <c r="AE85" s="91" t="str">
        <f t="shared" si="34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85" s="88" t="str">
        <f t="shared" si="35"/>
        <v>"C:\Program Files (x86)\AstroGrep\AstroGrep.exe" /spath="%USERPROFILE%\AppData\Local\Temp\OnboardLogs" /stypes="app*4010*20161211*" /stext=" 21:.+((SYSTEM_STATE.+slice.+state.+changed )|(ment ac)|(multiple cpu faults)|(system.+state.+changed )|(\[timeout)|(PRM\|1\|D)|(kpr)|(kdp)|(\|lc)|(penalty))" /e /r /s</v>
      </c>
      <c r="AG85" s="1" t="str">
        <f t="shared" si="36"/>
        <v>EC</v>
      </c>
      <c r="AH85" s="92" t="str">
        <f t="shared" si="37"/>
        <v>"%USERPROFILE%\Documents\GitHub\eaglep3\Utilities\RefineRTDCRunTimes.py" --tripid 174-11 --locoid 4010 --swversion DE.1.0.8.0 --startMP 204:232978 --initTime 2016-12-11T13:38:17 --startdatetime 2016-12-11T13:43:19 --delay 1 --endMP 204:165 --enddatetime 2016-12-11T14:33:36 --enforcementcount 1 &gt;&gt;C:\Users\stu\Documents\GitHub\eaglep3-reporting\EC\2016-12-11-refined-times.txt</v>
      </c>
      <c r="AI85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{"issue":{"subject":"","project_id":79,"tracker_id":40,"status_id":1,"priority_id":2,"assigned_to_id":23,"start_date":"2016-12-11","description":"","custom_fields":[{"id":1,"name":"Subdivision","value":"EC"},{"id":4,"name":"Milepost","value":"0.0165"},{"id":17,"name":"Train ID","value":"174-11"},{"id":16,"name":"Locomotive ID","value":"4010"},{"id":130,"name":"Impact","value":""},{"id":150,"name":"Time of Event (Mountain Time)","value":"14:33:36"},{"id":151,"name":"Denver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5" s="53"/>
      <c r="AK85" s="53"/>
      <c r="AL85" s="53"/>
      <c r="AM85"/>
      <c r="AN85"/>
      <c r="AO85"/>
      <c r="AP85"/>
      <c r="AQ85"/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  <c r="BH85"/>
      <c r="BI85"/>
      <c r="BJ85"/>
      <c r="BK85"/>
      <c r="BL85"/>
      <c r="BM85"/>
      <c r="BN85"/>
      <c r="BO85"/>
      <c r="BP85"/>
      <c r="BQ85"/>
      <c r="BR85"/>
      <c r="BS85"/>
      <c r="BT85"/>
      <c r="BU85"/>
      <c r="BV85"/>
      <c r="BW85"/>
      <c r="BX85"/>
      <c r="BY85"/>
      <c r="BZ85"/>
      <c r="CA85"/>
      <c r="CB85"/>
      <c r="CC85"/>
      <c r="CD85"/>
      <c r="CE85"/>
      <c r="CF85"/>
      <c r="CG85"/>
      <c r="CH85"/>
      <c r="CI85"/>
      <c r="CJ85"/>
      <c r="CK85"/>
      <c r="CL85"/>
      <c r="CM85"/>
    </row>
    <row r="86" spans="1:91" s="1" customFormat="1" x14ac:dyDescent="0.25">
      <c r="A86" s="37" t="s">
        <v>463</v>
      </c>
      <c r="B86" s="7">
        <v>4042</v>
      </c>
      <c r="C86" s="22" t="s">
        <v>207</v>
      </c>
      <c r="D86" s="22" t="s">
        <v>293</v>
      </c>
      <c r="E86" s="13">
        <v>42715.536481481482</v>
      </c>
      <c r="F86" s="13">
        <v>42715.542025462964</v>
      </c>
      <c r="G86" s="7">
        <v>1</v>
      </c>
      <c r="H86" s="22" t="s">
        <v>713</v>
      </c>
      <c r="I86" s="13">
        <v>42715.569456018522</v>
      </c>
      <c r="J86" s="7">
        <v>1</v>
      </c>
      <c r="K86" s="109" t="str">
        <f t="shared" si="25"/>
        <v>4041/4042</v>
      </c>
      <c r="L86" s="22" t="str">
        <f>VLOOKUP(A86,'Trips&amp;Operators'!$C$1:$G$99999,5,FALSE)</f>
        <v>BARTLETT KIANDRA</v>
      </c>
      <c r="M86" s="6">
        <f t="shared" si="26"/>
        <v>2.7430555557657499E-2</v>
      </c>
      <c r="N86" s="7">
        <f t="shared" si="23"/>
        <v>39.500000003026798</v>
      </c>
      <c r="O86" s="7"/>
      <c r="P86" s="7"/>
      <c r="Q86" s="23"/>
      <c r="R86" s="23"/>
      <c r="S86" s="35">
        <f t="shared" si="24"/>
        <v>1</v>
      </c>
      <c r="T86" s="50" t="str">
        <f t="shared" si="27"/>
        <v>NorthBound</v>
      </c>
      <c r="U86" s="171">
        <f>IF(AG86="EC",COUNTIFS(Variables!$M$2:$M$19,IF(T86="NorthBound","&gt;=","&lt;=")&amp;Y86,Variables!$M$2:$M$19,IF(T86="NorthBound","&lt;=","&gt;=")&amp;Z86),COUNTIFS(Variables!$P$2:$P$19,IF(T86="NorthBound","&gt;=","&lt;=")&amp;Y86,Variables!$P$2:$P$19,IF(T86="NorthBound","&lt;=","&gt;=")&amp;Z86))</f>
        <v>12</v>
      </c>
      <c r="V8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11:52:32-700',mode:absolute,to:'2016-12-11 14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86" s="52" t="str">
        <f t="shared" si="29"/>
        <v>N</v>
      </c>
      <c r="X86" s="177">
        <f t="shared" si="39"/>
        <v>1</v>
      </c>
      <c r="Y86" s="67">
        <f t="shared" si="30"/>
        <v>4.6399999999999997E-2</v>
      </c>
      <c r="Z86" s="67">
        <f t="shared" si="31"/>
        <v>23.334599999999998</v>
      </c>
      <c r="AA86" s="67">
        <f t="shared" si="32"/>
        <v>23.2882</v>
      </c>
      <c r="AB86" s="64" t="e">
        <f>VLOOKUP(A86,Enforcements!$C$7:$K$20,8,0)</f>
        <v>#N/A</v>
      </c>
      <c r="AC86" s="60" t="e">
        <f>VLOOKUP(A86,Enforcements!$C$7:$E$20,3,0)</f>
        <v>#N/A</v>
      </c>
      <c r="AD86" s="61" t="str">
        <f t="shared" si="33"/>
        <v>0175-11</v>
      </c>
      <c r="AE86" s="91" t="str">
        <f t="shared" si="34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86" s="88" t="str">
        <f t="shared" si="35"/>
        <v>"C:\Program Files (x86)\AstroGrep\AstroGrep.exe" /spath="%USERPROFILE%\AppData\Local\Temp\OnboardLogs" /stypes="app*4042*20161211*" /stext=" 20:.+((SYSTEM_STATE.+slice.+state.+changed )|(ment ac)|(multiple cpu faults)|(system.+state.+changed )|(\[timeout)|(PRM\|1\|D)|(kpr)|(kdp)|(\|lc)|(penalty))" /e /r /s</v>
      </c>
      <c r="AG86" s="1" t="str">
        <f t="shared" si="36"/>
        <v>EC</v>
      </c>
      <c r="AH86" s="92" t="str">
        <f t="shared" si="37"/>
        <v>"%USERPROFILE%\Documents\GitHub\eaglep3\Utilities\RefineRTDCRunTimes.py" --tripid 175-11 --locoid 4042 --swversion DE.1.0.8.0 --startMP 204:464 --initTime 2016-12-11T12:52:32 --startdatetime 2016-12-11T13:00:31 --delay 1 --endMP 204:233346 --enddatetime 2016-12-11T13:40:01 --enforcementcount 1 &gt;&gt;C:\Users\stu\Documents\GitHub\eaglep3-reporting\EC\2016-12-11-refined-times.txt</v>
      </c>
      <c r="AI86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{"issue":{"subject":"","project_id":79,"tracker_id":40,"status_id":1,"priority_id":2,"assigned_to_id":23,"start_date":"2016-12-11","description":"","custom_fields":[{"id":1,"name":"Subdivision","value":"EC"},{"id":4,"name":"Milepost","value":"23.3346"},{"id":17,"name":"Train ID","value":"175-11"},{"id":16,"name":"Locomotive ID","value":"4042"},{"id":130,"name":"Impact","value":""},{"id":150,"name":"Time of Event (Mountain Time)","value":"13:40:01"},{"id":151,"name":"Denver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6" s="53"/>
      <c r="AK86" s="53"/>
      <c r="AL86" s="53"/>
      <c r="AM86"/>
      <c r="AN86"/>
      <c r="AO86"/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/>
      <c r="BI86"/>
      <c r="BJ86"/>
      <c r="BK86"/>
      <c r="BL86"/>
      <c r="BM86"/>
      <c r="BN86"/>
      <c r="BO86"/>
      <c r="BP86"/>
      <c r="BQ86"/>
      <c r="BR86"/>
      <c r="BS86"/>
      <c r="BT86"/>
      <c r="BU86"/>
      <c r="BV86"/>
      <c r="BW86"/>
      <c r="BX86"/>
      <c r="BY86"/>
      <c r="BZ86"/>
      <c r="CA86"/>
      <c r="CB86"/>
      <c r="CC86"/>
      <c r="CD86"/>
      <c r="CE86"/>
      <c r="CF86"/>
      <c r="CG86"/>
      <c r="CH86"/>
      <c r="CI86"/>
      <c r="CJ86"/>
      <c r="CK86"/>
      <c r="CL86"/>
      <c r="CM86"/>
    </row>
    <row r="87" spans="1:91" s="1" customFormat="1" x14ac:dyDescent="0.25">
      <c r="A87" s="37" t="s">
        <v>578</v>
      </c>
      <c r="B87" s="7">
        <v>4041</v>
      </c>
      <c r="C87" s="22" t="s">
        <v>207</v>
      </c>
      <c r="D87" s="22" t="s">
        <v>714</v>
      </c>
      <c r="E87" s="13">
        <v>42715.576041666667</v>
      </c>
      <c r="F87" s="13">
        <v>42715.580729166664</v>
      </c>
      <c r="G87" s="7">
        <v>1</v>
      </c>
      <c r="H87" s="22" t="s">
        <v>399</v>
      </c>
      <c r="I87" s="13">
        <v>42715.610462962963</v>
      </c>
      <c r="J87" s="7">
        <v>1</v>
      </c>
      <c r="K87" s="109" t="str">
        <f t="shared" si="25"/>
        <v>4041/4042</v>
      </c>
      <c r="L87" s="22" t="str">
        <f>VLOOKUP(A87,'Trips&amp;Operators'!$C$1:$G$99999,5,FALSE)</f>
        <v>BARTLETT KIANDRA</v>
      </c>
      <c r="M87" s="6">
        <f t="shared" si="26"/>
        <v>2.973379629838746E-2</v>
      </c>
      <c r="N87" s="7">
        <f t="shared" ref="N87:N97" si="40">24*60*SUM($M87:$M87)</f>
        <v>42.816666669677943</v>
      </c>
      <c r="O87" s="7"/>
      <c r="P87" s="7"/>
      <c r="Q87" s="23"/>
      <c r="R87" s="23"/>
      <c r="S87" s="35">
        <f t="shared" ref="S87:S118" si="41">SUM(U87:U87)/IF(AG87="EC",12,1)</f>
        <v>1</v>
      </c>
      <c r="T87" s="50" t="str">
        <f t="shared" si="27"/>
        <v>Southbound</v>
      </c>
      <c r="U87" s="171">
        <f>IF(AG87="EC",COUNTIFS(Variables!$M$2:$M$19,IF(T87="NorthBound","&gt;=","&lt;=")&amp;Y87,Variables!$M$2:$M$19,IF(T87="NorthBound","&lt;=","&gt;=")&amp;Z87),COUNTIFS(Variables!$P$2:$P$19,IF(T87="NorthBound","&gt;=","&lt;=")&amp;Y87,Variables!$P$2:$P$19,IF(T87="NorthBound","&lt;=","&gt;=")&amp;Z87))</f>
        <v>12</v>
      </c>
      <c r="V8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12:49:30-700',mode:absolute,to:'2016-12-11 15:39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87" s="52" t="str">
        <f t="shared" si="29"/>
        <v>N</v>
      </c>
      <c r="X87" s="177">
        <f t="shared" si="39"/>
        <v>1</v>
      </c>
      <c r="Y87" s="67">
        <f t="shared" si="30"/>
        <v>23.305900000000001</v>
      </c>
      <c r="Z87" s="67">
        <f t="shared" si="31"/>
        <v>1.67E-2</v>
      </c>
      <c r="AA87" s="67">
        <f t="shared" si="32"/>
        <v>23.289200000000001</v>
      </c>
      <c r="AB87" s="64" t="e">
        <f>VLOOKUP(A87,Enforcements!$C$7:$K$20,8,0)</f>
        <v>#N/A</v>
      </c>
      <c r="AC87" s="60" t="e">
        <f>VLOOKUP(A87,Enforcements!$C$7:$E$20,3,0)</f>
        <v>#N/A</v>
      </c>
      <c r="AD87" s="61" t="str">
        <f t="shared" si="33"/>
        <v>0176-11</v>
      </c>
      <c r="AE87" s="91" t="str">
        <f t="shared" si="34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87" s="88" t="str">
        <f t="shared" si="35"/>
        <v>"C:\Program Files (x86)\AstroGrep\AstroGrep.exe" /spath="%USERPROFILE%\AppData\Local\Temp\OnboardLogs" /stypes="app*4041*20161211*" /stext=" 21:.+((SYSTEM_STATE.+slice.+state.+changed )|(ment ac)|(multiple cpu faults)|(system.+state.+changed )|(\[timeout)|(PRM\|1\|D)|(kpr)|(kdp)|(\|lc)|(penalty))" /e /r /s</v>
      </c>
      <c r="AG87" s="1" t="str">
        <f t="shared" si="36"/>
        <v>EC</v>
      </c>
      <c r="AH87" s="92" t="str">
        <f t="shared" si="37"/>
        <v>"%USERPROFILE%\Documents\GitHub\eaglep3\Utilities\RefineRTDCRunTimes.py" --tripid 176-11 --locoid 4041 --swversion DE.1.0.8.0 --startMP 204:233059 --initTime 2016-12-11T13:49:30 --startdatetime 2016-12-11T13:56:15 --delay 1 --endMP 204:167 --enddatetime 2016-12-11T14:39:04 --enforcementcount 1 &gt;&gt;C:\Users\stu\Documents\GitHub\eaglep3-reporting\EC\2016-12-11-refined-times.txt</v>
      </c>
      <c r="AI87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{"issue":{"subject":"","project_id":79,"tracker_id":40,"status_id":1,"priority_id":2,"assigned_to_id":23,"start_date":"2016-12-11","description":"","custom_fields":[{"id":1,"name":"Subdivision","value":"EC"},{"id":4,"name":"Milepost","value":"0.0167"},{"id":17,"name":"Train ID","value":"176-11"},{"id":16,"name":"Locomotive ID","value":"4041"},{"id":130,"name":"Impact","value":""},{"id":150,"name":"Time of Event (Mountain Time)","value":"14:39:04"},{"id":151,"name":"Denver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7" s="53"/>
      <c r="AK87" s="53"/>
      <c r="AL87" s="53"/>
      <c r="AM87"/>
      <c r="AN87"/>
      <c r="AO87"/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  <c r="BH87"/>
      <c r="BI87"/>
      <c r="BJ87"/>
      <c r="BK87"/>
      <c r="BL87"/>
      <c r="BM87"/>
      <c r="BN87"/>
      <c r="BO87"/>
      <c r="BP87"/>
      <c r="BQ87"/>
      <c r="BR87"/>
      <c r="BS87"/>
      <c r="BT87"/>
      <c r="BU87"/>
      <c r="BV87"/>
      <c r="BW87"/>
      <c r="BX87"/>
      <c r="BY87"/>
      <c r="BZ87"/>
      <c r="CA87"/>
      <c r="CB87"/>
      <c r="CC87"/>
      <c r="CD87"/>
      <c r="CE87"/>
      <c r="CF87"/>
      <c r="CG87"/>
      <c r="CH87"/>
      <c r="CI87"/>
      <c r="CJ87"/>
      <c r="CK87"/>
      <c r="CL87"/>
      <c r="CM87"/>
    </row>
    <row r="88" spans="1:91" s="1" customFormat="1" x14ac:dyDescent="0.25">
      <c r="A88" s="37" t="s">
        <v>464</v>
      </c>
      <c r="B88" s="7">
        <v>4018</v>
      </c>
      <c r="C88" s="22" t="s">
        <v>207</v>
      </c>
      <c r="D88" s="22" t="s">
        <v>715</v>
      </c>
      <c r="E88" s="13">
        <v>42715.547650462962</v>
      </c>
      <c r="F88" s="13">
        <v>42715.55232638889</v>
      </c>
      <c r="G88" s="7">
        <v>3</v>
      </c>
      <c r="H88" s="22" t="s">
        <v>716</v>
      </c>
      <c r="I88" s="13">
        <v>42715.581805555557</v>
      </c>
      <c r="J88" s="7">
        <v>1</v>
      </c>
      <c r="K88" s="109" t="str">
        <f t="shared" si="25"/>
        <v>4017/4018</v>
      </c>
      <c r="L88" s="22" t="str">
        <f>VLOOKUP(A88,'Trips&amp;Operators'!$C$1:$G$99999,5,FALSE)</f>
        <v>BRUDER RICHARD</v>
      </c>
      <c r="M88" s="6">
        <f t="shared" si="26"/>
        <v>2.9479166667442769E-2</v>
      </c>
      <c r="N88" s="7">
        <f t="shared" si="40"/>
        <v>42.450000001117587</v>
      </c>
      <c r="O88" s="7"/>
      <c r="P88" s="7"/>
      <c r="Q88" s="23"/>
      <c r="R88" s="23"/>
      <c r="S88" s="35">
        <f t="shared" si="41"/>
        <v>1</v>
      </c>
      <c r="T88" s="50" t="str">
        <f t="shared" si="27"/>
        <v>NorthBound</v>
      </c>
      <c r="U88" s="171">
        <f>IF(AG88="EC",COUNTIFS(Variables!$M$2:$M$19,IF(T88="NorthBound","&gt;=","&lt;=")&amp;Y88,Variables!$M$2:$M$19,IF(T88="NorthBound","&lt;=","&gt;=")&amp;Z88),COUNTIFS(Variables!$P$2:$P$19,IF(T88="NorthBound","&gt;=","&lt;=")&amp;Y88,Variables!$P$2:$P$19,IF(T88="NorthBound","&lt;=","&gt;=")&amp;Z88))</f>
        <v>12</v>
      </c>
      <c r="V8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12:08:37-700',mode:absolute,to:'2016-12-11 14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88" s="52" t="str">
        <f t="shared" si="29"/>
        <v>N</v>
      </c>
      <c r="X88" s="177">
        <f t="shared" si="39"/>
        <v>1</v>
      </c>
      <c r="Y88" s="67">
        <f t="shared" si="30"/>
        <v>4.3499999999999997E-2</v>
      </c>
      <c r="Z88" s="67">
        <f t="shared" si="31"/>
        <v>23.331399999999999</v>
      </c>
      <c r="AA88" s="67">
        <f t="shared" si="32"/>
        <v>23.287899999999997</v>
      </c>
      <c r="AB88" s="64" t="e">
        <f>VLOOKUP(A88,Enforcements!$C$7:$K$20,8,0)</f>
        <v>#N/A</v>
      </c>
      <c r="AC88" s="60" t="e">
        <f>VLOOKUP(A88,Enforcements!$C$7:$E$20,3,0)</f>
        <v>#N/A</v>
      </c>
      <c r="AD88" s="61" t="str">
        <f t="shared" si="33"/>
        <v>0177-11</v>
      </c>
      <c r="AE88" s="91" t="str">
        <f t="shared" si="34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88" s="88" t="str">
        <f t="shared" si="35"/>
        <v>"C:\Program Files (x86)\AstroGrep\AstroGrep.exe" /spath="%USERPROFILE%\AppData\Local\Temp\OnboardLogs" /stypes="app*4018*20161211*" /stext=" 20:.+((SYSTEM_STATE.+slice.+state.+changed )|(ment ac)|(multiple cpu faults)|(system.+state.+changed )|(\[timeout)|(PRM\|1\|D)|(kpr)|(kdp)|(\|lc)|(penalty))" /e /r /s</v>
      </c>
      <c r="AG88" s="1" t="str">
        <f t="shared" si="36"/>
        <v>EC</v>
      </c>
      <c r="AH88" s="92" t="str">
        <f t="shared" si="37"/>
        <v>"%USERPROFILE%\Documents\GitHub\eaglep3\Utilities\RefineRTDCRunTimes.py" --tripid 177-11 --locoid 4018 --swversion DE.1.0.8.0 --startMP 204:435 --initTime 2016-12-11T13:08:37 --startdatetime 2016-12-11T13:15:21 --delay 3 --endMP 204:233314 --enddatetime 2016-12-11T13:57:48 --enforcementcount 1 &gt;&gt;C:\Users\stu\Documents\GitHub\eaglep3-reporting\EC\2016-12-11-refined-times.txt</v>
      </c>
      <c r="AI88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{"issue":{"subject":"","project_id":79,"tracker_id":40,"status_id":1,"priority_id":2,"assigned_to_id":23,"start_date":"2016-12-11","description":"","custom_fields":[{"id":1,"name":"Subdivision","value":"EC"},{"id":4,"name":"Milepost","value":"23.3314"},{"id":17,"name":"Train ID","value":"177-11"},{"id":16,"name":"Locomotive ID","value":"4018"},{"id":130,"name":"Impact","value":""},{"id":150,"name":"Time of Event (Mountain Time)","value":"13:57:48"},{"id":151,"name":"Denver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8" s="53"/>
      <c r="AK88" s="53"/>
      <c r="AL88" s="53"/>
      <c r="AM88"/>
      <c r="AN88"/>
      <c r="AO88"/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  <c r="BH88"/>
      <c r="BI88"/>
      <c r="BJ88"/>
      <c r="BK88"/>
      <c r="BL88"/>
      <c r="BM88"/>
      <c r="BN88"/>
      <c r="BO88"/>
      <c r="BP88"/>
      <c r="BQ88"/>
      <c r="BR88"/>
      <c r="BS88"/>
      <c r="BT88"/>
      <c r="BU88"/>
      <c r="BV88"/>
      <c r="BW88"/>
      <c r="BX88"/>
      <c r="BY88"/>
      <c r="BZ88"/>
      <c r="CA88"/>
      <c r="CB88"/>
      <c r="CC88"/>
      <c r="CD88"/>
      <c r="CE88"/>
      <c r="CF88"/>
      <c r="CG88"/>
      <c r="CH88"/>
      <c r="CI88"/>
      <c r="CJ88"/>
      <c r="CK88"/>
      <c r="CL88"/>
      <c r="CM88"/>
    </row>
    <row r="89" spans="1:91" s="1" customFormat="1" x14ac:dyDescent="0.25">
      <c r="A89" s="37" t="s">
        <v>582</v>
      </c>
      <c r="B89" s="7">
        <v>4017</v>
      </c>
      <c r="C89" s="22" t="s">
        <v>207</v>
      </c>
      <c r="D89" s="22" t="s">
        <v>426</v>
      </c>
      <c r="E89" s="13">
        <v>42715.58699074074</v>
      </c>
      <c r="F89" s="13">
        <v>42715.59134259259</v>
      </c>
      <c r="G89" s="7">
        <v>2</v>
      </c>
      <c r="H89" s="22" t="s">
        <v>292</v>
      </c>
      <c r="I89" s="13">
        <v>42715.626018518517</v>
      </c>
      <c r="J89" s="7">
        <v>1</v>
      </c>
      <c r="K89" s="109" t="str">
        <f t="shared" si="25"/>
        <v>4017/4018</v>
      </c>
      <c r="L89" s="22" t="str">
        <f>VLOOKUP(A89,'Trips&amp;Operators'!$C$1:$G$99999,5,FALSE)</f>
        <v>BRUDER RICHARD</v>
      </c>
      <c r="M89" s="6">
        <f t="shared" si="26"/>
        <v>3.4675925926421769E-2</v>
      </c>
      <c r="N89" s="7">
        <f t="shared" si="40"/>
        <v>49.933333334047347</v>
      </c>
      <c r="O89" s="7"/>
      <c r="P89" s="7"/>
      <c r="Q89" s="23"/>
      <c r="R89" s="23"/>
      <c r="S89" s="35">
        <f t="shared" si="41"/>
        <v>1</v>
      </c>
      <c r="T89" s="50" t="str">
        <f t="shared" si="27"/>
        <v>Southbound</v>
      </c>
      <c r="U89" s="171">
        <f>IF(AG89="EC",COUNTIFS(Variables!$M$2:$M$19,IF(T89="NorthBound","&gt;=","&lt;=")&amp;Y89,Variables!$M$2:$M$19,IF(T89="NorthBound","&lt;=","&gt;=")&amp;Z89),COUNTIFS(Variables!$P$2:$P$19,IF(T89="NorthBound","&gt;=","&lt;=")&amp;Y89,Variables!$P$2:$P$19,IF(T89="NorthBound","&lt;=","&gt;=")&amp;Z89))</f>
        <v>12</v>
      </c>
      <c r="V8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13:05:16-700',mode:absolute,to:'2016-12-11 16:01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89" s="52" t="str">
        <f t="shared" si="29"/>
        <v>N</v>
      </c>
      <c r="X89" s="177">
        <f t="shared" si="39"/>
        <v>1</v>
      </c>
      <c r="Y89" s="67">
        <f t="shared" si="30"/>
        <v>23.298200000000001</v>
      </c>
      <c r="Z89" s="67">
        <f t="shared" si="31"/>
        <v>1.52E-2</v>
      </c>
      <c r="AA89" s="67">
        <f t="shared" si="32"/>
        <v>23.283000000000001</v>
      </c>
      <c r="AB89" s="64" t="e">
        <f>VLOOKUP(A89,Enforcements!$C$7:$K$20,8,0)</f>
        <v>#N/A</v>
      </c>
      <c r="AC89" s="60" t="e">
        <f>VLOOKUP(A89,Enforcements!$C$7:$E$20,3,0)</f>
        <v>#N/A</v>
      </c>
      <c r="AD89" s="61" t="str">
        <f t="shared" si="33"/>
        <v>0178-11</v>
      </c>
      <c r="AE89" s="91" t="str">
        <f t="shared" si="34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89" s="88" t="str">
        <f t="shared" si="35"/>
        <v>"C:\Program Files (x86)\AstroGrep\AstroGrep.exe" /spath="%USERPROFILE%\AppData\Local\Temp\OnboardLogs" /stypes="app*4017*20161211*" /stext=" 22:.+((SYSTEM_STATE.+slice.+state.+changed )|(ment ac)|(multiple cpu faults)|(system.+state.+changed )|(\[timeout)|(PRM\|1\|D)|(kpr)|(kdp)|(\|lc)|(penalty))" /e /r /s</v>
      </c>
      <c r="AG89" s="1" t="str">
        <f t="shared" si="36"/>
        <v>EC</v>
      </c>
      <c r="AH89" s="92" t="str">
        <f t="shared" si="37"/>
        <v>"%USERPROFILE%\Documents\GitHub\eaglep3\Utilities\RefineRTDCRunTimes.py" --tripid 178-11 --locoid 4017 --swversion DE.1.0.8.0 --startMP 204:232982 --initTime 2016-12-11T14:05:16 --startdatetime 2016-12-11T14:11:32 --delay 2 --endMP 204:152 --enddatetime 2016-12-11T15:01:28 --enforcementcount 1 &gt;&gt;C:\Users\stu\Documents\GitHub\eaglep3-reporting\EC\2016-12-11-refined-times.txt</v>
      </c>
      <c r="AI89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{"issue":{"subject":"","project_id":79,"tracker_id":40,"status_id":1,"priority_id":2,"assigned_to_id":23,"start_date":"2016-12-11","description":"","custom_fields":[{"id":1,"name":"Subdivision","value":"EC"},{"id":4,"name":"Milepost","value":"0.0152"},{"id":17,"name":"Train ID","value":"178-11"},{"id":16,"name":"Locomotive ID","value":"4017"},{"id":130,"name":"Impact","value":""},{"id":150,"name":"Time of Event (Mountain Time)","value":"15:01:28"},{"id":151,"name":"Denver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89" s="53"/>
      <c r="AK89" s="53"/>
      <c r="AL89" s="53"/>
      <c r="AM89"/>
      <c r="AN89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  <c r="BH89"/>
      <c r="BI89"/>
      <c r="BJ89"/>
      <c r="BK89"/>
      <c r="BL89"/>
      <c r="BM89"/>
      <c r="BN89"/>
      <c r="BO89"/>
      <c r="BP89"/>
      <c r="BQ89"/>
      <c r="BR89"/>
      <c r="BS89"/>
      <c r="BT89"/>
      <c r="BU89"/>
      <c r="BV89"/>
      <c r="BW89"/>
      <c r="BX89"/>
      <c r="BY89"/>
      <c r="BZ89"/>
      <c r="CA89"/>
      <c r="CB89"/>
      <c r="CC89"/>
      <c r="CD89"/>
      <c r="CE89"/>
      <c r="CF89"/>
      <c r="CG89"/>
      <c r="CH89"/>
      <c r="CI89"/>
      <c r="CJ89"/>
      <c r="CK89"/>
      <c r="CL89"/>
      <c r="CM89"/>
    </row>
    <row r="90" spans="1:91" s="21" customFormat="1" x14ac:dyDescent="0.25">
      <c r="A90" s="37" t="s">
        <v>575</v>
      </c>
      <c r="B90" s="7">
        <v>4022</v>
      </c>
      <c r="C90" s="22" t="s">
        <v>207</v>
      </c>
      <c r="D90" s="22" t="s">
        <v>436</v>
      </c>
      <c r="E90" s="13">
        <v>42715.558958333335</v>
      </c>
      <c r="F90" s="13">
        <v>42715.562743055554</v>
      </c>
      <c r="G90" s="7">
        <v>1</v>
      </c>
      <c r="H90" s="22" t="s">
        <v>397</v>
      </c>
      <c r="I90" s="13">
        <v>42715.596226851849</v>
      </c>
      <c r="J90" s="7">
        <v>1</v>
      </c>
      <c r="K90" s="109" t="str">
        <f t="shared" si="25"/>
        <v>4021/4022</v>
      </c>
      <c r="L90" s="22" t="str">
        <f>VLOOKUP(A90,'Trips&amp;Operators'!$C$1:$G$99999,5,FALSE)</f>
        <v>MOSES BRADLEY</v>
      </c>
      <c r="M90" s="6">
        <f t="shared" si="26"/>
        <v>3.3483796294603962E-2</v>
      </c>
      <c r="N90" s="7">
        <f t="shared" si="40"/>
        <v>48.216666664229706</v>
      </c>
      <c r="O90" s="7"/>
      <c r="P90" s="7"/>
      <c r="Q90" s="23"/>
      <c r="R90" s="23"/>
      <c r="S90" s="35">
        <f t="shared" si="41"/>
        <v>1</v>
      </c>
      <c r="T90" s="50" t="str">
        <f t="shared" si="27"/>
        <v>NorthBound</v>
      </c>
      <c r="U90" s="171">
        <f>IF(AG90="EC",COUNTIFS(Variables!$M$2:$M$19,IF(T90="NorthBound","&gt;=","&lt;=")&amp;Y90,Variables!$M$2:$M$19,IF(T90="NorthBound","&lt;=","&gt;=")&amp;Z90),COUNTIFS(Variables!$P$2:$P$19,IF(T90="NorthBound","&gt;=","&lt;=")&amp;Y90,Variables!$P$2:$P$19,IF(T90="NorthBound","&lt;=","&gt;=")&amp;Z90))</f>
        <v>12</v>
      </c>
      <c r="V9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12:24:54-700',mode:absolute,to:'2016-12-11 15:18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90" s="52" t="str">
        <f t="shared" si="29"/>
        <v>N</v>
      </c>
      <c r="X90" s="177">
        <f t="shared" si="39"/>
        <v>1</v>
      </c>
      <c r="Y90" s="67">
        <f t="shared" si="30"/>
        <v>4.7800000000000002E-2</v>
      </c>
      <c r="Z90" s="67">
        <f t="shared" si="31"/>
        <v>23.331</v>
      </c>
      <c r="AA90" s="67">
        <f t="shared" si="32"/>
        <v>23.283200000000001</v>
      </c>
      <c r="AB90" s="64" t="e">
        <f>VLOOKUP(A90,Enforcements!$C$7:$K$20,8,0)</f>
        <v>#N/A</v>
      </c>
      <c r="AC90" s="60" t="e">
        <f>VLOOKUP(A90,Enforcements!$C$7:$E$20,3,0)</f>
        <v>#N/A</v>
      </c>
      <c r="AD90" s="61" t="str">
        <f t="shared" si="33"/>
        <v>0179-11</v>
      </c>
      <c r="AE90" s="91" t="str">
        <f t="shared" si="34"/>
        <v>aws s3 cp s3://rtdc.mdm.uploadarchive.raw/RTDC4022/ "%USERPROFILE%\AppData\Local\Temp\OnboardLogs"\RTDC4022\2016-12-11 --exclude "*" --recursive --include "*20161211*" &amp; "%USERPROFILE%\Documents\GitHub\mrs-test-scripts\Headless Mode &amp; Sideloading\WalkAndUnGZ.bat" "%USERPROFILE%\AppData\Local\Temp\OnboardLogs"\RTDC4022\2016-12-11 &amp; aws s3 cp s3://rtdc.mdm.uploadarchive.raw/RTDC4022/ "%USERPROFILE%\AppData\Local\Temp\OnboardLogs"\RTDC4022\2016-12-12 --exclude "*" --recursive --include "*20161212*" &amp; "%USERPROFILE%\Documents\GitHub\mrs-test-scripts\Headless Mode &amp; Sideloading\WalkAndUnGZ.bat" "%USERPROFILE%\AppData\Local\Temp\OnboardLogs"\RTDC4022\2016-12-12</v>
      </c>
      <c r="AF90" s="88" t="str">
        <f t="shared" si="35"/>
        <v>"C:\Program Files (x86)\AstroGrep\AstroGrep.exe" /spath="%USERPROFILE%\AppData\Local\Temp\OnboardLogs" /stypes="app*4022*20161211*" /stext=" 21:.+((SYSTEM_STATE.+slice.+state.+changed )|(ment ac)|(multiple cpu faults)|(system.+state.+changed )|(\[timeout)|(PRM\|1\|D)|(kpr)|(kdp)|(\|lc)|(penalty))" /e /r /s</v>
      </c>
      <c r="AG90" s="1" t="str">
        <f t="shared" si="36"/>
        <v>EC</v>
      </c>
      <c r="AH90" s="92" t="str">
        <f t="shared" si="37"/>
        <v>"%USERPROFILE%\Documents\GitHub\eaglep3\Utilities\RefineRTDCRunTimes.py" --tripid 179-11 --locoid 4022 --swversion DE.1.0.8.0 --startMP 204:478 --initTime 2016-12-11T13:24:54 --startdatetime 2016-12-11T13:30:21 --delay 1 --endMP 204:233310 --enddatetime 2016-12-11T14:18:34 --enforcementcount 1 &gt;&gt;C:\Users\stu\Documents\GitHub\eaglep3-reporting\EC\2016-12-11-refined-times.txt</v>
      </c>
      <c r="AI90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{"issue":{"subject":"","project_id":79,"tracker_id":40,"status_id":1,"priority_id":2,"assigned_to_id":23,"start_date":"2016-12-11","description":"","custom_fields":[{"id":1,"name":"Subdivision","value":"EC"},{"id":4,"name":"Milepost","value":"23.331"},{"id":17,"name":"Train ID","value":"179-11"},{"id":16,"name":"Locomotive ID","value":"4022"},{"id":130,"name":"Impact","value":""},{"id":150,"name":"Time of Event (Mountain Time)","value":"14:18:34"},{"id":151,"name":"Denver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0" s="53"/>
      <c r="AK90" s="53"/>
      <c r="AL90" s="53"/>
      <c r="AM90"/>
      <c r="AN90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  <c r="BH90"/>
      <c r="BI90"/>
      <c r="BJ90"/>
      <c r="BK90"/>
      <c r="BL90"/>
      <c r="BM90"/>
      <c r="BN90"/>
      <c r="BO90"/>
      <c r="BP90"/>
      <c r="BQ90"/>
      <c r="BR90"/>
      <c r="BS90"/>
      <c r="BT90"/>
      <c r="BU90"/>
      <c r="BV90"/>
      <c r="BW90"/>
      <c r="BX90"/>
      <c r="BY90"/>
      <c r="BZ90"/>
      <c r="CA90"/>
      <c r="CB90"/>
      <c r="CC90"/>
      <c r="CD90"/>
      <c r="CE90"/>
      <c r="CF90"/>
      <c r="CG90"/>
      <c r="CH90"/>
      <c r="CI90"/>
      <c r="CJ90"/>
      <c r="CK90"/>
      <c r="CL90"/>
      <c r="CM90"/>
    </row>
    <row r="91" spans="1:91" s="21" customFormat="1" x14ac:dyDescent="0.25">
      <c r="A91" s="37" t="s">
        <v>586</v>
      </c>
      <c r="B91" s="7">
        <v>4021</v>
      </c>
      <c r="C91" s="22" t="s">
        <v>207</v>
      </c>
      <c r="D91" s="22" t="s">
        <v>401</v>
      </c>
      <c r="E91" s="13">
        <v>42715.603865740741</v>
      </c>
      <c r="F91" s="13">
        <v>42715.606712962966</v>
      </c>
      <c r="G91" s="7">
        <v>2</v>
      </c>
      <c r="H91" s="22" t="s">
        <v>717</v>
      </c>
      <c r="I91" s="13">
        <v>42715.641701388886</v>
      </c>
      <c r="J91" s="7">
        <v>1</v>
      </c>
      <c r="K91" s="109" t="str">
        <f t="shared" si="25"/>
        <v>4021/4022</v>
      </c>
      <c r="L91" s="22" t="str">
        <f>VLOOKUP(A91,'Trips&amp;Operators'!$C$1:$G$99999,5,FALSE)</f>
        <v>MOSES BRADLEY</v>
      </c>
      <c r="M91" s="6">
        <f t="shared" si="26"/>
        <v>3.498842591943685E-2</v>
      </c>
      <c r="N91" s="7">
        <f t="shared" si="40"/>
        <v>50.383333323989064</v>
      </c>
      <c r="O91" s="7"/>
      <c r="P91" s="7"/>
      <c r="Q91" s="23"/>
      <c r="R91" s="23"/>
      <c r="S91" s="35">
        <f t="shared" si="41"/>
        <v>1</v>
      </c>
      <c r="T91" s="50" t="str">
        <f t="shared" si="27"/>
        <v>Southbound</v>
      </c>
      <c r="U91" s="171">
        <f>IF(AG91="EC",COUNTIFS(Variables!$M$2:$M$19,IF(T91="NorthBound","&gt;=","&lt;=")&amp;Y91,Variables!$M$2:$M$19,IF(T91="NorthBound","&lt;=","&gt;=")&amp;Z91),COUNTIFS(Variables!$P$2:$P$19,IF(T91="NorthBound","&gt;=","&lt;=")&amp;Y91,Variables!$P$2:$P$19,IF(T91="NorthBound","&lt;=","&gt;=")&amp;Z91))</f>
        <v>12</v>
      </c>
      <c r="V9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13:29:34-700',mode:absolute,to:'2016-12-11 16:24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4021%22')),sort:!(Time,asc))</v>
      </c>
      <c r="W91" s="52" t="str">
        <f t="shared" si="29"/>
        <v>N</v>
      </c>
      <c r="X91" s="177">
        <f t="shared" si="39"/>
        <v>1</v>
      </c>
      <c r="Y91" s="67">
        <f t="shared" si="30"/>
        <v>23.3</v>
      </c>
      <c r="Z91" s="67">
        <f t="shared" si="31"/>
        <v>0.11749999999999999</v>
      </c>
      <c r="AA91" s="67">
        <f t="shared" si="32"/>
        <v>23.182500000000001</v>
      </c>
      <c r="AB91" s="64" t="e">
        <f>VLOOKUP(A91,Enforcements!$C$7:$K$20,8,0)</f>
        <v>#N/A</v>
      </c>
      <c r="AC91" s="60" t="e">
        <f>VLOOKUP(A91,Enforcements!$C$7:$E$20,3,0)</f>
        <v>#N/A</v>
      </c>
      <c r="AD91" s="61" t="str">
        <f t="shared" si="33"/>
        <v>0180-11</v>
      </c>
      <c r="AE91" s="91" t="str">
        <f t="shared" si="34"/>
        <v>aws s3 cp s3://rtdc.mdm.uploadarchive.raw/RTDC4021/ "%USERPROFILE%\AppData\Local\Temp\OnboardLogs"\RTDC4021\2016-12-11 --exclude "*" --recursive --include "*20161211*" &amp; "%USERPROFILE%\Documents\GitHub\mrs-test-scripts\Headless Mode &amp; Sideloading\WalkAndUnGZ.bat" "%USERPROFILE%\AppData\Local\Temp\OnboardLogs"\RTDC4021\2016-12-11 &amp; aws s3 cp s3://rtdc.mdm.uploadarchive.raw/RTDC4021/ "%USERPROFILE%\AppData\Local\Temp\OnboardLogs"\RTDC4021\2016-12-12 --exclude "*" --recursive --include "*20161212*" &amp; "%USERPROFILE%\Documents\GitHub\mrs-test-scripts\Headless Mode &amp; Sideloading\WalkAndUnGZ.bat" "%USERPROFILE%\AppData\Local\Temp\OnboardLogs"\RTDC4021\2016-12-12</v>
      </c>
      <c r="AF91" s="88" t="str">
        <f t="shared" si="35"/>
        <v>"C:\Program Files (x86)\AstroGrep\AstroGrep.exe" /spath="%USERPROFILE%\AppData\Local\Temp\OnboardLogs" /stypes="app*4021*20161211*" /stext=" 22:.+((SYSTEM_STATE.+slice.+state.+changed )|(ment ac)|(multiple cpu faults)|(system.+state.+changed )|(\[timeout)|(PRM\|1\|D)|(kpr)|(kdp)|(\|lc)|(penalty))" /e /r /s</v>
      </c>
      <c r="AG91" s="1" t="str">
        <f t="shared" si="36"/>
        <v>EC</v>
      </c>
      <c r="AH91" s="92" t="str">
        <f t="shared" si="37"/>
        <v>"%USERPROFILE%\Documents\GitHub\eaglep3\Utilities\RefineRTDCRunTimes.py" --tripid 180-11 --locoid 4021 --swversion DE.1.0.8.0 --startMP 204:233000 --initTime 2016-12-11T14:29:34 --startdatetime 2016-12-11T14:33:40 --delay 2 --endMP 204:1175 --enddatetime 2016-12-11T15:24:03 --enforcementcount 1 &gt;&gt;C:\Users\stu\Documents\GitHub\eaglep3-reporting\EC\2016-12-11-refined-times.txt</v>
      </c>
      <c r="AI91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{"issue":{"subject":"","project_id":79,"tracker_id":40,"status_id":1,"priority_id":2,"assigned_to_id":23,"start_date":"2016-12-11","description":"","custom_fields":[{"id":1,"name":"Subdivision","value":"EC"},{"id":4,"name":"Milepost","value":"0.1175"},{"id":17,"name":"Train ID","value":"180-11"},{"id":16,"name":"Locomotive ID","value":"4021"},{"id":130,"name":"Impact","value":""},{"id":150,"name":"Time of Event (Mountain Time)","value":"15:24:03"},{"id":151,"name":"Denver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1" s="53"/>
      <c r="AK91" s="53"/>
      <c r="AL91" s="53"/>
      <c r="AM91"/>
      <c r="AN9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  <c r="BH91"/>
      <c r="BI91"/>
      <c r="BJ91"/>
      <c r="BK91"/>
      <c r="BL91"/>
      <c r="BM91"/>
      <c r="BN91"/>
      <c r="BO91"/>
      <c r="BP91"/>
      <c r="BQ91"/>
      <c r="BR91"/>
      <c r="BS91"/>
      <c r="BT91"/>
      <c r="BU91"/>
      <c r="BV91"/>
      <c r="BW91"/>
      <c r="BX91"/>
      <c r="BY91"/>
      <c r="BZ91"/>
      <c r="CA91"/>
      <c r="CB91"/>
      <c r="CC91"/>
      <c r="CD91"/>
      <c r="CE91"/>
      <c r="CF91"/>
      <c r="CG91"/>
      <c r="CH91"/>
      <c r="CI91"/>
      <c r="CJ91"/>
      <c r="CK91"/>
      <c r="CL91"/>
      <c r="CM91"/>
    </row>
    <row r="92" spans="1:91" s="21" customFormat="1" x14ac:dyDescent="0.25">
      <c r="A92" s="37" t="s">
        <v>465</v>
      </c>
      <c r="B92" s="7">
        <v>4029</v>
      </c>
      <c r="C92" s="22" t="s">
        <v>207</v>
      </c>
      <c r="D92" s="22" t="s">
        <v>267</v>
      </c>
      <c r="E92" s="13">
        <v>42715.570173611108</v>
      </c>
      <c r="F92" s="13">
        <v>42715.573067129626</v>
      </c>
      <c r="G92" s="7">
        <v>1</v>
      </c>
      <c r="H92" s="22" t="s">
        <v>424</v>
      </c>
      <c r="I92" s="13">
        <v>42715.60465277778</v>
      </c>
      <c r="J92" s="7">
        <v>1</v>
      </c>
      <c r="K92" s="109" t="str">
        <f t="shared" si="25"/>
        <v>4029/4030</v>
      </c>
      <c r="L92" s="22" t="str">
        <f>VLOOKUP(A92,'Trips&amp;Operators'!$C$1:$G$99999,5,FALSE)</f>
        <v>BERLING GARY</v>
      </c>
      <c r="M92" s="6">
        <f t="shared" si="26"/>
        <v>3.1585648153850343E-2</v>
      </c>
      <c r="N92" s="7">
        <f t="shared" si="40"/>
        <v>45.483333341544494</v>
      </c>
      <c r="O92" s="7"/>
      <c r="P92" s="7"/>
      <c r="Q92" s="23"/>
      <c r="R92" s="23"/>
      <c r="S92" s="35">
        <f t="shared" si="41"/>
        <v>1</v>
      </c>
      <c r="T92" s="50" t="str">
        <f t="shared" si="27"/>
        <v>NorthBound</v>
      </c>
      <c r="U92" s="171">
        <f>IF(AG92="EC",COUNTIFS(Variables!$M$2:$M$19,IF(T92="NorthBound","&gt;=","&lt;=")&amp;Y92,Variables!$M$2:$M$19,IF(T92="NorthBound","&lt;=","&gt;=")&amp;Z92),COUNTIFS(Variables!$P$2:$P$19,IF(T92="NorthBound","&gt;=","&lt;=")&amp;Y92,Variables!$P$2:$P$19,IF(T92="NorthBound","&lt;=","&gt;=")&amp;Z92))</f>
        <v>12</v>
      </c>
      <c r="V9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12:41:03-700',mode:absolute,to:'2016-12-11 15:30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92" s="52" t="str">
        <f t="shared" si="29"/>
        <v>N</v>
      </c>
      <c r="X92" s="177">
        <f t="shared" si="39"/>
        <v>1</v>
      </c>
      <c r="Y92" s="67">
        <f t="shared" si="30"/>
        <v>4.3799999999999999E-2</v>
      </c>
      <c r="Z92" s="67">
        <f t="shared" si="31"/>
        <v>23.331800000000001</v>
      </c>
      <c r="AA92" s="67">
        <f t="shared" si="32"/>
        <v>23.288</v>
      </c>
      <c r="AB92" s="64" t="e">
        <f>VLOOKUP(A92,Enforcements!$C$7:$K$20,8,0)</f>
        <v>#N/A</v>
      </c>
      <c r="AC92" s="60" t="e">
        <f>VLOOKUP(A92,Enforcements!$C$7:$E$20,3,0)</f>
        <v>#N/A</v>
      </c>
      <c r="AD92" s="61" t="str">
        <f t="shared" si="33"/>
        <v>0181-11</v>
      </c>
      <c r="AE92" s="91" t="str">
        <f t="shared" si="34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92" s="88" t="str">
        <f t="shared" si="35"/>
        <v>"C:\Program Files (x86)\AstroGrep\AstroGrep.exe" /spath="%USERPROFILE%\AppData\Local\Temp\OnboardLogs" /stypes="app*4029*20161211*" /stext=" 21:.+((SYSTEM_STATE.+slice.+state.+changed )|(ment ac)|(multiple cpu faults)|(system.+state.+changed )|(\[timeout)|(PRM\|1\|D)|(kpr)|(kdp)|(\|lc)|(penalty))" /e /r /s</v>
      </c>
      <c r="AG92" s="1" t="str">
        <f t="shared" si="36"/>
        <v>EC</v>
      </c>
      <c r="AH92" s="92" t="str">
        <f t="shared" si="37"/>
        <v>"%USERPROFILE%\Documents\GitHub\eaglep3\Utilities\RefineRTDCRunTimes.py" --tripid 181-11 --locoid 4029 --swversion DE.1.0.8.0 --startMP 204:438 --initTime 2016-12-11T13:41:03 --startdatetime 2016-12-11T13:45:13 --delay 1 --endMP 204:233318 --enddatetime 2016-12-11T14:30:42 --enforcementcount 1 &gt;&gt;C:\Users\stu\Documents\GitHub\eaglep3-reporting\EC\2016-12-11-refined-times.txt</v>
      </c>
      <c r="AI92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{"issue":{"subject":"","project_id":79,"tracker_id":40,"status_id":1,"priority_id":2,"assigned_to_id":23,"start_date":"2016-12-11","description":"","custom_fields":[{"id":1,"name":"Subdivision","value":"EC"},{"id":4,"name":"Milepost","value":"23.3318"},{"id":17,"name":"Train ID","value":"181-11"},{"id":16,"name":"Locomotive ID","value":"4029"},{"id":130,"name":"Impact","value":""},{"id":150,"name":"Time of Event (Mountain Time)","value":"14:30:42"},{"id":151,"name":"Denver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2" s="53"/>
      <c r="AK92" s="53"/>
      <c r="AL92" s="53"/>
      <c r="AM92"/>
      <c r="AN92"/>
      <c r="AO92"/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  <c r="BH92"/>
      <c r="BI92"/>
      <c r="BJ92"/>
      <c r="BK92"/>
      <c r="BL92"/>
      <c r="BM92"/>
      <c r="BN92"/>
      <c r="BO92"/>
      <c r="BP92"/>
      <c r="BQ92"/>
      <c r="BR92"/>
      <c r="BS92"/>
      <c r="BT92"/>
      <c r="BU92"/>
      <c r="BV92"/>
      <c r="BW92"/>
      <c r="BX92"/>
      <c r="BY92"/>
      <c r="BZ92"/>
      <c r="CA92"/>
      <c r="CB92"/>
      <c r="CC92"/>
      <c r="CD92"/>
      <c r="CE92"/>
      <c r="CF92"/>
      <c r="CG92"/>
      <c r="CH92"/>
      <c r="CI92"/>
      <c r="CJ92"/>
      <c r="CK92"/>
      <c r="CL92"/>
      <c r="CM92"/>
    </row>
    <row r="93" spans="1:91" s="21" customFormat="1" x14ac:dyDescent="0.25">
      <c r="A93" s="37" t="s">
        <v>587</v>
      </c>
      <c r="B93" s="7">
        <v>4030</v>
      </c>
      <c r="C93" s="22" t="s">
        <v>207</v>
      </c>
      <c r="D93" s="22" t="s">
        <v>426</v>
      </c>
      <c r="E93" s="13">
        <v>42715.611180555556</v>
      </c>
      <c r="F93" s="13">
        <v>42715.614074074074</v>
      </c>
      <c r="G93" s="7">
        <v>2</v>
      </c>
      <c r="H93" s="22" t="s">
        <v>396</v>
      </c>
      <c r="I93" s="13">
        <v>42715.64943287037</v>
      </c>
      <c r="J93" s="7">
        <v>1</v>
      </c>
      <c r="K93" s="109" t="str">
        <f t="shared" si="25"/>
        <v>4029/4030</v>
      </c>
      <c r="L93" s="22" t="str">
        <f>VLOOKUP(A93,'Trips&amp;Operators'!$C$1:$G$99999,5,FALSE)</f>
        <v>BERLING GARY</v>
      </c>
      <c r="M93" s="6">
        <f t="shared" si="26"/>
        <v>3.5358796296350192E-2</v>
      </c>
      <c r="N93" s="7">
        <f t="shared" si="40"/>
        <v>50.916666666744277</v>
      </c>
      <c r="O93" s="7"/>
      <c r="P93" s="7"/>
      <c r="Q93" s="23"/>
      <c r="R93" s="23"/>
      <c r="S93" s="35">
        <f t="shared" si="41"/>
        <v>1</v>
      </c>
      <c r="T93" s="50" t="str">
        <f t="shared" si="27"/>
        <v>Southbound</v>
      </c>
      <c r="U93" s="171">
        <f>IF(AG93="EC",COUNTIFS(Variables!$M$2:$M$19,IF(T93="NorthBound","&gt;=","&lt;=")&amp;Y93,Variables!$M$2:$M$19,IF(T93="NorthBound","&lt;=","&gt;=")&amp;Z93),COUNTIFS(Variables!$P$2:$P$19,IF(T93="NorthBound","&gt;=","&lt;=")&amp;Y93,Variables!$P$2:$P$19,IF(T93="NorthBound","&lt;=","&gt;=")&amp;Z93))</f>
        <v>12</v>
      </c>
      <c r="V9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13:40:06-700',mode:absolute,to:'2016-12-11 16:35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93" s="52" t="str">
        <f t="shared" si="29"/>
        <v>N</v>
      </c>
      <c r="X93" s="177">
        <f t="shared" si="39"/>
        <v>1</v>
      </c>
      <c r="Y93" s="67">
        <f t="shared" si="30"/>
        <v>23.298200000000001</v>
      </c>
      <c r="Z93" s="67">
        <f t="shared" si="31"/>
        <v>1.34E-2</v>
      </c>
      <c r="AA93" s="67">
        <f t="shared" si="32"/>
        <v>23.284800000000001</v>
      </c>
      <c r="AB93" s="64" t="e">
        <f>VLOOKUP(A93,Enforcements!$C$7:$K$20,8,0)</f>
        <v>#N/A</v>
      </c>
      <c r="AC93" s="60" t="e">
        <f>VLOOKUP(A93,Enforcements!$C$7:$E$20,3,0)</f>
        <v>#N/A</v>
      </c>
      <c r="AD93" s="61" t="str">
        <f t="shared" si="33"/>
        <v>0182-11</v>
      </c>
      <c r="AE93" s="91" t="str">
        <f t="shared" si="34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93" s="88" t="str">
        <f t="shared" si="35"/>
        <v>"C:\Program Files (x86)\AstroGrep\AstroGrep.exe" /spath="%USERPROFILE%\AppData\Local\Temp\OnboardLogs" /stypes="app*4030*20161211*" /stext=" 22:.+((SYSTEM_STATE.+slice.+state.+changed )|(ment ac)|(multiple cpu faults)|(system.+state.+changed )|(\[timeout)|(PRM\|1\|D)|(kpr)|(kdp)|(\|lc)|(penalty))" /e /r /s</v>
      </c>
      <c r="AG93" s="1" t="str">
        <f t="shared" si="36"/>
        <v>EC</v>
      </c>
      <c r="AH93" s="92" t="str">
        <f t="shared" si="37"/>
        <v>"%USERPROFILE%\Documents\GitHub\eaglep3\Utilities\RefineRTDCRunTimes.py" --tripid 182-11 --locoid 4030 --swversion DE.1.0.8.0 --startMP 204:232982 --initTime 2016-12-11T14:40:06 --startdatetime 2016-12-11T14:44:16 --delay 2 --endMP 204:134 --enddatetime 2016-12-11T15:35:11 --enforcementcount 1 &gt;&gt;C:\Users\stu\Documents\GitHub\eaglep3-reporting\EC\2016-12-11-refined-times.txt</v>
      </c>
      <c r="AI93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{"issue":{"subject":"","project_id":79,"tracker_id":40,"status_id":1,"priority_id":2,"assigned_to_id":23,"start_date":"2016-12-11","description":"","custom_fields":[{"id":1,"name":"Subdivision","value":"EC"},{"id":4,"name":"Milepost","value":"0.0134"},{"id":17,"name":"Train ID","value":"182-11"},{"id":16,"name":"Locomotive ID","value":"4030"},{"id":130,"name":"Impact","value":""},{"id":150,"name":"Time of Event (Mountain Time)","value":"15:35:11"},{"id":151,"name":"Denver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3" s="53"/>
      <c r="AK93" s="53"/>
      <c r="AL93" s="53"/>
      <c r="AM93"/>
      <c r="AN93"/>
      <c r="AO93"/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  <c r="BH93"/>
      <c r="BI93"/>
      <c r="BJ93"/>
      <c r="BK93"/>
      <c r="BL93"/>
      <c r="BM93"/>
      <c r="BN93"/>
      <c r="BO93"/>
      <c r="BP93"/>
      <c r="BQ93"/>
      <c r="BR93"/>
      <c r="BS93"/>
      <c r="BT93"/>
      <c r="BU93"/>
      <c r="BV93"/>
      <c r="BW93"/>
      <c r="BX93"/>
      <c r="BY93"/>
      <c r="BZ93"/>
      <c r="CA93"/>
      <c r="CB93"/>
      <c r="CC93"/>
      <c r="CD93"/>
      <c r="CE93"/>
      <c r="CF93"/>
      <c r="CG93"/>
      <c r="CH93"/>
      <c r="CI93"/>
      <c r="CJ93"/>
      <c r="CK93"/>
      <c r="CL93"/>
      <c r="CM93"/>
    </row>
    <row r="94" spans="1:91" x14ac:dyDescent="0.25">
      <c r="A94" s="37" t="s">
        <v>579</v>
      </c>
      <c r="B94" s="7">
        <v>4011</v>
      </c>
      <c r="C94" s="22" t="s">
        <v>207</v>
      </c>
      <c r="D94" s="22" t="s">
        <v>410</v>
      </c>
      <c r="E94" s="13">
        <v>42715.583148148151</v>
      </c>
      <c r="F94" s="13">
        <v>42715.585381944446</v>
      </c>
      <c r="G94" s="7">
        <v>1</v>
      </c>
      <c r="H94" s="22" t="s">
        <v>759</v>
      </c>
      <c r="I94" s="13">
        <v>42715.618495370371</v>
      </c>
      <c r="J94" s="7">
        <v>1</v>
      </c>
      <c r="K94" s="109" t="str">
        <f t="shared" si="25"/>
        <v>4011/4012</v>
      </c>
      <c r="L94" s="22" t="str">
        <f>VLOOKUP(A94,'Trips&amp;Operators'!$C$1:$G$99999,5,FALSE)</f>
        <v>MAHAN DUANE</v>
      </c>
      <c r="M94" s="6">
        <f t="shared" si="26"/>
        <v>3.3113425924966577E-2</v>
      </c>
      <c r="N94" s="7">
        <f t="shared" si="40"/>
        <v>47.683333331951872</v>
      </c>
      <c r="O94" s="7"/>
      <c r="P94" s="7"/>
      <c r="Q94" s="23"/>
      <c r="R94" s="23"/>
      <c r="S94" s="35">
        <f t="shared" si="41"/>
        <v>1</v>
      </c>
      <c r="T94" s="50" t="str">
        <f t="shared" si="27"/>
        <v>NorthBound</v>
      </c>
      <c r="U94" s="171">
        <f>IF(AG94="EC",COUNTIFS(Variables!$M$2:$M$19,IF(T94="NorthBound","&gt;=","&lt;=")&amp;Y94,Variables!$M$2:$M$19,IF(T94="NorthBound","&lt;=","&gt;=")&amp;Z94),COUNTIFS(Variables!$P$2:$P$19,IF(T94="NorthBound","&gt;=","&lt;=")&amp;Y94,Variables!$P$2:$P$19,IF(T94="NorthBound","&lt;=","&gt;=")&amp;Z94))</f>
        <v>12</v>
      </c>
      <c r="V9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12:59:44-700',mode:absolute,to:'2016-12-11 15:50:38-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94" s="52" t="str">
        <f t="shared" si="29"/>
        <v>N</v>
      </c>
      <c r="X94" s="177">
        <f t="shared" si="39"/>
        <v>1</v>
      </c>
      <c r="Y94" s="67">
        <f t="shared" si="30"/>
        <v>4.7300000000000002E-2</v>
      </c>
      <c r="Z94" s="67">
        <f t="shared" si="31"/>
        <v>23.326599999999999</v>
      </c>
      <c r="AA94" s="67">
        <f t="shared" si="32"/>
        <v>23.279299999999999</v>
      </c>
      <c r="AB94" s="64" t="e">
        <f>VLOOKUP(A94,Enforcements!$C$7:$K$20,8,0)</f>
        <v>#N/A</v>
      </c>
      <c r="AC94" s="60" t="e">
        <f>VLOOKUP(A94,Enforcements!$C$7:$E$20,3,0)</f>
        <v>#N/A</v>
      </c>
      <c r="AD94" s="61" t="str">
        <f t="shared" si="33"/>
        <v>0183-11</v>
      </c>
      <c r="AE94" s="91" t="str">
        <f t="shared" si="34"/>
        <v>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 &amp; 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</v>
      </c>
      <c r="AF94" s="88" t="str">
        <f t="shared" si="35"/>
        <v>"C:\Program Files (x86)\AstroGrep\AstroGrep.exe" /spath="%USERPROFILE%\AppData\Local\Temp\OnboardLogs" /stypes="app*4011*20161211*" /stext=" 21:.+((SYSTEM_STATE.+slice.+state.+changed )|(ment ac)|(multiple cpu faults)|(system.+state.+changed )|(\[timeout)|(PRM\|1\|D)|(kpr)|(kdp)|(\|lc)|(penalty))" /e /r /s</v>
      </c>
      <c r="AG94" s="1" t="str">
        <f t="shared" si="36"/>
        <v>EC</v>
      </c>
      <c r="AH94" s="92" t="str">
        <f t="shared" si="37"/>
        <v>"%USERPROFILE%\Documents\GitHub\eaglep3\Utilities\RefineRTDCRunTimes.py" --tripid 183-11 --locoid 4011 --swversion DE.1.0.8.0 --startMP 204:473 --initTime 2016-12-11T13:59:44 --startdatetime 2016-12-11T14:02:57 --delay 1 --endMP 204:233266 --enddatetime 2016-12-11T14:50:38 --enforcementcount 1 &gt;&gt;C:\Users\stu\Documents\GitHub\eaglep3-reporting\EC\2016-12-11-refined-times.txt</v>
      </c>
      <c r="AI94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{"issue":{"subject":"","project_id":79,"tracker_id":40,"status_id":1,"priority_id":2,"assigned_to_id":23,"start_date":"2016-12-11","description":"","custom_fields":[{"id":1,"name":"Subdivision","value":"EC"},{"id":4,"name":"Milepost","value":"23.3266"},{"id":17,"name":"Train ID","value":"183-11"},{"id":16,"name":"Locomotive ID","value":"4011"},{"id":130,"name":"Impact","value":""},{"id":150,"name":"Time of Event (Mountain Time)","value":"14:50:38"},{"id":151,"name":"Denver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4" s="53"/>
      <c r="AK94" s="53"/>
      <c r="AL94" s="53"/>
    </row>
    <row r="95" spans="1:91" x14ac:dyDescent="0.25">
      <c r="A95" s="37" t="s">
        <v>470</v>
      </c>
      <c r="B95" s="7">
        <v>4012</v>
      </c>
      <c r="C95" s="22" t="s">
        <v>207</v>
      </c>
      <c r="D95" s="22" t="s">
        <v>765</v>
      </c>
      <c r="E95" s="13">
        <v>42715.623240740744</v>
      </c>
      <c r="F95" s="13">
        <v>42715.624872685185</v>
      </c>
      <c r="G95" s="7">
        <v>1</v>
      </c>
      <c r="H95" s="22" t="s">
        <v>227</v>
      </c>
      <c r="I95" s="13">
        <v>42715.654675925929</v>
      </c>
      <c r="J95" s="7">
        <v>1</v>
      </c>
      <c r="K95" s="109" t="str">
        <f t="shared" si="25"/>
        <v>4011/4012</v>
      </c>
      <c r="L95" s="22" t="str">
        <f>VLOOKUP(A95,'Trips&amp;Operators'!$C$1:$G$99999,5,FALSE)</f>
        <v>MAHAN DUANE</v>
      </c>
      <c r="M95" s="6">
        <f t="shared" si="26"/>
        <v>2.980324074451346E-2</v>
      </c>
      <c r="N95" s="7">
        <f t="shared" si="40"/>
        <v>42.916666672099382</v>
      </c>
      <c r="O95" s="7"/>
      <c r="P95" s="7"/>
      <c r="Q95" s="23"/>
      <c r="R95" s="23"/>
      <c r="S95" s="35">
        <f t="shared" si="41"/>
        <v>1</v>
      </c>
      <c r="T95" s="50" t="str">
        <f t="shared" si="27"/>
        <v>Southbound</v>
      </c>
      <c r="U95" s="171">
        <f>IF(AG95="EC",COUNTIFS(Variables!$M$2:$M$19,IF(T95="NorthBound","&gt;=","&lt;=")&amp;Y95,Variables!$M$2:$M$19,IF(T95="NorthBound","&lt;=","&gt;=")&amp;Z95),COUNTIFS(Variables!$P$2:$P$19,IF(T95="NorthBound","&gt;=","&lt;=")&amp;Y95,Variables!$P$2:$P$19,IF(T95="NorthBound","&lt;=","&gt;=")&amp;Z95))</f>
        <v>12</v>
      </c>
      <c r="V9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13:57:28-700',mode:absolute,to:'2016-12-11 16:42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95" s="52" t="str">
        <f t="shared" si="29"/>
        <v>N</v>
      </c>
      <c r="X95" s="177">
        <f t="shared" si="39"/>
        <v>1</v>
      </c>
      <c r="Y95" s="67">
        <f t="shared" si="30"/>
        <v>23.297000000000001</v>
      </c>
      <c r="Z95" s="67">
        <f t="shared" si="31"/>
        <v>1.41E-2</v>
      </c>
      <c r="AA95" s="67">
        <f t="shared" si="32"/>
        <v>23.282900000000001</v>
      </c>
      <c r="AB95" s="64" t="e">
        <f>VLOOKUP(A95,Enforcements!$C$7:$K$20,8,0)</f>
        <v>#N/A</v>
      </c>
      <c r="AC95" s="60" t="e">
        <f>VLOOKUP(A95,Enforcements!$C$7:$E$20,3,0)</f>
        <v>#N/A</v>
      </c>
      <c r="AD95" s="61" t="str">
        <f t="shared" si="33"/>
        <v>0184-11</v>
      </c>
      <c r="AE95" s="91" t="str">
        <f t="shared" si="34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95" s="88" t="str">
        <f t="shared" si="35"/>
        <v>"C:\Program Files (x86)\AstroGrep\AstroGrep.exe" /spath="%USERPROFILE%\AppData\Local\Temp\OnboardLogs" /stypes="app*4012*20161211*" /stext=" 22:.+((SYSTEM_STATE.+slice.+state.+changed )|(ment ac)|(multiple cpu faults)|(system.+state.+changed )|(\[timeout)|(PRM\|1\|D)|(kpr)|(kdp)|(\|lc)|(penalty))" /e /r /s</v>
      </c>
      <c r="AG95" s="1" t="str">
        <f t="shared" si="36"/>
        <v>EC</v>
      </c>
      <c r="AH95" s="92" t="str">
        <f t="shared" si="37"/>
        <v>"%USERPROFILE%\Documents\GitHub\eaglep3\Utilities\RefineRTDCRunTimes.py" --tripid 184-11 --locoid 4012 --swversion DE.1.0.8.0 --startMP 204:232970 --initTime 2016-12-11T14:57:28 --startdatetime 2016-12-11T14:59:49 --delay 1 --endMP 204:141 --enddatetime 2016-12-11T15:42:44 --enforcementcount 1 &gt;&gt;C:\Users\stu\Documents\GitHub\eaglep3-reporting\EC\2016-12-11-refined-times.txt</v>
      </c>
      <c r="AI95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ID","value":"184-11"},{"id":16,"name":"Locomotive ID","value":"4012"},{"id":130,"name":"Impact","value":""},{"id":150,"name":"Time of Event (Mountain Time)","value":"15:42:44"},{"id":151,"name":"Denver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5" s="53"/>
      <c r="AK95" s="53"/>
      <c r="AL95" s="53"/>
    </row>
    <row r="96" spans="1:91" x14ac:dyDescent="0.25">
      <c r="A96" s="37" t="s">
        <v>466</v>
      </c>
      <c r="B96" s="7">
        <v>4044</v>
      </c>
      <c r="C96" s="22" t="s">
        <v>207</v>
      </c>
      <c r="D96" s="22" t="s">
        <v>273</v>
      </c>
      <c r="E96" s="13">
        <v>42715.59275462963</v>
      </c>
      <c r="F96" s="13">
        <v>42715.594490740739</v>
      </c>
      <c r="G96" s="7">
        <v>1</v>
      </c>
      <c r="H96" s="22" t="s">
        <v>402</v>
      </c>
      <c r="I96" s="13">
        <v>42715.62572916667</v>
      </c>
      <c r="J96" s="7">
        <v>1</v>
      </c>
      <c r="K96" s="109" t="str">
        <f t="shared" si="25"/>
        <v>4043/4044</v>
      </c>
      <c r="L96" s="22" t="str">
        <f>VLOOKUP(A96,'Trips&amp;Operators'!$C$1:$G$99999,5,FALSE)</f>
        <v>SHOOK JOHN</v>
      </c>
      <c r="M96" s="6">
        <f t="shared" si="26"/>
        <v>3.1238425930496305E-2</v>
      </c>
      <c r="N96" s="7">
        <f t="shared" si="40"/>
        <v>44.98333333991468</v>
      </c>
      <c r="O96" s="7"/>
      <c r="P96" s="7"/>
      <c r="Q96" s="23"/>
      <c r="R96" s="23"/>
      <c r="S96" s="35">
        <f t="shared" si="41"/>
        <v>1</v>
      </c>
      <c r="T96" s="50" t="str">
        <f t="shared" si="27"/>
        <v>NorthBound</v>
      </c>
      <c r="U96" s="171">
        <f>IF(AG96="EC",COUNTIFS(Variables!$M$2:$M$19,IF(T96="NorthBound","&gt;=","&lt;=")&amp;Y96,Variables!$M$2:$M$19,IF(T96="NorthBound","&lt;=","&gt;=")&amp;Z96),COUNTIFS(Variables!$P$2:$P$19,IF(T96="NorthBound","&gt;=","&lt;=")&amp;Y96,Variables!$P$2:$P$19,IF(T96="NorthBound","&lt;=","&gt;=")&amp;Z96))</f>
        <v>12</v>
      </c>
      <c r="V9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13:13:34-700',mode:absolute,to:'2016-12-11 16:01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96" s="52" t="str">
        <f t="shared" si="29"/>
        <v>N</v>
      </c>
      <c r="X96" s="177">
        <f t="shared" si="39"/>
        <v>1</v>
      </c>
      <c r="Y96" s="67">
        <f t="shared" si="30"/>
        <v>4.4600000000000001E-2</v>
      </c>
      <c r="Z96" s="67">
        <f t="shared" si="31"/>
        <v>23.332599999999999</v>
      </c>
      <c r="AA96" s="67">
        <f t="shared" si="32"/>
        <v>23.288</v>
      </c>
      <c r="AB96" s="64" t="str">
        <f>VLOOKUP(A96,Enforcements!$C$7:$K$20,8,0)</f>
        <v>Bulletin (2)</v>
      </c>
      <c r="AC96" s="60" t="str">
        <f>VLOOKUP(A96,Enforcements!$C$7:$E$20,3,0)</f>
        <v>GRADE CROSSING</v>
      </c>
      <c r="AD96" s="61" t="str">
        <f t="shared" si="33"/>
        <v>0185-11</v>
      </c>
      <c r="AE96" s="91" t="str">
        <f t="shared" si="34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96" s="88" t="str">
        <f t="shared" si="35"/>
        <v>"C:\Program Files (x86)\AstroGrep\AstroGrep.exe" /spath="%USERPROFILE%\AppData\Local\Temp\OnboardLogs" /stypes="app*4044*20161211*" /stext=" 22:.+((SYSTEM_STATE.+slice.+state.+changed )|(ment ac)|(multiple cpu faults)|(system.+state.+changed )|(\[timeout)|(PRM\|1\|D)|(kpr)|(kdp)|(\|lc)|(penalty))" /e /r /s</v>
      </c>
      <c r="AG96" s="1" t="str">
        <f t="shared" si="36"/>
        <v>EC</v>
      </c>
      <c r="AH96" s="92" t="str">
        <f t="shared" si="37"/>
        <v>"%USERPROFILE%\Documents\GitHub\eaglep3\Utilities\RefineRTDCRunTimes.py" --tripid 185-11 --locoid 4044 --swversion DE.1.0.8.0 --startMP 204:446 --initTime 2016-12-11T14:13:34 --startdatetime 2016-12-11T14:16:04 --delay 1 --endMP 204:233326 --enddatetime 2016-12-11T15:01:03 --enforcementcount 1 &gt;&gt;C:\Users\stu\Documents\GitHub\eaglep3-reporting\EC\2016-12-11-refined-times.txt</v>
      </c>
      <c r="AI96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{"issue":{"subject":"","project_id":79,"tracker_id":40,"status_id":1,"priority_id":2,"assigned_to_id":23,"start_date":"2016-12-11","description":"","custom_fields":[{"id":1,"name":"Subdivision","value":"EC"},{"id":4,"name":"Milepost","value":"23.3326"},{"id":17,"name":"Train ID","value":"185-11"},{"id":16,"name":"Locomotive ID","value":"4044"},{"id":130,"name":"Impact","value":""},{"id":150,"name":"Time of Event (Mountain Time)","value":"15:01:03"},{"id":151,"name":"Denver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6" s="53"/>
      <c r="AK96" s="53"/>
      <c r="AL96" s="53"/>
    </row>
    <row r="97" spans="1:91" s="21" customFormat="1" x14ac:dyDescent="0.25">
      <c r="A97" s="37" t="s">
        <v>591</v>
      </c>
      <c r="B97" s="7">
        <v>4043</v>
      </c>
      <c r="C97" s="22" t="s">
        <v>207</v>
      </c>
      <c r="D97" s="22" t="s">
        <v>412</v>
      </c>
      <c r="E97" s="13">
        <v>42715.632013888891</v>
      </c>
      <c r="F97" s="13">
        <v>42715.634664351855</v>
      </c>
      <c r="G97" s="7">
        <v>2</v>
      </c>
      <c r="H97" s="22" t="s">
        <v>192</v>
      </c>
      <c r="I97" s="13">
        <v>42715.666203703702</v>
      </c>
      <c r="J97" s="7">
        <v>1</v>
      </c>
      <c r="K97" s="109" t="str">
        <f t="shared" si="25"/>
        <v>4043/4044</v>
      </c>
      <c r="L97" s="22" t="str">
        <f>VLOOKUP(A97,'Trips&amp;Operators'!$C$1:$G$99999,5,FALSE)</f>
        <v>SHOOK JOHN</v>
      </c>
      <c r="M97" s="6">
        <f t="shared" si="26"/>
        <v>3.1539351846731734E-2</v>
      </c>
      <c r="N97" s="7">
        <f t="shared" si="40"/>
        <v>45.416666659293696</v>
      </c>
      <c r="O97" s="7"/>
      <c r="P97" s="7"/>
      <c r="Q97" s="23"/>
      <c r="R97" s="23"/>
      <c r="S97" s="35">
        <f t="shared" si="41"/>
        <v>1</v>
      </c>
      <c r="T97" s="50" t="str">
        <f t="shared" si="27"/>
        <v>Southbound</v>
      </c>
      <c r="U97" s="171">
        <f>IF(AG97="EC",COUNTIFS(Variables!$M$2:$M$19,IF(T97="NorthBound","&gt;=","&lt;=")&amp;Y97,Variables!$M$2:$M$19,IF(T97="NorthBound","&lt;=","&gt;=")&amp;Z97),COUNTIFS(Variables!$P$2:$P$19,IF(T97="NorthBound","&gt;=","&lt;=")&amp;Y97,Variables!$P$2:$P$19,IF(T97="NorthBound","&lt;=","&gt;=")&amp;Z97))</f>
        <v>12</v>
      </c>
      <c r="V9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14:10:06-700',mode:absolute,to:'2016-12-11 16:59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97" s="52" t="str">
        <f t="shared" si="29"/>
        <v>N</v>
      </c>
      <c r="X97" s="177">
        <f t="shared" si="39"/>
        <v>1</v>
      </c>
      <c r="Y97" s="67">
        <f t="shared" si="30"/>
        <v>23.299600000000002</v>
      </c>
      <c r="Z97" s="67">
        <f t="shared" si="31"/>
        <v>1.49E-2</v>
      </c>
      <c r="AA97" s="67">
        <f t="shared" si="32"/>
        <v>23.284700000000001</v>
      </c>
      <c r="AB97" s="64" t="e">
        <f>VLOOKUP(A97,Enforcements!$C$7:$K$20,8,0)</f>
        <v>#N/A</v>
      </c>
      <c r="AC97" s="60" t="e">
        <f>VLOOKUP(A97,Enforcements!$C$7:$E$20,3,0)</f>
        <v>#N/A</v>
      </c>
      <c r="AD97" s="61" t="str">
        <f t="shared" si="33"/>
        <v>0186-11</v>
      </c>
      <c r="AE97" s="91" t="str">
        <f t="shared" si="34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97" s="88" t="str">
        <f t="shared" si="35"/>
        <v>"C:\Program Files (x86)\AstroGrep\AstroGrep.exe" /spath="%USERPROFILE%\AppData\Local\Temp\OnboardLogs" /stypes="app*4043*20161211*" /stext=" 22:.+((SYSTEM_STATE.+slice.+state.+changed )|(ment ac)|(multiple cpu faults)|(system.+state.+changed )|(\[timeout)|(PRM\|1\|D)|(kpr)|(kdp)|(\|lc)|(penalty))" /e /r /s</v>
      </c>
      <c r="AG97" s="1" t="str">
        <f t="shared" si="36"/>
        <v>EC</v>
      </c>
      <c r="AH97" s="92" t="str">
        <f t="shared" si="37"/>
        <v>"%USERPROFILE%\Documents\GitHub\eaglep3\Utilities\RefineRTDCRunTimes.py" --tripid 186-11 --locoid 4043 --swversion DE.1.0.8.0 --startMP 204:232996 --initTime 2016-12-11T15:10:06 --startdatetime 2016-12-11T15:13:55 --delay 2 --endMP 204:149 --enddatetime 2016-12-11T15:59:20 --enforcementcount 1 &gt;&gt;C:\Users\stu\Documents\GitHub\eaglep3-reporting\EC\2016-12-11-refined-times.txt</v>
      </c>
      <c r="AI97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{"issue":{"subject":"","project_id":79,"tracker_id":40,"status_id":1,"priority_id":2,"assigned_to_id":23,"start_date":"2016-12-11","description":"","custom_fields":[{"id":1,"name":"Subdivision","value":"EC"},{"id":4,"name":"Milepost","value":"0.0149"},{"id":17,"name":"Train ID","value":"186-11"},{"id":16,"name":"Locomotive ID","value":"4043"},{"id":130,"name":"Impact","value":""},{"id":150,"name":"Time of Event (Mountain Time)","value":"15:59:20"},{"id":151,"name":"Denver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7" s="53"/>
      <c r="AK97" s="53"/>
      <c r="AL97" s="53"/>
      <c r="AM97"/>
      <c r="AN97"/>
      <c r="AO97"/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  <c r="BH97"/>
      <c r="BI97"/>
      <c r="BJ97"/>
      <c r="BK97"/>
      <c r="BL97"/>
      <c r="BM97"/>
      <c r="BN97"/>
      <c r="BO97"/>
      <c r="BP97"/>
      <c r="BQ97"/>
      <c r="BR97"/>
      <c r="BS97"/>
      <c r="BT97"/>
      <c r="BU97"/>
      <c r="BV97"/>
      <c r="BW97"/>
      <c r="BX97"/>
      <c r="BY97"/>
      <c r="BZ97"/>
      <c r="CA97"/>
      <c r="CB97"/>
      <c r="CC97"/>
      <c r="CD97"/>
      <c r="CE97"/>
      <c r="CF97"/>
      <c r="CG97"/>
      <c r="CH97"/>
      <c r="CI97"/>
      <c r="CJ97"/>
      <c r="CK97"/>
      <c r="CL97"/>
      <c r="CM97"/>
    </row>
    <row r="98" spans="1:91" s="21" customFormat="1" x14ac:dyDescent="0.25">
      <c r="A98" s="37" t="s">
        <v>588</v>
      </c>
      <c r="B98" s="7">
        <v>4009</v>
      </c>
      <c r="C98" s="22" t="s">
        <v>207</v>
      </c>
      <c r="D98" s="22" t="s">
        <v>766</v>
      </c>
      <c r="E98" s="13">
        <v>42715.61277777778</v>
      </c>
      <c r="F98" s="13">
        <v>42715.614178240743</v>
      </c>
      <c r="G98" s="7">
        <v>1</v>
      </c>
      <c r="H98" s="22" t="s">
        <v>706</v>
      </c>
      <c r="I98" s="13">
        <v>42715.638935185183</v>
      </c>
      <c r="J98" s="7">
        <v>1</v>
      </c>
      <c r="K98" s="109" t="str">
        <f t="shared" si="25"/>
        <v>4009/4010</v>
      </c>
      <c r="L98" s="22" t="str">
        <f>VLOOKUP(A98,'Trips&amp;Operators'!$C$1:$G$99999,5,FALSE)</f>
        <v>STEWART MICHAEL</v>
      </c>
      <c r="M98" s="6">
        <f t="shared" si="26"/>
        <v>2.4756944440014195E-2</v>
      </c>
      <c r="N98" s="7"/>
      <c r="O98" s="7"/>
      <c r="P98" s="7">
        <f>24*60*SUM($M98:$M98)</f>
        <v>35.64999999362044</v>
      </c>
      <c r="Q98" s="23"/>
      <c r="R98" s="23" t="s">
        <v>839</v>
      </c>
      <c r="S98" s="35">
        <f t="shared" si="41"/>
        <v>1</v>
      </c>
      <c r="T98" s="50" t="str">
        <f t="shared" si="27"/>
        <v>NorthBound</v>
      </c>
      <c r="U98" s="171">
        <f>IF(AG98="EC",COUNTIFS(Variables!$M$2:$M$19,IF(T98="NorthBound","&gt;=","&lt;=")&amp;Y98,Variables!$M$2:$M$19,IF(T98="NorthBound","&lt;=","&gt;=")&amp;Z98),COUNTIFS(Variables!$P$2:$P$19,IF(T98="NorthBound","&gt;=","&lt;=")&amp;Y98,Variables!$P$2:$P$19,IF(T98="NorthBound","&lt;=","&gt;=")&amp;Z98))</f>
        <v>12</v>
      </c>
      <c r="V9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13:42:24-700',mode:absolute,to:'2016-12-11 16:20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98" s="52" t="str">
        <f t="shared" si="29"/>
        <v>Y</v>
      </c>
      <c r="X98" s="177">
        <f t="shared" si="39"/>
        <v>1</v>
      </c>
      <c r="Y98" s="67">
        <f t="shared" si="30"/>
        <v>1.9126000000000001</v>
      </c>
      <c r="Z98" s="67">
        <f t="shared" si="31"/>
        <v>23.3338</v>
      </c>
      <c r="AA98" s="67">
        <f t="shared" si="32"/>
        <v>21.421199999999999</v>
      </c>
      <c r="AB98" s="64" t="e">
        <f>VLOOKUP(A98,Enforcements!$C$7:$K$20,8,0)</f>
        <v>#N/A</v>
      </c>
      <c r="AC98" s="60" t="e">
        <f>VLOOKUP(A98,Enforcements!$C$7:$E$20,3,0)</f>
        <v>#N/A</v>
      </c>
      <c r="AD98" s="61" t="str">
        <f t="shared" si="33"/>
        <v>0187-11</v>
      </c>
      <c r="AE98" s="91" t="str">
        <f t="shared" si="34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98" s="88" t="str">
        <f t="shared" si="35"/>
        <v>"C:\Program Files (x86)\AstroGrep\AstroGrep.exe" /spath="%USERPROFILE%\AppData\Local\Temp\OnboardLogs" /stypes="app*4009*20161211*" /stext=" 22:.+((SYSTEM_STATE.+slice.+state.+changed )|(ment ac)|(multiple cpu faults)|(system.+state.+changed )|(\[timeout)|(PRM\|1\|D)|(kpr)|(kdp)|(\|lc)|(penalty))" /e /r /s</v>
      </c>
      <c r="AG98" s="1" t="str">
        <f t="shared" si="36"/>
        <v>EC</v>
      </c>
      <c r="AH98" s="92" t="str">
        <f t="shared" si="37"/>
        <v>"%USERPROFILE%\Documents\GitHub\eaglep3\Utilities\RefineRTDCRunTimes.py" --tripid 187-11 --locoid 4009 --swversion DE.1.0.8.0 --startMP 204:19126 --initTime 2016-12-11T14:42:24 --startdatetime 2016-12-11T14:44:25 --delay 1 --endMP 204:233338 --enddatetime 2016-12-11T15:20:04 --enforcementcount 1 &gt;&gt;C:\Users\stu\Documents\GitHub\eaglep3-reporting\EC\2016-12-11-refined-times.txt</v>
      </c>
      <c r="AI98" s="119" t="str">
        <f t="shared" si="38"/>
        <v>echo {"issue":{"subject":"Operator entered CCROC 1310 instead of 1321","project_id":79,"tracker_id":40,"status_id":1,"priority_id":2,"assigned_to_id":23,"start_date":"2016-12-11","description":"","custom_fields":[{"id":1,"name":"Subdivision","value":"EC"},{"id":4,"name":"Milepost","value":"23.3338"},{"id":17,"name":"Train ID","value":"187-11"},{"id":16,"name":"Locomotive ID","value":"4009"},{"id":130,"name":"Impact","value":""},{"id":150,"name":"Time of Event (Mountain Time)","value":"15:20:04"},{"id":151,"name":"Denver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8" s="53"/>
      <c r="AK98" s="53"/>
      <c r="AL98" s="53"/>
      <c r="AM98"/>
      <c r="AN98"/>
      <c r="AO98"/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  <c r="BH98"/>
      <c r="BI98"/>
      <c r="BJ98"/>
      <c r="BK98"/>
      <c r="BL98"/>
      <c r="BM98"/>
      <c r="BN98"/>
      <c r="BO98"/>
      <c r="BP98"/>
      <c r="BQ98"/>
      <c r="BR98"/>
      <c r="BS98"/>
      <c r="BT98"/>
      <c r="BU98"/>
      <c r="BV98"/>
      <c r="BW98"/>
      <c r="BX98"/>
      <c r="BY98"/>
      <c r="BZ98"/>
      <c r="CA98"/>
      <c r="CB98"/>
      <c r="CC98"/>
      <c r="CD98"/>
      <c r="CE98"/>
      <c r="CF98"/>
      <c r="CG98"/>
      <c r="CH98"/>
      <c r="CI98"/>
      <c r="CJ98"/>
      <c r="CK98"/>
      <c r="CL98"/>
      <c r="CM98"/>
    </row>
    <row r="99" spans="1:91" s="21" customFormat="1" x14ac:dyDescent="0.25">
      <c r="A99" s="37" t="s">
        <v>592</v>
      </c>
      <c r="B99" s="7">
        <v>4010</v>
      </c>
      <c r="C99" s="22" t="s">
        <v>207</v>
      </c>
      <c r="D99" s="22" t="s">
        <v>300</v>
      </c>
      <c r="E99" s="13">
        <v>42715.643263888887</v>
      </c>
      <c r="F99" s="13">
        <v>42715.645416666666</v>
      </c>
      <c r="G99" s="7">
        <v>1</v>
      </c>
      <c r="H99" s="22" t="s">
        <v>205</v>
      </c>
      <c r="I99" s="13">
        <v>42715.675902777781</v>
      </c>
      <c r="J99" s="7">
        <v>1</v>
      </c>
      <c r="K99" s="109" t="str">
        <f t="shared" si="25"/>
        <v>4009/4010</v>
      </c>
      <c r="L99" s="22" t="str">
        <f>VLOOKUP(A99,'Trips&amp;Operators'!$C$1:$G$99999,5,FALSE)</f>
        <v>STEWART MICHAEL</v>
      </c>
      <c r="M99" s="6">
        <f t="shared" si="26"/>
        <v>3.0486111114441883E-2</v>
      </c>
      <c r="N99" s="7">
        <f t="shared" ref="N99:N124" si="42">24*60*SUM($M99:$M99)</f>
        <v>43.900000004796311</v>
      </c>
      <c r="O99" s="7"/>
      <c r="P99" s="7"/>
      <c r="Q99" s="23"/>
      <c r="R99" s="23"/>
      <c r="S99" s="35">
        <f t="shared" si="41"/>
        <v>1</v>
      </c>
      <c r="T99" s="50" t="str">
        <f t="shared" si="27"/>
        <v>Southbound</v>
      </c>
      <c r="U99" s="171">
        <f>IF(AG99="EC",COUNTIFS(Variables!$M$2:$M$19,IF(T99="NorthBound","&gt;=","&lt;=")&amp;Y99,Variables!$M$2:$M$19,IF(T99="NorthBound","&lt;=","&gt;=")&amp;Z99),COUNTIFS(Variables!$P$2:$P$19,IF(T99="NorthBound","&gt;=","&lt;=")&amp;Y99,Variables!$P$2:$P$19,IF(T99="NorthBound","&lt;=","&gt;=")&amp;Z99))</f>
        <v>12</v>
      </c>
      <c r="V9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14:26:18-700',mode:absolute,to:'2016-12-11 17:13:18-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99" s="52" t="str">
        <f t="shared" si="29"/>
        <v>N</v>
      </c>
      <c r="X99" s="177">
        <f t="shared" si="39"/>
        <v>1</v>
      </c>
      <c r="Y99" s="67">
        <f t="shared" si="30"/>
        <v>23.2974</v>
      </c>
      <c r="Z99" s="67">
        <f t="shared" si="31"/>
        <v>1.5599999999999999E-2</v>
      </c>
      <c r="AA99" s="67">
        <f t="shared" si="32"/>
        <v>23.2818</v>
      </c>
      <c r="AB99" s="64" t="e">
        <f>VLOOKUP(A99,Enforcements!$C$7:$K$20,8,0)</f>
        <v>#N/A</v>
      </c>
      <c r="AC99" s="60" t="e">
        <f>VLOOKUP(A99,Enforcements!$C$7:$E$20,3,0)</f>
        <v>#N/A</v>
      </c>
      <c r="AD99" s="61" t="str">
        <f t="shared" si="33"/>
        <v>0188-11</v>
      </c>
      <c r="AE99" s="91" t="str">
        <f t="shared" si="34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99" s="88" t="str">
        <f t="shared" si="35"/>
        <v>"C:\Program Files (x86)\AstroGrep\AstroGrep.exe" /spath="%USERPROFILE%\AppData\Local\Temp\OnboardLogs" /stypes="app*4010*20161211*" /stext=" 23:.+((SYSTEM_STATE.+slice.+state.+changed )|(ment ac)|(multiple cpu faults)|(system.+state.+changed )|(\[timeout)|(PRM\|1\|D)|(kpr)|(kdp)|(\|lc)|(penalty))" /e /r /s</v>
      </c>
      <c r="AG99" s="1" t="str">
        <f t="shared" si="36"/>
        <v>EC</v>
      </c>
      <c r="AH99" s="92" t="str">
        <f t="shared" si="37"/>
        <v>"%USERPROFILE%\Documents\GitHub\eaglep3\Utilities\RefineRTDCRunTimes.py" --tripid 188-11 --locoid 4010 --swversion DE.1.0.8.0 --startMP 204:232974 --initTime 2016-12-11T15:26:18 --startdatetime 2016-12-11T15:29:24 --delay 1 --endMP 204:156 --enddatetime 2016-12-11T16:13:18 --enforcementcount 1 &gt;&gt;C:\Users\stu\Documents\GitHub\eaglep3-reporting\EC\2016-12-11-refined-times.txt</v>
      </c>
      <c r="AI99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{"issue":{"subject":"","project_id":79,"tracker_id":40,"status_id":1,"priority_id":2,"assigned_to_id":23,"start_date":"2016-12-11","description":"","custom_fields":[{"id":1,"name":"Subdivision","value":"EC"},{"id":4,"name":"Milepost","value":"0.0156"},{"id":17,"name":"Train ID","value":"188-11"},{"id":16,"name":"Locomotive ID","value":"4010"},{"id":130,"name":"Impact","value":""},{"id":150,"name":"Time of Event (Mountain Time)","value":"16:13:18"},{"id":151,"name":"Denver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99" s="53"/>
      <c r="AK99" s="53"/>
      <c r="AL99" s="53"/>
      <c r="AM99"/>
      <c r="AN99"/>
      <c r="AO99"/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  <c r="BH99"/>
      <c r="BI99"/>
      <c r="BJ99"/>
      <c r="BK99"/>
      <c r="BL99"/>
      <c r="BM99"/>
      <c r="BN99"/>
      <c r="BO99"/>
      <c r="BP99"/>
      <c r="BQ99"/>
      <c r="BR99"/>
      <c r="BS99"/>
      <c r="BT99"/>
      <c r="BU99"/>
      <c r="BV99"/>
      <c r="BW99"/>
      <c r="BX99"/>
      <c r="BY99"/>
      <c r="BZ99"/>
      <c r="CA99"/>
      <c r="CB99"/>
      <c r="CC99"/>
      <c r="CD99"/>
      <c r="CE99"/>
      <c r="CF99"/>
      <c r="CG99"/>
      <c r="CH99"/>
      <c r="CI99"/>
      <c r="CJ99"/>
      <c r="CK99"/>
      <c r="CL99"/>
      <c r="CM99"/>
    </row>
    <row r="100" spans="1:91" s="21" customFormat="1" x14ac:dyDescent="0.25">
      <c r="A100" s="37" t="s">
        <v>468</v>
      </c>
      <c r="B100" s="7">
        <v>4042</v>
      </c>
      <c r="C100" s="22" t="s">
        <v>207</v>
      </c>
      <c r="D100" s="22" t="s">
        <v>410</v>
      </c>
      <c r="E100" s="13">
        <v>42715.611817129633</v>
      </c>
      <c r="F100" s="13">
        <v>42715.614942129629</v>
      </c>
      <c r="G100" s="7">
        <v>1</v>
      </c>
      <c r="H100" s="22" t="s">
        <v>767</v>
      </c>
      <c r="I100" s="13">
        <v>42715.642754629633</v>
      </c>
      <c r="J100" s="7">
        <v>1</v>
      </c>
      <c r="K100" s="109" t="str">
        <f t="shared" si="25"/>
        <v>4041/4042</v>
      </c>
      <c r="L100" s="22" t="str">
        <f>VLOOKUP(A100,'Trips&amp;Operators'!$C$1:$G$99999,5,FALSE)</f>
        <v>BARTLETT KIANDRA</v>
      </c>
      <c r="M100" s="6">
        <f t="shared" si="26"/>
        <v>2.7812500004074536E-2</v>
      </c>
      <c r="N100" s="7">
        <f t="shared" si="42"/>
        <v>40.050000005867332</v>
      </c>
      <c r="O100" s="7"/>
      <c r="P100" s="7"/>
      <c r="Q100" s="23"/>
      <c r="R100" s="23"/>
      <c r="S100" s="35">
        <f t="shared" si="41"/>
        <v>1</v>
      </c>
      <c r="T100" s="50" t="str">
        <f t="shared" si="27"/>
        <v>NorthBound</v>
      </c>
      <c r="U100" s="171">
        <f>IF(AG100="EC",COUNTIFS(Variables!$M$2:$M$19,IF(T100="NorthBound","&gt;=","&lt;=")&amp;Y100,Variables!$M$2:$M$19,IF(T100="NorthBound","&lt;=","&gt;=")&amp;Z100),COUNTIFS(Variables!$P$2:$P$19,IF(T100="NorthBound","&gt;=","&lt;=")&amp;Y100,Variables!$P$2:$P$19,IF(T100="NorthBound","&lt;=","&gt;=")&amp;Z100))</f>
        <v>12</v>
      </c>
      <c r="V10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13:41:01-700',mode:absolute,to:'2016-12-11 16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00" s="52" t="str">
        <f t="shared" si="29"/>
        <v>N</v>
      </c>
      <c r="X100" s="177">
        <f t="shared" si="39"/>
        <v>1</v>
      </c>
      <c r="Y100" s="67">
        <f t="shared" si="30"/>
        <v>4.7300000000000002E-2</v>
      </c>
      <c r="Z100" s="67">
        <f t="shared" si="31"/>
        <v>23.335999999999999</v>
      </c>
      <c r="AA100" s="67">
        <f t="shared" si="32"/>
        <v>23.288699999999999</v>
      </c>
      <c r="AB100" s="64" t="str">
        <f>VLOOKUP(A100,Enforcements!$C$7:$K$20,8,0)</f>
        <v>Signal based authority (5)</v>
      </c>
      <c r="AC100" s="60" t="str">
        <f>VLOOKUP(A100,Enforcements!$C$7:$E$20,3,0)</f>
        <v>SIGNAL</v>
      </c>
      <c r="AD100" s="61" t="str">
        <f t="shared" si="33"/>
        <v>0189-11</v>
      </c>
      <c r="AE100" s="91" t="str">
        <f t="shared" si="34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100" s="88" t="str">
        <f t="shared" si="35"/>
        <v>"C:\Program Files (x86)\AstroGrep\AstroGrep.exe" /spath="%USERPROFILE%\AppData\Local\Temp\OnboardLogs" /stypes="app*4042*20161211*" /stext=" 22:.+((SYSTEM_STATE.+slice.+state.+changed )|(ment ac)|(multiple cpu faults)|(system.+state.+changed )|(\[timeout)|(PRM\|1\|D)|(kpr)|(kdp)|(\|lc)|(penalty))" /e /r /s</v>
      </c>
      <c r="AG100" s="1" t="str">
        <f t="shared" si="36"/>
        <v>EC</v>
      </c>
      <c r="AH100" s="92" t="str">
        <f t="shared" si="37"/>
        <v>"%USERPROFILE%\Documents\GitHub\eaglep3\Utilities\RefineRTDCRunTimes.py" --tripid 189-11 --locoid 4042 --swversion DE.1.0.8.0 --startMP 204:473 --initTime 2016-12-11T14:41:01 --startdatetime 2016-12-11T14:45:31 --delay 1 --endMP 204:233360 --enddatetime 2016-12-11T15:25:34 --enforcementcount 1 &gt;&gt;C:\Users\stu\Documents\GitHub\eaglep3-reporting\EC\2016-12-11-refined-times.txt</v>
      </c>
      <c r="AI100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{"issue":{"subject":"","project_id":79,"tracker_id":40,"status_id":1,"priority_id":2,"assigned_to_id":23,"start_date":"2016-12-11","description":"","custom_fields":[{"id":1,"name":"Subdivision","value":"EC"},{"id":4,"name":"Milepost","value":"23.336"},{"id":17,"name":"Train ID","value":"189-11"},{"id":16,"name":"Locomotive ID","value":"4042"},{"id":130,"name":"Impact","value":""},{"id":150,"name":"Time of Event (Mountain Time)","value":"15:25:34"},{"id":151,"name":"Denver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0" s="53"/>
      <c r="AK100" s="53"/>
      <c r="AL100" s="53"/>
      <c r="AM100"/>
      <c r="AN100"/>
      <c r="AO100"/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  <c r="BH100"/>
      <c r="BI100"/>
      <c r="BJ100"/>
      <c r="BK100"/>
      <c r="BL100"/>
      <c r="BM100"/>
      <c r="BN100"/>
      <c r="BO100"/>
      <c r="BP100"/>
      <c r="BQ100"/>
      <c r="BR100"/>
      <c r="BS100"/>
      <c r="BT100"/>
      <c r="BU100"/>
      <c r="BV100"/>
      <c r="BW100"/>
      <c r="BX100"/>
      <c r="BY100"/>
      <c r="BZ100"/>
      <c r="CA100"/>
      <c r="CB100"/>
      <c r="CC100"/>
      <c r="CD100"/>
      <c r="CE100"/>
      <c r="CF100"/>
      <c r="CG100"/>
      <c r="CH100"/>
      <c r="CI100"/>
      <c r="CJ100"/>
      <c r="CK100"/>
      <c r="CL100"/>
      <c r="CM100"/>
    </row>
    <row r="101" spans="1:91" s="21" customFormat="1" x14ac:dyDescent="0.25">
      <c r="A101" s="37" t="s">
        <v>593</v>
      </c>
      <c r="B101" s="7">
        <v>4041</v>
      </c>
      <c r="C101" s="22" t="s">
        <v>207</v>
      </c>
      <c r="D101" s="22" t="s">
        <v>438</v>
      </c>
      <c r="E101" s="13">
        <v>42715.650567129633</v>
      </c>
      <c r="F101" s="13">
        <v>42715.653668981482</v>
      </c>
      <c r="G101" s="7">
        <v>1</v>
      </c>
      <c r="H101" s="22" t="s">
        <v>442</v>
      </c>
      <c r="I101" s="13">
        <v>42715.687638888892</v>
      </c>
      <c r="J101" s="7">
        <v>1</v>
      </c>
      <c r="K101" s="109" t="str">
        <f t="shared" si="25"/>
        <v>4041/4042</v>
      </c>
      <c r="L101" s="22" t="str">
        <f>VLOOKUP(A101,'Trips&amp;Operators'!$C$1:$G$99999,5,FALSE)</f>
        <v>BARTLETT KIANDRA</v>
      </c>
      <c r="M101" s="6">
        <f t="shared" si="26"/>
        <v>3.3969907410209998E-2</v>
      </c>
      <c r="N101" s="7">
        <f t="shared" si="42"/>
        <v>48.916666670702398</v>
      </c>
      <c r="O101" s="7"/>
      <c r="P101" s="7"/>
      <c r="Q101" s="23"/>
      <c r="R101" s="23"/>
      <c r="S101" s="35">
        <f t="shared" si="41"/>
        <v>1</v>
      </c>
      <c r="T101" s="50" t="str">
        <f t="shared" si="27"/>
        <v>Southbound</v>
      </c>
      <c r="U101" s="171">
        <f>IF(AG101="EC",COUNTIFS(Variables!$M$2:$M$19,IF(T101="NorthBound","&gt;=","&lt;=")&amp;Y101,Variables!$M$2:$M$19,IF(T101="NorthBound","&lt;=","&gt;=")&amp;Z101),COUNTIFS(Variables!$P$2:$P$19,IF(T101="NorthBound","&gt;=","&lt;=")&amp;Y101,Variables!$P$2:$P$19,IF(T101="NorthBound","&lt;=","&gt;=")&amp;Z101))</f>
        <v>12</v>
      </c>
      <c r="V10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14:36:49-700',mode:absolute,to:'2016-12-11 17:30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01" s="52" t="str">
        <f t="shared" si="29"/>
        <v>N</v>
      </c>
      <c r="X101" s="177">
        <f t="shared" si="39"/>
        <v>1</v>
      </c>
      <c r="Y101" s="67">
        <f t="shared" si="30"/>
        <v>23.3032</v>
      </c>
      <c r="Z101" s="67">
        <f t="shared" si="31"/>
        <v>1.7000000000000001E-2</v>
      </c>
      <c r="AA101" s="67">
        <f t="shared" si="32"/>
        <v>23.286200000000001</v>
      </c>
      <c r="AB101" s="64" t="e">
        <f>VLOOKUP(A101,Enforcements!$C$7:$K$20,8,0)</f>
        <v>#N/A</v>
      </c>
      <c r="AC101" s="60" t="e">
        <f>VLOOKUP(A101,Enforcements!$C$7:$E$20,3,0)</f>
        <v>#N/A</v>
      </c>
      <c r="AD101" s="61" t="str">
        <f t="shared" si="33"/>
        <v>0190-11</v>
      </c>
      <c r="AE101" s="91" t="str">
        <f t="shared" si="34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01" s="88" t="str">
        <f t="shared" si="35"/>
        <v>"C:\Program Files (x86)\AstroGrep\AstroGrep.exe" /spath="%USERPROFILE%\AppData\Local\Temp\OnboardLogs" /stypes="app*4041*20161211*" /stext=" 23:.+((SYSTEM_STATE.+slice.+state.+changed )|(ment ac)|(multiple cpu faults)|(system.+state.+changed )|(\[timeout)|(PRM\|1\|D)|(kpr)|(kdp)|(\|lc)|(penalty))" /e /r /s</v>
      </c>
      <c r="AG101" s="1" t="str">
        <f t="shared" si="36"/>
        <v>EC</v>
      </c>
      <c r="AH101" s="92" t="str">
        <f t="shared" si="37"/>
        <v>"%USERPROFILE%\Documents\GitHub\eaglep3\Utilities\RefineRTDCRunTimes.py" --tripid 190-11 --locoid 4041 --swversion DE.1.0.8.0 --startMP 204:233032 --initTime 2016-12-11T15:36:49 --startdatetime 2016-12-11T15:41:17 --delay 1 --endMP 204:170 --enddatetime 2016-12-11T16:30:12 --enforcementcount 1 &gt;&gt;C:\Users\stu\Documents\GitHub\eaglep3-reporting\EC\2016-12-11-refined-times.txt</v>
      </c>
      <c r="AI101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{"issue":{"subject":"","project_id":79,"tracker_id":40,"status_id":1,"priority_id":2,"assigned_to_id":23,"start_date":"2016-12-11","description":"","custom_fields":[{"id":1,"name":"Subdivision","value":"EC"},{"id":4,"name":"Milepost","value":"0.017"},{"id":17,"name":"Train ID","value":"190-11"},{"id":16,"name":"Locomotive ID","value":"4041"},{"id":130,"name":"Impact","value":""},{"id":150,"name":"Time of Event (Mountain Time)","value":"16:30:12"},{"id":151,"name":"Denver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1" s="53"/>
      <c r="AK101" s="53"/>
      <c r="AL101" s="53"/>
      <c r="AM101"/>
      <c r="AN101"/>
      <c r="AO101"/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  <c r="BH101"/>
      <c r="BI101"/>
      <c r="BJ101"/>
      <c r="BK101"/>
      <c r="BL101"/>
      <c r="BM101"/>
      <c r="BN101"/>
      <c r="BO101"/>
      <c r="BP101"/>
      <c r="BQ101"/>
      <c r="BR101"/>
      <c r="BS101"/>
      <c r="BT101"/>
      <c r="BU101"/>
      <c r="BV101"/>
      <c r="BW101"/>
      <c r="BX101"/>
      <c r="BY101"/>
      <c r="BZ101"/>
      <c r="CA101"/>
      <c r="CB101"/>
      <c r="CC101"/>
      <c r="CD101"/>
      <c r="CE101"/>
      <c r="CF101"/>
      <c r="CG101"/>
      <c r="CH101"/>
      <c r="CI101"/>
      <c r="CJ101"/>
      <c r="CK101"/>
      <c r="CL101"/>
      <c r="CM101"/>
    </row>
    <row r="102" spans="1:91" s="21" customFormat="1" x14ac:dyDescent="0.25">
      <c r="A102" s="37" t="s">
        <v>590</v>
      </c>
      <c r="B102" s="7">
        <v>4018</v>
      </c>
      <c r="C102" s="22" t="s">
        <v>207</v>
      </c>
      <c r="D102" s="22" t="s">
        <v>259</v>
      </c>
      <c r="E102" s="13">
        <v>42715.62709490741</v>
      </c>
      <c r="F102" s="13">
        <v>42715.628599537034</v>
      </c>
      <c r="G102" s="7">
        <v>1</v>
      </c>
      <c r="H102" s="22" t="s">
        <v>400</v>
      </c>
      <c r="I102" s="13">
        <v>42715.653310185182</v>
      </c>
      <c r="J102" s="7">
        <v>1</v>
      </c>
      <c r="K102" s="109" t="str">
        <f t="shared" si="25"/>
        <v>4017/4018</v>
      </c>
      <c r="L102" s="22" t="str">
        <f>VLOOKUP(A102,'Trips&amp;Operators'!$C$1:$G$99999,5,FALSE)</f>
        <v>BRUDER RICHARD</v>
      </c>
      <c r="M102" s="6">
        <f t="shared" si="26"/>
        <v>2.47106481474475E-2</v>
      </c>
      <c r="N102" s="7">
        <f t="shared" si="42"/>
        <v>35.583333332324401</v>
      </c>
      <c r="O102" s="7"/>
      <c r="P102" s="7"/>
      <c r="Q102" s="23"/>
      <c r="R102" s="23"/>
      <c r="S102" s="35">
        <f t="shared" si="41"/>
        <v>1</v>
      </c>
      <c r="T102" s="50" t="str">
        <f t="shared" si="27"/>
        <v>NorthBound</v>
      </c>
      <c r="U102" s="171">
        <f>IF(AG102="EC",COUNTIFS(Variables!$M$2:$M$19,IF(T102="NorthBound","&gt;=","&lt;=")&amp;Y102,Variables!$M$2:$M$19,IF(T102="NorthBound","&lt;=","&gt;=")&amp;Z102),COUNTIFS(Variables!$P$2:$P$19,IF(T102="NorthBound","&gt;=","&lt;=")&amp;Y102,Variables!$P$2:$P$19,IF(T102="NorthBound","&lt;=","&gt;=")&amp;Z102))</f>
        <v>12</v>
      </c>
      <c r="V10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14:03:01-700',mode:absolute,to:'2016-12-11 16:40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02" s="52" t="str">
        <f t="shared" si="29"/>
        <v>N</v>
      </c>
      <c r="X102" s="177">
        <f t="shared" si="39"/>
        <v>1</v>
      </c>
      <c r="Y102" s="67">
        <f t="shared" si="30"/>
        <v>4.58E-2</v>
      </c>
      <c r="Z102" s="67">
        <f t="shared" si="31"/>
        <v>23.3325</v>
      </c>
      <c r="AA102" s="67">
        <f t="shared" si="32"/>
        <v>23.2867</v>
      </c>
      <c r="AB102" s="64" t="e">
        <f>VLOOKUP(A102,Enforcements!$C$7:$K$20,8,0)</f>
        <v>#N/A</v>
      </c>
      <c r="AC102" s="60" t="e">
        <f>VLOOKUP(A102,Enforcements!$C$7:$E$20,3,0)</f>
        <v>#N/A</v>
      </c>
      <c r="AD102" s="61" t="str">
        <f t="shared" si="33"/>
        <v>0191-11</v>
      </c>
      <c r="AE102" s="91" t="str">
        <f t="shared" si="34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102" s="88" t="str">
        <f t="shared" si="35"/>
        <v>"C:\Program Files (x86)\AstroGrep\AstroGrep.exe" /spath="%USERPROFILE%\AppData\Local\Temp\OnboardLogs" /stypes="app*4018*20161211*" /stext=" 22:.+((SYSTEM_STATE.+slice.+state.+changed )|(ment ac)|(multiple cpu faults)|(system.+state.+changed )|(\[timeout)|(PRM\|1\|D)|(kpr)|(kdp)|(\|lc)|(penalty))" /e /r /s</v>
      </c>
      <c r="AG102" s="1" t="str">
        <f t="shared" si="36"/>
        <v>EC</v>
      </c>
      <c r="AH102" s="92" t="str">
        <f t="shared" si="37"/>
        <v>"%USERPROFILE%\Documents\GitHub\eaglep3\Utilities\RefineRTDCRunTimes.py" --tripid 191-11 --locoid 4018 --swversion DE.1.0.8.0 --startMP 204:458 --initTime 2016-12-11T15:03:01 --startdatetime 2016-12-11T15:05:11 --delay 1 --endMP 204:233325 --enddatetime 2016-12-11T15:40:46 --enforcementcount 1 &gt;&gt;C:\Users\stu\Documents\GitHub\eaglep3-reporting\EC\2016-12-11-refined-times.txt</v>
      </c>
      <c r="AI102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{"issue":{"subject":"","project_id":79,"tracker_id":40,"status_id":1,"priority_id":2,"assigned_to_id":23,"start_date":"2016-12-11","description":"","custom_fields":[{"id":1,"name":"Subdivision","value":"EC"},{"id":4,"name":"Milepost","value":"23.3325"},{"id":17,"name":"Train ID","value":"191-11"},{"id":16,"name":"Locomotive ID","value":"4018"},{"id":130,"name":"Impact","value":""},{"id":150,"name":"Time of Event (Mountain Time)","value":"15:40:46"},{"id":151,"name":"Denver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2" s="53"/>
      <c r="AK102" s="53"/>
      <c r="AL102" s="53"/>
      <c r="AM102"/>
      <c r="AN102"/>
      <c r="AO102"/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  <c r="BH102"/>
      <c r="BI102"/>
      <c r="BJ102"/>
      <c r="BK102"/>
      <c r="BL102"/>
      <c r="BM102"/>
      <c r="BN102"/>
      <c r="BO102"/>
      <c r="BP102"/>
      <c r="BQ102"/>
      <c r="BR102"/>
      <c r="BS102"/>
      <c r="BT102"/>
      <c r="BU102"/>
      <c r="BV102"/>
      <c r="BW102"/>
      <c r="BX102"/>
      <c r="BY102"/>
      <c r="BZ102"/>
      <c r="CA102"/>
      <c r="CB102"/>
      <c r="CC102"/>
      <c r="CD102"/>
      <c r="CE102"/>
      <c r="CF102"/>
      <c r="CG102"/>
      <c r="CH102"/>
      <c r="CI102"/>
      <c r="CJ102"/>
      <c r="CK102"/>
      <c r="CL102"/>
      <c r="CM102"/>
    </row>
    <row r="103" spans="1:91" s="21" customFormat="1" x14ac:dyDescent="0.25">
      <c r="A103" s="37" t="s">
        <v>597</v>
      </c>
      <c r="B103" s="7">
        <v>4017</v>
      </c>
      <c r="C103" s="22" t="s">
        <v>207</v>
      </c>
      <c r="D103" s="22" t="s">
        <v>709</v>
      </c>
      <c r="E103" s="13">
        <v>42715.658831018518</v>
      </c>
      <c r="F103" s="13">
        <v>42715.664074074077</v>
      </c>
      <c r="G103" s="7">
        <v>1</v>
      </c>
      <c r="H103" s="22" t="s">
        <v>227</v>
      </c>
      <c r="I103" s="13">
        <v>42715.693067129629</v>
      </c>
      <c r="J103" s="7">
        <v>1</v>
      </c>
      <c r="K103" s="109" t="str">
        <f t="shared" si="25"/>
        <v>4017/4018</v>
      </c>
      <c r="L103" s="22" t="str">
        <f>VLOOKUP(A103,'Trips&amp;Operators'!$C$1:$G$99999,5,FALSE)</f>
        <v>BRUDER RICHARD</v>
      </c>
      <c r="M103" s="6">
        <f t="shared" si="26"/>
        <v>2.8993055551836733E-2</v>
      </c>
      <c r="N103" s="7">
        <f t="shared" si="42"/>
        <v>41.749999994644895</v>
      </c>
      <c r="O103" s="7"/>
      <c r="P103" s="7"/>
      <c r="Q103" s="23"/>
      <c r="R103" s="23"/>
      <c r="S103" s="35">
        <f t="shared" si="41"/>
        <v>1</v>
      </c>
      <c r="T103" s="50" t="str">
        <f t="shared" si="27"/>
        <v>Southbound</v>
      </c>
      <c r="U103" s="171">
        <f>IF(AG103="EC",COUNTIFS(Variables!$M$2:$M$19,IF(T103="NorthBound","&gt;=","&lt;=")&amp;Y103,Variables!$M$2:$M$19,IF(T103="NorthBound","&lt;=","&gt;=")&amp;Z103),COUNTIFS(Variables!$P$2:$P$19,IF(T103="NorthBound","&gt;=","&lt;=")&amp;Y103,Variables!$P$2:$P$19,IF(T103="NorthBound","&lt;=","&gt;=")&amp;Z103))</f>
        <v>12</v>
      </c>
      <c r="V10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14:48:43-700',mode:absolute,to:'2016-12-11 17:38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03" s="52" t="str">
        <f t="shared" si="29"/>
        <v>N</v>
      </c>
      <c r="X103" s="177">
        <f t="shared" si="39"/>
        <v>1</v>
      </c>
      <c r="Y103" s="67">
        <f t="shared" si="30"/>
        <v>23.299299999999999</v>
      </c>
      <c r="Z103" s="67">
        <f t="shared" si="31"/>
        <v>1.41E-2</v>
      </c>
      <c r="AA103" s="67">
        <f t="shared" si="32"/>
        <v>23.2852</v>
      </c>
      <c r="AB103" s="64" t="e">
        <f>VLOOKUP(A103,Enforcements!$C$7:$K$20,8,0)</f>
        <v>#N/A</v>
      </c>
      <c r="AC103" s="60" t="e">
        <f>VLOOKUP(A103,Enforcements!$C$7:$E$20,3,0)</f>
        <v>#N/A</v>
      </c>
      <c r="AD103" s="61" t="str">
        <f t="shared" si="33"/>
        <v>0192-11</v>
      </c>
      <c r="AE103" s="91" t="str">
        <f t="shared" si="34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103" s="88" t="str">
        <f t="shared" si="35"/>
        <v>"C:\Program Files (x86)\AstroGrep\AstroGrep.exe" /spath="%USERPROFILE%\AppData\Local\Temp\OnboardLogs" /stypes="app*4017*20161211*" /stext=" 23:.+((SYSTEM_STATE.+slice.+state.+changed )|(ment ac)|(multiple cpu faults)|(system.+state.+changed )|(\[timeout)|(PRM\|1\|D)|(kpr)|(kdp)|(\|lc)|(penalty))" /e /r /s</v>
      </c>
      <c r="AG103" s="1" t="str">
        <f t="shared" si="36"/>
        <v>EC</v>
      </c>
      <c r="AH103" s="92" t="str">
        <f t="shared" si="37"/>
        <v>"%USERPROFILE%\Documents\GitHub\eaglep3\Utilities\RefineRTDCRunTimes.py" --tripid 192-11 --locoid 4017 --swversion DE.1.0.8.0 --startMP 204:232993 --initTime 2016-12-11T15:48:43 --startdatetime 2016-12-11T15:56:16 --delay 1 --endMP 204:141 --enddatetime 2016-12-11T16:38:01 --enforcementcount 1 &gt;&gt;C:\Users\stu\Documents\GitHub\eaglep3-reporting\EC\2016-12-11-refined-times.txt</v>
      </c>
      <c r="AI103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ID","value":"192-11"},{"id":16,"name":"Locomotive ID","value":"4017"},{"id":130,"name":"Impact","value":""},{"id":150,"name":"Time of Event (Mountain Time)","value":"16:38:01"},{"id":151,"name":"Denver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3" s="53"/>
      <c r="AK103" s="53"/>
      <c r="AL103" s="53"/>
      <c r="AM103"/>
      <c r="AN103"/>
      <c r="AO103"/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  <c r="BH103"/>
      <c r="BI103"/>
      <c r="BJ103"/>
      <c r="BK103"/>
      <c r="BL103"/>
      <c r="BM103"/>
      <c r="BN103"/>
      <c r="BO103"/>
      <c r="BP103"/>
      <c r="BQ103"/>
      <c r="BR103"/>
      <c r="BS103"/>
      <c r="BT103"/>
      <c r="BU103"/>
      <c r="BV103"/>
      <c r="BW103"/>
      <c r="BX103"/>
      <c r="BY103"/>
      <c r="BZ103"/>
      <c r="CA103"/>
      <c r="CB103"/>
      <c r="CC103"/>
      <c r="CD103"/>
      <c r="CE103"/>
      <c r="CF103"/>
      <c r="CG103"/>
      <c r="CH103"/>
      <c r="CI103"/>
      <c r="CJ103"/>
      <c r="CK103"/>
      <c r="CL103"/>
      <c r="CM103"/>
    </row>
    <row r="104" spans="1:91" x14ac:dyDescent="0.25">
      <c r="A104" s="37" t="s">
        <v>469</v>
      </c>
      <c r="B104" s="7">
        <v>4031</v>
      </c>
      <c r="C104" s="22" t="s">
        <v>207</v>
      </c>
      <c r="D104" s="22" t="s">
        <v>770</v>
      </c>
      <c r="E104" s="13">
        <v>42715.635312500002</v>
      </c>
      <c r="F104" s="13">
        <v>42715.638819444444</v>
      </c>
      <c r="G104" s="7">
        <v>2</v>
      </c>
      <c r="H104" s="22" t="s">
        <v>771</v>
      </c>
      <c r="I104" s="13">
        <v>42715.666122685187</v>
      </c>
      <c r="J104" s="7">
        <v>1</v>
      </c>
      <c r="K104" s="109" t="str">
        <f t="shared" si="25"/>
        <v>4031/4032</v>
      </c>
      <c r="L104" s="22" t="str">
        <f>VLOOKUP(A104,'Trips&amp;Operators'!$C$1:$G$99999,5,FALSE)</f>
        <v>BROWN JACOB</v>
      </c>
      <c r="M104" s="6">
        <f t="shared" si="26"/>
        <v>2.7303240742185153E-2</v>
      </c>
      <c r="N104" s="7">
        <f t="shared" si="42"/>
        <v>39.31666666874662</v>
      </c>
      <c r="O104" s="7"/>
      <c r="P104" s="7"/>
      <c r="Q104" s="23"/>
      <c r="R104" s="23"/>
      <c r="S104" s="35">
        <f t="shared" si="41"/>
        <v>1</v>
      </c>
      <c r="T104" s="50" t="str">
        <f t="shared" si="27"/>
        <v>NorthBound</v>
      </c>
      <c r="U104" s="171">
        <f>IF(AG104="EC",COUNTIFS(Variables!$M$2:$M$19,IF(T104="NorthBound","&gt;=","&lt;=")&amp;Y104,Variables!$M$2:$M$19,IF(T104="NorthBound","&lt;=","&gt;=")&amp;Z104),COUNTIFS(Variables!$P$2:$P$19,IF(T104="NorthBound","&gt;=","&lt;=")&amp;Y104,Variables!$P$2:$P$19,IF(T104="NorthBound","&lt;=","&gt;=")&amp;Z104))</f>
        <v>12</v>
      </c>
      <c r="V10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14:14:51-700',mode:absolute,to:'2016-12-11 16:59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04" s="52" t="str">
        <f t="shared" si="29"/>
        <v>N</v>
      </c>
      <c r="X104" s="177">
        <f t="shared" si="39"/>
        <v>1</v>
      </c>
      <c r="Y104" s="67">
        <f t="shared" si="30"/>
        <v>0.14829999999999999</v>
      </c>
      <c r="Z104" s="67">
        <f t="shared" si="31"/>
        <v>23.325099999999999</v>
      </c>
      <c r="AA104" s="67">
        <f t="shared" si="32"/>
        <v>23.1768</v>
      </c>
      <c r="AB104" s="64" t="str">
        <f>VLOOKUP(A104,Enforcements!$C$7:$K$20,8,0)</f>
        <v>Track device (7)</v>
      </c>
      <c r="AC104" s="60" t="str">
        <f>VLOOKUP(A104,Enforcements!$C$7:$E$20,3,0)</f>
        <v>SWITCH UNKNOWN</v>
      </c>
      <c r="AD104" s="61" t="str">
        <f t="shared" si="33"/>
        <v>0193-11</v>
      </c>
      <c r="AE104" s="91" t="str">
        <f t="shared" si="34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104" s="88" t="str">
        <f t="shared" si="35"/>
        <v>"C:\Program Files (x86)\AstroGrep\AstroGrep.exe" /spath="%USERPROFILE%\AppData\Local\Temp\OnboardLogs" /stypes="app*4031*20161211*" /stext=" 22:.+((SYSTEM_STATE.+slice.+state.+changed )|(ment ac)|(multiple cpu faults)|(system.+state.+changed )|(\[timeout)|(PRM\|1\|D)|(kpr)|(kdp)|(\|lc)|(penalty))" /e /r /s</v>
      </c>
      <c r="AG104" s="1" t="str">
        <f t="shared" si="36"/>
        <v>EC</v>
      </c>
      <c r="AH104" s="92" t="str">
        <f t="shared" si="37"/>
        <v>"%USERPROFILE%\Documents\GitHub\eaglep3\Utilities\RefineRTDCRunTimes.py" --tripid 193-11 --locoid 4031 --swversion DE.1.0.8.0 --startMP 204:1483 --initTime 2016-12-11T15:14:51 --startdatetime 2016-12-11T15:19:54 --delay 2 --endMP 204:233251 --enddatetime 2016-12-11T15:59:13 --enforcementcount 1 &gt;&gt;C:\Users\stu\Documents\GitHub\eaglep3-reporting\EC\2016-12-11-refined-times.txt</v>
      </c>
      <c r="AI104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{"issue":{"subject":"","project_id":79,"tracker_id":40,"status_id":1,"priority_id":2,"assigned_to_id":23,"start_date":"2016-12-11","description":"","custom_fields":[{"id":1,"name":"Subdivision","value":"EC"},{"id":4,"name":"Milepost","value":"23.3251"},{"id":17,"name":"Train ID","value":"193-11"},{"id":16,"name":"Locomotive ID","value":"4031"},{"id":130,"name":"Impact","value":""},{"id":150,"name":"Time of Event (Mountain Time)","value":"15:59:13"},{"id":151,"name":"Denver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4" s="53"/>
      <c r="AK104" s="53"/>
      <c r="AL104" s="53"/>
    </row>
    <row r="105" spans="1:91" s="21" customFormat="1" x14ac:dyDescent="0.25">
      <c r="A105" s="37" t="s">
        <v>599</v>
      </c>
      <c r="B105" s="7">
        <v>4032</v>
      </c>
      <c r="C105" s="22" t="s">
        <v>207</v>
      </c>
      <c r="D105" s="22" t="s">
        <v>772</v>
      </c>
      <c r="E105" s="13">
        <v>42715.673009259262</v>
      </c>
      <c r="F105" s="13">
        <v>42715.674872685187</v>
      </c>
      <c r="G105" s="7">
        <v>1</v>
      </c>
      <c r="H105" s="22" t="s">
        <v>407</v>
      </c>
      <c r="I105" s="13">
        <v>42715.704351851855</v>
      </c>
      <c r="J105" s="7">
        <v>1</v>
      </c>
      <c r="K105" s="109" t="str">
        <f t="shared" si="25"/>
        <v>4031/4032</v>
      </c>
      <c r="L105" s="22" t="str">
        <f>VLOOKUP(A105,'Trips&amp;Operators'!$C$1:$G$99999,5,FALSE)</f>
        <v>BROWN JACOB</v>
      </c>
      <c r="M105" s="6">
        <f t="shared" si="26"/>
        <v>2.9479166667442769E-2</v>
      </c>
      <c r="N105" s="7">
        <f t="shared" si="42"/>
        <v>42.450000001117587</v>
      </c>
      <c r="O105" s="7"/>
      <c r="P105" s="7"/>
      <c r="Q105" s="23"/>
      <c r="R105" s="23"/>
      <c r="S105" s="35">
        <f t="shared" si="41"/>
        <v>1</v>
      </c>
      <c r="T105" s="50" t="str">
        <f t="shared" si="27"/>
        <v>Southbound</v>
      </c>
      <c r="U105" s="171">
        <f>IF(AG105="EC",COUNTIFS(Variables!$M$2:$M$19,IF(T105="NorthBound","&gt;=","&lt;=")&amp;Y105,Variables!$M$2:$M$19,IF(T105="NorthBound","&lt;=","&gt;=")&amp;Z105),COUNTIFS(Variables!$P$2:$P$19,IF(T105="NorthBound","&gt;=","&lt;=")&amp;Y105,Variables!$P$2:$P$19,IF(T105="NorthBound","&lt;=","&gt;=")&amp;Z105))</f>
        <v>12</v>
      </c>
      <c r="V10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15:09:08-700',mode:absolute,to:'2016-12-11 17:54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05" s="52" t="str">
        <f t="shared" si="29"/>
        <v>N</v>
      </c>
      <c r="X105" s="177">
        <f t="shared" si="39"/>
        <v>1</v>
      </c>
      <c r="Y105" s="67">
        <f t="shared" si="30"/>
        <v>23.293399999999998</v>
      </c>
      <c r="Z105" s="67">
        <f t="shared" si="31"/>
        <v>1.38E-2</v>
      </c>
      <c r="AA105" s="67">
        <f t="shared" si="32"/>
        <v>23.279599999999999</v>
      </c>
      <c r="AB105" s="64" t="e">
        <f>VLOOKUP(A105,Enforcements!$C$7:$K$20,8,0)</f>
        <v>#N/A</v>
      </c>
      <c r="AC105" s="60" t="e">
        <f>VLOOKUP(A105,Enforcements!$C$7:$E$20,3,0)</f>
        <v>#N/A</v>
      </c>
      <c r="AD105" s="61" t="str">
        <f t="shared" si="33"/>
        <v>0194-11</v>
      </c>
      <c r="AE105" s="91" t="str">
        <f t="shared" si="34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105" s="88" t="str">
        <f t="shared" si="35"/>
        <v>"C:\Program Files (x86)\AstroGrep\AstroGrep.exe" /spath="%USERPROFILE%\AppData\Local\Temp\OnboardLogs" /stypes="app*4032*20161211*" /stext=" 23:.+((SYSTEM_STATE.+slice.+state.+changed )|(ment ac)|(multiple cpu faults)|(system.+state.+changed )|(\[timeout)|(PRM\|1\|D)|(kpr)|(kdp)|(\|lc)|(penalty))" /e /r /s</v>
      </c>
      <c r="AG105" s="1" t="str">
        <f t="shared" si="36"/>
        <v>EC</v>
      </c>
      <c r="AH105" s="92" t="str">
        <f t="shared" si="37"/>
        <v>"%USERPROFILE%\Documents\GitHub\eaglep3\Utilities\RefineRTDCRunTimes.py" --tripid 194-11 --locoid 4032 --swversion DE.1.0.8.0 --startMP 204:232934 --initTime 2016-12-11T16:09:08 --startdatetime 2016-12-11T16:11:49 --delay 1 --endMP 204:138 --enddatetime 2016-12-11T16:54:16 --enforcementcount 1 &gt;&gt;C:\Users\stu\Documents\GitHub\eaglep3-reporting\EC\2016-12-11-refined-times.txt</v>
      </c>
      <c r="AI105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{"issue":{"subject":"","project_id":79,"tracker_id":40,"status_id":1,"priority_id":2,"assigned_to_id":23,"start_date":"2016-12-11","description":"","custom_fields":[{"id":1,"name":"Subdivision","value":"EC"},{"id":4,"name":"Milepost","value":"0.0138"},{"id":17,"name":"Train ID","value":"194-11"},{"id":16,"name":"Locomotive ID","value":"4032"},{"id":130,"name":"Impact","value":""},{"id":150,"name":"Time of Event (Mountain Time)","value":"16:54:16"},{"id":151,"name":"Denver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5" s="53"/>
      <c r="AK105" s="53"/>
      <c r="AL105" s="53"/>
      <c r="AM105"/>
      <c r="AN105"/>
      <c r="AO105"/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  <c r="BH105"/>
      <c r="BI105"/>
      <c r="BJ105"/>
      <c r="BK105"/>
      <c r="BL105"/>
      <c r="BM105"/>
      <c r="BN105"/>
      <c r="BO105"/>
      <c r="BP105"/>
      <c r="BQ105"/>
      <c r="BR105"/>
      <c r="BS105"/>
      <c r="BT105"/>
      <c r="BU105"/>
      <c r="BV105"/>
      <c r="BW105"/>
      <c r="BX105"/>
      <c r="BY105"/>
      <c r="BZ105"/>
      <c r="CA105"/>
      <c r="CB105"/>
      <c r="CC105"/>
      <c r="CD105"/>
      <c r="CE105"/>
      <c r="CF105"/>
      <c r="CG105"/>
      <c r="CH105"/>
      <c r="CI105"/>
      <c r="CJ105"/>
      <c r="CK105"/>
      <c r="CL105"/>
      <c r="CM105"/>
    </row>
    <row r="106" spans="1:91" s="21" customFormat="1" x14ac:dyDescent="0.25">
      <c r="A106" s="37" t="s">
        <v>594</v>
      </c>
      <c r="B106" s="7">
        <v>4029</v>
      </c>
      <c r="C106" s="22" t="s">
        <v>207</v>
      </c>
      <c r="D106" s="22" t="s">
        <v>236</v>
      </c>
      <c r="E106" s="13">
        <v>42715.650636574072</v>
      </c>
      <c r="F106" s="13">
        <v>42715.652060185188</v>
      </c>
      <c r="G106" s="7">
        <v>1</v>
      </c>
      <c r="H106" s="22" t="s">
        <v>291</v>
      </c>
      <c r="I106" s="13">
        <v>42715.67863425926</v>
      </c>
      <c r="J106" s="7">
        <v>1</v>
      </c>
      <c r="K106" s="109" t="str">
        <f t="shared" si="25"/>
        <v>4029/4030</v>
      </c>
      <c r="L106" s="22" t="str">
        <f>VLOOKUP(A106,'Trips&amp;Operators'!$C$1:$G$99999,5,FALSE)</f>
        <v>BERLING GARY</v>
      </c>
      <c r="M106" s="6">
        <f t="shared" si="26"/>
        <v>2.6574074072414078E-2</v>
      </c>
      <c r="N106" s="7">
        <f t="shared" si="42"/>
        <v>38.266666664276272</v>
      </c>
      <c r="O106" s="7"/>
      <c r="P106" s="7"/>
      <c r="Q106" s="23"/>
      <c r="R106" s="23"/>
      <c r="S106" s="35">
        <f t="shared" si="41"/>
        <v>1</v>
      </c>
      <c r="T106" s="50" t="str">
        <f t="shared" si="27"/>
        <v>NorthBound</v>
      </c>
      <c r="U106" s="171">
        <f>IF(AG106="EC",COUNTIFS(Variables!$M$2:$M$19,IF(T106="NorthBound","&gt;=","&lt;=")&amp;Y106,Variables!$M$2:$M$19,IF(T106="NorthBound","&lt;=","&gt;=")&amp;Z106),COUNTIFS(Variables!$P$2:$P$19,IF(T106="NorthBound","&gt;=","&lt;=")&amp;Y106,Variables!$P$2:$P$19,IF(T106="NorthBound","&lt;=","&gt;=")&amp;Z106))</f>
        <v>12</v>
      </c>
      <c r="V10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14:36:55-700',mode:absolute,to:'2016-12-11 17:17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06" s="52" t="str">
        <f t="shared" si="29"/>
        <v>N</v>
      </c>
      <c r="X106" s="177">
        <f t="shared" si="39"/>
        <v>1</v>
      </c>
      <c r="Y106" s="67">
        <f t="shared" si="30"/>
        <v>4.5999999999999999E-2</v>
      </c>
      <c r="Z106" s="67">
        <f t="shared" si="31"/>
        <v>23.331499999999998</v>
      </c>
      <c r="AA106" s="67">
        <f t="shared" si="32"/>
        <v>23.285499999999999</v>
      </c>
      <c r="AB106" s="64" t="e">
        <f>VLOOKUP(A106,Enforcements!$C$7:$K$20,8,0)</f>
        <v>#N/A</v>
      </c>
      <c r="AC106" s="60" t="e">
        <f>VLOOKUP(A106,Enforcements!$C$7:$E$20,3,0)</f>
        <v>#N/A</v>
      </c>
      <c r="AD106" s="61" t="str">
        <f t="shared" si="33"/>
        <v>0195-11</v>
      </c>
      <c r="AE106" s="91" t="str">
        <f t="shared" si="34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106" s="88" t="str">
        <f t="shared" si="35"/>
        <v>"C:\Program Files (x86)\AstroGrep\AstroGrep.exe" /spath="%USERPROFILE%\AppData\Local\Temp\OnboardLogs" /stypes="app*4029*20161211*" /stext=" 23:.+((SYSTEM_STATE.+slice.+state.+changed )|(ment ac)|(multiple cpu faults)|(system.+state.+changed )|(\[timeout)|(PRM\|1\|D)|(kpr)|(kdp)|(\|lc)|(penalty))" /e /r /s</v>
      </c>
      <c r="AG106" s="1" t="str">
        <f t="shared" si="36"/>
        <v>EC</v>
      </c>
      <c r="AH106" s="92" t="str">
        <f t="shared" si="37"/>
        <v>"%USERPROFILE%\Documents\GitHub\eaglep3\Utilities\RefineRTDCRunTimes.py" --tripid 195-11 --locoid 4029 --swversion DE.1.0.8.0 --startMP 204:460 --initTime 2016-12-11T15:36:55 --startdatetime 2016-12-11T15:38:58 --delay 1 --endMP 204:233315 --enddatetime 2016-12-11T16:17:14 --enforcementcount 1 &gt;&gt;C:\Users\stu\Documents\GitHub\eaglep3-reporting\EC\2016-12-11-refined-times.txt</v>
      </c>
      <c r="AI106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{"issue":{"subject":"","project_id":79,"tracker_id":40,"status_id":1,"priority_id":2,"assigned_to_id":23,"start_date":"2016-12-11","description":"","custom_fields":[{"id":1,"name":"Subdivision","value":"EC"},{"id":4,"name":"Milepost","value":"23.3315"},{"id":17,"name":"Train ID","value":"195-11"},{"id":16,"name":"Locomotive ID","value":"4029"},{"id":130,"name":"Impact","value":""},{"id":150,"name":"Time of Event (Mountain Time)","value":"16:17:14"},{"id":151,"name":"Denver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6" s="53"/>
      <c r="AK106" s="53"/>
      <c r="AL106" s="53"/>
      <c r="AM106"/>
      <c r="AN106"/>
      <c r="AO106"/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  <c r="BH106"/>
      <c r="BI106"/>
      <c r="BJ106"/>
      <c r="BK106"/>
      <c r="BL106"/>
      <c r="BM106"/>
      <c r="BN106"/>
      <c r="BO106"/>
      <c r="BP106"/>
      <c r="BQ106"/>
      <c r="BR106"/>
      <c r="BS106"/>
      <c r="BT106"/>
      <c r="BU106"/>
      <c r="BV106"/>
      <c r="BW106"/>
      <c r="BX106"/>
      <c r="BY106"/>
      <c r="BZ106"/>
      <c r="CA106"/>
      <c r="CB106"/>
      <c r="CC106"/>
      <c r="CD106"/>
      <c r="CE106"/>
      <c r="CF106"/>
      <c r="CG106"/>
      <c r="CH106"/>
      <c r="CI106"/>
      <c r="CJ106"/>
      <c r="CK106"/>
      <c r="CL106"/>
      <c r="CM106"/>
    </row>
    <row r="107" spans="1:91" s="21" customFormat="1" x14ac:dyDescent="0.25">
      <c r="A107" s="37" t="s">
        <v>601</v>
      </c>
      <c r="B107" s="7">
        <v>4030</v>
      </c>
      <c r="C107" s="22" t="s">
        <v>207</v>
      </c>
      <c r="D107" s="22" t="s">
        <v>404</v>
      </c>
      <c r="E107" s="13">
        <v>42715.682997685188</v>
      </c>
      <c r="F107" s="13">
        <v>42715.685185185182</v>
      </c>
      <c r="G107" s="7">
        <v>1</v>
      </c>
      <c r="H107" s="22" t="s">
        <v>350</v>
      </c>
      <c r="I107" s="13">
        <v>42715.717233796298</v>
      </c>
      <c r="J107" s="7">
        <v>1</v>
      </c>
      <c r="K107" s="109" t="str">
        <f t="shared" si="25"/>
        <v>4029/4030</v>
      </c>
      <c r="L107" s="22" t="str">
        <f>VLOOKUP(A107,'Trips&amp;Operators'!$C$1:$G$99999,5,FALSE)</f>
        <v>BERLING GARY</v>
      </c>
      <c r="M107" s="6">
        <f t="shared" si="26"/>
        <v>3.2048611115897074E-2</v>
      </c>
      <c r="N107" s="7">
        <f t="shared" si="42"/>
        <v>46.150000006891787</v>
      </c>
      <c r="O107" s="7"/>
      <c r="P107" s="7"/>
      <c r="Q107" s="23"/>
      <c r="R107" s="23"/>
      <c r="S107" s="35">
        <f t="shared" si="41"/>
        <v>1</v>
      </c>
      <c r="T107" s="50" t="str">
        <f t="shared" si="27"/>
        <v>Southbound</v>
      </c>
      <c r="U107" s="171">
        <f>IF(AG107="EC",COUNTIFS(Variables!$M$2:$M$19,IF(T107="NorthBound","&gt;=","&lt;=")&amp;Y107,Variables!$M$2:$M$19,IF(T107="NorthBound","&lt;=","&gt;=")&amp;Z107),COUNTIFS(Variables!$P$2:$P$19,IF(T107="NorthBound","&gt;=","&lt;=")&amp;Y107,Variables!$P$2:$P$19,IF(T107="NorthBound","&lt;=","&gt;=")&amp;Z107))</f>
        <v>12</v>
      </c>
      <c r="V10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15:23:31-700',mode:absolute,to:'2016-12-11 18:12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07" s="52" t="str">
        <f t="shared" si="29"/>
        <v>N</v>
      </c>
      <c r="X107" s="177">
        <f t="shared" si="39"/>
        <v>1</v>
      </c>
      <c r="Y107" s="67">
        <f t="shared" si="30"/>
        <v>23.3002</v>
      </c>
      <c r="Z107" s="67">
        <f t="shared" si="31"/>
        <v>1.3899999999999999E-2</v>
      </c>
      <c r="AA107" s="67">
        <f t="shared" si="32"/>
        <v>23.286300000000001</v>
      </c>
      <c r="AB107" s="64" t="e">
        <f>VLOOKUP(A107,Enforcements!$C$7:$K$20,8,0)</f>
        <v>#N/A</v>
      </c>
      <c r="AC107" s="60" t="e">
        <f>VLOOKUP(A107,Enforcements!$C$7:$E$20,3,0)</f>
        <v>#N/A</v>
      </c>
      <c r="AD107" s="61" t="str">
        <f t="shared" si="33"/>
        <v>0196-11</v>
      </c>
      <c r="AE107" s="91" t="str">
        <f t="shared" si="34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107" s="88" t="str">
        <f t="shared" si="35"/>
        <v>"C:\Program Files (x86)\AstroGrep\AstroGrep.exe" /spath="%USERPROFILE%\AppData\Local\Temp\OnboardLogs" /stypes="app*4030*20161212*" /stext=" 00:.+((SYSTEM_STATE.+slice.+state.+changed )|(ment ac)|(multiple cpu faults)|(system.+state.+changed )|(\[timeout)|(PRM\|1\|D)|(kpr)|(kdp)|(\|lc)|(penalty))" /e /r /s</v>
      </c>
      <c r="AG107" s="1" t="str">
        <f t="shared" si="36"/>
        <v>EC</v>
      </c>
      <c r="AH107" s="92" t="str">
        <f t="shared" si="37"/>
        <v>"%USERPROFILE%\Documents\GitHub\eaglep3\Utilities\RefineRTDCRunTimes.py" --tripid 196-11 --locoid 4030 --swversion DE.1.0.8.0 --startMP 204:233002 --initTime 2016-12-11T16:23:31 --startdatetime 2016-12-11T16:26:40 --delay 1 --endMP 204:139 --enddatetime 2016-12-11T17:12:49 --enforcementcount 1 &gt;&gt;C:\Users\stu\Documents\GitHub\eaglep3-reporting\EC\2016-12-11-refined-times.txt</v>
      </c>
      <c r="AI107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{"issue":{"subject":"","project_id":79,"tracker_id":40,"status_id":1,"priority_id":2,"assigned_to_id":23,"start_date":"2016-12-11","description":"","custom_fields":[{"id":1,"name":"Subdivision","value":"EC"},{"id":4,"name":"Milepost","value":"0.0139"},{"id":17,"name":"Train ID","value":"196-11"},{"id":16,"name":"Locomotive ID","value":"4030"},{"id":130,"name":"Impact","value":""},{"id":150,"name":"Time of Event (Mountain Time)","value":"17:12:49"},{"id":151,"name":"Denver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7" s="53"/>
      <c r="AK107" s="53"/>
      <c r="AL107" s="53"/>
      <c r="AM107"/>
      <c r="AN107"/>
      <c r="AO107"/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  <c r="BH107"/>
      <c r="BI107"/>
      <c r="BJ107"/>
      <c r="BK107"/>
      <c r="BL107"/>
      <c r="BM107"/>
      <c r="BN107"/>
      <c r="BO107"/>
      <c r="BP107"/>
      <c r="BQ107"/>
      <c r="BR107"/>
      <c r="BS107"/>
      <c r="BT107"/>
      <c r="BU107"/>
      <c r="BV107"/>
      <c r="BW107"/>
      <c r="BX107"/>
      <c r="BY107"/>
      <c r="BZ107"/>
      <c r="CA107"/>
      <c r="CB107"/>
      <c r="CC107"/>
      <c r="CD107"/>
      <c r="CE107"/>
      <c r="CF107"/>
      <c r="CG107"/>
      <c r="CH107"/>
      <c r="CI107"/>
      <c r="CJ107"/>
      <c r="CK107"/>
      <c r="CL107"/>
      <c r="CM107"/>
    </row>
    <row r="108" spans="1:91" s="21" customFormat="1" x14ac:dyDescent="0.25">
      <c r="A108" s="37" t="s">
        <v>596</v>
      </c>
      <c r="B108" s="7">
        <v>4011</v>
      </c>
      <c r="C108" s="22" t="s">
        <v>207</v>
      </c>
      <c r="D108" s="22" t="s">
        <v>286</v>
      </c>
      <c r="E108" s="13">
        <v>42715.657870370371</v>
      </c>
      <c r="F108" s="13">
        <v>42715.660763888889</v>
      </c>
      <c r="G108" s="7">
        <v>2</v>
      </c>
      <c r="H108" s="22" t="s">
        <v>700</v>
      </c>
      <c r="I108" s="13">
        <v>42715.689884259256</v>
      </c>
      <c r="J108" s="7">
        <v>1</v>
      </c>
      <c r="K108" s="109" t="str">
        <f t="shared" si="25"/>
        <v>4011/4012</v>
      </c>
      <c r="L108" s="22" t="str">
        <f>VLOOKUP(A108,'Trips&amp;Operators'!$C$1:$G$99999,5,FALSE)</f>
        <v>MAHAN DUANE</v>
      </c>
      <c r="M108" s="6">
        <f t="shared" si="26"/>
        <v>2.9120370367309079E-2</v>
      </c>
      <c r="N108" s="7">
        <f t="shared" si="42"/>
        <v>41.933333328925073</v>
      </c>
      <c r="O108" s="7"/>
      <c r="P108" s="7"/>
      <c r="Q108" s="23"/>
      <c r="R108" s="23"/>
      <c r="S108" s="35">
        <f t="shared" si="41"/>
        <v>1</v>
      </c>
      <c r="T108" s="50" t="str">
        <f t="shared" si="27"/>
        <v>NorthBound</v>
      </c>
      <c r="U108" s="171">
        <f>IF(AG108="EC",COUNTIFS(Variables!$M$2:$M$19,IF(T108="NorthBound","&gt;=","&lt;=")&amp;Y108,Variables!$M$2:$M$19,IF(T108="NorthBound","&lt;=","&gt;=")&amp;Z108),COUNTIFS(Variables!$P$2:$P$19,IF(T108="NorthBound","&gt;=","&lt;=")&amp;Y108,Variables!$P$2:$P$19,IF(T108="NorthBound","&lt;=","&gt;=")&amp;Z108))</f>
        <v>12</v>
      </c>
      <c r="V10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14:47:20-700',mode:absolute,to:'2016-12-11 17:33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08" s="52" t="str">
        <f t="shared" si="29"/>
        <v>N</v>
      </c>
      <c r="X108" s="177">
        <f t="shared" si="39"/>
        <v>1</v>
      </c>
      <c r="Y108" s="67">
        <f t="shared" si="30"/>
        <v>4.6899999999999997E-2</v>
      </c>
      <c r="Z108" s="67">
        <f t="shared" si="31"/>
        <v>23.3293</v>
      </c>
      <c r="AA108" s="67">
        <f t="shared" si="32"/>
        <v>23.282399999999999</v>
      </c>
      <c r="AB108" s="64" t="e">
        <f>VLOOKUP(A108,Enforcements!$C$7:$K$20,8,0)</f>
        <v>#N/A</v>
      </c>
      <c r="AC108" s="60" t="e">
        <f>VLOOKUP(A108,Enforcements!$C$7:$E$20,3,0)</f>
        <v>#N/A</v>
      </c>
      <c r="AD108" s="61" t="str">
        <f t="shared" si="33"/>
        <v>0197-11</v>
      </c>
      <c r="AE108" s="91" t="str">
        <f t="shared" si="34"/>
        <v>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 &amp; 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</v>
      </c>
      <c r="AF108" s="88" t="str">
        <f t="shared" si="35"/>
        <v>"C:\Program Files (x86)\AstroGrep\AstroGrep.exe" /spath="%USERPROFILE%\AppData\Local\Temp\OnboardLogs" /stypes="app*4011*20161211*" /stext=" 23:.+((SYSTEM_STATE.+slice.+state.+changed )|(ment ac)|(multiple cpu faults)|(system.+state.+changed )|(\[timeout)|(PRM\|1\|D)|(kpr)|(kdp)|(\|lc)|(penalty))" /e /r /s</v>
      </c>
      <c r="AG108" s="1" t="str">
        <f t="shared" si="36"/>
        <v>EC</v>
      </c>
      <c r="AH108" s="92" t="str">
        <f t="shared" si="37"/>
        <v>"%USERPROFILE%\Documents\GitHub\eaglep3\Utilities\RefineRTDCRunTimes.py" --tripid 197-11 --locoid 4011 --swversion DE.1.0.8.0 --startMP 204:469 --initTime 2016-12-11T15:47:20 --startdatetime 2016-12-11T15:51:30 --delay 2 --endMP 204:233293 --enddatetime 2016-12-11T16:33:26 --enforcementcount 1 &gt;&gt;C:\Users\stu\Documents\GitHub\eaglep3-reporting\EC\2016-12-11-refined-times.txt</v>
      </c>
      <c r="AI108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{"issue":{"subject":"","project_id":79,"tracker_id":40,"status_id":1,"priority_id":2,"assigned_to_id":23,"start_date":"2016-12-11","description":"","custom_fields":[{"id":1,"name":"Subdivision","value":"EC"},{"id":4,"name":"Milepost","value":"23.3293"},{"id":17,"name":"Train ID","value":"197-11"},{"id":16,"name":"Locomotive ID","value":"4011"},{"id":130,"name":"Impact","value":""},{"id":150,"name":"Time of Event (Mountain Time)","value":"16:33:26"},{"id":151,"name":"Denver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8" s="53"/>
      <c r="AK108" s="53"/>
      <c r="AL108" s="53"/>
      <c r="AM108"/>
      <c r="AN108"/>
      <c r="AO108"/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  <c r="BH108"/>
      <c r="BI108"/>
      <c r="BJ108"/>
      <c r="BK108"/>
      <c r="BL108"/>
      <c r="BM108"/>
      <c r="BN108"/>
      <c r="BO108"/>
      <c r="BP108"/>
      <c r="BQ108"/>
      <c r="BR108"/>
      <c r="BS108"/>
      <c r="BT108"/>
      <c r="BU108"/>
      <c r="BV108"/>
      <c r="BW108"/>
      <c r="BX108"/>
      <c r="BY108"/>
      <c r="BZ108"/>
      <c r="CA108"/>
      <c r="CB108"/>
      <c r="CC108"/>
      <c r="CD108"/>
      <c r="CE108"/>
      <c r="CF108"/>
      <c r="CG108"/>
      <c r="CH108"/>
      <c r="CI108"/>
      <c r="CJ108"/>
      <c r="CK108"/>
      <c r="CL108"/>
      <c r="CM108"/>
    </row>
    <row r="109" spans="1:91" s="21" customFormat="1" x14ac:dyDescent="0.25">
      <c r="A109" s="37" t="s">
        <v>602</v>
      </c>
      <c r="B109" s="7">
        <v>4012</v>
      </c>
      <c r="C109" s="22" t="s">
        <v>207</v>
      </c>
      <c r="D109" s="22" t="s">
        <v>411</v>
      </c>
      <c r="E109" s="13">
        <v>42715.691250000003</v>
      </c>
      <c r="F109" s="13">
        <v>42715.695520833331</v>
      </c>
      <c r="G109" s="7">
        <v>1</v>
      </c>
      <c r="H109" s="22" t="s">
        <v>773</v>
      </c>
      <c r="I109" s="13">
        <v>42715.730543981481</v>
      </c>
      <c r="J109" s="7">
        <v>1</v>
      </c>
      <c r="K109" s="109" t="str">
        <f t="shared" si="25"/>
        <v>4011/4012</v>
      </c>
      <c r="L109" s="22" t="str">
        <f>VLOOKUP(A109,'Trips&amp;Operators'!$C$1:$G$99999,5,FALSE)</f>
        <v>MAHAN DUANE</v>
      </c>
      <c r="M109" s="6">
        <f t="shared" si="26"/>
        <v>3.5023148149775807E-2</v>
      </c>
      <c r="N109" s="7">
        <f t="shared" si="42"/>
        <v>50.433333335677162</v>
      </c>
      <c r="O109" s="7"/>
      <c r="P109" s="7"/>
      <c r="Q109" s="23"/>
      <c r="R109" s="23"/>
      <c r="S109" s="35">
        <f t="shared" si="41"/>
        <v>1</v>
      </c>
      <c r="T109" s="50" t="str">
        <f t="shared" si="27"/>
        <v>Southbound</v>
      </c>
      <c r="U109" s="171">
        <f>IF(AG109="EC",COUNTIFS(Variables!$M$2:$M$19,IF(T109="NorthBound","&gt;=","&lt;=")&amp;Y109,Variables!$M$2:$M$19,IF(T109="NorthBound","&lt;=","&gt;=")&amp;Z109),COUNTIFS(Variables!$P$2:$P$19,IF(T109="NorthBound","&gt;=","&lt;=")&amp;Y109,Variables!$P$2:$P$19,IF(T109="NorthBound","&lt;=","&gt;=")&amp;Z109))</f>
        <v>12</v>
      </c>
      <c r="V10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15:35:24-700',mode:absolute,to:'2016-12-11 18:31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09" s="52" t="str">
        <f t="shared" si="29"/>
        <v>N</v>
      </c>
      <c r="X109" s="177">
        <f t="shared" si="39"/>
        <v>1</v>
      </c>
      <c r="Y109" s="67">
        <f t="shared" si="30"/>
        <v>23.296099999999999</v>
      </c>
      <c r="Z109" s="67">
        <f t="shared" si="31"/>
        <v>1.72E-2</v>
      </c>
      <c r="AA109" s="67">
        <f t="shared" si="32"/>
        <v>23.2789</v>
      </c>
      <c r="AB109" s="64" t="e">
        <f>VLOOKUP(A109,Enforcements!$C$7:$K$20,8,0)</f>
        <v>#N/A</v>
      </c>
      <c r="AC109" s="60" t="e">
        <f>VLOOKUP(A109,Enforcements!$C$7:$E$20,3,0)</f>
        <v>#N/A</v>
      </c>
      <c r="AD109" s="61" t="str">
        <f t="shared" si="33"/>
        <v>0198-11</v>
      </c>
      <c r="AE109" s="91" t="str">
        <f t="shared" si="34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109" s="88" t="str">
        <f t="shared" si="35"/>
        <v>"C:\Program Files (x86)\AstroGrep\AstroGrep.exe" /spath="%USERPROFILE%\AppData\Local\Temp\OnboardLogs" /stypes="app*4012*20161212*" /stext=" 00:.+((SYSTEM_STATE.+slice.+state.+changed )|(ment ac)|(multiple cpu faults)|(system.+state.+changed )|(\[timeout)|(PRM\|1\|D)|(kpr)|(kdp)|(\|lc)|(penalty))" /e /r /s</v>
      </c>
      <c r="AG109" s="1" t="str">
        <f t="shared" si="36"/>
        <v>EC</v>
      </c>
      <c r="AH109" s="92" t="str">
        <f t="shared" si="37"/>
        <v>"%USERPROFILE%\Documents\GitHub\eaglep3\Utilities\RefineRTDCRunTimes.py" --tripid 198-11 --locoid 4012 --swversion DE.1.0.8.0 --startMP 204:232961 --initTime 2016-12-11T16:35:24 --startdatetime 2016-12-11T16:41:33 --delay 1 --endMP 204:172 --enddatetime 2016-12-11T17:31:59 --enforcementcount 1 &gt;&gt;C:\Users\stu\Documents\GitHub\eaglep3-reporting\EC\2016-12-11-refined-times.txt</v>
      </c>
      <c r="AI109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{"issue":{"subject":"","project_id":79,"tracker_id":40,"status_id":1,"priority_id":2,"assigned_to_id":23,"start_date":"2016-12-11","description":"","custom_fields":[{"id":1,"name":"Subdivision","value":"EC"},{"id":4,"name":"Milepost","value":"0.0172"},{"id":17,"name":"Train ID","value":"198-11"},{"id":16,"name":"Locomotive ID","value":"4012"},{"id":130,"name":"Impact","value":""},{"id":150,"name":"Time of Event (Mountain Time)","value":"17:31:59"},{"id":151,"name":"Denver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09" s="53"/>
      <c r="AK109" s="53"/>
      <c r="AL109" s="53"/>
      <c r="AM109"/>
      <c r="AN109"/>
      <c r="AO109"/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  <c r="BH109"/>
      <c r="BI109"/>
      <c r="BJ109"/>
      <c r="BK109"/>
      <c r="BL109"/>
      <c r="BM109"/>
      <c r="BN109"/>
      <c r="BO109"/>
      <c r="BP109"/>
      <c r="BQ109"/>
      <c r="BR109"/>
      <c r="BS109"/>
      <c r="BT109"/>
      <c r="BU109"/>
      <c r="BV109"/>
      <c r="BW109"/>
      <c r="BX109"/>
      <c r="BY109"/>
      <c r="BZ109"/>
      <c r="CA109"/>
      <c r="CB109"/>
      <c r="CC109"/>
      <c r="CD109"/>
      <c r="CE109"/>
      <c r="CF109"/>
      <c r="CG109"/>
      <c r="CH109"/>
      <c r="CI109"/>
      <c r="CJ109"/>
      <c r="CK109"/>
      <c r="CL109"/>
      <c r="CM109"/>
    </row>
    <row r="110" spans="1:91" s="21" customFormat="1" x14ac:dyDescent="0.25">
      <c r="A110" s="37" t="s">
        <v>598</v>
      </c>
      <c r="B110" s="7">
        <v>4044</v>
      </c>
      <c r="C110" s="22" t="s">
        <v>207</v>
      </c>
      <c r="D110" s="22" t="s">
        <v>715</v>
      </c>
      <c r="E110" s="13">
        <v>42715.668113425927</v>
      </c>
      <c r="F110" s="13">
        <v>42715.669606481482</v>
      </c>
      <c r="G110" s="7">
        <v>1</v>
      </c>
      <c r="H110" s="22" t="s">
        <v>716</v>
      </c>
      <c r="I110" s="13">
        <v>42715.695717592593</v>
      </c>
      <c r="J110" s="7">
        <v>1</v>
      </c>
      <c r="K110" s="109" t="str">
        <f t="shared" si="25"/>
        <v>4043/4044</v>
      </c>
      <c r="L110" s="22" t="str">
        <f>VLOOKUP(A110,'Trips&amp;Operators'!$C$1:$G$99999,5,FALSE)</f>
        <v>SHOOK JOHN</v>
      </c>
      <c r="M110" s="6">
        <f t="shared" si="26"/>
        <v>2.6111111110367347E-2</v>
      </c>
      <c r="N110" s="7">
        <f t="shared" si="42"/>
        <v>37.599999998928979</v>
      </c>
      <c r="O110" s="7"/>
      <c r="P110" s="7"/>
      <c r="Q110" s="23"/>
      <c r="R110" s="23"/>
      <c r="S110" s="35">
        <f t="shared" si="41"/>
        <v>1</v>
      </c>
      <c r="T110" s="50" t="str">
        <f t="shared" si="27"/>
        <v>NorthBound</v>
      </c>
      <c r="U110" s="171">
        <f>IF(AG110="EC",COUNTIFS(Variables!$M$2:$M$19,IF(T110="NorthBound","&gt;=","&lt;=")&amp;Y110,Variables!$M$2:$M$19,IF(T110="NorthBound","&lt;=","&gt;=")&amp;Z110),COUNTIFS(Variables!$P$2:$P$19,IF(T110="NorthBound","&gt;=","&lt;=")&amp;Y110,Variables!$P$2:$P$19,IF(T110="NorthBound","&lt;=","&gt;=")&amp;Z110))</f>
        <v>12</v>
      </c>
      <c r="V11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15:02:05-700',mode:absolute,to:'2016-12-11 17:41:50-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10" s="52" t="str">
        <f t="shared" si="29"/>
        <v>N</v>
      </c>
      <c r="X110" s="177">
        <f t="shared" si="39"/>
        <v>1</v>
      </c>
      <c r="Y110" s="67">
        <f t="shared" si="30"/>
        <v>4.3499999999999997E-2</v>
      </c>
      <c r="Z110" s="67">
        <f t="shared" si="31"/>
        <v>23.331399999999999</v>
      </c>
      <c r="AA110" s="67">
        <f t="shared" si="32"/>
        <v>23.287899999999997</v>
      </c>
      <c r="AB110" s="64" t="e">
        <f>VLOOKUP(A110,Enforcements!$C$7:$K$20,8,0)</f>
        <v>#N/A</v>
      </c>
      <c r="AC110" s="60" t="e">
        <f>VLOOKUP(A110,Enforcements!$C$7:$E$20,3,0)</f>
        <v>#N/A</v>
      </c>
      <c r="AD110" s="61" t="str">
        <f t="shared" si="33"/>
        <v>0199-11</v>
      </c>
      <c r="AE110" s="91" t="str">
        <f t="shared" si="34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110" s="88" t="str">
        <f t="shared" si="35"/>
        <v>"C:\Program Files (x86)\AstroGrep\AstroGrep.exe" /spath="%USERPROFILE%\AppData\Local\Temp\OnboardLogs" /stypes="app*4044*20161211*" /stext=" 23:.+((SYSTEM_STATE.+slice.+state.+changed )|(ment ac)|(multiple cpu faults)|(system.+state.+changed )|(\[timeout)|(PRM\|1\|D)|(kpr)|(kdp)|(\|lc)|(penalty))" /e /r /s</v>
      </c>
      <c r="AG110" s="1" t="str">
        <f t="shared" si="36"/>
        <v>EC</v>
      </c>
      <c r="AH110" s="92" t="str">
        <f t="shared" si="37"/>
        <v>"%USERPROFILE%\Documents\GitHub\eaglep3\Utilities\RefineRTDCRunTimes.py" --tripid 199-11 --locoid 4044 --swversion DE.1.0.8.0 --startMP 204:435 --initTime 2016-12-11T16:02:05 --startdatetime 2016-12-11T16:04:14 --delay 1 --endMP 204:233314 --enddatetime 2016-12-11T16:41:50 --enforcementcount 1 &gt;&gt;C:\Users\stu\Documents\GitHub\eaglep3-reporting\EC\2016-12-11-refined-times.txt</v>
      </c>
      <c r="AI110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{"issue":{"subject":"","project_id":79,"tracker_id":40,"status_id":1,"priority_id":2,"assigned_to_id":23,"start_date":"2016-12-11","description":"","custom_fields":[{"id":1,"name":"Subdivision","value":"EC"},{"id":4,"name":"Milepost","value":"23.3314"},{"id":17,"name":"Train ID","value":"199-11"},{"id":16,"name":"Locomotive ID","value":"4044"},{"id":130,"name":"Impact","value":""},{"id":150,"name":"Time of Event (Mountain Time)","value":"16:41:50"},{"id":151,"name":"Denver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0" s="53"/>
      <c r="AK110" s="53"/>
      <c r="AL110" s="53"/>
      <c r="AM110"/>
      <c r="AN110"/>
      <c r="AO110"/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  <c r="BH110"/>
      <c r="BI110"/>
      <c r="BJ110"/>
      <c r="BK110"/>
      <c r="BL110"/>
      <c r="BM110"/>
      <c r="BN110"/>
      <c r="BO110"/>
      <c r="BP110"/>
      <c r="BQ110"/>
      <c r="BR110"/>
      <c r="BS110"/>
      <c r="BT110"/>
      <c r="BU110"/>
      <c r="BV110"/>
      <c r="BW110"/>
      <c r="BX110"/>
      <c r="BY110"/>
      <c r="BZ110"/>
      <c r="CA110"/>
      <c r="CB110"/>
      <c r="CC110"/>
      <c r="CD110"/>
      <c r="CE110"/>
      <c r="CF110"/>
      <c r="CG110"/>
      <c r="CH110"/>
      <c r="CI110"/>
      <c r="CJ110"/>
      <c r="CK110"/>
      <c r="CL110"/>
      <c r="CM110"/>
    </row>
    <row r="111" spans="1:91" s="21" customFormat="1" x14ac:dyDescent="0.25">
      <c r="A111" s="37" t="s">
        <v>604</v>
      </c>
      <c r="B111" s="7">
        <v>4043</v>
      </c>
      <c r="C111" s="22" t="s">
        <v>207</v>
      </c>
      <c r="D111" s="22" t="s">
        <v>398</v>
      </c>
      <c r="E111" s="13">
        <v>42715.702905092592</v>
      </c>
      <c r="F111" s="13">
        <v>42715.705787037034</v>
      </c>
      <c r="G111" s="7">
        <v>1</v>
      </c>
      <c r="H111" s="22" t="s">
        <v>227</v>
      </c>
      <c r="I111" s="13">
        <v>42715.739618055559</v>
      </c>
      <c r="J111" s="7">
        <v>1</v>
      </c>
      <c r="K111" s="109" t="str">
        <f t="shared" si="25"/>
        <v>4043/4044</v>
      </c>
      <c r="L111" s="22" t="str">
        <f>VLOOKUP(A111,'Trips&amp;Operators'!$C$1:$G$99999,5,FALSE)</f>
        <v>SHOOK JOHN</v>
      </c>
      <c r="M111" s="6">
        <f t="shared" si="26"/>
        <v>3.3831018525233958E-2</v>
      </c>
      <c r="N111" s="7">
        <f t="shared" si="42"/>
        <v>48.716666676336899</v>
      </c>
      <c r="O111" s="7"/>
      <c r="P111" s="7"/>
      <c r="Q111" s="23"/>
      <c r="R111" s="23"/>
      <c r="S111" s="35">
        <f t="shared" si="41"/>
        <v>1</v>
      </c>
      <c r="T111" s="50" t="str">
        <f t="shared" si="27"/>
        <v>Southbound</v>
      </c>
      <c r="U111" s="171">
        <f>IF(AG111="EC",COUNTIFS(Variables!$M$2:$M$19,IF(T111="NorthBound","&gt;=","&lt;=")&amp;Y111,Variables!$M$2:$M$19,IF(T111="NorthBound","&lt;=","&gt;=")&amp;Z111),COUNTIFS(Variables!$P$2:$P$19,IF(T111="NorthBound","&gt;=","&lt;=")&amp;Y111,Variables!$P$2:$P$19,IF(T111="NorthBound","&lt;=","&gt;=")&amp;Z111))</f>
        <v>12</v>
      </c>
      <c r="V11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15:52:11-700',mode:absolute,to:'2016-12-11 18:45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11" s="52" t="str">
        <f t="shared" si="29"/>
        <v>N</v>
      </c>
      <c r="X111" s="177">
        <f t="shared" si="39"/>
        <v>1</v>
      </c>
      <c r="Y111" s="67">
        <f t="shared" si="30"/>
        <v>23.300599999999999</v>
      </c>
      <c r="Z111" s="67">
        <f t="shared" si="31"/>
        <v>1.41E-2</v>
      </c>
      <c r="AA111" s="67">
        <f t="shared" si="32"/>
        <v>23.2865</v>
      </c>
      <c r="AB111" s="64" t="e">
        <f>VLOOKUP(A111,Enforcements!$C$7:$K$20,8,0)</f>
        <v>#N/A</v>
      </c>
      <c r="AC111" s="60" t="e">
        <f>VLOOKUP(A111,Enforcements!$C$7:$E$20,3,0)</f>
        <v>#N/A</v>
      </c>
      <c r="AD111" s="61" t="str">
        <f t="shared" si="33"/>
        <v>0200-11</v>
      </c>
      <c r="AE111" s="91" t="str">
        <f t="shared" si="34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111" s="88" t="str">
        <f t="shared" si="35"/>
        <v>"C:\Program Files (x86)\AstroGrep\AstroGrep.exe" /spath="%USERPROFILE%\AppData\Local\Temp\OnboardLogs" /stypes="app*4043*20161212*" /stext=" 00:.+((SYSTEM_STATE.+slice.+state.+changed )|(ment ac)|(multiple cpu faults)|(system.+state.+changed )|(\[timeout)|(PRM\|1\|D)|(kpr)|(kdp)|(\|lc)|(penalty))" /e /r /s</v>
      </c>
      <c r="AG111" s="1" t="str">
        <f t="shared" si="36"/>
        <v>EC</v>
      </c>
      <c r="AH111" s="92" t="str">
        <f t="shared" si="37"/>
        <v>"%USERPROFILE%\Documents\GitHub\eaglep3\Utilities\RefineRTDCRunTimes.py" --tripid 200-11 --locoid 4043 --swversion DE.1.0.8.0 --startMP 204:233006 --initTime 2016-12-11T16:52:11 --startdatetime 2016-12-11T16:56:20 --delay 1 --endMP 204:141 --enddatetime 2016-12-11T17:45:03 --enforcementcount 1 &gt;&gt;C:\Users\stu\Documents\GitHub\eaglep3-reporting\EC\2016-12-11-refined-times.txt</v>
      </c>
      <c r="AI111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{"issue":{"subject":"","project_id":79,"tracker_id":40,"status_id":1,"priority_id":2,"assigned_to_id":23,"start_date":"2016-12-11","description":"","custom_fields":[{"id":1,"name":"Subdivision","value":"EC"},{"id":4,"name":"Milepost","value":"0.0141"},{"id":17,"name":"Train ID","value":"200-11"},{"id":16,"name":"Locomotive ID","value":"4043"},{"id":130,"name":"Impact","value":""},{"id":150,"name":"Time of Event (Mountain Time)","value":"17:45:03"},{"id":151,"name":"Denver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1" s="53"/>
      <c r="AK111" s="53"/>
      <c r="AL111" s="53"/>
      <c r="AM111"/>
      <c r="AN111"/>
      <c r="AO111"/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  <c r="BH111"/>
      <c r="BI111"/>
      <c r="BJ111"/>
      <c r="BK111"/>
      <c r="BL111"/>
      <c r="BM111"/>
      <c r="BN111"/>
      <c r="BO111"/>
      <c r="BP111"/>
      <c r="BQ111"/>
      <c r="BR111"/>
      <c r="BS111"/>
      <c r="BT111"/>
      <c r="BU111"/>
      <c r="BV111"/>
      <c r="BW111"/>
      <c r="BX111"/>
      <c r="BY111"/>
      <c r="BZ111"/>
      <c r="CA111"/>
      <c r="CB111"/>
      <c r="CC111"/>
      <c r="CD111"/>
      <c r="CE111"/>
      <c r="CF111"/>
      <c r="CG111"/>
      <c r="CH111"/>
      <c r="CI111"/>
      <c r="CJ111"/>
      <c r="CK111"/>
      <c r="CL111"/>
      <c r="CM111"/>
    </row>
    <row r="112" spans="1:91" s="21" customFormat="1" x14ac:dyDescent="0.25">
      <c r="A112" s="37" t="s">
        <v>600</v>
      </c>
      <c r="B112" s="7">
        <v>4009</v>
      </c>
      <c r="C112" s="22" t="s">
        <v>207</v>
      </c>
      <c r="D112" s="22" t="s">
        <v>708</v>
      </c>
      <c r="E112" s="13">
        <v>42715.677604166667</v>
      </c>
      <c r="F112" s="13">
        <v>42715.679224537038</v>
      </c>
      <c r="G112" s="7">
        <v>1</v>
      </c>
      <c r="H112" s="22" t="s">
        <v>422</v>
      </c>
      <c r="I112" s="13">
        <v>42715.705694444441</v>
      </c>
      <c r="J112" s="7">
        <v>1</v>
      </c>
      <c r="K112" s="109" t="str">
        <f t="shared" si="25"/>
        <v>4009/4010</v>
      </c>
      <c r="L112" s="22" t="str">
        <f>VLOOKUP(A112,'Trips&amp;Operators'!$C$1:$G$99999,5,FALSE)</f>
        <v>STEWART MICHAEL</v>
      </c>
      <c r="M112" s="6">
        <f t="shared" si="26"/>
        <v>2.6469907403225079E-2</v>
      </c>
      <c r="N112" s="7">
        <f t="shared" si="42"/>
        <v>38.116666660644114</v>
      </c>
      <c r="O112" s="7"/>
      <c r="P112" s="7"/>
      <c r="Q112" s="23"/>
      <c r="R112" s="23"/>
      <c r="S112" s="35">
        <f t="shared" si="41"/>
        <v>1</v>
      </c>
      <c r="T112" s="50" t="str">
        <f t="shared" si="27"/>
        <v>NorthBound</v>
      </c>
      <c r="U112" s="171">
        <f>IF(AG112="EC",COUNTIFS(Variables!$M$2:$M$19,IF(T112="NorthBound","&gt;=","&lt;=")&amp;Y112,Variables!$M$2:$M$19,IF(T112="NorthBound","&lt;=","&gt;=")&amp;Z112),COUNTIFS(Variables!$P$2:$P$19,IF(T112="NorthBound","&gt;=","&lt;=")&amp;Y112,Variables!$P$2:$P$19,IF(T112="NorthBound","&lt;=","&gt;=")&amp;Z112))</f>
        <v>12</v>
      </c>
      <c r="V11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15:15:45-700',mode:absolute,to:'2016-12-11 17:56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12" s="52" t="str">
        <f t="shared" si="29"/>
        <v>N</v>
      </c>
      <c r="X112" s="177">
        <f t="shared" si="39"/>
        <v>1</v>
      </c>
      <c r="Y112" s="67">
        <f t="shared" si="30"/>
        <v>4.4900000000000002E-2</v>
      </c>
      <c r="Z112" s="67">
        <f t="shared" si="31"/>
        <v>23.328800000000001</v>
      </c>
      <c r="AA112" s="67">
        <f t="shared" si="32"/>
        <v>23.283900000000003</v>
      </c>
      <c r="AB112" s="64" t="e">
        <f>VLOOKUP(A112,Enforcements!$C$7:$K$20,8,0)</f>
        <v>#N/A</v>
      </c>
      <c r="AC112" s="60" t="e">
        <f>VLOOKUP(A112,Enforcements!$C$7:$E$20,3,0)</f>
        <v>#N/A</v>
      </c>
      <c r="AD112" s="61" t="str">
        <f t="shared" si="33"/>
        <v>0201-11</v>
      </c>
      <c r="AE112" s="91" t="str">
        <f t="shared" si="34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112" s="88" t="str">
        <f t="shared" si="35"/>
        <v>"C:\Program Files (x86)\AstroGrep\AstroGrep.exe" /spath="%USERPROFILE%\AppData\Local\Temp\OnboardLogs" /stypes="app*4009*20161211*" /stext=" 23:.+((SYSTEM_STATE.+slice.+state.+changed )|(ment ac)|(multiple cpu faults)|(system.+state.+changed )|(\[timeout)|(PRM\|1\|D)|(kpr)|(kdp)|(\|lc)|(penalty))" /e /r /s</v>
      </c>
      <c r="AG112" s="1" t="str">
        <f t="shared" si="36"/>
        <v>EC</v>
      </c>
      <c r="AH112" s="92" t="str">
        <f t="shared" si="37"/>
        <v>"%USERPROFILE%\Documents\GitHub\eaglep3\Utilities\RefineRTDCRunTimes.py" --tripid 201-11 --locoid 4009 --swversion DE.1.0.8.0 --startMP 204:449 --initTime 2016-12-11T16:15:45 --startdatetime 2016-12-11T16:18:05 --delay 1 --endMP 204:233288 --enddatetime 2016-12-11T16:56:12 --enforcementcount 1 &gt;&gt;C:\Users\stu\Documents\GitHub\eaglep3-reporting\EC\2016-12-11-refined-times.txt</v>
      </c>
      <c r="AI112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{"issue":{"subject":"","project_id":79,"tracker_id":40,"status_id":1,"priority_id":2,"assigned_to_id":23,"start_date":"2016-12-11","description":"","custom_fields":[{"id":1,"name":"Subdivision","value":"EC"},{"id":4,"name":"Milepost","value":"23.3288"},{"id":17,"name":"Train ID","value":"201-11"},{"id":16,"name":"Locomotive ID","value":"4009"},{"id":130,"name":"Impact","value":""},{"id":150,"name":"Time of Event (Mountain Time)","value":"16:56:12"},{"id":151,"name":"Denver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2" s="53"/>
      <c r="AK112" s="53"/>
      <c r="AL112" s="53"/>
      <c r="AM112"/>
      <c r="AN112"/>
      <c r="AO112"/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  <c r="BH112"/>
      <c r="BI112"/>
      <c r="BJ112"/>
      <c r="BK112"/>
      <c r="BL112"/>
      <c r="BM112"/>
      <c r="BN112"/>
      <c r="BO112"/>
      <c r="BP112"/>
      <c r="BQ112"/>
      <c r="BR112"/>
      <c r="BS112"/>
      <c r="BT112"/>
      <c r="BU112"/>
      <c r="BV112"/>
      <c r="BW112"/>
      <c r="BX112"/>
      <c r="BY112"/>
      <c r="BZ112"/>
      <c r="CA112"/>
      <c r="CB112"/>
      <c r="CC112"/>
      <c r="CD112"/>
      <c r="CE112"/>
      <c r="CF112"/>
      <c r="CG112"/>
      <c r="CH112"/>
      <c r="CI112"/>
      <c r="CJ112"/>
      <c r="CK112"/>
      <c r="CL112"/>
      <c r="CM112"/>
    </row>
    <row r="113" spans="1:91" s="21" customFormat="1" x14ac:dyDescent="0.25">
      <c r="A113" s="37" t="s">
        <v>474</v>
      </c>
      <c r="B113" s="7">
        <v>4010</v>
      </c>
      <c r="C113" s="22" t="s">
        <v>207</v>
      </c>
      <c r="D113" s="22" t="s">
        <v>349</v>
      </c>
      <c r="E113" s="13">
        <v>42715.71266203704</v>
      </c>
      <c r="F113" s="13">
        <v>42715.718009259261</v>
      </c>
      <c r="G113" s="7">
        <v>1</v>
      </c>
      <c r="H113" s="22" t="s">
        <v>423</v>
      </c>
      <c r="I113" s="13">
        <v>42715.752002314817</v>
      </c>
      <c r="J113" s="7">
        <v>1</v>
      </c>
      <c r="K113" s="109" t="str">
        <f t="shared" si="25"/>
        <v>4009/4010</v>
      </c>
      <c r="L113" s="22" t="str">
        <f>VLOOKUP(A113,'Trips&amp;Operators'!$C$1:$G$99999,5,FALSE)</f>
        <v>STEWART MICHAEL</v>
      </c>
      <c r="M113" s="6">
        <f t="shared" si="26"/>
        <v>3.3993055556493346E-2</v>
      </c>
      <c r="N113" s="7">
        <f t="shared" si="42"/>
        <v>48.950000001350418</v>
      </c>
      <c r="O113" s="7"/>
      <c r="P113" s="7"/>
      <c r="Q113" s="23"/>
      <c r="R113" s="23"/>
      <c r="S113" s="35">
        <f t="shared" si="41"/>
        <v>1</v>
      </c>
      <c r="T113" s="50" t="str">
        <f t="shared" si="27"/>
        <v>Southbound</v>
      </c>
      <c r="U113" s="171">
        <f>IF(AG113="EC",COUNTIFS(Variables!$M$2:$M$19,IF(T113="NorthBound","&gt;=","&lt;=")&amp;Y113,Variables!$M$2:$M$19,IF(T113="NorthBound","&lt;=","&gt;=")&amp;Z113),COUNTIFS(Variables!$P$2:$P$19,IF(T113="NorthBound","&gt;=","&lt;=")&amp;Y113,Variables!$P$2:$P$19,IF(T113="NorthBound","&lt;=","&gt;=")&amp;Z113))</f>
        <v>12</v>
      </c>
      <c r="V11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16:06:14-700',mode:absolute,to:'2016-12-11 19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13" s="52" t="str">
        <f t="shared" si="29"/>
        <v>N</v>
      </c>
      <c r="X113" s="177">
        <f t="shared" si="39"/>
        <v>1</v>
      </c>
      <c r="Y113" s="67">
        <f t="shared" si="30"/>
        <v>23.2971</v>
      </c>
      <c r="Z113" s="67">
        <f t="shared" si="31"/>
        <v>1.6E-2</v>
      </c>
      <c r="AA113" s="67">
        <f t="shared" si="32"/>
        <v>23.281100000000002</v>
      </c>
      <c r="AB113" s="64" t="e">
        <f>VLOOKUP(A113,Enforcements!$C$7:$K$20,8,0)</f>
        <v>#N/A</v>
      </c>
      <c r="AC113" s="60" t="e">
        <f>VLOOKUP(A113,Enforcements!$C$7:$E$20,3,0)</f>
        <v>#N/A</v>
      </c>
      <c r="AD113" s="61" t="str">
        <f t="shared" si="33"/>
        <v>0202-11</v>
      </c>
      <c r="AE113" s="91" t="str">
        <f t="shared" si="34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113" s="88" t="str">
        <f t="shared" si="35"/>
        <v>"C:\Program Files (x86)\AstroGrep\AstroGrep.exe" /spath="%USERPROFILE%\AppData\Local\Temp\OnboardLogs" /stypes="app*4010*20161212*" /stext=" 01:.+((SYSTEM_STATE.+slice.+state.+changed )|(ment ac)|(multiple cpu faults)|(system.+state.+changed )|(\[timeout)|(PRM\|1\|D)|(kpr)|(kdp)|(\|lc)|(penalty))" /e /r /s</v>
      </c>
      <c r="AG113" s="1" t="str">
        <f t="shared" si="36"/>
        <v>EC</v>
      </c>
      <c r="AH113" s="92" t="str">
        <f t="shared" si="37"/>
        <v>"%USERPROFILE%\Documents\GitHub\eaglep3\Utilities\RefineRTDCRunTimes.py" --tripid 202-11 --locoid 4010 --swversion DE.1.0.8.0 --startMP 204:232971 --initTime 2016-12-11T17:06:14 --startdatetime 2016-12-11T17:13:56 --delay 1 --endMP 204:160 --enddatetime 2016-12-11T18:02:53 --enforcementcount 1 &gt;&gt;C:\Users\stu\Documents\GitHub\eaglep3-reporting\EC\2016-12-11-refined-times.txt</v>
      </c>
      <c r="AI113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{"issue":{"subject":"","project_id":79,"tracker_id":40,"status_id":1,"priority_id":2,"assigned_to_id":23,"start_date":"2016-12-11","description":"","custom_fields":[{"id":1,"name":"Subdivision","value":"EC"},{"id":4,"name":"Milepost","value":"0.016"},{"id":17,"name":"Train ID","value":"202-11"},{"id":16,"name":"Locomotive ID","value":"4010"},{"id":130,"name":"Impact","value":""},{"id":150,"name":"Time of Event (Mountain Time)","value":"18:02:53"},{"id":151,"name":"Denver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3" s="53"/>
      <c r="AK113" s="53"/>
      <c r="AL113" s="53"/>
      <c r="AM113"/>
      <c r="AN113"/>
      <c r="AO113"/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  <c r="BH113"/>
      <c r="BI113"/>
      <c r="BJ113"/>
      <c r="BK113"/>
      <c r="BL113"/>
      <c r="BM113"/>
      <c r="BN113"/>
      <c r="BO113"/>
      <c r="BP113"/>
      <c r="BQ113"/>
      <c r="BR113"/>
      <c r="BS113"/>
      <c r="BT113"/>
      <c r="BU113"/>
      <c r="BV113"/>
      <c r="BW113"/>
      <c r="BX113"/>
      <c r="BY113"/>
      <c r="BZ113"/>
      <c r="CA113"/>
      <c r="CB113"/>
      <c r="CC113"/>
      <c r="CD113"/>
      <c r="CE113"/>
      <c r="CF113"/>
      <c r="CG113"/>
      <c r="CH113"/>
      <c r="CI113"/>
      <c r="CJ113"/>
      <c r="CK113"/>
      <c r="CL113"/>
      <c r="CM113"/>
    </row>
    <row r="114" spans="1:91" s="21" customFormat="1" x14ac:dyDescent="0.25">
      <c r="A114" s="37" t="s">
        <v>473</v>
      </c>
      <c r="B114" s="7">
        <v>4042</v>
      </c>
      <c r="C114" s="22" t="s">
        <v>207</v>
      </c>
      <c r="D114" s="22" t="s">
        <v>286</v>
      </c>
      <c r="E114" s="13">
        <v>42715.688726851855</v>
      </c>
      <c r="F114" s="13">
        <v>42715.689988425926</v>
      </c>
      <c r="G114" s="7">
        <v>1</v>
      </c>
      <c r="H114" s="22" t="s">
        <v>774</v>
      </c>
      <c r="I114" s="13">
        <v>42715.718043981484</v>
      </c>
      <c r="J114" s="7">
        <v>1</v>
      </c>
      <c r="K114" s="109" t="str">
        <f t="shared" si="25"/>
        <v>4041/4042</v>
      </c>
      <c r="L114" s="22" t="str">
        <f>VLOOKUP(A114,'Trips&amp;Operators'!$C$1:$G$99999,5,FALSE)</f>
        <v>BARTLETT KIANDRA</v>
      </c>
      <c r="M114" s="6">
        <f t="shared" si="26"/>
        <v>2.8055555558239575E-2</v>
      </c>
      <c r="N114" s="7">
        <f t="shared" si="42"/>
        <v>40.400000003864989</v>
      </c>
      <c r="O114" s="7"/>
      <c r="P114" s="7"/>
      <c r="Q114" s="23"/>
      <c r="R114" s="23"/>
      <c r="S114" s="35">
        <f t="shared" si="41"/>
        <v>1</v>
      </c>
      <c r="T114" s="50" t="str">
        <f t="shared" si="27"/>
        <v>NorthBound</v>
      </c>
      <c r="U114" s="171">
        <f>IF(AG114="EC",COUNTIFS(Variables!$M$2:$M$19,IF(T114="NorthBound","&gt;=","&lt;=")&amp;Y114,Variables!$M$2:$M$19,IF(T114="NorthBound","&lt;=","&gt;=")&amp;Z114),COUNTIFS(Variables!$P$2:$P$19,IF(T114="NorthBound","&gt;=","&lt;=")&amp;Y114,Variables!$P$2:$P$19,IF(T114="NorthBound","&lt;=","&gt;=")&amp;Z114))</f>
        <v>12</v>
      </c>
      <c r="V11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15:31:46-700',mode:absolute,to:'2016-12-11 18:13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14" s="52" t="str">
        <f t="shared" si="29"/>
        <v>N</v>
      </c>
      <c r="X114" s="177">
        <f t="shared" si="39"/>
        <v>1</v>
      </c>
      <c r="Y114" s="67">
        <f t="shared" si="30"/>
        <v>4.6899999999999997E-2</v>
      </c>
      <c r="Z114" s="67">
        <f t="shared" si="31"/>
        <v>23.333600000000001</v>
      </c>
      <c r="AA114" s="67">
        <f t="shared" si="32"/>
        <v>23.2867</v>
      </c>
      <c r="AB114" s="64" t="e">
        <f>VLOOKUP(A114,Enforcements!$C$7:$K$20,8,0)</f>
        <v>#N/A</v>
      </c>
      <c r="AC114" s="60" t="e">
        <f>VLOOKUP(A114,Enforcements!$C$7:$E$20,3,0)</f>
        <v>#N/A</v>
      </c>
      <c r="AD114" s="61" t="str">
        <f t="shared" si="33"/>
        <v>0203-11</v>
      </c>
      <c r="AE114" s="91" t="str">
        <f t="shared" si="34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114" s="88" t="str">
        <f t="shared" si="35"/>
        <v>"C:\Program Files (x86)\AstroGrep\AstroGrep.exe" /spath="%USERPROFILE%\AppData\Local\Temp\OnboardLogs" /stypes="app*4042*20161212*" /stext=" 00:.+((SYSTEM_STATE.+slice.+state.+changed )|(ment ac)|(multiple cpu faults)|(system.+state.+changed )|(\[timeout)|(PRM\|1\|D)|(kpr)|(kdp)|(\|lc)|(penalty))" /e /r /s</v>
      </c>
      <c r="AG114" s="1" t="str">
        <f t="shared" si="36"/>
        <v>EC</v>
      </c>
      <c r="AH114" s="92" t="str">
        <f t="shared" si="37"/>
        <v>"%USERPROFILE%\Documents\GitHub\eaglep3\Utilities\RefineRTDCRunTimes.py" --tripid 203-11 --locoid 4042 --swversion DE.1.0.8.0 --startMP 204:469 --initTime 2016-12-11T16:31:46 --startdatetime 2016-12-11T16:33:35 --delay 1 --endMP 204:233336 --enddatetime 2016-12-11T17:13:59 --enforcementcount 1 &gt;&gt;C:\Users\stu\Documents\GitHub\eaglep3-reporting\EC\2016-12-11-refined-times.txt</v>
      </c>
      <c r="AI114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{"issue":{"subject":"","project_id":79,"tracker_id":40,"status_id":1,"priority_id":2,"assigned_to_id":23,"start_date":"2016-12-11","description":"","custom_fields":[{"id":1,"name":"Subdivision","value":"EC"},{"id":4,"name":"Milepost","value":"23.3336"},{"id":17,"name":"Train ID","value":"203-11"},{"id":16,"name":"Locomotive ID","value":"4042"},{"id":130,"name":"Impact","value":""},{"id":150,"name":"Time of Event (Mountain Time)","value":"17:13:59"},{"id":151,"name":"Denver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4" s="53"/>
      <c r="AK114" s="53"/>
      <c r="AL114" s="53"/>
      <c r="AM114"/>
      <c r="AN114"/>
      <c r="AO114"/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  <c r="BH114"/>
      <c r="BI114"/>
      <c r="BJ114"/>
      <c r="BK114"/>
      <c r="BL114"/>
      <c r="BM114"/>
      <c r="BN114"/>
      <c r="BO114"/>
      <c r="BP114"/>
      <c r="BQ114"/>
      <c r="BR114"/>
      <c r="BS114"/>
      <c r="BT114"/>
      <c r="BU114"/>
      <c r="BV114"/>
      <c r="BW114"/>
      <c r="BX114"/>
      <c r="BY114"/>
      <c r="BZ114"/>
      <c r="CA114"/>
      <c r="CB114"/>
      <c r="CC114"/>
      <c r="CD114"/>
      <c r="CE114"/>
      <c r="CF114"/>
      <c r="CG114"/>
      <c r="CH114"/>
      <c r="CI114"/>
      <c r="CJ114"/>
      <c r="CK114"/>
      <c r="CL114"/>
      <c r="CM114"/>
    </row>
    <row r="115" spans="1:91" s="21" customFormat="1" x14ac:dyDescent="0.25">
      <c r="A115" s="37" t="s">
        <v>608</v>
      </c>
      <c r="B115" s="7">
        <v>4041</v>
      </c>
      <c r="C115" s="22" t="s">
        <v>207</v>
      </c>
      <c r="D115" s="22" t="s">
        <v>775</v>
      </c>
      <c r="E115" s="13">
        <v>42715.723668981482</v>
      </c>
      <c r="F115" s="13">
        <v>42715.7265625</v>
      </c>
      <c r="G115" s="7">
        <v>1</v>
      </c>
      <c r="H115" s="22" t="s">
        <v>773</v>
      </c>
      <c r="I115" s="13">
        <v>42715.756481481483</v>
      </c>
      <c r="J115" s="7">
        <v>1</v>
      </c>
      <c r="K115" s="109" t="str">
        <f t="shared" si="25"/>
        <v>4041/4042</v>
      </c>
      <c r="L115" s="22" t="str">
        <f>VLOOKUP(A115,'Trips&amp;Operators'!$C$1:$G$99999,5,FALSE)</f>
        <v>BARTLETT KIANDRA</v>
      </c>
      <c r="M115" s="6">
        <f t="shared" si="26"/>
        <v>2.9918981483206153E-2</v>
      </c>
      <c r="N115" s="7">
        <f t="shared" si="42"/>
        <v>43.08333333581686</v>
      </c>
      <c r="O115" s="7"/>
      <c r="P115" s="7"/>
      <c r="Q115" s="23"/>
      <c r="R115" s="23"/>
      <c r="S115" s="35">
        <f t="shared" si="41"/>
        <v>1</v>
      </c>
      <c r="T115" s="50" t="str">
        <f t="shared" si="27"/>
        <v>Southbound</v>
      </c>
      <c r="U115" s="171">
        <f>IF(AG115="EC",COUNTIFS(Variables!$M$2:$M$19,IF(T115="NorthBound","&gt;=","&lt;=")&amp;Y115,Variables!$M$2:$M$19,IF(T115="NorthBound","&lt;=","&gt;=")&amp;Z115),COUNTIFS(Variables!$P$2:$P$19,IF(T115="NorthBound","&gt;=","&lt;=")&amp;Y115,Variables!$P$2:$P$19,IF(T115="NorthBound","&lt;=","&gt;=")&amp;Z115))</f>
        <v>12</v>
      </c>
      <c r="V11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16:22:05-700',mode:absolute,to:'2016-12-11 19:09:20-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15" s="52" t="str">
        <f t="shared" si="29"/>
        <v>N</v>
      </c>
      <c r="X115" s="177">
        <f t="shared" ref="X115:X132" si="43">VALUE(LEFT(AD115,4))-VALUE(LEFT(AD114,4))</f>
        <v>1</v>
      </c>
      <c r="Y115" s="67">
        <f t="shared" si="30"/>
        <v>23.3019</v>
      </c>
      <c r="Z115" s="67">
        <f t="shared" si="31"/>
        <v>1.72E-2</v>
      </c>
      <c r="AA115" s="67">
        <f t="shared" si="32"/>
        <v>23.284700000000001</v>
      </c>
      <c r="AB115" s="64" t="e">
        <f>VLOOKUP(A115,Enforcements!$C$7:$K$20,8,0)</f>
        <v>#N/A</v>
      </c>
      <c r="AC115" s="60" t="e">
        <f>VLOOKUP(A115,Enforcements!$C$7:$E$20,3,0)</f>
        <v>#N/A</v>
      </c>
      <c r="AD115" s="61" t="str">
        <f t="shared" si="33"/>
        <v>0204-11</v>
      </c>
      <c r="AE115" s="91" t="str">
        <f t="shared" si="34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15" s="88" t="str">
        <f t="shared" si="35"/>
        <v>"C:\Program Files (x86)\AstroGrep\AstroGrep.exe" /spath="%USERPROFILE%\AppData\Local\Temp\OnboardLogs" /stypes="app*4041*20161212*" /stext=" 01:.+((SYSTEM_STATE.+slice.+state.+changed )|(ment ac)|(multiple cpu faults)|(system.+state.+changed )|(\[timeout)|(PRM\|1\|D)|(kpr)|(kdp)|(\|lc)|(penalty))" /e /r /s</v>
      </c>
      <c r="AG115" s="1" t="str">
        <f t="shared" si="36"/>
        <v>EC</v>
      </c>
      <c r="AH115" s="92" t="str">
        <f t="shared" si="37"/>
        <v>"%USERPROFILE%\Documents\GitHub\eaglep3\Utilities\RefineRTDCRunTimes.py" --tripid 204-11 --locoid 4041 --swversion DE.1.0.8.0 --startMP 204:233019 --initTime 2016-12-11T17:22:05 --startdatetime 2016-12-11T17:26:15 --delay 1 --endMP 204:172 --enddatetime 2016-12-11T18:09:20 --enforcementcount 1 &gt;&gt;C:\Users\stu\Documents\GitHub\eaglep3-reporting\EC\2016-12-11-refined-times.txt</v>
      </c>
      <c r="AI115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{"issue":{"subject":"","project_id":79,"tracker_id":40,"status_id":1,"priority_id":2,"assigned_to_id":23,"start_date":"2016-12-11","description":"","custom_fields":[{"id":1,"name":"Subdivision","value":"EC"},{"id":4,"name":"Milepost","value":"0.0172"},{"id":17,"name":"Train ID","value":"204-11"},{"id":16,"name":"Locomotive ID","value":"4041"},{"id":130,"name":"Impact","value":""},{"id":150,"name":"Time of Event (Mountain Time)","value":"18:09:20"},{"id":151,"name":"Denver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5" s="53"/>
      <c r="AK115" s="53"/>
      <c r="AL115" s="53"/>
      <c r="AM115"/>
      <c r="AN115"/>
      <c r="AO115"/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  <c r="BH115"/>
      <c r="BI115"/>
      <c r="BJ115"/>
      <c r="BK115"/>
      <c r="BL115"/>
      <c r="BM115"/>
      <c r="BN115"/>
      <c r="BO115"/>
      <c r="BP115"/>
      <c r="BQ115"/>
      <c r="BR115"/>
      <c r="BS115"/>
      <c r="BT115"/>
      <c r="BU115"/>
      <c r="BV115"/>
      <c r="BW115"/>
      <c r="BX115"/>
      <c r="BY115"/>
      <c r="BZ115"/>
      <c r="CA115"/>
      <c r="CB115"/>
      <c r="CC115"/>
      <c r="CD115"/>
      <c r="CE115"/>
      <c r="CF115"/>
      <c r="CG115"/>
      <c r="CH115"/>
      <c r="CI115"/>
      <c r="CJ115"/>
      <c r="CK115"/>
      <c r="CL115"/>
      <c r="CM115"/>
    </row>
    <row r="116" spans="1:91" s="21" customFormat="1" x14ac:dyDescent="0.25">
      <c r="A116" s="37" t="s">
        <v>603</v>
      </c>
      <c r="B116" s="7">
        <v>4018</v>
      </c>
      <c r="C116" s="22" t="s">
        <v>207</v>
      </c>
      <c r="D116" s="22" t="s">
        <v>236</v>
      </c>
      <c r="E116" s="13">
        <v>42715.694201388891</v>
      </c>
      <c r="F116" s="13">
        <v>42715.698182870372</v>
      </c>
      <c r="G116" s="7">
        <v>1</v>
      </c>
      <c r="H116" s="22" t="s">
        <v>776</v>
      </c>
      <c r="I116" s="13">
        <v>42715.728310185186</v>
      </c>
      <c r="J116" s="7">
        <v>1</v>
      </c>
      <c r="K116" s="109" t="str">
        <f t="shared" si="25"/>
        <v>4017/4018</v>
      </c>
      <c r="L116" s="22" t="str">
        <f>VLOOKUP(A116,'Trips&amp;Operators'!$C$1:$G$99999,5,FALSE)</f>
        <v>BRUDER RICHARD</v>
      </c>
      <c r="M116" s="6">
        <f t="shared" si="26"/>
        <v>3.0127314814308193E-2</v>
      </c>
      <c r="N116" s="7">
        <f t="shared" si="42"/>
        <v>43.383333332603797</v>
      </c>
      <c r="O116" s="7"/>
      <c r="P116" s="7"/>
      <c r="Q116" s="23"/>
      <c r="R116" s="23"/>
      <c r="S116" s="35">
        <f t="shared" si="41"/>
        <v>1</v>
      </c>
      <c r="T116" s="50" t="str">
        <f t="shared" si="27"/>
        <v>NorthBound</v>
      </c>
      <c r="U116" s="171">
        <f>IF(AG116="EC",COUNTIFS(Variables!$M$2:$M$19,IF(T116="NorthBound","&gt;=","&lt;=")&amp;Y116,Variables!$M$2:$M$19,IF(T116="NorthBound","&lt;=","&gt;=")&amp;Z116),COUNTIFS(Variables!$P$2:$P$19,IF(T116="NorthBound","&gt;=","&lt;=")&amp;Y116,Variables!$P$2:$P$19,IF(T116="NorthBound","&lt;=","&gt;=")&amp;Z116))</f>
        <v>12</v>
      </c>
      <c r="V11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15:39:39-700',mode:absolute,to:'2016-12-11 18:28:46-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16" s="52" t="str">
        <f t="shared" si="29"/>
        <v>N</v>
      </c>
      <c r="X116" s="177">
        <f t="shared" si="43"/>
        <v>1</v>
      </c>
      <c r="Y116" s="67">
        <f t="shared" si="30"/>
        <v>4.5999999999999999E-2</v>
      </c>
      <c r="Z116" s="67">
        <f t="shared" si="31"/>
        <v>23.328600000000002</v>
      </c>
      <c r="AA116" s="67">
        <f t="shared" si="32"/>
        <v>23.282600000000002</v>
      </c>
      <c r="AB116" s="64" t="e">
        <f>VLOOKUP(A116,Enforcements!$C$7:$K$20,8,0)</f>
        <v>#N/A</v>
      </c>
      <c r="AC116" s="60" t="e">
        <f>VLOOKUP(A116,Enforcements!$C$7:$E$20,3,0)</f>
        <v>#N/A</v>
      </c>
      <c r="AD116" s="61" t="str">
        <f t="shared" si="33"/>
        <v>0205-11</v>
      </c>
      <c r="AE116" s="91" t="str">
        <f t="shared" si="34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116" s="88" t="str">
        <f t="shared" si="35"/>
        <v>"C:\Program Files (x86)\AstroGrep\AstroGrep.exe" /spath="%USERPROFILE%\AppData\Local\Temp\OnboardLogs" /stypes="app*4018*20161212*" /stext=" 00:.+((SYSTEM_STATE.+slice.+state.+changed )|(ment ac)|(multiple cpu faults)|(system.+state.+changed )|(\[timeout)|(PRM\|1\|D)|(kpr)|(kdp)|(\|lc)|(penalty))" /e /r /s</v>
      </c>
      <c r="AG116" s="1" t="str">
        <f t="shared" si="36"/>
        <v>EC</v>
      </c>
      <c r="AH116" s="92" t="str">
        <f t="shared" si="37"/>
        <v>"%USERPROFILE%\Documents\GitHub\eaglep3\Utilities\RefineRTDCRunTimes.py" --tripid 205-11 --locoid 4018 --swversion DE.1.0.8.0 --startMP 204:460 --initTime 2016-12-11T16:39:39 --startdatetime 2016-12-11T16:45:23 --delay 1 --endMP 204:233286 --enddatetime 2016-12-11T17:28:46 --enforcementcount 1 &gt;&gt;C:\Users\stu\Documents\GitHub\eaglep3-reporting\EC\2016-12-11-refined-times.txt</v>
      </c>
      <c r="AI116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{"issue":{"subject":"","project_id":79,"tracker_id":40,"status_id":1,"priority_id":2,"assigned_to_id":23,"start_date":"2016-12-11","description":"","custom_fields":[{"id":1,"name":"Subdivision","value":"EC"},{"id":4,"name":"Milepost","value":"23.3286"},{"id":17,"name":"Train ID","value":"205-11"},{"id":16,"name":"Locomotive ID","value":"4018"},{"id":130,"name":"Impact","value":""},{"id":150,"name":"Time of Event (Mountain Time)","value":"17:28:46"},{"id":151,"name":"Denver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6" s="53"/>
      <c r="AK116" s="53"/>
      <c r="AL116" s="53"/>
      <c r="AM116"/>
      <c r="AN116"/>
      <c r="AO116"/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  <c r="BH116"/>
      <c r="BI116"/>
      <c r="BJ116"/>
      <c r="BK116"/>
      <c r="BL116"/>
      <c r="BM116"/>
      <c r="BN116"/>
      <c r="BO116"/>
      <c r="BP116"/>
      <c r="BQ116"/>
      <c r="BR116"/>
      <c r="BS116"/>
      <c r="BT116"/>
      <c r="BU116"/>
      <c r="BV116"/>
      <c r="BW116"/>
      <c r="BX116"/>
      <c r="BY116"/>
      <c r="BZ116"/>
      <c r="CA116"/>
      <c r="CB116"/>
      <c r="CC116"/>
      <c r="CD116"/>
      <c r="CE116"/>
      <c r="CF116"/>
      <c r="CG116"/>
      <c r="CH116"/>
      <c r="CI116"/>
      <c r="CJ116"/>
      <c r="CK116"/>
      <c r="CL116"/>
      <c r="CM116"/>
    </row>
    <row r="117" spans="1:91" s="21" customFormat="1" x14ac:dyDescent="0.25">
      <c r="A117" s="37" t="s">
        <v>615</v>
      </c>
      <c r="B117" s="7">
        <v>4017</v>
      </c>
      <c r="C117" s="22" t="s">
        <v>207</v>
      </c>
      <c r="D117" s="22" t="s">
        <v>352</v>
      </c>
      <c r="E117" s="13">
        <v>42715.734814814816</v>
      </c>
      <c r="F117" s="13">
        <v>42715.736979166664</v>
      </c>
      <c r="G117" s="7">
        <v>1</v>
      </c>
      <c r="H117" s="22" t="s">
        <v>244</v>
      </c>
      <c r="I117" s="13">
        <v>42715.765706018516</v>
      </c>
      <c r="J117" s="7">
        <v>1</v>
      </c>
      <c r="K117" s="109" t="str">
        <f t="shared" si="25"/>
        <v>4017/4018</v>
      </c>
      <c r="L117" s="22" t="str">
        <f>VLOOKUP(A117,'Trips&amp;Operators'!$C$1:$G$99999,5,FALSE)</f>
        <v>BRUDER RICHARD</v>
      </c>
      <c r="M117" s="6">
        <f t="shared" si="26"/>
        <v>2.8726851851388346E-2</v>
      </c>
      <c r="N117" s="7">
        <f t="shared" si="42"/>
        <v>41.366666665999219</v>
      </c>
      <c r="O117" s="7"/>
      <c r="P117" s="7"/>
      <c r="Q117" s="23"/>
      <c r="R117" s="23"/>
      <c r="S117" s="35">
        <f t="shared" si="41"/>
        <v>1</v>
      </c>
      <c r="T117" s="50" t="str">
        <f t="shared" si="27"/>
        <v>Southbound</v>
      </c>
      <c r="U117" s="171">
        <f>IF(AG117="EC",COUNTIFS(Variables!$M$2:$M$19,IF(T117="NorthBound","&gt;=","&lt;=")&amp;Y117,Variables!$M$2:$M$19,IF(T117="NorthBound","&lt;=","&gt;=")&amp;Z117),COUNTIFS(Variables!$P$2:$P$19,IF(T117="NorthBound","&gt;=","&lt;=")&amp;Y117,Variables!$P$2:$P$19,IF(T117="NorthBound","&lt;=","&gt;=")&amp;Z117))</f>
        <v>12</v>
      </c>
      <c r="V11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16:38:08-700',mode:absolute,to:'2016-12-11 19:22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17" s="52" t="str">
        <f t="shared" si="29"/>
        <v>N</v>
      </c>
      <c r="X117" s="177">
        <f t="shared" si="43"/>
        <v>1</v>
      </c>
      <c r="Y117" s="67">
        <f t="shared" si="30"/>
        <v>23.297499999999999</v>
      </c>
      <c r="Z117" s="67">
        <f t="shared" si="31"/>
        <v>1.4500000000000001E-2</v>
      </c>
      <c r="AA117" s="67">
        <f t="shared" si="32"/>
        <v>23.282999999999998</v>
      </c>
      <c r="AB117" s="64" t="e">
        <f>VLOOKUP(A117,Enforcements!$C$7:$K$20,8,0)</f>
        <v>#N/A</v>
      </c>
      <c r="AC117" s="60" t="e">
        <f>VLOOKUP(A117,Enforcements!$C$7:$E$20,3,0)</f>
        <v>#N/A</v>
      </c>
      <c r="AD117" s="61" t="str">
        <f t="shared" si="33"/>
        <v>0206-11</v>
      </c>
      <c r="AE117" s="91" t="str">
        <f t="shared" si="34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117" s="88" t="str">
        <f t="shared" si="35"/>
        <v>"C:\Program Files (x86)\AstroGrep\AstroGrep.exe" /spath="%USERPROFILE%\AppData\Local\Temp\OnboardLogs" /stypes="app*4017*20161212*" /stext=" 01:.+((SYSTEM_STATE.+slice.+state.+changed )|(ment ac)|(multiple cpu faults)|(system.+state.+changed )|(\[timeout)|(PRM\|1\|D)|(kpr)|(kdp)|(\|lc)|(penalty))" /e /r /s</v>
      </c>
      <c r="AG117" s="1" t="str">
        <f t="shared" si="36"/>
        <v>EC</v>
      </c>
      <c r="AH117" s="92" t="str">
        <f t="shared" si="37"/>
        <v>"%USERPROFILE%\Documents\GitHub\eaglep3\Utilities\RefineRTDCRunTimes.py" --tripid 206-11 --locoid 4017 --swversion DE.1.0.8.0 --startMP 204:232975 --initTime 2016-12-11T17:38:08 --startdatetime 2016-12-11T17:41:15 --delay 1 --endMP 204:145 --enddatetime 2016-12-11T18:22:37 --enforcementcount 1 &gt;&gt;C:\Users\stu\Documents\GitHub\eaglep3-reporting\EC\2016-12-11-refined-times.txt</v>
      </c>
      <c r="AI117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{"issue":{"subject":"","project_id":79,"tracker_id":40,"status_id":1,"priority_id":2,"assigned_to_id":23,"start_date":"2016-12-11","description":"","custom_fields":[{"id":1,"name":"Subdivision","value":"EC"},{"id":4,"name":"Milepost","value":"0.0145"},{"id":17,"name":"Train ID","value":"206-11"},{"id":16,"name":"Locomotive ID","value":"4017"},{"id":130,"name":"Impact","value":""},{"id":150,"name":"Time of Event (Mountain Time)","value":"18:22:37"},{"id":151,"name":"Denver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7" s="53"/>
      <c r="AK117" s="53"/>
      <c r="AL117" s="53"/>
      <c r="AM117"/>
      <c r="AN117"/>
      <c r="AO117"/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  <c r="BH117"/>
      <c r="BI117"/>
      <c r="BJ117"/>
      <c r="BK117"/>
      <c r="BL117"/>
      <c r="BM117"/>
      <c r="BN117"/>
      <c r="BO117"/>
      <c r="BP117"/>
      <c r="BQ117"/>
      <c r="BR117"/>
      <c r="BS117"/>
      <c r="BT117"/>
      <c r="BU117"/>
      <c r="BV117"/>
      <c r="BW117"/>
      <c r="BX117"/>
      <c r="BY117"/>
      <c r="BZ117"/>
      <c r="CA117"/>
      <c r="CB117"/>
      <c r="CC117"/>
      <c r="CD117"/>
      <c r="CE117"/>
      <c r="CF117"/>
      <c r="CG117"/>
      <c r="CH117"/>
      <c r="CI117"/>
      <c r="CJ117"/>
      <c r="CK117"/>
      <c r="CL117"/>
      <c r="CM117"/>
    </row>
    <row r="118" spans="1:91" x14ac:dyDescent="0.25">
      <c r="A118" s="37" t="s">
        <v>605</v>
      </c>
      <c r="B118" s="7">
        <v>4031</v>
      </c>
      <c r="C118" s="22" t="s">
        <v>207</v>
      </c>
      <c r="D118" s="22" t="s">
        <v>290</v>
      </c>
      <c r="E118" s="13">
        <v>42715.706296296295</v>
      </c>
      <c r="F118" s="13">
        <v>42715.709722222222</v>
      </c>
      <c r="G118" s="7">
        <v>1</v>
      </c>
      <c r="H118" s="22" t="s">
        <v>777</v>
      </c>
      <c r="I118" s="13">
        <v>42715.742650462962</v>
      </c>
      <c r="J118" s="7">
        <v>1</v>
      </c>
      <c r="K118" s="109" t="str">
        <f t="shared" si="25"/>
        <v>4031/4032</v>
      </c>
      <c r="L118" s="22" t="str">
        <f>VLOOKUP(A118,'Trips&amp;Operators'!$C$1:$G$99999,5,FALSE)</f>
        <v>MOSES BRADLEY</v>
      </c>
      <c r="M118" s="6">
        <f t="shared" si="26"/>
        <v>3.2928240740147885E-2</v>
      </c>
      <c r="N118" s="7">
        <f t="shared" si="42"/>
        <v>47.416666665812954</v>
      </c>
      <c r="O118" s="7"/>
      <c r="P118" s="7"/>
      <c r="Q118" s="23"/>
      <c r="R118" s="23"/>
      <c r="S118" s="35">
        <f t="shared" si="41"/>
        <v>1</v>
      </c>
      <c r="T118" s="50" t="str">
        <f t="shared" si="27"/>
        <v>NorthBound</v>
      </c>
      <c r="U118" s="171">
        <f>IF(AG118="EC",COUNTIFS(Variables!$M$2:$M$19,IF(T118="NorthBound","&gt;=","&lt;=")&amp;Y118,Variables!$M$2:$M$19,IF(T118="NorthBound","&lt;=","&gt;=")&amp;Z118),COUNTIFS(Variables!$P$2:$P$19,IF(T118="NorthBound","&gt;=","&lt;=")&amp;Y118,Variables!$P$2:$P$19,IF(T118="NorthBound","&lt;=","&gt;=")&amp;Z118))</f>
        <v>12</v>
      </c>
      <c r="V11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15:57:04-700',mode:absolute,to:'2016-12-11 18:49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18" s="52" t="str">
        <f t="shared" si="29"/>
        <v>N</v>
      </c>
      <c r="X118" s="177">
        <f t="shared" si="43"/>
        <v>1</v>
      </c>
      <c r="Y118" s="67">
        <f t="shared" si="30"/>
        <v>4.4400000000000002E-2</v>
      </c>
      <c r="Z118" s="67">
        <f t="shared" si="31"/>
        <v>23.333100000000002</v>
      </c>
      <c r="AA118" s="67">
        <f t="shared" si="32"/>
        <v>23.288700000000002</v>
      </c>
      <c r="AB118" s="64" t="e">
        <f>VLOOKUP(A118,Enforcements!$C$7:$K$20,8,0)</f>
        <v>#N/A</v>
      </c>
      <c r="AC118" s="60" t="e">
        <f>VLOOKUP(A118,Enforcements!$C$7:$E$20,3,0)</f>
        <v>#N/A</v>
      </c>
      <c r="AD118" s="61" t="str">
        <f t="shared" si="33"/>
        <v>0207-11</v>
      </c>
      <c r="AE118" s="91" t="str">
        <f t="shared" si="34"/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AF118" s="88" t="str">
        <f t="shared" si="35"/>
        <v>"C:\Program Files (x86)\AstroGrep\AstroGrep.exe" /spath="%USERPROFILE%\AppData\Local\Temp\OnboardLogs" /stypes="app*4031*20161212*" /stext=" 00:.+((SYSTEM_STATE.+slice.+state.+changed )|(ment ac)|(multiple cpu faults)|(system.+state.+changed )|(\[timeout)|(PRM\|1\|D)|(kpr)|(kdp)|(\|lc)|(penalty))" /e /r /s</v>
      </c>
      <c r="AG118" s="1" t="str">
        <f t="shared" si="36"/>
        <v>EC</v>
      </c>
      <c r="AH118" s="92" t="str">
        <f t="shared" si="37"/>
        <v>"%USERPROFILE%\Documents\GitHub\eaglep3\Utilities\RefineRTDCRunTimes.py" --tripid 207-11 --locoid 4031 --swversion DE.1.0.8.0 --startMP 204:444 --initTime 2016-12-11T16:57:04 --startdatetime 2016-12-11T17:02:00 --delay 1 --endMP 204:233331 --enddatetime 2016-12-11T17:49:25 --enforcementcount 1 &gt;&gt;C:\Users\stu\Documents\GitHub\eaglep3-reporting\EC\2016-12-11-refined-times.txt</v>
      </c>
      <c r="AI118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{"issue":{"subject":"","project_id":79,"tracker_id":40,"status_id":1,"priority_id":2,"assigned_to_id":23,"start_date":"2016-12-11","description":"","custom_fields":[{"id":1,"name":"Subdivision","value":"EC"},{"id":4,"name":"Milepost","value":"23.3331"},{"id":17,"name":"Train ID","value":"207-11"},{"id":16,"name":"Locomotive ID","value":"4031"},{"id":130,"name":"Impact","value":""},{"id":150,"name":"Time of Event (Mountain Time)","value":"17:49:25"},{"id":151,"name":"Denver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8" s="53"/>
      <c r="AK118" s="53"/>
      <c r="AL118" s="53"/>
    </row>
    <row r="119" spans="1:91" s="21" customFormat="1" x14ac:dyDescent="0.25">
      <c r="A119" s="37" t="s">
        <v>617</v>
      </c>
      <c r="B119" s="7">
        <v>4032</v>
      </c>
      <c r="C119" s="22" t="s">
        <v>207</v>
      </c>
      <c r="D119" s="22" t="s">
        <v>778</v>
      </c>
      <c r="E119" s="13">
        <v>42715.74858796296</v>
      </c>
      <c r="F119" s="13">
        <v>42715.750636574077</v>
      </c>
      <c r="G119" s="7">
        <v>1</v>
      </c>
      <c r="H119" s="22" t="s">
        <v>779</v>
      </c>
      <c r="I119" s="13">
        <v>42715.780046296299</v>
      </c>
      <c r="J119" s="7">
        <v>1</v>
      </c>
      <c r="K119" s="109" t="str">
        <f t="shared" si="25"/>
        <v>4031/4032</v>
      </c>
      <c r="L119" s="22" t="str">
        <f>VLOOKUP(A119,'Trips&amp;Operators'!$C$1:$G$99999,5,FALSE)</f>
        <v>MOSES BRADLEY</v>
      </c>
      <c r="M119" s="6">
        <f t="shared" si="26"/>
        <v>2.940972222131677E-2</v>
      </c>
      <c r="N119" s="7">
        <f t="shared" si="42"/>
        <v>42.349999998696148</v>
      </c>
      <c r="O119" s="7"/>
      <c r="P119" s="7"/>
      <c r="Q119" s="23"/>
      <c r="R119" s="23"/>
      <c r="S119" s="35">
        <f t="shared" ref="S119:S124" si="44">SUM(U119:U119)/IF(AG119="EC",12,1)</f>
        <v>1</v>
      </c>
      <c r="T119" s="50" t="str">
        <f t="shared" si="27"/>
        <v>Southbound</v>
      </c>
      <c r="U119" s="171">
        <f>IF(AG119="EC",COUNTIFS(Variables!$M$2:$M$19,IF(T119="NorthBound","&gt;=","&lt;=")&amp;Y119,Variables!$M$2:$M$19,IF(T119="NorthBound","&lt;=","&gt;=")&amp;Z119),COUNTIFS(Variables!$P$2:$P$19,IF(T119="NorthBound","&gt;=","&lt;=")&amp;Y119,Variables!$P$2:$P$19,IF(T119="NorthBound","&lt;=","&gt;=")&amp;Z119))</f>
        <v>12</v>
      </c>
      <c r="V11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16:57:58-700',mode:absolute,to:'2016-12-11 19:43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19" s="52" t="str">
        <f t="shared" si="29"/>
        <v>N</v>
      </c>
      <c r="X119" s="177">
        <f t="shared" si="43"/>
        <v>1</v>
      </c>
      <c r="Y119" s="67">
        <f t="shared" si="30"/>
        <v>23.301300000000001</v>
      </c>
      <c r="Z119" s="67">
        <f t="shared" si="31"/>
        <v>1.26E-2</v>
      </c>
      <c r="AA119" s="67">
        <f t="shared" si="32"/>
        <v>23.288700000000002</v>
      </c>
      <c r="AB119" s="64" t="e">
        <f>VLOOKUP(A119,Enforcements!$C$7:$K$20,8,0)</f>
        <v>#N/A</v>
      </c>
      <c r="AC119" s="60" t="e">
        <f>VLOOKUP(A119,Enforcements!$C$7:$E$20,3,0)</f>
        <v>#N/A</v>
      </c>
      <c r="AD119" s="61" t="str">
        <f t="shared" si="33"/>
        <v>0208-11</v>
      </c>
      <c r="AE119" s="91" t="str">
        <f t="shared" si="34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119" s="88" t="str">
        <f t="shared" si="35"/>
        <v>"C:\Program Files (x86)\AstroGrep\AstroGrep.exe" /spath="%USERPROFILE%\AppData\Local\Temp\OnboardLogs" /stypes="app*4032*20161212*" /stext=" 01:.+((SYSTEM_STATE.+slice.+state.+changed )|(ment ac)|(multiple cpu faults)|(system.+state.+changed )|(\[timeout)|(PRM\|1\|D)|(kpr)|(kdp)|(\|lc)|(penalty))" /e /r /s</v>
      </c>
      <c r="AG119" s="1" t="str">
        <f t="shared" si="36"/>
        <v>EC</v>
      </c>
      <c r="AH119" s="92" t="str">
        <f t="shared" si="37"/>
        <v>"%USERPROFILE%\Documents\GitHub\eaglep3\Utilities\RefineRTDCRunTimes.py" --tripid 208-11 --locoid 4032 --swversion DE.1.0.8.0 --startMP 204:233013 --initTime 2016-12-11T17:57:58 --startdatetime 2016-12-11T18:00:55 --delay 1 --endMP 204:126 --enddatetime 2016-12-11T18:43:16 --enforcementcount 1 &gt;&gt;C:\Users\stu\Documents\GitHub\eaglep3-reporting\EC\2016-12-11-refined-times.txt</v>
      </c>
      <c r="AI119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{"issue":{"subject":"","project_id":79,"tracker_id":40,"status_id":1,"priority_id":2,"assigned_to_id":23,"start_date":"2016-12-11","description":"","custom_fields":[{"id":1,"name":"Subdivision","value":"EC"},{"id":4,"name":"Milepost","value":"0.0126"},{"id":17,"name":"Train ID","value":"208-11"},{"id":16,"name":"Locomotive ID","value":"4032"},{"id":130,"name":"Impact","value":""},{"id":150,"name":"Time of Event (Mountain Time)","value":"18:43:16"},{"id":151,"name":"Denver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19" s="53"/>
      <c r="AK119" s="53"/>
      <c r="AL119" s="53"/>
      <c r="AM119"/>
      <c r="AN119"/>
      <c r="AO119"/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  <c r="BH119"/>
      <c r="BI119"/>
      <c r="BJ119"/>
      <c r="BK119"/>
      <c r="BL119"/>
      <c r="BM119"/>
      <c r="BN119"/>
      <c r="BO119"/>
      <c r="BP119"/>
      <c r="BQ119"/>
      <c r="BR119"/>
      <c r="BS119"/>
      <c r="BT119"/>
      <c r="BU119"/>
      <c r="BV119"/>
      <c r="BW119"/>
      <c r="BX119"/>
      <c r="BY119"/>
      <c r="BZ119"/>
      <c r="CA119"/>
      <c r="CB119"/>
      <c r="CC119"/>
      <c r="CD119"/>
      <c r="CE119"/>
      <c r="CF119"/>
      <c r="CG119"/>
      <c r="CH119"/>
      <c r="CI119"/>
      <c r="CJ119"/>
      <c r="CK119"/>
      <c r="CL119"/>
      <c r="CM119"/>
    </row>
    <row r="120" spans="1:91" s="21" customFormat="1" x14ac:dyDescent="0.25">
      <c r="A120" s="37" t="s">
        <v>607</v>
      </c>
      <c r="B120" s="7">
        <v>4029</v>
      </c>
      <c r="C120" s="22" t="s">
        <v>207</v>
      </c>
      <c r="D120" s="22" t="s">
        <v>238</v>
      </c>
      <c r="E120" s="13">
        <v>42715.718287037038</v>
      </c>
      <c r="F120" s="13">
        <v>42715.720625000002</v>
      </c>
      <c r="G120" s="7">
        <v>2</v>
      </c>
      <c r="H120" s="22" t="s">
        <v>420</v>
      </c>
      <c r="I120" s="13">
        <v>42715.753067129626</v>
      </c>
      <c r="J120" s="7">
        <v>1</v>
      </c>
      <c r="K120" s="109" t="str">
        <f t="shared" si="25"/>
        <v>4029/4030</v>
      </c>
      <c r="L120" s="22" t="str">
        <f>VLOOKUP(A120,'Trips&amp;Operators'!$C$1:$G$99999,5,FALSE)</f>
        <v>LEVERE CRAIG</v>
      </c>
      <c r="M120" s="6">
        <f t="shared" si="26"/>
        <v>3.2442129624541849E-2</v>
      </c>
      <c r="N120" s="7">
        <f t="shared" si="42"/>
        <v>46.716666659340262</v>
      </c>
      <c r="O120" s="7"/>
      <c r="P120" s="7"/>
      <c r="Q120" s="23"/>
      <c r="R120" s="23"/>
      <c r="S120" s="35">
        <f t="shared" si="44"/>
        <v>1</v>
      </c>
      <c r="T120" s="50" t="str">
        <f t="shared" si="27"/>
        <v>NorthBound</v>
      </c>
      <c r="U120" s="171">
        <f>IF(AG120="EC",COUNTIFS(Variables!$M$2:$M$19,IF(T120="NorthBound","&gt;=","&lt;=")&amp;Y120,Variables!$M$2:$M$19,IF(T120="NorthBound","&lt;=","&gt;=")&amp;Z120),COUNTIFS(Variables!$P$2:$P$19,IF(T120="NorthBound","&gt;=","&lt;=")&amp;Y120,Variables!$P$2:$P$19,IF(T120="NorthBound","&lt;=","&gt;=")&amp;Z120))</f>
        <v>12</v>
      </c>
      <c r="V12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16:14:20-700',mode:absolute,to:'2016-12-11 19:04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20" s="52" t="str">
        <f t="shared" si="29"/>
        <v>N</v>
      </c>
      <c r="X120" s="177">
        <f t="shared" si="43"/>
        <v>1</v>
      </c>
      <c r="Y120" s="67">
        <f t="shared" si="30"/>
        <v>4.7100000000000003E-2</v>
      </c>
      <c r="Z120" s="67">
        <f t="shared" si="31"/>
        <v>23.329499999999999</v>
      </c>
      <c r="AA120" s="67">
        <f t="shared" si="32"/>
        <v>23.282399999999999</v>
      </c>
      <c r="AB120" s="64" t="e">
        <f>VLOOKUP(A120,Enforcements!$C$7:$K$20,8,0)</f>
        <v>#N/A</v>
      </c>
      <c r="AC120" s="60" t="e">
        <f>VLOOKUP(A120,Enforcements!$C$7:$E$20,3,0)</f>
        <v>#N/A</v>
      </c>
      <c r="AD120" s="61" t="str">
        <f t="shared" si="33"/>
        <v>0209-11</v>
      </c>
      <c r="AE120" s="91" t="str">
        <f t="shared" si="34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120" s="88" t="str">
        <f t="shared" si="35"/>
        <v>"C:\Program Files (x86)\AstroGrep\AstroGrep.exe" /spath="%USERPROFILE%\AppData\Local\Temp\OnboardLogs" /stypes="app*4029*20161212*" /stext=" 01:.+((SYSTEM_STATE.+slice.+state.+changed )|(ment ac)|(multiple cpu faults)|(system.+state.+changed )|(\[timeout)|(PRM\|1\|D)|(kpr)|(kdp)|(\|lc)|(penalty))" /e /r /s</v>
      </c>
      <c r="AG120" s="1" t="str">
        <f t="shared" si="36"/>
        <v>EC</v>
      </c>
      <c r="AH120" s="92" t="str">
        <f t="shared" si="37"/>
        <v>"%USERPROFILE%\Documents\GitHub\eaglep3\Utilities\RefineRTDCRunTimes.py" --tripid 209-11 --locoid 4029 --swversion DE.1.0.8.0 --startMP 204:471 --initTime 2016-12-11T17:14:20 --startdatetime 2016-12-11T17:17:42 --delay 2 --endMP 204:233295 --enddatetime 2016-12-11T18:04:25 --enforcementcount 1 &gt;&gt;C:\Users\stu\Documents\GitHub\eaglep3-reporting\EC\2016-12-11-refined-times.txt</v>
      </c>
      <c r="AI120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{"issue":{"subject":"","project_id":79,"tracker_id":40,"status_id":1,"priority_id":2,"assigned_to_id":23,"start_date":"2016-12-11","description":"","custom_fields":[{"id":1,"name":"Subdivision","value":"EC"},{"id":4,"name":"Milepost","value":"23.3295"},{"id":17,"name":"Train ID","value":"209-11"},{"id":16,"name":"Locomotive ID","value":"4029"},{"id":130,"name":"Impact","value":""},{"id":150,"name":"Time of Event (Mountain Time)","value":"18:04:25"},{"id":151,"name":"Denver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0" s="53"/>
      <c r="AK120" s="53"/>
      <c r="AL120" s="53"/>
      <c r="AM120"/>
      <c r="AN120"/>
      <c r="AO120"/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  <c r="BH120"/>
      <c r="BI120"/>
      <c r="BJ120"/>
      <c r="BK120"/>
      <c r="BL120"/>
      <c r="BM120"/>
      <c r="BN120"/>
      <c r="BO120"/>
      <c r="BP120"/>
      <c r="BQ120"/>
      <c r="BR120"/>
      <c r="BS120"/>
      <c r="BT120"/>
      <c r="BU120"/>
      <c r="BV120"/>
      <c r="BW120"/>
      <c r="BX120"/>
      <c r="BY120"/>
      <c r="BZ120"/>
      <c r="CA120"/>
      <c r="CB120"/>
      <c r="CC120"/>
      <c r="CD120"/>
      <c r="CE120"/>
      <c r="CF120"/>
      <c r="CG120"/>
      <c r="CH120"/>
      <c r="CI120"/>
      <c r="CJ120"/>
      <c r="CK120"/>
      <c r="CL120"/>
      <c r="CM120"/>
    </row>
    <row r="121" spans="1:91" s="21" customFormat="1" x14ac:dyDescent="0.25">
      <c r="A121" s="37" t="s">
        <v>619</v>
      </c>
      <c r="B121" s="7">
        <v>4030</v>
      </c>
      <c r="C121" s="22" t="s">
        <v>207</v>
      </c>
      <c r="D121" s="22" t="s">
        <v>352</v>
      </c>
      <c r="E121" s="13">
        <v>42715.756956018522</v>
      </c>
      <c r="F121" s="13">
        <v>42715.758680555555</v>
      </c>
      <c r="G121" s="7">
        <v>1</v>
      </c>
      <c r="H121" s="22" t="s">
        <v>681</v>
      </c>
      <c r="I121" s="13">
        <v>42715.790671296294</v>
      </c>
      <c r="J121" s="7">
        <v>1</v>
      </c>
      <c r="K121" s="109" t="str">
        <f t="shared" si="25"/>
        <v>4029/4030</v>
      </c>
      <c r="L121" s="22" t="str">
        <f>VLOOKUP(A121,'Trips&amp;Operators'!$C$1:$G$99999,5,FALSE)</f>
        <v>LEVERE CRAIG</v>
      </c>
      <c r="M121" s="6">
        <f t="shared" si="26"/>
        <v>3.199074073927477E-2</v>
      </c>
      <c r="N121" s="7">
        <f t="shared" si="42"/>
        <v>46.066666664555669</v>
      </c>
      <c r="O121" s="7"/>
      <c r="P121" s="7"/>
      <c r="Q121" s="23"/>
      <c r="R121" s="23"/>
      <c r="S121" s="35">
        <f t="shared" si="44"/>
        <v>1</v>
      </c>
      <c r="T121" s="50" t="str">
        <f t="shared" si="27"/>
        <v>Southbound</v>
      </c>
      <c r="U121" s="171">
        <f>IF(AG121="EC",COUNTIFS(Variables!$M$2:$M$19,IF(T121="NorthBound","&gt;=","&lt;=")&amp;Y121,Variables!$M$2:$M$19,IF(T121="NorthBound","&lt;=","&gt;=")&amp;Z121),COUNTIFS(Variables!$P$2:$P$19,IF(T121="NorthBound","&gt;=","&lt;=")&amp;Y121,Variables!$P$2:$P$19,IF(T121="NorthBound","&lt;=","&gt;=")&amp;Z121))</f>
        <v>12</v>
      </c>
      <c r="V12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17:10:01-700',mode:absolute,to:'2016-12-11 19:58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21" s="52" t="str">
        <f t="shared" si="29"/>
        <v>N</v>
      </c>
      <c r="X121" s="177">
        <f t="shared" si="43"/>
        <v>1</v>
      </c>
      <c r="Y121" s="67">
        <f t="shared" si="30"/>
        <v>23.297499999999999</v>
      </c>
      <c r="Z121" s="67">
        <f t="shared" si="31"/>
        <v>1.5800000000000002E-2</v>
      </c>
      <c r="AA121" s="67">
        <f t="shared" si="32"/>
        <v>23.281700000000001</v>
      </c>
      <c r="AB121" s="64" t="e">
        <f>VLOOKUP(A121,Enforcements!$C$7:$K$20,8,0)</f>
        <v>#N/A</v>
      </c>
      <c r="AC121" s="60" t="e">
        <f>VLOOKUP(A121,Enforcements!$C$7:$E$20,3,0)</f>
        <v>#N/A</v>
      </c>
      <c r="AD121" s="61" t="str">
        <f t="shared" si="33"/>
        <v>0210-11</v>
      </c>
      <c r="AE121" s="91" t="str">
        <f t="shared" si="34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121" s="88" t="str">
        <f t="shared" si="35"/>
        <v>"C:\Program Files (x86)\AstroGrep\AstroGrep.exe" /spath="%USERPROFILE%\AppData\Local\Temp\OnboardLogs" /stypes="app*4030*20161212*" /stext=" 01:.+((SYSTEM_STATE.+slice.+state.+changed )|(ment ac)|(multiple cpu faults)|(system.+state.+changed )|(\[timeout)|(PRM\|1\|D)|(kpr)|(kdp)|(\|lc)|(penalty))" /e /r /s</v>
      </c>
      <c r="AG121" s="1" t="str">
        <f t="shared" si="36"/>
        <v>EC</v>
      </c>
      <c r="AH121" s="92" t="str">
        <f t="shared" si="37"/>
        <v>"%USERPROFILE%\Documents\GitHub\eaglep3\Utilities\RefineRTDCRunTimes.py" --tripid 210-11 --locoid 4030 --swversion DE.1.0.8.0 --startMP 204:232975 --initTime 2016-12-11T18:10:01 --startdatetime 2016-12-11T18:12:30 --delay 1 --endMP 204:158 --enddatetime 2016-12-11T18:58:34 --enforcementcount 1 &gt;&gt;C:\Users\stu\Documents\GitHub\eaglep3-reporting\EC\2016-12-11-refined-times.txt</v>
      </c>
      <c r="AI121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{"issue":{"subject":"","project_id":79,"tracker_id":40,"status_id":1,"priority_id":2,"assigned_to_id":23,"start_date":"2016-12-11","description":"","custom_fields":[{"id":1,"name":"Subdivision","value":"EC"},{"id":4,"name":"Milepost","value":"0.0158"},{"id":17,"name":"Train ID","value":"210-11"},{"id":16,"name":"Locomotive ID","value":"4030"},{"id":130,"name":"Impact","value":""},{"id":150,"name":"Time of Event (Mountain Time)","value":"18:58:34"},{"id":151,"name":"Denver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1" s="53"/>
      <c r="AK121" s="53"/>
      <c r="AL121" s="53"/>
      <c r="AM121"/>
      <c r="AN121"/>
      <c r="AO121"/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  <c r="BH121"/>
      <c r="BI121"/>
      <c r="BJ121"/>
      <c r="BK121"/>
      <c r="BL121"/>
      <c r="BM121"/>
      <c r="BN121"/>
      <c r="BO121"/>
      <c r="BP121"/>
      <c r="BQ121"/>
      <c r="BR121"/>
      <c r="BS121"/>
      <c r="BT121"/>
      <c r="BU121"/>
      <c r="BV121"/>
      <c r="BW121"/>
      <c r="BX121"/>
      <c r="BY121"/>
      <c r="BZ121"/>
      <c r="CA121"/>
      <c r="CB121"/>
      <c r="CC121"/>
      <c r="CD121"/>
      <c r="CE121"/>
      <c r="CF121"/>
      <c r="CG121"/>
      <c r="CH121"/>
      <c r="CI121"/>
      <c r="CJ121"/>
      <c r="CK121"/>
      <c r="CL121"/>
      <c r="CM121"/>
    </row>
    <row r="122" spans="1:91" s="21" customFormat="1" x14ac:dyDescent="0.25">
      <c r="A122" s="37" t="s">
        <v>613</v>
      </c>
      <c r="B122" s="7">
        <v>4011</v>
      </c>
      <c r="C122" s="22" t="s">
        <v>207</v>
      </c>
      <c r="D122" s="22" t="s">
        <v>237</v>
      </c>
      <c r="E122" s="13">
        <v>42715.731388888889</v>
      </c>
      <c r="F122" s="13">
        <v>42715.734340277777</v>
      </c>
      <c r="G122" s="7">
        <v>2</v>
      </c>
      <c r="H122" s="22" t="s">
        <v>716</v>
      </c>
      <c r="I122" s="13">
        <v>42715.76803240741</v>
      </c>
      <c r="J122" s="7">
        <v>1</v>
      </c>
      <c r="K122" s="109" t="str">
        <f t="shared" si="25"/>
        <v>4011/4012</v>
      </c>
      <c r="L122" s="22" t="str">
        <f>VLOOKUP(A122,'Trips&amp;Operators'!$C$1:$G$99999,5,FALSE)</f>
        <v>BERLING GARY</v>
      </c>
      <c r="M122" s="6">
        <f t="shared" si="26"/>
        <v>3.369212963298196E-2</v>
      </c>
      <c r="N122" s="7">
        <f t="shared" si="42"/>
        <v>48.516666671494022</v>
      </c>
      <c r="O122" s="7"/>
      <c r="P122" s="7"/>
      <c r="Q122" s="23"/>
      <c r="R122" s="23"/>
      <c r="S122" s="35">
        <f t="shared" si="44"/>
        <v>1</v>
      </c>
      <c r="T122" s="50" t="str">
        <f t="shared" si="27"/>
        <v>NorthBound</v>
      </c>
      <c r="U122" s="171">
        <f>IF(AG122="EC",COUNTIFS(Variables!$M$2:$M$19,IF(T122="NorthBound","&gt;=","&lt;=")&amp;Y122,Variables!$M$2:$M$19,IF(T122="NorthBound","&lt;=","&gt;=")&amp;Z122),COUNTIFS(Variables!$P$2:$P$19,IF(T122="NorthBound","&gt;=","&lt;=")&amp;Y122,Variables!$P$2:$P$19,IF(T122="NorthBound","&lt;=","&gt;=")&amp;Z122))</f>
        <v>12</v>
      </c>
      <c r="V12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16:33:12-700',mode:absolute,to:'2016-12-11 19:25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22" s="52" t="str">
        <f t="shared" si="29"/>
        <v>N</v>
      </c>
      <c r="X122" s="177">
        <f t="shared" si="43"/>
        <v>1</v>
      </c>
      <c r="Y122" s="67">
        <f t="shared" si="30"/>
        <v>4.5699999999999998E-2</v>
      </c>
      <c r="Z122" s="67">
        <f t="shared" si="31"/>
        <v>23.331399999999999</v>
      </c>
      <c r="AA122" s="67">
        <f t="shared" si="32"/>
        <v>23.285699999999999</v>
      </c>
      <c r="AB122" s="64" t="e">
        <f>VLOOKUP(A122,Enforcements!$C$7:$K$20,8,0)</f>
        <v>#N/A</v>
      </c>
      <c r="AC122" s="60" t="e">
        <f>VLOOKUP(A122,Enforcements!$C$7:$E$20,3,0)</f>
        <v>#N/A</v>
      </c>
      <c r="AD122" s="61" t="str">
        <f t="shared" si="33"/>
        <v>0211-11</v>
      </c>
      <c r="AE122" s="91" t="str">
        <f t="shared" si="34"/>
        <v>aws s3 cp s3://rtdc.mdm.uploadarchive.raw/RTDC4011/ "%USERPROFILE%\AppData\Local\Temp\OnboardLogs"\RTDC4011\2016-12-11 --exclude "*" --recursive --include "*20161211*" &amp; "%USERPROFILE%\Documents\GitHub\mrs-test-scripts\Headless Mode &amp; Sideloading\WalkAndUnGZ.bat" "%USERPROFILE%\AppData\Local\Temp\OnboardLogs"\RTDC4011\2016-12-11 &amp; aws s3 cp s3://rtdc.mdm.uploadarchive.raw/RTDC4011/ "%USERPROFILE%\AppData\Local\Temp\OnboardLogs"\RTDC4011\2016-12-12 --exclude "*" --recursive --include "*20161212*" &amp; "%USERPROFILE%\Documents\GitHub\mrs-test-scripts\Headless Mode &amp; Sideloading\WalkAndUnGZ.bat" "%USERPROFILE%\AppData\Local\Temp\OnboardLogs"\RTDC4011\2016-12-12</v>
      </c>
      <c r="AF122" s="88" t="str">
        <f t="shared" si="35"/>
        <v>"C:\Program Files (x86)\AstroGrep\AstroGrep.exe" /spath="%USERPROFILE%\AppData\Local\Temp\OnboardLogs" /stypes="app*4011*20161212*" /stext=" 01:.+((SYSTEM_STATE.+slice.+state.+changed )|(ment ac)|(multiple cpu faults)|(system.+state.+changed )|(\[timeout)|(PRM\|1\|D)|(kpr)|(kdp)|(\|lc)|(penalty))" /e /r /s</v>
      </c>
      <c r="AG122" s="1" t="str">
        <f t="shared" si="36"/>
        <v>EC</v>
      </c>
      <c r="AH122" s="92" t="str">
        <f t="shared" si="37"/>
        <v>"%USERPROFILE%\Documents\GitHub\eaglep3\Utilities\RefineRTDCRunTimes.py" --tripid 211-11 --locoid 4011 --swversion DE.1.0.8.0 --startMP 204:457 --initTime 2016-12-11T17:33:12 --startdatetime 2016-12-11T17:37:27 --delay 2 --endMP 204:233314 --enddatetime 2016-12-11T18:25:58 --enforcementcount 1 &gt;&gt;C:\Users\stu\Documents\GitHub\eaglep3-reporting\EC\2016-12-11-refined-times.txt</v>
      </c>
      <c r="AI122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{"issue":{"subject":"","project_id":79,"tracker_id":40,"status_id":1,"priority_id":2,"assigned_to_id":23,"start_date":"2016-12-11","description":"","custom_fields":[{"id":1,"name":"Subdivision","value":"EC"},{"id":4,"name":"Milepost","value":"23.3314"},{"id":17,"name":"Train ID","value":"211-11"},{"id":16,"name":"Locomotive ID","value":"4011"},{"id":130,"name":"Impact","value":""},{"id":150,"name":"Time of Event (Mountain Time)","value":"18:25:58"},{"id":151,"name":"Denver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2" s="53"/>
      <c r="AK122" s="53"/>
      <c r="AL122" s="53"/>
      <c r="AM122"/>
      <c r="AN122"/>
      <c r="AO122"/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  <c r="BH122"/>
      <c r="BI122"/>
      <c r="BJ122"/>
      <c r="BK122"/>
      <c r="BL122"/>
      <c r="BM122"/>
      <c r="BN122"/>
      <c r="BO122"/>
      <c r="BP122"/>
      <c r="BQ122"/>
      <c r="BR122"/>
      <c r="BS122"/>
      <c r="BT122"/>
      <c r="BU122"/>
      <c r="BV122"/>
      <c r="BW122"/>
      <c r="BX122"/>
      <c r="BY122"/>
      <c r="BZ122"/>
      <c r="CA122"/>
      <c r="CB122"/>
      <c r="CC122"/>
      <c r="CD122"/>
      <c r="CE122"/>
      <c r="CF122"/>
      <c r="CG122"/>
      <c r="CH122"/>
      <c r="CI122"/>
      <c r="CJ122"/>
      <c r="CK122"/>
      <c r="CL122"/>
      <c r="CM122"/>
    </row>
    <row r="123" spans="1:91" s="21" customFormat="1" x14ac:dyDescent="0.25">
      <c r="A123" s="37" t="s">
        <v>623</v>
      </c>
      <c r="B123" s="7">
        <v>4012</v>
      </c>
      <c r="C123" s="22" t="s">
        <v>207</v>
      </c>
      <c r="D123" s="22" t="s">
        <v>413</v>
      </c>
      <c r="E123" s="13">
        <v>42715.774814814817</v>
      </c>
      <c r="F123" s="13">
        <v>42715.778587962966</v>
      </c>
      <c r="G123" s="7">
        <v>1</v>
      </c>
      <c r="H123" s="22" t="s">
        <v>193</v>
      </c>
      <c r="I123" s="13">
        <v>42715.810243055559</v>
      </c>
      <c r="J123" s="7">
        <v>1</v>
      </c>
      <c r="K123" s="109" t="str">
        <f t="shared" si="25"/>
        <v>4011/4012</v>
      </c>
      <c r="L123" s="22" t="str">
        <f>VLOOKUP(A123,'Trips&amp;Operators'!$C$1:$G$99999,5,FALSE)</f>
        <v>BERLING GARY</v>
      </c>
      <c r="M123" s="6">
        <f t="shared" si="26"/>
        <v>3.1655092592700385E-2</v>
      </c>
      <c r="N123" s="7">
        <f t="shared" si="42"/>
        <v>45.583333333488554</v>
      </c>
      <c r="O123" s="7"/>
      <c r="P123" s="7"/>
      <c r="Q123" s="23"/>
      <c r="R123" s="23"/>
      <c r="S123" s="35">
        <f t="shared" si="44"/>
        <v>1</v>
      </c>
      <c r="T123" s="50" t="str">
        <f t="shared" si="27"/>
        <v>Southbound</v>
      </c>
      <c r="U123" s="171">
        <f>IF(AG123="EC",COUNTIFS(Variables!$M$2:$M$19,IF(T123="NorthBound","&gt;=","&lt;=")&amp;Y123,Variables!$M$2:$M$19,IF(T123="NorthBound","&lt;=","&gt;=")&amp;Z123),COUNTIFS(Variables!$P$2:$P$19,IF(T123="NorthBound","&gt;=","&lt;=")&amp;Y123,Variables!$P$2:$P$19,IF(T123="NorthBound","&lt;=","&gt;=")&amp;Z123))</f>
        <v>12</v>
      </c>
      <c r="V12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17:35:44-700',mode:absolute,to:'2016-12-11 20:26:45-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23" s="52" t="str">
        <f t="shared" si="29"/>
        <v>N</v>
      </c>
      <c r="X123" s="177">
        <f t="shared" si="43"/>
        <v>1</v>
      </c>
      <c r="Y123" s="67">
        <f t="shared" si="30"/>
        <v>23.298300000000001</v>
      </c>
      <c r="Z123" s="67">
        <f t="shared" si="31"/>
        <v>1.43E-2</v>
      </c>
      <c r="AA123" s="67">
        <f t="shared" si="32"/>
        <v>23.284000000000002</v>
      </c>
      <c r="AB123" s="64" t="e">
        <f>VLOOKUP(A123,Enforcements!$C$7:$K$20,8,0)</f>
        <v>#N/A</v>
      </c>
      <c r="AC123" s="60" t="e">
        <f>VLOOKUP(A123,Enforcements!$C$7:$E$20,3,0)</f>
        <v>#N/A</v>
      </c>
      <c r="AD123" s="61" t="str">
        <f t="shared" si="33"/>
        <v>0212-11</v>
      </c>
      <c r="AE123" s="91" t="str">
        <f t="shared" si="34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123" s="88" t="str">
        <f t="shared" si="35"/>
        <v>"C:\Program Files (x86)\AstroGrep\AstroGrep.exe" /spath="%USERPROFILE%\AppData\Local\Temp\OnboardLogs" /stypes="app*4012*20161212*" /stext=" 02:.+((SYSTEM_STATE.+slice.+state.+changed )|(ment ac)|(multiple cpu faults)|(system.+state.+changed )|(\[timeout)|(PRM\|1\|D)|(kpr)|(kdp)|(\|lc)|(penalty))" /e /r /s</v>
      </c>
      <c r="AG123" s="1" t="str">
        <f t="shared" si="36"/>
        <v>EC</v>
      </c>
      <c r="AH123" s="92" t="str">
        <f t="shared" si="37"/>
        <v>"%USERPROFILE%\Documents\GitHub\eaglep3\Utilities\RefineRTDCRunTimes.py" --tripid 212-11 --locoid 4012 --swversion DE.1.0.8.0 --startMP 204:232983 --initTime 2016-12-11T18:35:44 --startdatetime 2016-12-11T18:41:10 --delay 1 --endMP 204:143 --enddatetime 2016-12-11T19:26:45 --enforcementcount 1 &gt;&gt;C:\Users\stu\Documents\GitHub\eaglep3-reporting\EC\2016-12-11-refined-times.txt</v>
      </c>
      <c r="AI123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{"issue":{"subject":"","project_id":79,"tracker_id":40,"status_id":1,"priority_id":2,"assigned_to_id":23,"start_date":"2016-12-11","description":"","custom_fields":[{"id":1,"name":"Subdivision","value":"EC"},{"id":4,"name":"Milepost","value":"0.0143"},{"id":17,"name":"Train ID","value":"212-11"},{"id":16,"name":"Locomotive ID","value":"4012"},{"id":130,"name":"Impact","value":""},{"id":150,"name":"Time of Event (Mountain Time)","value":"19:26:45"},{"id":151,"name":"Denver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3" s="53"/>
      <c r="AK123" s="53"/>
      <c r="AL123" s="53"/>
      <c r="AM123"/>
      <c r="AN123"/>
      <c r="AO123"/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  <c r="BH123"/>
      <c r="BI123"/>
      <c r="BJ123"/>
      <c r="BK123"/>
      <c r="BL123"/>
      <c r="BM123"/>
      <c r="BN123"/>
      <c r="BO123"/>
      <c r="BP123"/>
      <c r="BQ123"/>
      <c r="BR123"/>
      <c r="BS123"/>
      <c r="BT123"/>
      <c r="BU123"/>
      <c r="BV123"/>
      <c r="BW123"/>
      <c r="BX123"/>
      <c r="BY123"/>
      <c r="BZ123"/>
      <c r="CA123"/>
      <c r="CB123"/>
      <c r="CC123"/>
      <c r="CD123"/>
      <c r="CE123"/>
      <c r="CF123"/>
      <c r="CG123"/>
      <c r="CH123"/>
      <c r="CI123"/>
      <c r="CJ123"/>
      <c r="CK123"/>
      <c r="CL123"/>
      <c r="CM123"/>
    </row>
    <row r="124" spans="1:91" s="21" customFormat="1" x14ac:dyDescent="0.25">
      <c r="A124" s="37" t="s">
        <v>616</v>
      </c>
      <c r="B124" s="7">
        <v>4044</v>
      </c>
      <c r="C124" s="22" t="s">
        <v>207</v>
      </c>
      <c r="D124" s="22" t="s">
        <v>259</v>
      </c>
      <c r="E124" s="13">
        <v>42715.742256944446</v>
      </c>
      <c r="F124" s="13">
        <v>42715.744456018518</v>
      </c>
      <c r="G124" s="7">
        <v>1</v>
      </c>
      <c r="H124" s="22" t="s">
        <v>776</v>
      </c>
      <c r="I124" s="13">
        <v>42715.774178240739</v>
      </c>
      <c r="J124" s="7">
        <v>1</v>
      </c>
      <c r="K124" s="109" t="str">
        <f t="shared" si="25"/>
        <v>4043/4044</v>
      </c>
      <c r="L124" s="22" t="str">
        <f>VLOOKUP(A124,'Trips&amp;Operators'!$C$1:$G$99999,5,FALSE)</f>
        <v>COOLAHAN JOHN</v>
      </c>
      <c r="M124" s="6">
        <f t="shared" si="26"/>
        <v>2.9722222221607808E-2</v>
      </c>
      <c r="N124" s="7">
        <f t="shared" si="42"/>
        <v>42.799999999115244</v>
      </c>
      <c r="O124" s="7"/>
      <c r="P124" s="7"/>
      <c r="Q124" s="23"/>
      <c r="R124" s="23"/>
      <c r="S124" s="35">
        <f t="shared" si="44"/>
        <v>1</v>
      </c>
      <c r="T124" s="50" t="str">
        <f t="shared" si="27"/>
        <v>NorthBound</v>
      </c>
      <c r="U124" s="171">
        <f>IF(AG124="EC",COUNTIFS(Variables!$M$2:$M$19,IF(T124="NorthBound","&gt;=","&lt;=")&amp;Y124,Variables!$M$2:$M$19,IF(T124="NorthBound","&lt;=","&gt;=")&amp;Z124),COUNTIFS(Variables!$P$2:$P$19,IF(T124="NorthBound","&gt;=","&lt;=")&amp;Y124,Variables!$P$2:$P$19,IF(T124="NorthBound","&lt;=","&gt;=")&amp;Z124))</f>
        <v>12</v>
      </c>
      <c r="V12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16:48:51-700',mode:absolute,to:'2016-12-11 19:34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24" s="52" t="str">
        <f t="shared" si="29"/>
        <v>N</v>
      </c>
      <c r="X124" s="177">
        <f t="shared" si="43"/>
        <v>1</v>
      </c>
      <c r="Y124" s="67">
        <f t="shared" si="30"/>
        <v>4.58E-2</v>
      </c>
      <c r="Z124" s="67">
        <f t="shared" si="31"/>
        <v>23.328600000000002</v>
      </c>
      <c r="AA124" s="67">
        <f t="shared" si="32"/>
        <v>23.282800000000002</v>
      </c>
      <c r="AB124" s="64" t="e">
        <f>VLOOKUP(A124,Enforcements!$C$7:$K$20,8,0)</f>
        <v>#N/A</v>
      </c>
      <c r="AC124" s="60" t="e">
        <f>VLOOKUP(A124,Enforcements!$C$7:$E$20,3,0)</f>
        <v>#N/A</v>
      </c>
      <c r="AD124" s="61" t="str">
        <f t="shared" si="33"/>
        <v>0213-11</v>
      </c>
      <c r="AE124" s="91" t="str">
        <f t="shared" si="34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124" s="88" t="str">
        <f t="shared" si="35"/>
        <v>"C:\Program Files (x86)\AstroGrep\AstroGrep.exe" /spath="%USERPROFILE%\AppData\Local\Temp\OnboardLogs" /stypes="app*4044*20161212*" /stext=" 01:.+((SYSTEM_STATE.+slice.+state.+changed )|(ment ac)|(multiple cpu faults)|(system.+state.+changed )|(\[timeout)|(PRM\|1\|D)|(kpr)|(kdp)|(\|lc)|(penalty))" /e /r /s</v>
      </c>
      <c r="AG124" s="1" t="str">
        <f t="shared" si="36"/>
        <v>EC</v>
      </c>
      <c r="AH124" s="92" t="str">
        <f t="shared" si="37"/>
        <v>"%USERPROFILE%\Documents\GitHub\eaglep3\Utilities\RefineRTDCRunTimes.py" --tripid 213-11 --locoid 4044 --swversion DE.1.0.8.0 --startMP 204:458 --initTime 2016-12-11T17:48:51 --startdatetime 2016-12-11T17:52:01 --delay 1 --endMP 204:233286 --enddatetime 2016-12-11T18:34:49 --enforcementcount 1 &gt;&gt;C:\Users\stu\Documents\GitHub\eaglep3-reporting\EC\2016-12-11-refined-times.txt</v>
      </c>
      <c r="AI124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{"issue":{"subject":"","project_id":79,"tracker_id":40,"status_id":1,"priority_id":2,"assigned_to_id":23,"start_date":"2016-12-11","description":"","custom_fields":[{"id":1,"name":"Subdivision","value":"EC"},{"id":4,"name":"Milepost","value":"23.3286"},{"id":17,"name":"Train ID","value":"213-11"},{"id":16,"name":"Locomotive ID","value":"4044"},{"id":130,"name":"Impact","value":""},{"id":150,"name":"Time of Event (Mountain Time)","value":"18:34:49"},{"id":151,"name":"Denver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4" s="53"/>
      <c r="AK124" s="53"/>
      <c r="AL124" s="53"/>
      <c r="AM124"/>
      <c r="AN124"/>
      <c r="AO124"/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  <c r="BH124"/>
      <c r="BI124"/>
      <c r="BJ124"/>
      <c r="BK124"/>
      <c r="BL124"/>
      <c r="BM124"/>
      <c r="BN124"/>
      <c r="BO124"/>
      <c r="BP124"/>
      <c r="BQ124"/>
      <c r="BR124"/>
      <c r="BS124"/>
      <c r="BT124"/>
      <c r="BU124"/>
      <c r="BV124"/>
      <c r="BW124"/>
      <c r="BX124"/>
      <c r="BY124"/>
      <c r="BZ124"/>
      <c r="CA124"/>
      <c r="CB124"/>
      <c r="CC124"/>
      <c r="CD124"/>
      <c r="CE124"/>
      <c r="CF124"/>
      <c r="CG124"/>
      <c r="CH124"/>
      <c r="CI124"/>
      <c r="CJ124"/>
      <c r="CK124"/>
      <c r="CL124"/>
      <c r="CM124"/>
    </row>
    <row r="125" spans="1:91" s="21" customFormat="1" x14ac:dyDescent="0.25">
      <c r="A125" s="37" t="s">
        <v>624</v>
      </c>
      <c r="B125" s="7">
        <v>4043</v>
      </c>
      <c r="C125" s="22" t="s">
        <v>207</v>
      </c>
      <c r="D125" s="22" t="s">
        <v>780</v>
      </c>
      <c r="E125" s="13">
        <v>42715.7812037037</v>
      </c>
      <c r="F125" s="13">
        <v>42715.783726851849</v>
      </c>
      <c r="G125" s="7">
        <v>2</v>
      </c>
      <c r="H125" s="22" t="s">
        <v>781</v>
      </c>
      <c r="I125" s="13">
        <v>42715.805960648147</v>
      </c>
      <c r="J125" s="7">
        <v>1</v>
      </c>
      <c r="K125" s="109" t="str">
        <f t="shared" si="25"/>
        <v>4043/4044</v>
      </c>
      <c r="L125" s="22" t="str">
        <f>VLOOKUP(A125,'Trips&amp;Operators'!$C$1:$G$99999,5,FALSE)</f>
        <v>COOLAHAN JOHN</v>
      </c>
      <c r="M125" s="6">
        <f t="shared" si="26"/>
        <v>2.2233796298678499E-2</v>
      </c>
      <c r="N125" s="7"/>
      <c r="O125" s="7"/>
      <c r="P125" s="7">
        <f>24*60*SUM($M125:$M126)</f>
        <v>42.983333333395422</v>
      </c>
      <c r="Q125" s="23"/>
      <c r="R125" s="23" t="s">
        <v>840</v>
      </c>
      <c r="S125" s="35">
        <f>SUM(U125:U126)/IF(AG125="EC",12,1)</f>
        <v>0.58333333333333337</v>
      </c>
      <c r="T125" s="50" t="str">
        <f t="shared" si="27"/>
        <v>Southbound</v>
      </c>
      <c r="U125" s="171">
        <f>IF(AG125="EC",COUNTIFS(Variables!$M$2:$M$19,IF(T125="NorthBound","&gt;=","&lt;=")&amp;Y125,Variables!$M$2:$M$19,IF(T125="NorthBound","&lt;=","&gt;=")&amp;Z125),COUNTIFS(Variables!$P$2:$P$19,IF(T125="NorthBound","&gt;=","&lt;=")&amp;Y125,Variables!$P$2:$P$19,IF(T125="NorthBound","&lt;=","&gt;=")&amp;Z125))</f>
        <v>4</v>
      </c>
      <c r="V12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17:44:56-700',mode:absolute,to:'2016-12-11 20:20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5" s="52" t="str">
        <f t="shared" si="29"/>
        <v>Y</v>
      </c>
      <c r="X125" s="177">
        <f t="shared" si="43"/>
        <v>1</v>
      </c>
      <c r="Y125" s="67">
        <f t="shared" si="30"/>
        <v>23.296900000000001</v>
      </c>
      <c r="Z125" s="67">
        <f t="shared" si="31"/>
        <v>6.1962999999999999</v>
      </c>
      <c r="AA125" s="67">
        <f t="shared" si="32"/>
        <v>17.1006</v>
      </c>
      <c r="AB125" s="64" t="e">
        <f>VLOOKUP(A125,Enforcements!$C$7:$K$20,8,0)</f>
        <v>#N/A</v>
      </c>
      <c r="AC125" s="60" t="e">
        <f>VLOOKUP(A125,Enforcements!$C$7:$E$20,3,0)</f>
        <v>#N/A</v>
      </c>
      <c r="AD125" s="61" t="str">
        <f t="shared" si="33"/>
        <v>0214-11</v>
      </c>
      <c r="AE125" s="91" t="str">
        <f t="shared" si="34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125" s="88" t="str">
        <f t="shared" si="35"/>
        <v>"C:\Program Files (x86)\AstroGrep\AstroGrep.exe" /spath="%USERPROFILE%\AppData\Local\Temp\OnboardLogs" /stypes="app*4043*20161212*" /stext=" 02:.+((SYSTEM_STATE.+slice.+state.+changed )|(ment ac)|(multiple cpu faults)|(system.+state.+changed )|(\[timeout)|(PRM\|1\|D)|(kpr)|(kdp)|(\|lc)|(penalty))" /e /r /s</v>
      </c>
      <c r="AG125" s="1" t="str">
        <f t="shared" si="36"/>
        <v>EC</v>
      </c>
      <c r="AH125" s="92" t="str">
        <f t="shared" si="37"/>
        <v>"%USERPROFILE%\Documents\GitHub\eaglep3\Utilities\RefineRTDCRunTimes.py" --tripid 214-11 --locoid 4043 --swversion DE.1.0.8.0 --startMP 204:232969 --initTime 2016-12-11T18:44:56 --startdatetime 2016-12-11T18:48:34 --delay 2 --endMP 204:61963 --enddatetime 2016-12-11T19:20:35 --enforcementcount 1 &gt;&gt;C:\Users\stu\Documents\GitHub\eaglep3-reporting\EC\2016-12-11-refined-times.txt</v>
      </c>
      <c r="AI125" s="119" t="str">
        <f t="shared" si="38"/>
        <v>echo {"issue":{"subject":"Quebec 4S stuck at STOP","project_id":79,"tracker_id":40,"status_id":1,"priority_id":2,"assigned_to_id":23,"start_date":"2016-12-11","description":"Around 19:12:47, Quebec 4S dropped from PROCEED CAB to STOP. Seemed to stay that way for a while. Do logs show anything weird?","custom_fields":[{"id":1,"name":"Subdivision","value":"EC"},{"id":4,"name":"Milepost","value":"6.1963"},{"id":17,"name":"Train ID","value":"214-11"},{"id":16,"name":"Locomotive ID","value":"4043"},{"id":130,"name":"Impact","value":"Unexpected Cut-Out or Disengaged"},{"id":150,"name":"Time of Event (Mountain Time)","value":"19:20:35"},{"id":151,"name":"Denver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AJ125" s="53" t="s">
        <v>841</v>
      </c>
      <c r="AK125" s="53" t="s">
        <v>131</v>
      </c>
      <c r="AL125" s="53" t="s">
        <v>130</v>
      </c>
      <c r="AM125"/>
      <c r="AN125"/>
      <c r="AO125"/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  <c r="BH125"/>
      <c r="BI125"/>
      <c r="BJ125"/>
      <c r="BK125"/>
      <c r="BL125"/>
      <c r="BM125"/>
      <c r="BN125"/>
      <c r="BO125"/>
      <c r="BP125"/>
      <c r="BQ125"/>
      <c r="BR125"/>
      <c r="BS125"/>
      <c r="BT125"/>
      <c r="BU125"/>
      <c r="BV125"/>
      <c r="BW125"/>
      <c r="BX125"/>
      <c r="BY125"/>
      <c r="BZ125"/>
      <c r="CA125"/>
      <c r="CB125"/>
      <c r="CC125"/>
      <c r="CD125"/>
      <c r="CE125"/>
      <c r="CF125"/>
      <c r="CG125"/>
      <c r="CH125"/>
      <c r="CI125"/>
      <c r="CJ125"/>
      <c r="CK125"/>
      <c r="CL125"/>
      <c r="CM125"/>
    </row>
    <row r="126" spans="1:91" s="21" customFormat="1" x14ac:dyDescent="0.25">
      <c r="A126" s="37" t="s">
        <v>624</v>
      </c>
      <c r="B126" s="7">
        <v>4043</v>
      </c>
      <c r="C126" s="22" t="s">
        <v>207</v>
      </c>
      <c r="D126" s="22" t="s">
        <v>782</v>
      </c>
      <c r="E126" s="13">
        <v>42715.808587962965</v>
      </c>
      <c r="F126" s="13">
        <v>42715.809351851851</v>
      </c>
      <c r="G126" s="7">
        <v>1</v>
      </c>
      <c r="H126" s="22" t="s">
        <v>292</v>
      </c>
      <c r="I126" s="13">
        <v>42715.816967592589</v>
      </c>
      <c r="J126" s="7">
        <v>1</v>
      </c>
      <c r="K126" s="109" t="str">
        <f t="shared" si="25"/>
        <v>4043/4044</v>
      </c>
      <c r="L126" s="22" t="str">
        <f>VLOOKUP(A126,'Trips&amp;Operators'!$C$1:$G$99999,5,FALSE)</f>
        <v>COOLAHAN JOHN</v>
      </c>
      <c r="M126" s="6">
        <f t="shared" si="26"/>
        <v>7.6157407384016551E-3</v>
      </c>
      <c r="N126" s="7"/>
      <c r="O126" s="7"/>
      <c r="P126" s="7"/>
      <c r="Q126" s="23"/>
      <c r="R126" s="23"/>
      <c r="S126" s="35"/>
      <c r="T126" s="50" t="str">
        <f t="shared" si="27"/>
        <v>Southbound</v>
      </c>
      <c r="U126" s="171">
        <f>IF(AG126="EC",COUNTIFS(Variables!$M$2:$M$19,IF(T126="NorthBound","&gt;=","&lt;=")&amp;Y126,Variables!$M$2:$M$19,IF(T126="NorthBound","&lt;=","&gt;=")&amp;Z126),COUNTIFS(Variables!$P$2:$P$19,IF(T126="NorthBound","&gt;=","&lt;=")&amp;Y126,Variables!$P$2:$P$19,IF(T126="NorthBound","&lt;=","&gt;=")&amp;Z126))</f>
        <v>3</v>
      </c>
      <c r="V12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18:24:22-700',mode:absolute,to:'2016-12-11 20:36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26" s="52" t="str">
        <f t="shared" si="29"/>
        <v>Y</v>
      </c>
      <c r="X126" s="177">
        <f t="shared" si="43"/>
        <v>0</v>
      </c>
      <c r="Y126" s="67">
        <f t="shared" si="30"/>
        <v>3.6758999999999999</v>
      </c>
      <c r="Z126" s="67">
        <f t="shared" si="31"/>
        <v>1.52E-2</v>
      </c>
      <c r="AA126" s="67">
        <f t="shared" si="32"/>
        <v>3.6606999999999998</v>
      </c>
      <c r="AB126" s="64" t="e">
        <f>VLOOKUP(A126,Enforcements!$C$7:$K$20,8,0)</f>
        <v>#N/A</v>
      </c>
      <c r="AC126" s="60" t="e">
        <f>VLOOKUP(A126,Enforcements!$C$7:$E$20,3,0)</f>
        <v>#N/A</v>
      </c>
      <c r="AD126" s="61" t="str">
        <f t="shared" si="33"/>
        <v>0214-11</v>
      </c>
      <c r="AE126" s="91" t="str">
        <f t="shared" si="34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126" s="88" t="str">
        <f t="shared" si="35"/>
        <v>"C:\Program Files (x86)\AstroGrep\AstroGrep.exe" /spath="%USERPROFILE%\AppData\Local\Temp\OnboardLogs" /stypes="app*4043*20161212*" /stext=" 02:.+((SYSTEM_STATE.+slice.+state.+changed )|(ment ac)|(multiple cpu faults)|(system.+state.+changed )|(\[timeout)|(PRM\|1\|D)|(kpr)|(kdp)|(\|lc)|(penalty))" /e /r /s</v>
      </c>
      <c r="AG126" s="1" t="str">
        <f t="shared" si="36"/>
        <v>EC</v>
      </c>
      <c r="AH126" s="92" t="str">
        <f t="shared" si="37"/>
        <v>"%USERPROFILE%\Documents\GitHub\eaglep3\Utilities\RefineRTDCRunTimes.py" --tripid 214-11 --locoid 4043 --swversion DE.1.0.8.0 --startMP 204:36759 --initTime 2016-12-11T19:24:22 --startdatetime 2016-12-11T19:25:28 --delay 1 --endMP 204:152 --enddatetime 2016-12-11T19:36:26 --enforcementcount 1 &gt;&gt;C:\Users\stu\Documents\GitHub\eaglep3-reporting\EC\2016-12-11-refined-times.txt</v>
      </c>
      <c r="AI126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{"issue":{"subject":"","project_id":79,"tracker_id":40,"status_id":1,"priority_id":2,"assigned_to_id":23,"start_date":"2016-12-11","description":"","custom_fields":[{"id":1,"name":"Subdivision","value":"EC"},{"id":4,"name":"Milepost","value":"0.0152"},{"id":17,"name":"Train ID","value":"214-11"},{"id":16,"name":"Locomotive ID","value":"4043"},{"id":130,"name":"Impact","value":""},{"id":150,"name":"Time of Event (Mountain Time)","value":"19:36:26"},{"id":151,"name":"Denver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6" s="53"/>
      <c r="AK126" s="53"/>
      <c r="AL126" s="53"/>
      <c r="AM126"/>
      <c r="AN126"/>
      <c r="AO126"/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  <c r="BH126"/>
      <c r="BI126"/>
      <c r="BJ126"/>
      <c r="BK126"/>
      <c r="BL126"/>
      <c r="BM126"/>
      <c r="BN126"/>
      <c r="BO126"/>
      <c r="BP126"/>
      <c r="BQ126"/>
      <c r="BR126"/>
      <c r="BS126"/>
      <c r="BT126"/>
      <c r="BU126"/>
      <c r="BV126"/>
      <c r="BW126"/>
      <c r="BX126"/>
      <c r="BY126"/>
      <c r="BZ126"/>
      <c r="CA126"/>
      <c r="CB126"/>
      <c r="CC126"/>
      <c r="CD126"/>
      <c r="CE126"/>
      <c r="CF126"/>
      <c r="CG126"/>
      <c r="CH126"/>
      <c r="CI126"/>
      <c r="CJ126"/>
      <c r="CK126"/>
      <c r="CL126"/>
      <c r="CM126"/>
    </row>
    <row r="127" spans="1:91" s="21" customFormat="1" x14ac:dyDescent="0.25">
      <c r="A127" s="37" t="s">
        <v>618</v>
      </c>
      <c r="B127" s="7">
        <v>4009</v>
      </c>
      <c r="C127" s="22" t="s">
        <v>207</v>
      </c>
      <c r="D127" s="22" t="s">
        <v>237</v>
      </c>
      <c r="E127" s="13">
        <v>42715.754953703705</v>
      </c>
      <c r="F127" s="13">
        <v>42715.757025462961</v>
      </c>
      <c r="G127" s="7">
        <v>1</v>
      </c>
      <c r="H127" s="22" t="s">
        <v>245</v>
      </c>
      <c r="I127" s="13">
        <v>42715.782696759263</v>
      </c>
      <c r="J127" s="7">
        <v>1</v>
      </c>
      <c r="K127" s="109" t="str">
        <f t="shared" si="25"/>
        <v>4009/4010</v>
      </c>
      <c r="L127" s="22" t="str">
        <f>VLOOKUP(A127,'Trips&amp;Operators'!$C$1:$G$99999,5,FALSE)</f>
        <v>SHOOK JOHN</v>
      </c>
      <c r="M127" s="6">
        <f t="shared" si="26"/>
        <v>2.567129630187992E-2</v>
      </c>
      <c r="N127" s="7">
        <f t="shared" ref="N127:N158" si="45">24*60*SUM($M127:$M127)</f>
        <v>36.966666674707085</v>
      </c>
      <c r="O127" s="7"/>
      <c r="P127" s="7"/>
      <c r="Q127" s="23"/>
      <c r="R127" s="23"/>
      <c r="S127" s="35">
        <f t="shared" ref="S127:S158" si="46">SUM(U127:U127)/IF(AG127="EC",12,1)</f>
        <v>1</v>
      </c>
      <c r="T127" s="50" t="str">
        <f t="shared" si="27"/>
        <v>NorthBound</v>
      </c>
      <c r="U127" s="171">
        <f>IF(AG127="EC",COUNTIFS(Variables!$M$2:$M$19,IF(T127="NorthBound","&gt;=","&lt;=")&amp;Y127,Variables!$M$2:$M$19,IF(T127="NorthBound","&lt;=","&gt;=")&amp;Z127),COUNTIFS(Variables!$P$2:$P$19,IF(T127="NorthBound","&gt;=","&lt;=")&amp;Y127,Variables!$P$2:$P$19,IF(T127="NorthBound","&lt;=","&gt;=")&amp;Z127))</f>
        <v>12</v>
      </c>
      <c r="V12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17:07:08-700',mode:absolute,to:'2016-12-11 19:47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27" s="52" t="str">
        <f t="shared" si="29"/>
        <v>N</v>
      </c>
      <c r="X127" s="177">
        <f t="shared" si="43"/>
        <v>1</v>
      </c>
      <c r="Y127" s="67">
        <f t="shared" si="30"/>
        <v>4.5699999999999998E-2</v>
      </c>
      <c r="Z127" s="67">
        <f t="shared" si="31"/>
        <v>23.329799999999999</v>
      </c>
      <c r="AA127" s="67">
        <f t="shared" si="32"/>
        <v>23.284099999999999</v>
      </c>
      <c r="AB127" s="64" t="e">
        <f>VLOOKUP(A127,Enforcements!$C$7:$K$20,8,0)</f>
        <v>#N/A</v>
      </c>
      <c r="AC127" s="60" t="e">
        <f>VLOOKUP(A127,Enforcements!$C$7:$E$20,3,0)</f>
        <v>#N/A</v>
      </c>
      <c r="AD127" s="61" t="str">
        <f t="shared" si="33"/>
        <v>0215-11</v>
      </c>
      <c r="AE127" s="91" t="str">
        <f t="shared" si="34"/>
        <v>aws s3 cp s3://rtdc.mdm.uploadarchive.raw/RTDC4009/ "%USERPROFILE%\AppData\Local\Temp\OnboardLogs"\RTDC4009\2016-12-11 --exclude "*" --recursive --include "*20161211*" &amp; "%USERPROFILE%\Documents\GitHub\mrs-test-scripts\Headless Mode &amp; Sideloading\WalkAndUnGZ.bat" "%USERPROFILE%\AppData\Local\Temp\OnboardLogs"\RTDC4009\2016-12-11 &amp; aws s3 cp s3://rtdc.mdm.uploadarchive.raw/RTDC4009/ "%USERPROFILE%\AppData\Local\Temp\OnboardLogs"\RTDC4009\2016-12-12 --exclude "*" --recursive --include "*20161212*" &amp; "%USERPROFILE%\Documents\GitHub\mrs-test-scripts\Headless Mode &amp; Sideloading\WalkAndUnGZ.bat" "%USERPROFILE%\AppData\Local\Temp\OnboardLogs"\RTDC4009\2016-12-12</v>
      </c>
      <c r="AF127" s="88" t="str">
        <f t="shared" si="35"/>
        <v>"C:\Program Files (x86)\AstroGrep\AstroGrep.exe" /spath="%USERPROFILE%\AppData\Local\Temp\OnboardLogs" /stypes="app*4009*20161212*" /stext=" 01:.+((SYSTEM_STATE.+slice.+state.+changed )|(ment ac)|(multiple cpu faults)|(system.+state.+changed )|(\[timeout)|(PRM\|1\|D)|(kpr)|(kdp)|(\|lc)|(penalty))" /e /r /s</v>
      </c>
      <c r="AG127" s="1" t="str">
        <f t="shared" si="36"/>
        <v>EC</v>
      </c>
      <c r="AH127" s="92" t="str">
        <f t="shared" si="37"/>
        <v>"%USERPROFILE%\Documents\GitHub\eaglep3\Utilities\RefineRTDCRunTimes.py" --tripid 215-11 --locoid 4009 --swversion DE.1.0.8.0 --startMP 204:457 --initTime 2016-12-11T18:07:08 --startdatetime 2016-12-11T18:10:07 --delay 1 --endMP 204:233298 --enddatetime 2016-12-11T18:47:05 --enforcementcount 1 &gt;&gt;C:\Users\stu\Documents\GitHub\eaglep3-reporting\EC\2016-12-11-refined-times.txt</v>
      </c>
      <c r="AI127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{"issue":{"subject":"","project_id":79,"tracker_id":40,"status_id":1,"priority_id":2,"assigned_to_id":23,"start_date":"2016-12-11","description":"","custom_fields":[{"id":1,"name":"Subdivision","value":"EC"},{"id":4,"name":"Milepost","value":"23.3298"},{"id":17,"name":"Train ID","value":"215-11"},{"id":16,"name":"Locomotive ID","value":"4009"},{"id":130,"name":"Impact","value":""},{"id":150,"name":"Time of Event (Mountain Time)","value":"18:47:05"},{"id":151,"name":"Denver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7" s="53"/>
      <c r="AK127" s="53"/>
      <c r="AL127" s="53"/>
      <c r="AM127"/>
      <c r="AN127"/>
      <c r="AO127"/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  <c r="BH127"/>
      <c r="BI127"/>
      <c r="BJ127"/>
      <c r="BK127"/>
      <c r="BL127"/>
      <c r="BM127"/>
      <c r="BN127"/>
      <c r="BO127"/>
      <c r="BP127"/>
      <c r="BQ127"/>
      <c r="BR127"/>
      <c r="BS127"/>
      <c r="BT127"/>
      <c r="BU127"/>
      <c r="BV127"/>
      <c r="BW127"/>
      <c r="BX127"/>
      <c r="BY127"/>
      <c r="BZ127"/>
      <c r="CA127"/>
      <c r="CB127"/>
      <c r="CC127"/>
      <c r="CD127"/>
      <c r="CE127"/>
      <c r="CF127"/>
      <c r="CG127"/>
      <c r="CH127"/>
      <c r="CI127"/>
      <c r="CJ127"/>
      <c r="CK127"/>
      <c r="CL127"/>
      <c r="CM127"/>
    </row>
    <row r="128" spans="1:91" x14ac:dyDescent="0.25">
      <c r="A128" s="37" t="s">
        <v>626</v>
      </c>
      <c r="B128" s="7">
        <v>4010</v>
      </c>
      <c r="C128" s="22" t="s">
        <v>207</v>
      </c>
      <c r="D128" s="22" t="s">
        <v>351</v>
      </c>
      <c r="E128" s="13">
        <v>42715.786180555559</v>
      </c>
      <c r="F128" s="13">
        <v>42715.789097222223</v>
      </c>
      <c r="G128" s="7">
        <v>1</v>
      </c>
      <c r="H128" s="22" t="s">
        <v>783</v>
      </c>
      <c r="I128" s="13">
        <v>42715.821099537039</v>
      </c>
      <c r="J128" s="7">
        <v>0</v>
      </c>
      <c r="K128" s="109" t="str">
        <f t="shared" si="25"/>
        <v>4009/4010</v>
      </c>
      <c r="L128" s="22" t="str">
        <f>VLOOKUP(A128,'Trips&amp;Operators'!$C$1:$G$99999,5,FALSE)</f>
        <v>SHOOK JOHN</v>
      </c>
      <c r="M128" s="6">
        <f t="shared" si="26"/>
        <v>3.2002314816054422E-2</v>
      </c>
      <c r="N128" s="7">
        <f t="shared" si="45"/>
        <v>46.083333335118368</v>
      </c>
      <c r="O128" s="7"/>
      <c r="P128" s="7"/>
      <c r="Q128" s="23"/>
      <c r="R128" s="23"/>
      <c r="S128" s="35">
        <f t="shared" si="46"/>
        <v>1</v>
      </c>
      <c r="T128" s="50" t="str">
        <f t="shared" si="27"/>
        <v>Southbound</v>
      </c>
      <c r="U128" s="171">
        <f>IF(AG128="EC",COUNTIFS(Variables!$M$2:$M$19,IF(T128="NorthBound","&gt;=","&lt;=")&amp;Y128,Variables!$M$2:$M$19,IF(T128="NorthBound","&lt;=","&gt;=")&amp;Z128),COUNTIFS(Variables!$P$2:$P$19,IF(T128="NorthBound","&gt;=","&lt;=")&amp;Y128,Variables!$P$2:$P$19,IF(T128="NorthBound","&lt;=","&gt;=")&amp;Z128))</f>
        <v>12</v>
      </c>
      <c r="V12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17:52:06-700',mode:absolute,to:'2016-12-11 20:42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28" s="52" t="str">
        <f t="shared" si="29"/>
        <v>N</v>
      </c>
      <c r="X128" s="177">
        <f t="shared" si="43"/>
        <v>1</v>
      </c>
      <c r="Y128" s="67">
        <f t="shared" si="30"/>
        <v>23.298100000000002</v>
      </c>
      <c r="Z128" s="67">
        <f t="shared" si="31"/>
        <v>0.1215</v>
      </c>
      <c r="AA128" s="67">
        <f t="shared" si="32"/>
        <v>23.176600000000001</v>
      </c>
      <c r="AB128" s="64" t="e">
        <f>VLOOKUP(A128,Enforcements!$C$7:$K$20,8,0)</f>
        <v>#N/A</v>
      </c>
      <c r="AC128" s="60" t="e">
        <f>VLOOKUP(A128,Enforcements!$C$7:$E$20,3,0)</f>
        <v>#N/A</v>
      </c>
      <c r="AD128" s="61" t="str">
        <f t="shared" si="33"/>
        <v>0216-11</v>
      </c>
      <c r="AE128" s="91" t="str">
        <f t="shared" si="34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128" s="88" t="str">
        <f t="shared" si="35"/>
        <v>"C:\Program Files (x86)\AstroGrep\AstroGrep.exe" /spath="%USERPROFILE%\AppData\Local\Temp\OnboardLogs" /stypes="app*4010*20161212*" /stext=" 02:.+((SYSTEM_STATE.+slice.+state.+changed )|(ment ac)|(multiple cpu faults)|(system.+state.+changed )|(\[timeout)|(PRM\|1\|D)|(kpr)|(kdp)|(\|lc)|(penalty))" /e /r /s</v>
      </c>
      <c r="AG128" s="1" t="str">
        <f t="shared" si="36"/>
        <v>EC</v>
      </c>
      <c r="AH128" s="92" t="str">
        <f t="shared" si="37"/>
        <v>"%USERPROFILE%\Documents\GitHub\eaglep3\Utilities\RefineRTDCRunTimes.py" --tripid 216-11 --locoid 4010 --swversion DE.1.0.8.0 --startMP 204:232981 --initTime 2016-12-11T18:52:06 --startdatetime 2016-12-11T18:56:18 --delay 1 --endMP 204:1215 --enddatetime 2016-12-11T19:42:23 --enforcementcount 0 &gt;&gt;C:\Users\stu\Documents\GitHub\eaglep3-reporting\EC\2016-12-11-refined-times.txt</v>
      </c>
      <c r="AI128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{"issue":{"subject":"","project_id":79,"tracker_id":40,"status_id":1,"priority_id":2,"assigned_to_id":23,"start_date":"2016-12-11","description":"","custom_fields":[{"id":1,"name":"Subdivision","value":"EC"},{"id":4,"name":"Milepost","value":"0.1215"},{"id":17,"name":"Train ID","value":"216-11"},{"id":16,"name":"Locomotive ID","value":"4010"},{"id":130,"name":"Impact","value":""},{"id":150,"name":"Time of Event (Mountain Time)","value":"19:42:23"},{"id":151,"name":"Denver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8" s="53"/>
      <c r="AK128" s="53"/>
      <c r="AL128" s="53"/>
    </row>
    <row r="129" spans="1:91" x14ac:dyDescent="0.25">
      <c r="A129" s="37" t="s">
        <v>620</v>
      </c>
      <c r="B129" s="7">
        <v>4042</v>
      </c>
      <c r="C129" s="22" t="s">
        <v>207</v>
      </c>
      <c r="D129" s="22" t="s">
        <v>435</v>
      </c>
      <c r="E129" s="13">
        <v>42715.758692129632</v>
      </c>
      <c r="F129" s="13">
        <v>42715.760567129626</v>
      </c>
      <c r="G129" s="7">
        <v>1</v>
      </c>
      <c r="H129" s="22" t="s">
        <v>710</v>
      </c>
      <c r="I129" s="13">
        <v>42715.787523148145</v>
      </c>
      <c r="J129" s="7">
        <v>1</v>
      </c>
      <c r="K129" s="109" t="str">
        <f t="shared" si="25"/>
        <v>4041/4042</v>
      </c>
      <c r="L129" s="22" t="str">
        <f>VLOOKUP(A129,'Trips&amp;Operators'!$C$1:$G$99999,5,FALSE)</f>
        <v>NEWELL JAMES</v>
      </c>
      <c r="M129" s="6">
        <f t="shared" si="26"/>
        <v>2.6956018518831115E-2</v>
      </c>
      <c r="N129" s="7">
        <f t="shared" si="45"/>
        <v>38.816666667116806</v>
      </c>
      <c r="O129" s="7"/>
      <c r="P129" s="7"/>
      <c r="Q129" s="23"/>
      <c r="R129" s="23"/>
      <c r="S129" s="35">
        <f t="shared" si="46"/>
        <v>1</v>
      </c>
      <c r="T129" s="50" t="str">
        <f t="shared" si="27"/>
        <v>NorthBound</v>
      </c>
      <c r="U129" s="171">
        <f>IF(AG129="EC",COUNTIFS(Variables!$M$2:$M$19,IF(T129="NorthBound","&gt;=","&lt;=")&amp;Y129,Variables!$M$2:$M$19,IF(T129="NorthBound","&lt;=","&gt;=")&amp;Z129),COUNTIFS(Variables!$P$2:$P$19,IF(T129="NorthBound","&gt;=","&lt;=")&amp;Y129,Variables!$P$2:$P$19,IF(T129="NorthBound","&lt;=","&gt;=")&amp;Z129))</f>
        <v>12</v>
      </c>
      <c r="V12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17:12:31-700',mode:absolute,to:'2016-12-11 19:54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29" s="52" t="str">
        <f t="shared" si="29"/>
        <v>N</v>
      </c>
      <c r="X129" s="177">
        <f t="shared" si="43"/>
        <v>1</v>
      </c>
      <c r="Y129" s="67">
        <f t="shared" si="30"/>
        <v>4.8000000000000001E-2</v>
      </c>
      <c r="Z129" s="67">
        <f t="shared" si="31"/>
        <v>23.329899999999999</v>
      </c>
      <c r="AA129" s="67">
        <f t="shared" si="32"/>
        <v>23.2819</v>
      </c>
      <c r="AB129" s="64" t="e">
        <f>VLOOKUP(A129,Enforcements!$C$7:$K$20,8,0)</f>
        <v>#N/A</v>
      </c>
      <c r="AC129" s="60" t="e">
        <f>VLOOKUP(A129,Enforcements!$C$7:$E$20,3,0)</f>
        <v>#N/A</v>
      </c>
      <c r="AD129" s="61" t="str">
        <f t="shared" si="33"/>
        <v>0217-11</v>
      </c>
      <c r="AE129" s="91" t="str">
        <f t="shared" si="34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129" s="88" t="str">
        <f t="shared" si="35"/>
        <v>"C:\Program Files (x86)\AstroGrep\AstroGrep.exe" /spath="%USERPROFILE%\AppData\Local\Temp\OnboardLogs" /stypes="app*4042*20161212*" /stext=" 01:.+((SYSTEM_STATE.+slice.+state.+changed )|(ment ac)|(multiple cpu faults)|(system.+state.+changed )|(\[timeout)|(PRM\|1\|D)|(kpr)|(kdp)|(\|lc)|(penalty))" /e /r /s</v>
      </c>
      <c r="AG129" s="1" t="str">
        <f t="shared" si="36"/>
        <v>EC</v>
      </c>
      <c r="AH129" s="92" t="str">
        <f t="shared" si="37"/>
        <v>"%USERPROFILE%\Documents\GitHub\eaglep3\Utilities\RefineRTDCRunTimes.py" --tripid 217-11 --locoid 4042 --swversion DE.1.0.8.0 --startMP 204:480 --initTime 2016-12-11T18:12:31 --startdatetime 2016-12-11T18:15:13 --delay 1 --endMP 204:233299 --enddatetime 2016-12-11T18:54:02 --enforcementcount 1 &gt;&gt;C:\Users\stu\Documents\GitHub\eaglep3-reporting\EC\2016-12-11-refined-times.txt</v>
      </c>
      <c r="AI129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{"issue":{"subject":"","project_id":79,"tracker_id":40,"status_id":1,"priority_id":2,"assigned_to_id":23,"start_date":"2016-12-11","description":"","custom_fields":[{"id":1,"name":"Subdivision","value":"EC"},{"id":4,"name":"Milepost","value":"23.3299"},{"id":17,"name":"Train ID","value":"217-11"},{"id":16,"name":"Locomotive ID","value":"4042"},{"id":130,"name":"Impact","value":""},{"id":150,"name":"Time of Event (Mountain Time)","value":"18:54:02"},{"id":151,"name":"Denver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29" s="53"/>
      <c r="AK129" s="53"/>
      <c r="AL129" s="53"/>
    </row>
    <row r="130" spans="1:91" s="21" customFormat="1" x14ac:dyDescent="0.25">
      <c r="A130" s="37" t="s">
        <v>629</v>
      </c>
      <c r="B130" s="7">
        <v>4041</v>
      </c>
      <c r="C130" s="22" t="s">
        <v>207</v>
      </c>
      <c r="D130" s="22" t="s">
        <v>426</v>
      </c>
      <c r="E130" s="13">
        <v>42715.792175925926</v>
      </c>
      <c r="F130" s="13">
        <v>42715.799456018518</v>
      </c>
      <c r="G130" s="7">
        <v>1</v>
      </c>
      <c r="H130" s="22" t="s">
        <v>423</v>
      </c>
      <c r="I130" s="13">
        <v>42715.826574074075</v>
      </c>
      <c r="J130" s="7">
        <v>1</v>
      </c>
      <c r="K130" s="109" t="str">
        <f t="shared" si="25"/>
        <v>4041/4042</v>
      </c>
      <c r="L130" s="22" t="str">
        <f>VLOOKUP(A130,'Trips&amp;Operators'!$C$1:$G$99999,5,FALSE)</f>
        <v>NEWELL JAMES</v>
      </c>
      <c r="M130" s="6">
        <f t="shared" si="26"/>
        <v>2.7118055557366461E-2</v>
      </c>
      <c r="N130" s="7">
        <f t="shared" si="45"/>
        <v>39.050000002607703</v>
      </c>
      <c r="O130" s="7"/>
      <c r="P130" s="7"/>
      <c r="Q130" s="23"/>
      <c r="R130" s="23"/>
      <c r="S130" s="35">
        <f t="shared" si="46"/>
        <v>1</v>
      </c>
      <c r="T130" s="50" t="str">
        <f t="shared" si="27"/>
        <v>Southbound</v>
      </c>
      <c r="U130" s="171">
        <f>IF(AG130="EC",COUNTIFS(Variables!$M$2:$M$19,IF(T130="NorthBound","&gt;=","&lt;=")&amp;Y130,Variables!$M$2:$M$19,IF(T130="NorthBound","&lt;=","&gt;=")&amp;Z130),COUNTIFS(Variables!$P$2:$P$19,IF(T130="NorthBound","&gt;=","&lt;=")&amp;Y130,Variables!$P$2:$P$19,IF(T130="NorthBound","&lt;=","&gt;=")&amp;Z130))</f>
        <v>12</v>
      </c>
      <c r="V13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18:00:44-700',mode:absolute,to:'2016-12-11 20:50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0" s="52" t="str">
        <f t="shared" si="29"/>
        <v>N</v>
      </c>
      <c r="X130" s="177">
        <f t="shared" si="43"/>
        <v>1</v>
      </c>
      <c r="Y130" s="67">
        <f t="shared" si="30"/>
        <v>23.298200000000001</v>
      </c>
      <c r="Z130" s="67">
        <f t="shared" si="31"/>
        <v>1.6E-2</v>
      </c>
      <c r="AA130" s="67">
        <f t="shared" si="32"/>
        <v>23.282200000000003</v>
      </c>
      <c r="AB130" s="64" t="e">
        <f>VLOOKUP(A130,Enforcements!$C$7:$K$20,8,0)</f>
        <v>#N/A</v>
      </c>
      <c r="AC130" s="60" t="e">
        <f>VLOOKUP(A130,Enforcements!$C$7:$E$20,3,0)</f>
        <v>#N/A</v>
      </c>
      <c r="AD130" s="61" t="str">
        <f t="shared" si="33"/>
        <v>0218-11</v>
      </c>
      <c r="AE130" s="91" t="str">
        <f t="shared" si="34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30" s="88" t="str">
        <f t="shared" si="35"/>
        <v>"C:\Program Files (x86)\AstroGrep\AstroGrep.exe" /spath="%USERPROFILE%\AppData\Local\Temp\OnboardLogs" /stypes="app*4041*20161212*" /stext=" 02:.+((SYSTEM_STATE.+slice.+state.+changed )|(ment ac)|(multiple cpu faults)|(system.+state.+changed )|(\[timeout)|(PRM\|1\|D)|(kpr)|(kdp)|(\|lc)|(penalty))" /e /r /s</v>
      </c>
      <c r="AG130" s="1" t="str">
        <f t="shared" si="36"/>
        <v>EC</v>
      </c>
      <c r="AH130" s="92" t="str">
        <f t="shared" si="37"/>
        <v>"%USERPROFILE%\Documents\GitHub\eaglep3\Utilities\RefineRTDCRunTimes.py" --tripid 218-11 --locoid 4041 --swversion DE.1.0.8.0 --startMP 204:232982 --initTime 2016-12-11T19:00:44 --startdatetime 2016-12-11T19:11:13 --delay 1 --endMP 204:160 --enddatetime 2016-12-11T19:50:16 --enforcementcount 1 &gt;&gt;C:\Users\stu\Documents\GitHub\eaglep3-reporting\EC\2016-12-11-refined-times.txt</v>
      </c>
      <c r="AI130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{"issue":{"subject":"","project_id":79,"tracker_id":40,"status_id":1,"priority_id":2,"assigned_to_id":23,"start_date":"2016-12-11","description":"","custom_fields":[{"id":1,"name":"Subdivision","value":"EC"},{"id":4,"name":"Milepost","value":"0.016"},{"id":17,"name":"Train ID","value":"218-11"},{"id":16,"name":"Locomotive ID","value":"4041"},{"id":130,"name":"Impact","value":""},{"id":150,"name":"Time of Event (Mountain Time)","value":"19:50:16"},{"id":151,"name":"Denver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0" s="53"/>
      <c r="AK130" s="53"/>
      <c r="AL130" s="53"/>
      <c r="AM130"/>
      <c r="AN130"/>
      <c r="AO130"/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  <c r="BH130"/>
      <c r="BI130"/>
      <c r="BJ130"/>
      <c r="BK130"/>
      <c r="BL130"/>
      <c r="BM130"/>
      <c r="BN130"/>
      <c r="BO130"/>
      <c r="BP130"/>
      <c r="BQ130"/>
      <c r="BR130"/>
      <c r="BS130"/>
      <c r="BT130"/>
      <c r="BU130"/>
      <c r="BV130"/>
      <c r="BW130"/>
      <c r="BX130"/>
      <c r="BY130"/>
      <c r="BZ130"/>
      <c r="CA130"/>
      <c r="CB130"/>
      <c r="CC130"/>
      <c r="CD130"/>
      <c r="CE130"/>
      <c r="CF130"/>
      <c r="CG130"/>
      <c r="CH130"/>
      <c r="CI130"/>
      <c r="CJ130"/>
      <c r="CK130"/>
      <c r="CL130"/>
      <c r="CM130"/>
    </row>
    <row r="131" spans="1:91" s="21" customFormat="1" x14ac:dyDescent="0.25">
      <c r="A131" s="37" t="s">
        <v>622</v>
      </c>
      <c r="B131" s="7">
        <v>4018</v>
      </c>
      <c r="C131" s="22" t="s">
        <v>207</v>
      </c>
      <c r="D131" s="22" t="s">
        <v>273</v>
      </c>
      <c r="E131" s="13">
        <v>42715.769641203704</v>
      </c>
      <c r="F131" s="13">
        <v>42715.771064814813</v>
      </c>
      <c r="G131" s="7">
        <v>1</v>
      </c>
      <c r="H131" s="22" t="s">
        <v>784</v>
      </c>
      <c r="I131" s="13">
        <v>42715.799305555556</v>
      </c>
      <c r="J131" s="7">
        <v>1</v>
      </c>
      <c r="K131" s="109" t="str">
        <f t="shared" si="25"/>
        <v>4017/4018</v>
      </c>
      <c r="L131" s="22" t="str">
        <f>VLOOKUP(A131,'Trips&amp;Operators'!$C$1:$G$99999,5,FALSE)</f>
        <v>CHANDLER KELVIN</v>
      </c>
      <c r="M131" s="6">
        <f t="shared" si="26"/>
        <v>2.8240740743058268E-2</v>
      </c>
      <c r="N131" s="7">
        <f t="shared" si="45"/>
        <v>40.666666670003906</v>
      </c>
      <c r="O131" s="7"/>
      <c r="P131" s="7"/>
      <c r="Q131" s="23"/>
      <c r="R131" s="23"/>
      <c r="S131" s="35">
        <f t="shared" si="46"/>
        <v>1</v>
      </c>
      <c r="T131" s="50" t="str">
        <f t="shared" si="27"/>
        <v>NorthBound</v>
      </c>
      <c r="U131" s="171">
        <f>IF(AG131="EC",COUNTIFS(Variables!$M$2:$M$19,IF(T131="NorthBound","&gt;=","&lt;=")&amp;Y131,Variables!$M$2:$M$19,IF(T131="NorthBound","&lt;=","&gt;=")&amp;Z131),COUNTIFS(Variables!$P$2:$P$19,IF(T131="NorthBound","&gt;=","&lt;=")&amp;Y131,Variables!$P$2:$P$19,IF(T131="NorthBound","&lt;=","&gt;=")&amp;Z131))</f>
        <v>12</v>
      </c>
      <c r="V131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17:28:17-700',mode:absolute,to:'2016-12-11 20:11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1" s="52" t="str">
        <f t="shared" si="29"/>
        <v>N</v>
      </c>
      <c r="X131" s="177">
        <f t="shared" si="43"/>
        <v>1</v>
      </c>
      <c r="Y131" s="67">
        <f t="shared" si="30"/>
        <v>4.4600000000000001E-2</v>
      </c>
      <c r="Z131" s="67">
        <f t="shared" si="31"/>
        <v>23.323599999999999</v>
      </c>
      <c r="AA131" s="67">
        <f t="shared" si="32"/>
        <v>23.279</v>
      </c>
      <c r="AB131" s="64" t="e">
        <f>VLOOKUP(A131,Enforcements!$C$7:$K$20,8,0)</f>
        <v>#N/A</v>
      </c>
      <c r="AC131" s="60" t="e">
        <f>VLOOKUP(A131,Enforcements!$C$7:$E$20,3,0)</f>
        <v>#N/A</v>
      </c>
      <c r="AD131" s="61" t="str">
        <f t="shared" si="33"/>
        <v>0219-11</v>
      </c>
      <c r="AE131" s="91" t="str">
        <f t="shared" si="34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131" s="88" t="str">
        <f t="shared" si="35"/>
        <v>"C:\Program Files (x86)\AstroGrep\AstroGrep.exe" /spath="%USERPROFILE%\AppData\Local\Temp\OnboardLogs" /stypes="app*4018*20161212*" /stext=" 02:.+((SYSTEM_STATE.+slice.+state.+changed )|(ment ac)|(multiple cpu faults)|(system.+state.+changed )|(\[timeout)|(PRM\|1\|D)|(kpr)|(kdp)|(\|lc)|(penalty))" /e /r /s</v>
      </c>
      <c r="AG131" s="1" t="str">
        <f t="shared" si="36"/>
        <v>EC</v>
      </c>
      <c r="AH131" s="92" t="str">
        <f t="shared" si="37"/>
        <v>"%USERPROFILE%\Documents\GitHub\eaglep3\Utilities\RefineRTDCRunTimes.py" --tripid 219-11 --locoid 4018 --swversion DE.1.0.8.0 --startMP 204:446 --initTime 2016-12-11T18:28:17 --startdatetime 2016-12-11T18:30:20 --delay 1 --endMP 204:233236 --enddatetime 2016-12-11T19:11:00 --enforcementcount 1 &gt;&gt;C:\Users\stu\Documents\GitHub\eaglep3-reporting\EC\2016-12-11-refined-times.txt</v>
      </c>
      <c r="AI131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{"issue":{"subject":"","project_id":79,"tracker_id":40,"status_id":1,"priority_id":2,"assigned_to_id":23,"start_date":"2016-12-11","description":"","custom_fields":[{"id":1,"name":"Subdivision","value":"EC"},{"id":4,"name":"Milepost","value":"23.3236"},{"id":17,"name":"Train ID","value":"219-11"},{"id":16,"name":"Locomotive ID","value":"4018"},{"id":130,"name":"Impact","value":""},{"id":150,"name":"Time of Event (Mountain Time)","value":"19:11:00"},{"id":151,"name":"Denver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1" s="53"/>
      <c r="AK131" s="53"/>
      <c r="AL131" s="53"/>
      <c r="AM131"/>
      <c r="AN131"/>
      <c r="AO131"/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  <c r="BH131"/>
      <c r="BI131"/>
      <c r="BJ131"/>
      <c r="BK131"/>
      <c r="BL131"/>
      <c r="BM131"/>
      <c r="BN131"/>
      <c r="BO131"/>
      <c r="BP131"/>
      <c r="BQ131"/>
      <c r="BR131"/>
      <c r="BS131"/>
      <c r="BT131"/>
      <c r="BU131"/>
      <c r="BV131"/>
      <c r="BW131"/>
      <c r="BX131"/>
      <c r="BY131"/>
      <c r="BZ131"/>
      <c r="CA131"/>
      <c r="CB131"/>
      <c r="CC131"/>
      <c r="CD131"/>
      <c r="CE131"/>
      <c r="CF131"/>
      <c r="CG131"/>
      <c r="CH131"/>
      <c r="CI131"/>
      <c r="CJ131"/>
      <c r="CK131"/>
      <c r="CL131"/>
      <c r="CM131"/>
    </row>
    <row r="132" spans="1:91" s="21" customFormat="1" x14ac:dyDescent="0.25">
      <c r="A132" s="37" t="s">
        <v>630</v>
      </c>
      <c r="B132" s="7">
        <v>4017</v>
      </c>
      <c r="C132" s="22" t="s">
        <v>207</v>
      </c>
      <c r="D132" s="22" t="s">
        <v>785</v>
      </c>
      <c r="E132" s="13">
        <v>42715.807847222219</v>
      </c>
      <c r="F132" s="13">
        <v>42715.810196759259</v>
      </c>
      <c r="G132" s="7">
        <v>1</v>
      </c>
      <c r="H132" s="22" t="s">
        <v>407</v>
      </c>
      <c r="I132" s="13">
        <v>42715.842534722222</v>
      </c>
      <c r="J132" s="7">
        <v>1</v>
      </c>
      <c r="K132" s="109" t="str">
        <f t="shared" si="25"/>
        <v>4017/4018</v>
      </c>
      <c r="L132" s="22" t="str">
        <f>VLOOKUP(A132,'Trips&amp;Operators'!$C$1:$G$99999,5,FALSE)</f>
        <v>CHANDLER KELVIN</v>
      </c>
      <c r="M132" s="6">
        <f t="shared" si="26"/>
        <v>3.2337962962628808E-2</v>
      </c>
      <c r="N132" s="7">
        <f t="shared" si="45"/>
        <v>46.566666666185483</v>
      </c>
      <c r="O132" s="7"/>
      <c r="P132" s="7"/>
      <c r="Q132" s="23"/>
      <c r="R132" s="23"/>
      <c r="S132" s="35">
        <f t="shared" si="46"/>
        <v>1</v>
      </c>
      <c r="T132" s="50" t="str">
        <f t="shared" si="27"/>
        <v>Southbound</v>
      </c>
      <c r="U132" s="171">
        <f>IF(AG132="EC",COUNTIFS(Variables!$M$2:$M$19,IF(T132="NorthBound","&gt;=","&lt;=")&amp;Y132,Variables!$M$2:$M$19,IF(T132="NorthBound","&lt;=","&gt;=")&amp;Z132),COUNTIFS(Variables!$P$2:$P$19,IF(T132="NorthBound","&gt;=","&lt;=")&amp;Y132,Variables!$P$2:$P$19,IF(T132="NorthBound","&lt;=","&gt;=")&amp;Z132))</f>
        <v>12</v>
      </c>
      <c r="V132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18:23:18-700',mode:absolute,to:'2016-12-11 21:13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32" s="52" t="str">
        <f t="shared" si="29"/>
        <v>N</v>
      </c>
      <c r="X132" s="177">
        <f t="shared" si="43"/>
        <v>1</v>
      </c>
      <c r="Y132" s="67">
        <f t="shared" si="30"/>
        <v>23.2972</v>
      </c>
      <c r="Z132" s="67">
        <f t="shared" si="31"/>
        <v>1.38E-2</v>
      </c>
      <c r="AA132" s="67">
        <f t="shared" si="32"/>
        <v>23.2834</v>
      </c>
      <c r="AB132" s="64" t="e">
        <f>VLOOKUP(A132,Enforcements!$C$7:$K$20,8,0)</f>
        <v>#N/A</v>
      </c>
      <c r="AC132" s="60" t="e">
        <f>VLOOKUP(A132,Enforcements!$C$7:$E$20,3,0)</f>
        <v>#N/A</v>
      </c>
      <c r="AD132" s="61" t="str">
        <f t="shared" si="33"/>
        <v>0220-11</v>
      </c>
      <c r="AE132" s="91" t="str">
        <f t="shared" si="34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132" s="88" t="str">
        <f t="shared" si="35"/>
        <v>"C:\Program Files (x86)\AstroGrep\AstroGrep.exe" /spath="%USERPROFILE%\AppData\Local\Temp\OnboardLogs" /stypes="app*4017*20161212*" /stext=" 03:.+((SYSTEM_STATE.+slice.+state.+changed )|(ment ac)|(multiple cpu faults)|(system.+state.+changed )|(\[timeout)|(PRM\|1\|D)|(kpr)|(kdp)|(\|lc)|(penalty))" /e /r /s</v>
      </c>
      <c r="AG132" s="1" t="str">
        <f t="shared" si="36"/>
        <v>EC</v>
      </c>
      <c r="AH132" s="92" t="str">
        <f t="shared" si="37"/>
        <v>"%USERPROFILE%\Documents\GitHub\eaglep3\Utilities\RefineRTDCRunTimes.py" --tripid 220-11 --locoid 4017 --swversion DE.1.0.8.0 --startMP 204:232972 --initTime 2016-12-11T19:23:18 --startdatetime 2016-12-11T19:26:41 --delay 1 --endMP 204:138 --enddatetime 2016-12-11T20:13:15 --enforcementcount 1 &gt;&gt;C:\Users\stu\Documents\GitHub\eaglep3-reporting\EC\2016-12-11-refined-times.txt</v>
      </c>
      <c r="AI132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{"issue":{"subject":"","project_id":79,"tracker_id":40,"status_id":1,"priority_id":2,"assigned_to_id":23,"start_date":"2016-12-11","description":"","custom_fields":[{"id":1,"name":"Subdivision","value":"EC"},{"id":4,"name":"Milepost","value":"0.0138"},{"id":17,"name":"Train ID","value":"220-11"},{"id":16,"name":"Locomotive ID","value":"4017"},{"id":130,"name":"Impact","value":""},{"id":150,"name":"Time of Event (Mountain Time)","value":"20:13:15"},{"id":151,"name":"Denver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2" s="53"/>
      <c r="AK132" s="53"/>
      <c r="AL132" s="53"/>
      <c r="AM132"/>
      <c r="AN132"/>
      <c r="AO132"/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  <c r="BH132"/>
      <c r="BI132"/>
      <c r="BJ132"/>
      <c r="BK132"/>
      <c r="BL132"/>
      <c r="BM132"/>
      <c r="BN132"/>
      <c r="BO132"/>
      <c r="BP132"/>
      <c r="BQ132"/>
      <c r="BR132"/>
      <c r="BS132"/>
      <c r="BT132"/>
      <c r="BU132"/>
      <c r="BV132"/>
      <c r="BW132"/>
      <c r="BX132"/>
      <c r="BY132"/>
      <c r="BZ132"/>
      <c r="CA132"/>
      <c r="CB132"/>
      <c r="CC132"/>
      <c r="CD132"/>
      <c r="CE132"/>
      <c r="CF132"/>
      <c r="CG132"/>
      <c r="CH132"/>
      <c r="CI132"/>
      <c r="CJ132"/>
      <c r="CK132"/>
      <c r="CL132"/>
      <c r="CM132"/>
    </row>
    <row r="133" spans="1:91" s="21" customFormat="1" x14ac:dyDescent="0.25">
      <c r="A133" s="37" t="s">
        <v>628</v>
      </c>
      <c r="B133" s="7">
        <v>4029</v>
      </c>
      <c r="C133" s="22" t="s">
        <v>207</v>
      </c>
      <c r="D133" s="22" t="s">
        <v>786</v>
      </c>
      <c r="E133" s="13">
        <v>42715.791655092595</v>
      </c>
      <c r="F133" s="13">
        <v>42715.793298611112</v>
      </c>
      <c r="G133" s="7">
        <v>1</v>
      </c>
      <c r="H133" s="22" t="s">
        <v>437</v>
      </c>
      <c r="I133" s="13">
        <v>42715.819594907407</v>
      </c>
      <c r="J133" s="7">
        <v>1</v>
      </c>
      <c r="K133" s="109" t="str">
        <f t="shared" si="25"/>
        <v>4029/4030</v>
      </c>
      <c r="L133" s="22" t="str">
        <f>VLOOKUP(A133,'Trips&amp;Operators'!$C$1:$G$99999,5,FALSE)</f>
        <v>LEVERE CRAIG</v>
      </c>
      <c r="M133" s="6">
        <f t="shared" si="26"/>
        <v>2.6296296295186039E-2</v>
      </c>
      <c r="N133" s="7">
        <f t="shared" si="45"/>
        <v>37.866666665067896</v>
      </c>
      <c r="O133" s="7"/>
      <c r="P133" s="7"/>
      <c r="Q133" s="23"/>
      <c r="R133" s="23"/>
      <c r="S133" s="35">
        <f t="shared" si="46"/>
        <v>1</v>
      </c>
      <c r="T133" s="50" t="str">
        <f t="shared" si="27"/>
        <v>NorthBound</v>
      </c>
      <c r="U133" s="171">
        <f>IF(AG133="EC",COUNTIFS(Variables!$M$2:$M$19,IF(T133="NorthBound","&gt;=","&lt;=")&amp;Y133,Variables!$M$2:$M$19,IF(T133="NorthBound","&lt;=","&gt;=")&amp;Z133),COUNTIFS(Variables!$P$2:$P$19,IF(T133="NorthBound","&gt;=","&lt;=")&amp;Y133,Variables!$P$2:$P$19,IF(T133="NorthBound","&lt;=","&gt;=")&amp;Z133))</f>
        <v>12</v>
      </c>
      <c r="V133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17:59:59-700',mode:absolute,to:'2016-12-11 20:40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33" s="52" t="str">
        <f t="shared" si="29"/>
        <v>N</v>
      </c>
      <c r="X133" s="177">
        <f t="shared" ref="X133:X138" si="47">VALUE(LEFT(AD133,4))-VALUE(LEFT(AD132,4))</f>
        <v>1</v>
      </c>
      <c r="Y133" s="67">
        <f t="shared" si="30"/>
        <v>0.05</v>
      </c>
      <c r="Z133" s="67">
        <f t="shared" si="31"/>
        <v>23.333400000000001</v>
      </c>
      <c r="AA133" s="67">
        <f t="shared" si="32"/>
        <v>23.2834</v>
      </c>
      <c r="AB133" s="64" t="e">
        <f>VLOOKUP(A133,Enforcements!$C$7:$K$20,8,0)</f>
        <v>#N/A</v>
      </c>
      <c r="AC133" s="60" t="e">
        <f>VLOOKUP(A133,Enforcements!$C$7:$E$20,3,0)</f>
        <v>#N/A</v>
      </c>
      <c r="AD133" s="61" t="str">
        <f t="shared" si="33"/>
        <v>0221-11</v>
      </c>
      <c r="AE133" s="91" t="str">
        <f t="shared" si="34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133" s="88" t="str">
        <f t="shared" si="35"/>
        <v>"C:\Program Files (x86)\AstroGrep\AstroGrep.exe" /spath="%USERPROFILE%\AppData\Local\Temp\OnboardLogs" /stypes="app*4029*20161212*" /stext=" 02:.+((SYSTEM_STATE.+slice.+state.+changed )|(ment ac)|(multiple cpu faults)|(system.+state.+changed )|(\[timeout)|(PRM\|1\|D)|(kpr)|(kdp)|(\|lc)|(penalty))" /e /r /s</v>
      </c>
      <c r="AG133" s="1" t="str">
        <f t="shared" si="36"/>
        <v>EC</v>
      </c>
      <c r="AH133" s="92" t="str">
        <f t="shared" si="37"/>
        <v>"%USERPROFILE%\Documents\GitHub\eaglep3\Utilities\RefineRTDCRunTimes.py" --tripid 221-11 --locoid 4029 --swversion DE.1.0.8.0 --startMP 204:500 --initTime 2016-12-11T18:59:59 --startdatetime 2016-12-11T19:02:21 --delay 1 --endMP 204:233334 --enddatetime 2016-12-11T19:40:13 --enforcementcount 1 &gt;&gt;C:\Users\stu\Documents\GitHub\eaglep3-reporting\EC\2016-12-11-refined-times.txt</v>
      </c>
      <c r="AI133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{"issue":{"subject":"","project_id":79,"tracker_id":40,"status_id":1,"priority_id":2,"assigned_to_id":23,"start_date":"2016-12-11","description":"","custom_fields":[{"id":1,"name":"Subdivision","value":"EC"},{"id":4,"name":"Milepost","value":"23.3334"},{"id":17,"name":"Train ID","value":"221-11"},{"id":16,"name":"Locomotive ID","value":"4029"},{"id":130,"name":"Impact","value":""},{"id":150,"name":"Time of Event (Mountain Time)","value":"19:40:13"},{"id":151,"name":"Denver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3" s="53"/>
      <c r="AK133" s="53"/>
      <c r="AL133" s="53"/>
      <c r="AM133"/>
      <c r="AN133"/>
      <c r="AO133"/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  <c r="BH133"/>
      <c r="BI133"/>
      <c r="BJ133"/>
      <c r="BK133"/>
      <c r="BL133"/>
      <c r="BM133"/>
      <c r="BN133"/>
      <c r="BO133"/>
      <c r="BP133"/>
      <c r="BQ133"/>
      <c r="BR133"/>
      <c r="BS133"/>
      <c r="BT133"/>
      <c r="BU133"/>
      <c r="BV133"/>
      <c r="BW133"/>
      <c r="BX133"/>
      <c r="BY133"/>
      <c r="BZ133"/>
      <c r="CA133"/>
      <c r="CB133"/>
      <c r="CC133"/>
      <c r="CD133"/>
      <c r="CE133"/>
      <c r="CF133"/>
      <c r="CG133"/>
      <c r="CH133"/>
      <c r="CI133"/>
      <c r="CJ133"/>
      <c r="CK133"/>
      <c r="CL133"/>
      <c r="CM133"/>
    </row>
    <row r="134" spans="1:91" s="21" customFormat="1" x14ac:dyDescent="0.25">
      <c r="A134" s="37" t="s">
        <v>480</v>
      </c>
      <c r="B134" s="7">
        <v>4030</v>
      </c>
      <c r="C134" s="22" t="s">
        <v>207</v>
      </c>
      <c r="D134" s="22" t="s">
        <v>683</v>
      </c>
      <c r="E134" s="13">
        <v>42715.82371527778</v>
      </c>
      <c r="F134" s="13">
        <v>42715.830740740741</v>
      </c>
      <c r="G134" s="7">
        <v>6</v>
      </c>
      <c r="H134" s="22" t="s">
        <v>423</v>
      </c>
      <c r="I134" s="13">
        <v>42715.859444444446</v>
      </c>
      <c r="J134" s="7">
        <v>1</v>
      </c>
      <c r="K134" s="109" t="str">
        <f t="shared" si="25"/>
        <v>4029/4030</v>
      </c>
      <c r="L134" s="22" t="str">
        <f>VLOOKUP(A134,'Trips&amp;Operators'!$C$1:$G$99999,5,FALSE)</f>
        <v>LEVERE CRAIG</v>
      </c>
      <c r="M134" s="6">
        <f t="shared" si="26"/>
        <v>2.8703703705104999E-2</v>
      </c>
      <c r="N134" s="7">
        <f t="shared" si="45"/>
        <v>41.333333335351199</v>
      </c>
      <c r="O134" s="7"/>
      <c r="P134" s="7"/>
      <c r="Q134" s="23"/>
      <c r="R134" s="23"/>
      <c r="S134" s="35">
        <f t="shared" si="46"/>
        <v>1</v>
      </c>
      <c r="T134" s="50" t="str">
        <f t="shared" si="27"/>
        <v>Southbound</v>
      </c>
      <c r="U134" s="171">
        <f>IF(AG134="EC",COUNTIFS(Variables!$M$2:$M$19,IF(T134="NorthBound","&gt;=","&lt;=")&amp;Y134,Variables!$M$2:$M$19,IF(T134="NorthBound","&lt;=","&gt;=")&amp;Z134),COUNTIFS(Variables!$P$2:$P$19,IF(T134="NorthBound","&gt;=","&lt;=")&amp;Y134,Variables!$P$2:$P$19,IF(T134="NorthBound","&lt;=","&gt;=")&amp;Z134))</f>
        <v>12</v>
      </c>
      <c r="V134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18:46:09-700',mode:absolute,to:'2016-12-11 21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34" s="52" t="str">
        <f t="shared" si="29"/>
        <v>N</v>
      </c>
      <c r="X134" s="177">
        <f t="shared" si="47"/>
        <v>1</v>
      </c>
      <c r="Y134" s="67">
        <f t="shared" si="30"/>
        <v>23.297599999999999</v>
      </c>
      <c r="Z134" s="67">
        <f t="shared" si="31"/>
        <v>1.6E-2</v>
      </c>
      <c r="AA134" s="67">
        <f t="shared" si="32"/>
        <v>23.281600000000001</v>
      </c>
      <c r="AB134" s="64" t="e">
        <f>VLOOKUP(A134,Enforcements!$C$7:$K$20,8,0)</f>
        <v>#N/A</v>
      </c>
      <c r="AC134" s="60" t="e">
        <f>VLOOKUP(A134,Enforcements!$C$7:$E$20,3,0)</f>
        <v>#N/A</v>
      </c>
      <c r="AD134" s="61" t="str">
        <f t="shared" si="33"/>
        <v>0222-11</v>
      </c>
      <c r="AE134" s="91" t="str">
        <f t="shared" si="34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134" s="88" t="str">
        <f t="shared" si="35"/>
        <v>"C:\Program Files (x86)\AstroGrep\AstroGrep.exe" /spath="%USERPROFILE%\AppData\Local\Temp\OnboardLogs" /stypes="app*4030*20161212*" /stext=" 03:.+((SYSTEM_STATE.+slice.+state.+changed )|(ment ac)|(multiple cpu faults)|(system.+state.+changed )|(\[timeout)|(PRM\|1\|D)|(kpr)|(kdp)|(\|lc)|(penalty))" /e /r /s</v>
      </c>
      <c r="AG134" s="1" t="str">
        <f t="shared" si="36"/>
        <v>EC</v>
      </c>
      <c r="AH134" s="92" t="str">
        <f t="shared" si="37"/>
        <v>"%USERPROFILE%\Documents\GitHub\eaglep3\Utilities\RefineRTDCRunTimes.py" --tripid 222-11 --locoid 4030 --swversion DE.1.0.8.0 --startMP 204:232976 --initTime 2016-12-11T19:46:09 --startdatetime 2016-12-11T19:56:16 --delay 6 --endMP 204:160 --enddatetime 2016-12-11T20:37:36 --enforcementcount 1 &gt;&gt;C:\Users\stu\Documents\GitHub\eaglep3-reporting\EC\2016-12-11-refined-times.txt</v>
      </c>
      <c r="AI134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{"issue":{"subject":"","project_id":79,"tracker_id":40,"status_id":1,"priority_id":2,"assigned_to_id":23,"start_date":"2016-12-11","description":"","custom_fields":[{"id":1,"name":"Subdivision","value":"EC"},{"id":4,"name":"Milepost","value":"0.016"},{"id":17,"name":"Train ID","value":"222-11"},{"id":16,"name":"Locomotive ID","value":"4030"},{"id":130,"name":"Impact","value":""},{"id":150,"name":"Time of Event (Mountain Time)","value":"20:37:36"},{"id":151,"name":"Denver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4" s="53"/>
      <c r="AK134" s="53"/>
      <c r="AL134" s="53"/>
      <c r="AM134"/>
      <c r="AN134"/>
      <c r="AO134"/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  <c r="BH134"/>
      <c r="BI134"/>
      <c r="BJ134"/>
      <c r="BK134"/>
      <c r="BL134"/>
      <c r="BM134"/>
      <c r="BN134"/>
      <c r="BO134"/>
      <c r="BP134"/>
      <c r="BQ134"/>
      <c r="BR134"/>
      <c r="BS134"/>
      <c r="BT134"/>
      <c r="BU134"/>
      <c r="BV134"/>
      <c r="BW134"/>
      <c r="BX134"/>
      <c r="BY134"/>
      <c r="BZ134"/>
      <c r="CA134"/>
      <c r="CB134"/>
      <c r="CC134"/>
      <c r="CD134"/>
      <c r="CE134"/>
      <c r="CF134"/>
      <c r="CG134"/>
      <c r="CH134"/>
      <c r="CI134"/>
      <c r="CJ134"/>
      <c r="CK134"/>
      <c r="CL134"/>
      <c r="CM134"/>
    </row>
    <row r="135" spans="1:91" s="21" customFormat="1" x14ac:dyDescent="0.25">
      <c r="A135" s="37" t="s">
        <v>632</v>
      </c>
      <c r="B135" s="7">
        <v>4044</v>
      </c>
      <c r="C135" s="22" t="s">
        <v>207</v>
      </c>
      <c r="D135" s="22" t="s">
        <v>432</v>
      </c>
      <c r="E135" s="13">
        <v>42715.818495370368</v>
      </c>
      <c r="F135" s="13">
        <v>42715.820185185185</v>
      </c>
      <c r="G135" s="7">
        <v>2</v>
      </c>
      <c r="H135" s="22" t="s">
        <v>363</v>
      </c>
      <c r="I135" s="13">
        <v>42715.846608796295</v>
      </c>
      <c r="J135" s="7">
        <v>1</v>
      </c>
      <c r="K135" s="109" t="str">
        <f t="shared" si="25"/>
        <v>4043/4044</v>
      </c>
      <c r="L135" s="22" t="str">
        <f>VLOOKUP(A135,'Trips&amp;Operators'!$C$1:$G$99999,5,FALSE)</f>
        <v>COOLAHAN JOHN</v>
      </c>
      <c r="M135" s="6">
        <f t="shared" si="26"/>
        <v>2.6423611110658385E-2</v>
      </c>
      <c r="N135" s="7">
        <f t="shared" si="45"/>
        <v>38.049999999348074</v>
      </c>
      <c r="O135" s="7"/>
      <c r="P135" s="7"/>
      <c r="Q135" s="23"/>
      <c r="R135" s="23"/>
      <c r="S135" s="35">
        <f t="shared" si="46"/>
        <v>1</v>
      </c>
      <c r="T135" s="50" t="str">
        <f t="shared" si="27"/>
        <v>NorthBound</v>
      </c>
      <c r="U135" s="171">
        <f>IF(AG135="EC",COUNTIFS(Variables!$M$2:$M$19,IF(T135="NorthBound","&gt;=","&lt;=")&amp;Y135,Variables!$M$2:$M$19,IF(T135="NorthBound","&lt;=","&gt;=")&amp;Z135),COUNTIFS(Variables!$P$2:$P$19,IF(T135="NorthBound","&gt;=","&lt;=")&amp;Y135,Variables!$P$2:$P$19,IF(T135="NorthBound","&lt;=","&gt;=")&amp;Z135))</f>
        <v>12</v>
      </c>
      <c r="V135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18:38:38-700',mode:absolute,to:'2016-12-11 21:19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35" s="52" t="str">
        <f t="shared" si="29"/>
        <v>N</v>
      </c>
      <c r="X135" s="177">
        <f t="shared" si="47"/>
        <v>1</v>
      </c>
      <c r="Y135" s="67">
        <f t="shared" si="30"/>
        <v>4.1799999999999997E-2</v>
      </c>
      <c r="Z135" s="67">
        <f t="shared" si="31"/>
        <v>23.331700000000001</v>
      </c>
      <c r="AA135" s="67">
        <f t="shared" si="32"/>
        <v>23.289900000000003</v>
      </c>
      <c r="AB135" s="64" t="e">
        <f>VLOOKUP(A135,Enforcements!$C$7:$K$20,8,0)</f>
        <v>#N/A</v>
      </c>
      <c r="AC135" s="60" t="e">
        <f>VLOOKUP(A135,Enforcements!$C$7:$E$20,3,0)</f>
        <v>#N/A</v>
      </c>
      <c r="AD135" s="61" t="str">
        <f t="shared" si="33"/>
        <v>0223-11</v>
      </c>
      <c r="AE135" s="91" t="str">
        <f t="shared" si="34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135" s="88" t="str">
        <f t="shared" si="35"/>
        <v>"C:\Program Files (x86)\AstroGrep\AstroGrep.exe" /spath="%USERPROFILE%\AppData\Local\Temp\OnboardLogs" /stypes="app*4044*20161212*" /stext=" 03:.+((SYSTEM_STATE.+slice.+state.+changed )|(ment ac)|(multiple cpu faults)|(system.+state.+changed )|(\[timeout)|(PRM\|1\|D)|(kpr)|(kdp)|(\|lc)|(penalty))" /e /r /s</v>
      </c>
      <c r="AG135" s="1" t="str">
        <f t="shared" si="36"/>
        <v>EC</v>
      </c>
      <c r="AH135" s="92" t="str">
        <f t="shared" si="37"/>
        <v>"%USERPROFILE%\Documents\GitHub\eaglep3\Utilities\RefineRTDCRunTimes.py" --tripid 223-11 --locoid 4044 --swversion DE.1.0.8.0 --startMP 204:418 --initTime 2016-12-11T19:38:38 --startdatetime 2016-12-11T19:41:04 --delay 2 --endMP 204:233317 --enddatetime 2016-12-11T20:19:07 --enforcementcount 1 &gt;&gt;C:\Users\stu\Documents\GitHub\eaglep3-reporting\EC\2016-12-11-refined-times.txt</v>
      </c>
      <c r="AI135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{"issue":{"subject":"","project_id":79,"tracker_id":40,"status_id":1,"priority_id":2,"assigned_to_id":23,"start_date":"2016-12-11","description":"","custom_fields":[{"id":1,"name":"Subdivision","value":"EC"},{"id":4,"name":"Milepost","value":"23.3317"},{"id":17,"name":"Train ID","value":"223-11"},{"id":16,"name":"Locomotive ID","value":"4044"},{"id":130,"name":"Impact","value":""},{"id":150,"name":"Time of Event (Mountain Time)","value":"20:19:07"},{"id":151,"name":"Denver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5" s="53"/>
      <c r="AK135" s="53"/>
      <c r="AL135" s="53"/>
      <c r="AM135"/>
      <c r="AN135"/>
      <c r="AO135"/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  <c r="BH135"/>
      <c r="BI135"/>
      <c r="BJ135"/>
      <c r="BK135"/>
      <c r="BL135"/>
      <c r="BM135"/>
      <c r="BN135"/>
      <c r="BO135"/>
      <c r="BP135"/>
      <c r="BQ135"/>
      <c r="BR135"/>
      <c r="BS135"/>
      <c r="BT135"/>
      <c r="BU135"/>
      <c r="BV135"/>
      <c r="BW135"/>
      <c r="BX135"/>
      <c r="BY135"/>
      <c r="BZ135"/>
      <c r="CA135"/>
      <c r="CB135"/>
      <c r="CC135"/>
      <c r="CD135"/>
      <c r="CE135"/>
      <c r="CF135"/>
      <c r="CG135"/>
      <c r="CH135"/>
      <c r="CI135"/>
      <c r="CJ135"/>
      <c r="CK135"/>
      <c r="CL135"/>
      <c r="CM135"/>
    </row>
    <row r="136" spans="1:91" s="21" customFormat="1" x14ac:dyDescent="0.25">
      <c r="A136" s="37" t="s">
        <v>635</v>
      </c>
      <c r="B136" s="7">
        <v>4043</v>
      </c>
      <c r="C136" s="22" t="s">
        <v>207</v>
      </c>
      <c r="D136" s="22" t="s">
        <v>404</v>
      </c>
      <c r="E136" s="13">
        <v>42715.849560185183</v>
      </c>
      <c r="F136" s="13">
        <v>42715.851782407408</v>
      </c>
      <c r="G136" s="7">
        <v>1</v>
      </c>
      <c r="H136" s="22" t="s">
        <v>350</v>
      </c>
      <c r="I136" s="13">
        <v>42715.880694444444</v>
      </c>
      <c r="J136" s="7">
        <v>1</v>
      </c>
      <c r="K136" s="109" t="str">
        <f t="shared" si="25"/>
        <v>4043/4044</v>
      </c>
      <c r="L136" s="22" t="str">
        <f>VLOOKUP(A136,'Trips&amp;Operators'!$C$1:$G$99999,5,FALSE)</f>
        <v>COOLAHAN JOHN</v>
      </c>
      <c r="M136" s="6">
        <f t="shared" si="26"/>
        <v>2.8912037036207039E-2</v>
      </c>
      <c r="N136" s="7">
        <f t="shared" si="45"/>
        <v>41.633333332138136</v>
      </c>
      <c r="O136" s="7"/>
      <c r="P136" s="7"/>
      <c r="Q136" s="23"/>
      <c r="R136" s="23"/>
      <c r="S136" s="35">
        <f t="shared" si="46"/>
        <v>1</v>
      </c>
      <c r="T136" s="50" t="str">
        <f t="shared" si="27"/>
        <v>Southbound</v>
      </c>
      <c r="U136" s="171">
        <f>IF(AG136="EC",COUNTIFS(Variables!$M$2:$M$19,IF(T136="NorthBound","&gt;=","&lt;=")&amp;Y136,Variables!$M$2:$M$19,IF(T136="NorthBound","&lt;=","&gt;=")&amp;Z136),COUNTIFS(Variables!$P$2:$P$19,IF(T136="NorthBound","&gt;=","&lt;=")&amp;Y136,Variables!$P$2:$P$19,IF(T136="NorthBound","&lt;=","&gt;=")&amp;Z136))</f>
        <v>12</v>
      </c>
      <c r="V136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19:23:22-700',mode:absolute,to:'2016-12-11 22:08:12-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36" s="52" t="str">
        <f t="shared" si="29"/>
        <v>N</v>
      </c>
      <c r="X136" s="177">
        <f t="shared" si="47"/>
        <v>1</v>
      </c>
      <c r="Y136" s="67">
        <f t="shared" si="30"/>
        <v>23.3002</v>
      </c>
      <c r="Z136" s="67">
        <f t="shared" si="31"/>
        <v>1.3899999999999999E-2</v>
      </c>
      <c r="AA136" s="67">
        <f t="shared" si="32"/>
        <v>23.286300000000001</v>
      </c>
      <c r="AB136" s="64" t="e">
        <f>VLOOKUP(A136,Enforcements!$C$7:$K$20,8,0)</f>
        <v>#N/A</v>
      </c>
      <c r="AC136" s="60" t="e">
        <f>VLOOKUP(A136,Enforcements!$C$7:$E$20,3,0)</f>
        <v>#N/A</v>
      </c>
      <c r="AD136" s="61" t="str">
        <f t="shared" si="33"/>
        <v>0224-11</v>
      </c>
      <c r="AE136" s="91" t="str">
        <f t="shared" si="34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136" s="88" t="str">
        <f t="shared" si="35"/>
        <v>"C:\Program Files (x86)\AstroGrep\AstroGrep.exe" /spath="%USERPROFILE%\AppData\Local\Temp\OnboardLogs" /stypes="app*4043*20161212*" /stext=" 04:.+((SYSTEM_STATE.+slice.+state.+changed )|(ment ac)|(multiple cpu faults)|(system.+state.+changed )|(\[timeout)|(PRM\|1\|D)|(kpr)|(kdp)|(\|lc)|(penalty))" /e /r /s</v>
      </c>
      <c r="AG136" s="1" t="str">
        <f t="shared" si="36"/>
        <v>EC</v>
      </c>
      <c r="AH136" s="92" t="str">
        <f t="shared" si="37"/>
        <v>"%USERPROFILE%\Documents\GitHub\eaglep3\Utilities\RefineRTDCRunTimes.py" --tripid 224-11 --locoid 4043 --swversion DE.1.0.8.0 --startMP 204:233002 --initTime 2016-12-11T20:23:22 --startdatetime 2016-12-11T20:26:34 --delay 1 --endMP 204:139 --enddatetime 2016-12-11T21:08:12 --enforcementcount 1 &gt;&gt;C:\Users\stu\Documents\GitHub\eaglep3-reporting\EC\2016-12-11-refined-times.txt</v>
      </c>
      <c r="AI136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{"issue":{"subject":"","project_id":79,"tracker_id":40,"status_id":1,"priority_id":2,"assigned_to_id":23,"start_date":"2016-12-11","description":"","custom_fields":[{"id":1,"name":"Subdivision","value":"EC"},{"id":4,"name":"Milepost","value":"0.0139"},{"id":17,"name":"Train ID","value":"224-11"},{"id":16,"name":"Locomotive ID","value":"4043"},{"id":130,"name":"Impact","value":""},{"id":150,"name":"Time of Event (Mountain Time)","value":"21:08:12"},{"id":151,"name":"Denver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6" s="53"/>
      <c r="AK136" s="53"/>
      <c r="AL136" s="53"/>
      <c r="AM136"/>
      <c r="AN136"/>
      <c r="AO136"/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</row>
    <row r="137" spans="1:91" s="21" customFormat="1" x14ac:dyDescent="0.25">
      <c r="A137" s="37" t="s">
        <v>634</v>
      </c>
      <c r="B137" s="7">
        <v>4042</v>
      </c>
      <c r="C137" s="22" t="s">
        <v>207</v>
      </c>
      <c r="D137" s="22" t="s">
        <v>237</v>
      </c>
      <c r="E137" s="13">
        <v>42715.828981481478</v>
      </c>
      <c r="F137" s="13">
        <v>42715.833495370367</v>
      </c>
      <c r="G137" s="7">
        <v>1</v>
      </c>
      <c r="H137" s="22" t="s">
        <v>364</v>
      </c>
      <c r="I137" s="13">
        <v>42715.858599537038</v>
      </c>
      <c r="J137" s="7">
        <v>1</v>
      </c>
      <c r="K137" s="109" t="str">
        <f t="shared" si="25"/>
        <v>4041/4042</v>
      </c>
      <c r="L137" s="22" t="str">
        <f>VLOOKUP(A137,'Trips&amp;Operators'!$C$1:$G$99999,5,FALSE)</f>
        <v>NEWELL JAMES</v>
      </c>
      <c r="M137" s="6">
        <f t="shared" si="26"/>
        <v>2.510416667064419E-2</v>
      </c>
      <c r="N137" s="7">
        <f t="shared" si="45"/>
        <v>36.150000005727634</v>
      </c>
      <c r="O137" s="7"/>
      <c r="P137" s="7"/>
      <c r="Q137" s="23"/>
      <c r="R137" s="23"/>
      <c r="S137" s="35">
        <f t="shared" si="46"/>
        <v>1</v>
      </c>
      <c r="T137" s="50" t="str">
        <f t="shared" si="27"/>
        <v>NorthBound</v>
      </c>
      <c r="U137" s="171">
        <f>IF(AG137="EC",COUNTIFS(Variables!$M$2:$M$19,IF(T137="NorthBound","&gt;=","&lt;=")&amp;Y137,Variables!$M$2:$M$19,IF(T137="NorthBound","&lt;=","&gt;=")&amp;Z137),COUNTIFS(Variables!$P$2:$P$19,IF(T137="NorthBound","&gt;=","&lt;=")&amp;Y137,Variables!$P$2:$P$19,IF(T137="NorthBound","&lt;=","&gt;=")&amp;Z137))</f>
        <v>12</v>
      </c>
      <c r="V137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18:53:44-700',mode:absolute,to:'2016-12-11 21:36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37" s="52" t="str">
        <f t="shared" si="29"/>
        <v>N</v>
      </c>
      <c r="X137" s="177">
        <f t="shared" si="47"/>
        <v>1</v>
      </c>
      <c r="Y137" s="67">
        <f t="shared" si="30"/>
        <v>4.5699999999999998E-2</v>
      </c>
      <c r="Z137" s="67">
        <f t="shared" si="31"/>
        <v>23.3308</v>
      </c>
      <c r="AA137" s="67">
        <f t="shared" si="32"/>
        <v>23.2851</v>
      </c>
      <c r="AB137" s="64" t="e">
        <f>VLOOKUP(A137,Enforcements!$C$7:$K$20,8,0)</f>
        <v>#N/A</v>
      </c>
      <c r="AC137" s="60" t="e">
        <f>VLOOKUP(A137,Enforcements!$C$7:$E$20,3,0)</f>
        <v>#N/A</v>
      </c>
      <c r="AD137" s="61" t="str">
        <f t="shared" si="33"/>
        <v>0225-11</v>
      </c>
      <c r="AE137" s="91" t="str">
        <f t="shared" si="34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137" s="88" t="str">
        <f t="shared" si="35"/>
        <v>"C:\Program Files (x86)\AstroGrep\AstroGrep.exe" /spath="%USERPROFILE%\AppData\Local\Temp\OnboardLogs" /stypes="app*4042*20161212*" /stext=" 03:.+((SYSTEM_STATE.+slice.+state.+changed )|(ment ac)|(multiple cpu faults)|(system.+state.+changed )|(\[timeout)|(PRM\|1\|D)|(kpr)|(kdp)|(\|lc)|(penalty))" /e /r /s</v>
      </c>
      <c r="AG137" s="1" t="str">
        <f t="shared" si="36"/>
        <v>EC</v>
      </c>
      <c r="AH137" s="92" t="str">
        <f t="shared" si="37"/>
        <v>"%USERPROFILE%\Documents\GitHub\eaglep3\Utilities\RefineRTDCRunTimes.py" --tripid 225-11 --locoid 4042 --swversion DE.1.0.8.0 --startMP 204:457 --initTime 2016-12-11T19:53:44 --startdatetime 2016-12-11T20:00:14 --delay 1 --endMP 204:233308 --enddatetime 2016-12-11T20:36:23 --enforcementcount 1 &gt;&gt;C:\Users\stu\Documents\GitHub\eaglep3-reporting\EC\2016-12-11-refined-times.txt</v>
      </c>
      <c r="AI137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{"issue":{"subject":"","project_id":79,"tracker_id":40,"status_id":1,"priority_id":2,"assigned_to_id":23,"start_date":"2016-12-11","description":"","custom_fields":[{"id":1,"name":"Subdivision","value":"EC"},{"id":4,"name":"Milepost","value":"23.3308"},{"id":17,"name":"Train ID","value":"225-11"},{"id":16,"name":"Locomotive ID","value":"4042"},{"id":130,"name":"Impact","value":""},{"id":150,"name":"Time of Event (Mountain Time)","value":"20:36:23"},{"id":151,"name":"Denver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7" s="53"/>
      <c r="AK137" s="53"/>
      <c r="AL137" s="53"/>
      <c r="AM137"/>
      <c r="AN137"/>
      <c r="AO137"/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</row>
    <row r="138" spans="1:91" s="21" customFormat="1" x14ac:dyDescent="0.25">
      <c r="A138" s="37" t="s">
        <v>638</v>
      </c>
      <c r="B138" s="7">
        <v>4041</v>
      </c>
      <c r="C138" s="22" t="s">
        <v>207</v>
      </c>
      <c r="D138" s="22" t="s">
        <v>709</v>
      </c>
      <c r="E138" s="13">
        <v>42715.865324074075</v>
      </c>
      <c r="F138" s="13">
        <v>42715.872476851851</v>
      </c>
      <c r="G138" s="7">
        <v>1</v>
      </c>
      <c r="H138" s="22" t="s">
        <v>419</v>
      </c>
      <c r="I138" s="13">
        <v>42715.90351851852</v>
      </c>
      <c r="J138" s="7">
        <v>1</v>
      </c>
      <c r="K138" s="109" t="str">
        <f t="shared" si="25"/>
        <v>4041/4042</v>
      </c>
      <c r="L138" s="22" t="str">
        <f>VLOOKUP(A138,'Trips&amp;Operators'!$C$1:$G$99999,5,FALSE)</f>
        <v>MCREYNOLDS KYLE</v>
      </c>
      <c r="M138" s="6">
        <f t="shared" si="26"/>
        <v>3.104166666889796E-2</v>
      </c>
      <c r="N138" s="7">
        <f t="shared" si="45"/>
        <v>44.700000003213063</v>
      </c>
      <c r="O138" s="7"/>
      <c r="P138" s="7"/>
      <c r="Q138" s="23"/>
      <c r="R138" s="23"/>
      <c r="S138" s="35">
        <f t="shared" si="46"/>
        <v>1</v>
      </c>
      <c r="T138" s="50" t="str">
        <f t="shared" si="27"/>
        <v>Southbound</v>
      </c>
      <c r="U138" s="171">
        <f>IF(AG138="EC",COUNTIFS(Variables!$M$2:$M$19,IF(T138="NorthBound","&gt;=","&lt;=")&amp;Y138,Variables!$M$2:$M$19,IF(T138="NorthBound","&lt;=","&gt;=")&amp;Z138),COUNTIFS(Variables!$P$2:$P$19,IF(T138="NorthBound","&gt;=","&lt;=")&amp;Y138,Variables!$P$2:$P$19,IF(T138="NorthBound","&lt;=","&gt;=")&amp;Z138))</f>
        <v>12</v>
      </c>
      <c r="V138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19:46:04-700',mode:absolute,to:'2016-12-11 22:41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38" s="52" t="str">
        <f t="shared" si="29"/>
        <v>N</v>
      </c>
      <c r="X138" s="177">
        <f t="shared" si="47"/>
        <v>1</v>
      </c>
      <c r="Y138" s="67">
        <f t="shared" si="30"/>
        <v>23.299299999999999</v>
      </c>
      <c r="Z138" s="67">
        <f t="shared" si="31"/>
        <v>1.61E-2</v>
      </c>
      <c r="AA138" s="67">
        <f t="shared" si="32"/>
        <v>23.283199999999997</v>
      </c>
      <c r="AB138" s="64" t="e">
        <f>VLOOKUP(A138,Enforcements!$C$7:$K$20,8,0)</f>
        <v>#N/A</v>
      </c>
      <c r="AC138" s="60" t="e">
        <f>VLOOKUP(A138,Enforcements!$C$7:$E$20,3,0)</f>
        <v>#N/A</v>
      </c>
      <c r="AD138" s="61" t="str">
        <f t="shared" si="33"/>
        <v>0226-11</v>
      </c>
      <c r="AE138" s="91" t="str">
        <f t="shared" si="34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38" s="88" t="str">
        <f t="shared" si="35"/>
        <v>"C:\Program Files (x86)\AstroGrep\AstroGrep.exe" /spath="%USERPROFILE%\AppData\Local\Temp\OnboardLogs" /stypes="app*4041*20161212*" /stext=" 04:.+((SYSTEM_STATE.+slice.+state.+changed )|(ment ac)|(multiple cpu faults)|(system.+state.+changed )|(\[timeout)|(PRM\|1\|D)|(kpr)|(kdp)|(\|lc)|(penalty))" /e /r /s</v>
      </c>
      <c r="AG138" s="1" t="str">
        <f t="shared" si="36"/>
        <v>EC</v>
      </c>
      <c r="AH138" s="92" t="str">
        <f t="shared" si="37"/>
        <v>"%USERPROFILE%\Documents\GitHub\eaglep3\Utilities\RefineRTDCRunTimes.py" --tripid 226-11 --locoid 4041 --swversion DE.1.0.8.0 --startMP 204:232993 --initTime 2016-12-11T20:46:04 --startdatetime 2016-12-11T20:56:22 --delay 1 --endMP 204:161 --enddatetime 2016-12-11T21:41:04 --enforcementcount 1 &gt;&gt;C:\Users\stu\Documents\GitHub\eaglep3-reporting\EC\2016-12-11-refined-times.txt</v>
      </c>
      <c r="AI138" s="119" t="str">
        <f t="shared" si="38"/>
        <v>echo {"issue":{"subject":"","project_id":79,"tracker_id":40,"status_id":1,"priority_id":2,"assigned_to_id":23,"start_date":"2016-12-11","description":"","custom_fields":[{"id":1,"name":"Subdivision","value":"EC"},{"id":4,"name":"Milepost","value":"0.0161"},{"id":17,"name":"Train ID","value":"226-11"},{"id":16,"name":"Locomotive ID","value":"4041"},{"id":130,"name":"Impact","value":""},{"id":150,"name":"Time of Event (Mountain Time)","value":"21:41:04"},{"id":151,"name":"Denver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8" s="53"/>
      <c r="AK138" s="53"/>
      <c r="AL138" s="53"/>
      <c r="AM138"/>
      <c r="AN138"/>
      <c r="AO138"/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</row>
    <row r="139" spans="1:91" x14ac:dyDescent="0.25">
      <c r="A139" s="37" t="s">
        <v>636</v>
      </c>
      <c r="B139" s="7">
        <v>4018</v>
      </c>
      <c r="C139" s="22" t="s">
        <v>207</v>
      </c>
      <c r="D139" s="22" t="s">
        <v>787</v>
      </c>
      <c r="E139" s="13">
        <v>42715.852881944447</v>
      </c>
      <c r="F139" s="13">
        <v>42715.854456018518</v>
      </c>
      <c r="G139" s="7">
        <v>1</v>
      </c>
      <c r="H139" s="22" t="s">
        <v>420</v>
      </c>
      <c r="I139" s="13">
        <v>42715.882002314815</v>
      </c>
      <c r="J139" s="7">
        <v>1</v>
      </c>
      <c r="K139" s="109" t="str">
        <f t="shared" si="25"/>
        <v>4017/4018</v>
      </c>
      <c r="L139" s="22" t="str">
        <f>VLOOKUP(A139,'Trips&amp;Operators'!$C$1:$G$99999,5,FALSE)</f>
        <v>CHANDLER KELVIN</v>
      </c>
      <c r="M139" s="6">
        <f t="shared" si="26"/>
        <v>2.7546296296350192E-2</v>
      </c>
      <c r="N139" s="7">
        <f t="shared" si="45"/>
        <v>39.666666666744277</v>
      </c>
      <c r="O139" s="7"/>
      <c r="P139" s="7"/>
      <c r="Q139" s="23"/>
      <c r="R139" s="23"/>
      <c r="S139" s="35">
        <f t="shared" si="46"/>
        <v>1</v>
      </c>
      <c r="T139" s="50" t="str">
        <f t="shared" si="27"/>
        <v>NorthBound</v>
      </c>
      <c r="U139" s="171">
        <f>IF(AG139="EC",COUNTIFS(Variables!$M$2:$M$19,IF(T139="NorthBound","&gt;=","&lt;=")&amp;Y139,Variables!$M$2:$M$19,IF(T139="NorthBound","&lt;=","&gt;=")&amp;Z139),COUNTIFS(Variables!$P$2:$P$19,IF(T139="NorthBound","&gt;=","&lt;=")&amp;Y139,Variables!$P$2:$P$19,IF(T139="NorthBound","&lt;=","&gt;=")&amp;Z139))</f>
        <v>12</v>
      </c>
      <c r="V139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19:28:09-700',mode:absolute,to:'2016-12-11 22:10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39" s="52" t="str">
        <f t="shared" si="29"/>
        <v>N</v>
      </c>
      <c r="X139" s="177">
        <f t="shared" ref="X139:X155" si="48">VALUE(LEFT(AD139,4))-VALUE(LEFT(AD138,4))</f>
        <v>1</v>
      </c>
      <c r="Y139" s="67">
        <f t="shared" si="30"/>
        <v>4.2700000000000002E-2</v>
      </c>
      <c r="Z139" s="67">
        <f t="shared" si="31"/>
        <v>23.329499999999999</v>
      </c>
      <c r="AA139" s="67">
        <f t="shared" si="32"/>
        <v>23.286799999999999</v>
      </c>
      <c r="AB139" s="64" t="e">
        <f>VLOOKUP(A139,Enforcements!$C$7:$K$20,8,0)</f>
        <v>#N/A</v>
      </c>
      <c r="AC139" s="60" t="e">
        <f>VLOOKUP(A139,Enforcements!$C$7:$E$20,3,0)</f>
        <v>#N/A</v>
      </c>
      <c r="AD139" s="61" t="str">
        <f t="shared" si="33"/>
        <v>0227-11</v>
      </c>
      <c r="AE139" s="91" t="str">
        <f t="shared" si="34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139" s="88" t="str">
        <f t="shared" si="35"/>
        <v>"C:\Program Files (x86)\AstroGrep\AstroGrep.exe" /spath="%USERPROFILE%\AppData\Local\Temp\OnboardLogs" /stypes="app*4018*20161212*" /stext=" 04:.+((SYSTEM_STATE.+slice.+state.+changed )|(ment ac)|(multiple cpu faults)|(system.+state.+changed )|(\[timeout)|(PRM\|1\|D)|(kpr)|(kdp)|(\|lc)|(penalty))" /e /r /s</v>
      </c>
      <c r="AG139" s="1" t="str">
        <f t="shared" si="36"/>
        <v>EC</v>
      </c>
      <c r="AH139" s="92" t="str">
        <f t="shared" ref="AH139:AH203" si="49">refinertdcruntimes&amp;" --tripid "&amp;A139&amp;" --locoid "&amp;B139&amp;" --swversion "&amp;C139&amp;" --startMP "&amp;D139&amp;" --initTime "&amp;TEXT(E139,"yyyy-mm-ddTHH:MM:SS")&amp;" --startdatetime "&amp;TEXT(F139,"yyyy-mm-ddTHH:MM:SS")&amp;" --delay "&amp;G139&amp;" --endMP "&amp;H139&amp;" --enddatetime "&amp;TEXT(I139,"yyyy-mm-ddTHH:MM:SS")&amp;" --enforcementcount "&amp;J139&amp;IF(outputrefinedruntimes," &gt;&gt;"&amp;RefinedRTDCRunTimesOutputFile,"")</f>
        <v>"%USERPROFILE%\Documents\GitHub\eaglep3\Utilities\RefineRTDCRunTimes.py" --tripid 227-11 --locoid 4018 --swversion DE.1.0.8.0 --startMP 204:427 --initTime 2016-12-11T20:28:09 --startdatetime 2016-12-11T20:30:25 --delay 1 --endMP 204:233295 --enddatetime 2016-12-11T21:10:05 --enforcementcount 1 &gt;&gt;C:\Users\stu\Documents\GitHub\eaglep3-reporting\EC\2016-12-11-refined-times.txt</v>
      </c>
      <c r="AI139" s="119" t="str">
        <f t="shared" ref="AI139:AI203" si="50">"echo {""issue"":{""subject"":"""&amp;R139&amp;""",""project_id"":79,""tracker_id"":40,""status_id"":"&amp;redmine_status&amp;",""priority_id"":"&amp;redmine_priority&amp;",""assigned_to_id"":"&amp;redmine_assignee&amp;",""start_date"":"""&amp;TEXT(I139,"YYYY-mm-dd")&amp;""",""description"":"""&amp;AJ139&amp;""",""custom_fields"":[{""id"":1,""name"":""Subdivision"",""value"":"""&amp;AG139&amp;"""},{""id"":4,""name"":""Milepost"",""value"":"""&amp;Z139&amp;"""},{""id"":17,""name"":""Train ID"",""value"":"""&amp;A139&amp;"""},{""id"":16,""name"":""Locomotive ID"",""value"":"""&amp;B139&amp;"""},{""id"":130,""name"":""Impact"",""value"":"""&amp;AK139&amp;"""},{""id"":150,""name"":""Time of Event (Mountain Time)"",""value"":"""&amp;TEXT(I139,"hh:mm:ss")&amp;"""},{""id"":151,""name"":""Denver Issue ID"",""value"":"""&amp;"""},{""id"":178,""name"":""Operational Impact"",""value"":"""&amp;redmine_op_impact&amp;"""},{""id"":179,""name"":""Denver Segment Assigned"",""value"":"""&amp;AL139&amp;"""}]}}"&amp;"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{"issue":{"subject":"","project_id":79,"tracker_id":40,"status_id":1,"priority_id":2,"assigned_to_id":23,"start_date":"2016-12-11","description":"","custom_fields":[{"id":1,"name":"Subdivision","value":"EC"},{"id":4,"name":"Milepost","value":"23.3295"},{"id":17,"name":"Train ID","value":"227-11"},{"id":16,"name":"Locomotive ID","value":"4018"},{"id":130,"name":"Impact","value":""},{"id":150,"name":"Time of Event (Mountain Time)","value":"21:10:05"},{"id":151,"name":"Denver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39" s="53"/>
      <c r="AK139" s="53"/>
      <c r="AL139" s="53"/>
    </row>
    <row r="140" spans="1:91" s="21" customFormat="1" x14ac:dyDescent="0.25">
      <c r="A140" s="37" t="s">
        <v>643</v>
      </c>
      <c r="B140" s="7">
        <v>4017</v>
      </c>
      <c r="C140" s="22" t="s">
        <v>207</v>
      </c>
      <c r="D140" s="22" t="s">
        <v>413</v>
      </c>
      <c r="E140" s="13">
        <v>42715.890416666669</v>
      </c>
      <c r="F140" s="13">
        <v>42715.893703703703</v>
      </c>
      <c r="G140" s="7">
        <v>1</v>
      </c>
      <c r="H140" s="22" t="s">
        <v>292</v>
      </c>
      <c r="I140" s="13">
        <v>42715.923680555556</v>
      </c>
      <c r="J140" s="7">
        <v>1</v>
      </c>
      <c r="K140" s="109" t="str">
        <f t="shared" si="25"/>
        <v>4017/4018</v>
      </c>
      <c r="L140" s="22" t="str">
        <f>VLOOKUP(A140,'Trips&amp;Operators'!$C$1:$G$99999,5,FALSE)</f>
        <v>CHANDLER KELVIN</v>
      </c>
      <c r="M140" s="6">
        <f t="shared" si="26"/>
        <v>2.99768518525525E-2</v>
      </c>
      <c r="N140" s="7">
        <f t="shared" si="45"/>
        <v>43.166666667675599</v>
      </c>
      <c r="O140" s="7"/>
      <c r="P140" s="7"/>
      <c r="Q140" s="23"/>
      <c r="R140" s="23"/>
      <c r="S140" s="35">
        <f t="shared" si="46"/>
        <v>1</v>
      </c>
      <c r="T140" s="50" t="str">
        <f t="shared" si="27"/>
        <v>Southbound</v>
      </c>
      <c r="U140" s="171">
        <f>IF(AG140="EC",COUNTIFS(Variables!$M$2:$M$19,IF(T140="NorthBound","&gt;=","&lt;=")&amp;Y140,Variables!$M$2:$M$19,IF(T140="NorthBound","&lt;=","&gt;=")&amp;Z140),COUNTIFS(Variables!$P$2:$P$19,IF(T140="NorthBound","&gt;=","&lt;=")&amp;Y140,Variables!$P$2:$P$19,IF(T140="NorthBound","&lt;=","&gt;=")&amp;Z140))</f>
        <v>12</v>
      </c>
      <c r="V140" s="98" t="str">
        <f t="shared" si="28"/>
        <v>https://search-rtdc-monitor-bjffxe2xuh6vdkpspy63sjmuny.us-east-1.es.amazonaws.com/_plugin/kibana/#/discover/Steve-Slow-Train-Analysis-(2080s-and-2083s)?_g=(refreshInterval:(display:Off,section:0,value:0),time:(from:'2016-12-11 20:22:12-700',mode:absolute,to:'2016-12-11 23:10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0" s="52" t="str">
        <f t="shared" si="29"/>
        <v>N</v>
      </c>
      <c r="X140" s="177">
        <f t="shared" si="48"/>
        <v>1</v>
      </c>
      <c r="Y140" s="67">
        <f t="shared" si="30"/>
        <v>23.298300000000001</v>
      </c>
      <c r="Z140" s="67">
        <f t="shared" si="31"/>
        <v>1.52E-2</v>
      </c>
      <c r="AA140" s="67">
        <f t="shared" si="32"/>
        <v>23.283100000000001</v>
      </c>
      <c r="AB140" s="64" t="e">
        <f>VLOOKUP(A140,Enforcements!$C$7:$K$20,8,0)</f>
        <v>#N/A</v>
      </c>
      <c r="AC140" s="60" t="e">
        <f>VLOOKUP(A140,Enforcements!$C$7:$E$20,3,0)</f>
        <v>#N/A</v>
      </c>
      <c r="AD140" s="61" t="str">
        <f t="shared" si="33"/>
        <v>0228-11</v>
      </c>
      <c r="AE140" s="91" t="str">
        <f t="shared" si="34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140" s="88" t="str">
        <f t="shared" si="35"/>
        <v>"C:\Program Files (x86)\AstroGrep\AstroGrep.exe" /spath="%USERPROFILE%\AppData\Local\Temp\OnboardLogs" /stypes="app*4017*20161212*" /stext=" 05:.+((SYSTEM_STATE.+slice.+state.+changed )|(ment ac)|(multiple cpu faults)|(system.+state.+changed )|(\[timeout)|(PRM\|1\|D)|(kpr)|(kdp)|(\|lc)|(penalty))" /e /r /s</v>
      </c>
      <c r="AG140" s="1" t="str">
        <f t="shared" si="36"/>
        <v>EC</v>
      </c>
      <c r="AH140" s="92" t="str">
        <f t="shared" si="49"/>
        <v>"%USERPROFILE%\Documents\GitHub\eaglep3\Utilities\RefineRTDCRunTimes.py" --tripid 228-11 --locoid 4017 --swversion DE.1.0.8.0 --startMP 204:232983 --initTime 2016-12-11T21:22:12 --startdatetime 2016-12-11T21:26:56 --delay 1 --endMP 204:152 --enddatetime 2016-12-11T22:10:06 --enforcementcount 1 &gt;&gt;C:\Users\stu\Documents\GitHub\eaglep3-reporting\EC\2016-12-11-refined-times.txt</v>
      </c>
      <c r="AI140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{"issue":{"subject":"","project_id":79,"tracker_id":40,"status_id":1,"priority_id":2,"assigned_to_id":23,"start_date":"2016-12-11","description":"","custom_fields":[{"id":1,"name":"Subdivision","value":"EC"},{"id":4,"name":"Milepost","value":"0.0152"},{"id":17,"name":"Train ID","value":"228-11"},{"id":16,"name":"Locomotive ID","value":"4017"},{"id":130,"name":"Impact","value":""},{"id":150,"name":"Time of Event (Mountain Time)","value":"22:10:06"},{"id":151,"name":"Denver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0" s="53"/>
      <c r="AK140" s="53"/>
      <c r="AL140" s="53"/>
      <c r="AM140"/>
      <c r="AN140"/>
      <c r="AO140"/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</row>
    <row r="141" spans="1:91" x14ac:dyDescent="0.25">
      <c r="A141" s="37" t="s">
        <v>641</v>
      </c>
      <c r="B141" s="7">
        <v>4029</v>
      </c>
      <c r="C141" s="22" t="s">
        <v>207</v>
      </c>
      <c r="D141" s="22" t="s">
        <v>195</v>
      </c>
      <c r="E141" s="13">
        <v>42715.86991898148</v>
      </c>
      <c r="F141" s="13">
        <v>42715.875185185185</v>
      </c>
      <c r="G141" s="7">
        <v>1</v>
      </c>
      <c r="H141" s="22" t="s">
        <v>294</v>
      </c>
      <c r="I141" s="13">
        <v>42715.901770833334</v>
      </c>
      <c r="J141" s="7">
        <v>1</v>
      </c>
      <c r="K141" s="109" t="str">
        <f t="shared" ref="K141:K204" si="51">IF(ISEVEN(B141),(B141-1)&amp;"/"&amp;B141,B141&amp;"/"&amp;(B141+1))</f>
        <v>4029/4030</v>
      </c>
      <c r="L141" s="22" t="str">
        <f>VLOOKUP(A141,'Trips&amp;Operators'!$C$1:$G$99999,5,FALSE)</f>
        <v>LEVERE CRAIG</v>
      </c>
      <c r="M141" s="6">
        <f t="shared" ref="M141:M204" si="52">I141-F141</f>
        <v>2.658564814919373E-2</v>
      </c>
      <c r="N141" s="7">
        <f t="shared" si="45"/>
        <v>38.283333334838971</v>
      </c>
      <c r="O141" s="7"/>
      <c r="P141" s="7"/>
      <c r="Q141" s="23"/>
      <c r="R141" s="23"/>
      <c r="S141" s="35">
        <f t="shared" si="46"/>
        <v>1</v>
      </c>
      <c r="T141" s="50" t="str">
        <f t="shared" ref="T141:T204" si="53">IF(ISEVEN(LEFT(AD141,4)),"Southbound","NorthBound")</f>
        <v>NorthBound</v>
      </c>
      <c r="U141" s="171">
        <f>IF(AG141="EC",COUNTIFS(Variables!$M$2:$M$19,IF(T141="NorthBound","&gt;=","&lt;=")&amp;Y141,Variables!$M$2:$M$19,IF(T141="NorthBound","&lt;=","&gt;=")&amp;Z141),COUNTIFS(Variables!$P$2:$P$19,IF(T141="NorthBound","&gt;=","&lt;=")&amp;Y141,Variables!$P$2:$P$19,IF(T141="NorthBound","&lt;=","&gt;=")&amp;Z141))</f>
        <v>12</v>
      </c>
      <c r="V141" s="98" t="str">
        <f t="shared" ref="V141:V204" si="54">"https://search-rtdc-monitor-bjffxe2xuh6vdkpspy63sjmuny.us-east-1.es.amazonaws.com/_plugin/kibana/#/discover/Steve-Slow-Train-Analysis-(2080s-and-2083s)?_g=(refreshInterval:(display:Off,section:0,value:0),time:(from:'"&amp;TEXT(E141-1/24,"yyyy-MM-DD hh:mm:ss")&amp;utc_offset&amp;"00',mode:absolute,to:'"&amp;TEXT(I141+1/24,"yyyy-MM-DD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141&amp;"%22')),sort:!(Time,asc))"</f>
        <v>https://search-rtdc-monitor-bjffxe2xuh6vdkpspy63sjmuny.us-east-1.es.amazonaws.com/_plugin/kibana/#/discover/Steve-Slow-Train-Analysis-(2080s-and-2083s)?_g=(refreshInterval:(display:Off,section:0,value:0),time:(from:'2016-12-11 19:52:41-700',mode:absolute,to:'2016-12-11 22:38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1" s="52" t="str">
        <f t="shared" ref="W141:W204" si="55">IF(AA141&lt;IF(AG141="EC",23,5.65),"Y","N")</f>
        <v>N</v>
      </c>
      <c r="X141" s="177">
        <f t="shared" si="48"/>
        <v>1</v>
      </c>
      <c r="Y141" s="67">
        <f t="shared" ref="Y141:Y204" si="56">RIGHT(D141,LEN(D141)-4)/10000</f>
        <v>4.5100000000000001E-2</v>
      </c>
      <c r="Z141" s="67">
        <f t="shared" ref="Z141:Z204" si="57">RIGHT(H141,LEN(H141)-4)/10000</f>
        <v>23.332100000000001</v>
      </c>
      <c r="AA141" s="67">
        <f t="shared" ref="AA141:AA204" si="58">ABS(Z141-Y141)</f>
        <v>23.286999999999999</v>
      </c>
      <c r="AB141" s="64" t="e">
        <f>VLOOKUP(A141,Enforcements!$C$7:$K$20,8,0)</f>
        <v>#N/A</v>
      </c>
      <c r="AC141" s="60" t="e">
        <f>VLOOKUP(A141,Enforcements!$C$7:$E$20,3,0)</f>
        <v>#N/A</v>
      </c>
      <c r="AD141" s="61" t="str">
        <f t="shared" ref="AD141:AD204" si="59">IF(LEN(A141)=6,"0"&amp;A141,A141)</f>
        <v>0229-11</v>
      </c>
      <c r="AE141" s="91" t="str">
        <f t="shared" ref="AE141:AE204" si="60">"aws s3 cp "&amp;s3_bucket&amp;"/RTDC"&amp;B141&amp;"/ "&amp;search_path&amp;"\RTDC"&amp;B141&amp;"\"&amp;TEXT(F141,"YYYY-MM-DD")&amp;" --exclude ""*"" --recursive --include ""*"&amp;TEXT(F141,"YYYYMMDD")&amp;"*"" &amp; """&amp;walkandungz&amp;""" "&amp;search_path&amp;"\RTDC"&amp;B141&amp;"\"&amp;TEXT(F141,"YYYY-MM-DD")
&amp;" &amp; "&amp;"aws s3 cp "&amp;s3_bucket&amp;"/RTDC"&amp;B141&amp;"/ "&amp;search_path&amp;"\RTDC"&amp;B141&amp;"\"&amp;TEXT(F141+1,"YYYY-MM-DD")&amp;" --exclude ""*"" --recursive --include ""*"&amp;TEXT(F141+1,"YYYYMMDD")&amp;"*"" &amp; """&amp;walkandungz&amp;""" "&amp;search_path&amp;"\RTDC"&amp;B141&amp;"\"&amp;TEXT(F141+1,"YYYY-MM-DD")</f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141" s="88" t="str">
        <f t="shared" ref="AF141:AF204" si="61">astrogrep_path&amp;" /spath="&amp;search_path&amp;" /stypes=""app*"&amp;B141&amp;"*"&amp;TEXT(I141-utc_offset/24,"YYYYMMDD")&amp;"*"" /stext="" "&amp;TEXT(I141-utc_offset/24,"HH")&amp;search_regexp&amp;""" /e /r /s"</f>
        <v>"C:\Program Files (x86)\AstroGrep\AstroGrep.exe" /spath="%USERPROFILE%\AppData\Local\Temp\OnboardLogs" /stypes="app*4029*20161212*" /stext=" 04:.+((SYSTEM_STATE.+slice.+state.+changed )|(ment ac)|(multiple cpu faults)|(system.+state.+changed )|(\[timeout)|(PRM\|1\|D)|(kpr)|(kdp)|(\|lc)|(penalty))" /e /r /s</v>
      </c>
      <c r="AG141" s="1" t="str">
        <f t="shared" ref="AG141:AG204" si="62">IFERROR(IF(VALUE(LEFT(AD141,2))&lt;=2,"EC",IF(OR(VALUE(LEFT(AD141,2))=8,VALUE(LEFT(AD141,2))=18),"NW","Other")),"Other")</f>
        <v>EC</v>
      </c>
      <c r="AH141" s="92" t="str">
        <f t="shared" si="49"/>
        <v>"%USERPROFILE%\Documents\GitHub\eaglep3\Utilities\RefineRTDCRunTimes.py" --tripid 229-11 --locoid 4029 --swversion DE.1.0.8.0 --startMP 204:451 --initTime 2016-12-11T20:52:41 --startdatetime 2016-12-11T21:00:16 --delay 1 --endMP 204:233321 --enddatetime 2016-12-11T21:38:33 --enforcementcount 1 &gt;&gt;C:\Users\stu\Documents\GitHub\eaglep3-reporting\EC\2016-12-11-refined-times.txt</v>
      </c>
      <c r="AI141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{"issue":{"subject":"","project_id":79,"tracker_id":40,"status_id":1,"priority_id":2,"assigned_to_id":23,"start_date":"2016-12-11","description":"","custom_fields":[{"id":1,"name":"Subdivision","value":"EC"},{"id":4,"name":"Milepost","value":"23.3321"},{"id":17,"name":"Train ID","value":"229-11"},{"id":16,"name":"Locomotive ID","value":"4029"},{"id":130,"name":"Impact","value":""},{"id":150,"name":"Time of Event (Mountain Time)","value":"21:38:33"},{"id":151,"name":"Denver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1" s="53"/>
      <c r="AK141" s="53"/>
      <c r="AL141" s="53"/>
    </row>
    <row r="142" spans="1:91" x14ac:dyDescent="0.25">
      <c r="A142" s="37" t="s">
        <v>645</v>
      </c>
      <c r="B142" s="7">
        <v>4030</v>
      </c>
      <c r="C142" s="22" t="s">
        <v>207</v>
      </c>
      <c r="D142" s="22" t="s">
        <v>709</v>
      </c>
      <c r="E142" s="13">
        <v>42715.907789351855</v>
      </c>
      <c r="F142" s="13">
        <v>42715.914155092592</v>
      </c>
      <c r="G142" s="7">
        <v>1</v>
      </c>
      <c r="H142" s="22" t="s">
        <v>205</v>
      </c>
      <c r="I142" s="13">
        <v>42715.945462962962</v>
      </c>
      <c r="J142" s="7">
        <v>1</v>
      </c>
      <c r="K142" s="109" t="str">
        <f t="shared" si="51"/>
        <v>4029/4030</v>
      </c>
      <c r="L142" s="22" t="str">
        <f>VLOOKUP(A142,'Trips&amp;Operators'!$C$1:$G$99999,5,FALSE)</f>
        <v>LEVERE CRAIG</v>
      </c>
      <c r="M142" s="6">
        <f t="shared" si="52"/>
        <v>3.1307870369346347E-2</v>
      </c>
      <c r="N142" s="7">
        <f t="shared" si="45"/>
        <v>45.083333331858739</v>
      </c>
      <c r="O142" s="7"/>
      <c r="P142" s="7"/>
      <c r="Q142" s="23"/>
      <c r="R142" s="23"/>
      <c r="S142" s="35">
        <f t="shared" si="46"/>
        <v>1</v>
      </c>
      <c r="T142" s="50" t="str">
        <f t="shared" si="53"/>
        <v>Southbound</v>
      </c>
      <c r="U142" s="171">
        <f>IF(AG142="EC",COUNTIFS(Variables!$M$2:$M$19,IF(T142="NorthBound","&gt;=","&lt;=")&amp;Y142,Variables!$M$2:$M$19,IF(T142="NorthBound","&lt;=","&gt;=")&amp;Z142),COUNTIFS(Variables!$P$2:$P$19,IF(T142="NorthBound","&gt;=","&lt;=")&amp;Y142,Variables!$P$2:$P$19,IF(T142="NorthBound","&lt;=","&gt;=")&amp;Z142))</f>
        <v>12</v>
      </c>
      <c r="V14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20:47:13-700',mode:absolute,to:'2016-12-11 23:41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42" s="52" t="str">
        <f t="shared" si="55"/>
        <v>N</v>
      </c>
      <c r="X142" s="177">
        <f t="shared" si="48"/>
        <v>1</v>
      </c>
      <c r="Y142" s="67">
        <f t="shared" si="56"/>
        <v>23.299299999999999</v>
      </c>
      <c r="Z142" s="67">
        <f t="shared" si="57"/>
        <v>1.5599999999999999E-2</v>
      </c>
      <c r="AA142" s="67">
        <f t="shared" si="58"/>
        <v>23.2837</v>
      </c>
      <c r="AB142" s="64" t="e">
        <f>VLOOKUP(A142,Enforcements!$C$7:$K$20,8,0)</f>
        <v>#N/A</v>
      </c>
      <c r="AC142" s="60" t="e">
        <f>VLOOKUP(A142,Enforcements!$C$7:$E$20,3,0)</f>
        <v>#N/A</v>
      </c>
      <c r="AD142" s="61" t="str">
        <f t="shared" si="59"/>
        <v>0230-11</v>
      </c>
      <c r="AE142" s="91" t="str">
        <f t="shared" si="60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142" s="88" t="str">
        <f t="shared" si="61"/>
        <v>"C:\Program Files (x86)\AstroGrep\AstroGrep.exe" /spath="%USERPROFILE%\AppData\Local\Temp\OnboardLogs" /stypes="app*4030*20161212*" /stext=" 05:.+((SYSTEM_STATE.+slice.+state.+changed )|(ment ac)|(multiple cpu faults)|(system.+state.+changed )|(\[timeout)|(PRM\|1\|D)|(kpr)|(kdp)|(\|lc)|(penalty))" /e /r /s</v>
      </c>
      <c r="AG142" s="1" t="str">
        <f t="shared" si="62"/>
        <v>EC</v>
      </c>
      <c r="AH142" s="92" t="str">
        <f t="shared" si="49"/>
        <v>"%USERPROFILE%\Documents\GitHub\eaglep3\Utilities\RefineRTDCRunTimes.py" --tripid 230-11 --locoid 4030 --swversion DE.1.0.8.0 --startMP 204:232993 --initTime 2016-12-11T21:47:13 --startdatetime 2016-12-11T21:56:23 --delay 1 --endMP 204:156 --enddatetime 2016-12-11T22:41:28 --enforcementcount 1 &gt;&gt;C:\Users\stu\Documents\GitHub\eaglep3-reporting\EC\2016-12-11-refined-times.txt</v>
      </c>
      <c r="AI142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{"issue":{"subject":"","project_id":79,"tracker_id":40,"status_id":1,"priority_id":2,"assigned_to_id":23,"start_date":"2016-12-11","description":"","custom_fields":[{"id":1,"name":"Subdivision","value":"EC"},{"id":4,"name":"Milepost","value":"0.0156"},{"id":17,"name":"Train ID","value":"230-11"},{"id":16,"name":"Locomotive ID","value":"4030"},{"id":130,"name":"Impact","value":""},{"id":150,"name":"Time of Event (Mountain Time)","value":"22:41:28"},{"id":151,"name":"Denver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2" s="53"/>
      <c r="AK142" s="53"/>
      <c r="AL142" s="53"/>
    </row>
    <row r="143" spans="1:91" s="21" customFormat="1" x14ac:dyDescent="0.25">
      <c r="A143" s="37" t="s">
        <v>642</v>
      </c>
      <c r="B143" s="7">
        <v>4044</v>
      </c>
      <c r="C143" s="22" t="s">
        <v>207</v>
      </c>
      <c r="D143" s="22" t="s">
        <v>236</v>
      </c>
      <c r="E143" s="13">
        <v>42715.888379629629</v>
      </c>
      <c r="F143" s="13">
        <v>42715.896018518521</v>
      </c>
      <c r="G143" s="7">
        <v>1</v>
      </c>
      <c r="H143" s="22" t="s">
        <v>788</v>
      </c>
      <c r="I143" s="13">
        <v>42715.923761574071</v>
      </c>
      <c r="J143" s="7">
        <v>1</v>
      </c>
      <c r="K143" s="109" t="str">
        <f t="shared" si="51"/>
        <v>4043/4044</v>
      </c>
      <c r="L143" s="22" t="str">
        <f>VLOOKUP(A143,'Trips&amp;Operators'!$C$1:$G$99999,5,FALSE)</f>
        <v>BADERTSCHER DIANE</v>
      </c>
      <c r="M143" s="6">
        <f t="shared" si="52"/>
        <v>2.774305555067258E-2</v>
      </c>
      <c r="N143" s="7">
        <f t="shared" si="45"/>
        <v>39.949999992968515</v>
      </c>
      <c r="O143" s="7"/>
      <c r="P143" s="7"/>
      <c r="Q143" s="23"/>
      <c r="R143" s="23"/>
      <c r="S143" s="35">
        <f t="shared" si="46"/>
        <v>1</v>
      </c>
      <c r="T143" s="50" t="str">
        <f t="shared" si="53"/>
        <v>NorthBound</v>
      </c>
      <c r="U143" s="171">
        <f>IF(AG143="EC",COUNTIFS(Variables!$M$2:$M$19,IF(T143="NorthBound","&gt;=","&lt;=")&amp;Y143,Variables!$M$2:$M$19,IF(T143="NorthBound","&lt;=","&gt;=")&amp;Z143),COUNTIFS(Variables!$P$2:$P$19,IF(T143="NorthBound","&gt;=","&lt;=")&amp;Y143,Variables!$P$2:$P$19,IF(T143="NorthBound","&lt;=","&gt;=")&amp;Z143))</f>
        <v>12</v>
      </c>
      <c r="V14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20:19:16-700',mode:absolute,to:'2016-12-11 23:10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43" s="52" t="str">
        <f t="shared" si="55"/>
        <v>N</v>
      </c>
      <c r="X143" s="177">
        <f t="shared" si="48"/>
        <v>1</v>
      </c>
      <c r="Y143" s="67">
        <f t="shared" si="56"/>
        <v>4.5999999999999999E-2</v>
      </c>
      <c r="Z143" s="67">
        <f t="shared" si="57"/>
        <v>23.328099999999999</v>
      </c>
      <c r="AA143" s="67">
        <f t="shared" si="58"/>
        <v>23.2821</v>
      </c>
      <c r="AB143" s="64" t="e">
        <f>VLOOKUP(A143,Enforcements!$C$7:$K$20,8,0)</f>
        <v>#N/A</v>
      </c>
      <c r="AC143" s="60" t="e">
        <f>VLOOKUP(A143,Enforcements!$C$7:$E$20,3,0)</f>
        <v>#N/A</v>
      </c>
      <c r="AD143" s="61" t="str">
        <f t="shared" si="59"/>
        <v>0231-11</v>
      </c>
      <c r="AE143" s="91" t="str">
        <f t="shared" si="60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143" s="88" t="str">
        <f t="shared" si="61"/>
        <v>"C:\Program Files (x86)\AstroGrep\AstroGrep.exe" /spath="%USERPROFILE%\AppData\Local\Temp\OnboardLogs" /stypes="app*4044*20161212*" /stext=" 05:.+((SYSTEM_STATE.+slice.+state.+changed )|(ment ac)|(multiple cpu faults)|(system.+state.+changed )|(\[timeout)|(PRM\|1\|D)|(kpr)|(kdp)|(\|lc)|(penalty))" /e /r /s</v>
      </c>
      <c r="AG143" s="1" t="str">
        <f t="shared" si="62"/>
        <v>EC</v>
      </c>
      <c r="AH143" s="92" t="str">
        <f t="shared" si="49"/>
        <v>"%USERPROFILE%\Documents\GitHub\eaglep3\Utilities\RefineRTDCRunTimes.py" --tripid 231-11 --locoid 4044 --swversion DE.1.0.8.0 --startMP 204:460 --initTime 2016-12-11T21:19:16 --startdatetime 2016-12-11T21:30:16 --delay 1 --endMP 204:233281 --enddatetime 2016-12-11T22:10:13 --enforcementcount 1 &gt;&gt;C:\Users\stu\Documents\GitHub\eaglep3-reporting\EC\2016-12-11-refined-times.txt</v>
      </c>
      <c r="AI143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{"issue":{"subject":"","project_id":79,"tracker_id":40,"status_id":1,"priority_id":2,"assigned_to_id":23,"start_date":"2016-12-11","description":"","custom_fields":[{"id":1,"name":"Subdivision","value":"EC"},{"id":4,"name":"Milepost","value":"23.3281"},{"id":17,"name":"Train ID","value":"231-11"},{"id":16,"name":"Locomotive ID","value":"4044"},{"id":130,"name":"Impact","value":""},{"id":150,"name":"Time of Event (Mountain Time)","value":"22:10:13"},{"id":151,"name":"Denver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3" s="53"/>
      <c r="AK143" s="53"/>
      <c r="AL143" s="53"/>
      <c r="AM143"/>
      <c r="AN143"/>
      <c r="AO143"/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</row>
    <row r="144" spans="1:91" s="21" customFormat="1" x14ac:dyDescent="0.25">
      <c r="A144" s="37" t="s">
        <v>647</v>
      </c>
      <c r="B144" s="7">
        <v>4043</v>
      </c>
      <c r="C144" s="22" t="s">
        <v>207</v>
      </c>
      <c r="D144" s="22" t="s">
        <v>789</v>
      </c>
      <c r="E144" s="13">
        <v>42715.930914351855</v>
      </c>
      <c r="F144" s="13">
        <v>42715.934999999998</v>
      </c>
      <c r="G144" s="7">
        <v>1</v>
      </c>
      <c r="H144" s="22" t="s">
        <v>414</v>
      </c>
      <c r="I144" s="13">
        <v>42715.967488425929</v>
      </c>
      <c r="J144" s="7">
        <v>1</v>
      </c>
      <c r="K144" s="109" t="str">
        <f t="shared" si="51"/>
        <v>4043/4044</v>
      </c>
      <c r="L144" s="22" t="str">
        <f>VLOOKUP(A144,'Trips&amp;Operators'!$C$1:$G$99999,5,FALSE)</f>
        <v>BADERTSCHER DIANE</v>
      </c>
      <c r="M144" s="6">
        <f t="shared" si="52"/>
        <v>3.2488425931660458E-2</v>
      </c>
      <c r="N144" s="7">
        <f t="shared" si="45"/>
        <v>46.78333334159106</v>
      </c>
      <c r="O144" s="7"/>
      <c r="P144" s="7"/>
      <c r="Q144" s="23"/>
      <c r="R144" s="23"/>
      <c r="S144" s="35">
        <f t="shared" si="46"/>
        <v>1</v>
      </c>
      <c r="T144" s="50" t="str">
        <f t="shared" si="53"/>
        <v>Southbound</v>
      </c>
      <c r="U144" s="171">
        <f>IF(AG144="EC",COUNTIFS(Variables!$M$2:$M$19,IF(T144="NorthBound","&gt;=","&lt;=")&amp;Y144,Variables!$M$2:$M$19,IF(T144="NorthBound","&lt;=","&gt;=")&amp;Z144),COUNTIFS(Variables!$P$2:$P$19,IF(T144="NorthBound","&gt;=","&lt;=")&amp;Y144,Variables!$P$2:$P$19,IF(T144="NorthBound","&lt;=","&gt;=")&amp;Z144))</f>
        <v>12</v>
      </c>
      <c r="V14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21:20:31-700',mode:absolute,to:'2016-12-12 00:13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44" s="52" t="str">
        <f t="shared" si="55"/>
        <v>N</v>
      </c>
      <c r="X144" s="177">
        <f t="shared" si="48"/>
        <v>1</v>
      </c>
      <c r="Y144" s="67">
        <f t="shared" si="56"/>
        <v>23.296800000000001</v>
      </c>
      <c r="Z144" s="67">
        <f t="shared" si="57"/>
        <v>1.2699999999999999E-2</v>
      </c>
      <c r="AA144" s="67">
        <f t="shared" si="58"/>
        <v>23.284100000000002</v>
      </c>
      <c r="AB144" s="64" t="e">
        <f>VLOOKUP(A144,Enforcements!$C$7:$K$20,8,0)</f>
        <v>#N/A</v>
      </c>
      <c r="AC144" s="60" t="e">
        <f>VLOOKUP(A144,Enforcements!$C$7:$E$20,3,0)</f>
        <v>#N/A</v>
      </c>
      <c r="AD144" s="61" t="str">
        <f t="shared" si="59"/>
        <v>0232-11</v>
      </c>
      <c r="AE144" s="91" t="str">
        <f t="shared" si="60"/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AF144" s="88" t="str">
        <f t="shared" si="61"/>
        <v>"C:\Program Files (x86)\AstroGrep\AstroGrep.exe" /spath="%USERPROFILE%\AppData\Local\Temp\OnboardLogs" /stypes="app*4043*20161212*" /stext=" 06:.+((SYSTEM_STATE.+slice.+state.+changed )|(ment ac)|(multiple cpu faults)|(system.+state.+changed )|(\[timeout)|(PRM\|1\|D)|(kpr)|(kdp)|(\|lc)|(penalty))" /e /r /s</v>
      </c>
      <c r="AG144" s="1" t="str">
        <f t="shared" si="62"/>
        <v>EC</v>
      </c>
      <c r="AH144" s="92" t="str">
        <f t="shared" si="49"/>
        <v>"%USERPROFILE%\Documents\GitHub\eaglep3\Utilities\RefineRTDCRunTimes.py" --tripid 232-11 --locoid 4043 --swversion DE.1.0.8.0 --startMP 204:232968 --initTime 2016-12-11T22:20:31 --startdatetime 2016-12-11T22:26:24 --delay 1 --endMP 204:127 --enddatetime 2016-12-11T23:13:11 --enforcementcount 1 &gt;&gt;C:\Users\stu\Documents\GitHub\eaglep3-reporting\EC\2016-12-11-refined-times.txt</v>
      </c>
      <c r="AI144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{"issue":{"subject":"","project_id":79,"tracker_id":40,"status_id":1,"priority_id":2,"assigned_to_id":23,"start_date":"2016-12-11","description":"","custom_fields":[{"id":1,"name":"Subdivision","value":"EC"},{"id":4,"name":"Milepost","value":"0.0127"},{"id":17,"name":"Train ID","value":"232-11"},{"id":16,"name":"Locomotive ID","value":"4043"},{"id":130,"name":"Impact","value":""},{"id":150,"name":"Time of Event (Mountain Time)","value":"23:13:11"},{"id":151,"name":"Denver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4" s="53"/>
      <c r="AK144" s="53"/>
      <c r="AL144" s="53"/>
      <c r="AM144"/>
      <c r="AN144"/>
      <c r="AO144"/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</row>
    <row r="145" spans="1:91" s="21" customFormat="1" x14ac:dyDescent="0.25">
      <c r="A145" s="37" t="s">
        <v>644</v>
      </c>
      <c r="B145" s="7">
        <v>4042</v>
      </c>
      <c r="C145" s="22" t="s">
        <v>207</v>
      </c>
      <c r="D145" s="22" t="s">
        <v>232</v>
      </c>
      <c r="E145" s="13">
        <v>42715.906331018516</v>
      </c>
      <c r="F145" s="13">
        <v>42715.91684027778</v>
      </c>
      <c r="G145" s="7">
        <v>1</v>
      </c>
      <c r="H145" s="22" t="s">
        <v>784</v>
      </c>
      <c r="I145" s="13">
        <v>42715.943645833337</v>
      </c>
      <c r="J145" s="7">
        <v>1</v>
      </c>
      <c r="K145" s="109" t="str">
        <f t="shared" si="51"/>
        <v>4041/4042</v>
      </c>
      <c r="L145" s="22" t="str">
        <f>VLOOKUP(A145,'Trips&amp;Operators'!$C$1:$G$99999,5,FALSE)</f>
        <v>MCREYNOLDS KYLE</v>
      </c>
      <c r="M145" s="6">
        <f t="shared" si="52"/>
        <v>2.6805555557075422E-2</v>
      </c>
      <c r="N145" s="7">
        <f t="shared" si="45"/>
        <v>38.600000002188608</v>
      </c>
      <c r="O145" s="7"/>
      <c r="P145" s="7"/>
      <c r="Q145" s="23"/>
      <c r="R145" s="23"/>
      <c r="S145" s="35">
        <f t="shared" si="46"/>
        <v>1</v>
      </c>
      <c r="T145" s="50" t="str">
        <f t="shared" si="53"/>
        <v>NorthBound</v>
      </c>
      <c r="U145" s="171">
        <f>IF(AG145="EC",COUNTIFS(Variables!$M$2:$M$19,IF(T145="NorthBound","&gt;=","&lt;=")&amp;Y145,Variables!$M$2:$M$19,IF(T145="NorthBound","&lt;=","&gt;=")&amp;Z145),COUNTIFS(Variables!$P$2:$P$19,IF(T145="NorthBound","&gt;=","&lt;=")&amp;Y145,Variables!$P$2:$P$19,IF(T145="NorthBound","&lt;=","&gt;=")&amp;Z145))</f>
        <v>12</v>
      </c>
      <c r="V14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20:45:07-700',mode:absolute,to:'2016-12-11 23:38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45" s="52" t="str">
        <f t="shared" si="55"/>
        <v>N</v>
      </c>
      <c r="X145" s="177">
        <f t="shared" si="48"/>
        <v>1</v>
      </c>
      <c r="Y145" s="67">
        <f t="shared" si="56"/>
        <v>4.5499999999999999E-2</v>
      </c>
      <c r="Z145" s="67">
        <f t="shared" si="57"/>
        <v>23.323599999999999</v>
      </c>
      <c r="AA145" s="67">
        <f t="shared" si="58"/>
        <v>23.278099999999998</v>
      </c>
      <c r="AB145" s="64" t="e">
        <f>VLOOKUP(A145,Enforcements!$C$7:$K$20,8,0)</f>
        <v>#N/A</v>
      </c>
      <c r="AC145" s="60" t="e">
        <f>VLOOKUP(A145,Enforcements!$C$7:$E$20,3,0)</f>
        <v>#N/A</v>
      </c>
      <c r="AD145" s="61" t="str">
        <f t="shared" si="59"/>
        <v>0233-11</v>
      </c>
      <c r="AE145" s="91" t="str">
        <f t="shared" si="60"/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AF145" s="88" t="str">
        <f t="shared" si="61"/>
        <v>"C:\Program Files (x86)\AstroGrep\AstroGrep.exe" /spath="%USERPROFILE%\AppData\Local\Temp\OnboardLogs" /stypes="app*4042*20161212*" /stext=" 05:.+((SYSTEM_STATE.+slice.+state.+changed )|(ment ac)|(multiple cpu faults)|(system.+state.+changed )|(\[timeout)|(PRM\|1\|D)|(kpr)|(kdp)|(\|lc)|(penalty))" /e /r /s</v>
      </c>
      <c r="AG145" s="1" t="str">
        <f t="shared" si="62"/>
        <v>EC</v>
      </c>
      <c r="AH145" s="92" t="str">
        <f t="shared" si="49"/>
        <v>"%USERPROFILE%\Documents\GitHub\eaglep3\Utilities\RefineRTDCRunTimes.py" --tripid 233-11 --locoid 4042 --swversion DE.1.0.8.0 --startMP 204:455 --initTime 2016-12-11T21:45:07 --startdatetime 2016-12-11T22:00:15 --delay 1 --endMP 204:233236 --enddatetime 2016-12-11T22:38:51 --enforcementcount 1 &gt;&gt;C:\Users\stu\Documents\GitHub\eaglep3-reporting\EC\2016-12-11-refined-times.txt</v>
      </c>
      <c r="AI145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{"issue":{"subject":"","project_id":79,"tracker_id":40,"status_id":1,"priority_id":2,"assigned_to_id":23,"start_date":"2016-12-11","description":"","custom_fields":[{"id":1,"name":"Subdivision","value":"EC"},{"id":4,"name":"Milepost","value":"23.3236"},{"id":17,"name":"Train ID","value":"233-11"},{"id":16,"name":"Locomotive ID","value":"4042"},{"id":130,"name":"Impact","value":""},{"id":150,"name":"Time of Event (Mountain Time)","value":"22:38:51"},{"id":151,"name":"Denver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5" s="53"/>
      <c r="AK145" s="53"/>
      <c r="AL145" s="53"/>
      <c r="AM145"/>
      <c r="AN145"/>
      <c r="AO145"/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</row>
    <row r="146" spans="1:91" s="21" customFormat="1" x14ac:dyDescent="0.25">
      <c r="A146" s="37" t="s">
        <v>651</v>
      </c>
      <c r="B146" s="7">
        <v>4041</v>
      </c>
      <c r="C146" s="22" t="s">
        <v>207</v>
      </c>
      <c r="D146" s="22" t="s">
        <v>790</v>
      </c>
      <c r="E146" s="13">
        <v>42715.953680555554</v>
      </c>
      <c r="F146" s="13">
        <v>42715.955729166664</v>
      </c>
      <c r="G146" s="7">
        <v>1</v>
      </c>
      <c r="H146" s="22" t="s">
        <v>292</v>
      </c>
      <c r="I146" s="13">
        <v>42715.989965277775</v>
      </c>
      <c r="J146" s="7">
        <v>1</v>
      </c>
      <c r="K146" s="109" t="str">
        <f t="shared" si="51"/>
        <v>4041/4042</v>
      </c>
      <c r="L146" s="22" t="str">
        <f>VLOOKUP(A146,'Trips&amp;Operators'!$C$1:$G$99999,5,FALSE)</f>
        <v>MCREYNOLDS KYLE</v>
      </c>
      <c r="M146" s="6">
        <f t="shared" si="52"/>
        <v>3.4236111110658385E-2</v>
      </c>
      <c r="N146" s="7">
        <f t="shared" si="45"/>
        <v>49.299999999348074</v>
      </c>
      <c r="O146" s="7"/>
      <c r="P146" s="7"/>
      <c r="Q146" s="23"/>
      <c r="R146" s="23"/>
      <c r="S146" s="35">
        <f t="shared" si="46"/>
        <v>1</v>
      </c>
      <c r="T146" s="50" t="str">
        <f t="shared" si="53"/>
        <v>Southbound</v>
      </c>
      <c r="U146" s="171">
        <f>IF(AG146="EC",COUNTIFS(Variables!$M$2:$M$19,IF(T146="NorthBound","&gt;=","&lt;=")&amp;Y146,Variables!$M$2:$M$19,IF(T146="NorthBound","&lt;=","&gt;=")&amp;Z146),COUNTIFS(Variables!$P$2:$P$19,IF(T146="NorthBound","&gt;=","&lt;=")&amp;Y146,Variables!$P$2:$P$19,IF(T146="NorthBound","&lt;=","&gt;=")&amp;Z146))</f>
        <v>12</v>
      </c>
      <c r="V14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21:53:18-700',mode:absolute,to:'2016-12-12 00:45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46" s="52" t="str">
        <f t="shared" si="55"/>
        <v>N</v>
      </c>
      <c r="X146" s="177">
        <f t="shared" si="48"/>
        <v>1</v>
      </c>
      <c r="Y146" s="67">
        <f t="shared" si="56"/>
        <v>23.292300000000001</v>
      </c>
      <c r="Z146" s="67">
        <f t="shared" si="57"/>
        <v>1.52E-2</v>
      </c>
      <c r="AA146" s="67">
        <f t="shared" si="58"/>
        <v>23.277100000000001</v>
      </c>
      <c r="AB146" s="64" t="e">
        <f>VLOOKUP(A146,Enforcements!$C$7:$K$20,8,0)</f>
        <v>#N/A</v>
      </c>
      <c r="AC146" s="60" t="e">
        <f>VLOOKUP(A146,Enforcements!$C$7:$E$20,3,0)</f>
        <v>#N/A</v>
      </c>
      <c r="AD146" s="61" t="str">
        <f t="shared" si="59"/>
        <v>0234-11</v>
      </c>
      <c r="AE146" s="91" t="str">
        <f t="shared" si="60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46" s="88" t="str">
        <f t="shared" si="61"/>
        <v>"C:\Program Files (x86)\AstroGrep\AstroGrep.exe" /spath="%USERPROFILE%\AppData\Local\Temp\OnboardLogs" /stypes="app*4041*20161212*" /stext=" 06:.+((SYSTEM_STATE.+slice.+state.+changed )|(ment ac)|(multiple cpu faults)|(system.+state.+changed )|(\[timeout)|(PRM\|1\|D)|(kpr)|(kdp)|(\|lc)|(penalty))" /e /r /s</v>
      </c>
      <c r="AG146" s="1" t="str">
        <f t="shared" si="62"/>
        <v>EC</v>
      </c>
      <c r="AH146" s="92" t="str">
        <f t="shared" si="49"/>
        <v>"%USERPROFILE%\Documents\GitHub\eaglep3\Utilities\RefineRTDCRunTimes.py" --tripid 234-11 --locoid 4041 --swversion DE.1.0.8.0 --startMP 204:232923 --initTime 2016-12-11T22:53:18 --startdatetime 2016-12-11T22:56:15 --delay 1 --endMP 204:152 --enddatetime 2016-12-11T23:45:33 --enforcementcount 1 &gt;&gt;C:\Users\stu\Documents\GitHub\eaglep3-reporting\EC\2016-12-11-refined-times.txt</v>
      </c>
      <c r="AI146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{"issue":{"subject":"","project_id":79,"tracker_id":40,"status_id":1,"priority_id":2,"assigned_to_id":23,"start_date":"2016-12-11","description":"","custom_fields":[{"id":1,"name":"Subdivision","value":"EC"},{"id":4,"name":"Milepost","value":"0.0152"},{"id":17,"name":"Train ID","value":"234-11"},{"id":16,"name":"Locomotive ID","value":"4041"},{"id":130,"name":"Impact","value":""},{"id":150,"name":"Time of Event (Mountain Time)","value":"23:45:33"},{"id":151,"name":"Denver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6" s="53"/>
      <c r="AK146" s="53"/>
      <c r="AL146" s="53"/>
      <c r="AM146"/>
      <c r="AN146"/>
      <c r="AO146"/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  <c r="BH146"/>
      <c r="BI146"/>
      <c r="BJ146"/>
      <c r="BK146"/>
      <c r="BL146"/>
      <c r="BM146"/>
      <c r="BN146"/>
      <c r="BO146"/>
      <c r="BP146"/>
      <c r="BQ146"/>
      <c r="BR146"/>
      <c r="BS146"/>
      <c r="BT146"/>
      <c r="BU146"/>
      <c r="BV146"/>
      <c r="BW146"/>
      <c r="BX146"/>
      <c r="BY146"/>
      <c r="BZ146"/>
      <c r="CA146"/>
      <c r="CB146"/>
      <c r="CC146"/>
      <c r="CD146"/>
      <c r="CE146"/>
      <c r="CF146"/>
      <c r="CG146"/>
      <c r="CH146"/>
      <c r="CI146"/>
      <c r="CJ146"/>
      <c r="CK146"/>
      <c r="CL146"/>
      <c r="CM146"/>
    </row>
    <row r="147" spans="1:91" s="21" customFormat="1" x14ac:dyDescent="0.25">
      <c r="A147" s="37" t="s">
        <v>648</v>
      </c>
      <c r="B147" s="7">
        <v>4018</v>
      </c>
      <c r="C147" s="22" t="s">
        <v>207</v>
      </c>
      <c r="D147" s="22" t="s">
        <v>697</v>
      </c>
      <c r="E147" s="13">
        <v>42715.93540509259</v>
      </c>
      <c r="F147" s="13">
        <v>42715.93787037037</v>
      </c>
      <c r="G147" s="7">
        <v>1</v>
      </c>
      <c r="H147" s="22" t="s">
        <v>444</v>
      </c>
      <c r="I147" s="13">
        <v>42715.967326388891</v>
      </c>
      <c r="J147" s="7">
        <v>1</v>
      </c>
      <c r="K147" s="109" t="str">
        <f t="shared" si="51"/>
        <v>4017/4018</v>
      </c>
      <c r="L147" s="22" t="str">
        <f>VLOOKUP(A147,'Trips&amp;Operators'!$C$1:$G$99999,5,FALSE)</f>
        <v>CHANDLER KELVIN</v>
      </c>
      <c r="M147" s="6">
        <f t="shared" si="52"/>
        <v>2.9456018521159422E-2</v>
      </c>
      <c r="N147" s="7">
        <f t="shared" si="45"/>
        <v>42.416666670469567</v>
      </c>
      <c r="O147" s="7"/>
      <c r="P147" s="7"/>
      <c r="Q147" s="23"/>
      <c r="R147" s="23"/>
      <c r="S147" s="35">
        <f t="shared" si="46"/>
        <v>1</v>
      </c>
      <c r="T147" s="50" t="str">
        <f t="shared" si="53"/>
        <v>NorthBound</v>
      </c>
      <c r="U147" s="171">
        <f>IF(AG147="EC",COUNTIFS(Variables!$M$2:$M$19,IF(T147="NorthBound","&gt;=","&lt;=")&amp;Y147,Variables!$M$2:$M$19,IF(T147="NorthBound","&lt;=","&gt;=")&amp;Z147),COUNTIFS(Variables!$P$2:$P$19,IF(T147="NorthBound","&gt;=","&lt;=")&amp;Y147,Variables!$P$2:$P$19,IF(T147="NorthBound","&lt;=","&gt;=")&amp;Z147))</f>
        <v>12</v>
      </c>
      <c r="V14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21:26:59-700',mode:absolute,to:'2016-12-12 00:12:57-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47" s="52" t="str">
        <f t="shared" si="55"/>
        <v>N</v>
      </c>
      <c r="X147" s="177">
        <f t="shared" si="48"/>
        <v>1</v>
      </c>
      <c r="Y147" s="67">
        <f t="shared" si="56"/>
        <v>4.6199999999999998E-2</v>
      </c>
      <c r="Z147" s="67">
        <f t="shared" si="57"/>
        <v>23.33</v>
      </c>
      <c r="AA147" s="67">
        <f t="shared" si="58"/>
        <v>23.283799999999999</v>
      </c>
      <c r="AB147" s="64" t="e">
        <f>VLOOKUP(A147,Enforcements!$C$7:$K$20,8,0)</f>
        <v>#N/A</v>
      </c>
      <c r="AC147" s="60" t="e">
        <f>VLOOKUP(A147,Enforcements!$C$7:$E$20,3,0)</f>
        <v>#N/A</v>
      </c>
      <c r="AD147" s="61" t="str">
        <f t="shared" si="59"/>
        <v>0235-11</v>
      </c>
      <c r="AE147" s="91" t="str">
        <f t="shared" si="60"/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AF147" s="88" t="str">
        <f t="shared" si="61"/>
        <v>"C:\Program Files (x86)\AstroGrep\AstroGrep.exe" /spath="%USERPROFILE%\AppData\Local\Temp\OnboardLogs" /stypes="app*4018*20161212*" /stext=" 06:.+((SYSTEM_STATE.+slice.+state.+changed )|(ment ac)|(multiple cpu faults)|(system.+state.+changed )|(\[timeout)|(PRM\|1\|D)|(kpr)|(kdp)|(\|lc)|(penalty))" /e /r /s</v>
      </c>
      <c r="AG147" s="1" t="str">
        <f t="shared" si="62"/>
        <v>EC</v>
      </c>
      <c r="AH147" s="92" t="str">
        <f t="shared" si="49"/>
        <v>"%USERPROFILE%\Documents\GitHub\eaglep3\Utilities\RefineRTDCRunTimes.py" --tripid 235-11 --locoid 4018 --swversion DE.1.0.8.0 --startMP 204:462 --initTime 2016-12-11T22:26:59 --startdatetime 2016-12-11T22:30:32 --delay 1 --endMP 204:233300 --enddatetime 2016-12-11T23:12:57 --enforcementcount 1 &gt;&gt;C:\Users\stu\Documents\GitHub\eaglep3-reporting\EC\2016-12-11-refined-times.txt</v>
      </c>
      <c r="AI147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{"issue":{"subject":"","project_id":79,"tracker_id":40,"status_id":1,"priority_id":2,"assigned_to_id":23,"start_date":"2016-12-11","description":"","custom_fields":[{"id":1,"name":"Subdivision","value":"EC"},{"id":4,"name":"Milepost","value":"23.33"},{"id":17,"name":"Train ID","value":"235-11"},{"id":16,"name":"Locomotive ID","value":"4018"},{"id":130,"name":"Impact","value":""},{"id":150,"name":"Time of Event (Mountain Time)","value":"23:12:57"},{"id":151,"name":"Denver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7" s="53"/>
      <c r="AK147" s="53"/>
      <c r="AL147" s="53"/>
      <c r="AM147"/>
      <c r="AN147"/>
      <c r="AO147"/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  <c r="BH147"/>
      <c r="BI147"/>
      <c r="BJ147"/>
      <c r="BK147"/>
      <c r="BL147"/>
      <c r="BM147"/>
      <c r="BN147"/>
      <c r="BO147"/>
      <c r="BP147"/>
      <c r="BQ147"/>
      <c r="BR147"/>
      <c r="BS147"/>
      <c r="BT147"/>
      <c r="BU147"/>
      <c r="BV147"/>
      <c r="BW147"/>
      <c r="BX147"/>
      <c r="BY147"/>
      <c r="BZ147"/>
      <c r="CA147"/>
      <c r="CB147"/>
      <c r="CC147"/>
      <c r="CD147"/>
      <c r="CE147"/>
      <c r="CF147"/>
      <c r="CG147"/>
      <c r="CH147"/>
      <c r="CI147"/>
      <c r="CJ147"/>
      <c r="CK147"/>
      <c r="CL147"/>
      <c r="CM147"/>
    </row>
    <row r="148" spans="1:91" s="21" customFormat="1" x14ac:dyDescent="0.25">
      <c r="A148" s="37" t="s">
        <v>652</v>
      </c>
      <c r="B148" s="7">
        <v>4017</v>
      </c>
      <c r="C148" s="22" t="s">
        <v>207</v>
      </c>
      <c r="D148" s="22" t="s">
        <v>791</v>
      </c>
      <c r="E148" s="13">
        <v>42715.974537037036</v>
      </c>
      <c r="F148" s="13">
        <v>42715.976712962962</v>
      </c>
      <c r="G148" s="7">
        <v>1</v>
      </c>
      <c r="H148" s="22" t="s">
        <v>292</v>
      </c>
      <c r="I148" s="13">
        <v>42716.010289351849</v>
      </c>
      <c r="J148" s="7">
        <v>1</v>
      </c>
      <c r="K148" s="109" t="str">
        <f t="shared" si="51"/>
        <v>4017/4018</v>
      </c>
      <c r="L148" s="22" t="str">
        <f>VLOOKUP(A148,'Trips&amp;Operators'!$C$1:$G$99999,5,FALSE)</f>
        <v>CHANDLER KELVIN</v>
      </c>
      <c r="M148" s="6">
        <f t="shared" si="52"/>
        <v>3.3576388887013309E-2</v>
      </c>
      <c r="N148" s="7">
        <f t="shared" si="45"/>
        <v>48.349999997299165</v>
      </c>
      <c r="O148" s="7"/>
      <c r="P148" s="7"/>
      <c r="Q148" s="23"/>
      <c r="R148" s="23"/>
      <c r="S148" s="35">
        <f t="shared" si="46"/>
        <v>1</v>
      </c>
      <c r="T148" s="50" t="str">
        <f t="shared" si="53"/>
        <v>Southbound</v>
      </c>
      <c r="U148" s="171">
        <f>IF(AG148="EC",COUNTIFS(Variables!$M$2:$M$19,IF(T148="NorthBound","&gt;=","&lt;=")&amp;Y148,Variables!$M$2:$M$19,IF(T148="NorthBound","&lt;=","&gt;=")&amp;Z148),COUNTIFS(Variables!$P$2:$P$19,IF(T148="NorthBound","&gt;=","&lt;=")&amp;Y148,Variables!$P$2:$P$19,IF(T148="NorthBound","&lt;=","&gt;=")&amp;Z148))</f>
        <v>12</v>
      </c>
      <c r="V14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22:23:20-700',mode:absolute,to:'2016-12-12 01:14:49-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48" s="52" t="str">
        <f t="shared" si="55"/>
        <v>N</v>
      </c>
      <c r="X148" s="177">
        <f t="shared" si="48"/>
        <v>1</v>
      </c>
      <c r="Y148" s="67">
        <f t="shared" si="56"/>
        <v>23.296199999999999</v>
      </c>
      <c r="Z148" s="67">
        <f t="shared" si="57"/>
        <v>1.52E-2</v>
      </c>
      <c r="AA148" s="67">
        <f t="shared" si="58"/>
        <v>23.280999999999999</v>
      </c>
      <c r="AB148" s="64" t="e">
        <f>VLOOKUP(A148,Enforcements!$C$7:$K$20,8,0)</f>
        <v>#N/A</v>
      </c>
      <c r="AC148" s="60" t="e">
        <f>VLOOKUP(A148,Enforcements!$C$7:$E$20,3,0)</f>
        <v>#N/A</v>
      </c>
      <c r="AD148" s="61" t="str">
        <f t="shared" si="59"/>
        <v>0236-11</v>
      </c>
      <c r="AE148" s="91" t="str">
        <f t="shared" si="60"/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AF148" s="88" t="str">
        <f t="shared" si="61"/>
        <v>"C:\Program Files (x86)\AstroGrep\AstroGrep.exe" /spath="%USERPROFILE%\AppData\Local\Temp\OnboardLogs" /stypes="app*4017*20161212*" /stext=" 07:.+((SYSTEM_STATE.+slice.+state.+changed )|(ment ac)|(multiple cpu faults)|(system.+state.+changed )|(\[timeout)|(PRM\|1\|D)|(kpr)|(kdp)|(\|lc)|(penalty))" /e /r /s</v>
      </c>
      <c r="AG148" s="1" t="str">
        <f t="shared" si="62"/>
        <v>EC</v>
      </c>
      <c r="AH148" s="92" t="str">
        <f t="shared" si="49"/>
        <v>"%USERPROFILE%\Documents\GitHub\eaglep3\Utilities\RefineRTDCRunTimes.py" --tripid 236-11 --locoid 4017 --swversion DE.1.0.8.0 --startMP 204:232962 --initTime 2016-12-11T23:23:20 --startdatetime 2016-12-11T23:26:28 --delay 1 --endMP 204:152 --enddatetime 2016-12-12T00:14:49 --enforcementcount 1 &gt;&gt;C:\Users\stu\Documents\GitHub\eaglep3-reporting\EC\2016-12-11-refined-times.txt</v>
      </c>
      <c r="AI148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{"issue":{"subject":"","project_id":79,"tracker_id":40,"status_id":1,"priority_id":2,"assigned_to_id":23,"start_date":"2016-12-12","description":"","custom_fields":[{"id":1,"name":"Subdivision","value":"EC"},{"id":4,"name":"Milepost","value":"0.0152"},{"id":17,"name":"Train ID","value":"236-11"},{"id":16,"name":"Locomotive ID","value":"4017"},{"id":130,"name":"Impact","value":""},{"id":150,"name":"Time of Event (Mountain Time)","value":"00:14:49"},{"id":151,"name":"Denver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8" s="53"/>
      <c r="AK148" s="53"/>
      <c r="AL148" s="53"/>
      <c r="AM148"/>
      <c r="AN148"/>
      <c r="AO148"/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  <c r="BH148"/>
      <c r="BI148"/>
      <c r="BJ148"/>
      <c r="BK148"/>
      <c r="BL148"/>
      <c r="BM148"/>
      <c r="BN148"/>
      <c r="BO148"/>
      <c r="BP148"/>
      <c r="BQ148"/>
      <c r="BR148"/>
      <c r="BS148"/>
      <c r="BT148"/>
      <c r="BU148"/>
      <c r="BV148"/>
      <c r="BW148"/>
      <c r="BX148"/>
      <c r="BY148"/>
      <c r="BZ148"/>
      <c r="CA148"/>
      <c r="CB148"/>
      <c r="CC148"/>
      <c r="CD148"/>
      <c r="CE148"/>
      <c r="CF148"/>
      <c r="CG148"/>
      <c r="CH148"/>
      <c r="CI148"/>
      <c r="CJ148"/>
      <c r="CK148"/>
      <c r="CL148"/>
      <c r="CM148"/>
    </row>
    <row r="149" spans="1:91" s="21" customFormat="1" x14ac:dyDescent="0.25">
      <c r="A149" s="37" t="s">
        <v>650</v>
      </c>
      <c r="B149" s="7">
        <v>4029</v>
      </c>
      <c r="C149" s="22" t="s">
        <v>207</v>
      </c>
      <c r="D149" s="22" t="s">
        <v>293</v>
      </c>
      <c r="E149" s="13">
        <v>42715.951643518521</v>
      </c>
      <c r="F149" s="13">
        <v>42715.958518518521</v>
      </c>
      <c r="G149" s="7">
        <v>1</v>
      </c>
      <c r="H149" s="22" t="s">
        <v>397</v>
      </c>
      <c r="I149" s="13">
        <v>42715.988252314812</v>
      </c>
      <c r="J149" s="7">
        <v>1</v>
      </c>
      <c r="K149" s="109" t="str">
        <f t="shared" si="51"/>
        <v>4029/4030</v>
      </c>
      <c r="L149" s="22" t="str">
        <f>VLOOKUP(A149,'Trips&amp;Operators'!$C$1:$G$99999,5,FALSE)</f>
        <v>LEVERE CRAIG</v>
      </c>
      <c r="M149" s="6">
        <f t="shared" si="52"/>
        <v>2.9733796291111503E-2</v>
      </c>
      <c r="N149" s="7">
        <f t="shared" si="45"/>
        <v>42.816666659200564</v>
      </c>
      <c r="O149" s="7"/>
      <c r="P149" s="7"/>
      <c r="Q149" s="23"/>
      <c r="R149" s="23"/>
      <c r="S149" s="35">
        <f t="shared" si="46"/>
        <v>1</v>
      </c>
      <c r="T149" s="50" t="str">
        <f t="shared" si="53"/>
        <v>NorthBound</v>
      </c>
      <c r="U149" s="171">
        <f>IF(AG149="EC",COUNTIFS(Variables!$M$2:$M$19,IF(T149="NorthBound","&gt;=","&lt;=")&amp;Y149,Variables!$M$2:$M$19,IF(T149="NorthBound","&lt;=","&gt;=")&amp;Z149),COUNTIFS(Variables!$P$2:$P$19,IF(T149="NorthBound","&gt;=","&lt;=")&amp;Y149,Variables!$P$2:$P$19,IF(T149="NorthBound","&lt;=","&gt;=")&amp;Z149))</f>
        <v>12</v>
      </c>
      <c r="V14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21:50:22-700',mode:absolute,to:'2016-12-12 00:43:05-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49" s="52" t="str">
        <f t="shared" si="55"/>
        <v>N</v>
      </c>
      <c r="X149" s="177">
        <f t="shared" si="48"/>
        <v>1</v>
      </c>
      <c r="Y149" s="67">
        <f t="shared" si="56"/>
        <v>4.6399999999999997E-2</v>
      </c>
      <c r="Z149" s="67">
        <f t="shared" si="57"/>
        <v>23.331</v>
      </c>
      <c r="AA149" s="67">
        <f t="shared" si="58"/>
        <v>23.284600000000001</v>
      </c>
      <c r="AB149" s="64" t="e">
        <f>VLOOKUP(A149,Enforcements!$C$7:$K$20,8,0)</f>
        <v>#N/A</v>
      </c>
      <c r="AC149" s="60" t="e">
        <f>VLOOKUP(A149,Enforcements!$C$7:$E$20,3,0)</f>
        <v>#N/A</v>
      </c>
      <c r="AD149" s="61" t="str">
        <f t="shared" si="59"/>
        <v>0237-11</v>
      </c>
      <c r="AE149" s="91" t="str">
        <f t="shared" si="60"/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AF149" s="88" t="str">
        <f t="shared" si="61"/>
        <v>"C:\Program Files (x86)\AstroGrep\AstroGrep.exe" /spath="%USERPROFILE%\AppData\Local\Temp\OnboardLogs" /stypes="app*4029*20161212*" /stext=" 06:.+((SYSTEM_STATE.+slice.+state.+changed )|(ment ac)|(multiple cpu faults)|(system.+state.+changed )|(\[timeout)|(PRM\|1\|D)|(kpr)|(kdp)|(\|lc)|(penalty))" /e /r /s</v>
      </c>
      <c r="AG149" s="1" t="str">
        <f t="shared" si="62"/>
        <v>EC</v>
      </c>
      <c r="AH149" s="92" t="str">
        <f t="shared" si="49"/>
        <v>"%USERPROFILE%\Documents\GitHub\eaglep3\Utilities\RefineRTDCRunTimes.py" --tripid 237-11 --locoid 4029 --swversion DE.1.0.8.0 --startMP 204:464 --initTime 2016-12-11T22:50:22 --startdatetime 2016-12-11T23:00:16 --delay 1 --endMP 204:233310 --enddatetime 2016-12-11T23:43:05 --enforcementcount 1 &gt;&gt;C:\Users\stu\Documents\GitHub\eaglep3-reporting\EC\2016-12-11-refined-times.txt</v>
      </c>
      <c r="AI149" s="119" t="str">
        <f t="shared" si="50"/>
        <v>echo {"issue":{"subject":"","project_id":79,"tracker_id":40,"status_id":1,"priority_id":2,"assigned_to_id":23,"start_date":"2016-12-11","description":"","custom_fields":[{"id":1,"name":"Subdivision","value":"EC"},{"id":4,"name":"Milepost","value":"23.331"},{"id":17,"name":"Train ID","value":"237-11"},{"id":16,"name":"Locomotive ID","value":"4029"},{"id":130,"name":"Impact","value":""},{"id":150,"name":"Time of Event (Mountain Time)","value":"23:43:05"},{"id":151,"name":"Denver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49" s="53"/>
      <c r="AK149" s="53"/>
      <c r="AL149" s="53"/>
      <c r="AM149"/>
      <c r="AN149"/>
      <c r="AO149"/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  <c r="BH149"/>
      <c r="BI149"/>
      <c r="BJ149"/>
      <c r="BK149"/>
      <c r="BL149"/>
      <c r="BM149"/>
      <c r="BN149"/>
      <c r="BO149"/>
      <c r="BP149"/>
      <c r="BQ149"/>
      <c r="BR149"/>
      <c r="BS149"/>
      <c r="BT149"/>
      <c r="BU149"/>
      <c r="BV149"/>
      <c r="BW149"/>
      <c r="BX149"/>
      <c r="BY149"/>
      <c r="BZ149"/>
      <c r="CA149"/>
      <c r="CB149"/>
      <c r="CC149"/>
      <c r="CD149"/>
      <c r="CE149"/>
      <c r="CF149"/>
      <c r="CG149"/>
      <c r="CH149"/>
      <c r="CI149"/>
      <c r="CJ149"/>
      <c r="CK149"/>
      <c r="CL149"/>
      <c r="CM149"/>
    </row>
    <row r="150" spans="1:91" s="21" customFormat="1" x14ac:dyDescent="0.25">
      <c r="A150" s="37" t="s">
        <v>484</v>
      </c>
      <c r="B150" s="7">
        <v>4030</v>
      </c>
      <c r="C150" s="22" t="s">
        <v>207</v>
      </c>
      <c r="D150" s="22" t="s">
        <v>296</v>
      </c>
      <c r="E150" s="13">
        <v>42715.993645833332</v>
      </c>
      <c r="F150" s="13">
        <v>42715.997499999998</v>
      </c>
      <c r="G150" s="7">
        <v>1</v>
      </c>
      <c r="H150" s="22" t="s">
        <v>231</v>
      </c>
      <c r="I150" s="13">
        <v>42716.030682870369</v>
      </c>
      <c r="J150" s="7">
        <v>1</v>
      </c>
      <c r="K150" s="109" t="str">
        <f t="shared" si="51"/>
        <v>4029/4030</v>
      </c>
      <c r="L150" s="22" t="str">
        <f>VLOOKUP(A150,'Trips&amp;Operators'!$C$1:$G$99999,5,FALSE)</f>
        <v>LEVERE CRAIG</v>
      </c>
      <c r="M150" s="6">
        <f t="shared" si="52"/>
        <v>3.3182870371092577E-2</v>
      </c>
      <c r="N150" s="7">
        <f t="shared" si="45"/>
        <v>47.78333333437331</v>
      </c>
      <c r="O150" s="7"/>
      <c r="P150" s="7"/>
      <c r="Q150" s="23"/>
      <c r="R150" s="23"/>
      <c r="S150" s="35">
        <f t="shared" si="46"/>
        <v>1</v>
      </c>
      <c r="T150" s="50" t="str">
        <f t="shared" si="53"/>
        <v>Southbound</v>
      </c>
      <c r="U150" s="171">
        <f>IF(AG150="EC",COUNTIFS(Variables!$M$2:$M$19,IF(T150="NorthBound","&gt;=","&lt;=")&amp;Y150,Variables!$M$2:$M$19,IF(T150="NorthBound","&lt;=","&gt;=")&amp;Z150),COUNTIFS(Variables!$P$2:$P$19,IF(T150="NorthBound","&gt;=","&lt;=")&amp;Y150,Variables!$P$2:$P$19,IF(T150="NorthBound","&lt;=","&gt;=")&amp;Z150))</f>
        <v>12</v>
      </c>
      <c r="V15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22:50:51-700',mode:absolute,to:'2016-12-12 01:44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W150" s="52" t="str">
        <f t="shared" si="55"/>
        <v>N</v>
      </c>
      <c r="X150" s="177">
        <f t="shared" si="48"/>
        <v>1</v>
      </c>
      <c r="Y150" s="67">
        <f t="shared" si="56"/>
        <v>23.299399999999999</v>
      </c>
      <c r="Z150" s="67">
        <f t="shared" si="57"/>
        <v>1.6500000000000001E-2</v>
      </c>
      <c r="AA150" s="67">
        <f t="shared" si="58"/>
        <v>23.282899999999998</v>
      </c>
      <c r="AB150" s="64" t="str">
        <f>VLOOKUP(A150,Enforcements!$C$7:$K$20,8,0)</f>
        <v>Bulletin (2)</v>
      </c>
      <c r="AC150" s="60" t="str">
        <f>VLOOKUP(A150,Enforcements!$C$7:$E$20,3,0)</f>
        <v>TEMPORARY SPEED RESTRICTION</v>
      </c>
      <c r="AD150" s="61" t="str">
        <f t="shared" si="59"/>
        <v>0238-11</v>
      </c>
      <c r="AE150" s="91" t="str">
        <f t="shared" si="60"/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AF150" s="88" t="str">
        <f t="shared" si="61"/>
        <v>"C:\Program Files (x86)\AstroGrep\AstroGrep.exe" /spath="%USERPROFILE%\AppData\Local\Temp\OnboardLogs" /stypes="app*4030*20161212*" /stext=" 07:.+((SYSTEM_STATE.+slice.+state.+changed )|(ment ac)|(multiple cpu faults)|(system.+state.+changed )|(\[timeout)|(PRM\|1\|D)|(kpr)|(kdp)|(\|lc)|(penalty))" /e /r /s</v>
      </c>
      <c r="AG150" s="1" t="str">
        <f t="shared" si="62"/>
        <v>EC</v>
      </c>
      <c r="AH150" s="92" t="str">
        <f t="shared" si="49"/>
        <v>"%USERPROFILE%\Documents\GitHub\eaglep3\Utilities\RefineRTDCRunTimes.py" --tripid 238-11 --locoid 4030 --swversion DE.1.0.8.0 --startMP 204:232994 --initTime 2016-12-11T23:50:51 --startdatetime 2016-12-11T23:56:24 --delay 1 --endMP 204:165 --enddatetime 2016-12-12T00:44:11 --enforcementcount 1 &gt;&gt;C:\Users\stu\Documents\GitHub\eaglep3-reporting\EC\2016-12-11-refined-times.txt</v>
      </c>
      <c r="AI150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{"issue":{"subject":"","project_id":79,"tracker_id":40,"status_id":1,"priority_id":2,"assigned_to_id":23,"start_date":"2016-12-12","description":"","custom_fields":[{"id":1,"name":"Subdivision","value":"EC"},{"id":4,"name":"Milepost","value":"0.0165"},{"id":17,"name":"Train ID","value":"238-11"},{"id":16,"name":"Locomotive ID","value":"4030"},{"id":130,"name":"Impact","value":""},{"id":150,"name":"Time of Event (Mountain Time)","value":"00:44:11"},{"id":151,"name":"Denver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0" s="53"/>
      <c r="AK150" s="53"/>
      <c r="AL150" s="53"/>
      <c r="AM150"/>
      <c r="AN150"/>
      <c r="AO150"/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  <c r="BH150"/>
      <c r="BI150"/>
      <c r="BJ150"/>
      <c r="BK150"/>
      <c r="BL150"/>
      <c r="BM150"/>
      <c r="BN150"/>
      <c r="BO150"/>
      <c r="BP150"/>
      <c r="BQ150"/>
      <c r="BR150"/>
      <c r="BS150"/>
      <c r="BT150"/>
      <c r="BU150"/>
      <c r="BV150"/>
      <c r="BW150"/>
      <c r="BX150"/>
      <c r="BY150"/>
      <c r="BZ150"/>
      <c r="CA150"/>
      <c r="CB150"/>
      <c r="CC150"/>
      <c r="CD150"/>
      <c r="CE150"/>
      <c r="CF150"/>
      <c r="CG150"/>
      <c r="CH150"/>
      <c r="CI150"/>
      <c r="CJ150"/>
      <c r="CK150"/>
      <c r="CL150"/>
      <c r="CM150"/>
    </row>
    <row r="151" spans="1:91" s="21" customFormat="1" x14ac:dyDescent="0.25">
      <c r="A151" s="37" t="s">
        <v>483</v>
      </c>
      <c r="B151" s="7">
        <v>4044</v>
      </c>
      <c r="C151" s="22" t="s">
        <v>207</v>
      </c>
      <c r="D151" s="22" t="s">
        <v>234</v>
      </c>
      <c r="E151" s="13">
        <v>42715.974131944444</v>
      </c>
      <c r="F151" s="13">
        <v>42715.979386574072</v>
      </c>
      <c r="G151" s="7">
        <v>3</v>
      </c>
      <c r="H151" s="22" t="s">
        <v>408</v>
      </c>
      <c r="I151" s="13">
        <v>42716.007951388892</v>
      </c>
      <c r="J151" s="7">
        <v>1</v>
      </c>
      <c r="K151" s="109" t="str">
        <f t="shared" si="51"/>
        <v>4043/4044</v>
      </c>
      <c r="L151" s="22" t="str">
        <f>VLOOKUP(A151,'Trips&amp;Operators'!$C$1:$G$99999,5,FALSE)</f>
        <v>COOLAHAN JOHN</v>
      </c>
      <c r="M151" s="6">
        <f t="shared" si="52"/>
        <v>2.8564814820128959E-2</v>
      </c>
      <c r="N151" s="7">
        <f t="shared" si="45"/>
        <v>41.1333333409857</v>
      </c>
      <c r="O151" s="7"/>
      <c r="P151" s="7"/>
      <c r="Q151" s="23"/>
      <c r="R151" s="23"/>
      <c r="S151" s="35">
        <f t="shared" si="46"/>
        <v>1</v>
      </c>
      <c r="T151" s="50" t="str">
        <f t="shared" si="53"/>
        <v>NorthBound</v>
      </c>
      <c r="U151" s="171">
        <f>IF(AG151="EC",COUNTIFS(Variables!$M$2:$M$19,IF(T151="NorthBound","&gt;=","&lt;=")&amp;Y151,Variables!$M$2:$M$19,IF(T151="NorthBound","&lt;=","&gt;=")&amp;Z151),COUNTIFS(Variables!$P$2:$P$19,IF(T151="NorthBound","&gt;=","&lt;=")&amp;Y151,Variables!$P$2:$P$19,IF(T151="NorthBound","&lt;=","&gt;=")&amp;Z151))</f>
        <v>12</v>
      </c>
      <c r="V15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22:22:45-700',mode:absolute,to:'2016-12-12 01:11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151" s="52" t="str">
        <f t="shared" si="55"/>
        <v>N</v>
      </c>
      <c r="X151" s="177">
        <f t="shared" si="48"/>
        <v>1</v>
      </c>
      <c r="Y151" s="67">
        <f t="shared" si="56"/>
        <v>4.4200000000000003E-2</v>
      </c>
      <c r="Z151" s="67">
        <f t="shared" si="57"/>
        <v>23.330400000000001</v>
      </c>
      <c r="AA151" s="67">
        <f t="shared" si="58"/>
        <v>23.286200000000001</v>
      </c>
      <c r="AB151" s="64" t="e">
        <f>VLOOKUP(A151,Enforcements!$C$7:$K$20,8,0)</f>
        <v>#N/A</v>
      </c>
      <c r="AC151" s="60" t="e">
        <f>VLOOKUP(A151,Enforcements!$C$7:$E$20,3,0)</f>
        <v>#N/A</v>
      </c>
      <c r="AD151" s="61" t="str">
        <f t="shared" si="59"/>
        <v>0239-11</v>
      </c>
      <c r="AE151" s="91" t="str">
        <f t="shared" si="60"/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AF151" s="88" t="str">
        <f t="shared" si="61"/>
        <v>"C:\Program Files (x86)\AstroGrep\AstroGrep.exe" /spath="%USERPROFILE%\AppData\Local\Temp\OnboardLogs" /stypes="app*4044*20161212*" /stext=" 07:.+((SYSTEM_STATE.+slice.+state.+changed )|(ment ac)|(multiple cpu faults)|(system.+state.+changed )|(\[timeout)|(PRM\|1\|D)|(kpr)|(kdp)|(\|lc)|(penalty))" /e /r /s</v>
      </c>
      <c r="AG151" s="1" t="str">
        <f t="shared" si="62"/>
        <v>EC</v>
      </c>
      <c r="AH151" s="92" t="str">
        <f t="shared" si="49"/>
        <v>"%USERPROFILE%\Documents\GitHub\eaglep3\Utilities\RefineRTDCRunTimes.py" --tripid 239-11 --locoid 4044 --swversion DE.1.0.8.0 --startMP 204:442 --initTime 2016-12-11T23:22:45 --startdatetime 2016-12-11T23:30:19 --delay 3 --endMP 204:233304 --enddatetime 2016-12-12T00:11:27 --enforcementcount 1 &gt;&gt;C:\Users\stu\Documents\GitHub\eaglep3-reporting\EC\2016-12-11-refined-times.txt</v>
      </c>
      <c r="AI151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{"issue":{"subject":"","project_id":79,"tracker_id":40,"status_id":1,"priority_id":2,"assigned_to_id":23,"start_date":"2016-12-12","description":"","custom_fields":[{"id":1,"name":"Subdivision","value":"EC"},{"id":4,"name":"Milepost","value":"23.3304"},{"id":17,"name":"Train ID","value":"239-11"},{"id":16,"name":"Locomotive ID","value":"4044"},{"id":130,"name":"Impact","value":""},{"id":150,"name":"Time of Event (Mountain Time)","value":"00:11:27"},{"id":151,"name":"Denver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1" s="53"/>
      <c r="AK151" s="53"/>
      <c r="AL151" s="53"/>
      <c r="AM151"/>
      <c r="AN151"/>
      <c r="AO151"/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  <c r="BH151"/>
      <c r="BI151"/>
      <c r="BJ151"/>
      <c r="BK151"/>
      <c r="BL151"/>
      <c r="BM151"/>
      <c r="BN151"/>
      <c r="BO151"/>
      <c r="BP151"/>
      <c r="BQ151"/>
      <c r="BR151"/>
      <c r="BS151"/>
      <c r="BT151"/>
      <c r="BU151"/>
      <c r="BV151"/>
      <c r="BW151"/>
      <c r="BX151"/>
      <c r="BY151"/>
      <c r="BZ151"/>
      <c r="CA151"/>
      <c r="CB151"/>
      <c r="CC151"/>
      <c r="CD151"/>
      <c r="CE151"/>
      <c r="CF151"/>
      <c r="CG151"/>
      <c r="CH151"/>
      <c r="CI151"/>
      <c r="CJ151"/>
      <c r="CK151"/>
      <c r="CL151"/>
      <c r="CM151"/>
    </row>
    <row r="152" spans="1:91" s="21" customFormat="1" x14ac:dyDescent="0.25">
      <c r="A152" s="37" t="s">
        <v>654</v>
      </c>
      <c r="B152" s="7">
        <v>4043</v>
      </c>
      <c r="C152" s="22" t="s">
        <v>207</v>
      </c>
      <c r="D152" s="22" t="s">
        <v>440</v>
      </c>
      <c r="E152" s="13">
        <v>42716.011759259258</v>
      </c>
      <c r="F152" s="13">
        <v>42716.018877314818</v>
      </c>
      <c r="G152" s="7">
        <v>1</v>
      </c>
      <c r="H152" s="22" t="s">
        <v>350</v>
      </c>
      <c r="I152" s="13">
        <v>42716.04828703704</v>
      </c>
      <c r="J152" s="7">
        <v>1</v>
      </c>
      <c r="K152" s="109" t="str">
        <f t="shared" si="51"/>
        <v>4043/4044</v>
      </c>
      <c r="L152" s="22" t="str">
        <f>VLOOKUP(A152,'Trips&amp;Operators'!$C$1:$G$99999,5,FALSE)</f>
        <v>COOLAHAN JOHN</v>
      </c>
      <c r="M152" s="6">
        <f t="shared" si="52"/>
        <v>2.940972222131677E-2</v>
      </c>
      <c r="N152" s="7">
        <f t="shared" si="45"/>
        <v>42.349999998696148</v>
      </c>
      <c r="O152" s="7"/>
      <c r="P152" s="7"/>
      <c r="Q152" s="23"/>
      <c r="R152" s="23"/>
      <c r="S152" s="35">
        <f t="shared" si="46"/>
        <v>1</v>
      </c>
      <c r="T152" s="50" t="str">
        <f t="shared" si="53"/>
        <v>Southbound</v>
      </c>
      <c r="U152" s="171">
        <f>IF(AG152="EC",COUNTIFS(Variables!$M$2:$M$19,IF(T152="NorthBound","&gt;=","&lt;=")&amp;Y152,Variables!$M$2:$M$19,IF(T152="NorthBound","&lt;=","&gt;=")&amp;Z152),COUNTIFS(Variables!$P$2:$P$19,IF(T152="NorthBound","&gt;=","&lt;=")&amp;Y152,Variables!$P$2:$P$19,IF(T152="NorthBound","&lt;=","&gt;=")&amp;Z152))</f>
        <v>12</v>
      </c>
      <c r="V15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23:16:56-700',mode:absolute,to:'2016-12-12 02:09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W152" s="52" t="str">
        <f t="shared" si="55"/>
        <v>N</v>
      </c>
      <c r="X152" s="177">
        <f t="shared" si="48"/>
        <v>1</v>
      </c>
      <c r="Y152" s="67">
        <f t="shared" si="56"/>
        <v>23.2987</v>
      </c>
      <c r="Z152" s="67">
        <f t="shared" si="57"/>
        <v>1.3899999999999999E-2</v>
      </c>
      <c r="AA152" s="67">
        <f t="shared" si="58"/>
        <v>23.284800000000001</v>
      </c>
      <c r="AB152" s="64" t="e">
        <f>VLOOKUP(A152,Enforcements!$C$7:$K$20,8,0)</f>
        <v>#N/A</v>
      </c>
      <c r="AC152" s="60" t="e">
        <f>VLOOKUP(A152,Enforcements!$C$7:$E$20,3,0)</f>
        <v>#N/A</v>
      </c>
      <c r="AD152" s="61" t="str">
        <f t="shared" si="59"/>
        <v>0240-11</v>
      </c>
      <c r="AE152" s="91" t="str">
        <f t="shared" si="60"/>
        <v>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 &amp; aws s3 cp s3://rtdc.mdm.uploadarchive.raw/RTDC4043/ "%USERPROFILE%\AppData\Local\Temp\OnboardLogs"\RTDC4043\2016-12-13 --exclude "*" --recursive --include "*20161213*" &amp; "%USERPROFILE%\Documents\GitHub\mrs-test-scripts\Headless Mode &amp; Sideloading\WalkAndUnGZ.bat" "%USERPROFILE%\AppData\Local\Temp\OnboardLogs"\RTDC4043\2016-12-13</v>
      </c>
      <c r="AF152" s="88" t="str">
        <f t="shared" si="61"/>
        <v>"C:\Program Files (x86)\AstroGrep\AstroGrep.exe" /spath="%USERPROFILE%\AppData\Local\Temp\OnboardLogs" /stypes="app*4043*20161212*" /stext=" 08:.+((SYSTEM_STATE.+slice.+state.+changed )|(ment ac)|(multiple cpu faults)|(system.+state.+changed )|(\[timeout)|(PRM\|1\|D)|(kpr)|(kdp)|(\|lc)|(penalty))" /e /r /s</v>
      </c>
      <c r="AG152" s="1" t="str">
        <f t="shared" si="62"/>
        <v>EC</v>
      </c>
      <c r="AH152" s="92" t="str">
        <f t="shared" si="49"/>
        <v>"%USERPROFILE%\Documents\GitHub\eaglep3\Utilities\RefineRTDCRunTimes.py" --tripid 240-11 --locoid 4043 --swversion DE.1.0.8.0 --startMP 204:232987 --initTime 2016-12-12T00:16:56 --startdatetime 2016-12-12T00:27:11 --delay 1 --endMP 204:139 --enddatetime 2016-12-12T01:09:32 --enforcementcount 1 &gt;&gt;C:\Users\stu\Documents\GitHub\eaglep3-reporting\EC\2016-12-11-refined-times.txt</v>
      </c>
      <c r="AI152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{"issue":{"subject":"","project_id":79,"tracker_id":40,"status_id":1,"priority_id":2,"assigned_to_id":23,"start_date":"2016-12-12","description":"","custom_fields":[{"id":1,"name":"Subdivision","value":"EC"},{"id":4,"name":"Milepost","value":"0.0139"},{"id":17,"name":"Train ID","value":"240-11"},{"id":16,"name":"Locomotive ID","value":"4043"},{"id":130,"name":"Impact","value":""},{"id":150,"name":"Time of Event (Mountain Time)","value":"01:09:32"},{"id":151,"name":"Denver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2" s="53"/>
      <c r="AK152" s="53"/>
      <c r="AL152" s="53"/>
      <c r="AM152"/>
      <c r="AN152"/>
      <c r="AO152"/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  <c r="BH152"/>
      <c r="BI152"/>
      <c r="BJ152"/>
      <c r="BK152"/>
      <c r="BL152"/>
      <c r="BM152"/>
      <c r="BN152"/>
      <c r="BO152"/>
      <c r="BP152"/>
      <c r="BQ152"/>
      <c r="BR152"/>
      <c r="BS152"/>
      <c r="BT152"/>
      <c r="BU152"/>
      <c r="BV152"/>
      <c r="BW152"/>
      <c r="BX152"/>
      <c r="BY152"/>
      <c r="BZ152"/>
      <c r="CA152"/>
      <c r="CB152"/>
      <c r="CC152"/>
      <c r="CD152"/>
      <c r="CE152"/>
      <c r="CF152"/>
      <c r="CG152"/>
      <c r="CH152"/>
      <c r="CI152"/>
      <c r="CJ152"/>
      <c r="CK152"/>
      <c r="CL152"/>
      <c r="CM152"/>
    </row>
    <row r="153" spans="1:91" s="21" customFormat="1" x14ac:dyDescent="0.25">
      <c r="A153" s="37" t="s">
        <v>653</v>
      </c>
      <c r="B153" s="7">
        <v>4042</v>
      </c>
      <c r="C153" s="22" t="s">
        <v>207</v>
      </c>
      <c r="D153" s="22" t="s">
        <v>232</v>
      </c>
      <c r="E153" s="13">
        <v>42715.993171296293</v>
      </c>
      <c r="F153" s="13">
        <v>42716.000150462962</v>
      </c>
      <c r="G153" s="7">
        <v>6</v>
      </c>
      <c r="H153" s="22" t="s">
        <v>690</v>
      </c>
      <c r="I153" s="13">
        <v>42716.02716435185</v>
      </c>
      <c r="J153" s="7">
        <v>1</v>
      </c>
      <c r="K153" s="109" t="str">
        <f t="shared" si="51"/>
        <v>4041/4042</v>
      </c>
      <c r="L153" s="22" t="str">
        <f>VLOOKUP(A153,'Trips&amp;Operators'!$C$1:$G$99999,5,FALSE)</f>
        <v>NEWELL JAMES</v>
      </c>
      <c r="M153" s="6">
        <f t="shared" si="52"/>
        <v>2.7013888888177462E-2</v>
      </c>
      <c r="N153" s="7">
        <f t="shared" si="45"/>
        <v>38.899999998975545</v>
      </c>
      <c r="O153" s="7"/>
      <c r="P153" s="7"/>
      <c r="Q153" s="23"/>
      <c r="R153" s="23"/>
      <c r="S153" s="35">
        <f t="shared" si="46"/>
        <v>1</v>
      </c>
      <c r="T153" s="50" t="str">
        <f t="shared" si="53"/>
        <v>NorthBound</v>
      </c>
      <c r="U153" s="171">
        <f>IF(AG153="EC",COUNTIFS(Variables!$M$2:$M$19,IF(T153="NorthBound","&gt;=","&lt;=")&amp;Y153,Variables!$M$2:$M$19,IF(T153="NorthBound","&lt;=","&gt;=")&amp;Z153),COUNTIFS(Variables!$P$2:$P$19,IF(T153="NorthBound","&gt;=","&lt;=")&amp;Y153,Variables!$P$2:$P$19,IF(T153="NorthBound","&lt;=","&gt;=")&amp;Z153))</f>
        <v>12</v>
      </c>
      <c r="V15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22:50:10-700',mode:absolute,to:'2016-12-12 01:39:07-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153" s="52" t="str">
        <f t="shared" si="55"/>
        <v>N</v>
      </c>
      <c r="X153" s="177">
        <f t="shared" si="48"/>
        <v>1</v>
      </c>
      <c r="Y153" s="67">
        <f t="shared" si="56"/>
        <v>4.5499999999999999E-2</v>
      </c>
      <c r="Z153" s="67">
        <f t="shared" si="57"/>
        <v>23.331199999999999</v>
      </c>
      <c r="AA153" s="67">
        <f t="shared" si="58"/>
        <v>23.285699999999999</v>
      </c>
      <c r="AB153" s="64" t="e">
        <f>VLOOKUP(A153,Enforcements!$C$7:$K$20,8,0)</f>
        <v>#N/A</v>
      </c>
      <c r="AC153" s="60" t="e">
        <f>VLOOKUP(A153,Enforcements!$C$7:$E$20,3,0)</f>
        <v>#N/A</v>
      </c>
      <c r="AD153" s="61" t="str">
        <f t="shared" si="59"/>
        <v>0241-11</v>
      </c>
      <c r="AE153" s="91" t="str">
        <f t="shared" si="60"/>
        <v>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 &amp; aws s3 cp s3://rtdc.mdm.uploadarchive.raw/RTDC4042/ "%USERPROFILE%\AppData\Local\Temp\OnboardLogs"\RTDC4042\2016-12-13 --exclude "*" --recursive --include "*20161213*" &amp; "%USERPROFILE%\Documents\GitHub\mrs-test-scripts\Headless Mode &amp; Sideloading\WalkAndUnGZ.bat" "%USERPROFILE%\AppData\Local\Temp\OnboardLogs"\RTDC4042\2016-12-13</v>
      </c>
      <c r="AF153" s="88" t="str">
        <f t="shared" si="61"/>
        <v>"C:\Program Files (x86)\AstroGrep\AstroGrep.exe" /spath="%USERPROFILE%\AppData\Local\Temp\OnboardLogs" /stypes="app*4042*20161212*" /stext=" 07:.+((SYSTEM_STATE.+slice.+state.+changed )|(ment ac)|(multiple cpu faults)|(system.+state.+changed )|(\[timeout)|(PRM\|1\|D)|(kpr)|(kdp)|(\|lc)|(penalty))" /e /r /s</v>
      </c>
      <c r="AG153" s="1" t="str">
        <f t="shared" si="62"/>
        <v>EC</v>
      </c>
      <c r="AH153" s="92" t="str">
        <f t="shared" si="49"/>
        <v>"%USERPROFILE%\Documents\GitHub\eaglep3\Utilities\RefineRTDCRunTimes.py" --tripid 241-11 --locoid 4042 --swversion DE.1.0.8.0 --startMP 204:455 --initTime 2016-12-11T23:50:10 --startdatetime 2016-12-12T00:00:13 --delay 6 --endMP 204:233312 --enddatetime 2016-12-12T00:39:07 --enforcementcount 1 &gt;&gt;C:\Users\stu\Documents\GitHub\eaglep3-reporting\EC\2016-12-11-refined-times.txt</v>
      </c>
      <c r="AI153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{"issue":{"subject":"","project_id":79,"tracker_id":40,"status_id":1,"priority_id":2,"assigned_to_id":23,"start_date":"2016-12-12","description":"","custom_fields":[{"id":1,"name":"Subdivision","value":"EC"},{"id":4,"name":"Milepost","value":"23.3312"},{"id":17,"name":"Train ID","value":"241-11"},{"id":16,"name":"Locomotive ID","value":"4042"},{"id":130,"name":"Impact","value":""},{"id":150,"name":"Time of Event (Mountain Time)","value":"00:39:07"},{"id":151,"name":"Denver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3" s="53"/>
      <c r="AK153" s="53"/>
      <c r="AL153" s="53"/>
      <c r="AM153"/>
      <c r="AN153"/>
      <c r="AO153"/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  <c r="BH153"/>
      <c r="BI153"/>
      <c r="BJ153"/>
      <c r="BK153"/>
      <c r="BL153"/>
      <c r="BM153"/>
      <c r="BN153"/>
      <c r="BO153"/>
      <c r="BP153"/>
      <c r="BQ153"/>
      <c r="BR153"/>
      <c r="BS153"/>
      <c r="BT153"/>
      <c r="BU153"/>
      <c r="BV153"/>
      <c r="BW153"/>
      <c r="BX153"/>
      <c r="BY153"/>
      <c r="BZ153"/>
      <c r="CA153"/>
      <c r="CB153"/>
      <c r="CC153"/>
      <c r="CD153"/>
      <c r="CE153"/>
      <c r="CF153"/>
      <c r="CG153"/>
      <c r="CH153"/>
      <c r="CI153"/>
      <c r="CJ153"/>
      <c r="CK153"/>
      <c r="CL153"/>
      <c r="CM153"/>
    </row>
    <row r="154" spans="1:91" x14ac:dyDescent="0.25">
      <c r="A154" s="37" t="s">
        <v>485</v>
      </c>
      <c r="B154" s="7">
        <v>4041</v>
      </c>
      <c r="C154" s="22" t="s">
        <v>207</v>
      </c>
      <c r="D154" s="22" t="s">
        <v>296</v>
      </c>
      <c r="E154" s="13">
        <v>42716.029062499998</v>
      </c>
      <c r="F154" s="13">
        <v>42716.039050925923</v>
      </c>
      <c r="G154" s="7">
        <v>2</v>
      </c>
      <c r="H154" s="22" t="s">
        <v>205</v>
      </c>
      <c r="I154" s="13">
        <v>42716.069293981483</v>
      </c>
      <c r="J154" s="7">
        <v>1</v>
      </c>
      <c r="K154" s="109" t="str">
        <f t="shared" si="51"/>
        <v>4041/4042</v>
      </c>
      <c r="L154" s="22" t="str">
        <f>VLOOKUP(A154,'Trips&amp;Operators'!$C$1:$G$99999,5,FALSE)</f>
        <v>NEWELL JAMES</v>
      </c>
      <c r="M154" s="6">
        <f t="shared" si="52"/>
        <v>3.0243055560276844E-2</v>
      </c>
      <c r="N154" s="7">
        <f t="shared" si="45"/>
        <v>43.550000006798655</v>
      </c>
      <c r="O154" s="7"/>
      <c r="P154" s="7"/>
      <c r="Q154" s="23"/>
      <c r="R154" s="23"/>
      <c r="S154" s="35">
        <f t="shared" si="46"/>
        <v>1</v>
      </c>
      <c r="T154" s="50" t="str">
        <f t="shared" si="53"/>
        <v>Southbound</v>
      </c>
      <c r="U154" s="171">
        <f>IF(AG154="EC",COUNTIFS(Variables!$M$2:$M$19,IF(T154="NorthBound","&gt;=","&lt;=")&amp;Y154,Variables!$M$2:$M$19,IF(T154="NorthBound","&lt;=","&gt;=")&amp;Z154),COUNTIFS(Variables!$P$2:$P$19,IF(T154="NorthBound","&gt;=","&lt;=")&amp;Y154,Variables!$P$2:$P$19,IF(T154="NorthBound","&lt;=","&gt;=")&amp;Z154))</f>
        <v>12</v>
      </c>
      <c r="V15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23:41:51-700',mode:absolute,to:'2016-12-12 02:39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54" s="52" t="str">
        <f t="shared" si="55"/>
        <v>N</v>
      </c>
      <c r="X154" s="177">
        <f t="shared" si="48"/>
        <v>1</v>
      </c>
      <c r="Y154" s="67">
        <f t="shared" si="56"/>
        <v>23.299399999999999</v>
      </c>
      <c r="Z154" s="67">
        <f t="shared" si="57"/>
        <v>1.5599999999999999E-2</v>
      </c>
      <c r="AA154" s="67">
        <f t="shared" si="58"/>
        <v>23.283799999999999</v>
      </c>
      <c r="AB154" s="64" t="str">
        <f>VLOOKUP(A154,Enforcements!$C$7:$K$20,8,0)</f>
        <v>Signal based authority (5)</v>
      </c>
      <c r="AC154" s="60" t="str">
        <f>VLOOKUP(A154,Enforcements!$C$7:$E$20,3,0)</f>
        <v>SIGNAL</v>
      </c>
      <c r="AD154" s="61" t="str">
        <f t="shared" si="59"/>
        <v>0242-11</v>
      </c>
      <c r="AE154" s="91" t="str">
        <f t="shared" si="60"/>
        <v>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 &amp; 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</v>
      </c>
      <c r="AF154" s="88" t="str">
        <f t="shared" si="61"/>
        <v>"C:\Program Files (x86)\AstroGrep\AstroGrep.exe" /spath="%USERPROFILE%\AppData\Local\Temp\OnboardLogs" /stypes="app*4041*20161212*" /stext=" 08:.+((SYSTEM_STATE.+slice.+state.+changed )|(ment ac)|(multiple cpu faults)|(system.+state.+changed )|(\[timeout)|(PRM\|1\|D)|(kpr)|(kdp)|(\|lc)|(penalty))" /e /r /s</v>
      </c>
      <c r="AG154" s="1" t="str">
        <f t="shared" si="62"/>
        <v>EC</v>
      </c>
      <c r="AH154" s="92" t="str">
        <f t="shared" si="49"/>
        <v>"%USERPROFILE%\Documents\GitHub\eaglep3\Utilities\RefineRTDCRunTimes.py" --tripid 242-11 --locoid 4041 --swversion DE.1.0.8.0 --startMP 204:232994 --initTime 2016-12-12T00:41:51 --startdatetime 2016-12-12T00:56:14 --delay 2 --endMP 204:156 --enddatetime 2016-12-12T01:39:47 --enforcementcount 1 &gt;&gt;C:\Users\stu\Documents\GitHub\eaglep3-reporting\EC\2016-12-11-refined-times.txt</v>
      </c>
      <c r="AI154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ID","value":"242-11"},{"id":16,"name":"Locomotive ID","value":"4041"},{"id":130,"name":"Impact","value":""},{"id":150,"name":"Time of Event (Mountain Time)","value":"01:39:47"},{"id":151,"name":"Denver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4" s="53"/>
      <c r="AK154" s="53"/>
      <c r="AL154" s="53"/>
    </row>
    <row r="155" spans="1:91" s="21" customFormat="1" x14ac:dyDescent="0.25">
      <c r="A155" s="37" t="s">
        <v>655</v>
      </c>
      <c r="B155" s="7">
        <v>4018</v>
      </c>
      <c r="C155" s="22" t="s">
        <v>207</v>
      </c>
      <c r="D155" s="22" t="s">
        <v>296</v>
      </c>
      <c r="E155" s="13">
        <v>42716.029062499998</v>
      </c>
      <c r="F155" s="13">
        <v>42716.021273148152</v>
      </c>
      <c r="G155" s="7">
        <v>2</v>
      </c>
      <c r="H155" s="22" t="s">
        <v>205</v>
      </c>
      <c r="I155" s="13">
        <v>42716.048506944448</v>
      </c>
      <c r="J155" s="7">
        <v>1</v>
      </c>
      <c r="K155" s="109" t="str">
        <f t="shared" si="51"/>
        <v>4017/4018</v>
      </c>
      <c r="L155" s="22" t="str">
        <f>VLOOKUP(A155,'Trips&amp;Operators'!$C$1:$G$99999,5,FALSE)</f>
        <v>CHANDLER KELVIN</v>
      </c>
      <c r="M155" s="6">
        <f t="shared" si="52"/>
        <v>2.7233796296059154E-2</v>
      </c>
      <c r="N155" s="7">
        <f t="shared" si="45"/>
        <v>39.216666666325182</v>
      </c>
      <c r="O155" s="7"/>
      <c r="P155" s="7"/>
      <c r="Q155" s="23"/>
      <c r="R155" s="23"/>
      <c r="S155" s="35">
        <f t="shared" si="46"/>
        <v>0</v>
      </c>
      <c r="T155" s="50" t="str">
        <f t="shared" si="53"/>
        <v>NorthBound</v>
      </c>
      <c r="U155" s="171">
        <f>IF(AG155="EC",COUNTIFS(Variables!$M$2:$M$19,IF(T155="NorthBound","&gt;=","&lt;=")&amp;Y155,Variables!$M$2:$M$19,IF(T155="NorthBound","&lt;=","&gt;=")&amp;Z155),COUNTIFS(Variables!$P$2:$P$19,IF(T155="NorthBound","&gt;=","&lt;=")&amp;Y155,Variables!$P$2:$P$19,IF(T155="NorthBound","&lt;=","&gt;=")&amp;Z155))</f>
        <v>0</v>
      </c>
      <c r="V15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23:41:51-700',mode:absolute,to:'2016-12-12 02:09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155" s="52" t="str">
        <f t="shared" si="55"/>
        <v>N</v>
      </c>
      <c r="X155" s="177">
        <f t="shared" si="48"/>
        <v>1</v>
      </c>
      <c r="Y155" s="67">
        <f t="shared" si="56"/>
        <v>23.299399999999999</v>
      </c>
      <c r="Z155" s="67">
        <f t="shared" si="57"/>
        <v>1.5599999999999999E-2</v>
      </c>
      <c r="AA155" s="67">
        <f t="shared" si="58"/>
        <v>23.283799999999999</v>
      </c>
      <c r="AB155" s="64" t="e">
        <f>VLOOKUP(A155,Enforcements!$C$7:$K$20,8,0)</f>
        <v>#N/A</v>
      </c>
      <c r="AC155" s="60" t="e">
        <f>VLOOKUP(A155,Enforcements!$C$7:$E$20,3,0)</f>
        <v>#N/A</v>
      </c>
      <c r="AD155" s="61" t="str">
        <f t="shared" si="59"/>
        <v>0243-11</v>
      </c>
      <c r="AE155" s="91" t="str">
        <f t="shared" si="60"/>
        <v>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 &amp; aws s3 cp s3://rtdc.mdm.uploadarchive.raw/RTDC4018/ "%USERPROFILE%\AppData\Local\Temp\OnboardLogs"\RTDC4018\2016-12-13 --exclude "*" --recursive --include "*20161213*" &amp; "%USERPROFILE%\Documents\GitHub\mrs-test-scripts\Headless Mode &amp; Sideloading\WalkAndUnGZ.bat" "%USERPROFILE%\AppData\Local\Temp\OnboardLogs"\RTDC4018\2016-12-13</v>
      </c>
      <c r="AF155" s="88" t="str">
        <f t="shared" si="61"/>
        <v>"C:\Program Files (x86)\AstroGrep\AstroGrep.exe" /spath="%USERPROFILE%\AppData\Local\Temp\OnboardLogs" /stypes="app*4018*20161212*" /stext=" 08:.+((SYSTEM_STATE.+slice.+state.+changed )|(ment ac)|(multiple cpu faults)|(system.+state.+changed )|(\[timeout)|(PRM\|1\|D)|(kpr)|(kdp)|(\|lc)|(penalty))" /e /r /s</v>
      </c>
      <c r="AG155" s="1" t="str">
        <f t="shared" si="62"/>
        <v>EC</v>
      </c>
      <c r="AH155" s="92" t="str">
        <f t="shared" ref="AH155" si="63">refinertdcruntimes&amp;" --tripid "&amp;A155&amp;" --locoid "&amp;B155&amp;" --swversion "&amp;C155&amp;" --startMP "&amp;D155&amp;" --initTime "&amp;TEXT(E155,"yyyy-mm-ddTHH:MM:SS")&amp;" --startdatetime "&amp;TEXT(F155,"yyyy-mm-ddTHH:MM:SS")&amp;" --delay "&amp;G155&amp;" --endMP "&amp;H155&amp;" --enddatetime "&amp;TEXT(I155,"yyyy-mm-ddTHH:MM:SS")&amp;" --enforcementcount "&amp;J155&amp;IF(outputrefinedruntimes," &gt;&gt;"&amp;RefinedRTDCRunTimesOutputFile,"")</f>
        <v>"%USERPROFILE%\Documents\GitHub\eaglep3\Utilities\RefineRTDCRunTimes.py" --tripid 243-11 --locoid 4018 --swversion DE.1.0.8.0 --startMP 204:232994 --initTime 2016-12-12T00:41:51 --startdatetime 2016-12-12T00:30:38 --delay 2 --endMP 204:156 --enddatetime 2016-12-12T01:09:51 --enforcementcount 1 &gt;&gt;C:\Users\stu\Documents\GitHub\eaglep3-reporting\EC\2016-12-11-refined-times.txt</v>
      </c>
      <c r="AI155" s="119" t="str">
        <f t="shared" ref="AI155" si="64">"echo {""issue"":{""subject"":"""&amp;R155&amp;""",""project_id"":79,""tracker_id"":40,""status_id"":"&amp;redmine_status&amp;",""priority_id"":"&amp;redmine_priority&amp;",""assigned_to_id"":"&amp;redmine_assignee&amp;",""start_date"":"""&amp;TEXT(I155,"YYYY-mm-dd")&amp;""",""description"":"""&amp;AJ155&amp;""",""custom_fields"":[{""id"":1,""name"":""Subdivision"",""value"":"""&amp;AG155&amp;"""},{""id"":4,""name"":""Milepost"",""value"":"""&amp;Z155&amp;"""},{""id"":17,""name"":""Train ID"",""value"":"""&amp;A155&amp;"""},{""id"":16,""name"":""Locomotive ID"",""value"":"""&amp;B155&amp;"""},{""id"":130,""name"":""Impact"",""value"":"""&amp;AK155&amp;"""},{""id"":150,""name"":""Time of Event (Mountain Time)"",""value"":"""&amp;TEXT(I155,"hh:mm:ss")&amp;"""},{""id"":151,""name"":""Denver Issue ID"",""value"":"""&amp;"""},{""id"":178,""name"":""Operational Impact"",""value"":"""&amp;redmine_op_impact&amp;"""},{""id"":179,""name"":""Denver Segment Assigned"",""value"":"""&amp;AL155&amp;"""}]}}"&amp;"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{"issue":{"subject":"","project_id":79,"tracker_id":40,"status_id":1,"priority_id":2,"assigned_to_id":23,"start_date":"2016-12-12","description":"","custom_fields":[{"id":1,"name":"Subdivision","value":"EC"},{"id":4,"name":"Milepost","value":"0.0156"},{"id":17,"name":"Train ID","value":"243-11"},{"id":16,"name":"Locomotive ID","value":"4018"},{"id":130,"name":"Impact","value":""},{"id":150,"name":"Time of Event (Mountain Time)","value":"01:09:51"},{"id":151,"name":"Denver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5" s="53"/>
      <c r="AK155" s="53"/>
      <c r="AL155" s="53"/>
    </row>
    <row r="156" spans="1:91" x14ac:dyDescent="0.25">
      <c r="A156" s="37" t="s">
        <v>658</v>
      </c>
      <c r="B156" s="7">
        <v>4017</v>
      </c>
      <c r="C156" s="22" t="s">
        <v>207</v>
      </c>
      <c r="D156" s="22" t="s">
        <v>699</v>
      </c>
      <c r="E156" s="13">
        <v>42716.057824074072</v>
      </c>
      <c r="F156" s="13">
        <v>42716.060150462959</v>
      </c>
      <c r="G156" s="7">
        <v>1</v>
      </c>
      <c r="H156" s="22" t="s">
        <v>192</v>
      </c>
      <c r="I156" s="13">
        <v>42716.08929398148</v>
      </c>
      <c r="J156" s="7">
        <v>1</v>
      </c>
      <c r="K156" s="109" t="str">
        <f t="shared" si="51"/>
        <v>4017/4018</v>
      </c>
      <c r="L156" s="22" t="str">
        <f>VLOOKUP(A156,'Trips&amp;Operators'!$C$1:$G$99999,5,FALSE)</f>
        <v>CHANDLER KELVIN</v>
      </c>
      <c r="M156" s="6">
        <f t="shared" si="52"/>
        <v>2.9143518520868383E-2</v>
      </c>
      <c r="N156" s="7">
        <f t="shared" si="45"/>
        <v>41.966666670050472</v>
      </c>
      <c r="O156" s="7"/>
      <c r="P156" s="7"/>
      <c r="Q156" s="23"/>
      <c r="R156" s="23"/>
      <c r="S156" s="35">
        <f t="shared" si="46"/>
        <v>1</v>
      </c>
      <c r="T156" s="50" t="str">
        <f t="shared" si="53"/>
        <v>Southbound</v>
      </c>
      <c r="U156" s="171">
        <f>IF(AG156="EC",COUNTIFS(Variables!$M$2:$M$19,IF(T156="NorthBound","&gt;=","&lt;=")&amp;Y156,Variables!$M$2:$M$19,IF(T156="NorthBound","&lt;=","&gt;=")&amp;Z156),COUNTIFS(Variables!$P$2:$P$19,IF(T156="NorthBound","&gt;=","&lt;=")&amp;Y156,Variables!$P$2:$P$19,IF(T156="NorthBound","&lt;=","&gt;=")&amp;Z156))</f>
        <v>12</v>
      </c>
      <c r="V15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https://search-rtdc-monitor-bjffxe2xuh6vdkpspy63sjmuny.us-east-1.es.amazonaws.com/_plugin/kibana/#/discover/Steve-Slow-Train-Analysis-(2080s-and-2083s)?_g=(refreshInterval:(display:Off,section:0,value:0),time:(from:'2016-12-12 00:23:16-700',mode:absolute,to:'2016-12-12 03:08:35-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W156" s="52" t="str">
        <f t="shared" si="55"/>
        <v>N</v>
      </c>
      <c r="X156" s="177">
        <f t="shared" ref="X156:X158" si="65">VALUE(LEFT(AD156,4))-VALUE(LEFT(AD155,4))</f>
        <v>1</v>
      </c>
      <c r="Y156" s="67">
        <f t="shared" si="56"/>
        <v>23.296600000000002</v>
      </c>
      <c r="Z156" s="67">
        <f t="shared" si="57"/>
        <v>1.49E-2</v>
      </c>
      <c r="AA156" s="67">
        <f t="shared" si="58"/>
        <v>23.281700000000001</v>
      </c>
      <c r="AB156" s="64" t="e">
        <f>VLOOKUP(A156,Enforcements!$C$7:$K$20,8,0)</f>
        <v>#N/A</v>
      </c>
      <c r="AC156" s="60" t="e">
        <f>VLOOKUP(A156,Enforcements!$C$7:$E$20,3,0)</f>
        <v>#N/A</v>
      </c>
      <c r="AD156" s="61" t="str">
        <f t="shared" si="59"/>
        <v>0244-11</v>
      </c>
      <c r="AE156" s="91" t="str">
        <f t="shared" si="60"/>
        <v>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 &amp; aws s3 cp s3://rtdc.mdm.uploadarchive.raw/RTDC4017/ "%USERPROFILE%\AppData\Local\Temp\OnboardLogs"\RTDC4017\2016-12-13 --exclude "*" --recursive --include "*20161213*" &amp; "%USERPROFILE%\Documents\GitHub\mrs-test-scripts\Headless Mode &amp; Sideloading\WalkAndUnGZ.bat" "%USERPROFILE%\AppData\Local\Temp\OnboardLogs"\RTDC4017\2016-12-13</v>
      </c>
      <c r="AF156" s="88" t="str">
        <f t="shared" si="61"/>
        <v>"C:\Program Files (x86)\AstroGrep\AstroGrep.exe" /spath="%USERPROFILE%\AppData\Local\Temp\OnboardLogs" /stypes="app*4017*20161212*" /stext=" 09:.+((SYSTEM_STATE.+slice.+state.+changed )|(ment ac)|(multiple cpu faults)|(system.+state.+changed )|(\[timeout)|(PRM\|1\|D)|(kpr)|(kdp)|(\|lc)|(penalty))" /e /r /s</v>
      </c>
      <c r="AG156" s="1" t="str">
        <f t="shared" si="62"/>
        <v>EC</v>
      </c>
      <c r="AH156" s="92" t="str">
        <f t="shared" si="49"/>
        <v>"%USERPROFILE%\Documents\GitHub\eaglep3\Utilities\RefineRTDCRunTimes.py" --tripid 244-11 --locoid 4017 --swversion DE.1.0.8.0 --startMP 204:232966 --initTime 2016-12-12T01:23:16 --startdatetime 2016-12-12T01:26:37 --delay 1 --endMP 204:149 --enddatetime 2016-12-12T02:08:35 --enforcementcount 1 &gt;&gt;C:\Users\stu\Documents\GitHub\eaglep3-reporting\EC\2016-12-11-refined-times.txt</v>
      </c>
      <c r="AI156" s="119" t="str">
        <f t="shared" si="50"/>
        <v>echo {"issue":{"subject":"","project_id":79,"tracker_id":40,"status_id":1,"priority_id":2,"assigned_to_id":23,"start_date":"2016-12-12","description":"","custom_fields":[{"id":1,"name":"Subdivision","value":"EC"},{"id":4,"name":"Milepost","value":"0.0149"},{"id":17,"name":"Train ID","value":"244-11"},{"id":16,"name":"Locomotive ID","value":"4017"},{"id":130,"name":"Impact","value":""},{"id":150,"name":"Time of Event (Mountain Time)","value":"02:08:35"},{"id":151,"name":"Denver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6" s="53"/>
      <c r="AK156" s="53"/>
      <c r="AL156" s="53"/>
    </row>
    <row r="157" spans="1:91" s="21" customFormat="1" x14ac:dyDescent="0.25">
      <c r="A157" s="37" t="s">
        <v>448</v>
      </c>
      <c r="B157" s="7">
        <v>4045</v>
      </c>
      <c r="C157" s="22" t="s">
        <v>207</v>
      </c>
      <c r="D157" s="22" t="s">
        <v>430</v>
      </c>
      <c r="E157" s="13">
        <v>42715.235902777778</v>
      </c>
      <c r="F157" s="13">
        <v>42715.237557870372</v>
      </c>
      <c r="G157" s="7">
        <v>1</v>
      </c>
      <c r="H157" s="22" t="s">
        <v>718</v>
      </c>
      <c r="I157" s="13">
        <v>42715.24790509259</v>
      </c>
      <c r="J157" s="7">
        <v>1</v>
      </c>
      <c r="K157" s="109" t="str">
        <f t="shared" si="51"/>
        <v>4045/4046</v>
      </c>
      <c r="L157" s="22" t="str">
        <f>VLOOKUP(A157,'Trips&amp;Operators'!$C$1:$G$99999,5,FALSE)</f>
        <v>STARKS ANGELINA</v>
      </c>
      <c r="M157" s="6">
        <f t="shared" si="52"/>
        <v>1.0347222218115348E-2</v>
      </c>
      <c r="N157" s="7">
        <f t="shared" si="45"/>
        <v>14.899999994086102</v>
      </c>
      <c r="O157" s="7"/>
      <c r="P157" s="7"/>
      <c r="Q157" s="23"/>
      <c r="R157" s="23"/>
      <c r="S157" s="35">
        <f t="shared" si="46"/>
        <v>1</v>
      </c>
      <c r="T157" s="50" t="str">
        <f t="shared" si="53"/>
        <v>Southbound</v>
      </c>
      <c r="U157" s="171">
        <f>IF(AG157="EC",COUNTIFS(Variables!$M$2:$M$19,IF(T157="NorthBound","&gt;=","&lt;=")&amp;Y157,Variables!$M$2:$M$19,IF(T157="NorthBound","&lt;=","&gt;=")&amp;Z157),COUNTIFS(Variables!$P$2:$P$19,IF(T157="NorthBound","&gt;=","&lt;=")&amp;Y157,Variables!$P$2:$P$19,IF(T157="NorthBound","&lt;=","&gt;=")&amp;Z157))</f>
        <v>1</v>
      </c>
      <c r="V15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04:39:42-700',mode:absolute,to:'2016-12-11 06:56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7" s="52" t="str">
        <f t="shared" si="55"/>
        <v>N</v>
      </c>
      <c r="X157" s="177">
        <f t="shared" si="65"/>
        <v>1556</v>
      </c>
      <c r="Y157" s="67">
        <f t="shared" si="56"/>
        <v>5.8624000000000001</v>
      </c>
      <c r="Z157" s="67">
        <f t="shared" si="57"/>
        <v>7.8899999999999998E-2</v>
      </c>
      <c r="AA157" s="67">
        <f t="shared" si="58"/>
        <v>5.7835000000000001</v>
      </c>
      <c r="AB157" s="64" t="e">
        <f>VLOOKUP(A157,Enforcements!$C$7:$K$20,8,0)</f>
        <v>#N/A</v>
      </c>
      <c r="AC157" s="60" t="e">
        <f>VLOOKUP(A157,Enforcements!$C$7:$E$20,3,0)</f>
        <v>#N/A</v>
      </c>
      <c r="AD157" s="61" t="str">
        <f t="shared" si="59"/>
        <v>1800-11</v>
      </c>
      <c r="AE157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57" s="88" t="str">
        <f t="shared" si="61"/>
        <v>"C:\Program Files (x86)\AstroGrep\AstroGrep.exe" /spath="%USERPROFILE%\AppData\Local\Temp\OnboardLogs" /stypes="app*4045*20161211*" /stext=" 12:.+((SYSTEM_STATE.+slice.+state.+changed )|(ment ac)|(multiple cpu faults)|(system.+state.+changed )|(\[timeout)|(PRM\|1\|D)|(kpr)|(kdp)|(\|lc)|(penalty))" /e /r /s</v>
      </c>
      <c r="AG157" s="1" t="str">
        <f t="shared" si="62"/>
        <v>NW</v>
      </c>
      <c r="AH157" s="92" t="str">
        <f t="shared" si="49"/>
        <v>"%USERPROFILE%\Documents\GitHub\eaglep3\Utilities\RefineRTDCRunTimes.py" --tripid 1800-11 --locoid 4045 --swversion DE.1.0.8.0 --startMP 300:58624 --initTime 2016-12-11T05:39:42 --startdatetime 2016-12-11T05:42:05 --delay 1 --endMP 204:789 --enddatetime 2016-12-11T05:56:59 --enforcementcount 1 &gt;&gt;C:\Users\stu\Documents\GitHub\eaglep3-reporting\EC\2016-12-11-refined-times.txt</v>
      </c>
      <c r="AI157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{"issue":{"subject":"","project_id":79,"tracker_id":40,"status_id":1,"priority_id":2,"assigned_to_id":23,"start_date":"2016-12-11","description":"","custom_fields":[{"id":1,"name":"Subdivision","value":"NW"},{"id":4,"name":"Milepost","value":"0.0789"},{"id":17,"name":"Train ID","value":"1800-11"},{"id":16,"name":"Locomotive ID","value":"4045"},{"id":130,"name":"Impact","value":""},{"id":150,"name":"Time of Event (Mountain Time)","value":"05:56:59"},{"id":151,"name":"Denver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7" s="53"/>
      <c r="AK157" s="53"/>
      <c r="AL157" s="53"/>
      <c r="AM157"/>
      <c r="AN157"/>
      <c r="AO157"/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  <c r="BH157"/>
      <c r="BI157"/>
      <c r="BJ157"/>
      <c r="BK157"/>
      <c r="BL157"/>
      <c r="BM157"/>
      <c r="BN157"/>
      <c r="BO157"/>
      <c r="BP157"/>
      <c r="BQ157"/>
      <c r="BR157"/>
      <c r="BS157"/>
      <c r="BT157"/>
      <c r="BU157"/>
      <c r="BV157"/>
      <c r="BW157"/>
      <c r="BX157"/>
      <c r="BY157"/>
      <c r="BZ157"/>
      <c r="CA157"/>
      <c r="CB157"/>
      <c r="CC157"/>
      <c r="CD157"/>
      <c r="CE157"/>
      <c r="CF157"/>
      <c r="CG157"/>
      <c r="CH157"/>
      <c r="CI157"/>
      <c r="CJ157"/>
      <c r="CK157"/>
      <c r="CL157"/>
      <c r="CM157"/>
    </row>
    <row r="158" spans="1:91" s="21" customFormat="1" x14ac:dyDescent="0.25">
      <c r="A158" s="37" t="s">
        <v>509</v>
      </c>
      <c r="B158" s="7">
        <v>4046</v>
      </c>
      <c r="C158" s="22" t="s">
        <v>207</v>
      </c>
      <c r="D158" s="22" t="s">
        <v>719</v>
      </c>
      <c r="E158" s="13">
        <v>42715.249374999999</v>
      </c>
      <c r="F158" s="13">
        <v>42715.265011574076</v>
      </c>
      <c r="G158" s="7">
        <v>1</v>
      </c>
      <c r="H158" s="22" t="s">
        <v>720</v>
      </c>
      <c r="I158" s="13">
        <v>42715.274409722224</v>
      </c>
      <c r="J158" s="7">
        <v>1</v>
      </c>
      <c r="K158" s="109" t="str">
        <f t="shared" si="51"/>
        <v>4045/4046</v>
      </c>
      <c r="L158" s="22" t="str">
        <f>VLOOKUP(A158,'Trips&amp;Operators'!$C$1:$G$99999,5,FALSE)</f>
        <v>STARKS ANGELINA</v>
      </c>
      <c r="M158" s="6">
        <f t="shared" si="52"/>
        <v>9.3981481477385387E-3</v>
      </c>
      <c r="N158" s="7">
        <f t="shared" si="45"/>
        <v>13.533333332743496</v>
      </c>
      <c r="O158" s="7"/>
      <c r="P158" s="7"/>
      <c r="Q158" s="23"/>
      <c r="R158" s="23"/>
      <c r="S158" s="35">
        <f t="shared" si="46"/>
        <v>1</v>
      </c>
      <c r="T158" s="50" t="str">
        <f t="shared" si="53"/>
        <v>NorthBound</v>
      </c>
      <c r="U158" s="171">
        <f>IF(AG158="EC",COUNTIFS(Variables!$M$2:$M$19,IF(T158="NorthBound","&gt;=","&lt;=")&amp;Y158,Variables!$M$2:$M$19,IF(T158="NorthBound","&lt;=","&gt;=")&amp;Z158),COUNTIFS(Variables!$P$2:$P$19,IF(T158="NorthBound","&gt;=","&lt;=")&amp;Y158,Variables!$P$2:$P$19,IF(T158="NorthBound","&lt;=","&gt;=")&amp;Z158))</f>
        <v>1</v>
      </c>
      <c r="V15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04:59:06-700',mode:absolute,to:'2016-12-11 07:35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58" s="52" t="str">
        <f t="shared" si="55"/>
        <v>N</v>
      </c>
      <c r="X158" s="177">
        <f t="shared" si="65"/>
        <v>1</v>
      </c>
      <c r="Y158" s="67">
        <f t="shared" si="56"/>
        <v>0.1074</v>
      </c>
      <c r="Z158" s="67">
        <f t="shared" si="57"/>
        <v>5.8964999999999996</v>
      </c>
      <c r="AA158" s="67">
        <f t="shared" si="58"/>
        <v>5.7890999999999995</v>
      </c>
      <c r="AB158" s="64" t="e">
        <f>VLOOKUP(A158,Enforcements!$C$7:$K$20,8,0)</f>
        <v>#N/A</v>
      </c>
      <c r="AC158" s="60" t="e">
        <f>VLOOKUP(A158,Enforcements!$C$7:$E$20,3,0)</f>
        <v>#N/A</v>
      </c>
      <c r="AD158" s="61" t="str">
        <f t="shared" si="59"/>
        <v>1801-11</v>
      </c>
      <c r="AE158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58" s="88" t="str">
        <f t="shared" si="61"/>
        <v>"C:\Program Files (x86)\AstroGrep\AstroGrep.exe" /spath="%USERPROFILE%\AppData\Local\Temp\OnboardLogs" /stypes="app*4046*20161211*" /stext=" 13:.+((SYSTEM_STATE.+slice.+state.+changed )|(ment ac)|(multiple cpu faults)|(system.+state.+changed )|(\[timeout)|(PRM\|1\|D)|(kpr)|(kdp)|(\|lc)|(penalty))" /e /r /s</v>
      </c>
      <c r="AG158" s="1" t="str">
        <f t="shared" si="62"/>
        <v>NW</v>
      </c>
      <c r="AH158" s="92" t="str">
        <f t="shared" si="49"/>
        <v>"%USERPROFILE%\Documents\GitHub\eaglep3\Utilities\RefineRTDCRunTimes.py" --tripid 1801-11 --locoid 4046 --swversion DE.1.0.8.0 --startMP 204:1074 --initTime 2016-12-11T05:59:06 --startdatetime 2016-12-11T06:21:37 --delay 1 --endMP 300:58965 --enddatetime 2016-12-11T06:35:09 --enforcementcount 1 &gt;&gt;C:\Users\stu\Documents\GitHub\eaglep3-reporting\EC\2016-12-11-refined-times.txt</v>
      </c>
      <c r="AI158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{"issue":{"subject":"","project_id":79,"tracker_id":40,"status_id":1,"priority_id":2,"assigned_to_id":23,"start_date":"2016-12-11","description":"","custom_fields":[{"id":1,"name":"Subdivision","value":"NW"},{"id":4,"name":"Milepost","value":"5.8965"},{"id":17,"name":"Train ID","value":"1801-11"},{"id":16,"name":"Locomotive ID","value":"4046"},{"id":130,"name":"Impact","value":""},{"id":150,"name":"Time of Event (Mountain Time)","value":"06:35:09"},{"id":151,"name":"Denver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8" s="53"/>
      <c r="AK158" s="53"/>
      <c r="AL158" s="53"/>
      <c r="AM158"/>
      <c r="AN158"/>
      <c r="AO158"/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  <c r="BH158"/>
      <c r="BI158"/>
      <c r="BJ158"/>
      <c r="BK158"/>
      <c r="BL158"/>
      <c r="BM158"/>
      <c r="BN158"/>
      <c r="BO158"/>
      <c r="BP158"/>
      <c r="BQ158"/>
      <c r="BR158"/>
      <c r="BS158"/>
      <c r="BT158"/>
      <c r="BU158"/>
      <c r="BV158"/>
      <c r="BW158"/>
      <c r="BX158"/>
      <c r="BY158"/>
      <c r="BZ158"/>
      <c r="CA158"/>
      <c r="CB158"/>
      <c r="CC158"/>
      <c r="CD158"/>
      <c r="CE158"/>
      <c r="CF158"/>
      <c r="CG158"/>
      <c r="CH158"/>
      <c r="CI158"/>
      <c r="CJ158"/>
      <c r="CK158"/>
      <c r="CL158"/>
      <c r="CM158"/>
    </row>
    <row r="159" spans="1:91" x14ac:dyDescent="0.25">
      <c r="A159" s="37" t="s">
        <v>450</v>
      </c>
      <c r="B159" s="7">
        <v>4045</v>
      </c>
      <c r="C159" s="22" t="s">
        <v>207</v>
      </c>
      <c r="D159" s="22" t="s">
        <v>721</v>
      </c>
      <c r="E159" s="13">
        <v>42715.275902777779</v>
      </c>
      <c r="F159" s="13">
        <v>42715.277222222219</v>
      </c>
      <c r="G159" s="7">
        <v>1</v>
      </c>
      <c r="H159" s="22" t="s">
        <v>722</v>
      </c>
      <c r="I159" s="13">
        <v>42715.2887962963</v>
      </c>
      <c r="J159" s="7">
        <v>1</v>
      </c>
      <c r="K159" s="109" t="str">
        <f t="shared" si="51"/>
        <v>4045/4046</v>
      </c>
      <c r="L159" s="22" t="str">
        <f>VLOOKUP(A159,'Trips&amp;Operators'!$C$1:$G$99999,5,FALSE)</f>
        <v>STARKS ANGELINA</v>
      </c>
      <c r="M159" s="6">
        <f t="shared" si="52"/>
        <v>1.1574074080272112E-2</v>
      </c>
      <c r="N159" s="7">
        <f t="shared" ref="N159:N190" si="66">24*60*SUM($M159:$M159)</f>
        <v>16.666666675591841</v>
      </c>
      <c r="O159" s="7"/>
      <c r="P159" s="7"/>
      <c r="Q159" s="23"/>
      <c r="R159" s="23"/>
      <c r="S159" s="35">
        <f t="shared" ref="S159:S190" si="67">SUM(U159:U159)/IF(AG159="EC",12,1)</f>
        <v>1</v>
      </c>
      <c r="T159" s="50" t="str">
        <f t="shared" si="53"/>
        <v>Southbound</v>
      </c>
      <c r="U159" s="171">
        <f>IF(AG159="EC",COUNTIFS(Variables!$M$2:$M$19,IF(T159="NorthBound","&gt;=","&lt;=")&amp;Y159,Variables!$M$2:$M$19,IF(T159="NorthBound","&lt;=","&gt;=")&amp;Z159),COUNTIFS(Variables!$P$2:$P$19,IF(T159="NorthBound","&gt;=","&lt;=")&amp;Y159,Variables!$P$2:$P$19,IF(T159="NorthBound","&lt;=","&gt;=")&amp;Z159))</f>
        <v>1</v>
      </c>
      <c r="V15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05:37:18-700',mode:absolute,to:'2016-12-11 07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59" s="52" t="str">
        <f t="shared" si="55"/>
        <v>N</v>
      </c>
      <c r="X159" s="177">
        <f t="shared" ref="X159:X190" si="68">VALUE(LEFT(AD159,4))-VALUE(LEFT(AD158,4))</f>
        <v>1</v>
      </c>
      <c r="Y159" s="67">
        <f t="shared" si="56"/>
        <v>5.8648999999999996</v>
      </c>
      <c r="Z159" s="67">
        <f t="shared" si="57"/>
        <v>7.2900000000000006E-2</v>
      </c>
      <c r="AA159" s="67">
        <f t="shared" si="58"/>
        <v>5.7919999999999998</v>
      </c>
      <c r="AB159" s="64" t="e">
        <f>VLOOKUP(A159,Enforcements!$C$7:$K$20,8,0)</f>
        <v>#N/A</v>
      </c>
      <c r="AC159" s="60" t="e">
        <f>VLOOKUP(A159,Enforcements!$C$7:$E$20,3,0)</f>
        <v>#N/A</v>
      </c>
      <c r="AD159" s="61" t="str">
        <f t="shared" si="59"/>
        <v>1802-11</v>
      </c>
      <c r="AE159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59" s="88" t="str">
        <f t="shared" si="61"/>
        <v>"C:\Program Files (x86)\AstroGrep\AstroGrep.exe" /spath="%USERPROFILE%\AppData\Local\Temp\OnboardLogs" /stypes="app*4045*20161211*" /stext=" 13:.+((SYSTEM_STATE.+slice.+state.+changed )|(ment ac)|(multiple cpu faults)|(system.+state.+changed )|(\[timeout)|(PRM\|1\|D)|(kpr)|(kdp)|(\|lc)|(penalty))" /e /r /s</v>
      </c>
      <c r="AG159" s="1" t="str">
        <f t="shared" si="62"/>
        <v>NW</v>
      </c>
      <c r="AH159" s="92" t="str">
        <f t="shared" si="49"/>
        <v>"%USERPROFILE%\Documents\GitHub\eaglep3\Utilities\RefineRTDCRunTimes.py" --tripid 1802-11 --locoid 4045 --swversion DE.1.0.8.0 --startMP 300:58649 --initTime 2016-12-11T06:37:18 --startdatetime 2016-12-11T06:39:12 --delay 1 --endMP 204:729 --enddatetime 2016-12-11T06:55:52 --enforcementcount 1 &gt;&gt;C:\Users\stu\Documents\GitHub\eaglep3-reporting\EC\2016-12-11-refined-times.txt</v>
      </c>
      <c r="AI159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{"issue":{"subject":"","project_id":79,"tracker_id":40,"status_id":1,"priority_id":2,"assigned_to_id":23,"start_date":"2016-12-11","description":"","custom_fields":[{"id":1,"name":"Subdivision","value":"NW"},{"id":4,"name":"Milepost","value":"0.0729"},{"id":17,"name":"Train ID","value":"1802-11"},{"id":16,"name":"Locomotive ID","value":"4045"},{"id":130,"name":"Impact","value":""},{"id":150,"name":"Time of Event (Mountain Time)","value":"06:55:52"},{"id":151,"name":"Denver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59" s="53"/>
      <c r="AK159" s="53"/>
      <c r="AL159" s="53"/>
    </row>
    <row r="160" spans="1:91" s="21" customFormat="1" x14ac:dyDescent="0.25">
      <c r="A160" s="37" t="s">
        <v>520</v>
      </c>
      <c r="B160" s="7">
        <v>4046</v>
      </c>
      <c r="C160" s="22" t="s">
        <v>207</v>
      </c>
      <c r="D160" s="22" t="s">
        <v>431</v>
      </c>
      <c r="E160" s="13">
        <v>42715.304062499999</v>
      </c>
      <c r="F160" s="13">
        <v>42715.30641203704</v>
      </c>
      <c r="G160" s="7">
        <v>1</v>
      </c>
      <c r="H160" s="22" t="s">
        <v>720</v>
      </c>
      <c r="I160" s="13">
        <v>42715.315462962964</v>
      </c>
      <c r="J160" s="7">
        <v>1</v>
      </c>
      <c r="K160" s="109" t="str">
        <f t="shared" si="51"/>
        <v>4045/4046</v>
      </c>
      <c r="L160" s="22" t="str">
        <f>VLOOKUP(A160,'Trips&amp;Operators'!$C$1:$G$99999,5,FALSE)</f>
        <v>STARKS ANGELINA</v>
      </c>
      <c r="M160" s="6">
        <f t="shared" si="52"/>
        <v>9.0509259243845008E-3</v>
      </c>
      <c r="N160" s="7">
        <f t="shared" si="66"/>
        <v>13.033333331113681</v>
      </c>
      <c r="O160" s="7"/>
      <c r="P160" s="7"/>
      <c r="Q160" s="23"/>
      <c r="R160" s="23"/>
      <c r="S160" s="35">
        <f t="shared" si="67"/>
        <v>1</v>
      </c>
      <c r="T160" s="50" t="str">
        <f t="shared" si="53"/>
        <v>NorthBound</v>
      </c>
      <c r="U160" s="171">
        <f>IF(AG160="EC",COUNTIFS(Variables!$M$2:$M$19,IF(T160="NorthBound","&gt;=","&lt;=")&amp;Y160,Variables!$M$2:$M$19,IF(T160="NorthBound","&lt;=","&gt;=")&amp;Z160),COUNTIFS(Variables!$P$2:$P$19,IF(T160="NorthBound","&gt;=","&lt;=")&amp;Y160,Variables!$P$2:$P$19,IF(T160="NorthBound","&lt;=","&gt;=")&amp;Z160))</f>
        <v>1</v>
      </c>
      <c r="V16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06:17:51-700',mode:absolute,to:'2016-12-11 08:34:16-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0" s="52" t="str">
        <f t="shared" si="55"/>
        <v>N</v>
      </c>
      <c r="X160" s="177">
        <f t="shared" si="68"/>
        <v>1</v>
      </c>
      <c r="Y160" s="67">
        <f t="shared" si="56"/>
        <v>0.1014</v>
      </c>
      <c r="Z160" s="67">
        <f t="shared" si="57"/>
        <v>5.8964999999999996</v>
      </c>
      <c r="AA160" s="67">
        <f t="shared" si="58"/>
        <v>5.7950999999999997</v>
      </c>
      <c r="AB160" s="64" t="e">
        <f>VLOOKUP(A160,Enforcements!$C$7:$K$20,8,0)</f>
        <v>#N/A</v>
      </c>
      <c r="AC160" s="60" t="e">
        <f>VLOOKUP(A160,Enforcements!$C$7:$E$20,3,0)</f>
        <v>#N/A</v>
      </c>
      <c r="AD160" s="61" t="str">
        <f t="shared" si="59"/>
        <v>1803-11</v>
      </c>
      <c r="AE160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60" s="88" t="str">
        <f t="shared" si="61"/>
        <v>"C:\Program Files (x86)\AstroGrep\AstroGrep.exe" /spath="%USERPROFILE%\AppData\Local\Temp\OnboardLogs" /stypes="app*4046*20161211*" /stext=" 14:.+((SYSTEM_STATE.+slice.+state.+changed )|(ment ac)|(multiple cpu faults)|(system.+state.+changed )|(\[timeout)|(PRM\|1\|D)|(kpr)|(kdp)|(\|lc)|(penalty))" /e /r /s</v>
      </c>
      <c r="AG160" s="1" t="str">
        <f t="shared" si="62"/>
        <v>NW</v>
      </c>
      <c r="AH160" s="92" t="str">
        <f t="shared" si="49"/>
        <v>"%USERPROFILE%\Documents\GitHub\eaglep3\Utilities\RefineRTDCRunTimes.py" --tripid 1803-11 --locoid 4046 --swversion DE.1.0.8.0 --startMP 204:1014 --initTime 2016-12-11T07:17:51 --startdatetime 2016-12-11T07:21:14 --delay 1 --endMP 300:58965 --enddatetime 2016-12-11T07:34:16 --enforcementcount 1 &gt;&gt;C:\Users\stu\Documents\GitHub\eaglep3-reporting\EC\2016-12-11-refined-times.txt</v>
      </c>
      <c r="AI160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{"issue":{"subject":"","project_id":79,"tracker_id":40,"status_id":1,"priority_id":2,"assigned_to_id":23,"start_date":"2016-12-11","description":"","custom_fields":[{"id":1,"name":"Subdivision","value":"NW"},{"id":4,"name":"Milepost","value":"5.8965"},{"id":17,"name":"Train ID","value":"1803-11"},{"id":16,"name":"Locomotive ID","value":"4046"},{"id":130,"name":"Impact","value":""},{"id":150,"name":"Time of Event (Mountain Time)","value":"07:34:16"},{"id":151,"name":"Denver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0" s="53"/>
      <c r="AK160" s="53"/>
      <c r="AL160" s="53"/>
      <c r="AM160"/>
      <c r="AN160"/>
      <c r="AO160"/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  <c r="BH160"/>
      <c r="BI160"/>
      <c r="BJ160"/>
      <c r="BK160"/>
      <c r="BL160"/>
      <c r="BM160"/>
      <c r="BN160"/>
      <c r="BO160"/>
      <c r="BP160"/>
      <c r="BQ160"/>
      <c r="BR160"/>
      <c r="BS160"/>
      <c r="BT160"/>
      <c r="BU160"/>
      <c r="BV160"/>
      <c r="BW160"/>
      <c r="BX160"/>
      <c r="BY160"/>
      <c r="BZ160"/>
      <c r="CA160"/>
      <c r="CB160"/>
      <c r="CC160"/>
      <c r="CD160"/>
      <c r="CE160"/>
      <c r="CF160"/>
      <c r="CG160"/>
      <c r="CH160"/>
      <c r="CI160"/>
      <c r="CJ160"/>
      <c r="CK160"/>
      <c r="CL160"/>
      <c r="CM160"/>
    </row>
    <row r="161" spans="1:91" s="21" customFormat="1" x14ac:dyDescent="0.25">
      <c r="A161" s="37" t="s">
        <v>522</v>
      </c>
      <c r="B161" s="7">
        <v>4045</v>
      </c>
      <c r="C161" s="22" t="s">
        <v>207</v>
      </c>
      <c r="D161" s="22" t="s">
        <v>723</v>
      </c>
      <c r="E161" s="13">
        <v>42715.316562499997</v>
      </c>
      <c r="F161" s="13">
        <v>42715.317696759259</v>
      </c>
      <c r="G161" s="7">
        <v>1</v>
      </c>
      <c r="H161" s="22" t="s">
        <v>724</v>
      </c>
      <c r="I161" s="13">
        <v>42715.330937500003</v>
      </c>
      <c r="J161" s="7">
        <v>1</v>
      </c>
      <c r="K161" s="109" t="str">
        <f t="shared" si="51"/>
        <v>4045/4046</v>
      </c>
      <c r="L161" s="22" t="str">
        <f>VLOOKUP(A161,'Trips&amp;Operators'!$C$1:$G$99999,5,FALSE)</f>
        <v>STARKS ANGELINA</v>
      </c>
      <c r="M161" s="6">
        <f t="shared" si="52"/>
        <v>1.3240740743640345E-2</v>
      </c>
      <c r="N161" s="7">
        <f t="shared" si="66"/>
        <v>19.066666670842096</v>
      </c>
      <c r="O161" s="7"/>
      <c r="P161" s="7"/>
      <c r="Q161" s="23"/>
      <c r="R161" s="23"/>
      <c r="S161" s="35">
        <f t="shared" si="67"/>
        <v>1</v>
      </c>
      <c r="T161" s="50" t="str">
        <f t="shared" si="53"/>
        <v>Southbound</v>
      </c>
      <c r="U161" s="171">
        <f>IF(AG161="EC",COUNTIFS(Variables!$M$2:$M$19,IF(T161="NorthBound","&gt;=","&lt;=")&amp;Y161,Variables!$M$2:$M$19,IF(T161="NorthBound","&lt;=","&gt;=")&amp;Z161),COUNTIFS(Variables!$P$2:$P$19,IF(T161="NorthBound","&gt;=","&lt;=")&amp;Y161,Variables!$P$2:$P$19,IF(T161="NorthBound","&lt;=","&gt;=")&amp;Z161))</f>
        <v>1</v>
      </c>
      <c r="V16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06:35:51-700',mode:absolute,to:'2016-12-11 08:56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1" s="52" t="str">
        <f t="shared" si="55"/>
        <v>N</v>
      </c>
      <c r="X161" s="177">
        <f t="shared" si="68"/>
        <v>1</v>
      </c>
      <c r="Y161" s="67">
        <f t="shared" si="56"/>
        <v>5.8541999999999996</v>
      </c>
      <c r="Z161" s="67">
        <f t="shared" si="57"/>
        <v>7.8299999999999995E-2</v>
      </c>
      <c r="AA161" s="67">
        <f t="shared" si="58"/>
        <v>5.7759</v>
      </c>
      <c r="AB161" s="64" t="e">
        <f>VLOOKUP(A161,Enforcements!$C$7:$K$20,8,0)</f>
        <v>#N/A</v>
      </c>
      <c r="AC161" s="60" t="e">
        <f>VLOOKUP(A161,Enforcements!$C$7:$E$20,3,0)</f>
        <v>#N/A</v>
      </c>
      <c r="AD161" s="61" t="str">
        <f t="shared" si="59"/>
        <v>1804-11</v>
      </c>
      <c r="AE161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61" s="88" t="str">
        <f t="shared" si="61"/>
        <v>"C:\Program Files (x86)\AstroGrep\AstroGrep.exe" /spath="%USERPROFILE%\AppData\Local\Temp\OnboardLogs" /stypes="app*4045*20161211*" /stext=" 14:.+((SYSTEM_STATE.+slice.+state.+changed )|(ment ac)|(multiple cpu faults)|(system.+state.+changed )|(\[timeout)|(PRM\|1\|D)|(kpr)|(kdp)|(\|lc)|(penalty))" /e /r /s</v>
      </c>
      <c r="AG161" s="1" t="str">
        <f t="shared" si="62"/>
        <v>NW</v>
      </c>
      <c r="AH161" s="92" t="str">
        <f t="shared" si="49"/>
        <v>"%USERPROFILE%\Documents\GitHub\eaglep3\Utilities\RefineRTDCRunTimes.py" --tripid 1804-11 --locoid 4045 --swversion DE.1.0.8.0 --startMP 300:58542 --initTime 2016-12-11T07:35:51 --startdatetime 2016-12-11T07:37:29 --delay 1 --endMP 204:783 --enddatetime 2016-12-11T07:56:33 --enforcementcount 1 &gt;&gt;C:\Users\stu\Documents\GitHub\eaglep3-reporting\EC\2016-12-11-refined-times.txt</v>
      </c>
      <c r="AI161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{"issue":{"subject":"","project_id":79,"tracker_id":40,"status_id":1,"priority_id":2,"assigned_to_id":23,"start_date":"2016-12-11","description":"","custom_fields":[{"id":1,"name":"Subdivision","value":"NW"},{"id":4,"name":"Milepost","value":"0.0783"},{"id":17,"name":"Train ID","value":"1804-11"},{"id":16,"name":"Locomotive ID","value":"4045"},{"id":130,"name":"Impact","value":""},{"id":150,"name":"Time of Event (Mountain Time)","value":"07:56:33"},{"id":151,"name":"Denver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1" s="53"/>
      <c r="AK161" s="53"/>
      <c r="AL161" s="53"/>
      <c r="AM161"/>
      <c r="AN161"/>
      <c r="AO161"/>
      <c r="AP161"/>
      <c r="AQ161"/>
      <c r="AR161"/>
      <c r="AS161"/>
      <c r="AT161"/>
      <c r="AU161"/>
      <c r="AV161"/>
      <c r="AW161"/>
      <c r="AX161"/>
      <c r="AY161"/>
      <c r="AZ161"/>
      <c r="BA161"/>
      <c r="BB161"/>
      <c r="BC161"/>
      <c r="BD161"/>
      <c r="BE161"/>
      <c r="BF161"/>
      <c r="BG161"/>
      <c r="BH161"/>
      <c r="BI161"/>
      <c r="BJ161"/>
      <c r="BK161"/>
      <c r="BL161"/>
      <c r="BM161"/>
      <c r="BN161"/>
      <c r="BO161"/>
      <c r="BP161"/>
      <c r="BQ161"/>
      <c r="BR161"/>
      <c r="BS161"/>
      <c r="BT161"/>
      <c r="BU161"/>
      <c r="BV161"/>
      <c r="BW161"/>
      <c r="BX161"/>
      <c r="BY161"/>
      <c r="BZ161"/>
      <c r="CA161"/>
      <c r="CB161"/>
      <c r="CC161"/>
      <c r="CD161"/>
      <c r="CE161"/>
      <c r="CF161"/>
      <c r="CG161"/>
      <c r="CH161"/>
      <c r="CI161"/>
      <c r="CJ161"/>
      <c r="CK161"/>
      <c r="CL161"/>
      <c r="CM161"/>
    </row>
    <row r="162" spans="1:91" s="21" customFormat="1" x14ac:dyDescent="0.25">
      <c r="A162" s="37" t="s">
        <v>526</v>
      </c>
      <c r="B162" s="7">
        <v>4046</v>
      </c>
      <c r="C162" s="22" t="s">
        <v>207</v>
      </c>
      <c r="D162" s="22" t="s">
        <v>725</v>
      </c>
      <c r="E162" s="13">
        <v>42715.346041666664</v>
      </c>
      <c r="F162" s="13">
        <v>42715.348090277781</v>
      </c>
      <c r="G162" s="7">
        <v>1</v>
      </c>
      <c r="H162" s="22" t="s">
        <v>720</v>
      </c>
      <c r="I162" s="13">
        <v>42715.357662037037</v>
      </c>
      <c r="J162" s="7">
        <v>1</v>
      </c>
      <c r="K162" s="109" t="str">
        <f t="shared" si="51"/>
        <v>4045/4046</v>
      </c>
      <c r="L162" s="22" t="str">
        <f>VLOOKUP(A162,'Trips&amp;Operators'!$C$1:$G$99999,5,FALSE)</f>
        <v>STARKS ANGELINA</v>
      </c>
      <c r="M162" s="6">
        <f t="shared" si="52"/>
        <v>9.5717592557775788E-3</v>
      </c>
      <c r="N162" s="7">
        <f t="shared" si="66"/>
        <v>13.783333328319713</v>
      </c>
      <c r="O162" s="7"/>
      <c r="P162" s="7"/>
      <c r="Q162" s="23"/>
      <c r="R162" s="23"/>
      <c r="S162" s="35">
        <f t="shared" si="67"/>
        <v>1</v>
      </c>
      <c r="T162" s="50" t="str">
        <f t="shared" si="53"/>
        <v>NorthBound</v>
      </c>
      <c r="U162" s="171">
        <f>IF(AG162="EC",COUNTIFS(Variables!$M$2:$M$19,IF(T162="NorthBound","&gt;=","&lt;=")&amp;Y162,Variables!$M$2:$M$19,IF(T162="NorthBound","&lt;=","&gt;=")&amp;Z162),COUNTIFS(Variables!$P$2:$P$19,IF(T162="NorthBound","&gt;=","&lt;=")&amp;Y162,Variables!$P$2:$P$19,IF(T162="NorthBound","&lt;=","&gt;=")&amp;Z162))</f>
        <v>1</v>
      </c>
      <c r="V16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07:18:18-700',mode:absolute,to:'2016-12-11 09:35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2" s="52" t="str">
        <f t="shared" si="55"/>
        <v>N</v>
      </c>
      <c r="X162" s="177">
        <f t="shared" si="68"/>
        <v>1</v>
      </c>
      <c r="Y162" s="67">
        <f t="shared" si="56"/>
        <v>0.1055</v>
      </c>
      <c r="Z162" s="67">
        <f t="shared" si="57"/>
        <v>5.8964999999999996</v>
      </c>
      <c r="AA162" s="67">
        <f t="shared" si="58"/>
        <v>5.7909999999999995</v>
      </c>
      <c r="AB162" s="64" t="e">
        <f>VLOOKUP(A162,Enforcements!$C$7:$K$20,8,0)</f>
        <v>#N/A</v>
      </c>
      <c r="AC162" s="60" t="e">
        <f>VLOOKUP(A162,Enforcements!$C$7:$E$20,3,0)</f>
        <v>#N/A</v>
      </c>
      <c r="AD162" s="61" t="str">
        <f t="shared" si="59"/>
        <v>1805-11</v>
      </c>
      <c r="AE162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62" s="88" t="str">
        <f t="shared" si="61"/>
        <v>"C:\Program Files (x86)\AstroGrep\AstroGrep.exe" /spath="%USERPROFILE%\AppData\Local\Temp\OnboardLogs" /stypes="app*4046*20161211*" /stext=" 15:.+((SYSTEM_STATE.+slice.+state.+changed )|(ment ac)|(multiple cpu faults)|(system.+state.+changed )|(\[timeout)|(PRM\|1\|D)|(kpr)|(kdp)|(\|lc)|(penalty))" /e /r /s</v>
      </c>
      <c r="AG162" s="1" t="str">
        <f t="shared" si="62"/>
        <v>NW</v>
      </c>
      <c r="AH162" s="92" t="str">
        <f t="shared" si="49"/>
        <v>"%USERPROFILE%\Documents\GitHub\eaglep3\Utilities\RefineRTDCRunTimes.py" --tripid 1805-11 --locoid 4046 --swversion DE.1.0.8.0 --startMP 204:1055 --initTime 2016-12-11T08:18:18 --startdatetime 2016-12-11T08:21:15 --delay 1 --endMP 300:58965 --enddatetime 2016-12-11T08:35:02 --enforcementcount 1 &gt;&gt;C:\Users\stu\Documents\GitHub\eaglep3-reporting\EC\2016-12-11-refined-times.txt</v>
      </c>
      <c r="AI162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{"issue":{"subject":"","project_id":79,"tracker_id":40,"status_id":1,"priority_id":2,"assigned_to_id":23,"start_date":"2016-12-11","description":"","custom_fields":[{"id":1,"name":"Subdivision","value":"NW"},{"id":4,"name":"Milepost","value":"5.8965"},{"id":17,"name":"Train ID","value":"1805-11"},{"id":16,"name":"Locomotive ID","value":"4046"},{"id":130,"name":"Impact","value":""},{"id":150,"name":"Time of Event (Mountain Time)","value":"08:35:02"},{"id":151,"name":"Denver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2" s="53"/>
      <c r="AK162" s="53"/>
      <c r="AL162" s="53"/>
      <c r="AM162"/>
      <c r="AN162"/>
      <c r="AO162"/>
      <c r="AP162"/>
      <c r="AQ162"/>
      <c r="AR162"/>
      <c r="AS162"/>
      <c r="AT162"/>
      <c r="AU162"/>
      <c r="AV162"/>
      <c r="AW162"/>
      <c r="AX162"/>
      <c r="AY162"/>
      <c r="AZ162"/>
      <c r="BA162"/>
      <c r="BB162"/>
      <c r="BC162"/>
      <c r="BD162"/>
      <c r="BE162"/>
      <c r="BF162"/>
      <c r="BG162"/>
      <c r="BH162"/>
      <c r="BI162"/>
      <c r="BJ162"/>
      <c r="BK162"/>
      <c r="BL162"/>
      <c r="BM162"/>
      <c r="BN162"/>
      <c r="BO162"/>
      <c r="BP162"/>
      <c r="BQ162"/>
      <c r="BR162"/>
      <c r="BS162"/>
      <c r="BT162"/>
      <c r="BU162"/>
      <c r="BV162"/>
      <c r="BW162"/>
      <c r="BX162"/>
      <c r="BY162"/>
      <c r="BZ162"/>
      <c r="CA162"/>
      <c r="CB162"/>
      <c r="CC162"/>
      <c r="CD162"/>
      <c r="CE162"/>
      <c r="CF162"/>
      <c r="CG162"/>
      <c r="CH162"/>
      <c r="CI162"/>
      <c r="CJ162"/>
      <c r="CK162"/>
      <c r="CL162"/>
      <c r="CM162"/>
    </row>
    <row r="163" spans="1:91" x14ac:dyDescent="0.25">
      <c r="A163" s="37" t="s">
        <v>528</v>
      </c>
      <c r="B163" s="7">
        <v>4045</v>
      </c>
      <c r="C163" s="22" t="s">
        <v>207</v>
      </c>
      <c r="D163" s="22" t="s">
        <v>726</v>
      </c>
      <c r="E163" s="13">
        <v>42715.358587962961</v>
      </c>
      <c r="F163" s="13">
        <v>42715.359965277778</v>
      </c>
      <c r="G163" s="7">
        <v>1</v>
      </c>
      <c r="H163" s="22" t="s">
        <v>727</v>
      </c>
      <c r="I163" s="13">
        <v>42715.371944444443</v>
      </c>
      <c r="J163" s="7">
        <v>1</v>
      </c>
      <c r="K163" s="109" t="str">
        <f t="shared" si="51"/>
        <v>4045/4046</v>
      </c>
      <c r="L163" s="22" t="str">
        <f>VLOOKUP(A163,'Trips&amp;Operators'!$C$1:$G$99999,5,FALSE)</f>
        <v>STARKS ANGELINA</v>
      </c>
      <c r="M163" s="6">
        <f t="shared" si="52"/>
        <v>1.1979166665696539E-2</v>
      </c>
      <c r="N163" s="7">
        <f t="shared" si="66"/>
        <v>17.249999998603016</v>
      </c>
      <c r="O163" s="7"/>
      <c r="P163" s="7"/>
      <c r="Q163" s="23"/>
      <c r="R163" s="23"/>
      <c r="S163" s="35">
        <f t="shared" si="67"/>
        <v>1</v>
      </c>
      <c r="T163" s="50" t="str">
        <f t="shared" si="53"/>
        <v>Southbound</v>
      </c>
      <c r="U163" s="171">
        <f>IF(AG163="EC",COUNTIFS(Variables!$M$2:$M$19,IF(T163="NorthBound","&gt;=","&lt;=")&amp;Y163,Variables!$M$2:$M$19,IF(T163="NorthBound","&lt;=","&gt;=")&amp;Z163),COUNTIFS(Variables!$P$2:$P$19,IF(T163="NorthBound","&gt;=","&lt;=")&amp;Y163,Variables!$P$2:$P$19,IF(T163="NorthBound","&lt;=","&gt;=")&amp;Z163))</f>
        <v>1</v>
      </c>
      <c r="V16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07:36:22-700',mode:absolute,to:'2016-12-11 09:55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3" s="52" t="str">
        <f t="shared" si="55"/>
        <v>N</v>
      </c>
      <c r="X163" s="177">
        <f t="shared" si="68"/>
        <v>1</v>
      </c>
      <c r="Y163" s="67">
        <f t="shared" si="56"/>
        <v>5.8639999999999999</v>
      </c>
      <c r="Z163" s="67">
        <f t="shared" si="57"/>
        <v>6.3799999999999996E-2</v>
      </c>
      <c r="AA163" s="67">
        <f t="shared" si="58"/>
        <v>5.8002000000000002</v>
      </c>
      <c r="AB163" s="64" t="e">
        <f>VLOOKUP(A163,Enforcements!$C$7:$K$20,8,0)</f>
        <v>#N/A</v>
      </c>
      <c r="AC163" s="60" t="e">
        <f>VLOOKUP(A163,Enforcements!$C$7:$E$20,3,0)</f>
        <v>#N/A</v>
      </c>
      <c r="AD163" s="61" t="str">
        <f t="shared" si="59"/>
        <v>1806-11</v>
      </c>
      <c r="AE163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63" s="88" t="str">
        <f t="shared" si="61"/>
        <v>"C:\Program Files (x86)\AstroGrep\AstroGrep.exe" /spath="%USERPROFILE%\AppData\Local\Temp\OnboardLogs" /stypes="app*4045*20161211*" /stext=" 15:.+((SYSTEM_STATE.+slice.+state.+changed )|(ment ac)|(multiple cpu faults)|(system.+state.+changed )|(\[timeout)|(PRM\|1\|D)|(kpr)|(kdp)|(\|lc)|(penalty))" /e /r /s</v>
      </c>
      <c r="AG163" s="1" t="str">
        <f t="shared" si="62"/>
        <v>NW</v>
      </c>
      <c r="AH163" s="92" t="str">
        <f t="shared" si="49"/>
        <v>"%USERPROFILE%\Documents\GitHub\eaglep3\Utilities\RefineRTDCRunTimes.py" --tripid 1806-11 --locoid 4045 --swversion DE.1.0.8.0 --startMP 300:58640 --initTime 2016-12-11T08:36:22 --startdatetime 2016-12-11T08:38:21 --delay 1 --endMP 204:638 --enddatetime 2016-12-11T08:55:36 --enforcementcount 1 &gt;&gt;C:\Users\stu\Documents\GitHub\eaglep3-reporting\EC\2016-12-11-refined-times.txt</v>
      </c>
      <c r="AI163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{"issue":{"subject":"","project_id":79,"tracker_id":40,"status_id":1,"priority_id":2,"assigned_to_id":23,"start_date":"2016-12-11","description":"","custom_fields":[{"id":1,"name":"Subdivision","value":"NW"},{"id":4,"name":"Milepost","value":"0.0638"},{"id":17,"name":"Train ID","value":"1806-11"},{"id":16,"name":"Locomotive ID","value":"4045"},{"id":130,"name":"Impact","value":""},{"id":150,"name":"Time of Event (Mountain Time)","value":"08:55:36"},{"id":151,"name":"Denver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3" s="53"/>
      <c r="AK163" s="53"/>
      <c r="AL163" s="53"/>
    </row>
    <row r="164" spans="1:91" s="21" customFormat="1" x14ac:dyDescent="0.25">
      <c r="A164" s="37" t="s">
        <v>533</v>
      </c>
      <c r="B164" s="7">
        <v>4046</v>
      </c>
      <c r="C164" s="22" t="s">
        <v>207</v>
      </c>
      <c r="D164" s="22" t="s">
        <v>728</v>
      </c>
      <c r="E164" s="13">
        <v>42715.38690972222</v>
      </c>
      <c r="F164" s="13">
        <v>42715.390011574076</v>
      </c>
      <c r="G164" s="7">
        <v>1</v>
      </c>
      <c r="H164" s="22" t="s">
        <v>434</v>
      </c>
      <c r="I164" s="13">
        <v>42715.399317129632</v>
      </c>
      <c r="J164" s="7">
        <v>1</v>
      </c>
      <c r="K164" s="109" t="str">
        <f t="shared" si="51"/>
        <v>4045/4046</v>
      </c>
      <c r="L164" s="22" t="str">
        <f>VLOOKUP(A164,'Trips&amp;Operators'!$C$1:$G$99999,5,FALSE)</f>
        <v>STARKS ANGELINA</v>
      </c>
      <c r="M164" s="6">
        <f t="shared" si="52"/>
        <v>9.3055555553291924E-3</v>
      </c>
      <c r="N164" s="7">
        <f t="shared" si="66"/>
        <v>13.399999999674037</v>
      </c>
      <c r="O164" s="7"/>
      <c r="P164" s="7"/>
      <c r="Q164" s="23"/>
      <c r="R164" s="23"/>
      <c r="S164" s="35">
        <f t="shared" si="67"/>
        <v>1</v>
      </c>
      <c r="T164" s="50" t="str">
        <f t="shared" si="53"/>
        <v>NorthBound</v>
      </c>
      <c r="U164" s="171">
        <f>IF(AG164="EC",COUNTIFS(Variables!$M$2:$M$19,IF(T164="NorthBound","&gt;=","&lt;=")&amp;Y164,Variables!$M$2:$M$19,IF(T164="NorthBound","&lt;=","&gt;=")&amp;Z164),COUNTIFS(Variables!$P$2:$P$19,IF(T164="NorthBound","&gt;=","&lt;=")&amp;Y164,Variables!$P$2:$P$19,IF(T164="NorthBound","&lt;=","&gt;=")&amp;Z164))</f>
        <v>1</v>
      </c>
      <c r="V16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08:17:09-700',mode:absolute,to:'2016-12-11 10:35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4" s="52" t="str">
        <f t="shared" si="55"/>
        <v>N</v>
      </c>
      <c r="X164" s="177">
        <f t="shared" si="68"/>
        <v>1</v>
      </c>
      <c r="Y164" s="67">
        <f t="shared" si="56"/>
        <v>9.4299999999999995E-2</v>
      </c>
      <c r="Z164" s="67">
        <f t="shared" si="57"/>
        <v>5.8958000000000004</v>
      </c>
      <c r="AA164" s="67">
        <f t="shared" si="58"/>
        <v>5.8015000000000008</v>
      </c>
      <c r="AB164" s="64" t="e">
        <f>VLOOKUP(A164,Enforcements!$C$7:$K$20,8,0)</f>
        <v>#N/A</v>
      </c>
      <c r="AC164" s="60" t="e">
        <f>VLOOKUP(A164,Enforcements!$C$7:$E$20,3,0)</f>
        <v>#N/A</v>
      </c>
      <c r="AD164" s="61" t="str">
        <f t="shared" si="59"/>
        <v>1807-11</v>
      </c>
      <c r="AE164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64" s="88" t="str">
        <f t="shared" si="61"/>
        <v>"C:\Program Files (x86)\AstroGrep\AstroGrep.exe" /spath="%USERPROFILE%\AppData\Local\Temp\OnboardLogs" /stypes="app*4046*20161211*" /stext=" 16:.+((SYSTEM_STATE.+slice.+state.+changed )|(ment ac)|(multiple cpu faults)|(system.+state.+changed )|(\[timeout)|(PRM\|1\|D)|(kpr)|(kdp)|(\|lc)|(penalty))" /e /r /s</v>
      </c>
      <c r="AG164" s="1" t="str">
        <f t="shared" si="62"/>
        <v>NW</v>
      </c>
      <c r="AH164" s="92" t="str">
        <f t="shared" si="49"/>
        <v>"%USERPROFILE%\Documents\GitHub\eaglep3\Utilities\RefineRTDCRunTimes.py" --tripid 1807-11 --locoid 4046 --swversion DE.1.0.8.0 --startMP 204:943 --initTime 2016-12-11T09:17:09 --startdatetime 2016-12-11T09:21:37 --delay 1 --endMP 300:58958 --enddatetime 2016-12-11T09:35:01 --enforcementcount 1 &gt;&gt;C:\Users\stu\Documents\GitHub\eaglep3-reporting\EC\2016-12-11-refined-times.txt</v>
      </c>
      <c r="AI164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{"issue":{"subject":"","project_id":79,"tracker_id":40,"status_id":1,"priority_id":2,"assigned_to_id":23,"start_date":"2016-12-11","description":"","custom_fields":[{"id":1,"name":"Subdivision","value":"NW"},{"id":4,"name":"Milepost","value":"5.8958"},{"id":17,"name":"Train ID","value":"1807-11"},{"id":16,"name":"Locomotive ID","value":"4046"},{"id":130,"name":"Impact","value":""},{"id":150,"name":"Time of Event (Mountain Time)","value":"09:35:01"},{"id":151,"name":"Denver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4" s="53"/>
      <c r="AK164" s="53"/>
      <c r="AL164" s="53"/>
      <c r="AM164"/>
      <c r="AN164"/>
      <c r="AO164"/>
      <c r="AP164"/>
      <c r="AQ164"/>
      <c r="AR164"/>
      <c r="AS164"/>
      <c r="AT164"/>
      <c r="AU164"/>
      <c r="AV164"/>
      <c r="AW164"/>
      <c r="AX164"/>
      <c r="AY164"/>
      <c r="AZ164"/>
      <c r="BA164"/>
      <c r="BB164"/>
      <c r="BC164"/>
      <c r="BD164"/>
      <c r="BE164"/>
      <c r="BF164"/>
      <c r="BG164"/>
      <c r="BH164"/>
      <c r="BI164"/>
      <c r="BJ164"/>
      <c r="BK164"/>
      <c r="BL164"/>
      <c r="BM164"/>
      <c r="BN164"/>
      <c r="BO164"/>
      <c r="BP164"/>
      <c r="BQ164"/>
      <c r="BR164"/>
      <c r="BS164"/>
      <c r="BT164"/>
      <c r="BU164"/>
      <c r="BV164"/>
      <c r="BW164"/>
      <c r="BX164"/>
      <c r="BY164"/>
      <c r="BZ164"/>
      <c r="CA164"/>
      <c r="CB164"/>
      <c r="CC164"/>
      <c r="CD164"/>
      <c r="CE164"/>
      <c r="CF164"/>
      <c r="CG164"/>
      <c r="CH164"/>
      <c r="CI164"/>
      <c r="CJ164"/>
      <c r="CK164"/>
      <c r="CL164"/>
      <c r="CM164"/>
    </row>
    <row r="165" spans="1:91" s="21" customFormat="1" x14ac:dyDescent="0.25">
      <c r="A165" s="37" t="s">
        <v>538</v>
      </c>
      <c r="B165" s="7">
        <v>4045</v>
      </c>
      <c r="C165" s="22" t="s">
        <v>207</v>
      </c>
      <c r="D165" s="22" t="s">
        <v>330</v>
      </c>
      <c r="E165" s="13">
        <v>42715.401643518519</v>
      </c>
      <c r="F165" s="13">
        <v>42715.403020833335</v>
      </c>
      <c r="G165" s="7">
        <v>1</v>
      </c>
      <c r="H165" s="22" t="s">
        <v>729</v>
      </c>
      <c r="I165" s="13">
        <v>42715.413240740738</v>
      </c>
      <c r="J165" s="7">
        <v>1</v>
      </c>
      <c r="K165" s="109" t="str">
        <f t="shared" si="51"/>
        <v>4045/4046</v>
      </c>
      <c r="L165" s="22" t="str">
        <f>VLOOKUP(A165,'Trips&amp;Operators'!$C$1:$G$99999,5,FALSE)</f>
        <v>STARKS ANGELINA</v>
      </c>
      <c r="M165" s="6">
        <f t="shared" si="52"/>
        <v>1.0219907402643003E-2</v>
      </c>
      <c r="N165" s="7">
        <f t="shared" si="66"/>
        <v>14.716666659805924</v>
      </c>
      <c r="O165" s="7"/>
      <c r="P165" s="7"/>
      <c r="Q165" s="23"/>
      <c r="R165" s="23"/>
      <c r="S165" s="35">
        <f t="shared" si="67"/>
        <v>1</v>
      </c>
      <c r="T165" s="50" t="str">
        <f t="shared" si="53"/>
        <v>Southbound</v>
      </c>
      <c r="U165" s="171">
        <f>IF(AG165="EC",COUNTIFS(Variables!$M$2:$M$19,IF(T165="NorthBound","&gt;=","&lt;=")&amp;Y165,Variables!$M$2:$M$19,IF(T165="NorthBound","&lt;=","&gt;=")&amp;Z165),COUNTIFS(Variables!$P$2:$P$19,IF(T165="NorthBound","&gt;=","&lt;=")&amp;Y165,Variables!$P$2:$P$19,IF(T165="NorthBound","&lt;=","&gt;=")&amp;Z165))</f>
        <v>1</v>
      </c>
      <c r="V16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08:38:22-700',mode:absolute,to:'2016-12-11 10:55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5" s="52" t="str">
        <f t="shared" si="55"/>
        <v>N</v>
      </c>
      <c r="X165" s="177">
        <f t="shared" si="68"/>
        <v>1</v>
      </c>
      <c r="Y165" s="67">
        <f t="shared" si="56"/>
        <v>5.8630000000000004</v>
      </c>
      <c r="Z165" s="67">
        <f t="shared" si="57"/>
        <v>7.2400000000000006E-2</v>
      </c>
      <c r="AA165" s="67">
        <f t="shared" si="58"/>
        <v>5.7906000000000004</v>
      </c>
      <c r="AB165" s="64" t="e">
        <f>VLOOKUP(A165,Enforcements!$C$7:$K$20,8,0)</f>
        <v>#N/A</v>
      </c>
      <c r="AC165" s="60" t="e">
        <f>VLOOKUP(A165,Enforcements!$C$7:$E$20,3,0)</f>
        <v>#N/A</v>
      </c>
      <c r="AD165" s="61" t="str">
        <f t="shared" si="59"/>
        <v>1808-11</v>
      </c>
      <c r="AE165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65" s="88" t="str">
        <f t="shared" si="61"/>
        <v>"C:\Program Files (x86)\AstroGrep\AstroGrep.exe" /spath="%USERPROFILE%\AppData\Local\Temp\OnboardLogs" /stypes="app*4045*20161211*" /stext=" 16:.+((SYSTEM_STATE.+slice.+state.+changed )|(ment ac)|(multiple cpu faults)|(system.+state.+changed )|(\[timeout)|(PRM\|1\|D)|(kpr)|(kdp)|(\|lc)|(penalty))" /e /r /s</v>
      </c>
      <c r="AG165" s="1" t="str">
        <f t="shared" si="62"/>
        <v>NW</v>
      </c>
      <c r="AH165" s="92" t="str">
        <f t="shared" si="49"/>
        <v>"%USERPROFILE%\Documents\GitHub\eaglep3\Utilities\RefineRTDCRunTimes.py" --tripid 1808-11 --locoid 4045 --swversion DE.1.0.8.0 --startMP 300:58630 --initTime 2016-12-11T09:38:22 --startdatetime 2016-12-11T09:40:21 --delay 1 --endMP 204:724 --enddatetime 2016-12-11T09:55:04 --enforcementcount 1 &gt;&gt;C:\Users\stu\Documents\GitHub\eaglep3-reporting\EC\2016-12-11-refined-times.txt</v>
      </c>
      <c r="AI165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{"issue":{"subject":"","project_id":79,"tracker_id":40,"status_id":1,"priority_id":2,"assigned_to_id":23,"start_date":"2016-12-11","description":"","custom_fields":[{"id":1,"name":"Subdivision","value":"NW"},{"id":4,"name":"Milepost","value":"0.0724"},{"id":17,"name":"Train ID","value":"1808-11"},{"id":16,"name":"Locomotive ID","value":"4045"},{"id":130,"name":"Impact","value":""},{"id":150,"name":"Time of Event (Mountain Time)","value":"09:55:04"},{"id":151,"name":"Denver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5" s="53"/>
      <c r="AK165" s="53"/>
      <c r="AL165" s="53"/>
      <c r="AM165"/>
      <c r="AN165"/>
      <c r="AO165"/>
      <c r="AP165"/>
      <c r="AQ165"/>
      <c r="AR165"/>
      <c r="AS165"/>
      <c r="AT165"/>
      <c r="AU165"/>
      <c r="AV165"/>
      <c r="AW165"/>
      <c r="AX165"/>
      <c r="AY165"/>
      <c r="AZ165"/>
      <c r="BA165"/>
      <c r="BB165"/>
      <c r="BC165"/>
      <c r="BD165"/>
      <c r="BE165"/>
      <c r="BF165"/>
      <c r="BG165"/>
      <c r="BH165"/>
      <c r="BI165"/>
      <c r="BJ165"/>
      <c r="BK165"/>
      <c r="BL165"/>
      <c r="BM165"/>
      <c r="BN165"/>
      <c r="BO165"/>
      <c r="BP165"/>
      <c r="BQ165"/>
      <c r="BR165"/>
      <c r="BS165"/>
      <c r="BT165"/>
      <c r="BU165"/>
      <c r="BV165"/>
      <c r="BW165"/>
      <c r="BX165"/>
      <c r="BY165"/>
      <c r="BZ165"/>
      <c r="CA165"/>
      <c r="CB165"/>
      <c r="CC165"/>
      <c r="CD165"/>
      <c r="CE165"/>
      <c r="CF165"/>
      <c r="CG165"/>
      <c r="CH165"/>
      <c r="CI165"/>
      <c r="CJ165"/>
      <c r="CK165"/>
      <c r="CL165"/>
      <c r="CM165"/>
    </row>
    <row r="166" spans="1:91" s="21" customFormat="1" x14ac:dyDescent="0.25">
      <c r="A166" s="37" t="s">
        <v>543</v>
      </c>
      <c r="B166" s="7">
        <v>4046</v>
      </c>
      <c r="C166" s="22" t="s">
        <v>207</v>
      </c>
      <c r="D166" s="22" t="s">
        <v>730</v>
      </c>
      <c r="E166" s="13">
        <v>42715.429224537038</v>
      </c>
      <c r="F166" s="13">
        <v>42715.43141203704</v>
      </c>
      <c r="G166" s="7">
        <v>1</v>
      </c>
      <c r="H166" s="22" t="s">
        <v>428</v>
      </c>
      <c r="I166" s="13">
        <v>42715.440868055557</v>
      </c>
      <c r="J166" s="7">
        <v>1</v>
      </c>
      <c r="K166" s="109" t="str">
        <f t="shared" si="51"/>
        <v>4045/4046</v>
      </c>
      <c r="L166" s="22" t="str">
        <f>VLOOKUP(A166,'Trips&amp;Operators'!$C$1:$G$99999,5,FALSE)</f>
        <v>STARKS ANGELINA</v>
      </c>
      <c r="M166" s="6">
        <f t="shared" si="52"/>
        <v>9.4560185170848854E-3</v>
      </c>
      <c r="N166" s="7">
        <f t="shared" si="66"/>
        <v>13.616666664602235</v>
      </c>
      <c r="O166" s="7"/>
      <c r="P166" s="7"/>
      <c r="Q166" s="23"/>
      <c r="R166" s="23"/>
      <c r="S166" s="35">
        <f t="shared" si="67"/>
        <v>1</v>
      </c>
      <c r="T166" s="50" t="str">
        <f t="shared" si="53"/>
        <v>NorthBound</v>
      </c>
      <c r="U166" s="171">
        <f>IF(AG166="EC",COUNTIFS(Variables!$M$2:$M$19,IF(T166="NorthBound","&gt;=","&lt;=")&amp;Y166,Variables!$M$2:$M$19,IF(T166="NorthBound","&lt;=","&gt;=")&amp;Z166),COUNTIFS(Variables!$P$2:$P$19,IF(T166="NorthBound","&gt;=","&lt;=")&amp;Y166,Variables!$P$2:$P$19,IF(T166="NorthBound","&lt;=","&gt;=")&amp;Z166))</f>
        <v>1</v>
      </c>
      <c r="V16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09:18:05-700',mode:absolute,to:'2016-12-11 11:34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6" s="52" t="str">
        <f t="shared" si="55"/>
        <v>N</v>
      </c>
      <c r="X166" s="177">
        <f t="shared" si="68"/>
        <v>1</v>
      </c>
      <c r="Y166" s="67">
        <f t="shared" si="56"/>
        <v>0.1013</v>
      </c>
      <c r="Z166" s="67">
        <f t="shared" si="57"/>
        <v>5.8952</v>
      </c>
      <c r="AA166" s="67">
        <f t="shared" si="58"/>
        <v>5.7938999999999998</v>
      </c>
      <c r="AB166" s="64" t="e">
        <f>VLOOKUP(A166,Enforcements!$C$7:$K$20,8,0)</f>
        <v>#N/A</v>
      </c>
      <c r="AC166" s="60" t="e">
        <f>VLOOKUP(A166,Enforcements!$C$7:$E$20,3,0)</f>
        <v>#N/A</v>
      </c>
      <c r="AD166" s="61" t="str">
        <f t="shared" si="59"/>
        <v>1809-11</v>
      </c>
      <c r="AE166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66" s="88" t="str">
        <f t="shared" si="61"/>
        <v>"C:\Program Files (x86)\AstroGrep\AstroGrep.exe" /spath="%USERPROFILE%\AppData\Local\Temp\OnboardLogs" /stypes="app*4046*20161211*" /stext=" 17:.+((SYSTEM_STATE.+slice.+state.+changed )|(ment ac)|(multiple cpu faults)|(system.+state.+changed )|(\[timeout)|(PRM\|1\|D)|(kpr)|(kdp)|(\|lc)|(penalty))" /e /r /s</v>
      </c>
      <c r="AG166" s="1" t="str">
        <f t="shared" si="62"/>
        <v>NW</v>
      </c>
      <c r="AH166" s="92" t="str">
        <f t="shared" si="49"/>
        <v>"%USERPROFILE%\Documents\GitHub\eaglep3\Utilities\RefineRTDCRunTimes.py" --tripid 1809-11 --locoid 4046 --swversion DE.1.0.8.0 --startMP 204:1013 --initTime 2016-12-11T10:18:05 --startdatetime 2016-12-11T10:21:14 --delay 1 --endMP 300:58952 --enddatetime 2016-12-11T10:34:51 --enforcementcount 1 &gt;&gt;C:\Users\stu\Documents\GitHub\eaglep3-reporting\EC\2016-12-11-refined-times.txt</v>
      </c>
      <c r="AI166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{"issue":{"subject":"","project_id":79,"tracker_id":40,"status_id":1,"priority_id":2,"assigned_to_id":23,"start_date":"2016-12-11","description":"","custom_fields":[{"id":1,"name":"Subdivision","value":"NW"},{"id":4,"name":"Milepost","value":"5.8952"},{"id":17,"name":"Train ID","value":"1809-11"},{"id":16,"name":"Locomotive ID","value":"4046"},{"id":130,"name":"Impact","value":""},{"id":150,"name":"Time of Event (Mountain Time)","value":"10:34:51"},{"id":151,"name":"Denver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6" s="53"/>
      <c r="AK166" s="53"/>
      <c r="AL166" s="53"/>
      <c r="AM166"/>
      <c r="AN166"/>
      <c r="AO166"/>
      <c r="AP166"/>
      <c r="AQ166"/>
      <c r="AR166"/>
      <c r="AS166"/>
      <c r="AT166"/>
      <c r="AU166"/>
      <c r="AV166"/>
      <c r="AW166"/>
      <c r="AX166"/>
      <c r="AY166"/>
      <c r="AZ166"/>
      <c r="BA166"/>
      <c r="BB166"/>
      <c r="BC166"/>
      <c r="BD166"/>
      <c r="BE166"/>
      <c r="BF166"/>
      <c r="BG166"/>
      <c r="BH166"/>
      <c r="BI166"/>
      <c r="BJ166"/>
      <c r="BK166"/>
      <c r="BL166"/>
      <c r="BM166"/>
      <c r="BN166"/>
      <c r="BO166"/>
      <c r="BP166"/>
      <c r="BQ166"/>
      <c r="BR166"/>
      <c r="BS166"/>
      <c r="BT166"/>
      <c r="BU166"/>
      <c r="BV166"/>
      <c r="BW166"/>
      <c r="BX166"/>
      <c r="BY166"/>
      <c r="BZ166"/>
      <c r="CA166"/>
      <c r="CB166"/>
      <c r="CC166"/>
      <c r="CD166"/>
      <c r="CE166"/>
      <c r="CF166"/>
      <c r="CG166"/>
      <c r="CH166"/>
      <c r="CI166"/>
      <c r="CJ166"/>
      <c r="CK166"/>
      <c r="CL166"/>
      <c r="CM166"/>
    </row>
    <row r="167" spans="1:91" s="21" customFormat="1" x14ac:dyDescent="0.25">
      <c r="A167" s="37" t="s">
        <v>458</v>
      </c>
      <c r="B167" s="7">
        <v>4045</v>
      </c>
      <c r="C167" s="22" t="s">
        <v>207</v>
      </c>
      <c r="D167" s="22" t="s">
        <v>368</v>
      </c>
      <c r="E167" s="13">
        <v>42715.441967592589</v>
      </c>
      <c r="F167" s="13">
        <v>42715.443541666667</v>
      </c>
      <c r="G167" s="7">
        <v>1</v>
      </c>
      <c r="H167" s="22" t="s">
        <v>731</v>
      </c>
      <c r="I167" s="13">
        <v>42715.456423611111</v>
      </c>
      <c r="J167" s="7">
        <v>1</v>
      </c>
      <c r="K167" s="109" t="str">
        <f t="shared" si="51"/>
        <v>4045/4046</v>
      </c>
      <c r="L167" s="22" t="str">
        <f>VLOOKUP(A167,'Trips&amp;Operators'!$C$1:$G$99999,5,FALSE)</f>
        <v>STARKS ANGELINA</v>
      </c>
      <c r="M167" s="6">
        <f t="shared" si="52"/>
        <v>1.2881944443506654E-2</v>
      </c>
      <c r="N167" s="7">
        <f t="shared" si="66"/>
        <v>18.549999998649582</v>
      </c>
      <c r="O167" s="7"/>
      <c r="P167" s="7"/>
      <c r="Q167" s="23"/>
      <c r="R167" s="23"/>
      <c r="S167" s="35">
        <f t="shared" si="67"/>
        <v>1</v>
      </c>
      <c r="T167" s="50" t="str">
        <f t="shared" si="53"/>
        <v>Southbound</v>
      </c>
      <c r="U167" s="171">
        <f>IF(AG167="EC",COUNTIFS(Variables!$M$2:$M$19,IF(T167="NorthBound","&gt;=","&lt;=")&amp;Y167,Variables!$M$2:$M$19,IF(T167="NorthBound","&lt;=","&gt;=")&amp;Z167),COUNTIFS(Variables!$P$2:$P$19,IF(T167="NorthBound","&gt;=","&lt;=")&amp;Y167,Variables!$P$2:$P$19,IF(T167="NorthBound","&lt;=","&gt;=")&amp;Z167))</f>
        <v>1</v>
      </c>
      <c r="V16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09:36:26-700',mode:absolute,to:'2016-12-11 11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7" s="52" t="str">
        <f t="shared" si="55"/>
        <v>N</v>
      </c>
      <c r="X167" s="177">
        <f t="shared" si="68"/>
        <v>1</v>
      </c>
      <c r="Y167" s="67">
        <f t="shared" si="56"/>
        <v>5.8632</v>
      </c>
      <c r="Z167" s="67">
        <f t="shared" si="57"/>
        <v>7.0599999999999996E-2</v>
      </c>
      <c r="AA167" s="67">
        <f t="shared" si="58"/>
        <v>5.7926000000000002</v>
      </c>
      <c r="AB167" s="64" t="e">
        <f>VLOOKUP(A167,Enforcements!$C$7:$K$20,8,0)</f>
        <v>#N/A</v>
      </c>
      <c r="AC167" s="60" t="e">
        <f>VLOOKUP(A167,Enforcements!$C$7:$E$20,3,0)</f>
        <v>#N/A</v>
      </c>
      <c r="AD167" s="61" t="str">
        <f t="shared" si="59"/>
        <v>1810-11</v>
      </c>
      <c r="AE167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67" s="88" t="str">
        <f t="shared" si="61"/>
        <v>"C:\Program Files (x86)\AstroGrep\AstroGrep.exe" /spath="%USERPROFILE%\AppData\Local\Temp\OnboardLogs" /stypes="app*4045*20161211*" /stext=" 17:.+((SYSTEM_STATE.+slice.+state.+changed )|(ment ac)|(multiple cpu faults)|(system.+state.+changed )|(\[timeout)|(PRM\|1\|D)|(kpr)|(kdp)|(\|lc)|(penalty))" /e /r /s</v>
      </c>
      <c r="AG167" s="1" t="str">
        <f t="shared" si="62"/>
        <v>NW</v>
      </c>
      <c r="AH167" s="92" t="str">
        <f t="shared" si="49"/>
        <v>"%USERPROFILE%\Documents\GitHub\eaglep3\Utilities\RefineRTDCRunTimes.py" --tripid 1810-11 --locoid 4045 --swversion DE.1.0.8.0 --startMP 300:58632 --initTime 2016-12-11T10:36:26 --startdatetime 2016-12-11T10:38:42 --delay 1 --endMP 204:706 --enddatetime 2016-12-11T10:57:15 --enforcementcount 1 &gt;&gt;C:\Users\stu\Documents\GitHub\eaglep3-reporting\EC\2016-12-11-refined-times.txt</v>
      </c>
      <c r="AI167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{"issue":{"subject":"","project_id":79,"tracker_id":40,"status_id":1,"priority_id":2,"assigned_to_id":23,"start_date":"2016-12-11","description":"","custom_fields":[{"id":1,"name":"Subdivision","value":"NW"},{"id":4,"name":"Milepost","value":"0.0706"},{"id":17,"name":"Train ID","value":"1810-11"},{"id":16,"name":"Locomotive ID","value":"4045"},{"id":130,"name":"Impact","value":""},{"id":150,"name":"Time of Event (Mountain Time)","value":"10:57:15"},{"id":151,"name":"Denver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7" s="53"/>
      <c r="AK167" s="53"/>
      <c r="AL167" s="53"/>
      <c r="AM167"/>
      <c r="AN167"/>
      <c r="AO167"/>
      <c r="AP167"/>
      <c r="AQ167"/>
      <c r="AR167"/>
      <c r="AS167"/>
      <c r="AT167"/>
      <c r="AU167"/>
      <c r="AV167"/>
      <c r="AW167"/>
      <c r="AX167"/>
      <c r="AY167"/>
      <c r="AZ167"/>
      <c r="BA167"/>
      <c r="BB167"/>
      <c r="BC167"/>
      <c r="BD167"/>
      <c r="BE167"/>
      <c r="BF167"/>
      <c r="BG167"/>
      <c r="BH167"/>
      <c r="BI167"/>
      <c r="BJ167"/>
      <c r="BK167"/>
      <c r="BL167"/>
      <c r="BM167"/>
      <c r="BN167"/>
      <c r="BO167"/>
      <c r="BP167"/>
      <c r="BQ167"/>
      <c r="BR167"/>
      <c r="BS167"/>
      <c r="BT167"/>
      <c r="BU167"/>
      <c r="BV167"/>
      <c r="BW167"/>
      <c r="BX167"/>
      <c r="BY167"/>
      <c r="BZ167"/>
      <c r="CA167"/>
      <c r="CB167"/>
      <c r="CC167"/>
      <c r="CD167"/>
      <c r="CE167"/>
      <c r="CF167"/>
      <c r="CG167"/>
      <c r="CH167"/>
      <c r="CI167"/>
      <c r="CJ167"/>
      <c r="CK167"/>
      <c r="CL167"/>
      <c r="CM167"/>
    </row>
    <row r="168" spans="1:91" s="21" customFormat="1" x14ac:dyDescent="0.25">
      <c r="A168" s="37" t="s">
        <v>554</v>
      </c>
      <c r="B168" s="7">
        <v>4046</v>
      </c>
      <c r="C168" s="22" t="s">
        <v>207</v>
      </c>
      <c r="D168" s="22" t="s">
        <v>732</v>
      </c>
      <c r="E168" s="13">
        <v>42715.47146990741</v>
      </c>
      <c r="F168" s="13">
        <v>42715.473090277781</v>
      </c>
      <c r="G168" s="7">
        <v>1</v>
      </c>
      <c r="H168" s="22" t="s">
        <v>295</v>
      </c>
      <c r="I168" s="13">
        <v>42715.482442129629</v>
      </c>
      <c r="J168" s="7">
        <v>1</v>
      </c>
      <c r="K168" s="109" t="str">
        <f t="shared" si="51"/>
        <v>4045/4046</v>
      </c>
      <c r="L168" s="22" t="str">
        <f>VLOOKUP(A168,'Trips&amp;Operators'!$C$1:$G$99999,5,FALSE)</f>
        <v>STARKS ANGELINA</v>
      </c>
      <c r="M168" s="6">
        <f t="shared" si="52"/>
        <v>9.3518518478958867E-3</v>
      </c>
      <c r="N168" s="7">
        <f t="shared" si="66"/>
        <v>13.466666660970077</v>
      </c>
      <c r="O168" s="7"/>
      <c r="P168" s="7"/>
      <c r="Q168" s="23"/>
      <c r="R168" s="23"/>
      <c r="S168" s="35">
        <f t="shared" si="67"/>
        <v>1</v>
      </c>
      <c r="T168" s="50" t="str">
        <f t="shared" si="53"/>
        <v>NorthBound</v>
      </c>
      <c r="U168" s="171">
        <f>IF(AG168="EC",COUNTIFS(Variables!$M$2:$M$19,IF(T168="NorthBound","&gt;=","&lt;=")&amp;Y168,Variables!$M$2:$M$19,IF(T168="NorthBound","&lt;=","&gt;=")&amp;Z168),COUNTIFS(Variables!$P$2:$P$19,IF(T168="NorthBound","&gt;=","&lt;=")&amp;Y168,Variables!$P$2:$P$19,IF(T168="NorthBound","&lt;=","&gt;=")&amp;Z168))</f>
        <v>1</v>
      </c>
      <c r="V16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10:18:55-700',mode:absolute,to:'2016-12-11 12:34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68" s="52" t="str">
        <f t="shared" si="55"/>
        <v>N</v>
      </c>
      <c r="X168" s="177">
        <f t="shared" si="68"/>
        <v>1</v>
      </c>
      <c r="Y168" s="67">
        <f t="shared" si="56"/>
        <v>0.1002</v>
      </c>
      <c r="Z168" s="67">
        <f t="shared" si="57"/>
        <v>5.8943000000000003</v>
      </c>
      <c r="AA168" s="67">
        <f t="shared" si="58"/>
        <v>5.7941000000000003</v>
      </c>
      <c r="AB168" s="64" t="e">
        <f>VLOOKUP(A168,Enforcements!$C$7:$K$20,8,0)</f>
        <v>#N/A</v>
      </c>
      <c r="AC168" s="60" t="e">
        <f>VLOOKUP(A168,Enforcements!$C$7:$E$20,3,0)</f>
        <v>#N/A</v>
      </c>
      <c r="AD168" s="61" t="str">
        <f t="shared" si="59"/>
        <v>1811-11</v>
      </c>
      <c r="AE168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68" s="88" t="str">
        <f t="shared" si="61"/>
        <v>"C:\Program Files (x86)\AstroGrep\AstroGrep.exe" /spath="%USERPROFILE%\AppData\Local\Temp\OnboardLogs" /stypes="app*4046*20161211*" /stext=" 18:.+((SYSTEM_STATE.+slice.+state.+changed )|(ment ac)|(multiple cpu faults)|(system.+state.+changed )|(\[timeout)|(PRM\|1\|D)|(kpr)|(kdp)|(\|lc)|(penalty))" /e /r /s</v>
      </c>
      <c r="AG168" s="1" t="str">
        <f t="shared" si="62"/>
        <v>NW</v>
      </c>
      <c r="AH168" s="92" t="str">
        <f t="shared" si="49"/>
        <v>"%USERPROFILE%\Documents\GitHub\eaglep3\Utilities\RefineRTDCRunTimes.py" --tripid 1811-11 --locoid 4046 --swversion DE.1.0.8.0 --startMP 204:1002 --initTime 2016-12-11T11:18:55 --startdatetime 2016-12-11T11:21:15 --delay 1 --endMP 300:58943 --enddatetime 2016-12-11T11:34:43 --enforcementcount 1 &gt;&gt;C:\Users\stu\Documents\GitHub\eaglep3-reporting\EC\2016-12-11-refined-times.txt</v>
      </c>
      <c r="AI168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{"issue":{"subject":"","project_id":79,"tracker_id":40,"status_id":1,"priority_id":2,"assigned_to_id":23,"start_date":"2016-12-11","description":"","custom_fields":[{"id":1,"name":"Subdivision","value":"NW"},{"id":4,"name":"Milepost","value":"5.8943"},{"id":17,"name":"Train ID","value":"1811-11"},{"id":16,"name":"Locomotive ID","value":"4046"},{"id":130,"name":"Impact","value":""},{"id":150,"name":"Time of Event (Mountain Time)","value":"11:34:43"},{"id":151,"name":"Denver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8" s="53"/>
      <c r="AK168" s="53"/>
      <c r="AL168" s="53"/>
      <c r="AM168"/>
      <c r="AN168"/>
      <c r="AO168"/>
      <c r="AP168"/>
      <c r="AQ168"/>
      <c r="AR168"/>
      <c r="AS168"/>
      <c r="AT168"/>
      <c r="AU168"/>
      <c r="AV168"/>
      <c r="AW168"/>
      <c r="AX168"/>
      <c r="AY168"/>
      <c r="AZ168"/>
      <c r="BA168"/>
      <c r="BB168"/>
      <c r="BC168"/>
      <c r="BD168"/>
      <c r="BE168"/>
      <c r="BF168"/>
      <c r="BG168"/>
      <c r="BH168"/>
      <c r="BI168"/>
      <c r="BJ168"/>
      <c r="BK168"/>
      <c r="BL168"/>
      <c r="BM168"/>
      <c r="BN168"/>
      <c r="BO168"/>
      <c r="BP168"/>
      <c r="BQ168"/>
      <c r="BR168"/>
      <c r="BS168"/>
      <c r="BT168"/>
      <c r="BU168"/>
      <c r="BV168"/>
      <c r="BW168"/>
      <c r="BX168"/>
      <c r="BY168"/>
      <c r="BZ168"/>
      <c r="CA168"/>
      <c r="CB168"/>
      <c r="CC168"/>
      <c r="CD168"/>
      <c r="CE168"/>
      <c r="CF168"/>
      <c r="CG168"/>
      <c r="CH168"/>
      <c r="CI168"/>
      <c r="CJ168"/>
      <c r="CK168"/>
      <c r="CL168"/>
      <c r="CM168"/>
    </row>
    <row r="169" spans="1:91" x14ac:dyDescent="0.25">
      <c r="A169" s="37" t="s">
        <v>557</v>
      </c>
      <c r="B169" s="7">
        <v>4045</v>
      </c>
      <c r="C169" s="22" t="s">
        <v>207</v>
      </c>
      <c r="D169" s="22" t="s">
        <v>733</v>
      </c>
      <c r="E169" s="13">
        <v>42715.483356481483</v>
      </c>
      <c r="F169" s="13">
        <v>42715.485023148147</v>
      </c>
      <c r="G169" s="7">
        <v>1</v>
      </c>
      <c r="H169" s="22" t="s">
        <v>427</v>
      </c>
      <c r="I169" s="13">
        <v>42715.497418981482</v>
      </c>
      <c r="J169" s="7">
        <v>1</v>
      </c>
      <c r="K169" s="109" t="str">
        <f t="shared" si="51"/>
        <v>4045/4046</v>
      </c>
      <c r="L169" s="22" t="str">
        <f>VLOOKUP(A169,'Trips&amp;Operators'!$C$1:$G$99999,5,FALSE)</f>
        <v>STARKS ANGELINA</v>
      </c>
      <c r="M169" s="6">
        <f t="shared" si="52"/>
        <v>1.2395833335176576E-2</v>
      </c>
      <c r="N169" s="7">
        <f t="shared" si="66"/>
        <v>17.850000002654269</v>
      </c>
      <c r="O169" s="7"/>
      <c r="P169" s="7"/>
      <c r="Q169" s="23"/>
      <c r="R169" s="23"/>
      <c r="S169" s="35">
        <f t="shared" si="67"/>
        <v>1</v>
      </c>
      <c r="T169" s="50" t="str">
        <f t="shared" si="53"/>
        <v>Southbound</v>
      </c>
      <c r="U169" s="171">
        <f>IF(AG169="EC",COUNTIFS(Variables!$M$2:$M$19,IF(T169="NorthBound","&gt;=","&lt;=")&amp;Y169,Variables!$M$2:$M$19,IF(T169="NorthBound","&lt;=","&gt;=")&amp;Z169),COUNTIFS(Variables!$P$2:$P$19,IF(T169="NorthBound","&gt;=","&lt;=")&amp;Y169,Variables!$P$2:$P$19,IF(T169="NorthBound","&lt;=","&gt;=")&amp;Z169))</f>
        <v>1</v>
      </c>
      <c r="V16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10:36:02-700',mode:absolute,to:'2016-12-11 12:56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69" s="52" t="str">
        <f t="shared" si="55"/>
        <v>N</v>
      </c>
      <c r="X169" s="177">
        <f t="shared" si="68"/>
        <v>1</v>
      </c>
      <c r="Y169" s="67">
        <f t="shared" si="56"/>
        <v>5.8625999999999996</v>
      </c>
      <c r="Z169" s="67">
        <f t="shared" si="57"/>
        <v>7.3599999999999999E-2</v>
      </c>
      <c r="AA169" s="67">
        <f t="shared" si="58"/>
        <v>5.7889999999999997</v>
      </c>
      <c r="AB169" s="64" t="e">
        <f>VLOOKUP(A169,Enforcements!$C$7:$K$20,8,0)</f>
        <v>#N/A</v>
      </c>
      <c r="AC169" s="60" t="e">
        <f>VLOOKUP(A169,Enforcements!$C$7:$E$20,3,0)</f>
        <v>#N/A</v>
      </c>
      <c r="AD169" s="61" t="str">
        <f t="shared" si="59"/>
        <v>1812-11</v>
      </c>
      <c r="AE169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69" s="88" t="str">
        <f t="shared" si="61"/>
        <v>"C:\Program Files (x86)\AstroGrep\AstroGrep.exe" /spath="%USERPROFILE%\AppData\Local\Temp\OnboardLogs" /stypes="app*4045*20161211*" /stext=" 18:.+((SYSTEM_STATE.+slice.+state.+changed )|(ment ac)|(multiple cpu faults)|(system.+state.+changed )|(\[timeout)|(PRM\|1\|D)|(kpr)|(kdp)|(\|lc)|(penalty))" /e /r /s</v>
      </c>
      <c r="AG169" s="1" t="str">
        <f t="shared" si="62"/>
        <v>NW</v>
      </c>
      <c r="AH169" s="92" t="str">
        <f t="shared" si="49"/>
        <v>"%USERPROFILE%\Documents\GitHub\eaglep3\Utilities\RefineRTDCRunTimes.py" --tripid 1812-11 --locoid 4045 --swversion DE.1.0.8.0 --startMP 300:58626 --initTime 2016-12-11T11:36:02 --startdatetime 2016-12-11T11:38:26 --delay 1 --endMP 204:736 --enddatetime 2016-12-11T11:56:17 --enforcementcount 1 &gt;&gt;C:\Users\stu\Documents\GitHub\eaglep3-reporting\EC\2016-12-11-refined-times.txt</v>
      </c>
      <c r="AI169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{"issue":{"subject":"","project_id":79,"tracker_id":40,"status_id":1,"priority_id":2,"assigned_to_id":23,"start_date":"2016-12-11","description":"","custom_fields":[{"id":1,"name":"Subdivision","value":"NW"},{"id":4,"name":"Milepost","value":"0.0736"},{"id":17,"name":"Train ID","value":"1812-11"},{"id":16,"name":"Locomotive ID","value":"4045"},{"id":130,"name":"Impact","value":""},{"id":150,"name":"Time of Event (Mountain Time)","value":"11:56:17"},{"id":151,"name":"Denver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69" s="53"/>
      <c r="AK169" s="53"/>
      <c r="AL169" s="53"/>
    </row>
    <row r="170" spans="1:91" x14ac:dyDescent="0.25">
      <c r="A170" s="37" t="s">
        <v>566</v>
      </c>
      <c r="B170" s="7">
        <v>4046</v>
      </c>
      <c r="C170" s="22" t="s">
        <v>207</v>
      </c>
      <c r="D170" s="22" t="s">
        <v>734</v>
      </c>
      <c r="E170" s="13">
        <v>42715.512175925927</v>
      </c>
      <c r="F170" s="13">
        <v>42715.514999999999</v>
      </c>
      <c r="G170" s="7">
        <v>0</v>
      </c>
      <c r="H170" s="22" t="s">
        <v>295</v>
      </c>
      <c r="I170" s="13">
        <v>42715.52412037037</v>
      </c>
      <c r="J170" s="7">
        <v>1</v>
      </c>
      <c r="K170" s="109" t="str">
        <f t="shared" si="51"/>
        <v>4045/4046</v>
      </c>
      <c r="L170" s="22" t="str">
        <f>VLOOKUP(A170,'Trips&amp;Operators'!$C$1:$G$99999,5,FALSE)</f>
        <v>STARKS ANGELINA</v>
      </c>
      <c r="M170" s="6">
        <f t="shared" si="52"/>
        <v>9.1203703705104999E-3</v>
      </c>
      <c r="N170" s="7">
        <f t="shared" si="66"/>
        <v>13.13333333353512</v>
      </c>
      <c r="O170" s="7"/>
      <c r="P170" s="7"/>
      <c r="Q170" s="23"/>
      <c r="R170" s="23"/>
      <c r="S170" s="35">
        <f t="shared" si="67"/>
        <v>1</v>
      </c>
      <c r="T170" s="50" t="str">
        <f t="shared" si="53"/>
        <v>NorthBound</v>
      </c>
      <c r="U170" s="171">
        <f>IF(AG170="EC",COUNTIFS(Variables!$M$2:$M$19,IF(T170="NorthBound","&gt;=","&lt;=")&amp;Y170,Variables!$M$2:$M$19,IF(T170="NorthBound","&lt;=","&gt;=")&amp;Z170),COUNTIFS(Variables!$P$2:$P$19,IF(T170="NorthBound","&gt;=","&lt;=")&amp;Y170,Variables!$P$2:$P$19,IF(T170="NorthBound","&lt;=","&gt;=")&amp;Z170))</f>
        <v>1</v>
      </c>
      <c r="V17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11:17:32-700',mode:absolute,to:'2016-12-11 13:34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0" s="52" t="str">
        <f t="shared" si="55"/>
        <v>N</v>
      </c>
      <c r="X170" s="177">
        <f t="shared" si="68"/>
        <v>1</v>
      </c>
      <c r="Y170" s="67">
        <f t="shared" si="56"/>
        <v>0.1016</v>
      </c>
      <c r="Z170" s="67">
        <f t="shared" si="57"/>
        <v>5.8943000000000003</v>
      </c>
      <c r="AA170" s="67">
        <f t="shared" si="58"/>
        <v>5.7927</v>
      </c>
      <c r="AB170" s="64" t="e">
        <f>VLOOKUP(A170,Enforcements!$C$7:$K$20,8,0)</f>
        <v>#N/A</v>
      </c>
      <c r="AC170" s="60" t="e">
        <f>VLOOKUP(A170,Enforcements!$C$7:$E$20,3,0)</f>
        <v>#N/A</v>
      </c>
      <c r="AD170" s="61" t="str">
        <f t="shared" si="59"/>
        <v>1813-11</v>
      </c>
      <c r="AE170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70" s="88" t="str">
        <f t="shared" si="61"/>
        <v>"C:\Program Files (x86)\AstroGrep\AstroGrep.exe" /spath="%USERPROFILE%\AppData\Local\Temp\OnboardLogs" /stypes="app*4046*20161211*" /stext=" 19:.+((SYSTEM_STATE.+slice.+state.+changed )|(ment ac)|(multiple cpu faults)|(system.+state.+changed )|(\[timeout)|(PRM\|1\|D)|(kpr)|(kdp)|(\|lc)|(penalty))" /e /r /s</v>
      </c>
      <c r="AG170" s="1" t="str">
        <f t="shared" si="62"/>
        <v>NW</v>
      </c>
      <c r="AH170" s="92" t="str">
        <f t="shared" si="49"/>
        <v>"%USERPROFILE%\Documents\GitHub\eaglep3\Utilities\RefineRTDCRunTimes.py" --tripid 1813-11 --locoid 4046 --swversion DE.1.0.8.0 --startMP 204:1016 --initTime 2016-12-11T12:17:32 --startdatetime 2016-12-11T12:21:36 --delay 0 --endMP 300:58943 --enddatetime 2016-12-11T12:34:44 --enforcementcount 1 &gt;&gt;C:\Users\stu\Documents\GitHub\eaglep3-reporting\EC\2016-12-11-refined-times.txt</v>
      </c>
      <c r="AI170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{"issue":{"subject":"","project_id":79,"tracker_id":40,"status_id":1,"priority_id":2,"assigned_to_id":23,"start_date":"2016-12-11","description":"","custom_fields":[{"id":1,"name":"Subdivision","value":"NW"},{"id":4,"name":"Milepost","value":"5.8943"},{"id":17,"name":"Train ID","value":"1813-11"},{"id":16,"name":"Locomotive ID","value":"4046"},{"id":130,"name":"Impact","value":""},{"id":150,"name":"Time of Event (Mountain Time)","value":"12:34:44"},{"id":151,"name":"Denver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0" s="53"/>
      <c r="AK170" s="53"/>
      <c r="AL170" s="53"/>
    </row>
    <row r="171" spans="1:91" x14ac:dyDescent="0.25">
      <c r="A171" s="37" t="s">
        <v>570</v>
      </c>
      <c r="B171" s="7">
        <v>4045</v>
      </c>
      <c r="C171" s="22" t="s">
        <v>207</v>
      </c>
      <c r="D171" s="22" t="s">
        <v>430</v>
      </c>
      <c r="E171" s="13">
        <v>42715.525173611109</v>
      </c>
      <c r="F171" s="13">
        <v>42715.526412037034</v>
      </c>
      <c r="G171" s="7">
        <v>1</v>
      </c>
      <c r="H171" s="22" t="s">
        <v>722</v>
      </c>
      <c r="I171" s="13">
        <v>42715.539502314816</v>
      </c>
      <c r="J171" s="7">
        <v>1</v>
      </c>
      <c r="K171" s="109" t="str">
        <f t="shared" si="51"/>
        <v>4045/4046</v>
      </c>
      <c r="L171" s="22" t="str">
        <f>VLOOKUP(A171,'Trips&amp;Operators'!$C$1:$G$99999,5,FALSE)</f>
        <v>STARKS ANGELINA</v>
      </c>
      <c r="M171" s="6">
        <f t="shared" si="52"/>
        <v>1.3090277781884652E-2</v>
      </c>
      <c r="N171" s="7">
        <f t="shared" si="66"/>
        <v>18.850000005913898</v>
      </c>
      <c r="O171" s="7"/>
      <c r="P171" s="7"/>
      <c r="Q171" s="23"/>
      <c r="R171" s="23"/>
      <c r="S171" s="35">
        <f t="shared" si="67"/>
        <v>1</v>
      </c>
      <c r="T171" s="50" t="str">
        <f t="shared" si="53"/>
        <v>Southbound</v>
      </c>
      <c r="U171" s="171">
        <f>IF(AG171="EC",COUNTIFS(Variables!$M$2:$M$19,IF(T171="NorthBound","&gt;=","&lt;=")&amp;Y171,Variables!$M$2:$M$19,IF(T171="NorthBound","&lt;=","&gt;=")&amp;Z171),COUNTIFS(Variables!$P$2:$P$19,IF(T171="NorthBound","&gt;=","&lt;=")&amp;Y171,Variables!$P$2:$P$19,IF(T171="NorthBound","&lt;=","&gt;=")&amp;Z171))</f>
        <v>1</v>
      </c>
      <c r="V17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11:36:15-700',mode:absolute,to:'2016-12-11 13:56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1" s="52" t="str">
        <f t="shared" si="55"/>
        <v>N</v>
      </c>
      <c r="X171" s="177">
        <f t="shared" si="68"/>
        <v>1</v>
      </c>
      <c r="Y171" s="67">
        <f t="shared" si="56"/>
        <v>5.8624000000000001</v>
      </c>
      <c r="Z171" s="67">
        <f t="shared" si="57"/>
        <v>7.2900000000000006E-2</v>
      </c>
      <c r="AA171" s="67">
        <f t="shared" si="58"/>
        <v>5.7895000000000003</v>
      </c>
      <c r="AB171" s="64" t="e">
        <f>VLOOKUP(A171,Enforcements!$C$7:$K$20,8,0)</f>
        <v>#N/A</v>
      </c>
      <c r="AC171" s="60" t="e">
        <f>VLOOKUP(A171,Enforcements!$C$7:$E$20,3,0)</f>
        <v>#N/A</v>
      </c>
      <c r="AD171" s="61" t="str">
        <f t="shared" si="59"/>
        <v>1814-11</v>
      </c>
      <c r="AE171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71" s="88" t="str">
        <f t="shared" si="61"/>
        <v>"C:\Program Files (x86)\AstroGrep\AstroGrep.exe" /spath="%USERPROFILE%\AppData\Local\Temp\OnboardLogs" /stypes="app*4045*20161211*" /stext=" 19:.+((SYSTEM_STATE.+slice.+state.+changed )|(ment ac)|(multiple cpu faults)|(system.+state.+changed )|(\[timeout)|(PRM\|1\|D)|(kpr)|(kdp)|(\|lc)|(penalty))" /e /r /s</v>
      </c>
      <c r="AG171" s="1" t="str">
        <f t="shared" si="62"/>
        <v>NW</v>
      </c>
      <c r="AH171" s="92" t="str">
        <f t="shared" si="49"/>
        <v>"%USERPROFILE%\Documents\GitHub\eaglep3\Utilities\RefineRTDCRunTimes.py" --tripid 1814-11 --locoid 4045 --swversion DE.1.0.8.0 --startMP 300:58624 --initTime 2016-12-11T12:36:15 --startdatetime 2016-12-11T12:38:02 --delay 1 --endMP 204:729 --enddatetime 2016-12-11T12:56:53 --enforcementcount 1 &gt;&gt;C:\Users\stu\Documents\GitHub\eaglep3-reporting\EC\2016-12-11-refined-times.txt</v>
      </c>
      <c r="AI171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{"issue":{"subject":"","project_id":79,"tracker_id":40,"status_id":1,"priority_id":2,"assigned_to_id":23,"start_date":"2016-12-11","description":"","custom_fields":[{"id":1,"name":"Subdivision","value":"NW"},{"id":4,"name":"Milepost","value":"0.0729"},{"id":17,"name":"Train ID","value":"1814-11"},{"id":16,"name":"Locomotive ID","value":"4045"},{"id":130,"name":"Impact","value":""},{"id":150,"name":"Time of Event (Mountain Time)","value":"12:56:53"},{"id":151,"name":"Denver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1" s="53"/>
      <c r="AK171" s="53"/>
      <c r="AL171" s="53"/>
    </row>
    <row r="172" spans="1:91" x14ac:dyDescent="0.25">
      <c r="A172" s="37" t="s">
        <v>573</v>
      </c>
      <c r="B172" s="7">
        <v>4046</v>
      </c>
      <c r="C172" s="22" t="s">
        <v>207</v>
      </c>
      <c r="D172" s="22" t="s">
        <v>734</v>
      </c>
      <c r="E172" s="13">
        <v>42715.554722222223</v>
      </c>
      <c r="F172" s="13">
        <v>42715.556400462963</v>
      </c>
      <c r="G172" s="7">
        <v>1</v>
      </c>
      <c r="H172" s="22" t="s">
        <v>295</v>
      </c>
      <c r="I172" s="13">
        <v>42715.566018518519</v>
      </c>
      <c r="J172" s="7">
        <v>1</v>
      </c>
      <c r="K172" s="109" t="str">
        <f t="shared" si="51"/>
        <v>4045/4046</v>
      </c>
      <c r="L172" s="22" t="str">
        <f>VLOOKUP(A172,'Trips&amp;Operators'!$C$1:$G$99999,5,FALSE)</f>
        <v>STARKS ANGELINA</v>
      </c>
      <c r="M172" s="6">
        <f t="shared" si="52"/>
        <v>9.6180555556202307E-3</v>
      </c>
      <c r="N172" s="7">
        <f t="shared" si="66"/>
        <v>13.850000000093132</v>
      </c>
      <c r="O172" s="7"/>
      <c r="P172" s="7"/>
      <c r="Q172" s="23"/>
      <c r="R172" s="23"/>
      <c r="S172" s="35">
        <f t="shared" si="67"/>
        <v>1</v>
      </c>
      <c r="T172" s="50" t="str">
        <f t="shared" si="53"/>
        <v>NorthBound</v>
      </c>
      <c r="U172" s="171">
        <f>IF(AG172="EC",COUNTIFS(Variables!$M$2:$M$19,IF(T172="NorthBound","&gt;=","&lt;=")&amp;Y172,Variables!$M$2:$M$19,IF(T172="NorthBound","&lt;=","&gt;=")&amp;Z172),COUNTIFS(Variables!$P$2:$P$19,IF(T172="NorthBound","&gt;=","&lt;=")&amp;Y172,Variables!$P$2:$P$19,IF(T172="NorthBound","&lt;=","&gt;=")&amp;Z172))</f>
        <v>1</v>
      </c>
      <c r="V17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12:18:48-700',mode:absolute,to:'2016-12-11 14:35:04-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2" s="52" t="str">
        <f t="shared" si="55"/>
        <v>N</v>
      </c>
      <c r="X172" s="177">
        <f t="shared" si="68"/>
        <v>1</v>
      </c>
      <c r="Y172" s="67">
        <f t="shared" si="56"/>
        <v>0.1016</v>
      </c>
      <c r="Z172" s="67">
        <f t="shared" si="57"/>
        <v>5.8943000000000003</v>
      </c>
      <c r="AA172" s="67">
        <f t="shared" si="58"/>
        <v>5.7927</v>
      </c>
      <c r="AB172" s="64" t="e">
        <f>VLOOKUP(A172,Enforcements!$C$7:$K$20,8,0)</f>
        <v>#N/A</v>
      </c>
      <c r="AC172" s="60" t="e">
        <f>VLOOKUP(A172,Enforcements!$C$7:$E$20,3,0)</f>
        <v>#N/A</v>
      </c>
      <c r="AD172" s="61" t="str">
        <f t="shared" si="59"/>
        <v>1815-11</v>
      </c>
      <c r="AE172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72" s="88" t="str">
        <f t="shared" si="61"/>
        <v>"C:\Program Files (x86)\AstroGrep\AstroGrep.exe" /spath="%USERPROFILE%\AppData\Local\Temp\OnboardLogs" /stypes="app*4046*20161211*" /stext=" 20:.+((SYSTEM_STATE.+slice.+state.+changed )|(ment ac)|(multiple cpu faults)|(system.+state.+changed )|(\[timeout)|(PRM\|1\|D)|(kpr)|(kdp)|(\|lc)|(penalty))" /e /r /s</v>
      </c>
      <c r="AG172" s="1" t="str">
        <f t="shared" si="62"/>
        <v>NW</v>
      </c>
      <c r="AH172" s="92" t="str">
        <f t="shared" si="49"/>
        <v>"%USERPROFILE%\Documents\GitHub\eaglep3\Utilities\RefineRTDCRunTimes.py" --tripid 1815-11 --locoid 4046 --swversion DE.1.0.8.0 --startMP 204:1016 --initTime 2016-12-11T13:18:48 --startdatetime 2016-12-11T13:21:13 --delay 1 --endMP 300:58943 --enddatetime 2016-12-11T13:35:04 --enforcementcount 1 &gt;&gt;C:\Users\stu\Documents\GitHub\eaglep3-reporting\EC\2016-12-11-refined-times.txt</v>
      </c>
      <c r="AI172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{"issue":{"subject":"","project_id":79,"tracker_id":40,"status_id":1,"priority_id":2,"assigned_to_id":23,"start_date":"2016-12-11","description":"","custom_fields":[{"id":1,"name":"Subdivision","value":"NW"},{"id":4,"name":"Milepost","value":"5.8943"},{"id":17,"name":"Train ID","value":"1815-11"},{"id":16,"name":"Locomotive ID","value":"4046"},{"id":130,"name":"Impact","value":""},{"id":150,"name":"Time of Event (Mountain Time)","value":"13:35:04"},{"id":151,"name":"Denver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2" s="53"/>
      <c r="AK172" s="53"/>
      <c r="AL172" s="53"/>
    </row>
    <row r="173" spans="1:91" x14ac:dyDescent="0.25">
      <c r="A173" s="37" t="s">
        <v>577</v>
      </c>
      <c r="B173" s="7">
        <v>4045</v>
      </c>
      <c r="C173" s="22" t="s">
        <v>207</v>
      </c>
      <c r="D173" s="22" t="s">
        <v>429</v>
      </c>
      <c r="E173" s="13">
        <v>42715.568414351852</v>
      </c>
      <c r="F173" s="13">
        <v>42715.5700462963</v>
      </c>
      <c r="G173" s="7">
        <v>1</v>
      </c>
      <c r="H173" s="22" t="s">
        <v>735</v>
      </c>
      <c r="I173" s="13">
        <v>42715.580254629633</v>
      </c>
      <c r="J173" s="7">
        <v>1</v>
      </c>
      <c r="K173" s="109" t="str">
        <f t="shared" si="51"/>
        <v>4045/4046</v>
      </c>
      <c r="L173" s="22" t="str">
        <f>VLOOKUP(A173,'Trips&amp;Operators'!$C$1:$G$99999,5,FALSE)</f>
        <v>STARKS ANGELINA</v>
      </c>
      <c r="M173" s="6">
        <f t="shared" si="52"/>
        <v>1.0208333333139308E-2</v>
      </c>
      <c r="N173" s="7">
        <f t="shared" si="66"/>
        <v>14.699999999720603</v>
      </c>
      <c r="O173" s="7"/>
      <c r="P173" s="7"/>
      <c r="Q173" s="23"/>
      <c r="R173" s="23"/>
      <c r="S173" s="35">
        <f t="shared" si="67"/>
        <v>1</v>
      </c>
      <c r="T173" s="50" t="str">
        <f t="shared" si="53"/>
        <v>Southbound</v>
      </c>
      <c r="U173" s="171">
        <f>IF(AG173="EC",COUNTIFS(Variables!$M$2:$M$19,IF(T173="NorthBound","&gt;=","&lt;=")&amp;Y173,Variables!$M$2:$M$19,IF(T173="NorthBound","&lt;=","&gt;=")&amp;Z173),COUNTIFS(Variables!$P$2:$P$19,IF(T173="NorthBound","&gt;=","&lt;=")&amp;Y173,Variables!$P$2:$P$19,IF(T173="NorthBound","&lt;=","&gt;=")&amp;Z173))</f>
        <v>1</v>
      </c>
      <c r="V17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12:38:31-700',mode:absolute,to:'2016-12-11 14:55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3" s="52" t="str">
        <f t="shared" si="55"/>
        <v>N</v>
      </c>
      <c r="X173" s="177">
        <f t="shared" si="68"/>
        <v>1</v>
      </c>
      <c r="Y173" s="67">
        <f t="shared" si="56"/>
        <v>5.8634000000000004</v>
      </c>
      <c r="Z173" s="67">
        <f t="shared" si="57"/>
        <v>8.6199999999999999E-2</v>
      </c>
      <c r="AA173" s="67">
        <f t="shared" si="58"/>
        <v>5.7772000000000006</v>
      </c>
      <c r="AB173" s="64" t="e">
        <f>VLOOKUP(A173,Enforcements!$C$7:$K$20,8,0)</f>
        <v>#N/A</v>
      </c>
      <c r="AC173" s="60" t="e">
        <f>VLOOKUP(A173,Enforcements!$C$7:$E$20,3,0)</f>
        <v>#N/A</v>
      </c>
      <c r="AD173" s="61" t="str">
        <f t="shared" si="59"/>
        <v>1816-11</v>
      </c>
      <c r="AE173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73" s="88" t="str">
        <f t="shared" si="61"/>
        <v>"C:\Program Files (x86)\AstroGrep\AstroGrep.exe" /spath="%USERPROFILE%\AppData\Local\Temp\OnboardLogs" /stypes="app*4045*20161211*" /stext=" 20:.+((SYSTEM_STATE.+slice.+state.+changed )|(ment ac)|(multiple cpu faults)|(system.+state.+changed )|(\[timeout)|(PRM\|1\|D)|(kpr)|(kdp)|(\|lc)|(penalty))" /e /r /s</v>
      </c>
      <c r="AG173" s="1" t="str">
        <f t="shared" si="62"/>
        <v>NW</v>
      </c>
      <c r="AH173" s="92" t="str">
        <f t="shared" si="49"/>
        <v>"%USERPROFILE%\Documents\GitHub\eaglep3\Utilities\RefineRTDCRunTimes.py" --tripid 1816-11 --locoid 4045 --swversion DE.1.0.8.0 --startMP 300:58634 --initTime 2016-12-11T13:38:31 --startdatetime 2016-12-11T13:40:52 --delay 1 --endMP 204:862 --enddatetime 2016-12-11T13:55:34 --enforcementcount 1 &gt;&gt;C:\Users\stu\Documents\GitHub\eaglep3-reporting\EC\2016-12-11-refined-times.txt</v>
      </c>
      <c r="AI173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{"issue":{"subject":"","project_id":79,"tracker_id":40,"status_id":1,"priority_id":2,"assigned_to_id":23,"start_date":"2016-12-11","description":"","custom_fields":[{"id":1,"name":"Subdivision","value":"NW"},{"id":4,"name":"Milepost","value":"0.0862"},{"id":17,"name":"Train ID","value":"1816-11"},{"id":16,"name":"Locomotive ID","value":"4045"},{"id":130,"name":"Impact","value":""},{"id":150,"name":"Time of Event (Mountain Time)","value":"13:55:34"},{"id":151,"name":"Denver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3" s="53"/>
      <c r="AK173" s="53"/>
      <c r="AL173" s="53"/>
    </row>
    <row r="174" spans="1:91" s="21" customFormat="1" x14ac:dyDescent="0.25">
      <c r="A174" s="37" t="s">
        <v>583</v>
      </c>
      <c r="B174" s="7">
        <v>4046</v>
      </c>
      <c r="C174" s="22" t="s">
        <v>207</v>
      </c>
      <c r="D174" s="22" t="s">
        <v>736</v>
      </c>
      <c r="E174" s="13">
        <v>42715.59103009259</v>
      </c>
      <c r="F174" s="13">
        <v>42715.598379629628</v>
      </c>
      <c r="G174" s="7">
        <v>1</v>
      </c>
      <c r="H174" s="22" t="s">
        <v>737</v>
      </c>
      <c r="I174" s="13">
        <v>42715.607835648145</v>
      </c>
      <c r="J174" s="7">
        <v>1</v>
      </c>
      <c r="K174" s="109" t="str">
        <f t="shared" si="51"/>
        <v>4045/4046</v>
      </c>
      <c r="L174" s="22" t="str">
        <f>VLOOKUP(A174,'Trips&amp;Operators'!$C$1:$G$99999,5,FALSE)</f>
        <v>ADANE ELSHADAY</v>
      </c>
      <c r="M174" s="6">
        <f t="shared" si="52"/>
        <v>9.4560185170848854E-3</v>
      </c>
      <c r="N174" s="7">
        <f t="shared" si="66"/>
        <v>13.616666664602235</v>
      </c>
      <c r="O174" s="7"/>
      <c r="P174" s="7"/>
      <c r="Q174" s="23"/>
      <c r="R174" s="23"/>
      <c r="S174" s="35">
        <f t="shared" si="67"/>
        <v>1</v>
      </c>
      <c r="T174" s="50" t="str">
        <f t="shared" si="53"/>
        <v>NorthBound</v>
      </c>
      <c r="U174" s="171">
        <f>IF(AG174="EC",COUNTIFS(Variables!$M$2:$M$19,IF(T174="NorthBound","&gt;=","&lt;=")&amp;Y174,Variables!$M$2:$M$19,IF(T174="NorthBound","&lt;=","&gt;=")&amp;Z174),COUNTIFS(Variables!$P$2:$P$19,IF(T174="NorthBound","&gt;=","&lt;=")&amp;Y174,Variables!$P$2:$P$19,IF(T174="NorthBound","&lt;=","&gt;=")&amp;Z174))</f>
        <v>1</v>
      </c>
      <c r="V17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13:11:05-700',mode:absolute,to:'2016-12-11 15:35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4" s="52" t="str">
        <f t="shared" si="55"/>
        <v>N</v>
      </c>
      <c r="X174" s="177">
        <f t="shared" si="68"/>
        <v>1</v>
      </c>
      <c r="Y174" s="67">
        <f t="shared" si="56"/>
        <v>0.11650000000000001</v>
      </c>
      <c r="Z174" s="67">
        <f t="shared" si="57"/>
        <v>5.8983999999999996</v>
      </c>
      <c r="AA174" s="67">
        <f t="shared" si="58"/>
        <v>5.7818999999999994</v>
      </c>
      <c r="AB174" s="64" t="e">
        <f>VLOOKUP(A174,Enforcements!$C$7:$K$20,8,0)</f>
        <v>#N/A</v>
      </c>
      <c r="AC174" s="60" t="e">
        <f>VLOOKUP(A174,Enforcements!$C$7:$E$20,3,0)</f>
        <v>#N/A</v>
      </c>
      <c r="AD174" s="61" t="str">
        <f t="shared" si="59"/>
        <v>1817-11</v>
      </c>
      <c r="AE174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74" s="88" t="str">
        <f t="shared" si="61"/>
        <v>"C:\Program Files (x86)\AstroGrep\AstroGrep.exe" /spath="%USERPROFILE%\AppData\Local\Temp\OnboardLogs" /stypes="app*4046*20161211*" /stext=" 21:.+((SYSTEM_STATE.+slice.+state.+changed )|(ment ac)|(multiple cpu faults)|(system.+state.+changed )|(\[timeout)|(PRM\|1\|D)|(kpr)|(kdp)|(\|lc)|(penalty))" /e /r /s</v>
      </c>
      <c r="AG174" s="1" t="str">
        <f t="shared" si="62"/>
        <v>NW</v>
      </c>
      <c r="AH174" s="92" t="str">
        <f t="shared" si="49"/>
        <v>"%USERPROFILE%\Documents\GitHub\eaglep3\Utilities\RefineRTDCRunTimes.py" --tripid 1817-11 --locoid 4046 --swversion DE.1.0.8.0 --startMP 204:1165 --initTime 2016-12-11T14:11:05 --startdatetime 2016-12-11T14:21:40 --delay 1 --endMP 300:58984 --enddatetime 2016-12-11T14:35:17 --enforcementcount 1 &gt;&gt;C:\Users\stu\Documents\GitHub\eaglep3-reporting\EC\2016-12-11-refined-times.txt</v>
      </c>
      <c r="AI174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{"issue":{"subject":"","project_id":79,"tracker_id":40,"status_id":1,"priority_id":2,"assigned_to_id":23,"start_date":"2016-12-11","description":"","custom_fields":[{"id":1,"name":"Subdivision","value":"NW"},{"id":4,"name":"Milepost","value":"5.8984"},{"id":17,"name":"Train ID","value":"1817-11"},{"id":16,"name":"Locomotive ID","value":"4046"},{"id":130,"name":"Impact","value":""},{"id":150,"name":"Time of Event (Mountain Time)","value":"14:35:17"},{"id":151,"name":"Denver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4" s="53"/>
      <c r="AK174" s="53"/>
      <c r="AL174" s="53"/>
      <c r="AM174"/>
      <c r="AN174"/>
      <c r="AO174"/>
      <c r="AP174"/>
      <c r="AQ174"/>
      <c r="AR174"/>
      <c r="AS174"/>
      <c r="AT174"/>
      <c r="AU174"/>
      <c r="AV174"/>
      <c r="AW174"/>
      <c r="AX174"/>
      <c r="AY174"/>
      <c r="AZ174"/>
      <c r="BA174"/>
      <c r="BB174"/>
      <c r="BC174"/>
      <c r="BD174"/>
      <c r="BE174"/>
      <c r="BF174"/>
      <c r="BG174"/>
      <c r="BH174"/>
      <c r="BI174"/>
      <c r="BJ174"/>
      <c r="BK174"/>
      <c r="BL174"/>
      <c r="BM174"/>
      <c r="BN174"/>
      <c r="BO174"/>
      <c r="BP174"/>
      <c r="BQ174"/>
      <c r="BR174"/>
      <c r="BS174"/>
      <c r="BT174"/>
      <c r="BU174"/>
      <c r="BV174"/>
      <c r="BW174"/>
      <c r="BX174"/>
      <c r="BY174"/>
      <c r="BZ174"/>
      <c r="CA174"/>
      <c r="CB174"/>
      <c r="CC174"/>
      <c r="CD174"/>
      <c r="CE174"/>
      <c r="CF174"/>
      <c r="CG174"/>
      <c r="CH174"/>
      <c r="CI174"/>
      <c r="CJ174"/>
      <c r="CK174"/>
      <c r="CL174"/>
      <c r="CM174"/>
    </row>
    <row r="175" spans="1:91" x14ac:dyDescent="0.25">
      <c r="A175" s="37" t="s">
        <v>467</v>
      </c>
      <c r="B175" s="7">
        <v>4045</v>
      </c>
      <c r="C175" s="22" t="s">
        <v>207</v>
      </c>
      <c r="D175" s="22" t="s">
        <v>738</v>
      </c>
      <c r="E175" s="13">
        <v>42715.608935185184</v>
      </c>
      <c r="F175" s="13">
        <v>42715.610520833332</v>
      </c>
      <c r="G175" s="7">
        <v>1</v>
      </c>
      <c r="H175" s="22" t="s">
        <v>369</v>
      </c>
      <c r="I175" s="13">
        <v>42715.622384259259</v>
      </c>
      <c r="J175" s="7">
        <v>1</v>
      </c>
      <c r="K175" s="109" t="str">
        <f t="shared" si="51"/>
        <v>4045/4046</v>
      </c>
      <c r="L175" s="22" t="str">
        <f>VLOOKUP(A175,'Trips&amp;Operators'!$C$1:$G$99999,5,FALSE)</f>
        <v>ADANE ELSHADAY</v>
      </c>
      <c r="M175" s="6">
        <f t="shared" si="52"/>
        <v>1.1863425927003846E-2</v>
      </c>
      <c r="N175" s="7">
        <f t="shared" si="66"/>
        <v>17.083333334885538</v>
      </c>
      <c r="O175" s="7"/>
      <c r="P175" s="7"/>
      <c r="Q175" s="23"/>
      <c r="R175" s="23"/>
      <c r="S175" s="35">
        <f t="shared" si="67"/>
        <v>1</v>
      </c>
      <c r="T175" s="50" t="str">
        <f t="shared" si="53"/>
        <v>Southbound</v>
      </c>
      <c r="U175" s="171">
        <f>IF(AG175="EC",COUNTIFS(Variables!$M$2:$M$19,IF(T175="NorthBound","&gt;=","&lt;=")&amp;Y175,Variables!$M$2:$M$19,IF(T175="NorthBound","&lt;=","&gt;=")&amp;Z175),COUNTIFS(Variables!$P$2:$P$19,IF(T175="NorthBound","&gt;=","&lt;=")&amp;Y175,Variables!$P$2:$P$19,IF(T175="NorthBound","&lt;=","&gt;=")&amp;Z175))</f>
        <v>1</v>
      </c>
      <c r="V17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13:36:52-700',mode:absolute,to:'2016-12-11 15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5" s="52" t="str">
        <f t="shared" si="55"/>
        <v>N</v>
      </c>
      <c r="X175" s="177">
        <f t="shared" si="68"/>
        <v>1</v>
      </c>
      <c r="Y175" s="67">
        <f t="shared" si="56"/>
        <v>5.8673000000000002</v>
      </c>
      <c r="Z175" s="67">
        <f t="shared" si="57"/>
        <v>6.9900000000000004E-2</v>
      </c>
      <c r="AA175" s="67">
        <f t="shared" si="58"/>
        <v>5.7974000000000006</v>
      </c>
      <c r="AB175" s="64" t="e">
        <f>VLOOKUP(A175,Enforcements!$C$7:$K$20,8,0)</f>
        <v>#N/A</v>
      </c>
      <c r="AC175" s="60" t="e">
        <f>VLOOKUP(A175,Enforcements!$C$7:$E$20,3,0)</f>
        <v>#N/A</v>
      </c>
      <c r="AD175" s="61" t="str">
        <f t="shared" si="59"/>
        <v>1818-11</v>
      </c>
      <c r="AE175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75" s="88" t="str">
        <f t="shared" si="61"/>
        <v>"C:\Program Files (x86)\AstroGrep\AstroGrep.exe" /spath="%USERPROFILE%\AppData\Local\Temp\OnboardLogs" /stypes="app*4045*20161211*" /stext=" 21:.+((SYSTEM_STATE.+slice.+state.+changed )|(ment ac)|(multiple cpu faults)|(system.+state.+changed )|(\[timeout)|(PRM\|1\|D)|(kpr)|(kdp)|(\|lc)|(penalty))" /e /r /s</v>
      </c>
      <c r="AG175" s="1" t="str">
        <f t="shared" si="62"/>
        <v>NW</v>
      </c>
      <c r="AH175" s="92" t="str">
        <f t="shared" si="49"/>
        <v>"%USERPROFILE%\Documents\GitHub\eaglep3\Utilities\RefineRTDCRunTimes.py" --tripid 1818-11 --locoid 4045 --swversion DE.1.0.8.0 --startMP 300:58673 --initTime 2016-12-11T14:36:52 --startdatetime 2016-12-11T14:39:09 --delay 1 --endMP 204:699 --enddatetime 2016-12-11T14:56:14 --enforcementcount 1 &gt;&gt;C:\Users\stu\Documents\GitHub\eaglep3-reporting\EC\2016-12-11-refined-times.txt</v>
      </c>
      <c r="AI175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{"issue":{"subject":"","project_id":79,"tracker_id":40,"status_id":1,"priority_id":2,"assigned_to_id":23,"start_date":"2016-12-11","description":"","custom_fields":[{"id":1,"name":"Subdivision","value":"NW"},{"id":4,"name":"Milepost","value":"0.0699"},{"id":17,"name":"Train ID","value":"1818-11"},{"id":16,"name":"Locomotive ID","value":"4045"},{"id":130,"name":"Impact","value":""},{"id":150,"name":"Time of Event (Mountain Time)","value":"14:56:14"},{"id":151,"name":"Denver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5" s="53"/>
      <c r="AK175" s="53"/>
      <c r="AL175" s="53"/>
    </row>
    <row r="176" spans="1:91" x14ac:dyDescent="0.25">
      <c r="A176" s="37" t="s">
        <v>589</v>
      </c>
      <c r="B176" s="7">
        <v>4046</v>
      </c>
      <c r="C176" s="22" t="s">
        <v>207</v>
      </c>
      <c r="D176" s="22" t="s">
        <v>739</v>
      </c>
      <c r="E176" s="13">
        <v>42715.624155092592</v>
      </c>
      <c r="F176" s="13">
        <v>42715.640300925923</v>
      </c>
      <c r="G176" s="7">
        <v>1</v>
      </c>
      <c r="H176" s="22" t="s">
        <v>740</v>
      </c>
      <c r="I176" s="13">
        <v>42715.650173611109</v>
      </c>
      <c r="J176" s="7">
        <v>1</v>
      </c>
      <c r="K176" s="109" t="str">
        <f t="shared" si="51"/>
        <v>4045/4046</v>
      </c>
      <c r="L176" s="22" t="str">
        <f>VLOOKUP(A176,'Trips&amp;Operators'!$C$1:$G$99999,5,FALSE)</f>
        <v>ADANE ELSHADAY</v>
      </c>
      <c r="M176" s="6">
        <f t="shared" si="52"/>
        <v>9.8726851865649223E-3</v>
      </c>
      <c r="N176" s="7">
        <f t="shared" si="66"/>
        <v>14.216666668653488</v>
      </c>
      <c r="O176" s="7"/>
      <c r="P176" s="7"/>
      <c r="Q176" s="23"/>
      <c r="R176" s="23" t="s">
        <v>968</v>
      </c>
      <c r="S176" s="35">
        <f t="shared" si="67"/>
        <v>1</v>
      </c>
      <c r="T176" s="50" t="str">
        <f t="shared" si="53"/>
        <v>NorthBound</v>
      </c>
      <c r="U176" s="171">
        <f>IF(AG176="EC",COUNTIFS(Variables!$M$2:$M$19,IF(T176="NorthBound","&gt;=","&lt;=")&amp;Y176,Variables!$M$2:$M$19,IF(T176="NorthBound","&lt;=","&gt;=")&amp;Z176),COUNTIFS(Variables!$P$2:$P$19,IF(T176="NorthBound","&gt;=","&lt;=")&amp;Y176,Variables!$P$2:$P$19,IF(T176="NorthBound","&lt;=","&gt;=")&amp;Z176))</f>
        <v>1</v>
      </c>
      <c r="V17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13:58:47-700',mode:absolute,to:'2016-12-11 16:36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6" s="52" t="str">
        <f t="shared" si="55"/>
        <v>N</v>
      </c>
      <c r="X176" s="177">
        <f t="shared" si="68"/>
        <v>1</v>
      </c>
      <c r="Y176" s="67">
        <f t="shared" si="56"/>
        <v>9.9699999999999997E-2</v>
      </c>
      <c r="Z176" s="67">
        <f t="shared" si="57"/>
        <v>5.9005000000000001</v>
      </c>
      <c r="AA176" s="67">
        <f t="shared" si="58"/>
        <v>5.8007999999999997</v>
      </c>
      <c r="AB176" s="64" t="e">
        <f>VLOOKUP(A176,Enforcements!$C$7:$K$20,8,0)</f>
        <v>#N/A</v>
      </c>
      <c r="AC176" s="60" t="e">
        <f>VLOOKUP(A176,Enforcements!$C$7:$E$20,3,0)</f>
        <v>#N/A</v>
      </c>
      <c r="AD176" s="61" t="str">
        <f t="shared" si="59"/>
        <v>1819-11</v>
      </c>
      <c r="AE176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76" s="88" t="str">
        <f t="shared" si="61"/>
        <v>"C:\Program Files (x86)\AstroGrep\AstroGrep.exe" /spath="%USERPROFILE%\AppData\Local\Temp\OnboardLogs" /stypes="app*4046*20161211*" /stext=" 22:.+((SYSTEM_STATE.+slice.+state.+changed )|(ment ac)|(multiple cpu faults)|(system.+state.+changed )|(\[timeout)|(PRM\|1\|D)|(kpr)|(kdp)|(\|lc)|(penalty))" /e /r /s</v>
      </c>
      <c r="AG176" s="1" t="str">
        <f t="shared" si="62"/>
        <v>NW</v>
      </c>
      <c r="AH176" s="92" t="str">
        <f t="shared" si="49"/>
        <v>"%USERPROFILE%\Documents\GitHub\eaglep3\Utilities\RefineRTDCRunTimes.py" --tripid 1819-11 --locoid 4046 --swversion DE.1.0.8.0 --startMP 204:997 --initTime 2016-12-11T14:58:47 --startdatetime 2016-12-11T15:22:02 --delay 1 --endMP 300:59005 --enddatetime 2016-12-11T15:36:15 --enforcementcount 1 &gt;&gt;C:\Users\stu\Documents\GitHub\eaglep3-reporting\EC\2016-12-11-refined-times.txt</v>
      </c>
      <c r="AI176" s="119" t="str">
        <f t="shared" si="50"/>
        <v>echo {"issue":{"subject":"Wi-MAX data drop, no enforcement or cut out","project_id":79,"tracker_id":40,"status_id":1,"priority_id":2,"assigned_to_id":23,"start_date":"2016-12-11","description":"","custom_fields":[{"id":1,"name":"Subdivision","value":"NW"},{"id":4,"name":"Milepost","value":"5.9005"},{"id":17,"name":"Train ID","value":"1819-11"},{"id":16,"name":"Locomotive ID","value":"4046"},{"id":130,"name":"Impact","value":""},{"id":150,"name":"Time of Event (Mountain Time)","value":"15:36:15"},{"id":151,"name":"Denver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6" s="53"/>
      <c r="AK176" s="53"/>
      <c r="AL176" s="53"/>
    </row>
    <row r="177" spans="1:91" x14ac:dyDescent="0.25">
      <c r="A177" s="37" t="s">
        <v>595</v>
      </c>
      <c r="B177" s="7">
        <v>4045</v>
      </c>
      <c r="C177" s="22" t="s">
        <v>207</v>
      </c>
      <c r="D177" s="22" t="s">
        <v>741</v>
      </c>
      <c r="E177" s="13">
        <v>42715.651620370372</v>
      </c>
      <c r="F177" s="13">
        <v>42715.653009259258</v>
      </c>
      <c r="G177" s="7">
        <v>1</v>
      </c>
      <c r="H177" s="22" t="s">
        <v>742</v>
      </c>
      <c r="I177" s="13">
        <v>42715.663043981483</v>
      </c>
      <c r="J177" s="7">
        <v>1</v>
      </c>
      <c r="K177" s="109" t="str">
        <f t="shared" si="51"/>
        <v>4045/4046</v>
      </c>
      <c r="L177" s="22" t="str">
        <f>VLOOKUP(A177,'Trips&amp;Operators'!$C$1:$G$99999,5,FALSE)</f>
        <v>ADANE ELSHADAY</v>
      </c>
      <c r="M177" s="6">
        <f t="shared" si="52"/>
        <v>1.0034722225100268E-2</v>
      </c>
      <c r="N177" s="7">
        <f t="shared" si="66"/>
        <v>14.450000004144385</v>
      </c>
      <c r="O177" s="7"/>
      <c r="P177" s="7"/>
      <c r="Q177" s="23"/>
      <c r="R177" s="23"/>
      <c r="S177" s="35">
        <f t="shared" si="67"/>
        <v>1</v>
      </c>
      <c r="T177" s="50" t="str">
        <f t="shared" si="53"/>
        <v>Southbound</v>
      </c>
      <c r="U177" s="171">
        <f>IF(AG177="EC",COUNTIFS(Variables!$M$2:$M$19,IF(T177="NorthBound","&gt;=","&lt;=")&amp;Y177,Variables!$M$2:$M$19,IF(T177="NorthBound","&lt;=","&gt;=")&amp;Z177),COUNTIFS(Variables!$P$2:$P$19,IF(T177="NorthBound","&gt;=","&lt;=")&amp;Y177,Variables!$P$2:$P$19,IF(T177="NorthBound","&lt;=","&gt;=")&amp;Z177))</f>
        <v>1</v>
      </c>
      <c r="V17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14:38:20-700',mode:absolute,to:'2016-12-11 16:54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7" s="52" t="str">
        <f t="shared" si="55"/>
        <v>N</v>
      </c>
      <c r="X177" s="177">
        <f t="shared" si="68"/>
        <v>1</v>
      </c>
      <c r="Y177" s="67">
        <f t="shared" si="56"/>
        <v>5.8682999999999996</v>
      </c>
      <c r="Z177" s="67">
        <f t="shared" si="57"/>
        <v>6.5199999999999994E-2</v>
      </c>
      <c r="AA177" s="67">
        <f t="shared" si="58"/>
        <v>5.8030999999999997</v>
      </c>
      <c r="AB177" s="64" t="e">
        <f>VLOOKUP(A177,Enforcements!$C$7:$K$20,8,0)</f>
        <v>#N/A</v>
      </c>
      <c r="AC177" s="60" t="e">
        <f>VLOOKUP(A177,Enforcements!$C$7:$E$20,3,0)</f>
        <v>#N/A</v>
      </c>
      <c r="AD177" s="61" t="str">
        <f t="shared" si="59"/>
        <v>1820-11</v>
      </c>
      <c r="AE177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77" s="88" t="str">
        <f t="shared" si="61"/>
        <v>"C:\Program Files (x86)\AstroGrep\AstroGrep.exe" /spath="%USERPROFILE%\AppData\Local\Temp\OnboardLogs" /stypes="app*4045*20161211*" /stext=" 22:.+((SYSTEM_STATE.+slice.+state.+changed )|(ment ac)|(multiple cpu faults)|(system.+state.+changed )|(\[timeout)|(PRM\|1\|D)|(kpr)|(kdp)|(\|lc)|(penalty))" /e /r /s</v>
      </c>
      <c r="AG177" s="1" t="str">
        <f t="shared" si="62"/>
        <v>NW</v>
      </c>
      <c r="AH177" s="92" t="str">
        <f t="shared" si="49"/>
        <v>"%USERPROFILE%\Documents\GitHub\eaglep3\Utilities\RefineRTDCRunTimes.py" --tripid 1820-11 --locoid 4045 --swversion DE.1.0.8.0 --startMP 300:58683 --initTime 2016-12-11T15:38:20 --startdatetime 2016-12-11T15:40:20 --delay 1 --endMP 204:652 --enddatetime 2016-12-11T15:54:47 --enforcementcount 1 &gt;&gt;C:\Users\stu\Documents\GitHub\eaglep3-reporting\EC\2016-12-11-refined-times.txt</v>
      </c>
      <c r="AI177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{"issue":{"subject":"","project_id":79,"tracker_id":40,"status_id":1,"priority_id":2,"assigned_to_id":23,"start_date":"2016-12-11","description":"","custom_fields":[{"id":1,"name":"Subdivision","value":"NW"},{"id":4,"name":"Milepost","value":"0.0652"},{"id":17,"name":"Train ID","value":"1820-11"},{"id":16,"name":"Locomotive ID","value":"4045"},{"id":130,"name":"Impact","value":""},{"id":150,"name":"Time of Event (Mountain Time)","value":"15:54:47"},{"id":151,"name":"Denver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7" s="53"/>
      <c r="AK177" s="53"/>
      <c r="AL177" s="53"/>
    </row>
    <row r="178" spans="1:91" x14ac:dyDescent="0.25">
      <c r="A178" s="37" t="s">
        <v>471</v>
      </c>
      <c r="B178" s="7">
        <v>4046</v>
      </c>
      <c r="C178" s="22" t="s">
        <v>207</v>
      </c>
      <c r="D178" s="22" t="s">
        <v>743</v>
      </c>
      <c r="E178" s="13">
        <v>42715.669791666667</v>
      </c>
      <c r="F178" s="13">
        <v>42715.684212962966</v>
      </c>
      <c r="G178" s="7">
        <v>1</v>
      </c>
      <c r="H178" s="22" t="s">
        <v>744</v>
      </c>
      <c r="I178" s="13">
        <v>42715.693784722222</v>
      </c>
      <c r="J178" s="7">
        <v>1</v>
      </c>
      <c r="K178" s="109" t="str">
        <f t="shared" si="51"/>
        <v>4045/4046</v>
      </c>
      <c r="L178" s="22" t="str">
        <f>VLOOKUP(A178,'Trips&amp;Operators'!$C$1:$G$99999,5,FALSE)</f>
        <v>ADANE ELSHADAY</v>
      </c>
      <c r="M178" s="6">
        <f t="shared" si="52"/>
        <v>9.5717592557775788E-3</v>
      </c>
      <c r="N178" s="7">
        <f t="shared" si="66"/>
        <v>13.783333328319713</v>
      </c>
      <c r="O178" s="7"/>
      <c r="P178" s="7"/>
      <c r="Q178" s="23"/>
      <c r="R178" s="23"/>
      <c r="S178" s="35">
        <f t="shared" si="67"/>
        <v>1</v>
      </c>
      <c r="T178" s="50" t="str">
        <f t="shared" si="53"/>
        <v>NorthBound</v>
      </c>
      <c r="U178" s="171">
        <f>IF(AG178="EC",COUNTIFS(Variables!$M$2:$M$19,IF(T178="NorthBound","&gt;=","&lt;=")&amp;Y178,Variables!$M$2:$M$19,IF(T178="NorthBound","&lt;=","&gt;=")&amp;Z178),COUNTIFS(Variables!$P$2:$P$19,IF(T178="NorthBound","&gt;=","&lt;=")&amp;Y178,Variables!$P$2:$P$19,IF(T178="NorthBound","&lt;=","&gt;=")&amp;Z178))</f>
        <v>1</v>
      </c>
      <c r="V17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15:04:30-700',mode:absolute,to:'2016-12-11 17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78" s="52" t="str">
        <f t="shared" si="55"/>
        <v>N</v>
      </c>
      <c r="X178" s="177">
        <f t="shared" si="68"/>
        <v>1</v>
      </c>
      <c r="Y178" s="67">
        <f t="shared" si="56"/>
        <v>9.5100000000000004E-2</v>
      </c>
      <c r="Z178" s="67">
        <f t="shared" si="57"/>
        <v>5.8886000000000003</v>
      </c>
      <c r="AA178" s="67">
        <f t="shared" si="58"/>
        <v>5.7934999999999999</v>
      </c>
      <c r="AB178" s="64" t="e">
        <f>VLOOKUP(A178,Enforcements!$C$7:$K$20,8,0)</f>
        <v>#N/A</v>
      </c>
      <c r="AC178" s="60" t="e">
        <f>VLOOKUP(A178,Enforcements!$C$7:$E$20,3,0)</f>
        <v>#N/A</v>
      </c>
      <c r="AD178" s="61" t="str">
        <f t="shared" si="59"/>
        <v>1821-11</v>
      </c>
      <c r="AE178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78" s="88" t="str">
        <f t="shared" si="61"/>
        <v>"C:\Program Files (x86)\AstroGrep\AstroGrep.exe" /spath="%USERPROFILE%\AppData\Local\Temp\OnboardLogs" /stypes="app*4046*20161211*" /stext=" 23:.+((SYSTEM_STATE.+slice.+state.+changed )|(ment ac)|(multiple cpu faults)|(system.+state.+changed )|(\[timeout)|(PRM\|1\|D)|(kpr)|(kdp)|(\|lc)|(penalty))" /e /r /s</v>
      </c>
      <c r="AG178" s="1" t="str">
        <f t="shared" si="62"/>
        <v>NW</v>
      </c>
      <c r="AH178" s="92" t="str">
        <f t="shared" si="49"/>
        <v>"%USERPROFILE%\Documents\GitHub\eaglep3\Utilities\RefineRTDCRunTimes.py" --tripid 1821-11 --locoid 4046 --swversion DE.1.0.8.0 --startMP 204:951 --initTime 2016-12-11T16:04:30 --startdatetime 2016-12-11T16:25:16 --delay 1 --endMP 300:58886 --enddatetime 2016-12-11T16:39:03 --enforcementcount 1 &gt;&gt;C:\Users\stu\Documents\GitHub\eaglep3-reporting\EC\2016-12-11-refined-times.txt</v>
      </c>
      <c r="AI178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{"issue":{"subject":"","project_id":79,"tracker_id":40,"status_id":1,"priority_id":2,"assigned_to_id":23,"start_date":"2016-12-11","description":"","custom_fields":[{"id":1,"name":"Subdivision","value":"NW"},{"id":4,"name":"Milepost","value":"5.8886"},{"id":17,"name":"Train ID","value":"1821-11"},{"id":16,"name":"Locomotive ID","value":"4046"},{"id":130,"name":"Impact","value":""},{"id":150,"name":"Time of Event (Mountain Time)","value":"16:39:03"},{"id":151,"name":"Denver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8" s="53"/>
      <c r="AK178" s="53"/>
      <c r="AL178" s="53"/>
    </row>
    <row r="179" spans="1:91" x14ac:dyDescent="0.25">
      <c r="A179" s="37" t="s">
        <v>472</v>
      </c>
      <c r="B179" s="7">
        <v>4045</v>
      </c>
      <c r="C179" s="22" t="s">
        <v>207</v>
      </c>
      <c r="D179" s="22" t="s">
        <v>745</v>
      </c>
      <c r="E179" s="13">
        <v>42715.69462962963</v>
      </c>
      <c r="F179" s="13">
        <v>42715.695856481485</v>
      </c>
      <c r="G179" s="7">
        <v>1</v>
      </c>
      <c r="H179" s="22" t="s">
        <v>742</v>
      </c>
      <c r="I179" s="13">
        <v>42715.707060185188</v>
      </c>
      <c r="J179" s="7">
        <v>1</v>
      </c>
      <c r="K179" s="109" t="str">
        <f t="shared" si="51"/>
        <v>4045/4046</v>
      </c>
      <c r="L179" s="22" t="str">
        <f>VLOOKUP(A179,'Trips&amp;Operators'!$C$1:$G$99999,5,FALSE)</f>
        <v>ADANE ELSHADAY</v>
      </c>
      <c r="M179" s="6">
        <f t="shared" si="52"/>
        <v>1.1203703703358769E-2</v>
      </c>
      <c r="N179" s="7">
        <f t="shared" si="66"/>
        <v>16.133333332836628</v>
      </c>
      <c r="O179" s="7"/>
      <c r="P179" s="7"/>
      <c r="Q179" s="23"/>
      <c r="R179" s="23"/>
      <c r="S179" s="35">
        <f t="shared" si="67"/>
        <v>1</v>
      </c>
      <c r="T179" s="50" t="str">
        <f t="shared" si="53"/>
        <v>Southbound</v>
      </c>
      <c r="U179" s="171">
        <f>IF(AG179="EC",COUNTIFS(Variables!$M$2:$M$19,IF(T179="NorthBound","&gt;=","&lt;=")&amp;Y179,Variables!$M$2:$M$19,IF(T179="NorthBound","&lt;=","&gt;=")&amp;Z179),COUNTIFS(Variables!$P$2:$P$19,IF(T179="NorthBound","&gt;=","&lt;=")&amp;Y179,Variables!$P$2:$P$19,IF(T179="NorthBound","&lt;=","&gt;=")&amp;Z179))</f>
        <v>1</v>
      </c>
      <c r="V17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15:40:16-700',mode:absolute,to:'2016-12-11 17:58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79" s="52" t="str">
        <f t="shared" si="55"/>
        <v>N</v>
      </c>
      <c r="X179" s="177">
        <f t="shared" si="68"/>
        <v>1</v>
      </c>
      <c r="Y179" s="67">
        <f t="shared" si="56"/>
        <v>5.8558000000000003</v>
      </c>
      <c r="Z179" s="67">
        <f t="shared" si="57"/>
        <v>6.5199999999999994E-2</v>
      </c>
      <c r="AA179" s="67">
        <f t="shared" si="58"/>
        <v>5.7906000000000004</v>
      </c>
      <c r="AB179" s="64" t="e">
        <f>VLOOKUP(A179,Enforcements!$C$7:$K$20,8,0)</f>
        <v>#N/A</v>
      </c>
      <c r="AC179" s="60" t="e">
        <f>VLOOKUP(A179,Enforcements!$C$7:$E$20,3,0)</f>
        <v>#N/A</v>
      </c>
      <c r="AD179" s="61" t="str">
        <f t="shared" si="59"/>
        <v>1822-11</v>
      </c>
      <c r="AE179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79" s="88" t="str">
        <f t="shared" si="61"/>
        <v>"C:\Program Files (x86)\AstroGrep\AstroGrep.exe" /spath="%USERPROFILE%\AppData\Local\Temp\OnboardLogs" /stypes="app*4045*20161211*" /stext=" 23:.+((SYSTEM_STATE.+slice.+state.+changed )|(ment ac)|(multiple cpu faults)|(system.+state.+changed )|(\[timeout)|(PRM\|1\|D)|(kpr)|(kdp)|(\|lc)|(penalty))" /e /r /s</v>
      </c>
      <c r="AG179" s="1" t="str">
        <f t="shared" si="62"/>
        <v>NW</v>
      </c>
      <c r="AH179" s="92" t="str">
        <f t="shared" si="49"/>
        <v>"%USERPROFILE%\Documents\GitHub\eaglep3\Utilities\RefineRTDCRunTimes.py" --tripid 1822-11 --locoid 4045 --swversion DE.1.0.8.0 --startMP 300:58558 --initTime 2016-12-11T16:40:16 --startdatetime 2016-12-11T16:42:02 --delay 1 --endMP 204:652 --enddatetime 2016-12-11T16:58:10 --enforcementcount 1 &gt;&gt;C:\Users\stu\Documents\GitHub\eaglep3-reporting\EC\2016-12-11-refined-times.txt</v>
      </c>
      <c r="AI179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{"issue":{"subject":"","project_id":79,"tracker_id":40,"status_id":1,"priority_id":2,"assigned_to_id":23,"start_date":"2016-12-11","description":"","custom_fields":[{"id":1,"name":"Subdivision","value":"NW"},{"id":4,"name":"Milepost","value":"0.0652"},{"id":17,"name":"Train ID","value":"1822-11"},{"id":16,"name":"Locomotive ID","value":"4045"},{"id":130,"name":"Impact","value":""},{"id":150,"name":"Time of Event (Mountain Time)","value":"16:58:10"},{"id":151,"name":"Denver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79" s="53"/>
      <c r="AK179" s="53"/>
      <c r="AL179" s="53"/>
    </row>
    <row r="180" spans="1:91" s="21" customFormat="1" x14ac:dyDescent="0.25">
      <c r="A180" s="37" t="s">
        <v>606</v>
      </c>
      <c r="B180" s="7">
        <v>4046</v>
      </c>
      <c r="C180" s="22" t="s">
        <v>207</v>
      </c>
      <c r="D180" s="22" t="s">
        <v>746</v>
      </c>
      <c r="E180" s="13">
        <v>42715.708645833336</v>
      </c>
      <c r="F180" s="13">
        <v>42715.723333333335</v>
      </c>
      <c r="G180" s="7">
        <v>2</v>
      </c>
      <c r="H180" s="22" t="s">
        <v>747</v>
      </c>
      <c r="I180" s="13">
        <v>42715.732615740744</v>
      </c>
      <c r="J180" s="7">
        <v>1</v>
      </c>
      <c r="K180" s="109" t="str">
        <f t="shared" si="51"/>
        <v>4045/4046</v>
      </c>
      <c r="L180" s="22" t="str">
        <f>VLOOKUP(A180,'Trips&amp;Operators'!$C$1:$G$99999,5,FALSE)</f>
        <v>ADANE ELSHADAY</v>
      </c>
      <c r="M180" s="6">
        <f t="shared" si="52"/>
        <v>9.2824074090458453E-3</v>
      </c>
      <c r="N180" s="7">
        <f t="shared" si="66"/>
        <v>13.366666669026017</v>
      </c>
      <c r="O180" s="7"/>
      <c r="P180" s="7"/>
      <c r="Q180" s="23"/>
      <c r="R180" s="23"/>
      <c r="S180" s="35">
        <f t="shared" si="67"/>
        <v>1</v>
      </c>
      <c r="T180" s="50" t="str">
        <f t="shared" si="53"/>
        <v>NorthBound</v>
      </c>
      <c r="U180" s="171">
        <f>IF(AG180="EC",COUNTIFS(Variables!$M$2:$M$19,IF(T180="NorthBound","&gt;=","&lt;=")&amp;Y180,Variables!$M$2:$M$19,IF(T180="NorthBound","&lt;=","&gt;=")&amp;Z180),COUNTIFS(Variables!$P$2:$P$19,IF(T180="NorthBound","&gt;=","&lt;=")&amp;Y180,Variables!$P$2:$P$19,IF(T180="NorthBound","&lt;=","&gt;=")&amp;Z180))</f>
        <v>1</v>
      </c>
      <c r="V18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16:00:27-700',mode:absolute,to:'2016-12-11 18:34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0" s="52" t="str">
        <f t="shared" si="55"/>
        <v>N</v>
      </c>
      <c r="X180" s="177">
        <f t="shared" si="68"/>
        <v>1</v>
      </c>
      <c r="Y180" s="67">
        <f t="shared" si="56"/>
        <v>9.3899999999999997E-2</v>
      </c>
      <c r="Z180" s="67">
        <f t="shared" si="57"/>
        <v>5.8977000000000004</v>
      </c>
      <c r="AA180" s="67">
        <f t="shared" si="58"/>
        <v>5.8038000000000007</v>
      </c>
      <c r="AB180" s="64" t="e">
        <f>VLOOKUP(A180,Enforcements!$C$7:$K$20,8,0)</f>
        <v>#N/A</v>
      </c>
      <c r="AC180" s="60" t="e">
        <f>VLOOKUP(A180,Enforcements!$C$7:$E$20,3,0)</f>
        <v>#N/A</v>
      </c>
      <c r="AD180" s="61" t="str">
        <f t="shared" si="59"/>
        <v>1823-11</v>
      </c>
      <c r="AE180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80" s="88" t="str">
        <f t="shared" si="61"/>
        <v>"C:\Program Files (x86)\AstroGrep\AstroGrep.exe" /spath="%USERPROFILE%\AppData\Local\Temp\OnboardLogs" /stypes="app*4046*20161212*" /stext=" 00:.+((SYSTEM_STATE.+slice.+state.+changed )|(ment ac)|(multiple cpu faults)|(system.+state.+changed )|(\[timeout)|(PRM\|1\|D)|(kpr)|(kdp)|(\|lc)|(penalty))" /e /r /s</v>
      </c>
      <c r="AG180" s="1" t="str">
        <f t="shared" si="62"/>
        <v>NW</v>
      </c>
      <c r="AH180" s="92" t="str">
        <f t="shared" si="49"/>
        <v>"%USERPROFILE%\Documents\GitHub\eaglep3\Utilities\RefineRTDCRunTimes.py" --tripid 1823-11 --locoid 4046 --swversion DE.1.0.8.0 --startMP 204:939 --initTime 2016-12-11T17:00:27 --startdatetime 2016-12-11T17:21:36 --delay 2 --endMP 300:58977 --enddatetime 2016-12-11T17:34:58 --enforcementcount 1 &gt;&gt;C:\Users\stu\Documents\GitHub\eaglep3-reporting\EC\2016-12-11-refined-times.txt</v>
      </c>
      <c r="AI180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{"issue":{"subject":"","project_id":79,"tracker_id":40,"status_id":1,"priority_id":2,"assigned_to_id":23,"start_date":"2016-12-11","description":"","custom_fields":[{"id":1,"name":"Subdivision","value":"NW"},{"id":4,"name":"Milepost","value":"5.8977"},{"id":17,"name":"Train ID","value":"1823-11"},{"id":16,"name":"Locomotive ID","value":"4046"},{"id":130,"name":"Impact","value":""},{"id":150,"name":"Time of Event (Mountain Time)","value":"17:34:58"},{"id":151,"name":"Denver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0" s="53"/>
      <c r="AK180" s="53"/>
      <c r="AL180" s="53"/>
      <c r="AM180"/>
      <c r="AN180"/>
      <c r="AO180"/>
      <c r="AP180"/>
      <c r="AQ180"/>
      <c r="AR180"/>
      <c r="AS180"/>
      <c r="AT180"/>
      <c r="AU180"/>
      <c r="AV180"/>
      <c r="AW180"/>
      <c r="AX180"/>
      <c r="AY180"/>
      <c r="AZ180"/>
      <c r="BA180"/>
      <c r="BB180"/>
      <c r="BC180"/>
      <c r="BD180"/>
      <c r="BE180"/>
      <c r="BF180"/>
      <c r="BG180"/>
      <c r="BH180"/>
      <c r="BI180"/>
      <c r="BJ180"/>
      <c r="BK180"/>
      <c r="BL180"/>
      <c r="BM180"/>
      <c r="BN180"/>
      <c r="BO180"/>
      <c r="BP180"/>
      <c r="BQ180"/>
      <c r="BR180"/>
      <c r="BS180"/>
      <c r="BT180"/>
      <c r="BU180"/>
      <c r="BV180"/>
      <c r="BW180"/>
      <c r="BX180"/>
      <c r="BY180"/>
      <c r="BZ180"/>
      <c r="CA180"/>
      <c r="CB180"/>
      <c r="CC180"/>
      <c r="CD180"/>
      <c r="CE180"/>
      <c r="CF180"/>
      <c r="CG180"/>
      <c r="CH180"/>
      <c r="CI180"/>
      <c r="CJ180"/>
      <c r="CK180"/>
      <c r="CL180"/>
      <c r="CM180"/>
    </row>
    <row r="181" spans="1:91" s="21" customFormat="1" x14ac:dyDescent="0.25">
      <c r="A181" s="37" t="s">
        <v>614</v>
      </c>
      <c r="B181" s="7">
        <v>4045</v>
      </c>
      <c r="C181" s="22" t="s">
        <v>207</v>
      </c>
      <c r="D181" s="22" t="s">
        <v>748</v>
      </c>
      <c r="E181" s="13">
        <v>42715.7340625</v>
      </c>
      <c r="F181" s="13">
        <v>42715.735486111109</v>
      </c>
      <c r="G181" s="7">
        <v>1</v>
      </c>
      <c r="H181" s="22" t="s">
        <v>749</v>
      </c>
      <c r="I181" s="13">
        <v>42715.746550925927</v>
      </c>
      <c r="J181" s="7">
        <v>1</v>
      </c>
      <c r="K181" s="109" t="str">
        <f t="shared" si="51"/>
        <v>4045/4046</v>
      </c>
      <c r="L181" s="22" t="str">
        <f>VLOOKUP(A181,'Trips&amp;Operators'!$C$1:$G$99999,5,FALSE)</f>
        <v>ADANE ELSHADAY</v>
      </c>
      <c r="M181" s="6">
        <f t="shared" si="52"/>
        <v>1.1064814818382729E-2</v>
      </c>
      <c r="N181" s="7">
        <f t="shared" si="66"/>
        <v>15.93333333847113</v>
      </c>
      <c r="O181" s="7"/>
      <c r="P181" s="7"/>
      <c r="Q181" s="23"/>
      <c r="R181" s="23"/>
      <c r="S181" s="35">
        <f t="shared" si="67"/>
        <v>1</v>
      </c>
      <c r="T181" s="50" t="str">
        <f t="shared" si="53"/>
        <v>Southbound</v>
      </c>
      <c r="U181" s="171">
        <f>IF(AG181="EC",COUNTIFS(Variables!$M$2:$M$19,IF(T181="NorthBound","&gt;=","&lt;=")&amp;Y181,Variables!$M$2:$M$19,IF(T181="NorthBound","&lt;=","&gt;=")&amp;Z181),COUNTIFS(Variables!$P$2:$P$19,IF(T181="NorthBound","&gt;=","&lt;=")&amp;Y181,Variables!$P$2:$P$19,IF(T181="NorthBound","&lt;=","&gt;=")&amp;Z181))</f>
        <v>1</v>
      </c>
      <c r="V18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16:37:03-700',mode:absolute,to:'2016-12-11 18:55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1" s="52" t="str">
        <f t="shared" si="55"/>
        <v>N</v>
      </c>
      <c r="X181" s="177">
        <f t="shared" si="68"/>
        <v>1</v>
      </c>
      <c r="Y181" s="67">
        <f t="shared" si="56"/>
        <v>5.8658999999999999</v>
      </c>
      <c r="Z181" s="67">
        <f t="shared" si="57"/>
        <v>6.9199999999999998E-2</v>
      </c>
      <c r="AA181" s="67">
        <f t="shared" si="58"/>
        <v>5.7966999999999995</v>
      </c>
      <c r="AB181" s="64" t="e">
        <f>VLOOKUP(A181,Enforcements!$C$7:$K$20,8,0)</f>
        <v>#N/A</v>
      </c>
      <c r="AC181" s="60" t="e">
        <f>VLOOKUP(A181,Enforcements!$C$7:$E$20,3,0)</f>
        <v>#N/A</v>
      </c>
      <c r="AD181" s="61" t="str">
        <f t="shared" si="59"/>
        <v>1824-11</v>
      </c>
      <c r="AE181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81" s="88" t="str">
        <f t="shared" si="61"/>
        <v>"C:\Program Files (x86)\AstroGrep\AstroGrep.exe" /spath="%USERPROFILE%\AppData\Local\Temp\OnboardLogs" /stypes="app*4045*20161212*" /stext=" 00:.+((SYSTEM_STATE.+slice.+state.+changed )|(ment ac)|(multiple cpu faults)|(system.+state.+changed )|(\[timeout)|(PRM\|1\|D)|(kpr)|(kdp)|(\|lc)|(penalty))" /e /r /s</v>
      </c>
      <c r="AG181" s="1" t="str">
        <f t="shared" si="62"/>
        <v>NW</v>
      </c>
      <c r="AH181" s="92" t="str">
        <f t="shared" si="49"/>
        <v>"%USERPROFILE%\Documents\GitHub\eaglep3\Utilities\RefineRTDCRunTimes.py" --tripid 1824-11 --locoid 4045 --swversion DE.1.0.8.0 --startMP 300:58659 --initTime 2016-12-11T17:37:03 --startdatetime 2016-12-11T17:39:06 --delay 1 --endMP 204:692 --enddatetime 2016-12-11T17:55:02 --enforcementcount 1 &gt;&gt;C:\Users\stu\Documents\GitHub\eaglep3-reporting\EC\2016-12-11-refined-times.txt</v>
      </c>
      <c r="AI181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{"issue":{"subject":"","project_id":79,"tracker_id":40,"status_id":1,"priority_id":2,"assigned_to_id":23,"start_date":"2016-12-11","description":"","custom_fields":[{"id":1,"name":"Subdivision","value":"NW"},{"id":4,"name":"Milepost","value":"0.0692"},{"id":17,"name":"Train ID","value":"1824-11"},{"id":16,"name":"Locomotive ID","value":"4045"},{"id":130,"name":"Impact","value":""},{"id":150,"name":"Time of Event (Mountain Time)","value":"17:55:02"},{"id":151,"name":"Denver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1" s="53"/>
      <c r="AK181" s="53"/>
      <c r="AL181" s="53"/>
      <c r="AM181"/>
      <c r="AN181"/>
      <c r="AO181"/>
      <c r="AP181"/>
      <c r="AQ181"/>
      <c r="AR181"/>
      <c r="AS181"/>
      <c r="AT181"/>
      <c r="AU181"/>
      <c r="AV181"/>
      <c r="AW181"/>
      <c r="AX181"/>
      <c r="AY181"/>
      <c r="AZ181"/>
      <c r="BA181"/>
      <c r="BB181"/>
      <c r="BC181"/>
      <c r="BD181"/>
      <c r="BE181"/>
      <c r="BF181"/>
      <c r="BG181"/>
      <c r="BH181"/>
      <c r="BI181"/>
      <c r="BJ181"/>
      <c r="BK181"/>
      <c r="BL181"/>
      <c r="BM181"/>
      <c r="BN181"/>
      <c r="BO181"/>
      <c r="BP181"/>
      <c r="BQ181"/>
      <c r="BR181"/>
      <c r="BS181"/>
      <c r="BT181"/>
      <c r="BU181"/>
      <c r="BV181"/>
      <c r="BW181"/>
      <c r="BX181"/>
      <c r="BY181"/>
      <c r="BZ181"/>
      <c r="CA181"/>
      <c r="CB181"/>
      <c r="CC181"/>
      <c r="CD181"/>
      <c r="CE181"/>
      <c r="CF181"/>
      <c r="CG181"/>
      <c r="CH181"/>
      <c r="CI181"/>
      <c r="CJ181"/>
      <c r="CK181"/>
      <c r="CL181"/>
      <c r="CM181"/>
    </row>
    <row r="182" spans="1:91" s="21" customFormat="1" x14ac:dyDescent="0.25">
      <c r="A182" s="37" t="s">
        <v>476</v>
      </c>
      <c r="B182" s="7">
        <v>4046</v>
      </c>
      <c r="C182" s="22" t="s">
        <v>207</v>
      </c>
      <c r="D182" s="22" t="s">
        <v>750</v>
      </c>
      <c r="E182" s="13">
        <v>42715.747997685183</v>
      </c>
      <c r="F182" s="13">
        <v>42715.764814814815</v>
      </c>
      <c r="G182" s="7">
        <v>1</v>
      </c>
      <c r="H182" s="22" t="s">
        <v>751</v>
      </c>
      <c r="I182" s="13">
        <v>42715.774687500001</v>
      </c>
      <c r="J182" s="7">
        <v>1</v>
      </c>
      <c r="K182" s="109" t="str">
        <f t="shared" si="51"/>
        <v>4045/4046</v>
      </c>
      <c r="L182" s="22" t="str">
        <f>VLOOKUP(A182,'Trips&amp;Operators'!$C$1:$G$99999,5,FALSE)</f>
        <v>ADANE ELSHADAY</v>
      </c>
      <c r="M182" s="6">
        <f t="shared" si="52"/>
        <v>9.8726851865649223E-3</v>
      </c>
      <c r="N182" s="7">
        <f t="shared" si="66"/>
        <v>14.216666668653488</v>
      </c>
      <c r="O182" s="7"/>
      <c r="P182" s="7"/>
      <c r="Q182" s="23"/>
      <c r="R182" s="23"/>
      <c r="S182" s="35">
        <f t="shared" si="67"/>
        <v>1</v>
      </c>
      <c r="T182" s="50" t="str">
        <f t="shared" si="53"/>
        <v>NorthBound</v>
      </c>
      <c r="U182" s="171">
        <f>IF(AG182="EC",COUNTIFS(Variables!$M$2:$M$19,IF(T182="NorthBound","&gt;=","&lt;=")&amp;Y182,Variables!$M$2:$M$19,IF(T182="NorthBound","&lt;=","&gt;=")&amp;Z182),COUNTIFS(Variables!$P$2:$P$19,IF(T182="NorthBound","&gt;=","&lt;=")&amp;Y182,Variables!$P$2:$P$19,IF(T182="NorthBound","&lt;=","&gt;=")&amp;Z182))</f>
        <v>1</v>
      </c>
      <c r="V18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16:57:07-700',mode:absolute,to:'2016-12-11 19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2" s="52" t="str">
        <f t="shared" si="55"/>
        <v>N</v>
      </c>
      <c r="X182" s="177">
        <f t="shared" si="68"/>
        <v>1</v>
      </c>
      <c r="Y182" s="67">
        <f t="shared" si="56"/>
        <v>9.74E-2</v>
      </c>
      <c r="Z182" s="67">
        <f t="shared" si="57"/>
        <v>5.9016000000000002</v>
      </c>
      <c r="AA182" s="67">
        <f t="shared" si="58"/>
        <v>5.8041999999999998</v>
      </c>
      <c r="AB182" s="64" t="e">
        <f>VLOOKUP(A182,Enforcements!$C$7:$K$20,8,0)</f>
        <v>#N/A</v>
      </c>
      <c r="AC182" s="60" t="e">
        <f>VLOOKUP(A182,Enforcements!$C$7:$E$20,3,0)</f>
        <v>#N/A</v>
      </c>
      <c r="AD182" s="61" t="str">
        <f t="shared" si="59"/>
        <v>1825-11</v>
      </c>
      <c r="AE182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82" s="88" t="str">
        <f t="shared" si="61"/>
        <v>"C:\Program Files (x86)\AstroGrep\AstroGrep.exe" /spath="%USERPROFILE%\AppData\Local\Temp\OnboardLogs" /stypes="app*4046*20161212*" /stext=" 01:.+((SYSTEM_STATE.+slice.+state.+changed )|(ment ac)|(multiple cpu faults)|(system.+state.+changed )|(\[timeout)|(PRM\|1\|D)|(kpr)|(kdp)|(\|lc)|(penalty))" /e /r /s</v>
      </c>
      <c r="AG182" s="1" t="str">
        <f t="shared" si="62"/>
        <v>NW</v>
      </c>
      <c r="AH182" s="92" t="str">
        <f t="shared" si="49"/>
        <v>"%USERPROFILE%\Documents\GitHub\eaglep3\Utilities\RefineRTDCRunTimes.py" --tripid 1825-11 --locoid 4046 --swversion DE.1.0.8.0 --startMP 204:974 --initTime 2016-12-11T17:57:07 --startdatetime 2016-12-11T18:21:20 --delay 1 --endMP 300:59016 --enddatetime 2016-12-11T18:35:33 --enforcementcount 1 &gt;&gt;C:\Users\stu\Documents\GitHub\eaglep3-reporting\EC\2016-12-11-refined-times.txt</v>
      </c>
      <c r="AI182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{"issue":{"subject":"","project_id":79,"tracker_id":40,"status_id":1,"priority_id":2,"assigned_to_id":23,"start_date":"2016-12-11","description":"","custom_fields":[{"id":1,"name":"Subdivision","value":"NW"},{"id":4,"name":"Milepost","value":"5.9016"},{"id":17,"name":"Train ID","value":"1825-11"},{"id":16,"name":"Locomotive ID","value":"4046"},{"id":130,"name":"Impact","value":""},{"id":150,"name":"Time of Event (Mountain Time)","value":"18:35:33"},{"id":151,"name":"Denver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2" s="53"/>
      <c r="AK182" s="53"/>
      <c r="AL182" s="53"/>
      <c r="AM182"/>
      <c r="AN182"/>
      <c r="AO182"/>
      <c r="AP182"/>
      <c r="AQ182"/>
      <c r="AR182"/>
      <c r="AS182"/>
      <c r="AT182"/>
      <c r="AU182"/>
      <c r="AV182"/>
      <c r="AW182"/>
      <c r="AX182"/>
      <c r="AY182"/>
      <c r="AZ182"/>
      <c r="BA182"/>
      <c r="BB182"/>
      <c r="BC182"/>
      <c r="BD182"/>
      <c r="BE182"/>
      <c r="BF182"/>
      <c r="BG182"/>
      <c r="BH182"/>
      <c r="BI182"/>
      <c r="BJ182"/>
      <c r="BK182"/>
      <c r="BL182"/>
      <c r="BM182"/>
      <c r="BN182"/>
      <c r="BO182"/>
      <c r="BP182"/>
      <c r="BQ182"/>
      <c r="BR182"/>
      <c r="BS182"/>
      <c r="BT182"/>
      <c r="BU182"/>
      <c r="BV182"/>
      <c r="BW182"/>
      <c r="BX182"/>
      <c r="BY182"/>
      <c r="BZ182"/>
      <c r="CA182"/>
      <c r="CB182"/>
      <c r="CC182"/>
      <c r="CD182"/>
      <c r="CE182"/>
      <c r="CF182"/>
      <c r="CG182"/>
      <c r="CH182"/>
      <c r="CI182"/>
      <c r="CJ182"/>
      <c r="CK182"/>
      <c r="CL182"/>
      <c r="CM182"/>
    </row>
    <row r="183" spans="1:91" x14ac:dyDescent="0.25">
      <c r="A183" s="37" t="s">
        <v>477</v>
      </c>
      <c r="B183" s="7">
        <v>4045</v>
      </c>
      <c r="C183" s="22" t="s">
        <v>207</v>
      </c>
      <c r="D183" s="22" t="s">
        <v>752</v>
      </c>
      <c r="E183" s="13">
        <v>42715.775937500002</v>
      </c>
      <c r="F183" s="13">
        <v>42715.777650462966</v>
      </c>
      <c r="G183" s="7">
        <v>1</v>
      </c>
      <c r="H183" s="22" t="s">
        <v>753</v>
      </c>
      <c r="I183" s="13">
        <v>42715.78869212963</v>
      </c>
      <c r="J183" s="7">
        <v>1</v>
      </c>
      <c r="K183" s="109" t="str">
        <f t="shared" si="51"/>
        <v>4045/4046</v>
      </c>
      <c r="L183" s="22" t="str">
        <f>VLOOKUP(A183,'Trips&amp;Operators'!$C$1:$G$99999,5,FALSE)</f>
        <v>ADANE ELSHADAY</v>
      </c>
      <c r="M183" s="6">
        <f t="shared" si="52"/>
        <v>1.1041666664823424E-2</v>
      </c>
      <c r="N183" s="7">
        <f t="shared" si="66"/>
        <v>15.899999997345731</v>
      </c>
      <c r="O183" s="7"/>
      <c r="P183" s="7"/>
      <c r="Q183" s="23"/>
      <c r="R183" s="23"/>
      <c r="S183" s="35">
        <f t="shared" si="67"/>
        <v>1</v>
      </c>
      <c r="T183" s="50" t="str">
        <f t="shared" si="53"/>
        <v>Southbound</v>
      </c>
      <c r="U183" s="171">
        <f>IF(AG183="EC",COUNTIFS(Variables!$M$2:$M$19,IF(T183="NorthBound","&gt;=","&lt;=")&amp;Y183,Variables!$M$2:$M$19,IF(T183="NorthBound","&lt;=","&gt;=")&amp;Z183),COUNTIFS(Variables!$P$2:$P$19,IF(T183="NorthBound","&gt;=","&lt;=")&amp;Y183,Variables!$P$2:$P$19,IF(T183="NorthBound","&lt;=","&gt;=")&amp;Z183))</f>
        <v>1</v>
      </c>
      <c r="V18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17:37:21-700',mode:absolute,to:'2016-12-11 19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3" s="52" t="str">
        <f t="shared" si="55"/>
        <v>N</v>
      </c>
      <c r="X183" s="177">
        <f t="shared" si="68"/>
        <v>1</v>
      </c>
      <c r="Y183" s="67">
        <f t="shared" si="56"/>
        <v>5.8695000000000004</v>
      </c>
      <c r="Z183" s="67">
        <f t="shared" si="57"/>
        <v>6.2600000000000003E-2</v>
      </c>
      <c r="AA183" s="67">
        <f t="shared" si="58"/>
        <v>5.8069000000000006</v>
      </c>
      <c r="AB183" s="64" t="e">
        <f>VLOOKUP(A183,Enforcements!$C$7:$K$20,8,0)</f>
        <v>#N/A</v>
      </c>
      <c r="AC183" s="60" t="e">
        <f>VLOOKUP(A183,Enforcements!$C$7:$E$20,3,0)</f>
        <v>#N/A</v>
      </c>
      <c r="AD183" s="61" t="str">
        <f t="shared" si="59"/>
        <v>1826-11</v>
      </c>
      <c r="AE183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83" s="88" t="str">
        <f t="shared" si="61"/>
        <v>"C:\Program Files (x86)\AstroGrep\AstroGrep.exe" /spath="%USERPROFILE%\AppData\Local\Temp\OnboardLogs" /stypes="app*4045*20161212*" /stext=" 01:.+((SYSTEM_STATE.+slice.+state.+changed )|(ment ac)|(multiple cpu faults)|(system.+state.+changed )|(\[timeout)|(PRM\|1\|D)|(kpr)|(kdp)|(\|lc)|(penalty))" /e /r /s</v>
      </c>
      <c r="AG183" s="1" t="str">
        <f t="shared" si="62"/>
        <v>NW</v>
      </c>
      <c r="AH183" s="92" t="str">
        <f t="shared" si="49"/>
        <v>"%USERPROFILE%\Documents\GitHub\eaglep3\Utilities\RefineRTDCRunTimes.py" --tripid 1826-11 --locoid 4045 --swversion DE.1.0.8.0 --startMP 300:58695 --initTime 2016-12-11T18:37:21 --startdatetime 2016-12-11T18:39:49 --delay 1 --endMP 204:626 --enddatetime 2016-12-11T18:55:43 --enforcementcount 1 &gt;&gt;C:\Users\stu\Documents\GitHub\eaglep3-reporting\EC\2016-12-11-refined-times.txt</v>
      </c>
      <c r="AI183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{"issue":{"subject":"","project_id":79,"tracker_id":40,"status_id":1,"priority_id":2,"assigned_to_id":23,"start_date":"2016-12-11","description":"","custom_fields":[{"id":1,"name":"Subdivision","value":"NW"},{"id":4,"name":"Milepost","value":"0.0626"},{"id":17,"name":"Train ID","value":"1826-11"},{"id":16,"name":"Locomotive ID","value":"4045"},{"id":130,"name":"Impact","value":""},{"id":150,"name":"Time of Event (Mountain Time)","value":"18:55:43"},{"id":151,"name":"Denver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3" s="53"/>
      <c r="AK183" s="53"/>
      <c r="AL183" s="53"/>
    </row>
    <row r="184" spans="1:91" x14ac:dyDescent="0.25">
      <c r="A184" s="37" t="s">
        <v>627</v>
      </c>
      <c r="B184" s="7">
        <v>4046</v>
      </c>
      <c r="C184" s="22" t="s">
        <v>207</v>
      </c>
      <c r="D184" s="22" t="s">
        <v>754</v>
      </c>
      <c r="E184" s="13">
        <v>42715.789861111109</v>
      </c>
      <c r="F184" s="13">
        <v>42715.806620370371</v>
      </c>
      <c r="G184" s="7">
        <v>2</v>
      </c>
      <c r="H184" s="22" t="s">
        <v>755</v>
      </c>
      <c r="I184" s="13">
        <v>42715.815833333334</v>
      </c>
      <c r="J184" s="7">
        <v>1</v>
      </c>
      <c r="K184" s="109" t="str">
        <f t="shared" si="51"/>
        <v>4045/4046</v>
      </c>
      <c r="L184" s="22" t="str">
        <f>VLOOKUP(A184,'Trips&amp;Operators'!$C$1:$G$99999,5,FALSE)</f>
        <v>ADANE ELSHADAY</v>
      </c>
      <c r="M184" s="6">
        <f t="shared" si="52"/>
        <v>9.2129629629198462E-3</v>
      </c>
      <c r="N184" s="7">
        <f t="shared" si="66"/>
        <v>13.266666666604578</v>
      </c>
      <c r="O184" s="7"/>
      <c r="P184" s="7"/>
      <c r="Q184" s="23"/>
      <c r="R184" s="23"/>
      <c r="S184" s="35">
        <f t="shared" si="67"/>
        <v>1</v>
      </c>
      <c r="T184" s="50" t="str">
        <f t="shared" si="53"/>
        <v>NorthBound</v>
      </c>
      <c r="U184" s="171">
        <f>IF(AG184="EC",COUNTIFS(Variables!$M$2:$M$19,IF(T184="NorthBound","&gt;=","&lt;=")&amp;Y184,Variables!$M$2:$M$19,IF(T184="NorthBound","&lt;=","&gt;=")&amp;Z184),COUNTIFS(Variables!$P$2:$P$19,IF(T184="NorthBound","&gt;=","&lt;=")&amp;Y184,Variables!$P$2:$P$19,IF(T184="NorthBound","&lt;=","&gt;=")&amp;Z184))</f>
        <v>1</v>
      </c>
      <c r="V18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17:57:24-700',mode:absolute,to:'2016-12-11 20:34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4" s="52" t="str">
        <f t="shared" si="55"/>
        <v>N</v>
      </c>
      <c r="X184" s="177">
        <f t="shared" si="68"/>
        <v>1</v>
      </c>
      <c r="Y184" s="67">
        <f t="shared" si="56"/>
        <v>9.1800000000000007E-2</v>
      </c>
      <c r="Z184" s="67">
        <f t="shared" si="57"/>
        <v>5.9002999999999997</v>
      </c>
      <c r="AA184" s="67">
        <f t="shared" si="58"/>
        <v>5.8084999999999996</v>
      </c>
      <c r="AB184" s="64" t="e">
        <f>VLOOKUP(A184,Enforcements!$C$7:$K$20,8,0)</f>
        <v>#N/A</v>
      </c>
      <c r="AC184" s="60" t="e">
        <f>VLOOKUP(A184,Enforcements!$C$7:$E$20,3,0)</f>
        <v>#N/A</v>
      </c>
      <c r="AD184" s="61" t="str">
        <f t="shared" si="59"/>
        <v>1827-11</v>
      </c>
      <c r="AE184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84" s="88" t="str">
        <f t="shared" si="61"/>
        <v>"C:\Program Files (x86)\AstroGrep\AstroGrep.exe" /spath="%USERPROFILE%\AppData\Local\Temp\OnboardLogs" /stypes="app*4046*20161212*" /stext=" 02:.+((SYSTEM_STATE.+slice.+state.+changed )|(ment ac)|(multiple cpu faults)|(system.+state.+changed )|(\[timeout)|(PRM\|1\|D)|(kpr)|(kdp)|(\|lc)|(penalty))" /e /r /s</v>
      </c>
      <c r="AG184" s="1" t="str">
        <f t="shared" si="62"/>
        <v>NW</v>
      </c>
      <c r="AH184" s="92" t="str">
        <f t="shared" si="49"/>
        <v>"%USERPROFILE%\Documents\GitHub\eaglep3\Utilities\RefineRTDCRunTimes.py" --tripid 1827-11 --locoid 4046 --swversion DE.1.0.8.0 --startMP 204:918 --initTime 2016-12-11T18:57:24 --startdatetime 2016-12-11T19:21:32 --delay 2 --endMP 300:59003 --enddatetime 2016-12-11T19:34:48 --enforcementcount 1 &gt;&gt;C:\Users\stu\Documents\GitHub\eaglep3-reporting\EC\2016-12-11-refined-times.txt</v>
      </c>
      <c r="AI184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{"issue":{"subject":"","project_id":79,"tracker_id":40,"status_id":1,"priority_id":2,"assigned_to_id":23,"start_date":"2016-12-11","description":"","custom_fields":[{"id":1,"name":"Subdivision","value":"NW"},{"id":4,"name":"Milepost","value":"5.9003"},{"id":17,"name":"Train ID","value":"1827-11"},{"id":16,"name":"Locomotive ID","value":"4046"},{"id":130,"name":"Impact","value":""},{"id":150,"name":"Time of Event (Mountain Time)","value":"19:34:48"},{"id":151,"name":"Denver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4" s="53"/>
      <c r="AK184" s="53"/>
      <c r="AL184" s="53"/>
    </row>
    <row r="185" spans="1:91" x14ac:dyDescent="0.25">
      <c r="A185" s="37" t="s">
        <v>478</v>
      </c>
      <c r="B185" s="7">
        <v>4045</v>
      </c>
      <c r="C185" s="22" t="s">
        <v>207</v>
      </c>
      <c r="D185" s="22" t="s">
        <v>756</v>
      </c>
      <c r="E185" s="13">
        <v>42715.817083333335</v>
      </c>
      <c r="F185" s="13">
        <v>42715.818460648145</v>
      </c>
      <c r="G185" s="7">
        <v>1</v>
      </c>
      <c r="H185" s="22" t="s">
        <v>757</v>
      </c>
      <c r="I185" s="13">
        <v>42715.832048611112</v>
      </c>
      <c r="J185" s="7">
        <v>1</v>
      </c>
      <c r="K185" s="109" t="str">
        <f t="shared" si="51"/>
        <v>4045/4046</v>
      </c>
      <c r="L185" s="22" t="str">
        <f>VLOOKUP(A185,'Trips&amp;Operators'!$C$1:$G$99999,5,FALSE)</f>
        <v>ADANE ELSHADAY</v>
      </c>
      <c r="M185" s="6">
        <f t="shared" si="52"/>
        <v>1.3587962966994382E-2</v>
      </c>
      <c r="N185" s="7">
        <f t="shared" si="66"/>
        <v>19.566666672471911</v>
      </c>
      <c r="O185" s="7"/>
      <c r="P185" s="7"/>
      <c r="Q185" s="23"/>
      <c r="R185" s="23"/>
      <c r="S185" s="35">
        <f t="shared" si="67"/>
        <v>1</v>
      </c>
      <c r="T185" s="50" t="str">
        <f t="shared" si="53"/>
        <v>Southbound</v>
      </c>
      <c r="U185" s="171">
        <f>IF(AG185="EC",COUNTIFS(Variables!$M$2:$M$19,IF(T185="NorthBound","&gt;=","&lt;=")&amp;Y185,Variables!$M$2:$M$19,IF(T185="NorthBound","&lt;=","&gt;=")&amp;Z185),COUNTIFS(Variables!$P$2:$P$19,IF(T185="NorthBound","&gt;=","&lt;=")&amp;Y185,Variables!$P$2:$P$19,IF(T185="NorthBound","&lt;=","&gt;=")&amp;Z185))</f>
        <v>1</v>
      </c>
      <c r="V18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18:36:36-700',mode:absolute,to:'2016-12-11 20:58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5" s="52" t="str">
        <f t="shared" si="55"/>
        <v>N</v>
      </c>
      <c r="X185" s="177">
        <f t="shared" si="68"/>
        <v>1</v>
      </c>
      <c r="Y185" s="67">
        <f t="shared" si="56"/>
        <v>5.8685</v>
      </c>
      <c r="Z185" s="67">
        <f t="shared" si="57"/>
        <v>6.3299999999999995E-2</v>
      </c>
      <c r="AA185" s="67">
        <f t="shared" si="58"/>
        <v>5.8052000000000001</v>
      </c>
      <c r="AB185" s="64" t="e">
        <f>VLOOKUP(A185,Enforcements!$C$7:$K$20,8,0)</f>
        <v>#N/A</v>
      </c>
      <c r="AC185" s="60" t="e">
        <f>VLOOKUP(A185,Enforcements!$C$7:$E$20,3,0)</f>
        <v>#N/A</v>
      </c>
      <c r="AD185" s="61" t="str">
        <f t="shared" si="59"/>
        <v>1828-11</v>
      </c>
      <c r="AE185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85" s="88" t="str">
        <f t="shared" si="61"/>
        <v>"C:\Program Files (x86)\AstroGrep\AstroGrep.exe" /spath="%USERPROFILE%\AppData\Local\Temp\OnboardLogs" /stypes="app*4045*20161212*" /stext=" 02:.+((SYSTEM_STATE.+slice.+state.+changed )|(ment ac)|(multiple cpu faults)|(system.+state.+changed )|(\[timeout)|(PRM\|1\|D)|(kpr)|(kdp)|(\|lc)|(penalty))" /e /r /s</v>
      </c>
      <c r="AG185" s="1" t="str">
        <f t="shared" si="62"/>
        <v>NW</v>
      </c>
      <c r="AH185" s="92" t="str">
        <f t="shared" si="49"/>
        <v>"%USERPROFILE%\Documents\GitHub\eaglep3\Utilities\RefineRTDCRunTimes.py" --tripid 1828-11 --locoid 4045 --swversion DE.1.0.8.0 --startMP 300:58685 --initTime 2016-12-11T19:36:36 --startdatetime 2016-12-11T19:38:35 --delay 1 --endMP 204:633 --enddatetime 2016-12-11T19:58:09 --enforcementcount 1 &gt;&gt;C:\Users\stu\Documents\GitHub\eaglep3-reporting\EC\2016-12-11-refined-times.txt</v>
      </c>
      <c r="AI185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{"issue":{"subject":"","project_id":79,"tracker_id":40,"status_id":1,"priority_id":2,"assigned_to_id":23,"start_date":"2016-12-11","description":"","custom_fields":[{"id":1,"name":"Subdivision","value":"NW"},{"id":4,"name":"Milepost","value":"0.0633"},{"id":17,"name":"Train ID","value":"1828-11"},{"id":16,"name":"Locomotive ID","value":"4045"},{"id":130,"name":"Impact","value":""},{"id":150,"name":"Time of Event (Mountain Time)","value":"19:58:09"},{"id":151,"name":"Denver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5" s="53"/>
      <c r="AK185" s="53"/>
      <c r="AL185" s="53"/>
    </row>
    <row r="186" spans="1:91" x14ac:dyDescent="0.25">
      <c r="A186" s="37" t="s">
        <v>479</v>
      </c>
      <c r="B186" s="7">
        <v>4046</v>
      </c>
      <c r="C186" s="22" t="s">
        <v>207</v>
      </c>
      <c r="D186" s="22" t="s">
        <v>758</v>
      </c>
      <c r="E186" s="13">
        <v>42715.834108796298</v>
      </c>
      <c r="F186" s="13">
        <v>42715.84920138889</v>
      </c>
      <c r="G186" s="7">
        <v>1</v>
      </c>
      <c r="H186" s="22" t="s">
        <v>295</v>
      </c>
      <c r="I186" s="13">
        <v>42715.858981481484</v>
      </c>
      <c r="J186" s="7">
        <v>1</v>
      </c>
      <c r="K186" s="109" t="str">
        <f t="shared" si="51"/>
        <v>4045/4046</v>
      </c>
      <c r="L186" s="22" t="str">
        <f>VLOOKUP(A186,'Trips&amp;Operators'!$C$1:$G$99999,5,FALSE)</f>
        <v>ADANE ELSHADAY</v>
      </c>
      <c r="M186" s="6">
        <f t="shared" si="52"/>
        <v>9.7800925941555761E-3</v>
      </c>
      <c r="N186" s="7">
        <f t="shared" si="66"/>
        <v>14.08333333558403</v>
      </c>
      <c r="O186" s="7"/>
      <c r="P186" s="7"/>
      <c r="Q186" s="23"/>
      <c r="R186" s="23"/>
      <c r="S186" s="35">
        <f t="shared" si="67"/>
        <v>1</v>
      </c>
      <c r="T186" s="50" t="str">
        <f t="shared" si="53"/>
        <v>NorthBound</v>
      </c>
      <c r="U186" s="171">
        <f>IF(AG186="EC",COUNTIFS(Variables!$M$2:$M$19,IF(T186="NorthBound","&gt;=","&lt;=")&amp;Y186,Variables!$M$2:$M$19,IF(T186="NorthBound","&lt;=","&gt;=")&amp;Z186),COUNTIFS(Variables!$P$2:$P$19,IF(T186="NorthBound","&gt;=","&lt;=")&amp;Y186,Variables!$P$2:$P$19,IF(T186="NorthBound","&lt;=","&gt;=")&amp;Z186))</f>
        <v>1</v>
      </c>
      <c r="V18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19:01:07-700',mode:absolute,to:'2016-12-11 21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6" s="52" t="str">
        <f t="shared" si="55"/>
        <v>N</v>
      </c>
      <c r="X186" s="177">
        <f t="shared" si="68"/>
        <v>1</v>
      </c>
      <c r="Y186" s="67">
        <f t="shared" si="56"/>
        <v>9.3200000000000005E-2</v>
      </c>
      <c r="Z186" s="67">
        <f t="shared" si="57"/>
        <v>5.8943000000000003</v>
      </c>
      <c r="AA186" s="67">
        <f t="shared" si="58"/>
        <v>5.8010999999999999</v>
      </c>
      <c r="AB186" s="64" t="e">
        <f>VLOOKUP(A186,Enforcements!$C$7:$K$20,8,0)</f>
        <v>#N/A</v>
      </c>
      <c r="AC186" s="60" t="e">
        <f>VLOOKUP(A186,Enforcements!$C$7:$E$20,3,0)</f>
        <v>#N/A</v>
      </c>
      <c r="AD186" s="61" t="str">
        <f t="shared" si="59"/>
        <v>1829-11</v>
      </c>
      <c r="AE186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86" s="88" t="str">
        <f t="shared" si="61"/>
        <v>"C:\Program Files (x86)\AstroGrep\AstroGrep.exe" /spath="%USERPROFILE%\AppData\Local\Temp\OnboardLogs" /stypes="app*4046*20161212*" /stext=" 03:.+((SYSTEM_STATE.+slice.+state.+changed )|(ment ac)|(multiple cpu faults)|(system.+state.+changed )|(\[timeout)|(PRM\|1\|D)|(kpr)|(kdp)|(\|lc)|(penalty))" /e /r /s</v>
      </c>
      <c r="AG186" s="1" t="str">
        <f t="shared" si="62"/>
        <v>NW</v>
      </c>
      <c r="AH186" s="92" t="str">
        <f t="shared" si="49"/>
        <v>"%USERPROFILE%\Documents\GitHub\eaglep3\Utilities\RefineRTDCRunTimes.py" --tripid 1829-11 --locoid 4046 --swversion DE.1.0.8.0 --startMP 204:932 --initTime 2016-12-11T20:01:07 --startdatetime 2016-12-11T20:22:51 --delay 1 --endMP 300:58943 --enddatetime 2016-12-11T20:36:56 --enforcementcount 1 &gt;&gt;C:\Users\stu\Documents\GitHub\eaglep3-reporting\EC\2016-12-11-refined-times.txt</v>
      </c>
      <c r="AI186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{"issue":{"subject":"","project_id":79,"tracker_id":40,"status_id":1,"priority_id":2,"assigned_to_id":23,"start_date":"2016-12-11","description":"","custom_fields":[{"id":1,"name":"Subdivision","value":"NW"},{"id":4,"name":"Milepost","value":"5.8943"},{"id":17,"name":"Train ID","value":"1829-11"},{"id":16,"name":"Locomotive ID","value":"4046"},{"id":130,"name":"Impact","value":""},{"id":150,"name":"Time of Event (Mountain Time)","value":"20:36:56"},{"id":151,"name":"Denver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6" s="53"/>
      <c r="AK186" s="53"/>
      <c r="AL186" s="53"/>
    </row>
    <row r="187" spans="1:91" x14ac:dyDescent="0.25">
      <c r="A187" s="37" t="s">
        <v>637</v>
      </c>
      <c r="B187" s="7">
        <v>4045</v>
      </c>
      <c r="C187" s="22" t="s">
        <v>207</v>
      </c>
      <c r="D187" s="22" t="s">
        <v>367</v>
      </c>
      <c r="E187" s="13">
        <v>42715.860138888886</v>
      </c>
      <c r="F187" s="13">
        <v>42715.862615740742</v>
      </c>
      <c r="G187" s="7">
        <v>1</v>
      </c>
      <c r="H187" s="22" t="s">
        <v>433</v>
      </c>
      <c r="I187" s="13">
        <v>42715.871898148151</v>
      </c>
      <c r="J187" s="7">
        <v>1</v>
      </c>
      <c r="K187" s="109" t="str">
        <f t="shared" si="51"/>
        <v>4045/4046</v>
      </c>
      <c r="L187" s="22" t="str">
        <f>VLOOKUP(A187,'Trips&amp;Operators'!$C$1:$G$99999,5,FALSE)</f>
        <v>ADANE ELSHADAY</v>
      </c>
      <c r="M187" s="6">
        <f t="shared" si="52"/>
        <v>9.2824074090458453E-3</v>
      </c>
      <c r="N187" s="7">
        <f t="shared" si="66"/>
        <v>13.366666669026017</v>
      </c>
      <c r="O187" s="7"/>
      <c r="P187" s="7"/>
      <c r="Q187" s="23"/>
      <c r="R187" s="23"/>
      <c r="S187" s="35">
        <f t="shared" si="67"/>
        <v>1</v>
      </c>
      <c r="T187" s="50" t="str">
        <f t="shared" si="53"/>
        <v>Southbound</v>
      </c>
      <c r="U187" s="171">
        <f>IF(AG187="EC",COUNTIFS(Variables!$M$2:$M$19,IF(T187="NorthBound","&gt;=","&lt;=")&amp;Y187,Variables!$M$2:$M$19,IF(T187="NorthBound","&lt;=","&gt;=")&amp;Z187),COUNTIFS(Variables!$P$2:$P$19,IF(T187="NorthBound","&gt;=","&lt;=")&amp;Y187,Variables!$P$2:$P$19,IF(T187="NorthBound","&lt;=","&gt;=")&amp;Z187))</f>
        <v>1</v>
      </c>
      <c r="V18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19:38:36-700',mode:absolute,to:'2016-12-11 21:55:32-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7" s="52" t="str">
        <f t="shared" si="55"/>
        <v>N</v>
      </c>
      <c r="X187" s="177">
        <f t="shared" si="68"/>
        <v>1</v>
      </c>
      <c r="Y187" s="67">
        <f t="shared" si="56"/>
        <v>5.8623000000000003</v>
      </c>
      <c r="Z187" s="67">
        <f t="shared" si="57"/>
        <v>7.1199999999999999E-2</v>
      </c>
      <c r="AA187" s="67">
        <f t="shared" si="58"/>
        <v>5.7911000000000001</v>
      </c>
      <c r="AB187" s="64" t="e">
        <f>VLOOKUP(A187,Enforcements!$C$7:$K$20,8,0)</f>
        <v>#N/A</v>
      </c>
      <c r="AC187" s="60" t="e">
        <f>VLOOKUP(A187,Enforcements!$C$7:$E$20,3,0)</f>
        <v>#N/A</v>
      </c>
      <c r="AD187" s="61" t="str">
        <f t="shared" si="59"/>
        <v>1830-11</v>
      </c>
      <c r="AE187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87" s="88" t="str">
        <f t="shared" si="61"/>
        <v>"C:\Program Files (x86)\AstroGrep\AstroGrep.exe" /spath="%USERPROFILE%\AppData\Local\Temp\OnboardLogs" /stypes="app*4045*20161212*" /stext=" 03:.+((SYSTEM_STATE.+slice.+state.+changed )|(ment ac)|(multiple cpu faults)|(system.+state.+changed )|(\[timeout)|(PRM\|1\|D)|(kpr)|(kdp)|(\|lc)|(penalty))" /e /r /s</v>
      </c>
      <c r="AG187" s="1" t="str">
        <f t="shared" si="62"/>
        <v>NW</v>
      </c>
      <c r="AH187" s="92" t="str">
        <f t="shared" si="49"/>
        <v>"%USERPROFILE%\Documents\GitHub\eaglep3\Utilities\RefineRTDCRunTimes.py" --tripid 1830-11 --locoid 4045 --swversion DE.1.0.8.0 --startMP 300:58623 --initTime 2016-12-11T20:38:36 --startdatetime 2016-12-11T20:42:10 --delay 1 --endMP 204:712 --enddatetime 2016-12-11T20:55:32 --enforcementcount 1 &gt;&gt;C:\Users\stu\Documents\GitHub\eaglep3-reporting\EC\2016-12-11-refined-times.txt</v>
      </c>
      <c r="AI187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{"issue":{"subject":"","project_id":79,"tracker_id":40,"status_id":1,"priority_id":2,"assigned_to_id":23,"start_date":"2016-12-11","description":"","custom_fields":[{"id":1,"name":"Subdivision","value":"NW"},{"id":4,"name":"Milepost","value":"0.0712"},{"id":17,"name":"Train ID","value":"1830-11"},{"id":16,"name":"Locomotive ID","value":"4045"},{"id":130,"name":"Impact","value":""},{"id":150,"name":"Time of Event (Mountain Time)","value":"20:55:32"},{"id":151,"name":"Denver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7" s="53"/>
      <c r="AK187" s="53"/>
      <c r="AL187" s="53"/>
    </row>
    <row r="188" spans="1:91" x14ac:dyDescent="0.25">
      <c r="A188" s="37" t="s">
        <v>481</v>
      </c>
      <c r="B188" s="7">
        <v>4046</v>
      </c>
      <c r="C188" s="22" t="s">
        <v>207</v>
      </c>
      <c r="D188" s="22" t="s">
        <v>760</v>
      </c>
      <c r="E188" s="13">
        <v>42715.873414351852</v>
      </c>
      <c r="F188" s="13">
        <v>42715.889953703707</v>
      </c>
      <c r="G188" s="7">
        <v>1</v>
      </c>
      <c r="H188" s="22" t="s">
        <v>761</v>
      </c>
      <c r="I188" s="13">
        <v>42715.901689814818</v>
      </c>
      <c r="J188" s="7">
        <v>1</v>
      </c>
      <c r="K188" s="109" t="str">
        <f t="shared" si="51"/>
        <v>4045/4046</v>
      </c>
      <c r="L188" s="22" t="str">
        <f>VLOOKUP(A188,'Trips&amp;Operators'!$C$1:$G$99999,5,FALSE)</f>
        <v>ADANE ELSHADAY</v>
      </c>
      <c r="M188" s="6">
        <f t="shared" si="52"/>
        <v>1.17361111115315E-2</v>
      </c>
      <c r="N188" s="7">
        <f t="shared" si="66"/>
        <v>16.90000000060536</v>
      </c>
      <c r="O188" s="7"/>
      <c r="P188" s="7"/>
      <c r="Q188" s="23"/>
      <c r="R188" s="23"/>
      <c r="S188" s="35">
        <f t="shared" si="67"/>
        <v>1</v>
      </c>
      <c r="T188" s="50" t="str">
        <f t="shared" si="53"/>
        <v>NorthBound</v>
      </c>
      <c r="U188" s="171">
        <f>IF(AG188="EC",COUNTIFS(Variables!$M$2:$M$19,IF(T188="NorthBound","&gt;=","&lt;=")&amp;Y188,Variables!$M$2:$M$19,IF(T188="NorthBound","&lt;=","&gt;=")&amp;Z188),COUNTIFS(Variables!$P$2:$P$19,IF(T188="NorthBound","&gt;=","&lt;=")&amp;Y188,Variables!$P$2:$P$19,IF(T188="NorthBound","&lt;=","&gt;=")&amp;Z188))</f>
        <v>1</v>
      </c>
      <c r="V18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19:57:43-700',mode:absolute,to:'2016-12-11 22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88" s="52" t="str">
        <f t="shared" si="55"/>
        <v>N</v>
      </c>
      <c r="X188" s="177">
        <f t="shared" si="68"/>
        <v>1</v>
      </c>
      <c r="Y188" s="67">
        <f t="shared" si="56"/>
        <v>9.8500000000000004E-2</v>
      </c>
      <c r="Z188" s="67">
        <f t="shared" si="57"/>
        <v>5.8996000000000004</v>
      </c>
      <c r="AA188" s="67">
        <f t="shared" si="58"/>
        <v>5.8011000000000008</v>
      </c>
      <c r="AB188" s="64" t="e">
        <f>VLOOKUP(A188,Enforcements!$C$7:$K$20,8,0)</f>
        <v>#N/A</v>
      </c>
      <c r="AC188" s="60" t="e">
        <f>VLOOKUP(A188,Enforcements!$C$7:$E$20,3,0)</f>
        <v>#N/A</v>
      </c>
      <c r="AD188" s="61" t="str">
        <f t="shared" si="59"/>
        <v>1831-11</v>
      </c>
      <c r="AE188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88" s="88" t="str">
        <f t="shared" si="61"/>
        <v>"C:\Program Files (x86)\AstroGrep\AstroGrep.exe" /spath="%USERPROFILE%\AppData\Local\Temp\OnboardLogs" /stypes="app*4046*20161212*" /stext=" 04:.+((SYSTEM_STATE.+slice.+state.+changed )|(ment ac)|(multiple cpu faults)|(system.+state.+changed )|(\[timeout)|(PRM\|1\|D)|(kpr)|(kdp)|(\|lc)|(penalty))" /e /r /s</v>
      </c>
      <c r="AG188" s="1" t="str">
        <f t="shared" si="62"/>
        <v>NW</v>
      </c>
      <c r="AH188" s="92" t="str">
        <f t="shared" si="49"/>
        <v>"%USERPROFILE%\Documents\GitHub\eaglep3\Utilities\RefineRTDCRunTimes.py" --tripid 1831-11 --locoid 4046 --swversion DE.1.0.8.0 --startMP 204:985 --initTime 2016-12-11T20:57:43 --startdatetime 2016-12-11T21:21:32 --delay 1 --endMP 300:58996 --enddatetime 2016-12-11T21:38:26 --enforcementcount 1 &gt;&gt;C:\Users\stu\Documents\GitHub\eaglep3-reporting\EC\2016-12-11-refined-times.txt</v>
      </c>
      <c r="AI188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{"issue":{"subject":"","project_id":79,"tracker_id":40,"status_id":1,"priority_id":2,"assigned_to_id":23,"start_date":"2016-12-11","description":"","custom_fields":[{"id":1,"name":"Subdivision","value":"NW"},{"id":4,"name":"Milepost","value":"5.8996"},{"id":17,"name":"Train ID","value":"1831-11"},{"id":16,"name":"Locomotive ID","value":"4046"},{"id":130,"name":"Impact","value":""},{"id":150,"name":"Time of Event (Mountain Time)","value":"21:38:26"},{"id":151,"name":"Denver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8" s="53"/>
      <c r="AK188" s="53"/>
      <c r="AL188" s="53"/>
    </row>
    <row r="189" spans="1:91" x14ac:dyDescent="0.25">
      <c r="A189" s="37" t="s">
        <v>482</v>
      </c>
      <c r="B189" s="7">
        <v>4045</v>
      </c>
      <c r="C189" s="22" t="s">
        <v>207</v>
      </c>
      <c r="D189" s="22" t="s">
        <v>762</v>
      </c>
      <c r="E189" s="13">
        <v>42715.904108796298</v>
      </c>
      <c r="F189" s="13">
        <v>42715.90556712963</v>
      </c>
      <c r="G189" s="7">
        <v>1</v>
      </c>
      <c r="H189" s="22" t="s">
        <v>763</v>
      </c>
      <c r="I189" s="13">
        <v>42715.915636574071</v>
      </c>
      <c r="J189" s="7">
        <v>1</v>
      </c>
      <c r="K189" s="109" t="str">
        <f t="shared" si="51"/>
        <v>4045/4046</v>
      </c>
      <c r="L189" s="22" t="str">
        <f>VLOOKUP(A189,'Trips&amp;Operators'!$C$1:$G$99999,5,FALSE)</f>
        <v>ADANE ELSHADAY</v>
      </c>
      <c r="M189" s="6">
        <f t="shared" si="52"/>
        <v>1.006944444088731E-2</v>
      </c>
      <c r="N189" s="7">
        <f t="shared" si="66"/>
        <v>14.499999994877726</v>
      </c>
      <c r="O189" s="7"/>
      <c r="P189" s="7"/>
      <c r="Q189" s="23"/>
      <c r="R189" s="23"/>
      <c r="S189" s="35">
        <f t="shared" si="67"/>
        <v>1</v>
      </c>
      <c r="T189" s="50" t="str">
        <f t="shared" si="53"/>
        <v>Southbound</v>
      </c>
      <c r="U189" s="171">
        <f>IF(AG189="EC",COUNTIFS(Variables!$M$2:$M$19,IF(T189="NorthBound","&gt;=","&lt;=")&amp;Y189,Variables!$M$2:$M$19,IF(T189="NorthBound","&lt;=","&gt;=")&amp;Z189),COUNTIFS(Variables!$P$2:$P$19,IF(T189="NorthBound","&gt;=","&lt;=")&amp;Y189,Variables!$P$2:$P$19,IF(T189="NorthBound","&lt;=","&gt;=")&amp;Z189))</f>
        <v>1</v>
      </c>
      <c r="V18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20:41:55-700',mode:absolute,to:'2016-12-11 22:58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189" s="52" t="str">
        <f t="shared" si="55"/>
        <v>N</v>
      </c>
      <c r="X189" s="177">
        <f t="shared" si="68"/>
        <v>1</v>
      </c>
      <c r="Y189" s="67">
        <f t="shared" si="56"/>
        <v>5.8681000000000001</v>
      </c>
      <c r="Z189" s="67">
        <f t="shared" si="57"/>
        <v>7.0499999999999993E-2</v>
      </c>
      <c r="AA189" s="67">
        <f t="shared" si="58"/>
        <v>5.7976000000000001</v>
      </c>
      <c r="AB189" s="64" t="e">
        <f>VLOOKUP(A189,Enforcements!$C$7:$K$20,8,0)</f>
        <v>#N/A</v>
      </c>
      <c r="AC189" s="60" t="e">
        <f>VLOOKUP(A189,Enforcements!$C$7:$E$20,3,0)</f>
        <v>#N/A</v>
      </c>
      <c r="AD189" s="61" t="str">
        <f t="shared" si="59"/>
        <v>1832-11</v>
      </c>
      <c r="AE189" s="91" t="str">
        <f t="shared" si="60"/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189" s="88" t="str">
        <f t="shared" si="61"/>
        <v>"C:\Program Files (x86)\AstroGrep\AstroGrep.exe" /spath="%USERPROFILE%\AppData\Local\Temp\OnboardLogs" /stypes="app*4045*20161212*" /stext=" 04:.+((SYSTEM_STATE.+slice.+state.+changed )|(ment ac)|(multiple cpu faults)|(system.+state.+changed )|(\[timeout)|(PRM\|1\|D)|(kpr)|(kdp)|(\|lc)|(penalty))" /e /r /s</v>
      </c>
      <c r="AG189" s="1" t="str">
        <f t="shared" si="62"/>
        <v>NW</v>
      </c>
      <c r="AH189" s="92" t="str">
        <f t="shared" si="49"/>
        <v>"%USERPROFILE%\Documents\GitHub\eaglep3\Utilities\RefineRTDCRunTimes.py" --tripid 1832-11 --locoid 4045 --swversion DE.1.0.8.0 --startMP 300:58681 --initTime 2016-12-11T21:41:55 --startdatetime 2016-12-11T21:44:01 --delay 1 --endMP 204:705 --enddatetime 2016-12-11T21:58:31 --enforcementcount 1 &gt;&gt;C:\Users\stu\Documents\GitHub\eaglep3-reporting\EC\2016-12-11-refined-times.txt</v>
      </c>
      <c r="AI189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{"issue":{"subject":"","project_id":79,"tracker_id":40,"status_id":1,"priority_id":2,"assigned_to_id":23,"start_date":"2016-12-11","description":"","custom_fields":[{"id":1,"name":"Subdivision","value":"NW"},{"id":4,"name":"Milepost","value":"0.0705"},{"id":17,"name":"Train ID","value":"1832-11"},{"id":16,"name":"Locomotive ID","value":"4045"},{"id":130,"name":"Impact","value":""},{"id":150,"name":"Time of Event (Mountain Time)","value":"21:58:31"},{"id":151,"name":"Denver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89" s="53"/>
      <c r="AK189" s="53"/>
      <c r="AL189" s="53"/>
    </row>
    <row r="190" spans="1:91" x14ac:dyDescent="0.25">
      <c r="A190" s="37" t="s">
        <v>646</v>
      </c>
      <c r="B190" s="7">
        <v>4046</v>
      </c>
      <c r="C190" s="22" t="s">
        <v>207</v>
      </c>
      <c r="D190" s="22" t="s">
        <v>739</v>
      </c>
      <c r="E190" s="13">
        <v>42715.920486111114</v>
      </c>
      <c r="F190" s="13">
        <v>42715.932916666665</v>
      </c>
      <c r="G190" s="7">
        <v>1</v>
      </c>
      <c r="H190" s="22" t="s">
        <v>764</v>
      </c>
      <c r="I190" s="13">
        <v>42715.942372685182</v>
      </c>
      <c r="J190" s="7">
        <v>1</v>
      </c>
      <c r="K190" s="109" t="str">
        <f t="shared" si="51"/>
        <v>4045/4046</v>
      </c>
      <c r="L190" s="22" t="str">
        <f>VLOOKUP(A190,'Trips&amp;Operators'!$C$1:$G$99999,5,FALSE)</f>
        <v>ADANE ELSHADAY</v>
      </c>
      <c r="M190" s="6">
        <f t="shared" si="52"/>
        <v>9.4560185170848854E-3</v>
      </c>
      <c r="N190" s="7">
        <f t="shared" si="66"/>
        <v>13.616666664602235</v>
      </c>
      <c r="O190" s="7"/>
      <c r="P190" s="7"/>
      <c r="Q190" s="23"/>
      <c r="R190" s="23"/>
      <c r="S190" s="35">
        <f t="shared" si="67"/>
        <v>1</v>
      </c>
      <c r="T190" s="50" t="str">
        <f t="shared" si="53"/>
        <v>NorthBound</v>
      </c>
      <c r="U190" s="171">
        <f>IF(AG190="EC",COUNTIFS(Variables!$M$2:$M$19,IF(T190="NorthBound","&gt;=","&lt;=")&amp;Y190,Variables!$M$2:$M$19,IF(T190="NorthBound","&lt;=","&gt;=")&amp;Z190),COUNTIFS(Variables!$P$2:$P$19,IF(T190="NorthBound","&gt;=","&lt;=")&amp;Y190,Variables!$P$2:$P$19,IF(T190="NorthBound","&lt;=","&gt;=")&amp;Z190))</f>
        <v>1</v>
      </c>
      <c r="V19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21:05:30-700',mode:absolute,to:'2016-12-11 23:37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W190" s="52" t="str">
        <f t="shared" si="55"/>
        <v>N</v>
      </c>
      <c r="X190" s="177">
        <f t="shared" si="68"/>
        <v>1</v>
      </c>
      <c r="Y190" s="67">
        <f t="shared" si="56"/>
        <v>9.9699999999999997E-2</v>
      </c>
      <c r="Z190" s="67">
        <f t="shared" si="57"/>
        <v>5.8971</v>
      </c>
      <c r="AA190" s="67">
        <f t="shared" si="58"/>
        <v>5.7973999999999997</v>
      </c>
      <c r="AB190" s="64" t="e">
        <f>VLOOKUP(A190,Enforcements!$C$7:$K$20,8,0)</f>
        <v>#N/A</v>
      </c>
      <c r="AC190" s="60" t="e">
        <f>VLOOKUP(A190,Enforcements!$C$7:$E$20,3,0)</f>
        <v>#N/A</v>
      </c>
      <c r="AD190" s="61" t="str">
        <f t="shared" si="59"/>
        <v>1833-11</v>
      </c>
      <c r="AE190" s="91" t="str">
        <f t="shared" si="60"/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AF190" s="88" t="str">
        <f t="shared" si="61"/>
        <v>"C:\Program Files (x86)\AstroGrep\AstroGrep.exe" /spath="%USERPROFILE%\AppData\Local\Temp\OnboardLogs" /stypes="app*4046*20161212*" /stext=" 05:.+((SYSTEM_STATE.+slice.+state.+changed )|(ment ac)|(multiple cpu faults)|(system.+state.+changed )|(\[timeout)|(PRM\|1\|D)|(kpr)|(kdp)|(\|lc)|(penalty))" /e /r /s</v>
      </c>
      <c r="AG190" s="1" t="str">
        <f t="shared" si="62"/>
        <v>NW</v>
      </c>
      <c r="AH190" s="92" t="str">
        <f t="shared" si="49"/>
        <v>"%USERPROFILE%\Documents\GitHub\eaglep3\Utilities\RefineRTDCRunTimes.py" --tripid 1833-11 --locoid 4046 --swversion DE.1.0.8.0 --startMP 204:997 --initTime 2016-12-11T22:05:30 --startdatetime 2016-12-11T22:23:24 --delay 1 --endMP 300:58971 --enddatetime 2016-12-11T22:37:01 --enforcementcount 1 &gt;&gt;C:\Users\stu\Documents\GitHub\eaglep3-reporting\EC\2016-12-11-refined-times.txt</v>
      </c>
      <c r="AI190" s="119" t="str">
        <f t="shared" si="50"/>
        <v>echo {"issue":{"subject":"","project_id":79,"tracker_id":40,"status_id":1,"priority_id":2,"assigned_to_id":23,"start_date":"2016-12-11","description":"","custom_fields":[{"id":1,"name":"Subdivision","value":"NW"},{"id":4,"name":"Milepost","value":"5.8971"},{"id":17,"name":"Train ID","value":"1833-11"},{"id":16,"name":"Locomotive ID","value":"4046"},{"id":130,"name":"Impact","value":""},{"id":150,"name":"Time of Event (Mountain Time)","value":"22:37:01"},{"id":151,"name":"Denver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0" s="53"/>
      <c r="AK190" s="53"/>
      <c r="AL190" s="53"/>
    </row>
    <row r="191" spans="1:91" x14ac:dyDescent="0.25">
      <c r="A191" s="37" t="s">
        <v>486</v>
      </c>
      <c r="B191" s="7">
        <v>4012</v>
      </c>
      <c r="C191" s="22" t="s">
        <v>207</v>
      </c>
      <c r="D191" s="22" t="s">
        <v>792</v>
      </c>
      <c r="E191" s="13">
        <v>42715.118611111109</v>
      </c>
      <c r="F191" s="13">
        <v>42715.121296296296</v>
      </c>
      <c r="G191" s="7">
        <v>3</v>
      </c>
      <c r="H191" s="22" t="s">
        <v>348</v>
      </c>
      <c r="I191" s="13">
        <v>42715.128206018519</v>
      </c>
      <c r="J191" s="7">
        <v>1</v>
      </c>
      <c r="K191" s="109" t="str">
        <f t="shared" si="51"/>
        <v>4011/4012</v>
      </c>
      <c r="L191" s="22" t="str">
        <f>VLOOKUP(A191,'Trips&amp;Operators'!$C$1:$G$99999,5,FALSE)</f>
        <v>KILLION DAVID</v>
      </c>
      <c r="M191" s="6">
        <f t="shared" si="52"/>
        <v>6.9097222221898846E-3</v>
      </c>
      <c r="N191" s="7">
        <f t="shared" ref="N191:N213" si="69">24*60*SUM($M191:$M191)</f>
        <v>9.9499999999534339</v>
      </c>
      <c r="O191" s="7"/>
      <c r="P191" s="7"/>
      <c r="Q191" s="23"/>
      <c r="R191" s="23"/>
      <c r="S191" s="35">
        <f t="shared" ref="S191:S213" si="70">SUM(U191:U191)/IF(AG191="EC",12,1)</f>
        <v>1</v>
      </c>
      <c r="T191" s="50" t="str">
        <f t="shared" si="53"/>
        <v>Southbound</v>
      </c>
      <c r="U191" s="171">
        <f>IF(AG191="EC",COUNTIFS(Variables!$M$2:$M$19,IF(T191="NorthBound","&gt;=","&lt;=")&amp;Y191,Variables!$M$2:$M$19,IF(T191="NorthBound","&lt;=","&gt;=")&amp;Z191),COUNTIFS(Variables!$P$2:$P$19,IF(T191="NorthBound","&gt;=","&lt;=")&amp;Y191,Variables!$P$2:$P$19,IF(T191="NorthBound","&lt;=","&gt;=")&amp;Z191))</f>
        <v>1</v>
      </c>
      <c r="V19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01:50:48-700',mode:absolute,to:'2016-12-11 04:04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W191" s="52" t="str">
        <f t="shared" si="55"/>
        <v>Y</v>
      </c>
      <c r="X191" s="177">
        <f t="shared" ref="X191:X213" si="71">VALUE(LEFT(AD191,4))-VALUE(LEFT(AD190,4))</f>
        <v>-1531</v>
      </c>
      <c r="Y191" s="67">
        <f t="shared" si="56"/>
        <v>2.3214000000000001</v>
      </c>
      <c r="Z191" s="67">
        <f t="shared" si="57"/>
        <v>1.47E-2</v>
      </c>
      <c r="AA191" s="67">
        <f t="shared" si="58"/>
        <v>2.3067000000000002</v>
      </c>
      <c r="AB191" s="64" t="e">
        <f>VLOOKUP(A191,Enforcements!$C$7:$K$20,8,0)</f>
        <v>#N/A</v>
      </c>
      <c r="AC191" s="60" t="e">
        <f>VLOOKUP(A191,Enforcements!$C$7:$E$20,3,0)</f>
        <v>#N/A</v>
      </c>
      <c r="AD191" s="61" t="str">
        <f t="shared" si="59"/>
        <v>0302-11</v>
      </c>
      <c r="AE191" s="91" t="str">
        <f t="shared" si="60"/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AF191" s="88" t="str">
        <f t="shared" si="61"/>
        <v>"C:\Program Files (x86)\AstroGrep\AstroGrep.exe" /spath="%USERPROFILE%\AppData\Local\Temp\OnboardLogs" /stypes="app*4012*20161211*" /stext=" 10:.+((SYSTEM_STATE.+slice.+state.+changed )|(ment ac)|(multiple cpu faults)|(system.+state.+changed )|(\[timeout)|(PRM\|1\|D)|(kpr)|(kdp)|(\|lc)|(penalty))" /e /r /s</v>
      </c>
      <c r="AG191" s="1" t="str">
        <f t="shared" si="62"/>
        <v>Other</v>
      </c>
      <c r="AH191" s="92" t="str">
        <f t="shared" si="49"/>
        <v>"%USERPROFILE%\Documents\GitHub\eaglep3\Utilities\RefineRTDCRunTimes.py" --tripid 302-11 --locoid 4012 --swversion DE.1.0.8.0 --startMP 300:23214 --initTime 2016-12-11T02:50:48 --startdatetime 2016-12-11T02:54:40 --delay 3 --endMP 204:147 --enddatetime 2016-12-11T03:04:37 --enforcementcount 1 &gt;&gt;C:\Users\stu\Documents\GitHub\eaglep3-reporting\EC\2016-12-11-refined-times.txt</v>
      </c>
      <c r="AI191" s="119" t="str">
        <f t="shared" si="50"/>
        <v>echo {"issue":{"subject":"","project_id":79,"tracker_id":40,"status_id":1,"priority_id":2,"assigned_to_id":23,"start_date":"2016-12-11","description":"","custom_fields":[{"id":1,"name":"Subdivision","value":"Other"},{"id":4,"name":"Milepost","value":"0.0147"},{"id":17,"name":"Train ID","value":"302-11"},{"id":16,"name":"Locomotive ID","value":"4012"},{"id":130,"name":"Impact","value":""},{"id":150,"name":"Time of Event (Mountain Time)","value":"03:04:37"},{"id":151,"name":"Denver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1" s="53"/>
      <c r="AK191" s="53"/>
      <c r="AL191" s="53"/>
    </row>
    <row r="192" spans="1:91" s="21" customFormat="1" x14ac:dyDescent="0.25">
      <c r="A192" s="37" t="s">
        <v>625</v>
      </c>
      <c r="B192" s="7">
        <v>4031</v>
      </c>
      <c r="C192" s="22" t="s">
        <v>207</v>
      </c>
      <c r="D192" s="22" t="s">
        <v>793</v>
      </c>
      <c r="E192" s="13">
        <v>42715.783368055556</v>
      </c>
      <c r="F192" s="13">
        <v>25568.708333333332</v>
      </c>
      <c r="G192" s="7">
        <v>1</v>
      </c>
      <c r="H192" s="22" t="s">
        <v>794</v>
      </c>
      <c r="I192" s="13">
        <v>25568.708333333332</v>
      </c>
      <c r="J192" s="7">
        <v>1</v>
      </c>
      <c r="K192" s="109" t="str">
        <f t="shared" si="51"/>
        <v>4031/4032</v>
      </c>
      <c r="L192" s="22" t="str">
        <f>VLOOKUP(A192,'Trips&amp;Operators'!$C$1:$G$99999,5,FALSE)</f>
        <v>MOSES BRADLEY</v>
      </c>
      <c r="M192" s="6">
        <f t="shared" si="52"/>
        <v>0</v>
      </c>
      <c r="N192" s="7">
        <f t="shared" si="69"/>
        <v>0</v>
      </c>
      <c r="O192" s="7"/>
      <c r="P192" s="7"/>
      <c r="Q192" s="23"/>
      <c r="R192" s="23"/>
      <c r="S192" s="35">
        <f t="shared" si="70"/>
        <v>1</v>
      </c>
      <c r="T192" s="50" t="str">
        <f t="shared" si="53"/>
        <v>NorthBound</v>
      </c>
      <c r="U192" s="171">
        <f>IF(AG192="EC",COUNTIFS(Variables!$M$2:$M$19,IF(T192="NorthBound","&gt;=","&lt;=")&amp;Y192,Variables!$M$2:$M$19,IF(T192="NorthBound","&lt;=","&gt;=")&amp;Z192),COUNTIFS(Variables!$P$2:$P$19,IF(T192="NorthBound","&gt;=","&lt;=")&amp;Y192,Variables!$P$2:$P$19,IF(T192="NorthBound","&lt;=","&gt;=")&amp;Z192))</f>
        <v>1</v>
      </c>
      <c r="V19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17:48:03-700',mode:absolute,to:'1969-12-31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W192" s="52" t="str">
        <f t="shared" si="55"/>
        <v>Y</v>
      </c>
      <c r="X192" s="177">
        <f t="shared" si="71"/>
        <v>1</v>
      </c>
      <c r="Y192" s="67">
        <f t="shared" si="56"/>
        <v>4.2799999999999998E-2</v>
      </c>
      <c r="Z192" s="67">
        <f t="shared" si="57"/>
        <v>2.3346</v>
      </c>
      <c r="AA192" s="67">
        <f t="shared" si="58"/>
        <v>2.2917999999999998</v>
      </c>
      <c r="AB192" s="64" t="e">
        <f>VLOOKUP(A192,Enforcements!$C$7:$K$20,8,0)</f>
        <v>#N/A</v>
      </c>
      <c r="AC192" s="60" t="e">
        <f>VLOOKUP(A192,Enforcements!$C$7:$E$20,3,0)</f>
        <v>#N/A</v>
      </c>
      <c r="AD192" s="61" t="str">
        <f t="shared" si="59"/>
        <v>0303-11</v>
      </c>
      <c r="AE192" s="91" t="str">
        <f t="shared" si="60"/>
        <v>aws s3 cp s3://rtdc.mdm.uploadarchive.raw/RTDC4031/ "%USERPROFILE%\AppData\Local\Temp\OnboardLogs"\RTDC4031\1969-12-31 --exclude "*" --recursive --include "*19691231*" &amp; "%USERPROFILE%\Documents\GitHub\mrs-test-scripts\Headless Mode &amp; Sideloading\WalkAndUnGZ.bat" "%USERPROFILE%\AppData\Local\Temp\OnboardLogs"\RTDC4031\1969-12-31 &amp; aws s3 cp s3://rtdc.mdm.uploadarchive.raw/RTDC4031/ "%USERPROFILE%\AppData\Local\Temp\OnboardLogs"\RTDC4031\1970-01-01 --exclude "*" --recursive --include "*19700101*" &amp; "%USERPROFILE%\Documents\GitHub\mrs-test-scripts\Headless Mode &amp; Sideloading\WalkAndUnGZ.bat" "%USERPROFILE%\AppData\Local\Temp\OnboardLogs"\RTDC4031\1970-01-01</v>
      </c>
      <c r="AF192" s="88" t="str">
        <f t="shared" si="61"/>
        <v>"C:\Program Files (x86)\AstroGrep\AstroGrep.exe" /spath="%USERPROFILE%\AppData\Local\Temp\OnboardLogs" /stypes="app*4031*19700101*" /stext=" 00:.+((SYSTEM_STATE.+slice.+state.+changed )|(ment ac)|(multiple cpu faults)|(system.+state.+changed )|(\[timeout)|(PRM\|1\|D)|(kpr)|(kdp)|(\|lc)|(penalty))" /e /r /s</v>
      </c>
      <c r="AG192" s="1" t="str">
        <f t="shared" si="62"/>
        <v>Other</v>
      </c>
      <c r="AH192" s="92" t="str">
        <f t="shared" si="49"/>
        <v>"%USERPROFILE%\Documents\GitHub\eaglep3\Utilities\RefineRTDCRunTimes.py" --tripid 303-11 --locoid 4031 --swversion DE.1.0.8.0 --startMP 204:428 --initTime 2016-12-11T18:48:03 --startdatetime 1969-12-31T17:00:00 --delay 1 --endMP 300:23346 --enddatetime 1969-12-31T17:00:00 --enforcementcount 1 &gt;&gt;C:\Users\stu\Documents\GitHub\eaglep3-reporting\EC\2016-12-11-refined-times.txt</v>
      </c>
      <c r="AI192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ID","value":"303-11"},{"id":16,"name":"Locomotive ID","value":"4031"},{"id":130,"name":"Impact","value":""},{"id":150,"name":"Time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2" s="53"/>
      <c r="AK192" s="53"/>
      <c r="AL192" s="53"/>
    </row>
    <row r="193" spans="1:38" x14ac:dyDescent="0.25">
      <c r="A193" s="37" t="s">
        <v>446</v>
      </c>
      <c r="B193" s="7">
        <v>4010</v>
      </c>
      <c r="C193" s="22" t="s">
        <v>207</v>
      </c>
      <c r="D193" s="22" t="s">
        <v>795</v>
      </c>
      <c r="E193" s="13">
        <v>42715.140601851854</v>
      </c>
      <c r="F193" s="13">
        <v>42715.141921296294</v>
      </c>
      <c r="G193" s="7">
        <v>1</v>
      </c>
      <c r="H193" s="22" t="s">
        <v>686</v>
      </c>
      <c r="I193" s="13">
        <v>42715.147650462961</v>
      </c>
      <c r="J193" s="7">
        <v>1</v>
      </c>
      <c r="K193" s="109" t="str">
        <f t="shared" si="51"/>
        <v>4009/4010</v>
      </c>
      <c r="L193" s="22" t="str">
        <f>VLOOKUP(A193,'Trips&amp;Operators'!$C$1:$G$99999,5,FALSE)</f>
        <v>ACKERMAN JARED</v>
      </c>
      <c r="M193" s="6">
        <f t="shared" si="52"/>
        <v>5.7291666671517305E-3</v>
      </c>
      <c r="N193" s="7">
        <f t="shared" si="69"/>
        <v>8.2500000006984919</v>
      </c>
      <c r="O193" s="7"/>
      <c r="P193" s="7"/>
      <c r="Q193" s="23"/>
      <c r="R193" s="23"/>
      <c r="S193" s="35">
        <f t="shared" si="70"/>
        <v>1</v>
      </c>
      <c r="T193" s="50" t="str">
        <f t="shared" si="53"/>
        <v>Southbound</v>
      </c>
      <c r="U193" s="171">
        <f>IF(AG193="EC",COUNTIFS(Variables!$M$2:$M$19,IF(T193="NorthBound","&gt;=","&lt;=")&amp;Y193,Variables!$M$2:$M$19,IF(T193="NorthBound","&lt;=","&gt;=")&amp;Z193),COUNTIFS(Variables!$P$2:$P$19,IF(T193="NorthBound","&gt;=","&lt;=")&amp;Y193,Variables!$P$2:$P$19,IF(T193="NorthBound","&lt;=","&gt;=")&amp;Z193))</f>
        <v>1</v>
      </c>
      <c r="V19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02:22:28-700',mode:absolute,to:'2016-12-11 04:32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W193" s="52" t="str">
        <f t="shared" si="55"/>
        <v>Y</v>
      </c>
      <c r="X193" s="177">
        <f t="shared" si="71"/>
        <v>1</v>
      </c>
      <c r="Y193" s="67">
        <f t="shared" si="56"/>
        <v>2.2336999999999998</v>
      </c>
      <c r="Z193" s="67">
        <f t="shared" si="57"/>
        <v>1.29E-2</v>
      </c>
      <c r="AA193" s="67">
        <f t="shared" si="58"/>
        <v>2.2207999999999997</v>
      </c>
      <c r="AB193" s="64" t="e">
        <f>VLOOKUP(A193,Enforcements!$C$7:$K$20,8,0)</f>
        <v>#N/A</v>
      </c>
      <c r="AC193" s="60" t="e">
        <f>VLOOKUP(A193,Enforcements!$C$7:$E$20,3,0)</f>
        <v>#N/A</v>
      </c>
      <c r="AD193" s="61" t="str">
        <f t="shared" si="59"/>
        <v>0304-11</v>
      </c>
      <c r="AE193" s="91" t="str">
        <f t="shared" si="60"/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AF193" s="88" t="str">
        <f t="shared" si="61"/>
        <v>"C:\Program Files (x86)\AstroGrep\AstroGrep.exe" /spath="%USERPROFILE%\AppData\Local\Temp\OnboardLogs" /stypes="app*4010*20161211*" /stext=" 10:.+((SYSTEM_STATE.+slice.+state.+changed )|(ment ac)|(multiple cpu faults)|(system.+state.+changed )|(\[timeout)|(PRM\|1\|D)|(kpr)|(kdp)|(\|lc)|(penalty))" /e /r /s</v>
      </c>
      <c r="AG193" s="1" t="str">
        <f t="shared" si="62"/>
        <v>Other</v>
      </c>
      <c r="AH193" s="92" t="str">
        <f t="shared" si="49"/>
        <v>"%USERPROFILE%\Documents\GitHub\eaglep3\Utilities\RefineRTDCRunTimes.py" --tripid 304-11 --locoid 4010 --swversion DE.1.0.8.0 --startMP 300:22337 --initTime 2016-12-11T03:22:28 --startdatetime 2016-12-11T03:24:22 --delay 1 --endMP 204:129 --enddatetime 2016-12-11T03:32:37 --enforcementcount 1 &gt;&gt;C:\Users\stu\Documents\GitHub\eaglep3-reporting\EC\2016-12-11-refined-times.txt</v>
      </c>
      <c r="AI193" s="119" t="str">
        <f t="shared" si="50"/>
        <v>echo {"issue":{"subject":"","project_id":79,"tracker_id":40,"status_id":1,"priority_id":2,"assigned_to_id":23,"start_date":"2016-12-11","description":"","custom_fields":[{"id":1,"name":"Subdivision","value":"Other"},{"id":4,"name":"Milepost","value":"0.0129"},{"id":17,"name":"Train ID","value":"304-11"},{"id":16,"name":"Locomotive ID","value":"4010"},{"id":130,"name":"Impact","value":""},{"id":150,"name":"Time of Event (Mountain Time)","value":"03:32:37"},{"id":151,"name":"Denver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3" s="53"/>
      <c r="AK193" s="53"/>
      <c r="AL193" s="53"/>
    </row>
    <row r="194" spans="1:38" s="21" customFormat="1" x14ac:dyDescent="0.25">
      <c r="A194" s="37" t="s">
        <v>631</v>
      </c>
      <c r="B194" s="7">
        <v>4011</v>
      </c>
      <c r="C194" s="22" t="s">
        <v>207</v>
      </c>
      <c r="D194" s="22" t="s">
        <v>289</v>
      </c>
      <c r="E194" s="13">
        <v>42715.812268518515</v>
      </c>
      <c r="F194" s="13">
        <v>25568.708333333332</v>
      </c>
      <c r="G194" s="7">
        <v>2</v>
      </c>
      <c r="H194" s="22" t="s">
        <v>794</v>
      </c>
      <c r="I194" s="13">
        <v>25568.708333333332</v>
      </c>
      <c r="J194" s="7">
        <v>1</v>
      </c>
      <c r="K194" s="109" t="str">
        <f t="shared" si="51"/>
        <v>4011/4012</v>
      </c>
      <c r="L194" s="22" t="str">
        <f>VLOOKUP(A194,'Trips&amp;Operators'!$C$1:$G$99999,5,FALSE)</f>
        <v>BERLING GARY</v>
      </c>
      <c r="M194" s="6">
        <f t="shared" si="52"/>
        <v>0</v>
      </c>
      <c r="N194" s="7">
        <f t="shared" si="69"/>
        <v>0</v>
      </c>
      <c r="O194" s="7"/>
      <c r="P194" s="7"/>
      <c r="Q194" s="23"/>
      <c r="R194" s="23"/>
      <c r="S194" s="35">
        <f t="shared" si="70"/>
        <v>1</v>
      </c>
      <c r="T194" s="50" t="str">
        <f t="shared" si="53"/>
        <v>NorthBound</v>
      </c>
      <c r="U194" s="171">
        <f>IF(AG194="EC",COUNTIFS(Variables!$M$2:$M$19,IF(T194="NorthBound","&gt;=","&lt;=")&amp;Y194,Variables!$M$2:$M$19,IF(T194="NorthBound","&lt;=","&gt;=")&amp;Z194),COUNTIFS(Variables!$P$2:$P$19,IF(T194="NorthBound","&gt;=","&lt;=")&amp;Y194,Variables!$P$2:$P$19,IF(T194="NorthBound","&lt;=","&gt;=")&amp;Z194))</f>
        <v>1</v>
      </c>
      <c r="V19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18:29:40-700',mode:absolute,to:'1969-12-31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4" s="52" t="str">
        <f t="shared" si="55"/>
        <v>Y</v>
      </c>
      <c r="X194" s="177">
        <f t="shared" si="71"/>
        <v>1</v>
      </c>
      <c r="Y194" s="67">
        <f t="shared" si="56"/>
        <v>4.53E-2</v>
      </c>
      <c r="Z194" s="67">
        <f t="shared" si="57"/>
        <v>2.3346</v>
      </c>
      <c r="AA194" s="67">
        <f t="shared" si="58"/>
        <v>2.2892999999999999</v>
      </c>
      <c r="AB194" s="64" t="e">
        <f>VLOOKUP(A194,Enforcements!$C$7:$K$20,8,0)</f>
        <v>#N/A</v>
      </c>
      <c r="AC194" s="60" t="e">
        <f>VLOOKUP(A194,Enforcements!$C$7:$E$20,3,0)</f>
        <v>#N/A</v>
      </c>
      <c r="AD194" s="61" t="str">
        <f t="shared" si="59"/>
        <v>0305-11</v>
      </c>
      <c r="AE194" s="91" t="str">
        <f t="shared" si="60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4" s="88" t="str">
        <f t="shared" si="61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194" s="1" t="str">
        <f t="shared" si="62"/>
        <v>Other</v>
      </c>
      <c r="AH194" s="92" t="str">
        <f t="shared" si="49"/>
        <v>"%USERPROFILE%\Documents\GitHub\eaglep3\Utilities\RefineRTDCRunTimes.py" --tripid 305-11 --locoid 4011 --swversion DE.1.0.8.0 --startMP 204:453 --initTime 2016-12-11T19:29:40 --startdatetime 1969-12-31T17:00:00 --delay 2 --endMP 300:23346 --enddatetime 1969-12-31T17:00:00 --enforcementcount 1 &gt;&gt;C:\Users\stu\Documents\GitHub\eaglep3-reporting\EC\2016-12-11-refined-times.txt</v>
      </c>
      <c r="AI194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ID","value":"305-11"},{"id":16,"name":"Locomotive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4" s="53"/>
      <c r="AK194" s="53"/>
      <c r="AL194" s="53"/>
    </row>
    <row r="195" spans="1:38" x14ac:dyDescent="0.25">
      <c r="A195" s="37" t="s">
        <v>631</v>
      </c>
      <c r="B195" s="7">
        <v>4011</v>
      </c>
      <c r="C195" s="22" t="s">
        <v>207</v>
      </c>
      <c r="D195" s="22" t="s">
        <v>794</v>
      </c>
      <c r="E195" s="13">
        <v>42715.812268518515</v>
      </c>
      <c r="F195" s="13">
        <v>25568.708333333332</v>
      </c>
      <c r="G195" s="7">
        <v>24</v>
      </c>
      <c r="H195" s="22" t="s">
        <v>794</v>
      </c>
      <c r="I195" s="13">
        <v>25568.708333333332</v>
      </c>
      <c r="J195" s="7">
        <v>1</v>
      </c>
      <c r="K195" s="109" t="str">
        <f t="shared" si="51"/>
        <v>4011/4012</v>
      </c>
      <c r="L195" s="22" t="str">
        <f>VLOOKUP(A195,'Trips&amp;Operators'!$C$1:$G$99999,5,FALSE)</f>
        <v>BERLING GARY</v>
      </c>
      <c r="M195" s="6">
        <f t="shared" si="52"/>
        <v>0</v>
      </c>
      <c r="N195" s="7">
        <f t="shared" si="69"/>
        <v>0</v>
      </c>
      <c r="O195" s="7"/>
      <c r="P195" s="7"/>
      <c r="Q195" s="23"/>
      <c r="R195" s="23"/>
      <c r="S195" s="35">
        <f t="shared" si="70"/>
        <v>0</v>
      </c>
      <c r="T195" s="50" t="str">
        <f t="shared" si="53"/>
        <v>NorthBound</v>
      </c>
      <c r="U195" s="171">
        <f>IF(AG195="EC",COUNTIFS(Variables!$M$2:$M$19,IF(T195="NorthBound","&gt;=","&lt;=")&amp;Y195,Variables!$M$2:$M$19,IF(T195="NorthBound","&lt;=","&gt;=")&amp;Z195),COUNTIFS(Variables!$P$2:$P$19,IF(T195="NorthBound","&gt;=","&lt;=")&amp;Y195,Variables!$P$2:$P$19,IF(T195="NorthBound","&lt;=","&gt;=")&amp;Z195))</f>
        <v>0</v>
      </c>
      <c r="V195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18:29:40-700',mode:absolute,to:'1969-12-31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4011%22')),sort:!(Time,asc))</v>
      </c>
      <c r="W195" s="52" t="str">
        <f t="shared" si="55"/>
        <v>Y</v>
      </c>
      <c r="X195" s="177">
        <f t="shared" si="71"/>
        <v>0</v>
      </c>
      <c r="Y195" s="67">
        <f t="shared" si="56"/>
        <v>2.3346</v>
      </c>
      <c r="Z195" s="67">
        <f t="shared" si="57"/>
        <v>2.3346</v>
      </c>
      <c r="AA195" s="67">
        <f t="shared" si="58"/>
        <v>0</v>
      </c>
      <c r="AB195" s="64" t="e">
        <f>VLOOKUP(A195,Enforcements!$C$7:$K$20,8,0)</f>
        <v>#N/A</v>
      </c>
      <c r="AC195" s="60" t="e">
        <f>VLOOKUP(A195,Enforcements!$C$7:$E$20,3,0)</f>
        <v>#N/A</v>
      </c>
      <c r="AD195" s="61" t="str">
        <f t="shared" si="59"/>
        <v>0305-11</v>
      </c>
      <c r="AE195" s="91" t="str">
        <f t="shared" si="60"/>
        <v>aws s3 cp s3://rtdc.mdm.uploadarchive.raw/RTDC4011/ "%USERPROFILE%\AppData\Local\Temp\OnboardLogs"\RTDC4011\1969-12-31 --exclude "*" --recursive --include "*19691231*" &amp; "%USERPROFILE%\Documents\GitHub\mrs-test-scripts\Headless Mode &amp; Sideloading\WalkAndUnGZ.bat" "%USERPROFILE%\AppData\Local\Temp\OnboardLogs"\RTDC4011\1969-12-31 &amp; aws s3 cp s3://rtdc.mdm.uploadarchive.raw/RTDC4011/ "%USERPROFILE%\AppData\Local\Temp\OnboardLogs"\RTDC4011\1970-01-01 --exclude "*" --recursive --include "*19700101*" &amp; "%USERPROFILE%\Documents\GitHub\mrs-test-scripts\Headless Mode &amp; Sideloading\WalkAndUnGZ.bat" "%USERPROFILE%\AppData\Local\Temp\OnboardLogs"\RTDC4011\1970-01-01</v>
      </c>
      <c r="AF195" s="88" t="str">
        <f t="shared" si="61"/>
        <v>"C:\Program Files (x86)\AstroGrep\AstroGrep.exe" /spath="%USERPROFILE%\AppData\Local\Temp\OnboardLogs" /stypes="app*4011*19700101*" /stext=" 00:.+((SYSTEM_STATE.+slice.+state.+changed )|(ment ac)|(multiple cpu faults)|(system.+state.+changed )|(\[timeout)|(PRM\|1\|D)|(kpr)|(kdp)|(\|lc)|(penalty))" /e /r /s</v>
      </c>
      <c r="AG195" s="1" t="str">
        <f t="shared" si="62"/>
        <v>Other</v>
      </c>
      <c r="AH195" s="92" t="str">
        <f t="shared" si="49"/>
        <v>"%USERPROFILE%\Documents\GitHub\eaglep3\Utilities\RefineRTDCRunTimes.py" --tripid 305-11 --locoid 4011 --swversion DE.1.0.8.0 --startMP 300:23346 --initTime 2016-12-11T19:29:40 --startdatetime 1969-12-31T17:00:00 --delay 24 --endMP 300:23346 --enddatetime 1969-12-31T17:00:00 --enforcementcount 1 &gt;&gt;C:\Users\stu\Documents\GitHub\eaglep3-reporting\EC\2016-12-11-refined-times.txt</v>
      </c>
      <c r="AI195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{"issue":{"subject":"","project_id":79,"tracker_id":40,"status_id":1,"priority_id":2,"assigned_to_id":23,"start_date":"1969-12-31","description":"","custom_fields":[{"id":1,"name":"Subdivision","value":"Other"},{"id":4,"name":"Milepost","value":"2.3346"},{"id":17,"name":"Train ID","value":"305-11"},{"id":16,"name":"Locomotive ID","value":"4011"},{"id":130,"name":"Impact","value":""},{"id":150,"name":"Time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5" s="53"/>
      <c r="AK195" s="53"/>
      <c r="AL195" s="53"/>
    </row>
    <row r="196" spans="1:38" x14ac:dyDescent="0.25">
      <c r="A196" s="37" t="s">
        <v>490</v>
      </c>
      <c r="B196" s="7">
        <v>4041</v>
      </c>
      <c r="C196" s="22" t="s">
        <v>207</v>
      </c>
      <c r="D196" s="22" t="s">
        <v>796</v>
      </c>
      <c r="E196" s="13">
        <v>42715.160717592589</v>
      </c>
      <c r="F196" s="13">
        <v>42715.163877314815</v>
      </c>
      <c r="G196" s="7">
        <v>3</v>
      </c>
      <c r="H196" s="22" t="s">
        <v>244</v>
      </c>
      <c r="I196" s="13">
        <v>42715.170034722221</v>
      </c>
      <c r="J196" s="7">
        <v>1</v>
      </c>
      <c r="K196" s="109" t="str">
        <f t="shared" si="51"/>
        <v>4041/4042</v>
      </c>
      <c r="L196" s="22" t="str">
        <f>VLOOKUP(A196,'Trips&amp;Operators'!$C$1:$G$99999,5,FALSE)</f>
        <v>MAELZER KURT</v>
      </c>
      <c r="M196" s="6">
        <f t="shared" si="52"/>
        <v>6.1574074061354622E-3</v>
      </c>
      <c r="N196" s="7">
        <f t="shared" si="69"/>
        <v>8.8666666648350656</v>
      </c>
      <c r="O196" s="7"/>
      <c r="P196" s="7"/>
      <c r="Q196" s="23"/>
      <c r="R196" s="23"/>
      <c r="S196" s="35">
        <f t="shared" si="70"/>
        <v>1</v>
      </c>
      <c r="T196" s="50" t="str">
        <f t="shared" si="53"/>
        <v>Southbound</v>
      </c>
      <c r="U196" s="171">
        <f>IF(AG196="EC",COUNTIFS(Variables!$M$2:$M$19,IF(T196="NorthBound","&gt;=","&lt;=")&amp;Y196,Variables!$M$2:$M$19,IF(T196="NorthBound","&lt;=","&gt;=")&amp;Z196),COUNTIFS(Variables!$P$2:$P$19,IF(T196="NorthBound","&gt;=","&lt;=")&amp;Y196,Variables!$P$2:$P$19,IF(T196="NorthBound","&lt;=","&gt;=")&amp;Z196))</f>
        <v>1</v>
      </c>
      <c r="V196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02:51:26-700',mode:absolute,to:'2016-12-11 05:04:51-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W196" s="52" t="str">
        <f t="shared" si="55"/>
        <v>Y</v>
      </c>
      <c r="X196" s="177">
        <f t="shared" si="71"/>
        <v>1</v>
      </c>
      <c r="Y196" s="67">
        <f t="shared" si="56"/>
        <v>1.9859</v>
      </c>
      <c r="Z196" s="67">
        <f t="shared" si="57"/>
        <v>1.4500000000000001E-2</v>
      </c>
      <c r="AA196" s="67">
        <f t="shared" si="58"/>
        <v>1.9714</v>
      </c>
      <c r="AB196" s="64" t="e">
        <f>VLOOKUP(A196,Enforcements!$C$7:$K$20,8,0)</f>
        <v>#N/A</v>
      </c>
      <c r="AC196" s="60" t="e">
        <f>VLOOKUP(A196,Enforcements!$C$7:$E$20,3,0)</f>
        <v>#N/A</v>
      </c>
      <c r="AD196" s="61" t="str">
        <f t="shared" si="59"/>
        <v>0306-11</v>
      </c>
      <c r="AE196" s="91" t="str">
        <f t="shared" si="60"/>
        <v>aws s3 cp s3://rtdc.mdm.uploadarchive.raw/RTDC4041/ "%USERPROFILE%\AppData\Local\Temp\OnboardLogs"\RTDC4041\2016-12-11 --exclude "*" --recursive --include "*20161211*" &amp; "%USERPROFILE%\Documents\GitHub\mrs-test-scripts\Headless Mode &amp; Sideloading\WalkAndUnGZ.bat" "%USERPROFILE%\AppData\Local\Temp\OnboardLogs"\RTDC4041\2016-12-11 &amp; 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</v>
      </c>
      <c r="AF196" s="88" t="str">
        <f t="shared" si="61"/>
        <v>"C:\Program Files (x86)\AstroGrep\AstroGrep.exe" /spath="%USERPROFILE%\AppData\Local\Temp\OnboardLogs" /stypes="app*4041*20161211*" /stext=" 11:.+((SYSTEM_STATE.+slice.+state.+changed )|(ment ac)|(multiple cpu faults)|(system.+state.+changed )|(\[timeout)|(PRM\|1\|D)|(kpr)|(kdp)|(\|lc)|(penalty))" /e /r /s</v>
      </c>
      <c r="AG196" s="1" t="str">
        <f t="shared" si="62"/>
        <v>Other</v>
      </c>
      <c r="AH196" s="92" t="str">
        <f t="shared" si="49"/>
        <v>"%USERPROFILE%\Documents\GitHub\eaglep3\Utilities\RefineRTDCRunTimes.py" --tripid 306-11 --locoid 4041 --swversion DE.1.0.8.0 --startMP 300:19859 --initTime 2016-12-11T03:51:26 --startdatetime 2016-12-11T03:55:59 --delay 3 --endMP 204:145 --enddatetime 2016-12-11T04:04:51 --enforcementcount 1 &gt;&gt;C:\Users\stu\Documents\GitHub\eaglep3-reporting\EC\2016-12-11-refined-times.txt</v>
      </c>
      <c r="AI196" s="119" t="str">
        <f t="shared" si="50"/>
        <v>echo {"issue":{"subject":"","project_id":79,"tracker_id":40,"status_id":1,"priority_id":2,"assigned_to_id":23,"start_date":"2016-12-11","description":"","custom_fields":[{"id":1,"name":"Subdivision","value":"Other"},{"id":4,"name":"Milepost","value":"0.0145"},{"id":17,"name":"Train ID","value":"306-11"},{"id":16,"name":"Locomotive ID","value":"4041"},{"id":130,"name":"Impact","value":""},{"id":150,"name":"Time of Event (Mountain Time)","value":"04:04:51"},{"id":151,"name":"Denver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6" s="53"/>
      <c r="AK196" s="53"/>
      <c r="AL196" s="53"/>
    </row>
    <row r="197" spans="1:38" x14ac:dyDescent="0.25">
      <c r="A197" s="37" t="s">
        <v>633</v>
      </c>
      <c r="B197" s="7">
        <v>4009</v>
      </c>
      <c r="C197" s="22" t="s">
        <v>207</v>
      </c>
      <c r="D197" s="22" t="s">
        <v>797</v>
      </c>
      <c r="E197" s="13">
        <v>42715.824131944442</v>
      </c>
      <c r="F197" s="13">
        <v>25568.708333333332</v>
      </c>
      <c r="G197" s="7">
        <v>1</v>
      </c>
      <c r="H197" s="22" t="s">
        <v>798</v>
      </c>
      <c r="I197" s="13">
        <v>25568.708333333332</v>
      </c>
      <c r="J197" s="7">
        <v>1</v>
      </c>
      <c r="K197" s="109" t="str">
        <f t="shared" si="51"/>
        <v>4009/4010</v>
      </c>
      <c r="L197" s="22" t="str">
        <f>VLOOKUP(A197,'Trips&amp;Operators'!$C$1:$G$99999,5,FALSE)</f>
        <v>SHOOK JOHN</v>
      </c>
      <c r="M197" s="6">
        <f t="shared" si="52"/>
        <v>0</v>
      </c>
      <c r="N197" s="7">
        <f t="shared" si="69"/>
        <v>0</v>
      </c>
      <c r="O197" s="7"/>
      <c r="P197" s="7"/>
      <c r="Q197" s="23"/>
      <c r="R197" s="23"/>
      <c r="S197" s="35">
        <f t="shared" si="70"/>
        <v>1</v>
      </c>
      <c r="T197" s="50" t="str">
        <f t="shared" si="53"/>
        <v>NorthBound</v>
      </c>
      <c r="U197" s="171">
        <f>IF(AG197="EC",COUNTIFS(Variables!$M$2:$M$19,IF(T197="NorthBound","&gt;=","&lt;=")&amp;Y197,Variables!$M$2:$M$19,IF(T197="NorthBound","&lt;=","&gt;=")&amp;Z197),COUNTIFS(Variables!$P$2:$P$19,IF(T197="NorthBound","&gt;=","&lt;=")&amp;Y197,Variables!$P$2:$P$19,IF(T197="NorthBound","&lt;=","&gt;=")&amp;Z197))</f>
        <v>1</v>
      </c>
      <c r="V197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18:46:45-700',mode:absolute,to:'1969-12-31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4009%22')),sort:!(Time,asc))</v>
      </c>
      <c r="W197" s="52" t="str">
        <f t="shared" si="55"/>
        <v>Y</v>
      </c>
      <c r="X197" s="177">
        <f t="shared" si="71"/>
        <v>1</v>
      </c>
      <c r="Y197" s="67">
        <f t="shared" si="56"/>
        <v>0.15429999999999999</v>
      </c>
      <c r="Z197" s="67">
        <f t="shared" si="57"/>
        <v>2.3296999999999999</v>
      </c>
      <c r="AA197" s="67">
        <f t="shared" si="58"/>
        <v>2.1753999999999998</v>
      </c>
      <c r="AB197" s="64" t="e">
        <f>VLOOKUP(A197,Enforcements!$C$7:$K$20,8,0)</f>
        <v>#N/A</v>
      </c>
      <c r="AC197" s="60" t="e">
        <f>VLOOKUP(A197,Enforcements!$C$7:$E$20,3,0)</f>
        <v>#N/A</v>
      </c>
      <c r="AD197" s="61" t="str">
        <f t="shared" si="59"/>
        <v>0307-11</v>
      </c>
      <c r="AE197" s="91" t="str">
        <f t="shared" si="60"/>
        <v>aws s3 cp s3://rtdc.mdm.uploadarchive.raw/RTDC4009/ "%USERPROFILE%\AppData\Local\Temp\OnboardLogs"\RTDC4009\1969-12-31 --exclude "*" --recursive --include "*19691231*" &amp; "%USERPROFILE%\Documents\GitHub\mrs-test-scripts\Headless Mode &amp; Sideloading\WalkAndUnGZ.bat" "%USERPROFILE%\AppData\Local\Temp\OnboardLogs"\RTDC4009\1969-12-31 &amp; aws s3 cp s3://rtdc.mdm.uploadarchive.raw/RTDC4009/ "%USERPROFILE%\AppData\Local\Temp\OnboardLogs"\RTDC4009\1970-01-01 --exclude "*" --recursive --include "*19700101*" &amp; "%USERPROFILE%\Documents\GitHub\mrs-test-scripts\Headless Mode &amp; Sideloading\WalkAndUnGZ.bat" "%USERPROFILE%\AppData\Local\Temp\OnboardLogs"\RTDC4009\1970-01-01</v>
      </c>
      <c r="AF197" s="88" t="str">
        <f t="shared" si="61"/>
        <v>"C:\Program Files (x86)\AstroGrep\AstroGrep.exe" /spath="%USERPROFILE%\AppData\Local\Temp\OnboardLogs" /stypes="app*4009*19700101*" /stext=" 00:.+((SYSTEM_STATE.+slice.+state.+changed )|(ment ac)|(multiple cpu faults)|(system.+state.+changed )|(\[timeout)|(PRM\|1\|D)|(kpr)|(kdp)|(\|lc)|(penalty))" /e /r /s</v>
      </c>
      <c r="AG197" s="1" t="str">
        <f t="shared" si="62"/>
        <v>Other</v>
      </c>
      <c r="AH197" s="92" t="str">
        <f t="shared" si="49"/>
        <v>"%USERPROFILE%\Documents\GitHub\eaglep3\Utilities\RefineRTDCRunTimes.py" --tripid 307-11 --locoid 4009 --swversion DE.1.0.8.0 --startMP 204:1543 --initTime 2016-12-11T19:46:45 --startdatetime 1969-12-31T17:00:00 --delay 1 --endMP 300:23297 --enddatetime 1969-12-31T17:00:00 --enforcementcount 1 &gt;&gt;C:\Users\stu\Documents\GitHub\eaglep3-reporting\EC\2016-12-11-refined-times.txt</v>
      </c>
      <c r="AI197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ID","value":"307-11"},{"id":16,"name":"Locomotive ID","value":"4009"},{"id":130,"name":"Impact","value":""},{"id":150,"name":"Time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7" s="53"/>
      <c r="AK197" s="53"/>
      <c r="AL197" s="53"/>
    </row>
    <row r="198" spans="1:38" x14ac:dyDescent="0.25">
      <c r="A198" s="37" t="s">
        <v>656</v>
      </c>
      <c r="B198" s="7">
        <v>4029</v>
      </c>
      <c r="C198" s="22" t="s">
        <v>207</v>
      </c>
      <c r="D198" s="22" t="s">
        <v>236</v>
      </c>
      <c r="E198" s="13">
        <v>42716.032280092593</v>
      </c>
      <c r="F198" s="13">
        <v>42716.034513888888</v>
      </c>
      <c r="G198" s="7">
        <v>1</v>
      </c>
      <c r="H198" s="22" t="s">
        <v>799</v>
      </c>
      <c r="I198" s="13">
        <v>42716.041643518518</v>
      </c>
      <c r="J198" s="7">
        <v>1</v>
      </c>
      <c r="K198" s="109" t="str">
        <f t="shared" si="51"/>
        <v>4029/4030</v>
      </c>
      <c r="L198" s="22" t="str">
        <f>VLOOKUP(A198,'Trips&amp;Operators'!$C$1:$G$99999,5,FALSE)</f>
        <v>LEVERE CRAIG</v>
      </c>
      <c r="M198" s="6">
        <f t="shared" si="52"/>
        <v>7.1296296300715767E-3</v>
      </c>
      <c r="N198" s="7">
        <f t="shared" si="69"/>
        <v>10.26666666730307</v>
      </c>
      <c r="O198" s="7"/>
      <c r="P198" s="7"/>
      <c r="Q198" s="23"/>
      <c r="R198" s="23"/>
      <c r="S198" s="35">
        <f t="shared" si="70"/>
        <v>1</v>
      </c>
      <c r="T198" s="50" t="str">
        <f t="shared" si="53"/>
        <v>NorthBound</v>
      </c>
      <c r="U198" s="171">
        <f>IF(AG198="EC",COUNTIFS(Variables!$M$2:$M$19,IF(T198="NorthBound","&gt;=","&lt;=")&amp;Y198,Variables!$M$2:$M$19,IF(T198="NorthBound","&lt;=","&gt;=")&amp;Z198),COUNTIFS(Variables!$P$2:$P$19,IF(T198="NorthBound","&gt;=","&lt;=")&amp;Y198,Variables!$P$2:$P$19,IF(T198="NorthBound","&lt;=","&gt;=")&amp;Z198))</f>
        <v>1</v>
      </c>
      <c r="V198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23:46:29-700',mode:absolute,to:'2016-12-12 01:59:58-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W198" s="52" t="str">
        <f t="shared" si="55"/>
        <v>Y</v>
      </c>
      <c r="X198" s="177">
        <f t="shared" si="71"/>
        <v>2</v>
      </c>
      <c r="Y198" s="67">
        <f t="shared" si="56"/>
        <v>4.5999999999999999E-2</v>
      </c>
      <c r="Z198" s="67">
        <f t="shared" si="57"/>
        <v>2.2843</v>
      </c>
      <c r="AA198" s="67">
        <f t="shared" si="58"/>
        <v>2.2383000000000002</v>
      </c>
      <c r="AB198" s="64" t="e">
        <f>VLOOKUP(A198,Enforcements!$C$7:$K$20,8,0)</f>
        <v>#N/A</v>
      </c>
      <c r="AC198" s="60" t="e">
        <f>VLOOKUP(A198,Enforcements!$C$7:$E$20,3,0)</f>
        <v>#N/A</v>
      </c>
      <c r="AD198" s="61" t="str">
        <f t="shared" si="59"/>
        <v>0309-11</v>
      </c>
      <c r="AE198" s="91" t="str">
        <f t="shared" si="60"/>
        <v>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 &amp; aws s3 cp s3://rtdc.mdm.uploadarchive.raw/RTDC4029/ "%USERPROFILE%\AppData\Local\Temp\OnboardLogs"\RTDC4029\2016-12-13 --exclude "*" --recursive --include "*20161213*" &amp; "%USERPROFILE%\Documents\GitHub\mrs-test-scripts\Headless Mode &amp; Sideloading\WalkAndUnGZ.bat" "%USERPROFILE%\AppData\Local\Temp\OnboardLogs"\RTDC4029\2016-12-13</v>
      </c>
      <c r="AF198" s="88" t="str">
        <f t="shared" si="61"/>
        <v>"C:\Program Files (x86)\AstroGrep\AstroGrep.exe" /spath="%USERPROFILE%\AppData\Local\Temp\OnboardLogs" /stypes="app*4029*20161212*" /stext=" 07:.+((SYSTEM_STATE.+slice.+state.+changed )|(ment ac)|(multiple cpu faults)|(system.+state.+changed )|(\[timeout)|(PRM\|1\|D)|(kpr)|(kdp)|(\|lc)|(penalty))" /e /r /s</v>
      </c>
      <c r="AG198" s="1" t="str">
        <f t="shared" si="62"/>
        <v>Other</v>
      </c>
      <c r="AH198" s="92" t="str">
        <f t="shared" si="49"/>
        <v>"%USERPROFILE%\Documents\GitHub\eaglep3\Utilities\RefineRTDCRunTimes.py" --tripid 309-11 --locoid 4029 --swversion DE.1.0.8.0 --startMP 204:460 --initTime 2016-12-12T00:46:29 --startdatetime 2016-12-12T00:49:42 --delay 1 --endMP 300:22843 --enddatetime 2016-12-12T00:59:58 --enforcementcount 1 &gt;&gt;C:\Users\stu\Documents\GitHub\eaglep3-reporting\EC\2016-12-11-refined-times.txt</v>
      </c>
      <c r="AI198" s="119" t="str">
        <f t="shared" si="50"/>
        <v>echo {"issue":{"subject":"","project_id":79,"tracker_id":40,"status_id":1,"priority_id":2,"assigned_to_id":23,"start_date":"2016-12-12","description":"","custom_fields":[{"id":1,"name":"Subdivision","value":"Other"},{"id":4,"name":"Milepost","value":"2.2843"},{"id":17,"name":"Train ID","value":"309-11"},{"id":16,"name":"Locomotive ID","value":"4029"},{"id":130,"name":"Impact","value":""},{"id":150,"name":"Time of Event (Mountain Time)","value":"00:59:58"},{"id":151,"name":"Denver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8" s="53"/>
      <c r="AK198" s="53"/>
      <c r="AL198" s="53"/>
    </row>
    <row r="199" spans="1:38" x14ac:dyDescent="0.25">
      <c r="A199" s="37" t="s">
        <v>493</v>
      </c>
      <c r="B199" s="7">
        <v>4032</v>
      </c>
      <c r="C199" s="22" t="s">
        <v>207</v>
      </c>
      <c r="D199" s="22" t="s">
        <v>800</v>
      </c>
      <c r="E199" s="13">
        <v>42715.180798611109</v>
      </c>
      <c r="F199" s="13">
        <v>42715.182175925926</v>
      </c>
      <c r="G199" s="7">
        <v>1</v>
      </c>
      <c r="H199" s="22" t="s">
        <v>205</v>
      </c>
      <c r="I199" s="13">
        <v>42715.191331018519</v>
      </c>
      <c r="J199" s="7">
        <v>1</v>
      </c>
      <c r="K199" s="109" t="str">
        <f t="shared" si="51"/>
        <v>4031/4032</v>
      </c>
      <c r="L199" s="22" t="str">
        <f>VLOOKUP(A199,'Trips&amp;Operators'!$C$1:$G$99999,5,FALSE)</f>
        <v>ROBINSON KADDIBA</v>
      </c>
      <c r="M199" s="6">
        <f t="shared" si="52"/>
        <v>9.1550925935734995E-3</v>
      </c>
      <c r="N199" s="7">
        <f t="shared" si="69"/>
        <v>13.183333334745839</v>
      </c>
      <c r="O199" s="7"/>
      <c r="P199" s="7"/>
      <c r="Q199" s="23"/>
      <c r="R199" s="23"/>
      <c r="S199" s="35">
        <f t="shared" si="70"/>
        <v>1</v>
      </c>
      <c r="T199" s="50" t="str">
        <f t="shared" si="53"/>
        <v>Southbound</v>
      </c>
      <c r="U199" s="171">
        <f>IF(AG199="EC",COUNTIFS(Variables!$M$2:$M$19,IF(T199="NorthBound","&gt;=","&lt;=")&amp;Y199,Variables!$M$2:$M$19,IF(T199="NorthBound","&lt;=","&gt;=")&amp;Z199),COUNTIFS(Variables!$P$2:$P$19,IF(T199="NorthBound","&gt;=","&lt;=")&amp;Y199,Variables!$P$2:$P$19,IF(T199="NorthBound","&lt;=","&gt;=")&amp;Z199))</f>
        <v>1</v>
      </c>
      <c r="V199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03:20:21-700',mode:absolute,to:'2016-12-11 05:35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W199" s="52" t="str">
        <f t="shared" si="55"/>
        <v>Y</v>
      </c>
      <c r="X199" s="177">
        <f t="shared" si="71"/>
        <v>1</v>
      </c>
      <c r="Y199" s="67">
        <f t="shared" si="56"/>
        <v>2.3271000000000002</v>
      </c>
      <c r="Z199" s="67">
        <f t="shared" si="57"/>
        <v>1.5599999999999999E-2</v>
      </c>
      <c r="AA199" s="67">
        <f t="shared" si="58"/>
        <v>2.3115000000000001</v>
      </c>
      <c r="AB199" s="64" t="e">
        <f>VLOOKUP(A199,Enforcements!$C$7:$K$20,8,0)</f>
        <v>#N/A</v>
      </c>
      <c r="AC199" s="60" t="e">
        <f>VLOOKUP(A199,Enforcements!$C$7:$E$20,3,0)</f>
        <v>#N/A</v>
      </c>
      <c r="AD199" s="61" t="str">
        <f t="shared" si="59"/>
        <v>0310-11</v>
      </c>
      <c r="AE199" s="91" t="str">
        <f t="shared" si="60"/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AF199" s="88" t="str">
        <f t="shared" si="61"/>
        <v>"C:\Program Files (x86)\AstroGrep\AstroGrep.exe" /spath="%USERPROFILE%\AppData\Local\Temp\OnboardLogs" /stypes="app*4032*20161211*" /stext=" 11:.+((SYSTEM_STATE.+slice.+state.+changed )|(ment ac)|(multiple cpu faults)|(system.+state.+changed )|(\[timeout)|(PRM\|1\|D)|(kpr)|(kdp)|(\|lc)|(penalty))" /e /r /s</v>
      </c>
      <c r="AG199" s="1" t="str">
        <f t="shared" si="62"/>
        <v>Other</v>
      </c>
      <c r="AH199" s="92" t="str">
        <f t="shared" si="49"/>
        <v>"%USERPROFILE%\Documents\GitHub\eaglep3\Utilities\RefineRTDCRunTimes.py" --tripid 310-11 --locoid 4032 --swversion DE.1.0.8.0 --startMP 300:23271 --initTime 2016-12-11T04:20:21 --startdatetime 2016-12-11T04:22:20 --delay 1 --endMP 204:156 --enddatetime 2016-12-11T04:35:31 --enforcementcount 1 &gt;&gt;C:\Users\stu\Documents\GitHub\eaglep3-reporting\EC\2016-12-11-refined-times.txt</v>
      </c>
      <c r="AI199" s="119" t="str">
        <f t="shared" si="50"/>
        <v>echo {"issue":{"subject":"","project_id":79,"tracker_id":40,"status_id":1,"priority_id":2,"assigned_to_id":23,"start_date":"2016-12-11","description":"","custom_fields":[{"id":1,"name":"Subdivision","value":"Other"},{"id":4,"name":"Milepost","value":"0.0156"},{"id":17,"name":"Train ID","value":"310-11"},{"id":16,"name":"Locomotive ID","value":"4032"},{"id":130,"name":"Impact","value":""},{"id":150,"name":"Time of Event (Mountain Time)","value":"04:35:31"},{"id":151,"name":"Denver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199" s="53"/>
      <c r="AK199" s="53"/>
      <c r="AL199" s="53"/>
    </row>
    <row r="200" spans="1:38" x14ac:dyDescent="0.25">
      <c r="A200" s="37" t="s">
        <v>657</v>
      </c>
      <c r="B200" s="7">
        <v>4044</v>
      </c>
      <c r="C200" s="22" t="s">
        <v>207</v>
      </c>
      <c r="D200" s="22" t="s">
        <v>238</v>
      </c>
      <c r="E200" s="13">
        <v>42716.051504629628</v>
      </c>
      <c r="F200" s="13">
        <v>25568.708333333332</v>
      </c>
      <c r="G200" s="7">
        <v>1</v>
      </c>
      <c r="H200" s="22" t="s">
        <v>798</v>
      </c>
      <c r="I200" s="13">
        <v>25568.708333333332</v>
      </c>
      <c r="J200" s="7">
        <v>1</v>
      </c>
      <c r="K200" s="109" t="str">
        <f t="shared" si="51"/>
        <v>4043/4044</v>
      </c>
      <c r="L200" s="22" t="str">
        <f>VLOOKUP(A200,'Trips&amp;Operators'!$C$1:$G$99999,5,FALSE)</f>
        <v>COOLAHAN JOHN</v>
      </c>
      <c r="M200" s="6">
        <f t="shared" si="52"/>
        <v>0</v>
      </c>
      <c r="N200" s="7">
        <f t="shared" si="69"/>
        <v>0</v>
      </c>
      <c r="O200" s="7"/>
      <c r="P200" s="7"/>
      <c r="Q200" s="23"/>
      <c r="R200" s="23"/>
      <c r="S200" s="35">
        <f t="shared" si="70"/>
        <v>1</v>
      </c>
      <c r="T200" s="50" t="str">
        <f t="shared" si="53"/>
        <v>NorthBound</v>
      </c>
      <c r="U200" s="171">
        <f>IF(AG200="EC",COUNTIFS(Variables!$M$2:$M$19,IF(T200="NorthBound","&gt;=","&lt;=")&amp;Y200,Variables!$M$2:$M$19,IF(T200="NorthBound","&lt;=","&gt;=")&amp;Z200),COUNTIFS(Variables!$P$2:$P$19,IF(T200="NorthBound","&gt;=","&lt;=")&amp;Y200,Variables!$P$2:$P$19,IF(T200="NorthBound","&lt;=","&gt;=")&amp;Z200))</f>
        <v>1</v>
      </c>
      <c r="V200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https://search-rtdc-monitor-bjffxe2xuh6vdkpspy63sjmuny.us-east-1.es.amazonaws.com/_plugin/kibana/#/discover/Steve-Slow-Train-Analysis-(2080s-and-2083s)?_g=(refreshInterval:(display:Off,section:0,value:0),time:(from:'2016-12-12 00:14:10-700',mode:absolute,to:'1969-12-31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W200" s="52" t="str">
        <f t="shared" si="55"/>
        <v>Y</v>
      </c>
      <c r="X200" s="177">
        <f t="shared" si="71"/>
        <v>1</v>
      </c>
      <c r="Y200" s="67">
        <f t="shared" si="56"/>
        <v>4.7100000000000003E-2</v>
      </c>
      <c r="Z200" s="67">
        <f t="shared" si="57"/>
        <v>2.3296999999999999</v>
      </c>
      <c r="AA200" s="67">
        <f t="shared" si="58"/>
        <v>2.2826</v>
      </c>
      <c r="AB200" s="64" t="e">
        <f>VLOOKUP(A200,Enforcements!$C$7:$K$20,8,0)</f>
        <v>#N/A</v>
      </c>
      <c r="AC200" s="60" t="e">
        <f>VLOOKUP(A200,Enforcements!$C$7:$E$20,3,0)</f>
        <v>#N/A</v>
      </c>
      <c r="AD200" s="61" t="str">
        <f t="shared" si="59"/>
        <v>0311-11</v>
      </c>
      <c r="AE200" s="91" t="str">
        <f t="shared" si="60"/>
        <v>aws s3 cp s3://rtdc.mdm.uploadarchive.raw/RTDC4044/ "%USERPROFILE%\AppData\Local\Temp\OnboardLogs"\RTDC4044\1969-12-31 --exclude "*" --recursive --include "*19691231*" &amp; "%USERPROFILE%\Documents\GitHub\mrs-test-scripts\Headless Mode &amp; Sideloading\WalkAndUnGZ.bat" "%USERPROFILE%\AppData\Local\Temp\OnboardLogs"\RTDC4044\1969-12-31 &amp; aws s3 cp s3://rtdc.mdm.uploadarchive.raw/RTDC4044/ "%USERPROFILE%\AppData\Local\Temp\OnboardLogs"\RTDC4044\1970-01-01 --exclude "*" --recursive --include "*19700101*" &amp; "%USERPROFILE%\Documents\GitHub\mrs-test-scripts\Headless Mode &amp; Sideloading\WalkAndUnGZ.bat" "%USERPROFILE%\AppData\Local\Temp\OnboardLogs"\RTDC4044\1970-01-01</v>
      </c>
      <c r="AF200" s="88" t="str">
        <f t="shared" si="61"/>
        <v>"C:\Program Files (x86)\AstroGrep\AstroGrep.exe" /spath="%USERPROFILE%\AppData\Local\Temp\OnboardLogs" /stypes="app*4044*19700101*" /stext=" 00:.+((SYSTEM_STATE.+slice.+state.+changed )|(ment ac)|(multiple cpu faults)|(system.+state.+changed )|(\[timeout)|(PRM\|1\|D)|(kpr)|(kdp)|(\|lc)|(penalty))" /e /r /s</v>
      </c>
      <c r="AG200" s="1" t="str">
        <f t="shared" si="62"/>
        <v>Other</v>
      </c>
      <c r="AH200" s="92" t="str">
        <f t="shared" si="49"/>
        <v>"%USERPROFILE%\Documents\GitHub\eaglep3\Utilities\RefineRTDCRunTimes.py" --tripid 311-11 --locoid 4044 --swversion DE.1.0.8.0 --startMP 204:471 --initTime 2016-12-12T01:14:10 --startdatetime 1969-12-31T17:00:00 --delay 1 --endMP 300:23297 --enddatetime 1969-12-31T17:00:00 --enforcementcount 1 &gt;&gt;C:\Users\stu\Documents\GitHub\eaglep3-reporting\EC\2016-12-11-refined-times.txt</v>
      </c>
      <c r="AI200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{"issue":{"subject":"","project_id":79,"tracker_id":40,"status_id":1,"priority_id":2,"assigned_to_id":23,"start_date":"1969-12-31","description":"","custom_fields":[{"id":1,"name":"Subdivision","value":"Other"},{"id":4,"name":"Milepost","value":"2.3297"},{"id":17,"name":"Train ID","value":"311-11"},{"id":16,"name":"Locomotive ID","value":"4044"},{"id":130,"name":"Impact","value":""},{"id":150,"name":"Time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0" s="53"/>
      <c r="AK200" s="53"/>
      <c r="AL200" s="53"/>
    </row>
    <row r="201" spans="1:38" x14ac:dyDescent="0.25">
      <c r="A201" s="37" t="s">
        <v>225</v>
      </c>
      <c r="B201" s="7">
        <v>4040</v>
      </c>
      <c r="C201" s="22" t="s">
        <v>207</v>
      </c>
      <c r="D201" s="22" t="s">
        <v>273</v>
      </c>
      <c r="E201" s="13">
        <v>42715.087500000001</v>
      </c>
      <c r="F201" s="13">
        <v>25568.708333333332</v>
      </c>
      <c r="G201" s="7">
        <v>1</v>
      </c>
      <c r="H201" s="22" t="s">
        <v>329</v>
      </c>
      <c r="I201" s="13">
        <v>25568.708333333332</v>
      </c>
      <c r="J201" s="7">
        <v>1</v>
      </c>
      <c r="K201" s="109" t="str">
        <f t="shared" si="51"/>
        <v>4039/4040</v>
      </c>
      <c r="L201" s="22" t="str">
        <f>VLOOKUP(A201,'Trips&amp;Operators'!$C$1:$G$99999,5,FALSE)</f>
        <v>STAMBAUGH JAMES</v>
      </c>
      <c r="M201" s="6">
        <f t="shared" si="52"/>
        <v>0</v>
      </c>
      <c r="N201" s="7">
        <f t="shared" si="69"/>
        <v>0</v>
      </c>
      <c r="O201" s="7"/>
      <c r="P201" s="7"/>
      <c r="Q201" s="23"/>
      <c r="R201" s="23"/>
      <c r="S201" s="35">
        <f t="shared" si="70"/>
        <v>1</v>
      </c>
      <c r="T201" s="50" t="str">
        <f t="shared" si="53"/>
        <v>NorthBound</v>
      </c>
      <c r="U201" s="171">
        <f>IF(AG201="EC",COUNTIFS(Variables!$M$2:$M$19,IF(T201="NorthBound","&gt;=","&lt;=")&amp;Y201,Variables!$M$2:$M$19,IF(T201="NorthBound","&lt;=","&gt;=")&amp;Z201),COUNTIFS(Variables!$P$2:$P$19,IF(T201="NorthBound","&gt;=","&lt;=")&amp;Y201,Variables!$P$2:$P$19,IF(T201="NorthBound","&lt;=","&gt;=")&amp;Z201))</f>
        <v>1</v>
      </c>
      <c r="V201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01:06:00-700',mode:absolute,to:'1969-12-31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4040%22')),sort:!(Time,asc))</v>
      </c>
      <c r="W201" s="52" t="str">
        <f t="shared" si="55"/>
        <v>Y</v>
      </c>
      <c r="X201" s="177">
        <f t="shared" si="71"/>
        <v>2</v>
      </c>
      <c r="Y201" s="67">
        <f t="shared" si="56"/>
        <v>4.4600000000000001E-2</v>
      </c>
      <c r="Z201" s="67">
        <f t="shared" si="57"/>
        <v>2.3302</v>
      </c>
      <c r="AA201" s="67">
        <f t="shared" si="58"/>
        <v>2.2856000000000001</v>
      </c>
      <c r="AB201" s="64" t="e">
        <f>VLOOKUP(A201,Enforcements!$C$7:$K$20,8,0)</f>
        <v>#N/A</v>
      </c>
      <c r="AC201" s="60" t="e">
        <f>VLOOKUP(A201,Enforcements!$C$7:$E$20,3,0)</f>
        <v>#N/A</v>
      </c>
      <c r="AD201" s="61" t="str">
        <f t="shared" si="59"/>
        <v>0313-10</v>
      </c>
      <c r="AE201" s="91" t="str">
        <f t="shared" si="60"/>
        <v>aws s3 cp s3://rtdc.mdm.uploadarchive.raw/RTDC4040/ "%USERPROFILE%\AppData\Local\Temp\OnboardLogs"\RTDC4040\1969-12-31 --exclude "*" --recursive --include "*19691231*" &amp; "%USERPROFILE%\Documents\GitHub\mrs-test-scripts\Headless Mode &amp; Sideloading\WalkAndUnGZ.bat" "%USERPROFILE%\AppData\Local\Temp\OnboardLogs"\RTDC4040\1969-12-31 &amp; aws s3 cp s3://rtdc.mdm.uploadarchive.raw/RTDC4040/ "%USERPROFILE%\AppData\Local\Temp\OnboardLogs"\RTDC4040\1970-01-01 --exclude "*" --recursive --include "*19700101*" &amp; "%USERPROFILE%\Documents\GitHub\mrs-test-scripts\Headless Mode &amp; Sideloading\WalkAndUnGZ.bat" "%USERPROFILE%\AppData\Local\Temp\OnboardLogs"\RTDC4040\1970-01-01</v>
      </c>
      <c r="AF201" s="88" t="str">
        <f t="shared" si="61"/>
        <v>"C:\Program Files (x86)\AstroGrep\AstroGrep.exe" /spath="%USERPROFILE%\AppData\Local\Temp\OnboardLogs" /stypes="app*4040*19700101*" /stext=" 00:.+((SYSTEM_STATE.+slice.+state.+changed )|(ment ac)|(multiple cpu faults)|(system.+state.+changed )|(\[timeout)|(PRM\|1\|D)|(kpr)|(kdp)|(\|lc)|(penalty))" /e /r /s</v>
      </c>
      <c r="AG201" s="1" t="str">
        <f t="shared" si="62"/>
        <v>Other</v>
      </c>
      <c r="AH201" s="92" t="str">
        <f t="shared" si="49"/>
        <v>"%USERPROFILE%\Documents\GitHub\eaglep3\Utilities\RefineRTDCRunTimes.py" --tripid 313-10 --locoid 4040 --swversion DE.1.0.8.0 --startMP 204:446 --initTime 2016-12-11T02:06:00 --startdatetime 1969-12-31T17:00:00 --delay 1 --endMP 300:23302 --enddatetime 1969-12-31T17:00:00 --enforcementcount 1 &gt;&gt;C:\Users\stu\Documents\GitHub\eaglep3-reporting\EC\2016-12-11-refined-times.txt</v>
      </c>
      <c r="AI201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{"issue":{"subject":"","project_id":79,"tracker_id":40,"status_id":1,"priority_id":2,"assigned_to_id":23,"start_date":"1969-12-31","description":"","custom_fields":[{"id":1,"name":"Subdivision","value":"Other"},{"id":4,"name":"Milepost","value":"2.3302"},{"id":17,"name":"Train ID","value":"313-10"},{"id":16,"name":"Locomotive ID","value":"4040"},{"id":130,"name":"Impact","value":""},{"id":150,"name":"Time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1" s="53"/>
      <c r="AK201" s="53"/>
      <c r="AL201" s="53"/>
    </row>
    <row r="202" spans="1:38" s="21" customFormat="1" x14ac:dyDescent="0.25">
      <c r="A202" s="37" t="s">
        <v>659</v>
      </c>
      <c r="B202" s="7">
        <v>4042</v>
      </c>
      <c r="C202" s="22" t="s">
        <v>207</v>
      </c>
      <c r="D202" s="22" t="s">
        <v>708</v>
      </c>
      <c r="E202" s="13">
        <v>42716.071608796294</v>
      </c>
      <c r="F202" s="13">
        <v>25568.708333333332</v>
      </c>
      <c r="G202" s="7">
        <v>1</v>
      </c>
      <c r="H202" s="22" t="s">
        <v>801</v>
      </c>
      <c r="I202" s="13">
        <v>25568.708333333332</v>
      </c>
      <c r="J202" s="7">
        <v>1</v>
      </c>
      <c r="K202" s="109" t="str">
        <f t="shared" si="51"/>
        <v>4041/4042</v>
      </c>
      <c r="L202" s="22" t="str">
        <f>VLOOKUP(A202,'Trips&amp;Operators'!$C$1:$G$99999,5,FALSE)</f>
        <v>NEWELL JAMES</v>
      </c>
      <c r="M202" s="6">
        <f t="shared" si="52"/>
        <v>0</v>
      </c>
      <c r="N202" s="7">
        <f t="shared" si="69"/>
        <v>0</v>
      </c>
      <c r="O202" s="7"/>
      <c r="P202" s="7"/>
      <c r="Q202" s="23"/>
      <c r="R202" s="23"/>
      <c r="S202" s="35">
        <f t="shared" si="70"/>
        <v>1</v>
      </c>
      <c r="T202" s="50" t="str">
        <f t="shared" si="53"/>
        <v>NorthBound</v>
      </c>
      <c r="U202" s="171">
        <f>IF(AG202="EC",COUNTIFS(Variables!$M$2:$M$19,IF(T202="NorthBound","&gt;=","&lt;=")&amp;Y202,Variables!$M$2:$M$19,IF(T202="NorthBound","&lt;=","&gt;=")&amp;Z202),COUNTIFS(Variables!$P$2:$P$19,IF(T202="NorthBound","&gt;=","&lt;=")&amp;Y202,Variables!$P$2:$P$19,IF(T202="NorthBound","&lt;=","&gt;=")&amp;Z202))</f>
        <v>1</v>
      </c>
      <c r="V202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https://search-rtdc-monitor-bjffxe2xuh6vdkpspy63sjmuny.us-east-1.es.amazonaws.com/_plugin/kibana/#/discover/Steve-Slow-Train-Analysis-(2080s-and-2083s)?_g=(refreshInterval:(display:Off,section:0,value:0),time:(from:'2016-12-12 00:43:07-700',mode:absolute,to:'1969-12-31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W202" s="52" t="str">
        <f t="shared" si="55"/>
        <v>Y</v>
      </c>
      <c r="X202" s="177">
        <f t="shared" si="71"/>
        <v>0</v>
      </c>
      <c r="Y202" s="67">
        <f t="shared" si="56"/>
        <v>4.4900000000000002E-2</v>
      </c>
      <c r="Z202" s="67">
        <f t="shared" si="57"/>
        <v>2.3304</v>
      </c>
      <c r="AA202" s="67">
        <f t="shared" si="58"/>
        <v>2.2854999999999999</v>
      </c>
      <c r="AB202" s="64" t="e">
        <f>VLOOKUP(A202,Enforcements!$C$7:$K$20,8,0)</f>
        <v>#N/A</v>
      </c>
      <c r="AC202" s="60" t="e">
        <f>VLOOKUP(A202,Enforcements!$C$7:$E$20,3,0)</f>
        <v>#N/A</v>
      </c>
      <c r="AD202" s="61" t="str">
        <f t="shared" si="59"/>
        <v>0313-11</v>
      </c>
      <c r="AE202" s="91" t="str">
        <f t="shared" si="60"/>
        <v>aws s3 cp s3://rtdc.mdm.uploadarchive.raw/RTDC4042/ "%USERPROFILE%\AppData\Local\Temp\OnboardLogs"\RTDC4042\1969-12-31 --exclude "*" --recursive --include "*19691231*" &amp; "%USERPROFILE%\Documents\GitHub\mrs-test-scripts\Headless Mode &amp; Sideloading\WalkAndUnGZ.bat" "%USERPROFILE%\AppData\Local\Temp\OnboardLogs"\RTDC4042\1969-12-31 &amp; aws s3 cp s3://rtdc.mdm.uploadarchive.raw/RTDC4042/ "%USERPROFILE%\AppData\Local\Temp\OnboardLogs"\RTDC4042\1970-01-01 --exclude "*" --recursive --include "*19700101*" &amp; "%USERPROFILE%\Documents\GitHub\mrs-test-scripts\Headless Mode &amp; Sideloading\WalkAndUnGZ.bat" "%USERPROFILE%\AppData\Local\Temp\OnboardLogs"\RTDC4042\1970-01-01</v>
      </c>
      <c r="AF202" s="88" t="str">
        <f t="shared" si="61"/>
        <v>"C:\Program Files (x86)\AstroGrep\AstroGrep.exe" /spath="%USERPROFILE%\AppData\Local\Temp\OnboardLogs" /stypes="app*4042*19700101*" /stext=" 00:.+((SYSTEM_STATE.+slice.+state.+changed )|(ment ac)|(multiple cpu faults)|(system.+state.+changed )|(\[timeout)|(PRM\|1\|D)|(kpr)|(kdp)|(\|lc)|(penalty))" /e /r /s</v>
      </c>
      <c r="AG202" s="1" t="str">
        <f t="shared" si="62"/>
        <v>Other</v>
      </c>
      <c r="AH202" s="92" t="str">
        <f t="shared" si="49"/>
        <v>"%USERPROFILE%\Documents\GitHub\eaglep3\Utilities\RefineRTDCRunTimes.py" --tripid 313-11 --locoid 4042 --swversion DE.1.0.8.0 --startMP 204:449 --initTime 2016-12-12T01:43:07 --startdatetime 1969-12-31T17:00:00 --delay 1 --endMP 300:23304 --enddatetime 1969-12-31T17:00:00 --enforcementcount 1 &gt;&gt;C:\Users\stu\Documents\GitHub\eaglep3-reporting\EC\2016-12-11-refined-times.txt</v>
      </c>
      <c r="AI202" s="119" t="str">
        <f t="shared" si="50"/>
        <v>echo {"issue":{"subject":"","project_id":79,"tracker_id":40,"status_id":1,"priority_id":2,"assigned_to_id":23,"start_date":"1969-12-31","description":"","custom_fields":[{"id":1,"name":"Subdivision","value":"Other"},{"id":4,"name":"Milepost","value":"2.3304"},{"id":17,"name":"Train ID","value":"313-11"},{"id":16,"name":"Locomotive ID","value":"4042"},{"id":130,"name":"Impact","value":""},{"id":150,"name":"Time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2" s="53"/>
      <c r="AK202" s="53"/>
      <c r="AL202" s="53"/>
    </row>
    <row r="203" spans="1:38" x14ac:dyDescent="0.25">
      <c r="A203" s="37" t="s">
        <v>391</v>
      </c>
      <c r="B203" s="7">
        <v>4020</v>
      </c>
      <c r="C203" s="22" t="s">
        <v>207</v>
      </c>
      <c r="D203" s="22" t="s">
        <v>194</v>
      </c>
      <c r="E203" s="13">
        <v>42715.111319444448</v>
      </c>
      <c r="F203" s="13">
        <v>42715.113043981481</v>
      </c>
      <c r="G203" s="7">
        <v>1</v>
      </c>
      <c r="H203" s="22" t="s">
        <v>366</v>
      </c>
      <c r="I203" s="13">
        <v>42715.11859953704</v>
      </c>
      <c r="J203" s="7">
        <v>1</v>
      </c>
      <c r="K203" s="109" t="str">
        <f t="shared" si="51"/>
        <v>4019/4020</v>
      </c>
      <c r="L203" s="22" t="str">
        <f>VLOOKUP(A203,'Trips&amp;Operators'!$C$1:$G$99999,5,FALSE)</f>
        <v>BADERTSCHER DIANE</v>
      </c>
      <c r="M203" s="6">
        <f t="shared" si="52"/>
        <v>5.5555555591126904E-3</v>
      </c>
      <c r="N203" s="7">
        <f t="shared" si="69"/>
        <v>8.0000000051222742</v>
      </c>
      <c r="O203" s="7"/>
      <c r="P203" s="7"/>
      <c r="Q203" s="23"/>
      <c r="R203" s="23"/>
      <c r="S203" s="35">
        <f t="shared" si="70"/>
        <v>1</v>
      </c>
      <c r="T203" s="50" t="str">
        <f t="shared" si="53"/>
        <v>NorthBound</v>
      </c>
      <c r="U203" s="171">
        <f>IF(AG203="EC",COUNTIFS(Variables!$M$2:$M$19,IF(T203="NorthBound","&gt;=","&lt;=")&amp;Y203,Variables!$M$2:$M$19,IF(T203="NorthBound","&lt;=","&gt;=")&amp;Z203),COUNTIFS(Variables!$P$2:$P$19,IF(T203="NorthBound","&gt;=","&lt;=")&amp;Y203,Variables!$P$2:$P$19,IF(T203="NorthBound","&lt;=","&gt;=")&amp;Z203))</f>
        <v>1</v>
      </c>
      <c r="V203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https://search-rtdc-monitor-bjffxe2xuh6vdkpspy63sjmuny.us-east-1.es.amazonaws.com/_plugin/kibana/#/discover/Steve-Slow-Train-Analysis-(2080s-and-2083s)?_g=(refreshInterval:(display:Off,section:0,value:0),time:(from:'2016-12-11 01:40:18-700',mode:absolute,to:'2016-12-11 03:50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4020%22')),sort:!(Time,asc))</v>
      </c>
      <c r="W203" s="52" t="str">
        <f t="shared" si="55"/>
        <v>Y</v>
      </c>
      <c r="X203" s="177">
        <f t="shared" si="71"/>
        <v>2</v>
      </c>
      <c r="Y203" s="67">
        <f t="shared" si="56"/>
        <v>4.4699999999999997E-2</v>
      </c>
      <c r="Z203" s="67">
        <f t="shared" si="57"/>
        <v>2.3306</v>
      </c>
      <c r="AA203" s="67">
        <f t="shared" si="58"/>
        <v>2.2858999999999998</v>
      </c>
      <c r="AB203" s="64" t="e">
        <f>VLOOKUP(A203,Enforcements!$C$7:$K$20,8,0)</f>
        <v>#N/A</v>
      </c>
      <c r="AC203" s="60" t="e">
        <f>VLOOKUP(A203,Enforcements!$C$7:$E$20,3,0)</f>
        <v>#N/A</v>
      </c>
      <c r="AD203" s="61" t="str">
        <f t="shared" si="59"/>
        <v>0315-10</v>
      </c>
      <c r="AE203" s="91" t="str">
        <f t="shared" si="60"/>
        <v>aws s3 cp s3://rtdc.mdm.uploadarchive.raw/RTDC4020/ "%USERPROFILE%\AppData\Local\Temp\OnboardLogs"\RTDC4020\2016-12-11 --exclude "*" --recursive --include "*20161211*" &amp; "%USERPROFILE%\Documents\GitHub\mrs-test-scripts\Headless Mode &amp; Sideloading\WalkAndUnGZ.bat" "%USERPROFILE%\AppData\Local\Temp\OnboardLogs"\RTDC4020\2016-12-11 &amp; aws s3 cp s3://rtdc.mdm.uploadarchive.raw/RTDC4020/ "%USERPROFILE%\AppData\Local\Temp\OnboardLogs"\RTDC4020\2016-12-12 --exclude "*" --recursive --include "*20161212*" &amp; "%USERPROFILE%\Documents\GitHub\mrs-test-scripts\Headless Mode &amp; Sideloading\WalkAndUnGZ.bat" "%USERPROFILE%\AppData\Local\Temp\OnboardLogs"\RTDC4020\2016-12-12</v>
      </c>
      <c r="AF203" s="88" t="str">
        <f t="shared" si="61"/>
        <v>"C:\Program Files (x86)\AstroGrep\AstroGrep.exe" /spath="%USERPROFILE%\AppData\Local\Temp\OnboardLogs" /stypes="app*4020*20161211*" /stext=" 09:.+((SYSTEM_STATE.+slice.+state.+changed )|(ment ac)|(multiple cpu faults)|(system.+state.+changed )|(\[timeout)|(PRM\|1\|D)|(kpr)|(kdp)|(\|lc)|(penalty))" /e /r /s</v>
      </c>
      <c r="AG203" s="1" t="str">
        <f t="shared" si="62"/>
        <v>Other</v>
      </c>
      <c r="AH203" s="92" t="str">
        <f t="shared" si="49"/>
        <v>"%USERPROFILE%\Documents\GitHub\eaglep3\Utilities\RefineRTDCRunTimes.py" --tripid 315-10 --locoid 4020 --swversion DE.1.0.8.0 --startMP 204:447 --initTime 2016-12-11T02:40:18 --startdatetime 2016-12-11T02:42:47 --delay 1 --endMP 300:23306 --enddatetime 2016-12-11T02:50:47 --enforcementcount 1 &gt;&gt;C:\Users\stu\Documents\GitHub\eaglep3-reporting\EC\2016-12-11-refined-times.txt</v>
      </c>
      <c r="AI203" s="119" t="str">
        <f t="shared" si="50"/>
        <v>echo {"issue":{"subject":"","project_id":79,"tracker_id":40,"status_id":1,"priority_id":2,"assigned_to_id":23,"start_date":"2016-12-11","description":"","custom_fields":[{"id":1,"name":"Subdivision","value":"Other"},{"id":4,"name":"Milepost","value":"2.3306"},{"id":17,"name":"Train ID","value":"315-10"},{"id":16,"name":"Locomotive ID","value":"4020"},{"id":130,"name":"Impact","value":""},{"id":150,"name":"Time of Event (Mountain Time)","value":"02:50:47"},{"id":151,"name":"Denver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3" s="53"/>
      <c r="AK203" s="53"/>
      <c r="AL203" s="53"/>
    </row>
    <row r="204" spans="1:38" x14ac:dyDescent="0.25">
      <c r="A204" s="37" t="s">
        <v>660</v>
      </c>
      <c r="B204" s="7">
        <v>4018</v>
      </c>
      <c r="C204" s="22" t="s">
        <v>207</v>
      </c>
      <c r="D204" s="22" t="s">
        <v>195</v>
      </c>
      <c r="E204" s="13">
        <v>42716.093159722222</v>
      </c>
      <c r="F204" s="13">
        <v>42716.094652777778</v>
      </c>
      <c r="G204" s="7">
        <v>1</v>
      </c>
      <c r="H204" s="22" t="s">
        <v>802</v>
      </c>
      <c r="I204" s="13">
        <v>42716.100787037038</v>
      </c>
      <c r="J204" s="7">
        <v>1</v>
      </c>
      <c r="K204" s="109" t="str">
        <f t="shared" si="51"/>
        <v>4017/4018</v>
      </c>
      <c r="L204" s="22" t="str">
        <f>VLOOKUP(A204,'Trips&amp;Operators'!$C$1:$G$99999,5,FALSE)</f>
        <v>CHANDLER KELVIN</v>
      </c>
      <c r="M204" s="6">
        <f t="shared" si="52"/>
        <v>6.1342592598521151E-3</v>
      </c>
      <c r="N204" s="7">
        <f t="shared" si="69"/>
        <v>8.8333333341870457</v>
      </c>
      <c r="O204" s="7"/>
      <c r="P204" s="7"/>
      <c r="Q204" s="23"/>
      <c r="R204" s="23"/>
      <c r="S204" s="35">
        <f t="shared" si="70"/>
        <v>1</v>
      </c>
      <c r="T204" s="50" t="str">
        <f t="shared" si="53"/>
        <v>NorthBound</v>
      </c>
      <c r="U204" s="171">
        <f>IF(AG204="EC",COUNTIFS(Variables!$M$2:$M$19,IF(T204="NorthBound","&gt;=","&lt;=")&amp;Y204,Variables!$M$2:$M$19,IF(T204="NorthBound","&lt;=","&gt;=")&amp;Z204),COUNTIFS(Variables!$P$2:$P$19,IF(T204="NorthBound","&gt;=","&lt;=")&amp;Y204,Variables!$P$2:$P$19,IF(T204="NorthBound","&lt;=","&gt;=")&amp;Z204))</f>
        <v>1</v>
      </c>
      <c r="V204" s="98" t="str">
        <f t="shared" si="54"/>
        <v>https://search-rtdc-monitor-bjffxe2xuh6vdkpspy63sjmuny.us-east-1.es.amazonaws.com/_plugin/kibana/#/discover/Steve-Slow-Train-Analysis-(2080s-and-2083s)?_g=(refreshInterval:(display:Off,section:0,value:0),time:(from:'2016-12-12 01:14:09-700',mode:absolute,to:'2016-12-12 03:25:08-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W204" s="52" t="str">
        <f t="shared" si="55"/>
        <v>Y</v>
      </c>
      <c r="X204" s="177">
        <f t="shared" si="71"/>
        <v>0</v>
      </c>
      <c r="Y204" s="67">
        <f t="shared" si="56"/>
        <v>4.5100000000000001E-2</v>
      </c>
      <c r="Z204" s="67">
        <f t="shared" si="57"/>
        <v>2.2852000000000001</v>
      </c>
      <c r="AA204" s="67">
        <f t="shared" si="58"/>
        <v>2.2401</v>
      </c>
      <c r="AB204" s="64" t="e">
        <f>VLOOKUP(A204,Enforcements!$C$7:$K$20,8,0)</f>
        <v>#N/A</v>
      </c>
      <c r="AC204" s="60" t="e">
        <f>VLOOKUP(A204,Enforcements!$C$7:$E$20,3,0)</f>
        <v>#N/A</v>
      </c>
      <c r="AD204" s="61" t="str">
        <f t="shared" si="59"/>
        <v>0315-11</v>
      </c>
      <c r="AE204" s="91" t="str">
        <f t="shared" si="60"/>
        <v>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 &amp; aws s3 cp s3://rtdc.mdm.uploadarchive.raw/RTDC4018/ "%USERPROFILE%\AppData\Local\Temp\OnboardLogs"\RTDC4018\2016-12-13 --exclude "*" --recursive --include "*20161213*" &amp; "%USERPROFILE%\Documents\GitHub\mrs-test-scripts\Headless Mode &amp; Sideloading\WalkAndUnGZ.bat" "%USERPROFILE%\AppData\Local\Temp\OnboardLogs"\RTDC4018\2016-12-13</v>
      </c>
      <c r="AF204" s="88" t="str">
        <f t="shared" si="61"/>
        <v>"C:\Program Files (x86)\AstroGrep\AstroGrep.exe" /spath="%USERPROFILE%\AppData\Local\Temp\OnboardLogs" /stypes="app*4018*20161212*" /stext=" 09:.+((SYSTEM_STATE.+slice.+state.+changed )|(ment ac)|(multiple cpu faults)|(system.+state.+changed )|(\[timeout)|(PRM\|1\|D)|(kpr)|(kdp)|(\|lc)|(penalty))" /e /r /s</v>
      </c>
      <c r="AG204" s="1" t="str">
        <f t="shared" si="62"/>
        <v>Other</v>
      </c>
      <c r="AH204" s="92" t="str">
        <f t="shared" ref="AH204:AH213" si="72">refinertdcruntimes&amp;" --tripid "&amp;A204&amp;" --locoid "&amp;B204&amp;" --swversion "&amp;C204&amp;" --startMP "&amp;D204&amp;" --initTime "&amp;TEXT(E204,"yyyy-mm-ddTHH:MM:SS")&amp;" --startdatetime "&amp;TEXT(F204,"yyyy-mm-ddTHH:MM:SS")&amp;" --delay "&amp;G204&amp;" --endMP "&amp;H204&amp;" --enddatetime "&amp;TEXT(I204,"yyyy-mm-ddTHH:MM:SS")&amp;" --enforcementcount "&amp;J204&amp;IF(outputrefinedruntimes," &gt;&gt;"&amp;RefinedRTDCRunTimesOutputFile,"")</f>
        <v>"%USERPROFILE%\Documents\GitHub\eaglep3\Utilities\RefineRTDCRunTimes.py" --tripid 315-11 --locoid 4018 --swversion DE.1.0.8.0 --startMP 204:451 --initTime 2016-12-12T02:14:09 --startdatetime 2016-12-12T02:16:18 --delay 1 --endMP 300:22852 --enddatetime 2016-12-12T02:25:08 --enforcementcount 1 &gt;&gt;C:\Users\stu\Documents\GitHub\eaglep3-reporting\EC\2016-12-11-refined-times.txt</v>
      </c>
      <c r="AI204" s="119" t="str">
        <f t="shared" ref="AI204:AI213" si="73">"echo {""issue"":{""subject"":"""&amp;R204&amp;""",""project_id"":79,""tracker_id"":40,""status_id"":"&amp;redmine_status&amp;",""priority_id"":"&amp;redmine_priority&amp;",""assigned_to_id"":"&amp;redmine_assignee&amp;",""start_date"":"""&amp;TEXT(I204,"YYYY-mm-dd")&amp;""",""description"":"""&amp;AJ204&amp;""",""custom_fields"":[{""id"":1,""name"":""Subdivision"",""value"":"""&amp;AG204&amp;"""},{""id"":4,""name"":""Milepost"",""value"":"""&amp;Z204&amp;"""},{""id"":17,""name"":""Train ID"",""value"":"""&amp;A204&amp;"""},{""id"":16,""name"":""Locomotive ID"",""value"":"""&amp;B204&amp;"""},{""id"":130,""name"":""Impact"",""value"":"""&amp;AK204&amp;"""},{""id"":150,""name"":""Time of Event (Mountain Time)"",""value"":"""&amp;TEXT(I204,"hh:mm:ss")&amp;"""},{""id"":151,""name"":""Denver Issue ID"",""value"":"""&amp;"""},{""id"":178,""name"":""Operational Impact"",""value"":"""&amp;redmine_op_impact&amp;"""},{""id"":179,""name"":""Denver Segment Assigned"",""value"":"""&amp;AL204&amp;"""}]}}"&amp;"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{"issue":{"subject":"","project_id":79,"tracker_id":40,"status_id":1,"priority_id":2,"assigned_to_id":23,"start_date":"2016-12-12","description":"","custom_fields":[{"id":1,"name":"Subdivision","value":"Other"},{"id":4,"name":"Milepost","value":"2.2852"},{"id":17,"name":"Train ID","value":"315-11"},{"id":16,"name":"Locomotive ID","value":"4018"},{"id":130,"name":"Impact","value":""},{"id":150,"name":"Time of Event (Mountain Time)","value":"02:25:08"},{"id":151,"name":"Denver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4" s="53"/>
      <c r="AK204" s="53"/>
      <c r="AL204" s="53"/>
    </row>
    <row r="205" spans="1:38" x14ac:dyDescent="0.25">
      <c r="A205" s="37" t="s">
        <v>649</v>
      </c>
      <c r="B205" s="7">
        <v>4045</v>
      </c>
      <c r="C205" s="22" t="s">
        <v>207</v>
      </c>
      <c r="D205" s="22" t="s">
        <v>768</v>
      </c>
      <c r="E205" s="13">
        <v>42715.943414351852</v>
      </c>
      <c r="F205" s="13">
        <v>42715.945081018515</v>
      </c>
      <c r="G205" s="7">
        <v>1</v>
      </c>
      <c r="H205" s="22" t="s">
        <v>769</v>
      </c>
      <c r="I205" s="13">
        <v>42715.949374999997</v>
      </c>
      <c r="J205" s="7">
        <v>1</v>
      </c>
      <c r="K205" s="109" t="str">
        <f t="shared" ref="K205:K213" si="74">IF(ISEVEN(B205),(B205-1)&amp;"/"&amp;B205,B205&amp;"/"&amp;(B205+1))</f>
        <v>4045/4046</v>
      </c>
      <c r="L205" s="22" t="str">
        <f>VLOOKUP(A205,'Trips&amp;Operators'!$C$1:$G$99999,5,FALSE)</f>
        <v>ADANE ELSHADAY</v>
      </c>
      <c r="M205" s="6">
        <f t="shared" ref="M205:M213" si="75">I205-F205</f>
        <v>4.2939814811688848E-3</v>
      </c>
      <c r="N205" s="7">
        <f t="shared" si="69"/>
        <v>6.1833333328831941</v>
      </c>
      <c r="O205" s="7"/>
      <c r="P205" s="7"/>
      <c r="Q205" s="23"/>
      <c r="R205" s="23"/>
      <c r="S205" s="35">
        <f t="shared" si="70"/>
        <v>0</v>
      </c>
      <c r="T205" s="50" t="str">
        <f t="shared" ref="T205:T213" si="76">IF(ISEVEN(LEFT(AD205,4)),"Southbound","NorthBound")</f>
        <v>Southbound</v>
      </c>
      <c r="U205" s="171">
        <f>IF(AG205="EC",COUNTIFS(Variables!$M$2:$M$19,IF(T205="NorthBound","&gt;=","&lt;=")&amp;Y205,Variables!$M$2:$M$19,IF(T205="NorthBound","&lt;=","&gt;=")&amp;Z205),COUNTIFS(Variables!$P$2:$P$19,IF(T205="NorthBound","&gt;=","&lt;=")&amp;Y205,Variables!$P$2:$P$19,IF(T205="NorthBound","&lt;=","&gt;=")&amp;Z205))</f>
        <v>0</v>
      </c>
      <c r="V205" s="98" t="str">
        <f t="shared" ref="V205:V213" si="77">"https://search-rtdc-monitor-bjffxe2xuh6vdkpspy63sjmuny.us-east-1.es.amazonaws.com/_plugin/kibana/#/discover/Steve-Slow-Train-Analysis-(2080s-and-2083s)?_g=(refreshInterval:(display:Off,section:0,value:0),time:(from:'"&amp;TEXT(E205-1/24,"yyyy-MM-DD hh:mm:ss")&amp;utc_offset&amp;"00',mode:absolute,to:'"&amp;TEXT(I205+1/24,"yyyy-MM-DD hh:mm:ss")&amp;utc_offset&amp;"00'))&amp;_a=(columns:!(Source,'Data.Head%20End%20Milepost',Data.Speed,'Data.Locomotive%20State','Data.Train%20ID','Data.Warning%2FEnforcement%20Type','Data.Target%20Start%20Milepost','Data.Target%20Description','Data.Target%20Speed',"&amp;"'Data.Enforcement%20Train%20Speed','Data.Enforcement%20Start%20Milepost','Data.Target%20Type','Data.Enforcement%20Direction%20of%20Travel','Message%20ID','Data.Body%20of%20Summary%20Text','Data.Head%20End%20Track%20name')"&amp;",filters:!(),index:'emp_*',interval:auto,query:"&amp;"(query_string:(analyze_wildcard:!t,query:'Message%5C%20ID:(2083%20OR%202080%20OR%201041%20OR%202003%20OR%201051%20OR%201043%20OR%201053)%20AND%20%22rtdc.l.rtdc."&amp;B205&amp;"%22')),sort:!(Time,asc))"</f>
        <v>https://search-rtdc-monitor-bjffxe2xuh6vdkpspy63sjmuny.us-east-1.es.amazonaws.com/_plugin/kibana/#/discover/Steve-Slow-Train-Analysis-(2080s-and-2083s)?_g=(refreshInterval:(display:Off,section:0,value:0),time:(from:'2016-12-11 21:38:31-700',mode:absolute,to:'2016-12-11 23:47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W205" s="52" t="str">
        <f t="shared" ref="W205:W213" si="78">IF(AA205&lt;IF(AG205="EC",23,5.65),"Y","N")</f>
        <v>Y</v>
      </c>
      <c r="X205" s="177">
        <f t="shared" si="71"/>
        <v>1587</v>
      </c>
      <c r="Y205" s="67">
        <f t="shared" ref="Y205:Y213" si="79">RIGHT(D205,LEN(D205)-4)/10000</f>
        <v>5.8640999999999996</v>
      </c>
      <c r="Z205" s="67">
        <f t="shared" ref="Z205:Z213" si="80">RIGHT(H205,LEN(H205)-4)/10000</f>
        <v>2.1358000000000001</v>
      </c>
      <c r="AA205" s="67">
        <f t="shared" ref="AA205:AA268" si="81">ABS(Z205-Y205)</f>
        <v>3.7282999999999995</v>
      </c>
      <c r="AB205" s="64" t="e">
        <f>VLOOKUP(A205,Enforcements!$C$7:$K$20,8,0)</f>
        <v>#N/A</v>
      </c>
      <c r="AC205" s="60" t="e">
        <f>VLOOKUP(A205,Enforcements!$C$7:$E$20,3,0)</f>
        <v>#N/A</v>
      </c>
      <c r="AD205" s="61" t="str">
        <f t="shared" ref="AD205:AD213" si="82">IF(LEN(A205)=6,"0"&amp;A205,A205)</f>
        <v>1902-11</v>
      </c>
      <c r="AE205" s="91" t="str">
        <f t="shared" ref="AE205:AE213" si="83">"aws s3 cp "&amp;s3_bucket&amp;"/RTDC"&amp;B205&amp;"/ "&amp;search_path&amp;"\RTDC"&amp;B205&amp;"\"&amp;TEXT(F205,"YYYY-MM-DD")&amp;" --exclude ""*"" --recursive --include ""*"&amp;TEXT(F205,"YYYYMMDD")&amp;"*"" &amp; """&amp;walkandungz&amp;""" "&amp;search_path&amp;"\RTDC"&amp;B205&amp;"\"&amp;TEXT(F205,"YYYY-MM-DD")
&amp;" &amp; "&amp;"aws s3 cp "&amp;s3_bucket&amp;"/RTDC"&amp;B205&amp;"/ "&amp;search_path&amp;"\RTDC"&amp;B205&amp;"\"&amp;TEXT(F205+1,"YYYY-MM-DD")&amp;" --exclude ""*"" --recursive --include ""*"&amp;TEXT(F205+1,"YYYYMMDD")&amp;"*"" &amp; """&amp;walkandungz&amp;""" "&amp;search_path&amp;"\RTDC"&amp;B205&amp;"\"&amp;TEXT(F205+1,"YYYY-MM-DD")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AF205" s="88" t="str">
        <f t="shared" ref="AF205:AF213" si="84">astrogrep_path&amp;" /spath="&amp;search_path&amp;" /stypes=""app*"&amp;B205&amp;"*"&amp;TEXT(I205-utc_offset/24,"YYYYMMDD")&amp;"*"" /stext="" "&amp;TEXT(I205-utc_offset/24,"HH")&amp;search_regexp&amp;""" /e /r /s"</f>
        <v>"C:\Program Files (x86)\AstroGrep\AstroGrep.exe" /spath="%USERPROFILE%\AppData\Local\Temp\OnboardLogs" /stypes="app*4045*20161212*" /stext=" 05:.+((SYSTEM_STATE.+slice.+state.+changed )|(ment ac)|(multiple cpu faults)|(system.+state.+changed )|(\[timeout)|(PRM\|1\|D)|(kpr)|(kdp)|(\|lc)|(penalty))" /e /r /s</v>
      </c>
      <c r="AG205" s="1" t="str">
        <f t="shared" ref="AG205:AG213" si="85">IFERROR(IF(VALUE(LEFT(AD205,2))&lt;=2,"EC",IF(OR(VALUE(LEFT(AD205,2))=8,VALUE(LEFT(AD205,2))=18),"NW","Other")),"Other")</f>
        <v>Other</v>
      </c>
      <c r="AH205" s="92" t="str">
        <f t="shared" si="72"/>
        <v>"%USERPROFILE%\Documents\GitHub\eaglep3\Utilities\RefineRTDCRunTimes.py" --tripid 1902-11 --locoid 4045 --swversion DE.1.0.8.0 --startMP 300:58641 --initTime 2016-12-11T22:38:31 --startdatetime 2016-12-11T22:40:55 --delay 1 --endMP 300:21358 --enddatetime 2016-12-11T22:47:06 --enforcementcount 1 &gt;&gt;C:\Users\stu\Documents\GitHub\eaglep3-reporting\EC\2016-12-11-refined-times.txt</v>
      </c>
      <c r="AI205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{"issue":{"subject":"","project_id":79,"tracker_id":40,"status_id":1,"priority_id":2,"assigned_to_id":23,"start_date":"2016-12-11","description":"","custom_fields":[{"id":1,"name":"Subdivision","value":"Other"},{"id":4,"name":"Milepost","value":"2.1358"},{"id":17,"name":"Train ID","value":"1902-11"},{"id":16,"name":"Locomotive ID","value":"4045"},{"id":130,"name":"Impact","value":""},{"id":150,"name":"Time of Event (Mountain Time)","value":"22:47:06"},{"id":151,"name":"Denver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5" s="53"/>
      <c r="AK205" s="53"/>
      <c r="AL205" s="53"/>
    </row>
    <row r="206" spans="1:38" x14ac:dyDescent="0.25">
      <c r="A206" s="37" t="s">
        <v>540</v>
      </c>
      <c r="B206" s="7">
        <v>4052</v>
      </c>
      <c r="C206" s="22" t="s">
        <v>207</v>
      </c>
      <c r="D206" s="22" t="s">
        <v>803</v>
      </c>
      <c r="E206" s="13">
        <v>42715.415416666663</v>
      </c>
      <c r="F206" s="13">
        <v>42715.416990740741</v>
      </c>
      <c r="G206" s="7">
        <v>2</v>
      </c>
      <c r="H206" s="22" t="s">
        <v>804</v>
      </c>
      <c r="I206" s="13">
        <v>42715.418182870373</v>
      </c>
      <c r="J206" s="7">
        <v>1</v>
      </c>
      <c r="K206" s="109" t="str">
        <f t="shared" si="74"/>
        <v>4051/4052</v>
      </c>
      <c r="L206" s="22" t="str">
        <f>VLOOKUP(A206,'Trips&amp;Operators'!$C$1:$G$99999,5,FALSE)</f>
        <v>BROWN JACOB</v>
      </c>
      <c r="M206" s="6">
        <f t="shared" si="75"/>
        <v>1.1921296318178065E-3</v>
      </c>
      <c r="N206" s="7">
        <f t="shared" si="69"/>
        <v>1.7166666698176414</v>
      </c>
      <c r="O206" s="7"/>
      <c r="P206" s="7"/>
      <c r="Q206" s="23"/>
      <c r="R206" s="23"/>
      <c r="S206" s="35">
        <f t="shared" si="70"/>
        <v>0</v>
      </c>
      <c r="T206" s="50" t="e">
        <f t="shared" si="76"/>
        <v>#VALUE!</v>
      </c>
      <c r="U206" s="171">
        <f>IF(AG206="EC",COUNTIFS(Variables!$M$2:$M$19,IF(T206="NorthBound","&gt;=","&lt;=")&amp;Y206,Variables!$M$2:$M$19,IF(T206="NorthBound","&lt;=","&gt;=")&amp;Z206),COUNTIFS(Variables!$P$2:$P$19,IF(T206="NorthBound","&gt;=","&lt;=")&amp;Y206,Variables!$P$2:$P$19,IF(T206="NorthBound","&lt;=","&gt;=")&amp;Z206))</f>
        <v>0</v>
      </c>
      <c r="V206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08:58:12-700',mode:absolute,to:'2016-12-11 11:02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4052%22')),sort:!(Time,asc))</v>
      </c>
      <c r="W206" s="52" t="str">
        <f t="shared" si="78"/>
        <v>Y</v>
      </c>
      <c r="X206" s="177" t="e">
        <f t="shared" si="71"/>
        <v>#VALUE!</v>
      </c>
      <c r="Y206" s="67">
        <f t="shared" si="79"/>
        <v>2.4011999999999998</v>
      </c>
      <c r="Z206" s="67">
        <f t="shared" si="80"/>
        <v>1.9179999999999999</v>
      </c>
      <c r="AA206" s="67">
        <f t="shared" si="81"/>
        <v>0.48319999999999985</v>
      </c>
      <c r="AB206" s="64" t="e">
        <f>VLOOKUP(A206,Enforcements!$C$7:$K$20,8,0)</f>
        <v>#N/A</v>
      </c>
      <c r="AC206" s="60" t="e">
        <f>VLOOKUP(A206,Enforcements!$C$7:$E$20,3,0)</f>
        <v>#N/A</v>
      </c>
      <c r="AD206" s="61" t="str">
        <f t="shared" si="82"/>
        <v>50-11</v>
      </c>
      <c r="AE206" s="91" t="str">
        <f t="shared" si="83"/>
        <v>aws s3 cp s3://rtdc.mdm.uploadarchive.raw/RTDC4052/ "%USERPROFILE%\AppData\Local\Temp\OnboardLogs"\RTDC4052\2016-12-11 --exclude "*" --recursive --include "*20161211*" &amp; "%USERPROFILE%\Documents\GitHub\mrs-test-scripts\Headless Mode &amp; Sideloading\WalkAndUnGZ.bat" "%USERPROFILE%\AppData\Local\Temp\OnboardLogs"\RTDC4052\2016-12-11 &amp; aws s3 cp s3://rtdc.mdm.uploadarchive.raw/RTDC4052/ "%USERPROFILE%\AppData\Local\Temp\OnboardLogs"\RTDC4052\2016-12-12 --exclude "*" --recursive --include "*20161212*" &amp; "%USERPROFILE%\Documents\GitHub\mrs-test-scripts\Headless Mode &amp; Sideloading\WalkAndUnGZ.bat" "%USERPROFILE%\AppData\Local\Temp\OnboardLogs"\RTDC4052\2016-12-12</v>
      </c>
      <c r="AF206" s="88" t="str">
        <f t="shared" si="84"/>
        <v>"C:\Program Files (x86)\AstroGrep\AstroGrep.exe" /spath="%USERPROFILE%\AppData\Local\Temp\OnboardLogs" /stypes="app*4052*20161211*" /stext=" 17:.+((SYSTEM_STATE.+slice.+state.+changed )|(ment ac)|(multiple cpu faults)|(system.+state.+changed )|(\[timeout)|(PRM\|1\|D)|(kpr)|(kdp)|(\|lc)|(penalty))" /e /r /s</v>
      </c>
      <c r="AG206" s="1" t="str">
        <f t="shared" si="85"/>
        <v>Other</v>
      </c>
      <c r="AH206" s="92" t="str">
        <f t="shared" si="72"/>
        <v>"%USERPROFILE%\Documents\GitHub\eaglep3\Utilities\RefineRTDCRunTimes.py" --tripid 50-11 --locoid 4052 --swversion DE.1.0.8.0 --startMP 300:24012 --initTime 2016-12-11T09:58:12 --startdatetime 2016-12-11T10:00:28 --delay 2 --endMP 300:19180 --enddatetime 2016-12-11T10:02:11 --enforcementcount 1 &gt;&gt;C:\Users\stu\Documents\GitHub\eaglep3-reporting\EC\2016-12-11-refined-times.txt</v>
      </c>
      <c r="AI206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{"issue":{"subject":"","project_id":79,"tracker_id":40,"status_id":1,"priority_id":2,"assigned_to_id":23,"start_date":"2016-12-11","description":"","custom_fields":[{"id":1,"name":"Subdivision","value":"Other"},{"id":4,"name":"Milepost","value":"1.918"},{"id":17,"name":"Train ID","value":"50-11"},{"id":16,"name":"Locomotive ID","value":"4052"},{"id":130,"name":"Impact","value":""},{"id":150,"name":"Time of Event (Mountain Time)","value":"10:02:11"},{"id":151,"name":"Denver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6" s="53"/>
      <c r="AK206" s="53"/>
      <c r="AL206" s="53"/>
    </row>
    <row r="207" spans="1:38" x14ac:dyDescent="0.25">
      <c r="A207" s="37" t="s">
        <v>551</v>
      </c>
      <c r="B207" s="7">
        <v>4051</v>
      </c>
      <c r="C207" s="22" t="s">
        <v>207</v>
      </c>
      <c r="D207" s="22" t="s">
        <v>805</v>
      </c>
      <c r="E207" s="13">
        <v>42715.464398148149</v>
      </c>
      <c r="F207" s="13">
        <v>42715.46597222222</v>
      </c>
      <c r="G207" s="7">
        <v>1</v>
      </c>
      <c r="H207" s="22" t="s">
        <v>806</v>
      </c>
      <c r="I207" s="13">
        <v>42715.47247685185</v>
      </c>
      <c r="J207" s="7">
        <v>1</v>
      </c>
      <c r="K207" s="109" t="str">
        <f t="shared" si="74"/>
        <v>4051/4052</v>
      </c>
      <c r="L207" s="22" t="str">
        <f>VLOOKUP(A207,'Trips&amp;Operators'!$C$1:$G$99999,5,FALSE)</f>
        <v>OUN ZACK</v>
      </c>
      <c r="M207" s="6">
        <f t="shared" si="75"/>
        <v>6.5046296294895001E-3</v>
      </c>
      <c r="N207" s="7">
        <f t="shared" si="69"/>
        <v>9.3666666664648801</v>
      </c>
      <c r="O207" s="7"/>
      <c r="P207" s="7"/>
      <c r="Q207" s="23"/>
      <c r="R207" s="23"/>
      <c r="S207" s="35">
        <f t="shared" si="70"/>
        <v>0</v>
      </c>
      <c r="T207" s="50" t="e">
        <f t="shared" si="76"/>
        <v>#VALUE!</v>
      </c>
      <c r="U207" s="171">
        <f>IF(AG207="EC",COUNTIFS(Variables!$M$2:$M$19,IF(T207="NorthBound","&gt;=","&lt;=")&amp;Y207,Variables!$M$2:$M$19,IF(T207="NorthBound","&lt;=","&gt;=")&amp;Z207),COUNTIFS(Variables!$P$2:$P$19,IF(T207="NorthBound","&gt;=","&lt;=")&amp;Y207,Variables!$P$2:$P$19,IF(T207="NorthBound","&lt;=","&gt;=")&amp;Z207))</f>
        <v>0</v>
      </c>
      <c r="V207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10:08:44-700',mode:absolute,to:'2016-12-11 12:20:22-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4051%22')),sort:!(Time,asc))</v>
      </c>
      <c r="W207" s="52" t="str">
        <f t="shared" si="78"/>
        <v>Y</v>
      </c>
      <c r="X207" s="177" t="e">
        <f t="shared" si="71"/>
        <v>#VALUE!</v>
      </c>
      <c r="Y207" s="67">
        <f t="shared" si="79"/>
        <v>3.9E-2</v>
      </c>
      <c r="Z207" s="67">
        <f t="shared" si="80"/>
        <v>2.5605000000000002</v>
      </c>
      <c r="AA207" s="67">
        <f t="shared" si="81"/>
        <v>2.5215000000000001</v>
      </c>
      <c r="AB207" s="64" t="e">
        <f>VLOOKUP(A207,Enforcements!$C$7:$K$20,8,0)</f>
        <v>#N/A</v>
      </c>
      <c r="AC207" s="60" t="e">
        <f>VLOOKUP(A207,Enforcements!$C$7:$E$20,3,0)</f>
        <v>#N/A</v>
      </c>
      <c r="AD207" s="61" t="str">
        <f t="shared" si="82"/>
        <v>51-11</v>
      </c>
      <c r="AE207" s="91" t="str">
        <f t="shared" si="83"/>
        <v>aws s3 cp s3://rtdc.mdm.uploadarchive.raw/RTDC4051/ "%USERPROFILE%\AppData\Local\Temp\OnboardLogs"\RTDC4051\2016-12-11 --exclude "*" --recursive --include "*20161211*" &amp; "%USERPROFILE%\Documents\GitHub\mrs-test-scripts\Headless Mode &amp; Sideloading\WalkAndUnGZ.bat" "%USERPROFILE%\AppData\Local\Temp\OnboardLogs"\RTDC4051\2016-12-11 &amp; aws s3 cp s3://rtdc.mdm.uploadarchive.raw/RTDC4051/ "%USERPROFILE%\AppData\Local\Temp\OnboardLogs"\RTDC4051\2016-12-12 --exclude "*" --recursive --include "*20161212*" &amp; "%USERPROFILE%\Documents\GitHub\mrs-test-scripts\Headless Mode &amp; Sideloading\WalkAndUnGZ.bat" "%USERPROFILE%\AppData\Local\Temp\OnboardLogs"\RTDC4051\2016-12-12</v>
      </c>
      <c r="AF207" s="88" t="str">
        <f t="shared" si="84"/>
        <v>"C:\Program Files (x86)\AstroGrep\AstroGrep.exe" /spath="%USERPROFILE%\AppData\Local\Temp\OnboardLogs" /stypes="app*4051*20161211*" /stext=" 18:.+((SYSTEM_STATE.+slice.+state.+changed )|(ment ac)|(multiple cpu faults)|(system.+state.+changed )|(\[timeout)|(PRM\|1\|D)|(kpr)|(kdp)|(\|lc)|(penalty))" /e /r /s</v>
      </c>
      <c r="AG207" s="1" t="str">
        <f t="shared" si="85"/>
        <v>Other</v>
      </c>
      <c r="AH207" s="92" t="str">
        <f t="shared" si="72"/>
        <v>"%USERPROFILE%\Documents\GitHub\eaglep3\Utilities\RefineRTDCRunTimes.py" --tripid 51-11 --locoid 4051 --swversion DE.1.0.8.0 --startMP 204:390 --initTime 2016-12-11T11:08:44 --startdatetime 2016-12-11T11:11:00 --delay 1 --endMP 300:25605 --enddatetime 2016-12-11T11:20:22 --enforcementcount 1 &gt;&gt;C:\Users\stu\Documents\GitHub\eaglep3-reporting\EC\2016-12-11-refined-times.txt</v>
      </c>
      <c r="AI207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{"issue":{"subject":"","project_id":79,"tracker_id":40,"status_id":1,"priority_id":2,"assigned_to_id":23,"start_date":"2016-12-11","description":"","custom_fields":[{"id":1,"name":"Subdivision","value":"Other"},{"id":4,"name":"Milepost","value":"2.5605"},{"id":17,"name":"Train ID","value":"51-11"},{"id":16,"name":"Locomotive ID","value":"4051"},{"id":130,"name":"Impact","value":""},{"id":150,"name":"Time of Event (Mountain Time)","value":"11:20:22"},{"id":151,"name":"Denver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7" s="53"/>
      <c r="AK207" s="53"/>
      <c r="AL207" s="53"/>
    </row>
    <row r="208" spans="1:38" x14ac:dyDescent="0.25">
      <c r="A208" s="37" t="s">
        <v>459</v>
      </c>
      <c r="B208" s="7">
        <v>4004</v>
      </c>
      <c r="C208" s="22" t="s">
        <v>207</v>
      </c>
      <c r="D208" s="22" t="s">
        <v>807</v>
      </c>
      <c r="E208" s="13">
        <v>42715.452673611115</v>
      </c>
      <c r="F208" s="13">
        <v>42715.456770833334</v>
      </c>
      <c r="G208" s="7">
        <v>5</v>
      </c>
      <c r="H208" s="22" t="s">
        <v>808</v>
      </c>
      <c r="I208" s="13">
        <v>42715.463368055556</v>
      </c>
      <c r="J208" s="7">
        <v>1</v>
      </c>
      <c r="K208" s="109" t="str">
        <f t="shared" si="74"/>
        <v>4003/4004</v>
      </c>
      <c r="L208" s="22" t="str">
        <f>VLOOKUP(A208,'Trips&amp;Operators'!$C$1:$G$99999,5,FALSE)</f>
        <v>MOSES BRADLEY</v>
      </c>
      <c r="M208" s="6">
        <f t="shared" si="75"/>
        <v>6.5972222218988463E-3</v>
      </c>
      <c r="N208" s="7">
        <f t="shared" si="69"/>
        <v>9.4999999995343387</v>
      </c>
      <c r="O208" s="7"/>
      <c r="P208" s="7"/>
      <c r="Q208" s="23"/>
      <c r="R208" s="23"/>
      <c r="S208" s="35">
        <f t="shared" si="70"/>
        <v>0</v>
      </c>
      <c r="T208" s="50" t="e">
        <f t="shared" si="76"/>
        <v>#VALUE!</v>
      </c>
      <c r="U208" s="171">
        <f>IF(AG208="EC",COUNTIFS(Variables!$M$2:$M$19,IF(T208="NorthBound","&gt;=","&lt;=")&amp;Y208,Variables!$M$2:$M$19,IF(T208="NorthBound","&lt;=","&gt;=")&amp;Z208),COUNTIFS(Variables!$P$2:$P$19,IF(T208="NorthBound","&gt;=","&lt;=")&amp;Y208,Variables!$P$2:$P$19,IF(T208="NorthBound","&lt;=","&gt;=")&amp;Z208))</f>
        <v>0</v>
      </c>
      <c r="V208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09:51:51-700',mode:absolute,to:'2016-12-11 12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08" s="52" t="str">
        <f t="shared" si="78"/>
        <v>Y</v>
      </c>
      <c r="X208" s="177" t="e">
        <f t="shared" si="71"/>
        <v>#VALUE!</v>
      </c>
      <c r="Y208" s="67">
        <f t="shared" si="79"/>
        <v>2.3452999999999999</v>
      </c>
      <c r="Z208" s="67">
        <f t="shared" si="80"/>
        <v>9.4700000000000006E-2</v>
      </c>
      <c r="AA208" s="67">
        <f t="shared" si="81"/>
        <v>2.2505999999999999</v>
      </c>
      <c r="AB208" s="64" t="e">
        <f>VLOOKUP(A208,Enforcements!$C$7:$K$20,8,0)</f>
        <v>#N/A</v>
      </c>
      <c r="AC208" s="60" t="e">
        <f>VLOOKUP(A208,Enforcements!$C$7:$E$20,3,0)</f>
        <v>#N/A</v>
      </c>
      <c r="AD208" s="61" t="str">
        <f t="shared" si="82"/>
        <v>52-11</v>
      </c>
      <c r="AE208" s="91" t="str">
        <f t="shared" si="83"/>
        <v>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 &amp; aws s3 cp s3://rtdc.mdm.uploadarchive.raw/RTDC4004/ "%USERPROFILE%\AppData\Local\Temp\OnboardLogs"\RTDC4004\2016-12-12 --exclude "*" --recursive --include "*20161212*" &amp; "%USERPROFILE%\Documents\GitHub\mrs-test-scripts\Headless Mode &amp; Sideloading\WalkAndUnGZ.bat" "%USERPROFILE%\AppData\Local\Temp\OnboardLogs"\RTDC4004\2016-12-12</v>
      </c>
      <c r="AF208" s="88" t="str">
        <f t="shared" si="84"/>
        <v>"C:\Program Files (x86)\AstroGrep\AstroGrep.exe" /spath="%USERPROFILE%\AppData\Local\Temp\OnboardLogs" /stypes="app*4004*20161211*" /stext=" 18:.+((SYSTEM_STATE.+slice.+state.+changed )|(ment ac)|(multiple cpu faults)|(system.+state.+changed )|(\[timeout)|(PRM\|1\|D)|(kpr)|(kdp)|(\|lc)|(penalty))" /e /r /s</v>
      </c>
      <c r="AG208" s="1" t="str">
        <f t="shared" si="85"/>
        <v>Other</v>
      </c>
      <c r="AH208" s="92" t="str">
        <f t="shared" si="72"/>
        <v>"%USERPROFILE%\Documents\GitHub\eaglep3\Utilities\RefineRTDCRunTimes.py" --tripid 52-11 --locoid 4004 --swversion DE.1.0.8.0 --startMP 300:23453 --initTime 2016-12-11T10:51:51 --startdatetime 2016-12-11T10:57:45 --delay 5 --endMP 204:947 --enddatetime 2016-12-11T11:07:15 --enforcementcount 1 &gt;&gt;C:\Users\stu\Documents\GitHub\eaglep3-reporting\EC\2016-12-11-refined-times.txt</v>
      </c>
      <c r="AI208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{"issue":{"subject":"","project_id":79,"tracker_id":40,"status_id":1,"priority_id":2,"assigned_to_id":23,"start_date":"2016-12-11","description":"","custom_fields":[{"id":1,"name":"Subdivision","value":"Other"},{"id":4,"name":"Milepost","value":"0.0947"},{"id":17,"name":"Train ID","value":"52-11"},{"id":16,"name":"Locomotive ID","value":"4004"},{"id":130,"name":"Impact","value":""},{"id":150,"name":"Time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8" s="53"/>
      <c r="AK208" s="53"/>
      <c r="AL208" s="53"/>
    </row>
    <row r="209" spans="1:38" x14ac:dyDescent="0.25">
      <c r="A209" s="37" t="s">
        <v>559</v>
      </c>
      <c r="B209" s="7">
        <v>4003</v>
      </c>
      <c r="C209" s="22" t="s">
        <v>207</v>
      </c>
      <c r="D209" s="22" t="s">
        <v>809</v>
      </c>
      <c r="E209" s="13">
        <v>42715.488611111112</v>
      </c>
      <c r="F209" s="13">
        <v>25568.708333333332</v>
      </c>
      <c r="G209" s="7">
        <v>1</v>
      </c>
      <c r="H209" s="22" t="s">
        <v>810</v>
      </c>
      <c r="I209" s="13">
        <v>25568.708333333332</v>
      </c>
      <c r="J209" s="7">
        <v>1</v>
      </c>
      <c r="K209" s="109" t="str">
        <f t="shared" si="74"/>
        <v>4003/4004</v>
      </c>
      <c r="L209" s="22" t="str">
        <f>VLOOKUP(A209,'Trips&amp;Operators'!$C$1:$G$99999,5,FALSE)</f>
        <v>ISHMAEL JOSEPH</v>
      </c>
      <c r="M209" s="6">
        <f t="shared" si="75"/>
        <v>0</v>
      </c>
      <c r="N209" s="7">
        <f t="shared" si="69"/>
        <v>0</v>
      </c>
      <c r="O209" s="7"/>
      <c r="P209" s="7"/>
      <c r="Q209" s="23"/>
      <c r="R209" s="23"/>
      <c r="S209" s="35">
        <f t="shared" si="70"/>
        <v>0</v>
      </c>
      <c r="T209" s="50" t="e">
        <f t="shared" si="76"/>
        <v>#VALUE!</v>
      </c>
      <c r="U209" s="171">
        <f>IF(AG209="EC",COUNTIFS(Variables!$M$2:$M$19,IF(T209="NorthBound","&gt;=","&lt;=")&amp;Y209,Variables!$M$2:$M$19,IF(T209="NorthBound","&lt;=","&gt;=")&amp;Z209),COUNTIFS(Variables!$P$2:$P$19,IF(T209="NorthBound","&gt;=","&lt;=")&amp;Y209,Variables!$P$2:$P$19,IF(T209="NorthBound","&lt;=","&gt;=")&amp;Z209))</f>
        <v>0</v>
      </c>
      <c r="V209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10:43:36-700',mode:absolute,to:'1969-12-31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09" s="52" t="str">
        <f t="shared" si="78"/>
        <v>Y</v>
      </c>
      <c r="X209" s="177" t="e">
        <f t="shared" si="71"/>
        <v>#VALUE!</v>
      </c>
      <c r="Y209" s="67">
        <f t="shared" si="79"/>
        <v>0.12620000000000001</v>
      </c>
      <c r="Z209" s="67">
        <f t="shared" si="80"/>
        <v>2.4222000000000001</v>
      </c>
      <c r="AA209" s="67">
        <f t="shared" si="81"/>
        <v>2.2960000000000003</v>
      </c>
      <c r="AB209" s="64" t="e">
        <f>VLOOKUP(A209,Enforcements!$C$7:$K$20,8,0)</f>
        <v>#N/A</v>
      </c>
      <c r="AC209" s="60" t="e">
        <f>VLOOKUP(A209,Enforcements!$C$7:$E$20,3,0)</f>
        <v>#N/A</v>
      </c>
      <c r="AD209" s="61" t="str">
        <f t="shared" si="82"/>
        <v>53-11</v>
      </c>
      <c r="AE209" s="91" t="str">
        <f t="shared" si="83"/>
        <v>aws s3 cp s3://rtdc.mdm.uploadarchive.raw/RTDC4003/ "%USERPROFILE%\AppData\Local\Temp\OnboardLogs"\RTDC4003\1969-12-31 --exclude "*" --recursive --include "*19691231*" &amp; "%USERPROFILE%\Documents\GitHub\mrs-test-scripts\Headless Mode &amp; Sideloading\WalkAndUnGZ.bat" "%USERPROFILE%\AppData\Local\Temp\OnboardLogs"\RTDC4003\1969-12-31 &amp; aws s3 cp s3://rtdc.mdm.uploadarchive.raw/RTDC4003/ "%USERPROFILE%\AppData\Local\Temp\OnboardLogs"\RTDC4003\1970-01-01 --exclude "*" --recursive --include "*19700101*" &amp; "%USERPROFILE%\Documents\GitHub\mrs-test-scripts\Headless Mode &amp; Sideloading\WalkAndUnGZ.bat" "%USERPROFILE%\AppData\Local\Temp\OnboardLogs"\RTDC4003\1970-01-01</v>
      </c>
      <c r="AF209" s="88" t="str">
        <f t="shared" si="84"/>
        <v>"C:\Program Files (x86)\AstroGrep\AstroGrep.exe" /spath="%USERPROFILE%\AppData\Local\Temp\OnboardLogs" /stypes="app*4003*19700101*" /stext=" 00:.+((SYSTEM_STATE.+slice.+state.+changed )|(ment ac)|(multiple cpu faults)|(system.+state.+changed )|(\[timeout)|(PRM\|1\|D)|(kpr)|(kdp)|(\|lc)|(penalty))" /e /r /s</v>
      </c>
      <c r="AG209" s="1" t="str">
        <f t="shared" si="85"/>
        <v>Other</v>
      </c>
      <c r="AH209" s="92" t="str">
        <f t="shared" si="72"/>
        <v>"%USERPROFILE%\Documents\GitHub\eaglep3\Utilities\RefineRTDCRunTimes.py" --tripid 53-11 --locoid 4003 --swversion DE.1.0.8.0 --startMP 204:1262 --initTime 2016-12-11T11:43:36 --startdatetime 1969-12-31T17:00:00 --delay 1 --endMP 300:24222 --enddatetime 1969-12-31T17:00:00 --enforcementcount 1 &gt;&gt;C:\Users\stu\Documents\GitHub\eaglep3-reporting\EC\2016-12-11-refined-times.txt</v>
      </c>
      <c r="AI209" s="11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{"issue":{"subject":"","project_id":79,"tracker_id":40,"status_id":1,"priority_id":2,"assigned_to_id":23,"start_date":"1969-12-31","description":"","custom_fields":[{"id":1,"name":"Subdivision","value":"Other"},{"id":4,"name":"Milepost","value":"2.4222"},{"id":17,"name":"Train ID","value":"53-11"},{"id":16,"name":"Locomotive ID","value":"4003"},{"id":130,"name":"Impact","value":""},{"id":150,"name":"Time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09" s="53"/>
      <c r="AK209" s="53"/>
      <c r="AL209" s="53"/>
    </row>
    <row r="210" spans="1:38" x14ac:dyDescent="0.25">
      <c r="A210" s="37" t="s">
        <v>609</v>
      </c>
      <c r="B210" s="7">
        <v>4022</v>
      </c>
      <c r="C210" s="22" t="s">
        <v>207</v>
      </c>
      <c r="D210" s="22" t="s">
        <v>811</v>
      </c>
      <c r="E210" s="13">
        <v>42715.724849537037</v>
      </c>
      <c r="F210" s="13">
        <v>25568.708333333332</v>
      </c>
      <c r="G210" s="7">
        <v>1</v>
      </c>
      <c r="H210" s="22" t="s">
        <v>812</v>
      </c>
      <c r="I210" s="13">
        <v>25568.708333333332</v>
      </c>
      <c r="J210" s="7">
        <v>1</v>
      </c>
      <c r="K210" s="109" t="str">
        <f t="shared" si="74"/>
        <v>4021/4022</v>
      </c>
      <c r="L210" s="22" t="str">
        <f>VLOOKUP(A210,'Trips&amp;Operators'!$C$1:$G$99999,5,FALSE)</f>
        <v>ARVIDSON DANIEL</v>
      </c>
      <c r="M210" s="6">
        <f t="shared" si="75"/>
        <v>0</v>
      </c>
      <c r="N210" s="7">
        <f t="shared" si="69"/>
        <v>0</v>
      </c>
      <c r="O210" s="7"/>
      <c r="P210" s="7"/>
      <c r="Q210" s="23"/>
      <c r="R210" s="23"/>
      <c r="S210" s="35">
        <f t="shared" si="70"/>
        <v>0</v>
      </c>
      <c r="T210" s="50" t="e">
        <f t="shared" si="76"/>
        <v>#VALUE!</v>
      </c>
      <c r="U210" s="171">
        <f>IF(AG210="EC",COUNTIFS(Variables!$M$2:$M$19,IF(T210="NorthBound","&gt;=","&lt;=")&amp;Y210,Variables!$M$2:$M$19,IF(T210="NorthBound","&lt;=","&gt;=")&amp;Z210),COUNTIFS(Variables!$P$2:$P$19,IF(T210="NorthBound","&gt;=","&lt;=")&amp;Y210,Variables!$P$2:$P$19,IF(T210="NorthBound","&lt;=","&gt;=")&amp;Z210))</f>
        <v>0</v>
      </c>
      <c r="V210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16:23:47-700',mode:absolute,to:'1969-12-31 18:00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4022%22')),sort:!(Time,asc))</v>
      </c>
      <c r="W210" s="52" t="str">
        <f t="shared" si="78"/>
        <v>Y</v>
      </c>
      <c r="X210" s="177" t="e">
        <f t="shared" si="71"/>
        <v>#VALUE!</v>
      </c>
      <c r="Y210" s="67">
        <f t="shared" si="79"/>
        <v>0.1477</v>
      </c>
      <c r="Z210" s="67">
        <f t="shared" si="80"/>
        <v>2.3066</v>
      </c>
      <c r="AA210" s="67">
        <f t="shared" si="81"/>
        <v>2.1589</v>
      </c>
      <c r="AB210" s="64" t="e">
        <f>VLOOKUP(A210,Enforcements!$C$7:$K$20,8,0)</f>
        <v>#N/A</v>
      </c>
      <c r="AC210" s="60" t="e">
        <f>VLOOKUP(A210,Enforcements!$C$7:$E$20,3,0)</f>
        <v>#N/A</v>
      </c>
      <c r="AD210" s="61" t="str">
        <f t="shared" si="82"/>
        <v>55-11</v>
      </c>
      <c r="AE210" s="91" t="str">
        <f t="shared" si="83"/>
        <v>aws s3 cp s3://rtdc.mdm.uploadarchive.raw/RTDC4022/ "%USERPROFILE%\AppData\Local\Temp\OnboardLogs"\RTDC4022\1969-12-31 --exclude "*" --recursive --include "*19691231*" &amp; "%USERPROFILE%\Documents\GitHub\mrs-test-scripts\Headless Mode &amp; Sideloading\WalkAndUnGZ.bat" "%USERPROFILE%\AppData\Local\Temp\OnboardLogs"\RTDC4022\1969-12-31 &amp; aws s3 cp s3://rtdc.mdm.uploadarchive.raw/RTDC4022/ "%USERPROFILE%\AppData\Local\Temp\OnboardLogs"\RTDC4022\1970-01-01 --exclude "*" --recursive --include "*19700101*" &amp; "%USERPROFILE%\Documents\GitHub\mrs-test-scripts\Headless Mode &amp; Sideloading\WalkAndUnGZ.bat" "%USERPROFILE%\AppData\Local\Temp\OnboardLogs"\RTDC4022\1970-01-01</v>
      </c>
      <c r="AF210" s="88" t="str">
        <f t="shared" si="84"/>
        <v>"C:\Program Files (x86)\AstroGrep\AstroGrep.exe" /spath="%USERPROFILE%\AppData\Local\Temp\OnboardLogs" /stypes="app*4022*19700101*" /stext=" 00:.+((SYSTEM_STATE.+slice.+state.+changed )|(ment ac)|(multiple cpu faults)|(system.+state.+changed )|(\[timeout)|(PRM\|1\|D)|(kpr)|(kdp)|(\|lc)|(penalty))" /e /r /s</v>
      </c>
      <c r="AG210" s="1" t="str">
        <f t="shared" si="85"/>
        <v>Other</v>
      </c>
      <c r="AH210" s="92" t="str">
        <f t="shared" si="72"/>
        <v>"%USERPROFILE%\Documents\GitHub\eaglep3\Utilities\RefineRTDCRunTimes.py" --tripid 55-11 --locoid 4022 --swversion DE.1.0.8.0 --startMP 204:1477 --initTime 2016-12-11T17:23:47 --startdatetime 1969-12-31T17:00:00 --delay 1 --endMP 300:23066 --enddatetime 1969-12-31T17:00:00 --enforcementcount 1 &gt;&gt;C:\Users\stu\Documents\GitHub\eaglep3-reporting\EC\2016-12-11-refined-times.txt</v>
      </c>
      <c r="AI210" s="119" t="str">
        <f t="shared" si="73"/>
        <v>echo {"issue":{"subject":"","project_id":79,"tracker_id":40,"status_id":1,"priority_id":2,"assigned_to_id":23,"start_date":"1969-12-31","description":"","custom_fields":[{"id":1,"name":"Subdivision","value":"Other"},{"id":4,"name":"Milepost","value":"2.3066"},{"id":17,"name":"Train ID","value":"55-11"},{"id":16,"name":"Locomotive ID","value":"4022"},{"id":130,"name":"Impact","value":""},{"id":150,"name":"Time of Event (Mountain Time)","value":"17:00:00"},{"id":151,"name":"Denver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0" s="53"/>
      <c r="AK210" s="53"/>
      <c r="AL210" s="53"/>
    </row>
    <row r="211" spans="1:38" x14ac:dyDescent="0.25">
      <c r="A211" s="37" t="s">
        <v>612</v>
      </c>
      <c r="B211" s="7">
        <v>4004</v>
      </c>
      <c r="C211" s="22" t="s">
        <v>207</v>
      </c>
      <c r="D211" s="22" t="s">
        <v>813</v>
      </c>
      <c r="E211" s="13">
        <v>42715.728125000001</v>
      </c>
      <c r="F211" s="13">
        <v>42715.730138888888</v>
      </c>
      <c r="G211" s="7">
        <v>2</v>
      </c>
      <c r="H211" s="22" t="s">
        <v>814</v>
      </c>
      <c r="I211" s="13">
        <v>42715.738229166665</v>
      </c>
      <c r="J211" s="7">
        <v>1</v>
      </c>
      <c r="K211" s="109" t="str">
        <f t="shared" si="74"/>
        <v>4003/4004</v>
      </c>
      <c r="L211" s="22" t="str">
        <f>VLOOKUP(A211,'Trips&amp;Operators'!$C$1:$G$99999,5,FALSE)</f>
        <v>NEWELL JAMES</v>
      </c>
      <c r="M211" s="6">
        <f t="shared" si="75"/>
        <v>8.0902777772280388E-3</v>
      </c>
      <c r="N211" s="7">
        <f t="shared" si="69"/>
        <v>11.649999999208376</v>
      </c>
      <c r="O211" s="7"/>
      <c r="P211" s="7"/>
      <c r="Q211" s="23"/>
      <c r="R211" s="23"/>
      <c r="S211" s="35">
        <f t="shared" si="70"/>
        <v>0</v>
      </c>
      <c r="T211" s="50" t="e">
        <f t="shared" si="76"/>
        <v>#VALUE!</v>
      </c>
      <c r="U211" s="171">
        <f>IF(AG211="EC",COUNTIFS(Variables!$M$2:$M$19,IF(T211="NorthBound","&gt;=","&lt;=")&amp;Y211,Variables!$M$2:$M$19,IF(T211="NorthBound","&lt;=","&gt;=")&amp;Z211),COUNTIFS(Variables!$P$2:$P$19,IF(T211="NorthBound","&gt;=","&lt;=")&amp;Y211,Variables!$P$2:$P$19,IF(T211="NorthBound","&lt;=","&gt;=")&amp;Z211))</f>
        <v>0</v>
      </c>
      <c r="V211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16:28:30-700',mode:absolute,to:'2016-12-11 18:43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W211" s="52" t="str">
        <f t="shared" si="78"/>
        <v>Y</v>
      </c>
      <c r="X211" s="177" t="e">
        <f t="shared" si="71"/>
        <v>#VALUE!</v>
      </c>
      <c r="Y211" s="67">
        <f t="shared" si="79"/>
        <v>2.3504</v>
      </c>
      <c r="Z211" s="67">
        <f t="shared" si="80"/>
        <v>0.09</v>
      </c>
      <c r="AA211" s="67">
        <f t="shared" si="81"/>
        <v>2.2604000000000002</v>
      </c>
      <c r="AB211" s="64" t="e">
        <f>VLOOKUP(A211,Enforcements!$C$7:$K$20,8,0)</f>
        <v>#N/A</v>
      </c>
      <c r="AC211" s="60" t="e">
        <f>VLOOKUP(A211,Enforcements!$C$7:$E$20,3,0)</f>
        <v>#N/A</v>
      </c>
      <c r="AD211" s="61" t="str">
        <f t="shared" si="82"/>
        <v>70-11</v>
      </c>
      <c r="AE211" s="91" t="str">
        <f t="shared" si="83"/>
        <v>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 &amp; aws s3 cp s3://rtdc.mdm.uploadarchive.raw/RTDC4004/ "%USERPROFILE%\AppData\Local\Temp\OnboardLogs"\RTDC4004\2016-12-12 --exclude "*" --recursive --include "*20161212*" &amp; "%USERPROFILE%\Documents\GitHub\mrs-test-scripts\Headless Mode &amp; Sideloading\WalkAndUnGZ.bat" "%USERPROFILE%\AppData\Local\Temp\OnboardLogs"\RTDC4004\2016-12-12</v>
      </c>
      <c r="AF211" s="88" t="str">
        <f t="shared" si="84"/>
        <v>"C:\Program Files (x86)\AstroGrep\AstroGrep.exe" /spath="%USERPROFILE%\AppData\Local\Temp\OnboardLogs" /stypes="app*4004*20161212*" /stext=" 00:.+((SYSTEM_STATE.+slice.+state.+changed )|(ment ac)|(multiple cpu faults)|(system.+state.+changed )|(\[timeout)|(PRM\|1\|D)|(kpr)|(kdp)|(\|lc)|(penalty))" /e /r /s</v>
      </c>
      <c r="AG211" s="1" t="str">
        <f t="shared" si="85"/>
        <v>Other</v>
      </c>
      <c r="AH211" s="92" t="str">
        <f t="shared" si="72"/>
        <v>"%USERPROFILE%\Documents\GitHub\eaglep3\Utilities\RefineRTDCRunTimes.py" --tripid 70-11 --locoid 4004 --swversion DE.1.0.8.0 --startMP 300:23504 --initTime 2016-12-11T17:28:30 --startdatetime 2016-12-11T17:31:24 --delay 2 --endMP 204:900 --enddatetime 2016-12-11T17:43:03 --enforcementcount 1 &gt;&gt;C:\Users\stu\Documents\GitHub\eaglep3-reporting\EC\2016-12-11-refined-times.txt</v>
      </c>
      <c r="AI211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{"issue":{"subject":"","project_id":79,"tracker_id":40,"status_id":1,"priority_id":2,"assigned_to_id":23,"start_date":"2016-12-11","description":"","custom_fields":[{"id":1,"name":"Subdivision","value":"Other"},{"id":4,"name":"Milepost","value":"0.09"},{"id":17,"name":"Train ID","value":"70-11"},{"id":16,"name":"Locomotive ID","value":"4004"},{"id":130,"name":"Impact","value":""},{"id":150,"name":"Time of Event (Mountain Time)","value":"17:43:03"},{"id":151,"name":"Denver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1" s="53"/>
      <c r="AK211" s="53"/>
      <c r="AL211" s="53"/>
    </row>
    <row r="212" spans="1:38" x14ac:dyDescent="0.25">
      <c r="A212" s="37" t="s">
        <v>621</v>
      </c>
      <c r="B212" s="7">
        <v>4003</v>
      </c>
      <c r="C212" s="22" t="s">
        <v>207</v>
      </c>
      <c r="D212" s="22" t="s">
        <v>815</v>
      </c>
      <c r="E212" s="13">
        <v>42715.761608796296</v>
      </c>
      <c r="F212" s="13">
        <v>42715.763912037037</v>
      </c>
      <c r="G212" s="7">
        <v>2</v>
      </c>
      <c r="H212" s="22" t="s">
        <v>816</v>
      </c>
      <c r="I212" s="13">
        <v>42715.770127314812</v>
      </c>
      <c r="J212" s="7">
        <v>1</v>
      </c>
      <c r="K212" s="109" t="str">
        <f t="shared" si="74"/>
        <v>4003/4004</v>
      </c>
      <c r="L212" s="22" t="str">
        <f>VLOOKUP(A212,'Trips&amp;Operators'!$C$1:$G$99999,5,FALSE)</f>
        <v>BARTLETT KIANDRA</v>
      </c>
      <c r="M212" s="6">
        <f t="shared" si="75"/>
        <v>6.2152777754818089E-3</v>
      </c>
      <c r="N212" s="7">
        <f t="shared" si="69"/>
        <v>8.9499999966938049</v>
      </c>
      <c r="O212" s="7"/>
      <c r="P212" s="7"/>
      <c r="Q212" s="23"/>
      <c r="R212" s="23"/>
      <c r="S212" s="35">
        <f t="shared" si="70"/>
        <v>0</v>
      </c>
      <c r="T212" s="50" t="e">
        <f t="shared" si="76"/>
        <v>#VALUE!</v>
      </c>
      <c r="U212" s="171">
        <f>IF(AG212="EC",COUNTIFS(Variables!$M$2:$M$19,IF(T212="NorthBound","&gt;=","&lt;=")&amp;Y212,Variables!$M$2:$M$19,IF(T212="NorthBound","&lt;=","&gt;=")&amp;Z212),COUNTIFS(Variables!$P$2:$P$19,IF(T212="NorthBound","&gt;=","&lt;=")&amp;Y212,Variables!$P$2:$P$19,IF(T212="NorthBound","&lt;=","&gt;=")&amp;Z212))</f>
        <v>0</v>
      </c>
      <c r="V212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17:16:43-700',mode:absolute,to:'2016-12-11 19:28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4003%22')),sort:!(Time,asc))</v>
      </c>
      <c r="W212" s="52" t="str">
        <f t="shared" si="78"/>
        <v>Y</v>
      </c>
      <c r="X212" s="177" t="e">
        <f t="shared" si="71"/>
        <v>#VALUE!</v>
      </c>
      <c r="Y212" s="67">
        <f t="shared" si="79"/>
        <v>0.1222</v>
      </c>
      <c r="Z212" s="67">
        <f t="shared" si="80"/>
        <v>2.4224000000000001</v>
      </c>
      <c r="AA212" s="67">
        <f t="shared" si="81"/>
        <v>2.3002000000000002</v>
      </c>
      <c r="AB212" s="64" t="e">
        <f>VLOOKUP(A212,Enforcements!$C$7:$K$20,8,0)</f>
        <v>#N/A</v>
      </c>
      <c r="AC212" s="60" t="e">
        <f>VLOOKUP(A212,Enforcements!$C$7:$E$20,3,0)</f>
        <v>#N/A</v>
      </c>
      <c r="AD212" s="61" t="str">
        <f t="shared" si="82"/>
        <v>71-11</v>
      </c>
      <c r="AE212" s="91" t="str">
        <f t="shared" si="83"/>
        <v>aws s3 cp s3://rtdc.mdm.uploadarchive.raw/RTDC4003/ "%USERPROFILE%\AppData\Local\Temp\OnboardLogs"\RTDC4003\2016-12-11 --exclude "*" --recursive --include "*20161211*" &amp; "%USERPROFILE%\Documents\GitHub\mrs-test-scripts\Headless Mode &amp; Sideloading\WalkAndUnGZ.bat" "%USERPROFILE%\AppData\Local\Temp\OnboardLogs"\RTDC4003\2016-12-11 &amp; aws s3 cp s3://rtdc.mdm.uploadarchive.raw/RTDC4003/ "%USERPROFILE%\AppData\Local\Temp\OnboardLogs"\RTDC4003\2016-12-12 --exclude "*" --recursive --include "*20161212*" &amp; "%USERPROFILE%\Documents\GitHub\mrs-test-scripts\Headless Mode &amp; Sideloading\WalkAndUnGZ.bat" "%USERPROFILE%\AppData\Local\Temp\OnboardLogs"\RTDC4003\2016-12-12</v>
      </c>
      <c r="AF212" s="88" t="str">
        <f t="shared" si="84"/>
        <v>"C:\Program Files (x86)\AstroGrep\AstroGrep.exe" /spath="%USERPROFILE%\AppData\Local\Temp\OnboardLogs" /stypes="app*4003*20161212*" /stext=" 01:.+((SYSTEM_STATE.+slice.+state.+changed )|(ment ac)|(multiple cpu faults)|(system.+state.+changed )|(\[timeout)|(PRM\|1\|D)|(kpr)|(kdp)|(\|lc)|(penalty))" /e /r /s</v>
      </c>
      <c r="AG212" s="1" t="str">
        <f t="shared" si="85"/>
        <v>Other</v>
      </c>
      <c r="AH212" s="92" t="str">
        <f t="shared" si="72"/>
        <v>"%USERPROFILE%\Documents\GitHub\eaglep3\Utilities\RefineRTDCRunTimes.py" --tripid 71-11 --locoid 4003 --swversion DE.1.0.8.0 --startMP 204:1222 --initTime 2016-12-11T18:16:43 --startdatetime 2016-12-11T18:20:02 --delay 2 --endMP 300:24224 --enddatetime 2016-12-11T18:28:59 --enforcementcount 1 &gt;&gt;C:\Users\stu\Documents\GitHub\eaglep3-reporting\EC\2016-12-11-refined-times.txt</v>
      </c>
      <c r="AI212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{"issue":{"subject":"","project_id":79,"tracker_id":40,"status_id":1,"priority_id":2,"assigned_to_id":23,"start_date":"2016-12-11","description":"","custom_fields":[{"id":1,"name":"Subdivision","value":"Other"},{"id":4,"name":"Milepost","value":"2.4224"},{"id":17,"name":"Train ID","value":"71-11"},{"id":16,"name":"Locomotive ID","value":"4003"},{"id":130,"name":"Impact","value":""},{"id":150,"name":"Time of Event (Mountain Time)","value":"18:28:59"},{"id":151,"name":"Denver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2" s="53"/>
      <c r="AK212" s="53"/>
      <c r="AL212" s="53"/>
    </row>
    <row r="213" spans="1:38" x14ac:dyDescent="0.25">
      <c r="A213" s="37" t="s">
        <v>475</v>
      </c>
      <c r="B213" s="7">
        <v>4015</v>
      </c>
      <c r="C213" s="22" t="s">
        <v>207</v>
      </c>
      <c r="D213" s="22" t="s">
        <v>817</v>
      </c>
      <c r="E213" s="13">
        <v>42715.743900462963</v>
      </c>
      <c r="F213" s="13">
        <v>42715.745138888888</v>
      </c>
      <c r="G213" s="7">
        <v>1</v>
      </c>
      <c r="H213" s="22" t="s">
        <v>818</v>
      </c>
      <c r="I213" s="13">
        <v>42715.752106481479</v>
      </c>
      <c r="J213" s="7">
        <v>1</v>
      </c>
      <c r="K213" s="109" t="str">
        <f t="shared" si="74"/>
        <v>4015/4016</v>
      </c>
      <c r="L213" s="22" t="str">
        <f>VLOOKUP(A213,'Trips&amp;Operators'!$C$1:$G$99999,5,FALSE)</f>
        <v>MACDONALD THOMAS</v>
      </c>
      <c r="M213" s="6">
        <f t="shared" si="75"/>
        <v>6.9675925915362313E-3</v>
      </c>
      <c r="N213" s="7">
        <f t="shared" si="69"/>
        <v>10.033333331812173</v>
      </c>
      <c r="O213" s="7"/>
      <c r="P213" s="7"/>
      <c r="Q213" s="23"/>
      <c r="R213" s="23"/>
      <c r="S213" s="35">
        <f t="shared" si="70"/>
        <v>0</v>
      </c>
      <c r="T213" s="50" t="e">
        <f t="shared" si="76"/>
        <v>#VALUE!</v>
      </c>
      <c r="U213" s="171">
        <f>IF(AG213="EC",COUNTIFS(Variables!$M$2:$M$19,IF(T213="NorthBound","&gt;=","&lt;=")&amp;Y213,Variables!$M$2:$M$19,IF(T213="NorthBound","&lt;=","&gt;=")&amp;Z213),COUNTIFS(Variables!$P$2:$P$19,IF(T213="NorthBound","&gt;=","&lt;=")&amp;Y213,Variables!$P$2:$P$19,IF(T213="NorthBound","&lt;=","&gt;=")&amp;Z213))</f>
        <v>0</v>
      </c>
      <c r="V213" s="98" t="str">
        <f t="shared" si="77"/>
        <v>https://search-rtdc-monitor-bjffxe2xuh6vdkpspy63sjmuny.us-east-1.es.amazonaws.com/_plugin/kibana/#/discover/Steve-Slow-Train-Analysis-(2080s-and-2083s)?_g=(refreshInterval:(display:Off,section:0,value:0),time:(from:'2016-12-11 16:51:13-700',mode:absolute,to:'2016-12-11 19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W213" s="52" t="str">
        <f t="shared" si="78"/>
        <v>Y</v>
      </c>
      <c r="X213" s="177" t="e">
        <f t="shared" si="71"/>
        <v>#VALUE!</v>
      </c>
      <c r="Y213" s="67">
        <f t="shared" si="79"/>
        <v>2.1793</v>
      </c>
      <c r="Z213" s="67">
        <f t="shared" si="80"/>
        <v>0.2031</v>
      </c>
      <c r="AA213" s="67">
        <f t="shared" si="81"/>
        <v>1.9762</v>
      </c>
      <c r="AB213" s="64" t="e">
        <f>VLOOKUP(A213,Enforcements!$C$7:$K$20,8,0)</f>
        <v>#N/A</v>
      </c>
      <c r="AC213" s="60" t="e">
        <f>VLOOKUP(A213,Enforcements!$C$7:$E$20,3,0)</f>
        <v>#N/A</v>
      </c>
      <c r="AD213" s="61" t="str">
        <f t="shared" si="82"/>
        <v>72-11</v>
      </c>
      <c r="AE213" s="91" t="str">
        <f t="shared" si="83"/>
        <v>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 &amp; 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</v>
      </c>
      <c r="AF213" s="88" t="str">
        <f t="shared" si="84"/>
        <v>"C:\Program Files (x86)\AstroGrep\AstroGrep.exe" /spath="%USERPROFILE%\AppData\Local\Temp\OnboardLogs" /stypes="app*4015*20161212*" /stext=" 01:.+((SYSTEM_STATE.+slice.+state.+changed )|(ment ac)|(multiple cpu faults)|(system.+state.+changed )|(\[timeout)|(PRM\|1\|D)|(kpr)|(kdp)|(\|lc)|(penalty))" /e /r /s</v>
      </c>
      <c r="AG213" s="1" t="str">
        <f t="shared" si="85"/>
        <v>Other</v>
      </c>
      <c r="AH213" s="92" t="str">
        <f t="shared" si="72"/>
        <v>"%USERPROFILE%\Documents\GitHub\eaglep3\Utilities\RefineRTDCRunTimes.py" --tripid 72-11 --locoid 4015 --swversion DE.1.0.8.0 --startMP 300:21793 --initTime 2016-12-11T17:51:13 --startdatetime 2016-12-11T17:53:00 --delay 1 --endMP 204:2031 --enddatetime 2016-12-11T18:03:02 --enforcementcount 1 &gt;&gt;C:\Users\stu\Documents\GitHub\eaglep3-reporting\EC\2016-12-11-refined-times.txt</v>
      </c>
      <c r="AI213" s="119" t="str">
        <f t="shared" si="73"/>
        <v>echo {"issue":{"subject":"","project_id":79,"tracker_id":40,"status_id":1,"priority_id":2,"assigned_to_id":23,"start_date":"2016-12-11","description":"","custom_fields":[{"id":1,"name":"Subdivision","value":"Other"},{"id":4,"name":"Milepost","value":"0.2031"},{"id":17,"name":"Train ID","value":"72-11"},{"id":16,"name":"Locomotive ID","value":"4015"},{"id":130,"name":"Impact","value":""},{"id":150,"name":"Time of Event (Mountain Time)","value":"18:03:02"},{"id":151,"name":"Denver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AJ213" s="53"/>
      <c r="AK213" s="53"/>
      <c r="AL213" s="53"/>
    </row>
    <row r="214" spans="1:38" x14ac:dyDescent="0.25">
      <c r="A214"/>
      <c r="B214"/>
      <c r="C214"/>
      <c r="D214"/>
      <c r="E214"/>
      <c r="F214"/>
      <c r="G214"/>
      <c r="H214"/>
      <c r="I214"/>
      <c r="J214"/>
      <c r="K214"/>
      <c r="L214"/>
      <c r="M214"/>
      <c r="N214"/>
      <c r="O214"/>
      <c r="P214"/>
      <c r="S214"/>
      <c r="U214"/>
      <c r="V214"/>
      <c r="W214"/>
      <c r="X214"/>
      <c r="Y214"/>
      <c r="Z214"/>
      <c r="AA214"/>
      <c r="AB214"/>
      <c r="AC214"/>
      <c r="AD214"/>
      <c r="AE214"/>
      <c r="AF214"/>
      <c r="AH214"/>
      <c r="AI214"/>
    </row>
    <row r="215" spans="1:38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/>
      <c r="P215"/>
      <c r="S215"/>
      <c r="U215"/>
      <c r="V215"/>
      <c r="W215"/>
      <c r="X215"/>
      <c r="Y215"/>
      <c r="Z215"/>
      <c r="AA215"/>
      <c r="AB215"/>
      <c r="AC215"/>
      <c r="AD215"/>
      <c r="AE215"/>
      <c r="AF215"/>
      <c r="AH215"/>
      <c r="AI215"/>
    </row>
    <row r="216" spans="1:38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/>
      <c r="P216"/>
      <c r="S216"/>
      <c r="U216"/>
      <c r="V216"/>
      <c r="W216"/>
      <c r="X216"/>
      <c r="Y216"/>
      <c r="Z216"/>
      <c r="AA216"/>
      <c r="AB216"/>
      <c r="AC216"/>
      <c r="AD216"/>
      <c r="AE216"/>
      <c r="AF216"/>
      <c r="AH216"/>
      <c r="AI216"/>
    </row>
    <row r="217" spans="1:38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/>
      <c r="P217"/>
      <c r="S217"/>
      <c r="U217"/>
      <c r="V217"/>
      <c r="W217"/>
      <c r="X217"/>
      <c r="Y217"/>
      <c r="Z217"/>
      <c r="AA217"/>
      <c r="AB217"/>
      <c r="AC217"/>
      <c r="AD217"/>
      <c r="AE217"/>
      <c r="AF217"/>
      <c r="AH217"/>
      <c r="AI217"/>
    </row>
    <row r="218" spans="1:38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/>
      <c r="P218"/>
      <c r="S218"/>
      <c r="U218"/>
      <c r="V218"/>
      <c r="W218"/>
      <c r="X218"/>
      <c r="Y218"/>
      <c r="Z218"/>
      <c r="AA218"/>
      <c r="AB218"/>
      <c r="AC218"/>
      <c r="AD218"/>
      <c r="AE218"/>
      <c r="AF218"/>
      <c r="AH218"/>
      <c r="AI218"/>
    </row>
    <row r="219" spans="1:38" x14ac:dyDescent="0.25">
      <c r="A219"/>
      <c r="B219"/>
      <c r="C219"/>
      <c r="D219"/>
      <c r="E219"/>
      <c r="F219"/>
      <c r="G219"/>
      <c r="H219"/>
      <c r="I219"/>
      <c r="J219"/>
      <c r="K219"/>
      <c r="L219"/>
      <c r="M219"/>
      <c r="N219"/>
      <c r="O219"/>
      <c r="P219"/>
      <c r="S219"/>
      <c r="U219"/>
      <c r="V219"/>
      <c r="W219"/>
      <c r="X219"/>
      <c r="Y219"/>
      <c r="Z219"/>
      <c r="AA219"/>
      <c r="AB219"/>
      <c r="AC219"/>
      <c r="AD219"/>
      <c r="AE219"/>
      <c r="AF219"/>
      <c r="AH219"/>
      <c r="AI219"/>
    </row>
    <row r="220" spans="1:38" x14ac:dyDescent="0.25">
      <c r="A220"/>
      <c r="B220"/>
      <c r="C220"/>
      <c r="D220"/>
      <c r="E220"/>
      <c r="F220"/>
      <c r="G220"/>
      <c r="H220"/>
      <c r="I220"/>
      <c r="J220"/>
      <c r="K220"/>
      <c r="L220"/>
      <c r="M220"/>
      <c r="N220"/>
      <c r="O220"/>
      <c r="P220"/>
      <c r="S220"/>
      <c r="U220"/>
      <c r="V220"/>
      <c r="W220"/>
      <c r="X220"/>
      <c r="Y220"/>
      <c r="Z220"/>
      <c r="AA220"/>
      <c r="AB220"/>
      <c r="AC220"/>
      <c r="AD220"/>
      <c r="AE220"/>
      <c r="AF220"/>
      <c r="AH220"/>
      <c r="AI220"/>
    </row>
    <row r="221" spans="1:38" x14ac:dyDescent="0.25">
      <c r="A221"/>
      <c r="B221"/>
      <c r="C221"/>
      <c r="D221"/>
      <c r="E221"/>
      <c r="F221"/>
      <c r="G221"/>
      <c r="H221"/>
      <c r="I221"/>
      <c r="J221"/>
      <c r="K221"/>
      <c r="L221"/>
      <c r="M221"/>
      <c r="N221"/>
      <c r="O221"/>
      <c r="P221"/>
      <c r="S221"/>
      <c r="U221"/>
      <c r="V221"/>
      <c r="W221"/>
      <c r="X221"/>
      <c r="Y221"/>
      <c r="Z221"/>
      <c r="AA221"/>
      <c r="AB221"/>
      <c r="AC221"/>
      <c r="AD221"/>
      <c r="AE221"/>
      <c r="AF221"/>
      <c r="AH221"/>
      <c r="AI221"/>
    </row>
    <row r="222" spans="1:38" x14ac:dyDescent="0.25">
      <c r="A222"/>
      <c r="B222"/>
      <c r="C222"/>
      <c r="D222"/>
      <c r="E222"/>
      <c r="F222"/>
      <c r="G222"/>
      <c r="H222"/>
      <c r="I222"/>
      <c r="J222"/>
      <c r="K222"/>
      <c r="L222"/>
      <c r="M222"/>
      <c r="N222"/>
      <c r="O222"/>
      <c r="P222"/>
      <c r="S222"/>
      <c r="U222"/>
      <c r="V222"/>
      <c r="W222"/>
      <c r="X222"/>
      <c r="Y222"/>
      <c r="Z222"/>
      <c r="AA222"/>
      <c r="AB222"/>
      <c r="AC222"/>
      <c r="AD222"/>
      <c r="AE222"/>
      <c r="AF222"/>
      <c r="AH222"/>
      <c r="AI222"/>
    </row>
    <row r="223" spans="1:38" x14ac:dyDescent="0.25">
      <c r="A223"/>
      <c r="B223"/>
      <c r="C223"/>
      <c r="D223"/>
      <c r="E223"/>
      <c r="F223"/>
      <c r="G223"/>
      <c r="H223"/>
      <c r="I223"/>
      <c r="J223"/>
      <c r="K223"/>
      <c r="L223"/>
      <c r="M223"/>
      <c r="N223"/>
      <c r="O223"/>
      <c r="P223"/>
      <c r="S223"/>
      <c r="U223"/>
      <c r="V223"/>
      <c r="W223"/>
      <c r="X223"/>
      <c r="Y223"/>
      <c r="Z223"/>
      <c r="AA223"/>
      <c r="AB223"/>
      <c r="AC223"/>
      <c r="AD223"/>
      <c r="AE223"/>
      <c r="AF223"/>
      <c r="AH223"/>
      <c r="AI223"/>
    </row>
    <row r="224" spans="1:38" x14ac:dyDescent="0.25">
      <c r="A224"/>
      <c r="B224"/>
      <c r="C224"/>
      <c r="D224"/>
      <c r="E224"/>
      <c r="F224"/>
      <c r="G224"/>
      <c r="H224"/>
      <c r="I224"/>
      <c r="J224"/>
      <c r="K224"/>
      <c r="L224"/>
      <c r="M224"/>
      <c r="N224"/>
      <c r="O224"/>
      <c r="P224"/>
      <c r="S224"/>
      <c r="U224"/>
      <c r="V224"/>
      <c r="W224"/>
      <c r="X224"/>
      <c r="Y224"/>
      <c r="Z224"/>
      <c r="AA224"/>
      <c r="AB224"/>
      <c r="AC224"/>
      <c r="AD224"/>
      <c r="AE224"/>
      <c r="AF224"/>
      <c r="AH224"/>
      <c r="AI224"/>
    </row>
    <row r="225" spans="1:35" x14ac:dyDescent="0.25">
      <c r="A225"/>
      <c r="B225"/>
      <c r="C225"/>
      <c r="D225"/>
      <c r="E225"/>
      <c r="F225"/>
      <c r="G225"/>
      <c r="H225"/>
      <c r="I225"/>
      <c r="J225"/>
      <c r="K225"/>
      <c r="L225"/>
      <c r="M225"/>
      <c r="N225"/>
      <c r="O225"/>
      <c r="P225"/>
      <c r="S225"/>
      <c r="U225"/>
      <c r="V225"/>
      <c r="W225"/>
      <c r="X225"/>
      <c r="Y225"/>
      <c r="Z225"/>
      <c r="AA225"/>
      <c r="AB225"/>
      <c r="AC225"/>
      <c r="AD225"/>
      <c r="AE225"/>
      <c r="AF225"/>
      <c r="AH225"/>
      <c r="AI225"/>
    </row>
    <row r="226" spans="1:35" x14ac:dyDescent="0.25">
      <c r="A226"/>
      <c r="B226"/>
      <c r="C226"/>
      <c r="D226"/>
      <c r="E226"/>
      <c r="F226"/>
      <c r="G226"/>
      <c r="H226"/>
      <c r="I226"/>
      <c r="J226"/>
      <c r="K226"/>
      <c r="L226"/>
      <c r="M226"/>
      <c r="N226"/>
      <c r="O226"/>
      <c r="P226"/>
      <c r="S226"/>
      <c r="U226"/>
      <c r="V226"/>
      <c r="W226"/>
      <c r="X226"/>
      <c r="Y226"/>
      <c r="Z226"/>
      <c r="AA226"/>
      <c r="AB226"/>
      <c r="AC226"/>
      <c r="AD226"/>
      <c r="AE226"/>
      <c r="AF226"/>
      <c r="AH226"/>
      <c r="AI226"/>
    </row>
    <row r="227" spans="1:35" x14ac:dyDescent="0.25">
      <c r="A227"/>
      <c r="B227"/>
      <c r="C227"/>
      <c r="D227"/>
      <c r="E227"/>
      <c r="F227"/>
      <c r="G227"/>
      <c r="H227"/>
      <c r="I227"/>
      <c r="J227"/>
      <c r="K227"/>
      <c r="L227"/>
      <c r="M227"/>
      <c r="N227"/>
      <c r="O227"/>
      <c r="P227"/>
      <c r="S227"/>
      <c r="U227"/>
      <c r="V227"/>
      <c r="W227"/>
      <c r="X227"/>
      <c r="Y227"/>
      <c r="Z227"/>
      <c r="AA227"/>
      <c r="AB227"/>
      <c r="AC227"/>
      <c r="AD227"/>
      <c r="AE227"/>
      <c r="AF227"/>
      <c r="AH227"/>
      <c r="AI227"/>
    </row>
    <row r="228" spans="1:35" x14ac:dyDescent="0.25">
      <c r="A228"/>
      <c r="B228"/>
      <c r="C228"/>
      <c r="D228"/>
      <c r="E228"/>
      <c r="F228"/>
      <c r="G228"/>
      <c r="H228"/>
      <c r="I228"/>
      <c r="J228"/>
      <c r="K228"/>
      <c r="L228"/>
      <c r="M228"/>
      <c r="N228"/>
      <c r="O228"/>
      <c r="P228"/>
      <c r="S228"/>
      <c r="U228"/>
      <c r="V228"/>
      <c r="W228"/>
      <c r="X228"/>
      <c r="Y228"/>
      <c r="Z228"/>
      <c r="AA228"/>
      <c r="AB228"/>
      <c r="AC228"/>
      <c r="AD228"/>
      <c r="AE228"/>
      <c r="AF228"/>
      <c r="AH228"/>
      <c r="AI228"/>
    </row>
    <row r="229" spans="1:35" x14ac:dyDescent="0.25">
      <c r="A229"/>
      <c r="B229"/>
      <c r="C229"/>
      <c r="D229"/>
      <c r="E229"/>
      <c r="F229"/>
      <c r="G229"/>
      <c r="H229"/>
      <c r="I229"/>
      <c r="J229"/>
      <c r="K229"/>
      <c r="L229"/>
      <c r="M229"/>
      <c r="N229"/>
      <c r="O229"/>
      <c r="P229"/>
      <c r="S229"/>
      <c r="U229"/>
      <c r="V229"/>
      <c r="W229"/>
      <c r="X229"/>
      <c r="Y229"/>
      <c r="Z229"/>
      <c r="AA229"/>
      <c r="AB229"/>
      <c r="AC229"/>
      <c r="AD229"/>
      <c r="AE229"/>
      <c r="AF229"/>
      <c r="AH229"/>
      <c r="AI229"/>
    </row>
    <row r="230" spans="1:35" x14ac:dyDescent="0.25">
      <c r="A230"/>
      <c r="B230"/>
      <c r="C230"/>
      <c r="D230"/>
      <c r="E230"/>
      <c r="F230"/>
      <c r="G230"/>
      <c r="H230"/>
      <c r="I230"/>
      <c r="J230"/>
      <c r="K230"/>
      <c r="L230"/>
      <c r="M230"/>
      <c r="N230"/>
      <c r="O230"/>
      <c r="P230"/>
      <c r="S230"/>
      <c r="U230"/>
      <c r="V230"/>
      <c r="W230"/>
      <c r="X230"/>
      <c r="Y230"/>
      <c r="Z230"/>
      <c r="AA230"/>
      <c r="AB230"/>
      <c r="AC230"/>
      <c r="AD230"/>
      <c r="AE230"/>
      <c r="AF230"/>
      <c r="AH230"/>
      <c r="AI230"/>
    </row>
    <row r="231" spans="1:35" x14ac:dyDescent="0.25">
      <c r="A231"/>
      <c r="B231"/>
      <c r="C231"/>
      <c r="D231"/>
      <c r="E231"/>
      <c r="F231"/>
      <c r="G231"/>
      <c r="H231"/>
      <c r="I231"/>
      <c r="J231"/>
      <c r="K231"/>
      <c r="L231"/>
      <c r="M231"/>
      <c r="N231"/>
      <c r="O231"/>
      <c r="P231"/>
      <c r="S231"/>
      <c r="U231"/>
      <c r="V231"/>
      <c r="W231"/>
      <c r="X231"/>
      <c r="Y231"/>
      <c r="Z231"/>
      <c r="AA231"/>
      <c r="AB231"/>
      <c r="AC231"/>
      <c r="AD231"/>
      <c r="AE231"/>
      <c r="AF231"/>
      <c r="AH231"/>
      <c r="AI231"/>
    </row>
    <row r="232" spans="1:35" x14ac:dyDescent="0.25">
      <c r="A232"/>
      <c r="B232"/>
      <c r="C232"/>
      <c r="D232"/>
      <c r="E232"/>
      <c r="F232"/>
      <c r="G232"/>
      <c r="H232"/>
      <c r="I232"/>
      <c r="J232"/>
      <c r="K232"/>
      <c r="L232"/>
      <c r="M232"/>
      <c r="N232"/>
      <c r="O232"/>
      <c r="P232"/>
      <c r="S232"/>
      <c r="U232"/>
      <c r="V232"/>
      <c r="W232"/>
      <c r="X232"/>
      <c r="Y232"/>
      <c r="Z232"/>
      <c r="AA232"/>
      <c r="AB232"/>
      <c r="AC232"/>
      <c r="AD232"/>
      <c r="AE232"/>
      <c r="AF232"/>
      <c r="AH232"/>
      <c r="AI232"/>
    </row>
    <row r="233" spans="1:35" x14ac:dyDescent="0.25">
      <c r="A233"/>
      <c r="B233"/>
      <c r="C233"/>
      <c r="D233"/>
      <c r="E233"/>
      <c r="F233"/>
      <c r="G233"/>
      <c r="H233"/>
      <c r="I233"/>
      <c r="J233"/>
      <c r="K233"/>
      <c r="L233"/>
      <c r="M233"/>
      <c r="N233"/>
      <c r="O233"/>
      <c r="P233"/>
      <c r="S233"/>
      <c r="U233"/>
      <c r="V233"/>
      <c r="W233"/>
      <c r="X233"/>
      <c r="Y233"/>
      <c r="Z233"/>
      <c r="AA233"/>
      <c r="AB233"/>
      <c r="AC233"/>
      <c r="AD233"/>
      <c r="AE233"/>
      <c r="AF233"/>
      <c r="AH233"/>
      <c r="AI233"/>
    </row>
    <row r="234" spans="1:35" x14ac:dyDescent="0.25">
      <c r="A234"/>
      <c r="B234"/>
      <c r="C234"/>
      <c r="D234"/>
      <c r="E234"/>
      <c r="F234"/>
      <c r="G234"/>
      <c r="H234"/>
      <c r="I234"/>
      <c r="J234"/>
      <c r="K234"/>
      <c r="L234"/>
      <c r="M234"/>
      <c r="N234"/>
      <c r="O234"/>
      <c r="P234"/>
      <c r="S234"/>
      <c r="U234"/>
      <c r="V234"/>
      <c r="W234"/>
      <c r="X234"/>
      <c r="Y234"/>
      <c r="Z234"/>
      <c r="AA234"/>
      <c r="AB234"/>
      <c r="AC234"/>
      <c r="AD234"/>
      <c r="AE234"/>
      <c r="AF234"/>
      <c r="AH234"/>
      <c r="AI234"/>
    </row>
    <row r="235" spans="1:35" x14ac:dyDescent="0.25">
      <c r="A235"/>
      <c r="B235"/>
      <c r="C235"/>
      <c r="D235"/>
      <c r="E235"/>
      <c r="F235"/>
      <c r="G235"/>
      <c r="H235"/>
      <c r="I235"/>
      <c r="J235"/>
      <c r="K235"/>
      <c r="L235"/>
      <c r="M235"/>
      <c r="N235"/>
      <c r="O235"/>
      <c r="P235"/>
      <c r="S235"/>
      <c r="U235"/>
      <c r="V235"/>
      <c r="W235"/>
      <c r="X235"/>
      <c r="Y235"/>
      <c r="Z235"/>
      <c r="AA235"/>
      <c r="AB235"/>
      <c r="AC235"/>
      <c r="AD235"/>
      <c r="AE235"/>
      <c r="AF235"/>
      <c r="AH235"/>
      <c r="AI235"/>
    </row>
    <row r="236" spans="1:35" x14ac:dyDescent="0.25">
      <c r="A236"/>
      <c r="B236"/>
      <c r="C236"/>
      <c r="D236"/>
      <c r="E236"/>
      <c r="F236"/>
      <c r="G236"/>
      <c r="H236"/>
      <c r="I236"/>
      <c r="J236"/>
      <c r="K236"/>
      <c r="L236"/>
      <c r="M236"/>
      <c r="N236"/>
      <c r="O236"/>
      <c r="P236"/>
      <c r="S236"/>
      <c r="U236"/>
      <c r="V236"/>
      <c r="W236"/>
      <c r="X236"/>
      <c r="Y236"/>
      <c r="Z236"/>
      <c r="AA236"/>
      <c r="AB236"/>
      <c r="AC236"/>
      <c r="AD236"/>
      <c r="AE236"/>
      <c r="AF236"/>
      <c r="AH236"/>
      <c r="AI236"/>
    </row>
  </sheetData>
  <autoFilter ref="A12:AG227">
    <sortState ref="A13:AG229">
      <sortCondition ref="AG13:AG215"/>
      <sortCondition ref="AD13:AD215"/>
    </sortState>
  </autoFilter>
  <sortState ref="A13:AH200">
    <sortCondition ref="AG13:AG200"/>
    <sortCondition ref="AD13:AD200"/>
  </sortState>
  <mergeCells count="1">
    <mergeCell ref="A11:P11"/>
  </mergeCells>
  <conditionalFormatting sqref="W11:W12 W237:X1048576 W13:X213">
    <cfRule type="cellIs" dxfId="10" priority="344" operator="equal">
      <formula>"Y"</formula>
    </cfRule>
  </conditionalFormatting>
  <conditionalFormatting sqref="X237:X1048576 X13:X213">
    <cfRule type="cellIs" dxfId="9" priority="327" operator="greaterThan">
      <formula>1</formula>
    </cfRule>
  </conditionalFormatting>
  <conditionalFormatting sqref="X237:X1048576 X12:X213">
    <cfRule type="cellIs" dxfId="8" priority="324" operator="equal">
      <formula>0</formula>
    </cfRule>
  </conditionalFormatting>
  <conditionalFormatting sqref="A13:S213">
    <cfRule type="expression" dxfId="7" priority="318" stopIfTrue="1">
      <formula>$P13&gt;0</formula>
    </cfRule>
    <cfRule type="expression" dxfId="6" priority="319" stopIfTrue="1">
      <formula>$O13&gt;0</formula>
    </cfRule>
  </conditionalFormatting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DailyMorningStuff_Runs">
                <anchor moveWithCells="1" sizeWithCells="1">
                  <from>
                    <xdr:col>24</xdr:col>
                    <xdr:colOff>552450</xdr:colOff>
                    <xdr:row>2</xdr:row>
                    <xdr:rowOff>38100</xdr:rowOff>
                  </from>
                  <to>
                    <xdr:col>26</xdr:col>
                    <xdr:colOff>466725</xdr:colOff>
                    <xdr:row>4</xdr:row>
                    <xdr:rowOff>190500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320" stopIfTrue="1" id="{07B64F47-9FD1-48B1-84DC-90BBCF0B8697}">
            <xm:f>IF($AG13="EC",OR($N13&gt;Variables!$C$2,$N13&lt;Variables!$C$5),OR($N13&gt;Variables!$D$2,$N13&lt;Variables!$D$5))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  <x14:conditionalFormatting xmlns:xm="http://schemas.microsoft.com/office/excel/2006/main">
          <x14:cfRule type="expression" priority="3" stopIfTrue="1" id="{44578D0A-3CE8-4388-A6D0-8700858490EC}">
            <xm:f>IF($AG13="EC",OR($N13&gt;Variables!#REF!,$N13&lt;Variables!#REF!),OR($N13&gt;Variables!#REF!,$N13&lt;Variables!#REF!))</xm:f>
            <x14:dxf>
              <fill>
                <patternFill>
                  <bgColor theme="5" tint="0.79998168889431442"/>
                </patternFill>
              </fill>
            </x14:dxf>
          </x14:cfRule>
          <xm:sqref>A13:S213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AK13:AK213</xm:sqref>
        </x14:dataValidation>
        <x14:dataValidation type="list" allowBlank="1" showInputMessage="1" showErrorMessage="1">
          <x14:formula1>
            <xm:f>'Redmine List Values'!$C$2:$C$15</xm:f>
          </x14:formula1>
          <xm:sqref>AL13:AL213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D75"/>
  <sheetViews>
    <sheetView topLeftCell="A2" zoomScaleNormal="100" workbookViewId="0">
      <selection activeCell="P16" sqref="P16"/>
    </sheetView>
  </sheetViews>
  <sheetFormatPr defaultRowHeight="15" x14ac:dyDescent="0.25"/>
  <cols>
    <col min="1" max="1" width="18.28515625" style="8" bestFit="1" customWidth="1"/>
    <col min="2" max="2" width="15" customWidth="1"/>
    <col min="3" max="3" width="8.28515625" customWidth="1"/>
    <col min="4" max="4" width="13.140625" style="136" customWidth="1"/>
    <col min="5" max="5" width="18.5703125" style="136" customWidth="1"/>
    <col min="6" max="6" width="5.7109375" style="136" customWidth="1"/>
    <col min="7" max="7" width="5.85546875" style="136" customWidth="1"/>
    <col min="8" max="8" width="7.85546875" style="136" customWidth="1"/>
    <col min="9" max="9" width="9" style="136" customWidth="1"/>
    <col min="10" max="10" width="11.5703125" style="136" hidden="1" customWidth="1"/>
    <col min="11" max="11" width="9.140625" style="136" customWidth="1"/>
    <col min="12" max="12" width="7.85546875" style="136" customWidth="1"/>
    <col min="13" max="13" width="7.85546875" style="2" customWidth="1"/>
    <col min="14" max="14" width="12.140625" style="135" customWidth="1"/>
    <col min="15" max="15" width="5.140625" style="165" customWidth="1"/>
    <col min="16" max="16" width="31" style="136" customWidth="1"/>
    <col min="17" max="17" width="5" hidden="1" customWidth="1"/>
    <col min="18" max="18" width="5.5703125" style="89" customWidth="1"/>
    <col min="19" max="19" width="5.5703125" style="101" customWidth="1"/>
    <col min="20" max="20" width="6" style="86" customWidth="1"/>
    <col min="21" max="21" width="5.140625" customWidth="1"/>
    <col min="22" max="22" width="21.42578125" style="48" bestFit="1" customWidth="1"/>
    <col min="23" max="23" width="5.28515625" customWidth="1"/>
    <col min="24" max="24" width="6.7109375" hidden="1" customWidth="1"/>
    <col min="25" max="25" width="4.28515625" customWidth="1"/>
    <col min="26" max="26" width="6.85546875" customWidth="1"/>
    <col min="27" max="27" width="6.42578125" customWidth="1"/>
    <col min="28" max="28" width="7.140625" customWidth="1"/>
    <col min="29" max="29" width="5.28515625" style="138" customWidth="1"/>
  </cols>
  <sheetData>
    <row r="1" spans="1:30" s="21" customFormat="1" ht="15.75" hidden="1" thickBot="1" x14ac:dyDescent="0.3">
      <c r="A1" s="8"/>
      <c r="D1" s="136"/>
      <c r="E1" s="136"/>
      <c r="F1" s="136"/>
      <c r="G1" s="136"/>
      <c r="H1" s="136"/>
      <c r="I1" s="136"/>
      <c r="J1" s="136"/>
      <c r="K1" s="136"/>
      <c r="L1" s="136"/>
      <c r="M1" s="2"/>
      <c r="N1" s="135"/>
      <c r="O1" s="165"/>
      <c r="P1" s="136"/>
      <c r="R1" s="89"/>
      <c r="S1" s="101"/>
      <c r="T1" s="86"/>
      <c r="V1" s="48"/>
      <c r="AC1" s="138"/>
    </row>
    <row r="2" spans="1:30" s="21" customFormat="1" x14ac:dyDescent="0.25">
      <c r="A2" s="8"/>
      <c r="D2" s="136"/>
      <c r="E2" s="136"/>
      <c r="F2" s="136"/>
      <c r="G2" s="136"/>
      <c r="H2" s="136"/>
      <c r="I2" s="136"/>
      <c r="J2" s="136"/>
      <c r="K2" s="136"/>
      <c r="L2" s="147" t="s">
        <v>80</v>
      </c>
      <c r="M2" s="131"/>
      <c r="N2" s="148"/>
      <c r="O2" s="179">
        <f>COUNTIF($O$7:$O$334,"=Y")</f>
        <v>9</v>
      </c>
      <c r="P2" s="133"/>
      <c r="R2" s="89"/>
      <c r="S2" s="101"/>
      <c r="T2" s="86"/>
      <c r="V2" s="48"/>
      <c r="AC2" s="139"/>
    </row>
    <row r="3" spans="1:30" s="21" customFormat="1" ht="15.75" thickBot="1" x14ac:dyDescent="0.3">
      <c r="A3" s="8"/>
      <c r="D3" s="136"/>
      <c r="E3" s="136"/>
      <c r="F3" s="136"/>
      <c r="G3" s="136"/>
      <c r="H3" s="136"/>
      <c r="I3" s="136"/>
      <c r="J3" s="136"/>
      <c r="K3" s="136"/>
      <c r="L3" s="149" t="s">
        <v>81</v>
      </c>
      <c r="M3" s="132"/>
      <c r="N3" s="150"/>
      <c r="O3" s="180">
        <f>COUNTA($O$7:$O$334)-O2</f>
        <v>44</v>
      </c>
      <c r="P3" s="133"/>
      <c r="R3" s="89"/>
      <c r="S3" s="101"/>
      <c r="T3" s="86"/>
      <c r="V3" s="48"/>
      <c r="AC3" s="139"/>
    </row>
    <row r="4" spans="1:30" s="21" customFormat="1" x14ac:dyDescent="0.25">
      <c r="A4" s="8"/>
      <c r="D4" s="136"/>
      <c r="E4" s="136"/>
      <c r="F4" s="136"/>
      <c r="G4" s="136"/>
      <c r="H4" s="136"/>
      <c r="I4" s="136"/>
      <c r="J4" s="136"/>
      <c r="K4" s="136"/>
      <c r="L4" s="136"/>
      <c r="M4" s="2"/>
      <c r="N4" s="135"/>
      <c r="O4" s="165"/>
      <c r="P4" s="136"/>
      <c r="R4" s="89"/>
      <c r="S4" s="101"/>
      <c r="T4" s="86"/>
      <c r="V4" s="48"/>
      <c r="AC4" s="139"/>
    </row>
    <row r="5" spans="1:30" s="10" customFormat="1" ht="15" customHeight="1" x14ac:dyDescent="0.25">
      <c r="A5" s="184" t="str">
        <f>"Eagle P3 Braking Events - "&amp;TEXT(Variables!$A$2,"YYYY-mm-dd")</f>
        <v>Eagle P3 Braking Events - 2016-12-11</v>
      </c>
      <c r="B5" s="184"/>
      <c r="C5" s="184"/>
      <c r="D5" s="184"/>
      <c r="E5" s="184"/>
      <c r="F5" s="184"/>
      <c r="G5" s="184"/>
      <c r="H5" s="184"/>
      <c r="I5" s="184"/>
      <c r="J5" s="184"/>
      <c r="K5" s="184"/>
      <c r="L5" s="184"/>
      <c r="M5" s="184"/>
      <c r="N5" s="184"/>
      <c r="O5" s="184"/>
      <c r="P5" s="151"/>
      <c r="R5" s="99"/>
      <c r="S5" s="102"/>
      <c r="T5" s="104"/>
      <c r="V5" s="49"/>
      <c r="AC5" s="140"/>
    </row>
    <row r="6" spans="1:30" s="130" customFormat="1" ht="69.75" customHeight="1" x14ac:dyDescent="0.2">
      <c r="A6" s="120" t="s">
        <v>38</v>
      </c>
      <c r="B6" s="121" t="s">
        <v>37</v>
      </c>
      <c r="C6" s="121" t="s">
        <v>36</v>
      </c>
      <c r="D6" s="137" t="s">
        <v>35</v>
      </c>
      <c r="E6" s="137" t="s">
        <v>34</v>
      </c>
      <c r="F6" s="137" t="s">
        <v>33</v>
      </c>
      <c r="G6" s="137" t="s">
        <v>32</v>
      </c>
      <c r="H6" s="137" t="s">
        <v>31</v>
      </c>
      <c r="I6" s="137" t="s">
        <v>156</v>
      </c>
      <c r="J6" s="137" t="s">
        <v>30</v>
      </c>
      <c r="K6" s="137" t="s">
        <v>29</v>
      </c>
      <c r="L6" s="137" t="s">
        <v>28</v>
      </c>
      <c r="M6" s="122" t="s">
        <v>157</v>
      </c>
      <c r="N6" s="152" t="s">
        <v>47</v>
      </c>
      <c r="O6" s="181" t="s">
        <v>27</v>
      </c>
      <c r="P6" s="137" t="s">
        <v>24</v>
      </c>
      <c r="Q6" s="123"/>
      <c r="R6" s="124" t="s">
        <v>89</v>
      </c>
      <c r="S6" s="125" t="s">
        <v>55</v>
      </c>
      <c r="T6" s="126" t="s">
        <v>88</v>
      </c>
      <c r="U6" s="121" t="s">
        <v>83</v>
      </c>
      <c r="V6" s="127" t="s">
        <v>84</v>
      </c>
      <c r="W6" s="123" t="s">
        <v>96</v>
      </c>
      <c r="X6" s="123" t="s">
        <v>97</v>
      </c>
      <c r="Y6" s="128" t="s">
        <v>148</v>
      </c>
      <c r="Z6" s="129" t="s">
        <v>149</v>
      </c>
      <c r="AA6" s="129" t="s">
        <v>122</v>
      </c>
      <c r="AB6" s="129" t="s">
        <v>150</v>
      </c>
      <c r="AC6" s="141" t="s">
        <v>176</v>
      </c>
      <c r="AD6" s="130" t="s">
        <v>229</v>
      </c>
    </row>
    <row r="7" spans="1:30" s="1" customFormat="1" x14ac:dyDescent="0.25">
      <c r="A7" s="36">
        <v>42715.338379629633</v>
      </c>
      <c r="B7" s="31" t="s">
        <v>285</v>
      </c>
      <c r="C7" s="31" t="s">
        <v>452</v>
      </c>
      <c r="D7" s="31" t="s">
        <v>49</v>
      </c>
      <c r="E7" s="31" t="s">
        <v>269</v>
      </c>
      <c r="F7" s="47">
        <v>140</v>
      </c>
      <c r="G7" s="47">
        <v>198</v>
      </c>
      <c r="H7" s="47">
        <v>26568</v>
      </c>
      <c r="I7" s="47">
        <v>26903</v>
      </c>
      <c r="J7" s="31" t="s">
        <v>270</v>
      </c>
      <c r="K7" s="47">
        <v>27053</v>
      </c>
      <c r="L7" s="154" t="s">
        <v>50</v>
      </c>
      <c r="M7" s="155">
        <f t="shared" ref="M7:M38" si="0">CONVERT((I7-K7)/10000,"mi","ft")*IF(L7="Increasing Mileposts (1)",-1,1)</f>
        <v>79.2</v>
      </c>
      <c r="N7" s="156" t="str">
        <f>VLOOKUP(C7,'Trips&amp;Operators'!$C$1:$G$99999,5,FALSE)</f>
        <v>DAVIS WENDY</v>
      </c>
      <c r="O7" s="182" t="s">
        <v>196</v>
      </c>
      <c r="P7" s="157" t="s">
        <v>842</v>
      </c>
      <c r="Q7" s="31"/>
      <c r="R7" s="100" t="str">
        <f>VLOOKUP(C7,'Train Runs'!$A$13:$AE$9971,31,0)</f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S7" s="103" t="str">
        <f>VLOOKUP(C7,'Train Runs'!$A$13:$AE$9971,22,0)</f>
        <v>https://search-rtdc-monitor-bjffxe2xuh6vdkpspy63sjmuny.us-east-1.es.amazonaws.com/_plugin/kibana/#/discover/Steve-Slow-Train-Analysis-(2080s-and-2083s)?_g=(refreshInterval:(display:Off,section:0,value:0),time:(from:'2016-12-11 06:54:06-700',mode:absolute,to:'2016-12-11 09:37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7" s="105" t="str">
        <f t="shared" ref="T7:T38" si="1">astrogrep_path&amp;" /spath="&amp;search_path&amp;" /stypes=""*"&amp;U7&amp;"*"&amp;TEXT(A7-utc_offset/24,"YYYYMMDD")&amp;LEFT(TEXT(A7-utc_offset/24,"HH"),1)&amp;"*"" /stext="" "&amp;TEXT(A7-utc_offset/24,"HH")&amp;search_regexp&amp;""" /e /r /s"</f>
        <v>"C:\Program Files (x86)\AstroGrep\AstroGrep.exe" /spath="%USERPROFILE%\AppData\Local\Temp\OnboardLogs" /stypes="*4018*201612111*" /stext=" 15:.+((SYSTEM_STATE.+slice.+state.+changed )|(ment ac)|(multiple cpu faults)|(system.+state.+changed )|(\[timeout)|(PRM\|1\|D)|(kpr)|(kdp)|(\|lc)|(penalty))" /e /r /s</v>
      </c>
      <c r="U7" s="9" t="str">
        <f t="shared" ref="U7:U38" si="2">MID(B7,13,4)</f>
        <v>4018</v>
      </c>
      <c r="V7" s="36">
        <f t="shared" ref="V7:V38" si="3">A7-utc_offset/24</f>
        <v>42715.630046296297</v>
      </c>
      <c r="W7" s="50" t="str">
        <f t="shared" ref="W7:W38" si="4">IF(VALUE(LEFT(IF(LEN(C7)=6,"0"&amp;C7,C7),2))&lt;=2,"EC",IF(OR(VALUE(LEFT(IF(LEN(C7)=6,"0"&amp;C7,C7),2))=8,VALUE(LEFT(IF(LEN(C7)=6,"0"&amp;C7,C7),2))=18),"NW","Other"))</f>
        <v>EC</v>
      </c>
      <c r="X7" s="50" t="str">
        <f t="shared" ref="X7:X38" si="5">IF(AND(E7="TRACK WARRANT AUTHORITY",G7&lt;10),"OMIT","KEEP")</f>
        <v>KEEP</v>
      </c>
      <c r="Y7" s="119" t="str">
        <f t="shared" ref="Y7:Y38" si="6">"echo {""issue"":{""subject"":"""&amp;P7&amp;""",""project_id"":79,""tracker_id"":40,""status_id"":"&amp;redmine_status&amp;",""priority_id"":"&amp;redmine_priority&amp;",""assigned_to_id"":"&amp;redmine_assignee&amp;",""start_date"":"""&amp;TEXT(A7,"YYYY-mm-dd")&amp;""",""description"":"""&amp;Z7&amp;""",""custom_fields"":[{""id"":1,""name"":""Subdivision"",""value"":"""&amp;W7&amp;"""},{""id"":4,""name"":""Milepost"",""value"":"""&amp;K7/10000&amp;"""},{""id"":17,""name"":""Train ID"",""value"":"""&amp;C7&amp;"""},{""id"":16,""name"":""Locomotive ID"",""value"":"""&amp;U7&amp;"""},{""id"":130,""name"":""Impact"",""value"":"""&amp;AA7&amp;"""},{""id"":150,""name"":""Time of Event (Mountain Time)"",""value"":"""&amp;TEXT(A7,"hh:mm:ss")&amp;"""},{""id"":151,""name"":""Denver Issue ID"",""value"":"""&amp;"""},{""id"":178,""name"":""Operational Impact"",""value"":"""&amp;redmine_op_impact&amp;"""},{""id"":179,""name"":""Denver Segment Assigned"",""value"":"""&amp;AB7&amp;"""}]}}"&amp;" | curl -X POST -H ""Content-Type: application/json"" -H ""X-Redmine-API-Key: "&amp;redm_api_key&amp;""" "&amp;redm_url&amp;" --data @-"</f>
        <v>echo {"issue":{"subject":"Early arrival","project_id":79,"tracker_id":40,"status_id":1,"priority_id":2,"assigned_to_id":23,"start_date":"2016-12-11","description":"","custom_fields":[{"id":1,"name":"Subdivision","value":"EC"},{"id":4,"name":"Milepost","value":"2.7053"},{"id":17,"name":"Train ID","value":"135-11"},{"id":16,"name":"Locomotive ID","value":"4018"},{"id":130,"name":"Impact","value":""},{"id":150,"name":"Time of Event (Mountain Time)","value":"08:07:16"},{"id":151,"name":"Denver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7" s="53"/>
      <c r="AA7" s="53"/>
      <c r="AB7" s="53"/>
      <c r="AC7" s="138" t="str">
        <f t="shared" ref="AC7:AC38" si="7">"grep -hSE -A100 ""Enforcement Action"" "&amp;search_path&amp;"\RTDC"&amp;U7&amp;"\*"&amp;U7&amp;"*"&amp;TEXT(A7-utc_offset/24,"YYYYMMDD")&amp;LEFT(TEXT(A7-utc_offset/24,"HH"),1)&amp;"* | grep -SE ""((Enforcement Ac)|(PRM))"" -"</f>
        <v>grep -hSE -A100 "Enforcement Action" "%USERPROFILE%\AppData\Local\Temp\OnboardLogs"\RTDC4018\*4018*201612111* | grep -SE "((Enforcement Ac)|(PRM))" -</v>
      </c>
      <c r="AD7" s="1" t="str">
        <f>"grep -hSE ""Enforcement Action"" "&amp;search_path&amp;"\RTDC"&amp;U7&amp;"\*"&amp;U7&amp;"*"&amp;TEXT(A7-utc_offset/24,"YYYYMMDD")&amp;LEFT(TEXT(A7-utc_offset/24,"HH"),1)&amp;"* &gt;&gt; "&amp;Variables!$A$2&amp;"-slicedisagreementcheck.txt"</f>
        <v>grep -hSE "Enforcement Action" "%USERPROFILE%\AppData\Local\Temp\OnboardLogs"\RTDC4018\*4018*201612111* &gt;&gt; 42715-slicedisagreementcheck.txt</v>
      </c>
    </row>
    <row r="8" spans="1:30" s="1" customFormat="1" x14ac:dyDescent="0.25">
      <c r="A8" s="36">
        <v>42715.602569444447</v>
      </c>
      <c r="B8" s="31" t="s">
        <v>184</v>
      </c>
      <c r="C8" s="31" t="s">
        <v>466</v>
      </c>
      <c r="D8" s="31" t="s">
        <v>98</v>
      </c>
      <c r="E8" s="31" t="s">
        <v>269</v>
      </c>
      <c r="F8" s="47">
        <v>50</v>
      </c>
      <c r="G8" s="47">
        <v>103</v>
      </c>
      <c r="H8" s="47">
        <v>30952</v>
      </c>
      <c r="I8" s="47">
        <v>31117</v>
      </c>
      <c r="J8" s="31" t="s">
        <v>270</v>
      </c>
      <c r="K8" s="47">
        <v>30830</v>
      </c>
      <c r="L8" s="154" t="s">
        <v>50</v>
      </c>
      <c r="M8" s="155">
        <f t="shared" si="0"/>
        <v>-151.536</v>
      </c>
      <c r="N8" s="156" t="str">
        <f>VLOOKUP(C8,'Trips&amp;Operators'!$C$1:$G$99999,5,FALSE)</f>
        <v>SHOOK JOHN</v>
      </c>
      <c r="O8" s="182" t="s">
        <v>196</v>
      </c>
      <c r="P8" s="157" t="s">
        <v>842</v>
      </c>
      <c r="Q8" s="31"/>
      <c r="R8" s="100" t="str">
        <f>VLOOKUP(C8,'Train Runs'!$A$13:$AE$9971,31,0)</f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S8" s="103" t="str">
        <f>VLOOKUP(C8,'Train Runs'!$A$13:$AE$9971,22,0)</f>
        <v>https://search-rtdc-monitor-bjffxe2xuh6vdkpspy63sjmuny.us-east-1.es.amazonaws.com/_plugin/kibana/#/discover/Steve-Slow-Train-Analysis-(2080s-and-2083s)?_g=(refreshInterval:(display:Off,section:0,value:0),time:(from:'2016-12-11 13:13:34-700',mode:absolute,to:'2016-12-11 16:01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8" s="105" t="str">
        <f t="shared" si="1"/>
        <v>"C:\Program Files (x86)\AstroGrep\AstroGrep.exe" /spath="%USERPROFILE%\AppData\Local\Temp\OnboardLogs" /stypes="*4044*201612112*" /stext=" 21:.+((SYSTEM_STATE.+slice.+state.+changed )|(ment ac)|(multiple cpu faults)|(system.+state.+changed )|(\[timeout)|(PRM\|1\|D)|(kpr)|(kdp)|(\|lc)|(penalty))" /e /r /s</v>
      </c>
      <c r="U8" s="9" t="str">
        <f t="shared" si="2"/>
        <v>4044</v>
      </c>
      <c r="V8" s="36">
        <f t="shared" si="3"/>
        <v>42715.894236111111</v>
      </c>
      <c r="W8" s="50" t="str">
        <f t="shared" si="4"/>
        <v>EC</v>
      </c>
      <c r="X8" s="50" t="str">
        <f t="shared" si="5"/>
        <v>KEEP</v>
      </c>
      <c r="Y8" s="119" t="str">
        <f t="shared" si="6"/>
        <v>echo {"issue":{"subject":"Early arrival","project_id":79,"tracker_id":40,"status_id":1,"priority_id":2,"assigned_to_id":23,"start_date":"2016-12-11","description":"","custom_fields":[{"id":1,"name":"Subdivision","value":"EC"},{"id":4,"name":"Milepost","value":"3.083"},{"id":17,"name":"Train ID","value":"185-11"},{"id":16,"name":"Locomotive ID","value":"4044"},{"id":130,"name":"Impact","value":""},{"id":150,"name":"Time of Event (Mountain Time)","value":"14:27:42"},{"id":151,"name":"Denver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8" s="53"/>
      <c r="AA8" s="53"/>
      <c r="AB8" s="53"/>
      <c r="AC8" s="138" t="str">
        <f t="shared" si="7"/>
        <v>grep -hSE -A100 "Enforcement Action" "%USERPROFILE%\AppData\Local\Temp\OnboardLogs"\RTDC4044\*4044*201612112* | grep -SE "((Enforcement Ac)|(PRM))" -</v>
      </c>
      <c r="AD8" s="1" t="str">
        <f>"grep -hSE ""Enforcement Action"" "&amp;search_path&amp;"\RTDC"&amp;U8&amp;"\*"&amp;U8&amp;"*"&amp;TEXT(A8-utc_offset/24,"YYYYMMDD")&amp;LEFT(TEXT(A8-utc_offset/24,"HH"),1)&amp;"* &gt;&gt; "&amp;Variables!$A$2&amp;"-slicedisagreementcheck.txt"</f>
        <v>grep -hSE "Enforcement Action" "%USERPROFILE%\AppData\Local\Temp\OnboardLogs"\RTDC4044\*4044*201612112* &gt;&gt; 42715-slicedisagreementcheck.txt</v>
      </c>
    </row>
    <row r="9" spans="1:30" s="1" customFormat="1" x14ac:dyDescent="0.25">
      <c r="A9" s="36">
        <v>42715.430254629631</v>
      </c>
      <c r="B9" s="31" t="s">
        <v>285</v>
      </c>
      <c r="C9" s="31" t="s">
        <v>457</v>
      </c>
      <c r="D9" s="31" t="s">
        <v>98</v>
      </c>
      <c r="E9" s="31" t="s">
        <v>197</v>
      </c>
      <c r="F9" s="47">
        <v>350</v>
      </c>
      <c r="G9" s="47">
        <v>400</v>
      </c>
      <c r="H9" s="47">
        <v>228296</v>
      </c>
      <c r="I9" s="47">
        <v>229443</v>
      </c>
      <c r="J9" s="31" t="s">
        <v>198</v>
      </c>
      <c r="K9" s="47">
        <v>224578</v>
      </c>
      <c r="L9" s="154" t="s">
        <v>50</v>
      </c>
      <c r="M9" s="155">
        <f t="shared" si="0"/>
        <v>-2568.7199999999998</v>
      </c>
      <c r="N9" s="156" t="str">
        <f>VLOOKUP(C9,'Trips&amp;Operators'!$C$1:$G$99999,5,FALSE)</f>
        <v>DAVIS WENDY</v>
      </c>
      <c r="O9" s="182" t="s">
        <v>196</v>
      </c>
      <c r="P9" s="157"/>
      <c r="Q9" s="31"/>
      <c r="R9" s="100" t="str">
        <f>VLOOKUP(C9,'Train Runs'!$A$13:$AE$9971,31,0)</f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S9" s="103" t="str">
        <f>VLOOKUP(C9,'Train Runs'!$A$13:$AE$9971,22,0)</f>
        <v>https://search-rtdc-monitor-bjffxe2xuh6vdkpspy63sjmuny.us-east-1.es.amazonaws.com/_plugin/kibana/#/discover/Steve-Slow-Train-Analysis-(2080s-and-2083s)?_g=(refreshInterval:(display:Off,section:0,value:0),time:(from:'2016-12-11 08:39:30-700',mode:absolute,to:'2016-12-11 11:22:17-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9" s="105" t="str">
        <f t="shared" si="1"/>
        <v>"C:\Program Files (x86)\AstroGrep\AstroGrep.exe" /spath="%USERPROFILE%\AppData\Local\Temp\OnboardLogs" /stypes="*4018*201612111*" /stext=" 17:.+((SYSTEM_STATE.+slice.+state.+changed )|(ment ac)|(multiple cpu faults)|(system.+state.+changed )|(\[timeout)|(PRM\|1\|D)|(kpr)|(kdp)|(\|lc)|(penalty))" /e /r /s</v>
      </c>
      <c r="U9" s="9" t="str">
        <f t="shared" si="2"/>
        <v>4018</v>
      </c>
      <c r="V9" s="36">
        <f t="shared" si="3"/>
        <v>42715.721921296295</v>
      </c>
      <c r="W9" s="50" t="str">
        <f t="shared" si="4"/>
        <v>EC</v>
      </c>
      <c r="X9" s="50" t="str">
        <f t="shared" si="5"/>
        <v>KEEP</v>
      </c>
      <c r="Y9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{"issue":{"subject":"","project_id":79,"tracker_id":40,"status_id":1,"priority_id":2,"assigned_to_id":23,"start_date":"2016-12-11","description":"","custom_fields":[{"id":1,"name":"Subdivision","value":"EC"},{"id":4,"name":"Milepost","value":"22.4578"},{"id":17,"name":"Train ID","value":"149-11"},{"id":16,"name":"Locomotive ID","value":"4018"},{"id":130,"name":"Impact","value":""},{"id":150,"name":"Time of Event (Mountain Time)","value":"10:19:34"},{"id":151,"name":"Denver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9" s="53"/>
      <c r="AA9" s="53"/>
      <c r="AB9" s="53"/>
      <c r="AC9" s="138" t="str">
        <f t="shared" si="7"/>
        <v>grep -hSE -A100 "Enforcement Action" "%USERPROFILE%\AppData\Local\Temp\OnboardLogs"\RTDC4018\*4018*201612111* | grep -SE "((Enforcement Ac)|(PRM))" -</v>
      </c>
      <c r="AD9" s="1" t="str">
        <f>"grep -hSE ""Enforcement Action"" "&amp;search_path&amp;"\RTDC"&amp;U9&amp;"\*"&amp;U9&amp;"*"&amp;TEXT(A9-utc_offset/24,"YYYYMMDD")&amp;LEFT(TEXT(A9-utc_offset/24,"HH"),1)&amp;"* &gt;&gt; "&amp;Variables!$A$2&amp;"-slicedisagreementcheck.txt"</f>
        <v>grep -hSE "Enforcement Action" "%USERPROFILE%\AppData\Local\Temp\OnboardLogs"\RTDC4018\*4018*201612111* &gt;&gt; 42715-slicedisagreementcheck.txt</v>
      </c>
    </row>
    <row r="10" spans="1:30" s="1" customFormat="1" x14ac:dyDescent="0.25">
      <c r="A10" s="36">
        <v>42715.384629629632</v>
      </c>
      <c r="B10" s="31" t="s">
        <v>246</v>
      </c>
      <c r="C10" s="31" t="s">
        <v>456</v>
      </c>
      <c r="D10" s="31" t="s">
        <v>98</v>
      </c>
      <c r="E10" s="31" t="s">
        <v>197</v>
      </c>
      <c r="F10" s="47">
        <v>350</v>
      </c>
      <c r="G10" s="47">
        <v>401</v>
      </c>
      <c r="H10" s="47">
        <v>226043</v>
      </c>
      <c r="I10" s="47">
        <v>225125</v>
      </c>
      <c r="J10" s="31" t="s">
        <v>198</v>
      </c>
      <c r="K10" s="47">
        <v>228668</v>
      </c>
      <c r="L10" s="154" t="s">
        <v>51</v>
      </c>
      <c r="M10" s="155">
        <f t="shared" si="0"/>
        <v>-1870.704</v>
      </c>
      <c r="N10" s="156" t="str">
        <f>VLOOKUP(C10,'Trips&amp;Operators'!$C$1:$G$99999,5,FALSE)</f>
        <v>ROBINSON KADDIBA</v>
      </c>
      <c r="O10" s="182" t="s">
        <v>196</v>
      </c>
      <c r="P10" s="157"/>
      <c r="Q10" s="31"/>
      <c r="R10" s="100" t="str">
        <f>VLOOKUP(C10,'Train Runs'!$A$13:$AE$9971,31,0)</f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S10" s="103" t="str">
        <f>VLOOKUP(C10,'Train Runs'!$A$13:$AE$9971,22,0)</f>
        <v>https://search-rtdc-monitor-bjffxe2xuh6vdkpspy63sjmuny.us-east-1.es.amazonaws.com/_plugin/kibana/#/discover/Steve-Slow-Train-Analysis-(2080s-and-2083s)?_g=(refreshInterval:(display:Off,section:0,value:0),time:(from:'2016-12-11 08:02:49-700',mode:absolute,to:'2016-12-11 10:58:30-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0" s="105" t="str">
        <f t="shared" si="1"/>
        <v>"C:\Program Files (x86)\AstroGrep\AstroGrep.exe" /spath="%USERPROFILE%\AppData\Local\Temp\OnboardLogs" /stypes="*4032*201612111*" /stext=" 16:.+((SYSTEM_STATE.+slice.+state.+changed )|(ment ac)|(multiple cpu faults)|(system.+state.+changed )|(\[timeout)|(PRM\|1\|D)|(kpr)|(kdp)|(\|lc)|(penalty))" /e /r /s</v>
      </c>
      <c r="U10" s="9" t="str">
        <f t="shared" si="2"/>
        <v>4032</v>
      </c>
      <c r="V10" s="36">
        <f t="shared" si="3"/>
        <v>42715.676296296297</v>
      </c>
      <c r="W10" s="50" t="str">
        <f t="shared" si="4"/>
        <v>EC</v>
      </c>
      <c r="X10" s="50" t="str">
        <f t="shared" si="5"/>
        <v>KEEP</v>
      </c>
      <c r="Y10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{"issue":{"subject":"","project_id":79,"tracker_id":40,"status_id":1,"priority_id":2,"assigned_to_id":23,"start_date":"2016-12-11","description":"","custom_fields":[{"id":1,"name":"Subdivision","value":"EC"},{"id":4,"name":"Milepost","value":"22.8668"},{"id":17,"name":"Train ID","value":"138-11"},{"id":16,"name":"Locomotive ID","value":"4032"},{"id":130,"name":"Impact","value":""},{"id":150,"name":"Time of Event (Mountain Time)","value":"09:13:52"},{"id":151,"name":"Denver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0" s="53"/>
      <c r="AA10" s="53"/>
      <c r="AB10" s="53"/>
      <c r="AC10" s="138" t="str">
        <f t="shared" si="7"/>
        <v>grep -hSE -A100 "Enforcement Action" "%USERPROFILE%\AppData\Local\Temp\OnboardLogs"\RTDC4032\*4032*201612111* | grep -SE "((Enforcement Ac)|(PRM))" -</v>
      </c>
      <c r="AD10" s="1" t="str">
        <f>"grep -hSE ""Enforcement Action"" "&amp;search_path&amp;"\RTDC"&amp;U10&amp;"\*"&amp;U10&amp;"*"&amp;TEXT(A10-utc_offset/24,"YYYYMMDD")&amp;LEFT(TEXT(A10-utc_offset/24,"HH"),1)&amp;"* &gt;&gt; "&amp;Variables!$A$2&amp;"-slicedisagreementcheck.txt"</f>
        <v>grep -hSE "Enforcement Action" "%USERPROFILE%\AppData\Local\Temp\OnboardLogs"\RTDC4032\*4032*201612111* &gt;&gt; 42715-slicedisagreementcheck.txt</v>
      </c>
    </row>
    <row r="11" spans="1:30" s="1" customFormat="1" x14ac:dyDescent="0.25">
      <c r="A11" s="36">
        <v>42715.551423611112</v>
      </c>
      <c r="B11" s="31" t="s">
        <v>246</v>
      </c>
      <c r="C11" s="31" t="s">
        <v>462</v>
      </c>
      <c r="D11" s="31" t="s">
        <v>98</v>
      </c>
      <c r="E11" s="31" t="s">
        <v>197</v>
      </c>
      <c r="F11" s="47">
        <v>350</v>
      </c>
      <c r="G11" s="47">
        <v>402</v>
      </c>
      <c r="H11" s="47">
        <v>224742</v>
      </c>
      <c r="I11" s="47">
        <v>223512</v>
      </c>
      <c r="J11" s="31" t="s">
        <v>198</v>
      </c>
      <c r="K11" s="47">
        <v>228668</v>
      </c>
      <c r="L11" s="154" t="s">
        <v>51</v>
      </c>
      <c r="M11" s="155">
        <f t="shared" si="0"/>
        <v>-2722.3679999999995</v>
      </c>
      <c r="N11" s="156" t="str">
        <f>VLOOKUP(C11,'Trips&amp;Operators'!$C$1:$G$99999,5,FALSE)</f>
        <v>BROWN JACOB</v>
      </c>
      <c r="O11" s="182" t="s">
        <v>196</v>
      </c>
      <c r="P11" s="157"/>
      <c r="Q11" s="31"/>
      <c r="R11" s="100" t="str">
        <f>VLOOKUP(C11,'Train Runs'!$A$13:$AE$9971,31,0)</f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S11" s="103" t="str">
        <f>VLOOKUP(C11,'Train Runs'!$A$13:$AE$9971,22,0)</f>
        <v>https://search-rtdc-monitor-bjffxe2xuh6vdkpspy63sjmuny.us-east-1.es.amazonaws.com/_plugin/kibana/#/discover/Steve-Slow-Train-Analysis-(2080s-and-2083s)?_g=(refreshInterval:(display:Off,section:0,value:0),time:(from:'2016-12-11 12:05:29-700',mode:absolute,to:'2016-12-11 14:58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1" s="105" t="str">
        <f t="shared" si="1"/>
        <v>"C:\Program Files (x86)\AstroGrep\AstroGrep.exe" /spath="%USERPROFILE%\AppData\Local\Temp\OnboardLogs" /stypes="*4032*201612112*" /stext=" 20:.+((SYSTEM_STATE.+slice.+state.+changed )|(ment ac)|(multiple cpu faults)|(system.+state.+changed )|(\[timeout)|(PRM\|1\|D)|(kpr)|(kdp)|(\|lc)|(penalty))" /e /r /s</v>
      </c>
      <c r="U11" s="9" t="str">
        <f t="shared" si="2"/>
        <v>4032</v>
      </c>
      <c r="V11" s="36">
        <f t="shared" si="3"/>
        <v>42715.843090277776</v>
      </c>
      <c r="W11" s="50" t="str">
        <f t="shared" si="4"/>
        <v>EC</v>
      </c>
      <c r="X11" s="50" t="str">
        <f t="shared" si="5"/>
        <v>KEEP</v>
      </c>
      <c r="Y11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{"issue":{"subject":"","project_id":79,"tracker_id":40,"status_id":1,"priority_id":2,"assigned_to_id":23,"start_date":"2016-12-11","description":"","custom_fields":[{"id":1,"name":"Subdivision","value":"EC"},{"id":4,"name":"Milepost","value":"22.8668"},{"id":17,"name":"Train ID","value":"170-11"},{"id":16,"name":"Locomotive ID","value":"4032"},{"id":130,"name":"Impact","value":""},{"id":150,"name":"Time of Event (Mountain Time)","value":"13:14:03"},{"id":151,"name":"Denver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1" s="53"/>
      <c r="AA11" s="53"/>
      <c r="AB11" s="53"/>
      <c r="AC11" s="138" t="str">
        <f t="shared" si="7"/>
        <v>grep -hSE -A100 "Enforcement Action" "%USERPROFILE%\AppData\Local\Temp\OnboardLogs"\RTDC4032\*4032*201612112* | grep -SE "((Enforcement Ac)|(PRM))" -</v>
      </c>
      <c r="AD11" s="1" t="str">
        <f>"grep -hSE ""Enforcement Action"" "&amp;search_path&amp;"\RTDC"&amp;U11&amp;"\*"&amp;U11&amp;"*"&amp;TEXT(A11-utc_offset/24,"YYYYMMDD")&amp;LEFT(TEXT(A11-utc_offset/24,"HH"),1)&amp;"* &gt;&gt; "&amp;Variables!$A$2&amp;"-slicedisagreementcheck.txt"</f>
        <v>grep -hSE "Enforcement Action" "%USERPROFILE%\AppData\Local\Temp\OnboardLogs"\RTDC4032\*4032*201612112* &gt;&gt; 42715-slicedisagreementcheck.txt</v>
      </c>
    </row>
    <row r="12" spans="1:30" s="1" customFormat="1" x14ac:dyDescent="0.25">
      <c r="A12" s="36">
        <v>42716.050393518519</v>
      </c>
      <c r="B12" s="31" t="s">
        <v>240</v>
      </c>
      <c r="C12" s="31" t="s">
        <v>485</v>
      </c>
      <c r="D12" s="31" t="s">
        <v>49</v>
      </c>
      <c r="E12" s="31" t="s">
        <v>199</v>
      </c>
      <c r="F12" s="47">
        <v>0</v>
      </c>
      <c r="G12" s="47">
        <v>772</v>
      </c>
      <c r="H12" s="47">
        <v>135373</v>
      </c>
      <c r="I12" s="47">
        <v>131596</v>
      </c>
      <c r="J12" s="31" t="s">
        <v>200</v>
      </c>
      <c r="K12" s="47">
        <v>133166</v>
      </c>
      <c r="L12" s="154" t="s">
        <v>51</v>
      </c>
      <c r="M12" s="155">
        <f t="shared" si="0"/>
        <v>-828.96</v>
      </c>
      <c r="N12" s="156" t="str">
        <f>VLOOKUP(C12,'Trips&amp;Operators'!$C$1:$G$99999,5,FALSE)</f>
        <v>NEWELL JAMES</v>
      </c>
      <c r="O12" s="182" t="s">
        <v>230</v>
      </c>
      <c r="P12" s="157" t="s">
        <v>849</v>
      </c>
      <c r="Q12" s="31"/>
      <c r="R12" s="100" t="str">
        <f>VLOOKUP(C12,'Train Runs'!$A$13:$AE$9971,31,0)</f>
        <v>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 &amp; 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</v>
      </c>
      <c r="S12" s="103" t="str">
        <f>VLOOKUP(C12,'Train Runs'!$A$13:$AE$9971,22,0)</f>
        <v>https://search-rtdc-monitor-bjffxe2xuh6vdkpspy63sjmuny.us-east-1.es.amazonaws.com/_plugin/kibana/#/discover/Steve-Slow-Train-Analysis-(2080s-and-2083s)?_g=(refreshInterval:(display:Off,section:0,value:0),time:(from:'2016-12-11 23:41:51-700',mode:absolute,to:'2016-12-12 02:39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12" s="105" t="str">
        <f t="shared" si="1"/>
        <v>"C:\Program Files (x86)\AstroGrep\AstroGrep.exe" /spath="%USERPROFILE%\AppData\Local\Temp\OnboardLogs" /stypes="*4041*201612120*" /stext=" 08:.+((SYSTEM_STATE.+slice.+state.+changed )|(ment ac)|(multiple cpu faults)|(system.+state.+changed )|(\[timeout)|(PRM\|1\|D)|(kpr)|(kdp)|(\|lc)|(penalty))" /e /r /s</v>
      </c>
      <c r="U12" s="9" t="str">
        <f t="shared" si="2"/>
        <v>4041</v>
      </c>
      <c r="V12" s="36">
        <f t="shared" si="3"/>
        <v>42716.342060185183</v>
      </c>
      <c r="W12" s="50" t="str">
        <f t="shared" si="4"/>
        <v>EC</v>
      </c>
      <c r="X12" s="50" t="str">
        <f t="shared" si="5"/>
        <v>KEEP</v>
      </c>
      <c r="Y12" s="119" t="str">
        <f t="shared" si="6"/>
        <v>echo {"issue":{"subject":"EC1332RH went offline 40 sec","project_id":79,"tracker_id":40,"status_id":1,"priority_id":2,"assigned_to_id":23,"start_date":"2016-12-12","description":"From 01:11:57 - 01:12:36, EC1332RH seems to be offline. Do logs tell us anything of note?","custom_fields":[{"id":1,"name":"Subdivision","value":"EC"},{"id":4,"name":"Milepost","value":"13.3166"},{"id":17,"name":"Train ID","value":"242-11"},{"id":16,"name":"Locomotive ID","value":"4041"},{"id":130,"name":"Impact","value":"Enforcement"},{"id":150,"name":"Time of Event (Mountain Time)","value":"01:12:34"},{"id":151,"name":"Denver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2" s="53" t="s">
        <v>850</v>
      </c>
      <c r="AA12" s="53" t="s">
        <v>125</v>
      </c>
      <c r="AB12" s="53" t="s">
        <v>130</v>
      </c>
      <c r="AC12" s="138" t="str">
        <f t="shared" si="7"/>
        <v>grep -hSE -A100 "Enforcement Action" "%USERPROFILE%\AppData\Local\Temp\OnboardLogs"\RTDC4041\*4041*201612120* | grep -SE "((Enforcement Ac)|(PRM))" -</v>
      </c>
      <c r="AD12" s="1" t="str">
        <f>"grep -hSE ""Enforcement Action"" "&amp;search_path&amp;"\RTDC"&amp;U12&amp;"\*"&amp;U12&amp;"*"&amp;TEXT(A12-utc_offset/24,"YYYYMMDD")&amp;LEFT(TEXT(A12-utc_offset/24,"HH"),1)&amp;"* &gt;&gt; "&amp;Variables!$A$2&amp;"-slicedisagreementcheck.txt"</f>
        <v>grep -hSE "Enforcement Action" "%USERPROFILE%\AppData\Local\Temp\OnboardLogs"\RTDC4041\*4041*201612120* &gt;&gt; 42715-slicedisagreementcheck.txt</v>
      </c>
    </row>
    <row r="13" spans="1:30" s="1" customFormat="1" x14ac:dyDescent="0.25">
      <c r="A13" s="36">
        <v>42715.632233796299</v>
      </c>
      <c r="B13" s="31" t="s">
        <v>239</v>
      </c>
      <c r="C13" s="31" t="s">
        <v>468</v>
      </c>
      <c r="D13" s="31" t="s">
        <v>49</v>
      </c>
      <c r="E13" s="31" t="s">
        <v>199</v>
      </c>
      <c r="F13" s="47">
        <v>0</v>
      </c>
      <c r="G13" s="47">
        <v>537</v>
      </c>
      <c r="H13" s="47">
        <v>140885</v>
      </c>
      <c r="I13" s="47">
        <v>142722</v>
      </c>
      <c r="J13" s="31" t="s">
        <v>200</v>
      </c>
      <c r="K13" s="47">
        <v>144300</v>
      </c>
      <c r="L13" s="154" t="s">
        <v>50</v>
      </c>
      <c r="M13" s="155">
        <f t="shared" si="0"/>
        <v>833.18399999999997</v>
      </c>
      <c r="N13" s="156" t="str">
        <f>VLOOKUP(C13,'Trips&amp;Operators'!$C$1:$G$99999,5,FALSE)</f>
        <v>BARTLETT KIANDRA</v>
      </c>
      <c r="O13" s="182" t="s">
        <v>230</v>
      </c>
      <c r="P13" s="157" t="s">
        <v>847</v>
      </c>
      <c r="Q13" s="31"/>
      <c r="R13" s="100" t="str">
        <f>VLOOKUP(C13,'Train Runs'!$A$13:$AE$9971,31,0)</f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S13" s="103" t="str">
        <f>VLOOKUP(C13,'Train Runs'!$A$13:$AE$9971,22,0)</f>
        <v>https://search-rtdc-monitor-bjffxe2xuh6vdkpspy63sjmuny.us-east-1.es.amazonaws.com/_plugin/kibana/#/discover/Steve-Slow-Train-Analysis-(2080s-and-2083s)?_g=(refreshInterval:(display:Off,section:0,value:0),time:(from:'2016-12-11 13:41:01-700',mode:absolute,to:'2016-12-11 16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13" s="105" t="str">
        <f t="shared" si="1"/>
        <v>"C:\Program Files (x86)\AstroGrep\AstroGrep.exe" /spath="%USERPROFILE%\AppData\Local\Temp\OnboardLogs" /stypes="*4042*201612112*" /stext=" 22:.+((SYSTEM_STATE.+slice.+state.+changed )|(ment ac)|(multiple cpu faults)|(system.+state.+changed )|(\[timeout)|(PRM\|1\|D)|(kpr)|(kdp)|(\|lc)|(penalty))" /e /r /s</v>
      </c>
      <c r="U13" s="9" t="str">
        <f t="shared" si="2"/>
        <v>4042</v>
      </c>
      <c r="V13" s="36">
        <f t="shared" si="3"/>
        <v>42715.923900462964</v>
      </c>
      <c r="W13" s="50" t="str">
        <f t="shared" si="4"/>
        <v>EC</v>
      </c>
      <c r="X13" s="50" t="str">
        <f t="shared" si="5"/>
        <v>KEEP</v>
      </c>
      <c r="Y13" s="119" t="str">
        <f t="shared" si="6"/>
        <v>echo {"issue":{"subject":"EC1443RH went offline 39 sec","project_id":79,"tracker_id":40,"status_id":1,"priority_id":2,"assigned_to_id":23,"start_date":"2016-12-11","description":"From 15:09:40 - 15:10:19, EC1443RH seems to be offline. Do logs tell us anything of note?","custom_fields":[{"id":1,"name":"Subdivision","value":"EC"},{"id":4,"name":"Milepost","value":"14.43"},{"id":17,"name":"Train ID","value":"189-11"},{"id":16,"name":"Locomotive ID","value":"4042"},{"id":130,"name":"Impact","value":"Enforcement"},{"id":150,"name":"Time of Event (Mountain Time)","value":"15:10:25"},{"id":151,"name":"Denver Issue ID","value":""},{"id":178,"name":"Operational Impact","value":"Yes"},{"id":179,"name":"Denver Segment Assigned","value":"Signal"}]}} | curl -X POST -H "Content-Type: application/json" -H "X-Redmine-API-Key: d6333d4a04012a730768444271f8ca06482dae87" https://secure.xorail.net/redmine/issues.json --data @-</v>
      </c>
      <c r="Z13" s="53" t="s">
        <v>848</v>
      </c>
      <c r="AA13" s="53" t="s">
        <v>125</v>
      </c>
      <c r="AB13" s="53" t="s">
        <v>130</v>
      </c>
      <c r="AC13" s="138" t="str">
        <f t="shared" si="7"/>
        <v>grep -hSE -A100 "Enforcement Action" "%USERPROFILE%\AppData\Local\Temp\OnboardLogs"\RTDC4042\*4042*201612112* | grep -SE "((Enforcement Ac)|(PRM))" -</v>
      </c>
      <c r="AD13" s="1" t="str">
        <f>"grep -hSE ""Enforcement Action"" "&amp;search_path&amp;"\RTDC"&amp;U13&amp;"\*"&amp;U13&amp;"*"&amp;TEXT(A13-utc_offset/24,"YYYYMMDD")&amp;LEFT(TEXT(A13-utc_offset/24,"HH"),1)&amp;"* &gt;&gt; "&amp;Variables!$A$2&amp;"-slicedisagreementcheck.txt"</f>
        <v>grep -hSE "Enforcement Action" "%USERPROFILE%\AppData\Local\Temp\OnboardLogs"\RTDC4042\*4042*201612112* &gt;&gt; 42715-slicedisagreementcheck.txt</v>
      </c>
    </row>
    <row r="14" spans="1:30" s="1" customFormat="1" x14ac:dyDescent="0.25">
      <c r="A14" s="36">
        <v>42715.273032407407</v>
      </c>
      <c r="B14" s="31" t="s">
        <v>272</v>
      </c>
      <c r="C14" s="31" t="s">
        <v>449</v>
      </c>
      <c r="D14" s="31" t="s">
        <v>49</v>
      </c>
      <c r="E14" s="31" t="s">
        <v>199</v>
      </c>
      <c r="F14" s="47">
        <v>0</v>
      </c>
      <c r="G14" s="47">
        <v>178</v>
      </c>
      <c r="H14" s="47">
        <v>193358</v>
      </c>
      <c r="I14" s="47">
        <v>192947</v>
      </c>
      <c r="J14" s="31" t="s">
        <v>200</v>
      </c>
      <c r="K14" s="47">
        <v>191723</v>
      </c>
      <c r="L14" s="154" t="s">
        <v>51</v>
      </c>
      <c r="M14" s="155">
        <f t="shared" si="0"/>
        <v>646.27200000000005</v>
      </c>
      <c r="N14" s="156" t="str">
        <f>VLOOKUP(C14,'Trips&amp;Operators'!$C$1:$G$99999,5,FALSE)</f>
        <v>YORK EDGAR</v>
      </c>
      <c r="O14" s="182" t="s">
        <v>196</v>
      </c>
      <c r="P14" s="157" t="s">
        <v>843</v>
      </c>
      <c r="Q14" s="31"/>
      <c r="R14" s="100" t="str">
        <f>VLOOKUP(C14,'Train Runs'!$A$13:$AE$9971,31,0)</f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S14" s="103" t="str">
        <f>VLOOKUP(C14,'Train Runs'!$A$13:$AE$9971,22,0)</f>
        <v>https://search-rtdc-monitor-bjffxe2xuh6vdkpspy63sjmuny.us-east-1.es.amazonaws.com/_plugin/kibana/#/discover/Steve-Slow-Train-Analysis-(2080s-and-2083s)?_g=(refreshInterval:(display:Off,section:0,value:0),time:(from:'2016-12-11 05:08:20-700',mode:absolute,to:'2016-12-11 08:06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4" s="105" t="str">
        <f t="shared" si="1"/>
        <v>"C:\Program Files (x86)\AstroGrep\AstroGrep.exe" /spath="%USERPROFILE%\AppData\Local\Temp\OnboardLogs" /stypes="*4043*201612111*" /stext=" 13:.+((SYSTEM_STATE.+slice.+state.+changed )|(ment ac)|(multiple cpu faults)|(system.+state.+changed )|(\[timeout)|(PRM\|1\|D)|(kpr)|(kdp)|(\|lc)|(penalty))" /e /r /s</v>
      </c>
      <c r="U14" s="9" t="str">
        <f t="shared" si="2"/>
        <v>4043</v>
      </c>
      <c r="V14" s="36">
        <f t="shared" si="3"/>
        <v>42715.564699074072</v>
      </c>
      <c r="W14" s="50" t="str">
        <f t="shared" si="4"/>
        <v>EC</v>
      </c>
      <c r="X14" s="50" t="str">
        <f t="shared" si="5"/>
        <v>KEEP</v>
      </c>
      <c r="Y14" s="119" t="str">
        <f t="shared" si="6"/>
        <v>echo {"issue":{"subject":"Pena 4S STOP","project_id":79,"tracker_id":40,"status_id":1,"priority_id":2,"assigned_to_id":23,"start_date":"2016-12-11","description":"","custom_fields":[{"id":1,"name":"Subdivision","value":"EC"},{"id":4,"name":"Milepost","value":"19.1723"},{"id":17,"name":"Train ID","value":"116-11"},{"id":16,"name":"Locomotive ID","value":"4043"},{"id":130,"name":"Impact","value":""},{"id":150,"name":"Time of Event (Mountain Time)","value":"06:33:10"},{"id":151,"name":"Denver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4" s="53"/>
      <c r="AA14" s="53"/>
      <c r="AB14" s="53"/>
      <c r="AC14" s="138" t="str">
        <f t="shared" si="7"/>
        <v>grep -hSE -A100 "Enforcement Action" "%USERPROFILE%\AppData\Local\Temp\OnboardLogs"\RTDC4043\*4043*201612111* | grep -SE "((Enforcement Ac)|(PRM))" -</v>
      </c>
      <c r="AD14" s="1" t="str">
        <f>"grep -hSE ""Enforcement Action"" "&amp;search_path&amp;"\RTDC"&amp;U14&amp;"\*"&amp;U14&amp;"*"&amp;TEXT(A14-utc_offset/24,"YYYYMMDD")&amp;LEFT(TEXT(A14-utc_offset/24,"HH"),1)&amp;"* &gt;&gt; "&amp;Variables!$A$2&amp;"-slicedisagreementcheck.txt"</f>
        <v>grep -hSE "Enforcement Action" "%USERPROFILE%\AppData\Local\Temp\OnboardLogs"\RTDC4043\*4043*201612111* &gt;&gt; 42715-slicedisagreementcheck.txt</v>
      </c>
    </row>
    <row r="15" spans="1:30" s="1" customFormat="1" x14ac:dyDescent="0.25">
      <c r="A15" s="36">
        <v>42715.303449074076</v>
      </c>
      <c r="B15" s="31" t="s">
        <v>282</v>
      </c>
      <c r="C15" s="31" t="s">
        <v>451</v>
      </c>
      <c r="D15" s="31" t="s">
        <v>49</v>
      </c>
      <c r="E15" s="31" t="s">
        <v>199</v>
      </c>
      <c r="F15" s="47">
        <v>0</v>
      </c>
      <c r="G15" s="47">
        <v>225</v>
      </c>
      <c r="H15" s="47">
        <v>192918</v>
      </c>
      <c r="I15" s="47">
        <v>192406</v>
      </c>
      <c r="J15" s="31" t="s">
        <v>200</v>
      </c>
      <c r="K15" s="47">
        <v>191723</v>
      </c>
      <c r="L15" s="154" t="s">
        <v>51</v>
      </c>
      <c r="M15" s="155">
        <f t="shared" si="0"/>
        <v>360.62400000000002</v>
      </c>
      <c r="N15" s="156" t="str">
        <f>VLOOKUP(C15,'Trips&amp;Operators'!$C$1:$G$99999,5,FALSE)</f>
        <v>DAVIS WENDY</v>
      </c>
      <c r="O15" s="182" t="s">
        <v>196</v>
      </c>
      <c r="P15" s="157" t="s">
        <v>843</v>
      </c>
      <c r="Q15" s="31"/>
      <c r="R15" s="100" t="str">
        <f>VLOOKUP(C15,'Train Runs'!$A$13:$AE$9971,31,0)</f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S15" s="103" t="str">
        <f>VLOOKUP(C15,'Train Runs'!$A$13:$AE$9971,22,0)</f>
        <v>https://search-rtdc-monitor-bjffxe2xuh6vdkpspy63sjmuny.us-east-1.es.amazonaws.com/_plugin/kibana/#/discover/Steve-Slow-Train-Analysis-(2080s-and-2083s)?_g=(refreshInterval:(display:Off,section:0,value:0),time:(from:'2016-12-11 06:08:48-700',mode:absolute,to:'2016-12-11 08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15" s="105" t="str">
        <f t="shared" si="1"/>
        <v>"C:\Program Files (x86)\AstroGrep\AstroGrep.exe" /spath="%USERPROFILE%\AppData\Local\Temp\OnboardLogs" /stypes="*4017*201612111*" /stext=" 14:.+((SYSTEM_STATE.+slice.+state.+changed )|(ment ac)|(multiple cpu faults)|(system.+state.+changed )|(\[timeout)|(PRM\|1\|D)|(kpr)|(kdp)|(\|lc)|(penalty))" /e /r /s</v>
      </c>
      <c r="U15" s="9" t="str">
        <f t="shared" si="2"/>
        <v>4017</v>
      </c>
      <c r="V15" s="36">
        <f t="shared" si="3"/>
        <v>42715.59511574074</v>
      </c>
      <c r="W15" s="50" t="str">
        <f t="shared" si="4"/>
        <v>EC</v>
      </c>
      <c r="X15" s="50" t="str">
        <f t="shared" si="5"/>
        <v>KEEP</v>
      </c>
      <c r="Y15" s="119" t="str">
        <f t="shared" si="6"/>
        <v>echo {"issue":{"subject":"Pena 4S STOP","project_id":79,"tracker_id":40,"status_id":1,"priority_id":2,"assigned_to_id":23,"start_date":"2016-12-11","description":"","custom_fields":[{"id":1,"name":"Subdivision","value":"EC"},{"id":4,"name":"Milepost","value":"19.1723"},{"id":17,"name":"Train ID","value":"122-11"},{"id":16,"name":"Locomotive ID","value":"4017"},{"id":130,"name":"Impact","value":""},{"id":150,"name":"Time of Event (Mountain Time)","value":"07:16:58"},{"id":151,"name":"Denver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5" s="53"/>
      <c r="AA15" s="53"/>
      <c r="AB15" s="53"/>
      <c r="AC15" s="138" t="str">
        <f t="shared" si="7"/>
        <v>grep -hSE -A100 "Enforcement Action" "%USERPROFILE%\AppData\Local\Temp\OnboardLogs"\RTDC4017\*4017*201612111* | grep -SE "((Enforcement Ac)|(PRM))" -</v>
      </c>
      <c r="AD15" s="1" t="str">
        <f>"grep -hSE ""Enforcement Action"" "&amp;search_path&amp;"\RTDC"&amp;U15&amp;"\*"&amp;U15&amp;"*"&amp;TEXT(A15-utc_offset/24,"YYYYMMDD")&amp;LEFT(TEXT(A15-utc_offset/24,"HH"),1)&amp;"* &gt;&gt; "&amp;Variables!$A$2&amp;"-slicedisagreementcheck.txt"</f>
        <v>grep -hSE "Enforcement Action" "%USERPROFILE%\AppData\Local\Temp\OnboardLogs"\RTDC4017\*4017*201612111* &gt;&gt; 42715-slicedisagreementcheck.txt</v>
      </c>
    </row>
    <row r="16" spans="1:30" s="1" customFormat="1" x14ac:dyDescent="0.25">
      <c r="A16" s="36">
        <v>42715.345416666663</v>
      </c>
      <c r="B16" s="31" t="s">
        <v>272</v>
      </c>
      <c r="C16" s="31" t="s">
        <v>453</v>
      </c>
      <c r="D16" s="31" t="s">
        <v>49</v>
      </c>
      <c r="E16" s="31" t="s">
        <v>199</v>
      </c>
      <c r="F16" s="47">
        <v>0</v>
      </c>
      <c r="G16" s="47">
        <v>438</v>
      </c>
      <c r="H16" s="47">
        <v>193790</v>
      </c>
      <c r="I16" s="47">
        <v>192344</v>
      </c>
      <c r="J16" s="31" t="s">
        <v>200</v>
      </c>
      <c r="K16" s="47">
        <v>191723</v>
      </c>
      <c r="L16" s="154" t="s">
        <v>51</v>
      </c>
      <c r="M16" s="155">
        <f t="shared" si="0"/>
        <v>327.88799999999998</v>
      </c>
      <c r="N16" s="156" t="str">
        <f>VLOOKUP(C16,'Trips&amp;Operators'!$C$1:$G$99999,5,FALSE)</f>
        <v>YORK EDGAR</v>
      </c>
      <c r="O16" s="182" t="s">
        <v>196</v>
      </c>
      <c r="P16" s="157" t="s">
        <v>843</v>
      </c>
      <c r="Q16" s="31"/>
      <c r="R16" s="100" t="str">
        <f>VLOOKUP(C16,'Train Runs'!$A$13:$AE$9971,31,0)</f>
        <v>aws s3 cp s3://rtdc.mdm.uploadarchive.raw/RTDC4043/ "%USERPROFILE%\AppData\Local\Temp\OnboardLogs"\RTDC4043\2016-12-11 --exclude "*" --recursive --include "*20161211*" &amp; "%USERPROFILE%\Documents\GitHub\mrs-test-scripts\Headless Mode &amp; Sideloading\WalkAndUnGZ.bat" "%USERPROFILE%\AppData\Local\Temp\OnboardLogs"\RTDC4043\2016-12-11 &amp; aws s3 cp s3://rtdc.mdm.uploadarchive.raw/RTDC4043/ "%USERPROFILE%\AppData\Local\Temp\OnboardLogs"\RTDC4043\2016-12-12 --exclude "*" --recursive --include "*20161212*" &amp; "%USERPROFILE%\Documents\GitHub\mrs-test-scripts\Headless Mode &amp; Sideloading\WalkAndUnGZ.bat" "%USERPROFILE%\AppData\Local\Temp\OnboardLogs"\RTDC4043\2016-12-12</v>
      </c>
      <c r="S16" s="103" t="str">
        <f>VLOOKUP(C16,'Train Runs'!$A$13:$AE$9971,22,0)</f>
        <v>https://search-rtdc-monitor-bjffxe2xuh6vdkpspy63sjmuny.us-east-1.es.amazonaws.com/_plugin/kibana/#/discover/Steve-Slow-Train-Analysis-(2080s-and-2083s)?_g=(refreshInterval:(display:Off,section:0,value:0),time:(from:'2016-12-11 06:52:02-700',mode:absolute,to:'2016-12-11 09:50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4043%22')),sort:!(Time,asc))</v>
      </c>
      <c r="T16" s="105" t="str">
        <f t="shared" si="1"/>
        <v>"C:\Program Files (x86)\AstroGrep\AstroGrep.exe" /spath="%USERPROFILE%\AppData\Local\Temp\OnboardLogs" /stypes="*4043*201612111*" /stext=" 15:.+((SYSTEM_STATE.+slice.+state.+changed )|(ment ac)|(multiple cpu faults)|(system.+state.+changed )|(\[timeout)|(PRM\|1\|D)|(kpr)|(kdp)|(\|lc)|(penalty))" /e /r /s</v>
      </c>
      <c r="U16" s="9" t="str">
        <f t="shared" si="2"/>
        <v>4043</v>
      </c>
      <c r="V16" s="36">
        <f t="shared" si="3"/>
        <v>42715.637083333328</v>
      </c>
      <c r="W16" s="50" t="str">
        <f t="shared" si="4"/>
        <v>EC</v>
      </c>
      <c r="X16" s="50" t="str">
        <f t="shared" si="5"/>
        <v>KEEP</v>
      </c>
      <c r="Y16" s="119" t="str">
        <f t="shared" si="6"/>
        <v>echo {"issue":{"subject":"Pena 4S STOP","project_id":79,"tracker_id":40,"status_id":1,"priority_id":2,"assigned_to_id":23,"start_date":"2016-12-11","description":"","custom_fields":[{"id":1,"name":"Subdivision","value":"EC"},{"id":4,"name":"Milepost","value":"19.1723"},{"id":17,"name":"Train ID","value":"130-11"},{"id":16,"name":"Locomotive ID","value":"4043"},{"id":130,"name":"Impact","value":""},{"id":150,"name":"Time of Event (Mountain Time)","value":"08:17:24"},{"id":151,"name":"Denver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6" s="53"/>
      <c r="AA16" s="53"/>
      <c r="AB16" s="53"/>
      <c r="AC16" s="138" t="str">
        <f t="shared" si="7"/>
        <v>grep -hSE -A100 "Enforcement Action" "%USERPROFILE%\AppData\Local\Temp\OnboardLogs"\RTDC4043\*4043*201612111* | grep -SE "((Enforcement Ac)|(PRM))" -</v>
      </c>
      <c r="AD16" s="1" t="str">
        <f>"grep -hSE ""Enforcement Action"" "&amp;search_path&amp;"\RTDC"&amp;U16&amp;"\*"&amp;U16&amp;"*"&amp;TEXT(A16-utc_offset/24,"YYYYMMDD")&amp;LEFT(TEXT(A16-utc_offset/24,"HH"),1)&amp;"* &gt;&gt; "&amp;Variables!$A$2&amp;"-slicedisagreementcheck.txt"</f>
        <v>grep -hSE "Enforcement Action" "%USERPROFILE%\AppData\Local\Temp\OnboardLogs"\RTDC4043\*4043*201612111* &gt;&gt; 42715-slicedisagreementcheck.txt</v>
      </c>
    </row>
    <row r="17" spans="1:30" s="1" customFormat="1" x14ac:dyDescent="0.25">
      <c r="A17" s="36">
        <v>42715.479907407411</v>
      </c>
      <c r="B17" s="31" t="s">
        <v>246</v>
      </c>
      <c r="C17" s="31" t="s">
        <v>460</v>
      </c>
      <c r="D17" s="31" t="s">
        <v>49</v>
      </c>
      <c r="E17" s="31" t="s">
        <v>199</v>
      </c>
      <c r="F17" s="47">
        <v>0</v>
      </c>
      <c r="G17" s="47">
        <v>518</v>
      </c>
      <c r="H17" s="47">
        <v>194654</v>
      </c>
      <c r="I17" s="47">
        <v>193136</v>
      </c>
      <c r="J17" s="31" t="s">
        <v>200</v>
      </c>
      <c r="K17" s="47">
        <v>191723</v>
      </c>
      <c r="L17" s="154" t="s">
        <v>51</v>
      </c>
      <c r="M17" s="155">
        <f t="shared" si="0"/>
        <v>746.06399999999996</v>
      </c>
      <c r="N17" s="156" t="str">
        <f>VLOOKUP(C17,'Trips&amp;Operators'!$C$1:$G$99999,5,FALSE)</f>
        <v>BROWN JACOB</v>
      </c>
      <c r="O17" s="182" t="s">
        <v>196</v>
      </c>
      <c r="P17" s="157" t="s">
        <v>843</v>
      </c>
      <c r="Q17" s="31"/>
      <c r="R17" s="100" t="str">
        <f>VLOOKUP(C17,'Train Runs'!$A$13:$AE$9971,31,0)</f>
        <v>aws s3 cp s3://rtdc.mdm.uploadarchive.raw/RTDC4032/ "%USERPROFILE%\AppData\Local\Temp\OnboardLogs"\RTDC4032\2016-12-11 --exclude "*" --recursive --include "*20161211*" &amp; "%USERPROFILE%\Documents\GitHub\mrs-test-scripts\Headless Mode &amp; Sideloading\WalkAndUnGZ.bat" "%USERPROFILE%\AppData\Local\Temp\OnboardLogs"\RTDC4032\2016-12-11 &amp; aws s3 cp s3://rtdc.mdm.uploadarchive.raw/RTDC4032/ "%USERPROFILE%\AppData\Local\Temp\OnboardLogs"\RTDC4032\2016-12-12 --exclude "*" --recursive --include "*20161212*" &amp; "%USERPROFILE%\Documents\GitHub\mrs-test-scripts\Headless Mode &amp; Sideloading\WalkAndUnGZ.bat" "%USERPROFILE%\AppData\Local\Temp\OnboardLogs"\RTDC4032\2016-12-12</v>
      </c>
      <c r="S17" s="103" t="str">
        <f>VLOOKUP(C17,'Train Runs'!$A$13:$AE$9971,22,0)</f>
        <v>https://search-rtdc-monitor-bjffxe2xuh6vdkpspy63sjmuny.us-east-1.es.amazonaws.com/_plugin/kibana/#/discover/Steve-Slow-Train-Analysis-(2080s-and-2083s)?_g=(refreshInterval:(display:Off,section:0,value:0),time:(from:'2016-12-11 10:16:38-700',mode:absolute,to:'2016-12-11 13:06:00-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4032%22')),sort:!(Time,asc))</v>
      </c>
      <c r="T17" s="105" t="str">
        <f t="shared" si="1"/>
        <v>"C:\Program Files (x86)\AstroGrep\AstroGrep.exe" /spath="%USERPROFILE%\AppData\Local\Temp\OnboardLogs" /stypes="*4032*201612111*" /stext=" 18:.+((SYSTEM_STATE.+slice.+state.+changed )|(ment ac)|(multiple cpu faults)|(system.+state.+changed )|(\[timeout)|(PRM\|1\|D)|(kpr)|(kdp)|(\|lc)|(penalty))" /e /r /s</v>
      </c>
      <c r="U17" s="9" t="str">
        <f t="shared" si="2"/>
        <v>4032</v>
      </c>
      <c r="V17" s="36">
        <f t="shared" si="3"/>
        <v>42715.771574074075</v>
      </c>
      <c r="W17" s="50" t="str">
        <f t="shared" si="4"/>
        <v>EC</v>
      </c>
      <c r="X17" s="50" t="str">
        <f t="shared" si="5"/>
        <v>KEEP</v>
      </c>
      <c r="Y17" s="119" t="str">
        <f t="shared" si="6"/>
        <v>echo {"issue":{"subject":"Pena 4S STOP","project_id":79,"tracker_id":40,"status_id":1,"priority_id":2,"assigned_to_id":23,"start_date":"2016-12-11","description":"","custom_fields":[{"id":1,"name":"Subdivision","value":"EC"},{"id":4,"name":"Milepost","value":"19.1723"},{"id":17,"name":"Train ID","value":"156-11"},{"id":16,"name":"Locomotive ID","value":"4032"},{"id":130,"name":"Impact","value":""},{"id":150,"name":"Time of Event (Mountain Time)","value":"11:31:04"},{"id":151,"name":"Denver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7" s="53"/>
      <c r="AA17" s="53"/>
      <c r="AB17" s="53"/>
      <c r="AC17" s="138" t="str">
        <f t="shared" si="7"/>
        <v>grep -hSE -A100 "Enforcement Action" "%USERPROFILE%\AppData\Local\Temp\OnboardLogs"\RTDC4032\*4032*201612111* | grep -SE "((Enforcement Ac)|(PRM))" -</v>
      </c>
      <c r="AD17" s="1" t="str">
        <f>"grep -hSE ""Enforcement Action"" "&amp;search_path&amp;"\RTDC"&amp;U17&amp;"\*"&amp;U17&amp;"*"&amp;TEXT(A17-utc_offset/24,"YYYYMMDD")&amp;LEFT(TEXT(A17-utc_offset/24,"HH"),1)&amp;"* &gt;&gt; "&amp;Variables!$A$2&amp;"-slicedisagreementcheck.txt"</f>
        <v>grep -hSE "Enforcement Action" "%USERPROFILE%\AppData\Local\Temp\OnboardLogs"\RTDC4032\*4032*201612111* &gt;&gt; 42715-slicedisagreementcheck.txt</v>
      </c>
    </row>
    <row r="18" spans="1:30" s="1" customFormat="1" x14ac:dyDescent="0.25">
      <c r="A18" s="36">
        <v>42715.640648148146</v>
      </c>
      <c r="B18" s="31" t="s">
        <v>233</v>
      </c>
      <c r="C18" s="31" t="s">
        <v>469</v>
      </c>
      <c r="D18" s="31" t="s">
        <v>49</v>
      </c>
      <c r="E18" s="31" t="s">
        <v>298</v>
      </c>
      <c r="F18" s="47">
        <v>0</v>
      </c>
      <c r="G18" s="47">
        <v>394</v>
      </c>
      <c r="H18" s="47">
        <v>9656</v>
      </c>
      <c r="I18" s="47">
        <v>10586</v>
      </c>
      <c r="J18" s="31" t="s">
        <v>299</v>
      </c>
      <c r="K18" s="47">
        <v>10800</v>
      </c>
      <c r="L18" s="154" t="s">
        <v>50</v>
      </c>
      <c r="M18" s="155">
        <f t="shared" si="0"/>
        <v>112.992</v>
      </c>
      <c r="N18" s="156" t="str">
        <f>VLOOKUP(C18,'Trips&amp;Operators'!$C$1:$G$99999,5,FALSE)</f>
        <v>BROWN JACOB</v>
      </c>
      <c r="O18" s="182" t="s">
        <v>230</v>
      </c>
      <c r="P18" s="157" t="s">
        <v>845</v>
      </c>
      <c r="Q18" s="31"/>
      <c r="R18" s="100" t="str">
        <f>VLOOKUP(C18,'Train Runs'!$A$13:$AE$9971,31,0)</f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S18" s="103" t="str">
        <f>VLOOKUP(C18,'Train Runs'!$A$13:$AE$9971,22,0)</f>
        <v>https://search-rtdc-monitor-bjffxe2xuh6vdkpspy63sjmuny.us-east-1.es.amazonaws.com/_plugin/kibana/#/discover/Steve-Slow-Train-Analysis-(2080s-and-2083s)?_g=(refreshInterval:(display:Off,section:0,value:0),time:(from:'2016-12-11 14:14:51-700',mode:absolute,to:'2016-12-11 16:59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18" s="105" t="str">
        <f t="shared" si="1"/>
        <v>"C:\Program Files (x86)\AstroGrep\AstroGrep.exe" /spath="%USERPROFILE%\AppData\Local\Temp\OnboardLogs" /stypes="*4031*201612112*" /stext=" 22:.+((SYSTEM_STATE.+slice.+state.+changed )|(ment ac)|(multiple cpu faults)|(system.+state.+changed )|(\[timeout)|(PRM\|1\|D)|(kpr)|(kdp)|(\|lc)|(penalty))" /e /r /s</v>
      </c>
      <c r="U18" s="9" t="str">
        <f t="shared" si="2"/>
        <v>4031</v>
      </c>
      <c r="V18" s="36">
        <f t="shared" si="3"/>
        <v>42715.932314814811</v>
      </c>
      <c r="W18" s="50" t="str">
        <f t="shared" si="4"/>
        <v>EC</v>
      </c>
      <c r="X18" s="50" t="str">
        <f t="shared" si="5"/>
        <v>KEEP</v>
      </c>
      <c r="Y18" s="119" t="str">
        <f t="shared" si="6"/>
        <v>echo {"issue":{"subject":"Wi-MAX data drop","project_id":79,"tracker_id":40,"status_id":1,"priority_id":2,"assigned_to_id":23,"start_date":"2016-12-11","description":"http://stevetu21.github.io/eaglep3/load_kml.html?kml=http://rtdc.gmaps-snips.s3.amazonaws.com/0b7ee0b1-fb3a-4dcb-9f5e-d7fe20af3824.kml","custom_fields":[{"id":1,"name":"Subdivision","value":"EC"},{"id":4,"name":"Milepost","value":"1.08"},{"id":17,"name":"Train ID","value":"193-11"},{"id":16,"name":"Locomotive ID","value":"4031"},{"id":130,"name":"Impact","value":"Enforcement"},{"id":150,"name":"Time of Event (Mountain Time)","value":"15:22:32"},{"id":151,"name":"Denver Issue ID","value":""},{"id":178,"name":"Operational Impact","value":"Yes"},{"id":179,"name":"Denver Segment Assigned","value":"Wi-MAX"}]}} | curl -X POST -H "Content-Type: application/json" -H "X-Redmine-API-Key: d6333d4a04012a730768444271f8ca06482dae87" https://secure.xorail.net/redmine/issues.json --data @-</v>
      </c>
      <c r="Z18" s="183" t="s">
        <v>846</v>
      </c>
      <c r="AA18" s="53" t="s">
        <v>125</v>
      </c>
      <c r="AB18" s="53" t="s">
        <v>138</v>
      </c>
      <c r="AC18" s="138" t="str">
        <f t="shared" si="7"/>
        <v>grep -hSE -A100 "Enforcement Action" "%USERPROFILE%\AppData\Local\Temp\OnboardLogs"\RTDC4031\*4031*201612112* | grep -SE "((Enforcement Ac)|(PRM))" -</v>
      </c>
      <c r="AD18" s="1" t="str">
        <f>"grep -hSE ""Enforcement Action"" "&amp;search_path&amp;"\RTDC"&amp;U18&amp;"\*"&amp;U18&amp;"*"&amp;TEXT(A18-utc_offset/24,"YYYYMMDD")&amp;LEFT(TEXT(A18-utc_offset/24,"HH"),1)&amp;"* &gt;&gt; "&amp;Variables!$A$2&amp;"-slicedisagreementcheck.txt"</f>
        <v>grep -hSE "Enforcement Action" "%USERPROFILE%\AppData\Local\Temp\OnboardLogs"\RTDC4031\*4031*201612112* &gt;&gt; 42715-slicedisagreementcheck.txt</v>
      </c>
    </row>
    <row r="19" spans="1:30" s="1" customFormat="1" x14ac:dyDescent="0.25">
      <c r="A19" s="36">
        <v>42715.481932870367</v>
      </c>
      <c r="B19" s="31" t="s">
        <v>268</v>
      </c>
      <c r="C19" s="31" t="s">
        <v>461</v>
      </c>
      <c r="D19" s="31" t="s">
        <v>49</v>
      </c>
      <c r="E19" s="31" t="s">
        <v>301</v>
      </c>
      <c r="F19" s="47">
        <v>100</v>
      </c>
      <c r="G19" s="47">
        <v>396</v>
      </c>
      <c r="H19" s="47">
        <v>68298</v>
      </c>
      <c r="I19" s="47">
        <v>67260</v>
      </c>
      <c r="J19" s="31" t="s">
        <v>270</v>
      </c>
      <c r="K19" s="47">
        <v>66500</v>
      </c>
      <c r="L19" s="154" t="s">
        <v>51</v>
      </c>
      <c r="M19" s="155">
        <f t="shared" si="0"/>
        <v>401.28</v>
      </c>
      <c r="N19" s="156" t="str">
        <f>VLOOKUP(C19,'Trips&amp;Operators'!$C$1:$G$99999,5,FALSE)</f>
        <v>HAITHCOX MICHAEL</v>
      </c>
      <c r="O19" s="182" t="s">
        <v>196</v>
      </c>
      <c r="P19" s="157"/>
      <c r="Q19" s="31"/>
      <c r="R19" s="100" t="str">
        <f>VLOOKUP(C19,'Train Runs'!$A$13:$AE$9971,31,0)</f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S19" s="103" t="str">
        <f>VLOOKUP(C19,'Train Runs'!$A$13:$AE$9971,22,0)</f>
        <v>https://search-rtdc-monitor-bjffxe2xuh6vdkpspy63sjmuny.us-east-1.es.amazonaws.com/_plugin/kibana/#/discover/Steve-Slow-Train-Analysis-(2080s-and-2083s)?_g=(refreshInterval:(display:Off,section:0,value:0),time:(from:'2016-12-11 10:06:44-700',mode:absolute,to:'2016-12-11 12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19" s="105" t="str">
        <f t="shared" si="1"/>
        <v>"C:\Program Files (x86)\AstroGrep\AstroGrep.exe" /spath="%USERPROFILE%\AppData\Local\Temp\OnboardLogs" /stypes="*4030*201612111*" /stext=" 18:.+((SYSTEM_STATE.+slice.+state.+changed )|(ment ac)|(multiple cpu faults)|(system.+state.+changed )|(\[timeout)|(PRM\|1\|D)|(kpr)|(kdp)|(\|lc)|(penalty))" /e /r /s</v>
      </c>
      <c r="U19" s="9" t="str">
        <f t="shared" si="2"/>
        <v>4030</v>
      </c>
      <c r="V19" s="36">
        <f t="shared" si="3"/>
        <v>42715.773599537031</v>
      </c>
      <c r="W19" s="50" t="str">
        <f t="shared" si="4"/>
        <v>EC</v>
      </c>
      <c r="X19" s="50" t="str">
        <f t="shared" si="5"/>
        <v>KEEP</v>
      </c>
      <c r="Y19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{"issue":{"subject":"","project_id":79,"tracker_id":40,"status_id":1,"priority_id":2,"assigned_to_id":23,"start_date":"2016-12-11","description":"","custom_fields":[{"id":1,"name":"Subdivision","value":"EC"},{"id":4,"name":"Milepost","value":"6.65"},{"id":17,"name":"Train ID","value":"154-11"},{"id":16,"name":"Locomotive ID","value":"4030"},{"id":130,"name":"Impact","value":""},{"id":150,"name":"Time of Event (Mountain Time)","value":"11:33:59"},{"id":151,"name":"Denver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19" s="53"/>
      <c r="AA19" s="53"/>
      <c r="AB19" s="53"/>
      <c r="AC19" s="138" t="str">
        <f t="shared" si="7"/>
        <v>grep -hSE -A100 "Enforcement Action" "%USERPROFILE%\AppData\Local\Temp\OnboardLogs"\RTDC4030\*4030*201612111* | grep -SE "((Enforcement Ac)|(PRM))" -</v>
      </c>
      <c r="AD19" s="1" t="str">
        <f>"grep -hSE ""Enforcement Action"" "&amp;search_path&amp;"\RTDC"&amp;U19&amp;"\*"&amp;U19&amp;"*"&amp;TEXT(A19-utc_offset/24,"YYYYMMDD")&amp;LEFT(TEXT(A19-utc_offset/24,"HH"),1)&amp;"* &gt;&gt; "&amp;Variables!$A$2&amp;"-slicedisagreementcheck.txt"</f>
        <v>grep -hSE "Enforcement Action" "%USERPROFILE%\AppData\Local\Temp\OnboardLogs"\RTDC4030\*4030*201612111* &gt;&gt; 42715-slicedisagreementcheck.txt</v>
      </c>
    </row>
    <row r="20" spans="1:30" s="1" customFormat="1" x14ac:dyDescent="0.25">
      <c r="A20" s="36">
        <v>42716.017800925925</v>
      </c>
      <c r="B20" s="31" t="s">
        <v>268</v>
      </c>
      <c r="C20" s="31" t="s">
        <v>484</v>
      </c>
      <c r="D20" s="31" t="s">
        <v>49</v>
      </c>
      <c r="E20" s="31" t="s">
        <v>301</v>
      </c>
      <c r="F20" s="47">
        <v>100</v>
      </c>
      <c r="G20" s="47">
        <v>175</v>
      </c>
      <c r="H20" s="47">
        <v>66719</v>
      </c>
      <c r="I20" s="47">
        <v>66534</v>
      </c>
      <c r="J20" s="31" t="s">
        <v>270</v>
      </c>
      <c r="K20" s="47">
        <v>66500</v>
      </c>
      <c r="L20" s="154" t="s">
        <v>51</v>
      </c>
      <c r="M20" s="155">
        <f t="shared" si="0"/>
        <v>17.952000000000002</v>
      </c>
      <c r="N20" s="156" t="str">
        <f>VLOOKUP(C20,'Trips&amp;Operators'!$C$1:$G$99999,5,FALSE)</f>
        <v>LEVERE CRAIG</v>
      </c>
      <c r="O20" s="182" t="s">
        <v>196</v>
      </c>
      <c r="P20" s="157"/>
      <c r="Q20" s="31"/>
      <c r="R20" s="100" t="str">
        <f>VLOOKUP(C20,'Train Runs'!$A$13:$AE$9971,31,0)</f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S20" s="103" t="str">
        <f>VLOOKUP(C20,'Train Runs'!$A$13:$AE$9971,22,0)</f>
        <v>https://search-rtdc-monitor-bjffxe2xuh6vdkpspy63sjmuny.us-east-1.es.amazonaws.com/_plugin/kibana/#/discover/Steve-Slow-Train-Analysis-(2080s-and-2083s)?_g=(refreshInterval:(display:Off,section:0,value:0),time:(from:'2016-12-11 22:50:51-700',mode:absolute,to:'2016-12-12 01:44:11-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0" s="105" t="str">
        <f t="shared" si="1"/>
        <v>"C:\Program Files (x86)\AstroGrep\AstroGrep.exe" /spath="%USERPROFILE%\AppData\Local\Temp\OnboardLogs" /stypes="*4030*201612120*" /stext=" 07:.+((SYSTEM_STATE.+slice.+state.+changed )|(ment ac)|(multiple cpu faults)|(system.+state.+changed )|(\[timeout)|(PRM\|1\|D)|(kpr)|(kdp)|(\|lc)|(penalty))" /e /r /s</v>
      </c>
      <c r="U20" s="9" t="str">
        <f t="shared" si="2"/>
        <v>4030</v>
      </c>
      <c r="V20" s="36">
        <f t="shared" si="3"/>
        <v>42716.309467592589</v>
      </c>
      <c r="W20" s="50" t="str">
        <f t="shared" si="4"/>
        <v>EC</v>
      </c>
      <c r="X20" s="50" t="str">
        <f t="shared" si="5"/>
        <v>KEEP</v>
      </c>
      <c r="Y20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{"issue":{"subject":"","project_id":79,"tracker_id":40,"status_id":1,"priority_id":2,"assigned_to_id":23,"start_date":"2016-12-12","description":"","custom_fields":[{"id":1,"name":"Subdivision","value":"EC"},{"id":4,"name":"Milepost","value":"6.65"},{"id":17,"name":"Train ID","value":"238-11"},{"id":16,"name":"Locomotive ID","value":"4030"},{"id":130,"name":"Impact","value":""},{"id":150,"name":"Time of Event (Mountain Time)","value":"00:25:38"},{"id":151,"name":"Denver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0" s="53"/>
      <c r="AA20" s="53"/>
      <c r="AB20" s="53"/>
      <c r="AC20" s="138" t="str">
        <f t="shared" si="7"/>
        <v>grep -hSE -A100 "Enforcement Action" "%USERPROFILE%\AppData\Local\Temp\OnboardLogs"\RTDC4030\*4030*201612120* | grep -SE "((Enforcement Ac)|(PRM))" -</v>
      </c>
      <c r="AD20" s="1" t="str">
        <f>"grep -hSE ""Enforcement Action"" "&amp;search_path&amp;"\RTDC"&amp;U20&amp;"\*"&amp;U20&amp;"*"&amp;TEXT(A20-utc_offset/24,"YYYYMMDD")&amp;LEFT(TEXT(A20-utc_offset/24,"HH"),1)&amp;"* &gt;&gt; "&amp;Variables!$A$2&amp;"-slicedisagreementcheck.txt"</f>
        <v>grep -hSE "Enforcement Action" "%USERPROFILE%\AppData\Local\Temp\OnboardLogs"\RTDC4030\*4030*201612120* &gt;&gt; 42715-slicedisagreementcheck.txt</v>
      </c>
    </row>
    <row r="21" spans="1:30" x14ac:dyDescent="0.25">
      <c r="A21" s="36">
        <v>42716.05773148148</v>
      </c>
      <c r="B21" s="31" t="s">
        <v>240</v>
      </c>
      <c r="C21" s="31" t="s">
        <v>485</v>
      </c>
      <c r="D21" s="31" t="s">
        <v>49</v>
      </c>
      <c r="E21" s="31" t="s">
        <v>301</v>
      </c>
      <c r="F21" s="47">
        <v>100</v>
      </c>
      <c r="G21" s="47">
        <v>532</v>
      </c>
      <c r="H21" s="47">
        <v>69086</v>
      </c>
      <c r="I21" s="47">
        <v>67520</v>
      </c>
      <c r="J21" s="31" t="s">
        <v>270</v>
      </c>
      <c r="K21" s="47">
        <v>66500</v>
      </c>
      <c r="L21" s="154" t="s">
        <v>51</v>
      </c>
      <c r="M21" s="155">
        <f t="shared" si="0"/>
        <v>538.55999999999995</v>
      </c>
      <c r="N21" s="156" t="str">
        <f>VLOOKUP(C21,'Trips&amp;Operators'!$C$1:$G$99999,5,FALSE)</f>
        <v>NEWELL JAMES</v>
      </c>
      <c r="O21" s="182" t="s">
        <v>196</v>
      </c>
      <c r="P21" s="157"/>
      <c r="Q21" s="31"/>
      <c r="R21" s="100" t="str">
        <f>VLOOKUP(C21,'Train Runs'!$A$13:$AE$9971,31,0)</f>
        <v>aws s3 cp s3://rtdc.mdm.uploadarchive.raw/RTDC4041/ "%USERPROFILE%\AppData\Local\Temp\OnboardLogs"\RTDC4041\2016-12-12 --exclude "*" --recursive --include "*20161212*" &amp; "%USERPROFILE%\Documents\GitHub\mrs-test-scripts\Headless Mode &amp; Sideloading\WalkAndUnGZ.bat" "%USERPROFILE%\AppData\Local\Temp\OnboardLogs"\RTDC4041\2016-12-12 &amp; aws s3 cp s3://rtdc.mdm.uploadarchive.raw/RTDC4041/ "%USERPROFILE%\AppData\Local\Temp\OnboardLogs"\RTDC4041\2016-12-13 --exclude "*" --recursive --include "*20161213*" &amp; "%USERPROFILE%\Documents\GitHub\mrs-test-scripts\Headless Mode &amp; Sideloading\WalkAndUnGZ.bat" "%USERPROFILE%\AppData\Local\Temp\OnboardLogs"\RTDC4041\2016-12-13</v>
      </c>
      <c r="S21" s="103" t="str">
        <f>VLOOKUP(C21,'Train Runs'!$A$13:$AE$9971,22,0)</f>
        <v>https://search-rtdc-monitor-bjffxe2xuh6vdkpspy63sjmuny.us-east-1.es.amazonaws.com/_plugin/kibana/#/discover/Steve-Slow-Train-Analysis-(2080s-and-2083s)?_g=(refreshInterval:(display:Off,section:0,value:0),time:(from:'2016-12-11 23:41:51-700',mode:absolute,to:'2016-12-12 02:39:47-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4041%22')),sort:!(Time,asc))</v>
      </c>
      <c r="T21" s="105" t="str">
        <f t="shared" si="1"/>
        <v>"C:\Program Files (x86)\AstroGrep\AstroGrep.exe" /spath="%USERPROFILE%\AppData\Local\Temp\OnboardLogs" /stypes="*4041*201612120*" /stext=" 08:.+((SYSTEM_STATE.+slice.+state.+changed )|(ment ac)|(multiple cpu faults)|(system.+state.+changed )|(\[timeout)|(PRM\|1\|D)|(kpr)|(kdp)|(\|lc)|(penalty))" /e /r /s</v>
      </c>
      <c r="U21" s="9" t="str">
        <f t="shared" si="2"/>
        <v>4041</v>
      </c>
      <c r="V21" s="36">
        <f t="shared" si="3"/>
        <v>42716.349398148144</v>
      </c>
      <c r="W21" s="50" t="str">
        <f t="shared" si="4"/>
        <v>EC</v>
      </c>
      <c r="X21" s="50" t="str">
        <f t="shared" si="5"/>
        <v>KEEP</v>
      </c>
      <c r="Y21" s="119" t="str">
        <f t="shared" si="6"/>
        <v>echo {"issue":{"subject":"","project_id":79,"tracker_id":40,"status_id":1,"priority_id":2,"assigned_to_id":23,"start_date":"2016-12-12","description":"","custom_fields":[{"id":1,"name":"Subdivision","value":"EC"},{"id":4,"name":"Milepost","value":"6.65"},{"id":17,"name":"Train ID","value":"242-11"},{"id":16,"name":"Locomotive ID","value":"4041"},{"id":130,"name":"Impact","value":""},{"id":150,"name":"Time of Event (Mountain Time)","value":"01:23:08"},{"id":151,"name":"Denver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1" s="53"/>
      <c r="AA21" s="53"/>
      <c r="AB21" s="53"/>
      <c r="AC21" s="138" t="str">
        <f t="shared" si="7"/>
        <v>grep -hSE -A100 "Enforcement Action" "%USERPROFILE%\AppData\Local\Temp\OnboardLogs"\RTDC4041\*4041*201612120* | grep -SE "((Enforcement Ac)|(PRM))" -</v>
      </c>
      <c r="AD21" s="1" t="str">
        <f>"grep -hSE ""Enforcement Action"" "&amp;search_path&amp;"\RTDC"&amp;U21&amp;"\*"&amp;U21&amp;"*"&amp;TEXT(A21-utc_offset/24,"YYYYMMDD")&amp;LEFT(TEXT(A21-utc_offset/24,"HH"),1)&amp;"* &gt;&gt; "&amp;Variables!$A$2&amp;"-slicedisagreementcheck.txt"</f>
        <v>grep -hSE "Enforcement Action" "%USERPROFILE%\AppData\Local\Temp\OnboardLogs"\RTDC4041\*4041*201612120* &gt;&gt; 42715-slicedisagreementcheck.txt</v>
      </c>
    </row>
    <row r="22" spans="1:30" x14ac:dyDescent="0.25">
      <c r="A22" s="36">
        <v>42715.560393518521</v>
      </c>
      <c r="B22" s="31" t="s">
        <v>239</v>
      </c>
      <c r="C22" s="31" t="s">
        <v>463</v>
      </c>
      <c r="D22" s="31" t="s">
        <v>49</v>
      </c>
      <c r="E22" s="31" t="s">
        <v>301</v>
      </c>
      <c r="F22" s="47">
        <v>150</v>
      </c>
      <c r="G22" s="47">
        <v>467</v>
      </c>
      <c r="H22" s="47">
        <v>147438</v>
      </c>
      <c r="I22" s="47">
        <v>148964</v>
      </c>
      <c r="J22" s="31" t="s">
        <v>270</v>
      </c>
      <c r="K22" s="47">
        <v>149801</v>
      </c>
      <c r="L22" s="154" t="s">
        <v>50</v>
      </c>
      <c r="M22" s="155">
        <f t="shared" si="0"/>
        <v>441.93599999999998</v>
      </c>
      <c r="N22" s="156" t="str">
        <f>VLOOKUP(C22,'Trips&amp;Operators'!$C$1:$G$99999,5,FALSE)</f>
        <v>BARTLETT KIANDRA</v>
      </c>
      <c r="O22" s="182" t="s">
        <v>196</v>
      </c>
      <c r="P22" s="157"/>
      <c r="Q22" s="31"/>
      <c r="R22" s="100" t="str">
        <f>VLOOKUP(C22,'Train Runs'!$A$13:$AE$9971,31,0)</f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S22" s="103" t="str">
        <f>VLOOKUP(C22,'Train Runs'!$A$13:$AE$9971,22,0)</f>
        <v>https://search-rtdc-monitor-bjffxe2xuh6vdkpspy63sjmuny.us-east-1.es.amazonaws.com/_plugin/kibana/#/discover/Steve-Slow-Train-Analysis-(2080s-and-2083s)?_g=(refreshInterval:(display:Off,section:0,value:0),time:(from:'2016-12-11 11:52:32-700',mode:absolute,to:'2016-12-11 14:40:01-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22" s="105" t="str">
        <f t="shared" si="1"/>
        <v>"C:\Program Files (x86)\AstroGrep\AstroGrep.exe" /spath="%USERPROFILE%\AppData\Local\Temp\OnboardLogs" /stypes="*4042*201612112*" /stext=" 20:.+((SYSTEM_STATE.+slice.+state.+changed )|(ment ac)|(multiple cpu faults)|(system.+state.+changed )|(\[timeout)|(PRM\|1\|D)|(kpr)|(kdp)|(\|lc)|(penalty))" /e /r /s</v>
      </c>
      <c r="U22" s="9" t="str">
        <f t="shared" si="2"/>
        <v>4042</v>
      </c>
      <c r="V22" s="36">
        <f t="shared" si="3"/>
        <v>42715.852060185185</v>
      </c>
      <c r="W22" s="50" t="str">
        <f t="shared" si="4"/>
        <v>EC</v>
      </c>
      <c r="X22" s="50" t="str">
        <f t="shared" si="5"/>
        <v>KEEP</v>
      </c>
      <c r="Y22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{"issue":{"subject":"","project_id":79,"tracker_id":40,"status_id":1,"priority_id":2,"assigned_to_id":23,"start_date":"2016-12-11","description":"","custom_fields":[{"id":1,"name":"Subdivision","value":"EC"},{"id":4,"name":"Milepost","value":"14.9801"},{"id":17,"name":"Train ID","value":"175-11"},{"id":16,"name":"Locomotive ID","value":"4042"},{"id":130,"name":"Impact","value":""},{"id":150,"name":"Time of Event (Mountain Time)","value":"13:26:58"},{"id":151,"name":"Denver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2" s="53"/>
      <c r="AA22" s="53"/>
      <c r="AB22" s="53"/>
      <c r="AC22" s="138" t="str">
        <f t="shared" si="7"/>
        <v>grep -hSE -A100 "Enforcement Action" "%USERPROFILE%\AppData\Local\Temp\OnboardLogs"\RTDC4042\*4042*201612112* | grep -SE "((Enforcement Ac)|(PRM))" -</v>
      </c>
      <c r="AD22" s="1" t="str">
        <f>"grep -hSE ""Enforcement Action"" "&amp;search_path&amp;"\RTDC"&amp;U22&amp;"\*"&amp;U22&amp;"*"&amp;TEXT(A22-utc_offset/24,"YYYYMMDD")&amp;LEFT(TEXT(A22-utc_offset/24,"HH"),1)&amp;"* &gt;&gt; "&amp;Variables!$A$2&amp;"-slicedisagreementcheck.txt"</f>
        <v>grep -hSE "Enforcement Action" "%USERPROFILE%\AppData\Local\Temp\OnboardLogs"\RTDC4042\*4042*201612112* &gt;&gt; 42715-slicedisagreementcheck.txt</v>
      </c>
    </row>
    <row r="23" spans="1:30" x14ac:dyDescent="0.25">
      <c r="A23" s="36">
        <v>42715.57271990741</v>
      </c>
      <c r="B23" s="31" t="s">
        <v>285</v>
      </c>
      <c r="C23" s="31" t="s">
        <v>464</v>
      </c>
      <c r="D23" s="31" t="s">
        <v>49</v>
      </c>
      <c r="E23" s="31" t="s">
        <v>301</v>
      </c>
      <c r="F23" s="47">
        <v>150</v>
      </c>
      <c r="G23" s="47">
        <v>592</v>
      </c>
      <c r="H23" s="47">
        <v>146753</v>
      </c>
      <c r="I23" s="47">
        <v>148606</v>
      </c>
      <c r="J23" s="31" t="s">
        <v>270</v>
      </c>
      <c r="K23" s="47">
        <v>149801</v>
      </c>
      <c r="L23" s="154" t="s">
        <v>50</v>
      </c>
      <c r="M23" s="155">
        <f t="shared" si="0"/>
        <v>630.96</v>
      </c>
      <c r="N23" s="156" t="str">
        <f>VLOOKUP(C23,'Trips&amp;Operators'!$C$1:$G$99999,5,FALSE)</f>
        <v>BRUDER RICHARD</v>
      </c>
      <c r="O23" s="182" t="s">
        <v>196</v>
      </c>
      <c r="P23" s="157"/>
      <c r="Q23" s="31"/>
      <c r="R23" s="100" t="str">
        <f>VLOOKUP(C23,'Train Runs'!$A$13:$AE$9971,31,0)</f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S23" s="103" t="str">
        <f>VLOOKUP(C23,'Train Runs'!$A$13:$AE$9971,22,0)</f>
        <v>https://search-rtdc-monitor-bjffxe2xuh6vdkpspy63sjmuny.us-east-1.es.amazonaws.com/_plugin/kibana/#/discover/Steve-Slow-Train-Analysis-(2080s-and-2083s)?_g=(refreshInterval:(display:Off,section:0,value:0),time:(from:'2016-12-11 12:08:37-700',mode:absolute,to:'2016-12-11 14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3" s="105" t="str">
        <f t="shared" si="1"/>
        <v>"C:\Program Files (x86)\AstroGrep\AstroGrep.exe" /spath="%USERPROFILE%\AppData\Local\Temp\OnboardLogs" /stypes="*4018*201612112*" /stext=" 20:.+((SYSTEM_STATE.+slice.+state.+changed )|(ment ac)|(multiple cpu faults)|(system.+state.+changed )|(\[timeout)|(PRM\|1\|D)|(kpr)|(kdp)|(\|lc)|(penalty))" /e /r /s</v>
      </c>
      <c r="U23" s="9" t="str">
        <f t="shared" si="2"/>
        <v>4018</v>
      </c>
      <c r="V23" s="36">
        <f t="shared" si="3"/>
        <v>42715.864386574074</v>
      </c>
      <c r="W23" s="50" t="str">
        <f t="shared" si="4"/>
        <v>EC</v>
      </c>
      <c r="X23" s="50" t="str">
        <f t="shared" si="5"/>
        <v>KEEP</v>
      </c>
      <c r="Y23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{"issue":{"subject":"","project_id":79,"tracker_id":40,"status_id":1,"priority_id":2,"assigned_to_id":23,"start_date":"2016-12-11","description":"","custom_fields":[{"id":1,"name":"Subdivision","value":"EC"},{"id":4,"name":"Milepost","value":"14.9801"},{"id":17,"name":"Train ID","value":"177-11"},{"id":16,"name":"Locomotive ID","value":"4018"},{"id":130,"name":"Impact","value":""},{"id":150,"name":"Time of Event (Mountain Time)","value":"13:44:43"},{"id":151,"name":"Denver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3" s="53"/>
      <c r="AA23" s="53"/>
      <c r="AB23" s="53"/>
      <c r="AC23" s="138" t="str">
        <f t="shared" si="7"/>
        <v>grep -hSE -A100 "Enforcement Action" "%USERPROFILE%\AppData\Local\Temp\OnboardLogs"\RTDC4018\*4018*201612112* | grep -SE "((Enforcement Ac)|(PRM))" -</v>
      </c>
      <c r="AD23" s="1" t="str">
        <f>"grep -hSE ""Enforcement Action"" "&amp;search_path&amp;"\RTDC"&amp;U23&amp;"\*"&amp;U23&amp;"*"&amp;TEXT(A23-utc_offset/24,"YYYYMMDD")&amp;LEFT(TEXT(A23-utc_offset/24,"HH"),1)&amp;"* &gt;&gt; "&amp;Variables!$A$2&amp;"-slicedisagreementcheck.txt"</f>
        <v>grep -hSE "Enforcement Action" "%USERPROFILE%\AppData\Local\Temp\OnboardLogs"\RTDC4018\*4018*201612112* &gt;&gt; 42715-slicedisagreementcheck.txt</v>
      </c>
    </row>
    <row r="24" spans="1:30" ht="15" customHeight="1" x14ac:dyDescent="0.25">
      <c r="A24" s="36">
        <v>42715.573252314818</v>
      </c>
      <c r="B24" s="31" t="s">
        <v>285</v>
      </c>
      <c r="C24" s="31" t="s">
        <v>464</v>
      </c>
      <c r="D24" s="31" t="s">
        <v>49</v>
      </c>
      <c r="E24" s="31" t="s">
        <v>301</v>
      </c>
      <c r="F24" s="47">
        <v>150</v>
      </c>
      <c r="G24" s="47">
        <v>209</v>
      </c>
      <c r="H24" s="47">
        <v>148943</v>
      </c>
      <c r="I24" s="47">
        <v>149385</v>
      </c>
      <c r="J24" s="31" t="s">
        <v>270</v>
      </c>
      <c r="K24" s="47">
        <v>149801</v>
      </c>
      <c r="L24" s="154" t="s">
        <v>50</v>
      </c>
      <c r="M24" s="155">
        <f t="shared" si="0"/>
        <v>219.648</v>
      </c>
      <c r="N24" s="156" t="str">
        <f>VLOOKUP(C24,'Trips&amp;Operators'!$C$1:$G$99999,5,FALSE)</f>
        <v>BRUDER RICHARD</v>
      </c>
      <c r="O24" s="182" t="s">
        <v>196</v>
      </c>
      <c r="P24" s="157"/>
      <c r="Q24" s="31"/>
      <c r="R24" s="100" t="str">
        <f>VLOOKUP(C24,'Train Runs'!$A$13:$AE$9971,31,0)</f>
        <v>aws s3 cp s3://rtdc.mdm.uploadarchive.raw/RTDC4018/ "%USERPROFILE%\AppData\Local\Temp\OnboardLogs"\RTDC4018\2016-12-11 --exclude "*" --recursive --include "*20161211*" &amp; "%USERPROFILE%\Documents\GitHub\mrs-test-scripts\Headless Mode &amp; Sideloading\WalkAndUnGZ.bat" "%USERPROFILE%\AppData\Local\Temp\OnboardLogs"\RTDC4018\2016-12-11 &amp; aws s3 cp s3://rtdc.mdm.uploadarchive.raw/RTDC4018/ "%USERPROFILE%\AppData\Local\Temp\OnboardLogs"\RTDC4018\2016-12-12 --exclude "*" --recursive --include "*20161212*" &amp; "%USERPROFILE%\Documents\GitHub\mrs-test-scripts\Headless Mode &amp; Sideloading\WalkAndUnGZ.bat" "%USERPROFILE%\AppData\Local\Temp\OnboardLogs"\RTDC4018\2016-12-12</v>
      </c>
      <c r="S24" s="103" t="str">
        <f>VLOOKUP(C24,'Train Runs'!$A$13:$AE$9971,22,0)</f>
        <v>https://search-rtdc-monitor-bjffxe2xuh6vdkpspy63sjmuny.us-east-1.es.amazonaws.com/_plugin/kibana/#/discover/Steve-Slow-Train-Analysis-(2080s-and-2083s)?_g=(refreshInterval:(display:Off,section:0,value:0),time:(from:'2016-12-11 12:08:37-700',mode:absolute,to:'2016-12-11 14:57:48-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4018%22')),sort:!(Time,asc))</v>
      </c>
      <c r="T24" s="105" t="str">
        <f t="shared" si="1"/>
        <v>"C:\Program Files (x86)\AstroGrep\AstroGrep.exe" /spath="%USERPROFILE%\AppData\Local\Temp\OnboardLogs" /stypes="*4018*201612112*" /stext=" 20:.+((SYSTEM_STATE.+slice.+state.+changed )|(ment ac)|(multiple cpu faults)|(system.+state.+changed )|(\[timeout)|(PRM\|1\|D)|(kpr)|(kdp)|(\|lc)|(penalty))" /e /r /s</v>
      </c>
      <c r="U24" s="9" t="str">
        <f t="shared" si="2"/>
        <v>4018</v>
      </c>
      <c r="V24" s="36">
        <f t="shared" si="3"/>
        <v>42715.864918981482</v>
      </c>
      <c r="W24" s="50" t="str">
        <f t="shared" si="4"/>
        <v>EC</v>
      </c>
      <c r="X24" s="50" t="str">
        <f t="shared" si="5"/>
        <v>KEEP</v>
      </c>
      <c r="Y24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{"issue":{"subject":"","project_id":79,"tracker_id":40,"status_id":1,"priority_id":2,"assigned_to_id":23,"start_date":"2016-12-11","description":"","custom_fields":[{"id":1,"name":"Subdivision","value":"EC"},{"id":4,"name":"Milepost","value":"14.9801"},{"id":17,"name":"Train ID","value":"177-11"},{"id":16,"name":"Locomotive ID","value":"4018"},{"id":130,"name":"Impact","value":""},{"id":150,"name":"Time of Event (Mountain Time)","value":"13:45:29"},{"id":151,"name":"Denver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4" s="53"/>
      <c r="AA24" s="53"/>
      <c r="AB24" s="53"/>
      <c r="AC24" s="138" t="str">
        <f t="shared" si="7"/>
        <v>grep -hSE -A100 "Enforcement Action" "%USERPROFILE%\AppData\Local\Temp\OnboardLogs"\RTDC4018\*4018*201612112* | grep -SE "((Enforcement Ac)|(PRM))" -</v>
      </c>
      <c r="AD24" s="1" t="str">
        <f>"grep -hSE ""Enforcement Action"" "&amp;search_path&amp;"\RTDC"&amp;U24&amp;"\*"&amp;U24&amp;"*"&amp;TEXT(A24-utc_offset/24,"YYYYMMDD")&amp;LEFT(TEXT(A24-utc_offset/24,"HH"),1)&amp;"* &gt;&gt; "&amp;Variables!$A$2&amp;"-slicedisagreementcheck.txt"</f>
        <v>grep -hSE "Enforcement Action" "%USERPROFILE%\AppData\Local\Temp\OnboardLogs"\RTDC4018\*4018*201612112* &gt;&gt; 42715-slicedisagreementcheck.txt</v>
      </c>
    </row>
    <row r="25" spans="1:30" x14ac:dyDescent="0.25">
      <c r="A25" s="36">
        <v>42715.595613425925</v>
      </c>
      <c r="B25" s="31" t="s">
        <v>271</v>
      </c>
      <c r="C25" s="31" t="s">
        <v>465</v>
      </c>
      <c r="D25" s="31" t="s">
        <v>49</v>
      </c>
      <c r="E25" s="31" t="s">
        <v>301</v>
      </c>
      <c r="F25" s="47">
        <v>150</v>
      </c>
      <c r="G25" s="47">
        <v>315</v>
      </c>
      <c r="H25" s="47">
        <v>148788</v>
      </c>
      <c r="I25" s="47">
        <v>149511</v>
      </c>
      <c r="J25" s="31" t="s">
        <v>270</v>
      </c>
      <c r="K25" s="47">
        <v>149801</v>
      </c>
      <c r="L25" s="154" t="s">
        <v>50</v>
      </c>
      <c r="M25" s="155">
        <f t="shared" si="0"/>
        <v>153.12</v>
      </c>
      <c r="N25" s="156" t="str">
        <f>VLOOKUP(C25,'Trips&amp;Operators'!$C$1:$G$99999,5,FALSE)</f>
        <v>BERLING GARY</v>
      </c>
      <c r="O25" s="182" t="s">
        <v>196</v>
      </c>
      <c r="P25" s="157"/>
      <c r="Q25" s="31"/>
      <c r="R25" s="100" t="str">
        <f>VLOOKUP(C25,'Train Runs'!$A$13:$AE$9971,31,0)</f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S25" s="103" t="str">
        <f>VLOOKUP(C25,'Train Runs'!$A$13:$AE$9971,22,0)</f>
        <v>https://search-rtdc-monitor-bjffxe2xuh6vdkpspy63sjmuny.us-east-1.es.amazonaws.com/_plugin/kibana/#/discover/Steve-Slow-Train-Analysis-(2080s-and-2083s)?_g=(refreshInterval:(display:Off,section:0,value:0),time:(from:'2016-12-11 12:41:03-700',mode:absolute,to:'2016-12-11 15:30:42-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25" s="105" t="str">
        <f t="shared" si="1"/>
        <v>"C:\Program Files (x86)\AstroGrep\AstroGrep.exe" /spath="%USERPROFILE%\AppData\Local\Temp\OnboardLogs" /stypes="*4029*201612112*" /stext=" 21:.+((SYSTEM_STATE.+slice.+state.+changed )|(ment ac)|(multiple cpu faults)|(system.+state.+changed )|(\[timeout)|(PRM\|1\|D)|(kpr)|(kdp)|(\|lc)|(penalty))" /e /r /s</v>
      </c>
      <c r="U25" s="9" t="str">
        <f t="shared" si="2"/>
        <v>4029</v>
      </c>
      <c r="V25" s="36">
        <f t="shared" si="3"/>
        <v>42715.887280092589</v>
      </c>
      <c r="W25" s="50" t="str">
        <f t="shared" si="4"/>
        <v>EC</v>
      </c>
      <c r="X25" s="50" t="str">
        <f t="shared" si="5"/>
        <v>KEEP</v>
      </c>
      <c r="Y25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{"issue":{"subject":"","project_id":79,"tracker_id":40,"status_id":1,"priority_id":2,"assigned_to_id":23,"start_date":"2016-12-11","description":"","custom_fields":[{"id":1,"name":"Subdivision","value":"EC"},{"id":4,"name":"Milepost","value":"14.9801"},{"id":17,"name":"Train ID","value":"181-11"},{"id":16,"name":"Locomotive ID","value":"4029"},{"id":130,"name":"Impact","value":""},{"id":150,"name":"Time of Event (Mountain Time)","value":"14:17:41"},{"id":151,"name":"Denver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5" s="53"/>
      <c r="AA25" s="53"/>
      <c r="AB25" s="53"/>
      <c r="AC25" s="138" t="str">
        <f t="shared" si="7"/>
        <v>grep -hSE -A100 "Enforcement Action" "%USERPROFILE%\AppData\Local\Temp\OnboardLogs"\RTDC4029\*4029*201612112* | grep -SE "((Enforcement Ac)|(PRM))" -</v>
      </c>
      <c r="AD25" s="1" t="str">
        <f>"grep -hSE ""Enforcement Action"" "&amp;search_path&amp;"\RTDC"&amp;U25&amp;"\*"&amp;U25&amp;"*"&amp;TEXT(A25-utc_offset/24,"YYYYMMDD")&amp;LEFT(TEXT(A25-utc_offset/24,"HH"),1)&amp;"* &gt;&gt; "&amp;Variables!$A$2&amp;"-slicedisagreementcheck.txt"</f>
        <v>grep -hSE "Enforcement Action" "%USERPROFILE%\AppData\Local\Temp\OnboardLogs"\RTDC4029\*4029*201612112* &gt;&gt; 42715-slicedisagreementcheck.txt</v>
      </c>
    </row>
    <row r="26" spans="1:30" x14ac:dyDescent="0.25">
      <c r="A26" s="36">
        <v>42715.998784722222</v>
      </c>
      <c r="B26" s="31" t="s">
        <v>184</v>
      </c>
      <c r="C26" s="31" t="s">
        <v>483</v>
      </c>
      <c r="D26" s="31" t="s">
        <v>49</v>
      </c>
      <c r="E26" s="31" t="s">
        <v>301</v>
      </c>
      <c r="F26" s="47">
        <v>150</v>
      </c>
      <c r="G26" s="47">
        <v>370</v>
      </c>
      <c r="H26" s="47">
        <v>147803</v>
      </c>
      <c r="I26" s="47">
        <v>148730</v>
      </c>
      <c r="J26" s="31" t="s">
        <v>270</v>
      </c>
      <c r="K26" s="47">
        <v>149801</v>
      </c>
      <c r="L26" s="154" t="s">
        <v>50</v>
      </c>
      <c r="M26" s="155">
        <f t="shared" si="0"/>
        <v>565.48800000000006</v>
      </c>
      <c r="N26" s="156" t="str">
        <f>VLOOKUP(C26,'Trips&amp;Operators'!$C$1:$G$99999,5,FALSE)</f>
        <v>COOLAHAN JOHN</v>
      </c>
      <c r="O26" s="182" t="s">
        <v>196</v>
      </c>
      <c r="P26" s="157"/>
      <c r="Q26" s="31"/>
      <c r="R26" s="100" t="str">
        <f>VLOOKUP(C26,'Train Runs'!$A$13:$AE$9971,31,0)</f>
        <v>aws s3 cp s3://rtdc.mdm.uploadarchive.raw/RTDC4044/ "%USERPROFILE%\AppData\Local\Temp\OnboardLogs"\RTDC4044\2016-12-11 --exclude "*" --recursive --include "*20161211*" &amp; "%USERPROFILE%\Documents\GitHub\mrs-test-scripts\Headless Mode &amp; Sideloading\WalkAndUnGZ.bat" "%USERPROFILE%\AppData\Local\Temp\OnboardLogs"\RTDC4044\2016-12-11 &amp; aws s3 cp s3://rtdc.mdm.uploadarchive.raw/RTDC4044/ "%USERPROFILE%\AppData\Local\Temp\OnboardLogs"\RTDC4044\2016-12-12 --exclude "*" --recursive --include "*20161212*" &amp; "%USERPROFILE%\Documents\GitHub\mrs-test-scripts\Headless Mode &amp; Sideloading\WalkAndUnGZ.bat" "%USERPROFILE%\AppData\Local\Temp\OnboardLogs"\RTDC4044\2016-12-12</v>
      </c>
      <c r="S26" s="103" t="str">
        <f>VLOOKUP(C26,'Train Runs'!$A$13:$AE$9971,22,0)</f>
        <v>https://search-rtdc-monitor-bjffxe2xuh6vdkpspy63sjmuny.us-east-1.es.amazonaws.com/_plugin/kibana/#/discover/Steve-Slow-Train-Analysis-(2080s-and-2083s)?_g=(refreshInterval:(display:Off,section:0,value:0),time:(from:'2016-12-11 22:22:45-700',mode:absolute,to:'2016-12-12 01:11:27-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4044%22')),sort:!(Time,asc))</v>
      </c>
      <c r="T26" s="105" t="str">
        <f t="shared" si="1"/>
        <v>"C:\Program Files (x86)\AstroGrep\AstroGrep.exe" /spath="%USERPROFILE%\AppData\Local\Temp\OnboardLogs" /stypes="*4044*201612120*" /stext=" 06:.+((SYSTEM_STATE.+slice.+state.+changed )|(ment ac)|(multiple cpu faults)|(system.+state.+changed )|(\[timeout)|(PRM\|1\|D)|(kpr)|(kdp)|(\|lc)|(penalty))" /e /r /s</v>
      </c>
      <c r="U26" s="9" t="str">
        <f t="shared" si="2"/>
        <v>4044</v>
      </c>
      <c r="V26" s="36">
        <f t="shared" si="3"/>
        <v>42716.290451388886</v>
      </c>
      <c r="W26" s="50" t="str">
        <f t="shared" si="4"/>
        <v>EC</v>
      </c>
      <c r="X26" s="50" t="str">
        <f t="shared" si="5"/>
        <v>KEEP</v>
      </c>
      <c r="Y26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{"issue":{"subject":"","project_id":79,"tracker_id":40,"status_id":1,"priority_id":2,"assigned_to_id":23,"start_date":"2016-12-11","description":"","custom_fields":[{"id":1,"name":"Subdivision","value":"EC"},{"id":4,"name":"Milepost","value":"14.9801"},{"id":17,"name":"Train ID","value":"239-11"},{"id":16,"name":"Locomotive ID","value":"4044"},{"id":130,"name":"Impact","value":""},{"id":150,"name":"Time of Event (Mountain Time)","value":"23:58:15"},{"id":151,"name":"Denver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6" s="53"/>
      <c r="AA26" s="53"/>
      <c r="AB26" s="53"/>
      <c r="AC26" s="138" t="str">
        <f t="shared" si="7"/>
        <v>grep -hSE -A100 "Enforcement Action" "%USERPROFILE%\AppData\Local\Temp\OnboardLogs"\RTDC4044\*4044*201612120* | grep -SE "((Enforcement Ac)|(PRM))" -</v>
      </c>
      <c r="AD26" s="1" t="str">
        <f>"grep -hSE ""Enforcement Action"" "&amp;search_path&amp;"\RTDC"&amp;U26&amp;"\*"&amp;U26&amp;"*"&amp;TEXT(A26-utc_offset/24,"YYYYMMDD")&amp;LEFT(TEXT(A26-utc_offset/24,"HH"),1)&amp;"* &gt;&gt; "&amp;Variables!$A$2&amp;"-slicedisagreementcheck.txt"</f>
        <v>grep -hSE "Enforcement Action" "%USERPROFILE%\AppData\Local\Temp\OnboardLogs"\RTDC4044\*4044*201612120* &gt;&gt; 42715-slicedisagreementcheck.txt</v>
      </c>
    </row>
    <row r="27" spans="1:30" x14ac:dyDescent="0.25">
      <c r="A27" s="36">
        <v>42715.729837962965</v>
      </c>
      <c r="B27" s="31" t="s">
        <v>243</v>
      </c>
      <c r="C27" s="31" t="s">
        <v>474</v>
      </c>
      <c r="D27" s="31" t="s">
        <v>98</v>
      </c>
      <c r="E27" s="31" t="s">
        <v>301</v>
      </c>
      <c r="F27" s="47">
        <v>150</v>
      </c>
      <c r="G27" s="47">
        <v>200</v>
      </c>
      <c r="H27" s="47">
        <v>153653</v>
      </c>
      <c r="I27" s="47">
        <v>153241</v>
      </c>
      <c r="J27" s="31" t="s">
        <v>270</v>
      </c>
      <c r="K27" s="47">
        <v>154400</v>
      </c>
      <c r="L27" s="154" t="s">
        <v>51</v>
      </c>
      <c r="M27" s="155">
        <f t="shared" si="0"/>
        <v>-611.952</v>
      </c>
      <c r="N27" s="156" t="str">
        <f>VLOOKUP(C27,'Trips&amp;Operators'!$C$1:$G$99999,5,FALSE)</f>
        <v>STEWART MICHAEL</v>
      </c>
      <c r="O27" s="182" t="s">
        <v>196</v>
      </c>
      <c r="P27" s="157"/>
      <c r="Q27" s="31"/>
      <c r="R27" s="100" t="str">
        <f>VLOOKUP(C27,'Train Runs'!$A$13:$AE$9971,31,0)</f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S27" s="103" t="str">
        <f>VLOOKUP(C27,'Train Runs'!$A$13:$AE$9971,22,0)</f>
        <v>https://search-rtdc-monitor-bjffxe2xuh6vdkpspy63sjmuny.us-east-1.es.amazonaws.com/_plugin/kibana/#/discover/Steve-Slow-Train-Analysis-(2080s-and-2083s)?_g=(refreshInterval:(display:Off,section:0,value:0),time:(from:'2016-12-11 16:06:14-700',mode:absolute,to:'2016-12-11 19:02:53-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27" s="105" t="str">
        <f t="shared" si="1"/>
        <v>"C:\Program Files (x86)\AstroGrep\AstroGrep.exe" /spath="%USERPROFILE%\AppData\Local\Temp\OnboardLogs" /stypes="*4010*201612120*" /stext=" 00:.+((SYSTEM_STATE.+slice.+state.+changed )|(ment ac)|(multiple cpu faults)|(system.+state.+changed )|(\[timeout)|(PRM\|1\|D)|(kpr)|(kdp)|(\|lc)|(penalty))" /e /r /s</v>
      </c>
      <c r="U27" s="9" t="str">
        <f t="shared" si="2"/>
        <v>4010</v>
      </c>
      <c r="V27" s="36">
        <f t="shared" si="3"/>
        <v>42716.021504629629</v>
      </c>
      <c r="W27" s="50" t="str">
        <f t="shared" si="4"/>
        <v>EC</v>
      </c>
      <c r="X27" s="50" t="str">
        <f t="shared" si="5"/>
        <v>KEEP</v>
      </c>
      <c r="Y27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{"issue":{"subject":"","project_id":79,"tracker_id":40,"status_id":1,"priority_id":2,"assigned_to_id":23,"start_date":"2016-12-11","description":"","custom_fields":[{"id":1,"name":"Subdivision","value":"EC"},{"id":4,"name":"Milepost","value":"15.44"},{"id":17,"name":"Train ID","value":"202-11"},{"id":16,"name":"Locomotive ID","value":"4010"},{"id":130,"name":"Impact","value":""},{"id":150,"name":"Time of Event (Mountain Time)","value":"17:30:58"},{"id":151,"name":"Denver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7" s="53"/>
      <c r="AA27" s="53"/>
      <c r="AB27" s="53"/>
      <c r="AC27" s="138" t="str">
        <f t="shared" si="7"/>
        <v>grep -hSE -A100 "Enforcement Action" "%USERPROFILE%\AppData\Local\Temp\OnboardLogs"\RTDC4010\*4010*201612120* | grep -SE "((Enforcement Ac)|(PRM))" -</v>
      </c>
      <c r="AD27" s="1" t="str">
        <f>"grep -hSE ""Enforcement Action"" "&amp;search_path&amp;"\RTDC"&amp;U27&amp;"\*"&amp;U27&amp;"*"&amp;TEXT(A27-utc_offset/24,"YYYYMMDD")&amp;LEFT(TEXT(A27-utc_offset/24,"HH"),1)&amp;"* &gt;&gt; "&amp;Variables!$A$2&amp;"-slicedisagreementcheck.txt"</f>
        <v>grep -hSE "Enforcement Action" "%USERPROFILE%\AppData\Local\Temp\OnboardLogs"\RTDC4010\*4010*201612120* &gt;&gt; 42715-slicedisagreementcheck.txt</v>
      </c>
    </row>
    <row r="28" spans="1:30" x14ac:dyDescent="0.25">
      <c r="A28" s="36">
        <v>42715.328020833331</v>
      </c>
      <c r="B28" s="31" t="s">
        <v>282</v>
      </c>
      <c r="C28" s="31" t="s">
        <v>451</v>
      </c>
      <c r="D28" s="31" t="s">
        <v>49</v>
      </c>
      <c r="E28" s="31" t="s">
        <v>201</v>
      </c>
      <c r="F28" s="47">
        <v>0</v>
      </c>
      <c r="G28" s="47">
        <v>90</v>
      </c>
      <c r="H28" s="47">
        <v>338</v>
      </c>
      <c r="I28" s="47">
        <v>225</v>
      </c>
      <c r="J28" s="31" t="s">
        <v>202</v>
      </c>
      <c r="K28" s="47">
        <v>1</v>
      </c>
      <c r="L28" s="154" t="s">
        <v>51</v>
      </c>
      <c r="M28" s="155">
        <f t="shared" si="0"/>
        <v>118.27200000000001</v>
      </c>
      <c r="N28" s="156" t="str">
        <f>VLOOKUP(C28,'Trips&amp;Operators'!$C$1:$G$99999,5,FALSE)</f>
        <v>DAVIS WENDY</v>
      </c>
      <c r="O28" s="182" t="s">
        <v>196</v>
      </c>
      <c r="P28" s="157"/>
      <c r="Q28" s="31"/>
      <c r="R28" s="100" t="str">
        <f>VLOOKUP(C28,'Train Runs'!$A$13:$AE$9971,31,0)</f>
        <v>aws s3 cp s3://rtdc.mdm.uploadarchive.raw/RTDC4017/ "%USERPROFILE%\AppData\Local\Temp\OnboardLogs"\RTDC4017\2016-12-11 --exclude "*" --recursive --include "*20161211*" &amp; "%USERPROFILE%\Documents\GitHub\mrs-test-scripts\Headless Mode &amp; Sideloading\WalkAndUnGZ.bat" "%USERPROFILE%\AppData\Local\Temp\OnboardLogs"\RTDC4017\2016-12-11 &amp; aws s3 cp s3://rtdc.mdm.uploadarchive.raw/RTDC4017/ "%USERPROFILE%\AppData\Local\Temp\OnboardLogs"\RTDC4017\2016-12-12 --exclude "*" --recursive --include "*20161212*" &amp; "%USERPROFILE%\Documents\GitHub\mrs-test-scripts\Headless Mode &amp; Sideloading\WalkAndUnGZ.bat" "%USERPROFILE%\AppData\Local\Temp\OnboardLogs"\RTDC4017\2016-12-12</v>
      </c>
      <c r="S28" s="103" t="str">
        <f>VLOOKUP(C28,'Train Runs'!$A$13:$AE$9971,22,0)</f>
        <v>https://search-rtdc-monitor-bjffxe2xuh6vdkpspy63sjmuny.us-east-1.es.amazonaws.com/_plugin/kibana/#/discover/Steve-Slow-Train-Analysis-(2080s-and-2083s)?_g=(refreshInterval:(display:Off,section:0,value:0),time:(from:'2016-12-11 06:08:48-700',mode:absolute,to:'2016-12-11 08:52:21-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4017%22')),sort:!(Time,asc))</v>
      </c>
      <c r="T28" s="105" t="str">
        <f t="shared" si="1"/>
        <v>"C:\Program Files (x86)\AstroGrep\AstroGrep.exe" /spath="%USERPROFILE%\AppData\Local\Temp\OnboardLogs" /stypes="*4017*201612111*" /stext=" 14:.+((SYSTEM_STATE.+slice.+state.+changed )|(ment ac)|(multiple cpu faults)|(system.+state.+changed )|(\[timeout)|(PRM\|1\|D)|(kpr)|(kdp)|(\|lc)|(penalty))" /e /r /s</v>
      </c>
      <c r="U28" s="9" t="str">
        <f t="shared" si="2"/>
        <v>4017</v>
      </c>
      <c r="V28" s="36">
        <f t="shared" si="3"/>
        <v>42715.619687499995</v>
      </c>
      <c r="W28" s="50" t="str">
        <f t="shared" si="4"/>
        <v>EC</v>
      </c>
      <c r="X28" s="50" t="str">
        <f t="shared" si="5"/>
        <v>KEEP</v>
      </c>
      <c r="Y28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{"issue":{"subject":"","project_id":79,"tracker_id":40,"status_id":1,"priority_id":2,"assigned_to_id":23,"start_date":"2016-12-11","description":"","custom_fields":[{"id":1,"name":"Subdivision","value":"EC"},{"id":4,"name":"Milepost","value":"0.0001"},{"id":17,"name":"Train ID","value":"122-11"},{"id":16,"name":"Locomotive ID","value":"4017"},{"id":130,"name":"Impact","value":""},{"id":150,"name":"Time of Event (Mountain Time)","value":"07:52:21"},{"id":151,"name":"Denver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8" s="53"/>
      <c r="AA28" s="53"/>
      <c r="AB28" s="53"/>
      <c r="AC28" s="138" t="str">
        <f t="shared" si="7"/>
        <v>grep -hSE -A100 "Enforcement Action" "%USERPROFILE%\AppData\Local\Temp\OnboardLogs"\RTDC4017\*4017*201612111* | grep -SE "((Enforcement Ac)|(PRM))" -</v>
      </c>
      <c r="AD28" s="1" t="str">
        <f>"grep -hSE ""Enforcement Action"" "&amp;search_path&amp;"\RTDC"&amp;U28&amp;"\*"&amp;U28&amp;"*"&amp;TEXT(A28-utc_offset/24,"YYYYMMDD")&amp;LEFT(TEXT(A28-utc_offset/24,"HH"),1)&amp;"* &gt;&gt; "&amp;Variables!$A$2&amp;"-slicedisagreementcheck.txt"</f>
        <v>grep -hSE "Enforcement Action" "%USERPROFILE%\AppData\Local\Temp\OnboardLogs"\RTDC4017\*4017*201612111* &gt;&gt; 42715-slicedisagreementcheck.txt</v>
      </c>
    </row>
    <row r="29" spans="1:30" x14ac:dyDescent="0.25">
      <c r="A29" s="36">
        <v>42715.348194444443</v>
      </c>
      <c r="B29" s="31" t="s">
        <v>268</v>
      </c>
      <c r="C29" s="31" t="s">
        <v>454</v>
      </c>
      <c r="D29" s="31" t="s">
        <v>49</v>
      </c>
      <c r="E29" s="31" t="s">
        <v>201</v>
      </c>
      <c r="F29" s="47">
        <v>0</v>
      </c>
      <c r="G29" s="47">
        <v>65</v>
      </c>
      <c r="H29" s="47">
        <v>216</v>
      </c>
      <c r="I29" s="47">
        <v>154</v>
      </c>
      <c r="J29" s="31" t="s">
        <v>202</v>
      </c>
      <c r="K29" s="47">
        <v>1</v>
      </c>
      <c r="L29" s="154" t="s">
        <v>51</v>
      </c>
      <c r="M29" s="155">
        <f t="shared" si="0"/>
        <v>80.784000000000006</v>
      </c>
      <c r="N29" s="156" t="str">
        <f>VLOOKUP(C29,'Trips&amp;Operators'!$C$1:$G$99999,5,FALSE)</f>
        <v>HAITHCOX MICHAEL</v>
      </c>
      <c r="O29" s="182" t="s">
        <v>196</v>
      </c>
      <c r="P29" s="157"/>
      <c r="Q29" s="31"/>
      <c r="R29" s="100" t="str">
        <f>VLOOKUP(C29,'Train Runs'!$A$13:$AE$9971,31,0)</f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S29" s="103" t="str">
        <f>VLOOKUP(C29,'Train Runs'!$A$13:$AE$9971,22,0)</f>
        <v>https://search-rtdc-monitor-bjffxe2xuh6vdkpspy63sjmuny.us-east-1.es.amazonaws.com/_plugin/kibana/#/discover/Steve-Slow-Train-Analysis-(2080s-and-2083s)?_g=(refreshInterval:(display:Off,section:0,value:0),time:(from:'2016-12-11 06:31:05-700',mode:absolute,to:'2016-12-11 09:21:25-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29" s="105" t="str">
        <f t="shared" si="1"/>
        <v>"C:\Program Files (x86)\AstroGrep\AstroGrep.exe" /spath="%USERPROFILE%\AppData\Local\Temp\OnboardLogs" /stypes="*4030*201612111*" /stext=" 15:.+((SYSTEM_STATE.+slice.+state.+changed )|(ment ac)|(multiple cpu faults)|(system.+state.+changed )|(\[timeout)|(PRM\|1\|D)|(kpr)|(kdp)|(\|lc)|(penalty))" /e /r /s</v>
      </c>
      <c r="U29" s="9" t="str">
        <f t="shared" si="2"/>
        <v>4030</v>
      </c>
      <c r="V29" s="36">
        <f t="shared" si="3"/>
        <v>42715.639861111107</v>
      </c>
      <c r="W29" s="50" t="str">
        <f t="shared" si="4"/>
        <v>EC</v>
      </c>
      <c r="X29" s="50" t="str">
        <f t="shared" si="5"/>
        <v>KEEP</v>
      </c>
      <c r="Y29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{"issue":{"subject":"","project_id":79,"tracker_id":40,"status_id":1,"priority_id":2,"assigned_to_id":23,"start_date":"2016-12-11","description":"","custom_fields":[{"id":1,"name":"Subdivision","value":"EC"},{"id":4,"name":"Milepost","value":"0.0001"},{"id":17,"name":"Train ID","value":"126-11"},{"id":16,"name":"Locomotive ID","value":"4030"},{"id":130,"name":"Impact","value":""},{"id":150,"name":"Time of Event (Mountain Time)","value":"08:21:24"},{"id":151,"name":"Denver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29" s="53"/>
      <c r="AA29" s="53"/>
      <c r="AB29" s="53"/>
      <c r="AC29" s="138" t="str">
        <f t="shared" si="7"/>
        <v>grep -hSE -A100 "Enforcement Action" "%USERPROFILE%\AppData\Local\Temp\OnboardLogs"\RTDC4030\*4030*201612111* | grep -SE "((Enforcement Ac)|(PRM))" -</v>
      </c>
      <c r="AD29" s="1" t="str">
        <f>"grep -hSE ""Enforcement Action"" "&amp;search_path&amp;"\RTDC"&amp;U29&amp;"\*"&amp;U29&amp;"*"&amp;TEXT(A29-utc_offset/24,"YYYYMMDD")&amp;LEFT(TEXT(A29-utc_offset/24,"HH"),1)&amp;"* &gt;&gt; "&amp;Variables!$A$2&amp;"-slicedisagreementcheck.txt"</f>
        <v>grep -hSE "Enforcement Action" "%USERPROFILE%\AppData\Local\Temp\OnboardLogs"\RTDC4030\*4030*201612111* &gt;&gt; 42715-slicedisagreementcheck.txt</v>
      </c>
    </row>
    <row r="30" spans="1:30" ht="15" customHeight="1" x14ac:dyDescent="0.25">
      <c r="A30" s="36">
        <v>42715.359340277777</v>
      </c>
      <c r="B30" s="31" t="s">
        <v>212</v>
      </c>
      <c r="C30" s="31" t="s">
        <v>455</v>
      </c>
      <c r="D30" s="31" t="s">
        <v>49</v>
      </c>
      <c r="E30" s="31" t="s">
        <v>201</v>
      </c>
      <c r="F30" s="47">
        <v>0</v>
      </c>
      <c r="G30" s="47">
        <v>36</v>
      </c>
      <c r="H30" s="47">
        <v>132</v>
      </c>
      <c r="I30" s="47">
        <v>110</v>
      </c>
      <c r="J30" s="31" t="s">
        <v>202</v>
      </c>
      <c r="K30" s="47">
        <v>1</v>
      </c>
      <c r="L30" s="154" t="s">
        <v>51</v>
      </c>
      <c r="M30" s="155">
        <f t="shared" si="0"/>
        <v>57.552</v>
      </c>
      <c r="N30" s="156" t="str">
        <f>VLOOKUP(C30,'Trips&amp;Operators'!$C$1:$G$99999,5,FALSE)</f>
        <v>KILLION DAVID</v>
      </c>
      <c r="O30" s="182" t="s">
        <v>196</v>
      </c>
      <c r="P30" s="157"/>
      <c r="Q30" s="31"/>
      <c r="R30" s="100" t="str">
        <f>VLOOKUP(C30,'Train Runs'!$A$13:$AE$9971,31,0)</f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S30" s="103" t="str">
        <f>VLOOKUP(C30,'Train Runs'!$A$13:$AE$9971,22,0)</f>
        <v>https://search-rtdc-monitor-bjffxe2xuh6vdkpspy63sjmuny.us-east-1.es.amazonaws.com/_plugin/kibana/#/discover/Steve-Slow-Train-Analysis-(2080s-and-2083s)?_g=(refreshInterval:(display:Off,section:0,value:0),time:(from:'2016-12-11 06:49:01-700',mode:absolute,to:'2016-12-11 09:37:28-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0" s="105" t="str">
        <f t="shared" si="1"/>
        <v>"C:\Program Files (x86)\AstroGrep\AstroGrep.exe" /spath="%USERPROFILE%\AppData\Local\Temp\OnboardLogs" /stypes="*4012*201612111*" /stext=" 15:.+((SYSTEM_STATE.+slice.+state.+changed )|(ment ac)|(multiple cpu faults)|(system.+state.+changed )|(\[timeout)|(PRM\|1\|D)|(kpr)|(kdp)|(\|lc)|(penalty))" /e /r /s</v>
      </c>
      <c r="U30" s="9" t="str">
        <f t="shared" si="2"/>
        <v>4012</v>
      </c>
      <c r="V30" s="36">
        <f t="shared" si="3"/>
        <v>42715.651006944441</v>
      </c>
      <c r="W30" s="50" t="str">
        <f t="shared" si="4"/>
        <v>EC</v>
      </c>
      <c r="X30" s="50" t="str">
        <f t="shared" si="5"/>
        <v>KEEP</v>
      </c>
      <c r="Y30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{"issue":{"subject":"","project_id":79,"tracker_id":40,"status_id":1,"priority_id":2,"assigned_to_id":23,"start_date":"2016-12-11","description":"","custom_fields":[{"id":1,"name":"Subdivision","value":"EC"},{"id":4,"name":"Milepost","value":"0.0001"},{"id":17,"name":"Train ID","value":"128-11"},{"id":16,"name":"Locomotive ID","value":"4012"},{"id":130,"name":"Impact","value":""},{"id":150,"name":"Time of Event (Mountain Time)","value":"08:37:27"},{"id":151,"name":"Denver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0" s="53"/>
      <c r="AA30" s="53"/>
      <c r="AB30" s="53"/>
      <c r="AC30" s="138" t="str">
        <f t="shared" si="7"/>
        <v>grep -hSE -A100 "Enforcement Action" "%USERPROFILE%\AppData\Local\Temp\OnboardLogs"\RTDC4012\*4012*201612111* | grep -SE "((Enforcement Ac)|(PRM))" -</v>
      </c>
      <c r="AD30" s="1" t="str">
        <f>"grep -hSE ""Enforcement Action"" "&amp;search_path&amp;"\RTDC"&amp;U30&amp;"\*"&amp;U30&amp;"*"&amp;TEXT(A30-utc_offset/24,"YYYYMMDD")&amp;LEFT(TEXT(A30-utc_offset/24,"HH"),1)&amp;"* &gt;&gt; "&amp;Variables!$A$2&amp;"-slicedisagreementcheck.txt"</f>
        <v>grep -hSE "Enforcement Action" "%USERPROFILE%\AppData\Local\Temp\OnboardLogs"\RTDC4012\*4012*201612111* &gt;&gt; 42715-slicedisagreementcheck.txt</v>
      </c>
    </row>
    <row r="31" spans="1:30" ht="15" customHeight="1" x14ac:dyDescent="0.25">
      <c r="A31" s="36">
        <v>42715.493807870371</v>
      </c>
      <c r="B31" s="31" t="s">
        <v>268</v>
      </c>
      <c r="C31" s="31" t="s">
        <v>461</v>
      </c>
      <c r="D31" s="31" t="s">
        <v>49</v>
      </c>
      <c r="E31" s="31" t="s">
        <v>201</v>
      </c>
      <c r="F31" s="47">
        <v>0</v>
      </c>
      <c r="G31" s="47">
        <v>48</v>
      </c>
      <c r="H31" s="47">
        <v>149</v>
      </c>
      <c r="I31" s="47">
        <v>116</v>
      </c>
      <c r="J31" s="31" t="s">
        <v>202</v>
      </c>
      <c r="K31" s="47">
        <v>1</v>
      </c>
      <c r="L31" s="154" t="s">
        <v>51</v>
      </c>
      <c r="M31" s="155">
        <f t="shared" si="0"/>
        <v>60.72</v>
      </c>
      <c r="N31" s="156" t="str">
        <f>VLOOKUP(C31,'Trips&amp;Operators'!$C$1:$G$99999,5,FALSE)</f>
        <v>HAITHCOX MICHAEL</v>
      </c>
      <c r="O31" s="182" t="s">
        <v>196</v>
      </c>
      <c r="P31" s="157"/>
      <c r="Q31" s="31"/>
      <c r="R31" s="100" t="str">
        <f>VLOOKUP(C31,'Train Runs'!$A$13:$AE$9971,31,0)</f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S31" s="103" t="str">
        <f>VLOOKUP(C31,'Train Runs'!$A$13:$AE$9971,22,0)</f>
        <v>https://search-rtdc-monitor-bjffxe2xuh6vdkpspy63sjmuny.us-east-1.es.amazonaws.com/_plugin/kibana/#/discover/Steve-Slow-Train-Analysis-(2080s-and-2083s)?_g=(refreshInterval:(display:Off,section:0,value:0),time:(from:'2016-12-11 10:06:44-700',mode:absolute,to:'2016-12-11 12:51:06-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1" s="105" t="str">
        <f t="shared" si="1"/>
        <v>"C:\Program Files (x86)\AstroGrep\AstroGrep.exe" /spath="%USERPROFILE%\AppData\Local\Temp\OnboardLogs" /stypes="*4030*201612111*" /stext=" 18:.+((SYSTEM_STATE.+slice.+state.+changed )|(ment ac)|(multiple cpu faults)|(system.+state.+changed )|(\[timeout)|(PRM\|1\|D)|(kpr)|(kdp)|(\|lc)|(penalty))" /e /r /s</v>
      </c>
      <c r="U31" s="9" t="str">
        <f t="shared" si="2"/>
        <v>4030</v>
      </c>
      <c r="V31" s="36">
        <f t="shared" si="3"/>
        <v>42715.785474537035</v>
      </c>
      <c r="W31" s="50" t="str">
        <f t="shared" si="4"/>
        <v>EC</v>
      </c>
      <c r="X31" s="50" t="str">
        <f t="shared" si="5"/>
        <v>KEEP</v>
      </c>
      <c r="Y31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{"issue":{"subject":"","project_id":79,"tracker_id":40,"status_id":1,"priority_id":2,"assigned_to_id":23,"start_date":"2016-12-11","description":"","custom_fields":[{"id":1,"name":"Subdivision","value":"EC"},{"id":4,"name":"Milepost","value":"0.0001"},{"id":17,"name":"Train ID","value":"154-11"},{"id":16,"name":"Locomotive ID","value":"4030"},{"id":130,"name":"Impact","value":""},{"id":150,"name":"Time of Event (Mountain Time)","value":"11:51:05"},{"id":151,"name":"Denver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1" s="53"/>
      <c r="AA31" s="53"/>
      <c r="AB31" s="53"/>
      <c r="AC31" s="138" t="str">
        <f t="shared" si="7"/>
        <v>grep -hSE -A100 "Enforcement Action" "%USERPROFILE%\AppData\Local\Temp\OnboardLogs"\RTDC4030\*4030*201612111* | grep -SE "((Enforcement Ac)|(PRM))" -</v>
      </c>
      <c r="AD31" s="1" t="str">
        <f>"grep -hSE ""Enforcement Action"" "&amp;search_path&amp;"\RTDC"&amp;U31&amp;"\*"&amp;U31&amp;"*"&amp;TEXT(A31-utc_offset/24,"YYYYMMDD")&amp;LEFT(TEXT(A31-utc_offset/24,"HH"),1)&amp;"* &gt;&gt; "&amp;Variables!$A$2&amp;"-slicedisagreementcheck.txt"</f>
        <v>grep -hSE "Enforcement Action" "%USERPROFILE%\AppData\Local\Temp\OnboardLogs"\RTDC4030\*4030*201612111* &gt;&gt; 42715-slicedisagreementcheck.txt</v>
      </c>
    </row>
    <row r="32" spans="1:30" x14ac:dyDescent="0.25">
      <c r="A32" s="36">
        <v>42715.654664351852</v>
      </c>
      <c r="B32" s="31" t="s">
        <v>212</v>
      </c>
      <c r="C32" s="31" t="s">
        <v>470</v>
      </c>
      <c r="D32" s="31" t="s">
        <v>49</v>
      </c>
      <c r="E32" s="31" t="s">
        <v>201</v>
      </c>
      <c r="F32" s="47">
        <v>0</v>
      </c>
      <c r="G32" s="47">
        <v>51</v>
      </c>
      <c r="H32" s="47">
        <v>165</v>
      </c>
      <c r="I32" s="47">
        <v>118</v>
      </c>
      <c r="J32" s="31" t="s">
        <v>202</v>
      </c>
      <c r="K32" s="47">
        <v>1</v>
      </c>
      <c r="L32" s="154" t="s">
        <v>51</v>
      </c>
      <c r="M32" s="155">
        <f t="shared" si="0"/>
        <v>61.776000000000003</v>
      </c>
      <c r="N32" s="156" t="str">
        <f>VLOOKUP(C32,'Trips&amp;Operators'!$C$1:$G$99999,5,FALSE)</f>
        <v>MAHAN DUANE</v>
      </c>
      <c r="O32" s="182" t="s">
        <v>196</v>
      </c>
      <c r="P32" s="157"/>
      <c r="Q32" s="31"/>
      <c r="R32" s="100" t="str">
        <f>VLOOKUP(C32,'Train Runs'!$A$13:$AE$9971,31,0)</f>
        <v>aws s3 cp s3://rtdc.mdm.uploadarchive.raw/RTDC4012/ "%USERPROFILE%\AppData\Local\Temp\OnboardLogs"\RTDC4012\2016-12-11 --exclude "*" --recursive --include "*20161211*" &amp; "%USERPROFILE%\Documents\GitHub\mrs-test-scripts\Headless Mode &amp; Sideloading\WalkAndUnGZ.bat" "%USERPROFILE%\AppData\Local\Temp\OnboardLogs"\RTDC4012\2016-12-11 &amp; aws s3 cp s3://rtdc.mdm.uploadarchive.raw/RTDC4012/ "%USERPROFILE%\AppData\Local\Temp\OnboardLogs"\RTDC4012\2016-12-12 --exclude "*" --recursive --include "*20161212*" &amp; "%USERPROFILE%\Documents\GitHub\mrs-test-scripts\Headless Mode &amp; Sideloading\WalkAndUnGZ.bat" "%USERPROFILE%\AppData\Local\Temp\OnboardLogs"\RTDC4012\2016-12-12</v>
      </c>
      <c r="S32" s="103" t="str">
        <f>VLOOKUP(C32,'Train Runs'!$A$13:$AE$9971,22,0)</f>
        <v>https://search-rtdc-monitor-bjffxe2xuh6vdkpspy63sjmuny.us-east-1.es.amazonaws.com/_plugin/kibana/#/discover/Steve-Slow-Train-Analysis-(2080s-and-2083s)?_g=(refreshInterval:(display:Off,section:0,value:0),time:(from:'2016-12-11 13:57:28-700',mode:absolute,to:'2016-12-11 16:42:44-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4012%22')),sort:!(Time,asc))</v>
      </c>
      <c r="T32" s="105" t="str">
        <f t="shared" si="1"/>
        <v>"C:\Program Files (x86)\AstroGrep\AstroGrep.exe" /spath="%USERPROFILE%\AppData\Local\Temp\OnboardLogs" /stypes="*4012*201612112*" /stext=" 22:.+((SYSTEM_STATE.+slice.+state.+changed )|(ment ac)|(multiple cpu faults)|(system.+state.+changed )|(\[timeout)|(PRM\|1\|D)|(kpr)|(kdp)|(\|lc)|(penalty))" /e /r /s</v>
      </c>
      <c r="U32" s="9" t="str">
        <f t="shared" si="2"/>
        <v>4012</v>
      </c>
      <c r="V32" s="36">
        <f t="shared" si="3"/>
        <v>42715.946331018517</v>
      </c>
      <c r="W32" s="50" t="str">
        <f t="shared" si="4"/>
        <v>EC</v>
      </c>
      <c r="X32" s="50" t="str">
        <f t="shared" si="5"/>
        <v>KEEP</v>
      </c>
      <c r="Y32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{"issue":{"subject":"","project_id":79,"tracker_id":40,"status_id":1,"priority_id":2,"assigned_to_id":23,"start_date":"2016-12-11","description":"","custom_fields":[{"id":1,"name":"Subdivision","value":"EC"},{"id":4,"name":"Milepost","value":"0.0001"},{"id":17,"name":"Train ID","value":"184-11"},{"id":16,"name":"Locomotive ID","value":"4012"},{"id":130,"name":"Impact","value":""},{"id":150,"name":"Time of Event (Mountain Time)","value":"15:42:43"},{"id":151,"name":"Denver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2" s="53"/>
      <c r="AA32" s="53"/>
      <c r="AB32" s="53"/>
      <c r="AC32" s="138" t="str">
        <f t="shared" si="7"/>
        <v>grep -hSE -A100 "Enforcement Action" "%USERPROFILE%\AppData\Local\Temp\OnboardLogs"\RTDC4012\*4012*201612112* | grep -SE "((Enforcement Ac)|(PRM))" -</v>
      </c>
      <c r="AD32" s="1" t="str">
        <f>"grep -hSE ""Enforcement Action"" "&amp;search_path&amp;"\RTDC"&amp;U32&amp;"\*"&amp;U32&amp;"*"&amp;TEXT(A32-utc_offset/24,"YYYYMMDD")&amp;LEFT(TEXT(A32-utc_offset/24,"HH"),1)&amp;"* &gt;&gt; "&amp;Variables!$A$2&amp;"-slicedisagreementcheck.txt"</f>
        <v>grep -hSE "Enforcement Action" "%USERPROFILE%\AppData\Local\Temp\OnboardLogs"\RTDC4012\*4012*201612112* &gt;&gt; 42715-slicedisagreementcheck.txt</v>
      </c>
    </row>
    <row r="33" spans="1:30" x14ac:dyDescent="0.25">
      <c r="A33" s="36">
        <v>42715.859432870369</v>
      </c>
      <c r="B33" s="31" t="s">
        <v>268</v>
      </c>
      <c r="C33" s="31" t="s">
        <v>480</v>
      </c>
      <c r="D33" s="31" t="s">
        <v>49</v>
      </c>
      <c r="E33" s="31" t="s">
        <v>201</v>
      </c>
      <c r="F33" s="47">
        <v>0</v>
      </c>
      <c r="G33" s="47">
        <v>51</v>
      </c>
      <c r="H33" s="47">
        <v>176</v>
      </c>
      <c r="I33" s="47">
        <v>127</v>
      </c>
      <c r="J33" s="31" t="s">
        <v>202</v>
      </c>
      <c r="K33" s="47">
        <v>1</v>
      </c>
      <c r="L33" s="154" t="s">
        <v>51</v>
      </c>
      <c r="M33" s="155">
        <f t="shared" si="0"/>
        <v>66.528000000000006</v>
      </c>
      <c r="N33" s="156" t="str">
        <f>VLOOKUP(C33,'Trips&amp;Operators'!$C$1:$G$99999,5,FALSE)</f>
        <v>LEVERE CRAIG</v>
      </c>
      <c r="O33" s="182" t="s">
        <v>230</v>
      </c>
      <c r="P33" s="157" t="s">
        <v>967</v>
      </c>
      <c r="Q33" s="31"/>
      <c r="R33" s="100" t="str">
        <f>VLOOKUP(C33,'Train Runs'!$A$13:$AE$9971,31,0)</f>
        <v>aws s3 cp s3://rtdc.mdm.uploadarchive.raw/RTDC4030/ "%USERPROFILE%\AppData\Local\Temp\OnboardLogs"\RTDC4030\2016-12-11 --exclude "*" --recursive --include "*20161211*" &amp; "%USERPROFILE%\Documents\GitHub\mrs-test-scripts\Headless Mode &amp; Sideloading\WalkAndUnGZ.bat" "%USERPROFILE%\AppData\Local\Temp\OnboardLogs"\RTDC4030\2016-12-11 &amp; aws s3 cp s3://rtdc.mdm.uploadarchive.raw/RTDC4030/ "%USERPROFILE%\AppData\Local\Temp\OnboardLogs"\RTDC4030\2016-12-12 --exclude "*" --recursive --include "*20161212*" &amp; "%USERPROFILE%\Documents\GitHub\mrs-test-scripts\Headless Mode &amp; Sideloading\WalkAndUnGZ.bat" "%USERPROFILE%\AppData\Local\Temp\OnboardLogs"\RTDC4030\2016-12-12</v>
      </c>
      <c r="S33" s="103" t="str">
        <f>VLOOKUP(C33,'Train Runs'!$A$13:$AE$9971,22,0)</f>
        <v>https://search-rtdc-monitor-bjffxe2xuh6vdkpspy63sjmuny.us-east-1.es.amazonaws.com/_plugin/kibana/#/discover/Steve-Slow-Train-Analysis-(2080s-and-2083s)?_g=(refreshInterval:(display:Off,section:0,value:0),time:(from:'2016-12-11 18:46:09-700',mode:absolute,to:'2016-12-11 21:37:36-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4030%22')),sort:!(Time,asc))</v>
      </c>
      <c r="T33" s="105" t="str">
        <f t="shared" si="1"/>
        <v>"C:\Program Files (x86)\AstroGrep\AstroGrep.exe" /spath="%USERPROFILE%\AppData\Local\Temp\OnboardLogs" /stypes="*4030*201612120*" /stext=" 03:.+((SYSTEM_STATE.+slice.+state.+changed )|(ment ac)|(multiple cpu faults)|(system.+state.+changed )|(\[timeout)|(PRM\|1\|D)|(kpr)|(kdp)|(\|lc)|(penalty))" /e /r /s</v>
      </c>
      <c r="U33" s="9" t="str">
        <f t="shared" si="2"/>
        <v>4030</v>
      </c>
      <c r="V33" s="36">
        <f t="shared" si="3"/>
        <v>42716.151099537034</v>
      </c>
      <c r="W33" s="50" t="str">
        <f t="shared" si="4"/>
        <v>EC</v>
      </c>
      <c r="X33" s="50" t="str">
        <f t="shared" si="5"/>
        <v>KEEP</v>
      </c>
      <c r="Y33" s="119" t="str">
        <f t="shared" si="6"/>
        <v>echo {"issue":{"subject":"Banner without braking","project_id":79,"tracker_id":40,"status_id":1,"priority_id":2,"assigned_to_id":23,"start_date":"2016-12-11","description":"","custom_fields":[{"id":1,"name":"Subdivision","value":"EC"},{"id":4,"name":"Milepost","value":"0.0001"},{"id":17,"name":"Train ID","value":"222-11"},{"id":16,"name":"Locomotive ID","value":"4030"},{"id":130,"name":"Impact","value":""},{"id":150,"name":"Time of Event (Mountain Time)","value":"20:37:35"},{"id":151,"name":"Denver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3" s="53"/>
      <c r="AA33" s="53"/>
      <c r="AB33" s="53"/>
      <c r="AC33" s="138" t="str">
        <f t="shared" si="7"/>
        <v>grep -hSE -A100 "Enforcement Action" "%USERPROFILE%\AppData\Local\Temp\OnboardLogs"\RTDC4030\*4030*201612120* | grep -SE "((Enforcement Ac)|(PRM))" -</v>
      </c>
      <c r="AD33" s="1" t="str">
        <f>"grep -hSE ""Enforcement Action"" "&amp;search_path&amp;"\RTDC"&amp;U33&amp;"\*"&amp;U33&amp;"*"&amp;TEXT(A33-utc_offset/24,"YYYYMMDD")&amp;LEFT(TEXT(A33-utc_offset/24,"HH"),1)&amp;"* &gt;&gt; "&amp;Variables!$A$2&amp;"-slicedisagreementcheck.txt"</f>
        <v>grep -hSE "Enforcement Action" "%USERPROFILE%\AppData\Local\Temp\OnboardLogs"\RTDC4030\*4030*201612120* &gt;&gt; 42715-slicedisagreementcheck.txt</v>
      </c>
    </row>
    <row r="34" spans="1:30" x14ac:dyDescent="0.25">
      <c r="A34" s="36">
        <v>42715.161643518521</v>
      </c>
      <c r="B34" s="31" t="s">
        <v>271</v>
      </c>
      <c r="C34" s="31" t="s">
        <v>447</v>
      </c>
      <c r="D34" s="31" t="s">
        <v>49</v>
      </c>
      <c r="E34" s="31" t="s">
        <v>201</v>
      </c>
      <c r="F34" s="47">
        <v>0</v>
      </c>
      <c r="G34" s="47">
        <v>37</v>
      </c>
      <c r="H34" s="47">
        <v>233376</v>
      </c>
      <c r="I34" s="47">
        <v>233397</v>
      </c>
      <c r="J34" s="31" t="s">
        <v>202</v>
      </c>
      <c r="K34" s="47">
        <v>233491</v>
      </c>
      <c r="L34" s="154" t="s">
        <v>50</v>
      </c>
      <c r="M34" s="155">
        <f t="shared" si="0"/>
        <v>49.631999999999998</v>
      </c>
      <c r="N34" s="156" t="str">
        <f>VLOOKUP(C34,'Trips&amp;Operators'!$C$1:$G$99999,5,FALSE)</f>
        <v>KILLION DAVID</v>
      </c>
      <c r="O34" s="182" t="s">
        <v>196</v>
      </c>
      <c r="P34" s="157"/>
      <c r="Q34" s="31"/>
      <c r="R34" s="100" t="str">
        <f>VLOOKUP(C34,'Train Runs'!$A$13:$AE$9971,31,0)</f>
        <v>aws s3 cp s3://rtdc.mdm.uploadarchive.raw/RTDC4029/ "%USERPROFILE%\AppData\Local\Temp\OnboardLogs"\RTDC4029\2016-12-11 --exclude "*" --recursive --include "*20161211*" &amp; "%USERPROFILE%\Documents\GitHub\mrs-test-scripts\Headless Mode &amp; Sideloading\WalkAndUnGZ.bat" "%USERPROFILE%\AppData\Local\Temp\OnboardLogs"\RTDC4029\2016-12-11 &amp; aws s3 cp s3://rtdc.mdm.uploadarchive.raw/RTDC4029/ "%USERPROFILE%\AppData\Local\Temp\OnboardLogs"\RTDC4029\2016-12-12 --exclude "*" --recursive --include "*20161212*" &amp; "%USERPROFILE%\Documents\GitHub\mrs-test-scripts\Headless Mode &amp; Sideloading\WalkAndUnGZ.bat" "%USERPROFILE%\AppData\Local\Temp\OnboardLogs"\RTDC4029\2016-12-12</v>
      </c>
      <c r="S34" s="103" t="str">
        <f>VLOOKUP(C34,'Train Runs'!$A$13:$AE$9971,22,0)</f>
        <v>https://search-rtdc-monitor-bjffxe2xuh6vdkpspy63sjmuny.us-east-1.es.amazonaws.com/_plugin/kibana/#/discover/Steve-Slow-Train-Analysis-(2080s-and-2083s)?_g=(refreshInterval:(display:Off,section:0,value:0),time:(from:'2016-12-11 02:09:25-700',mode:absolute,to:'2016-12-11 05:53:23-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4029%22')),sort:!(Time,asc))</v>
      </c>
      <c r="T34" s="105" t="str">
        <f t="shared" si="1"/>
        <v>"C:\Program Files (x86)\AstroGrep\AstroGrep.exe" /spath="%USERPROFILE%\AppData\Local\Temp\OnboardLogs" /stypes="*4029*201612111*" /stext=" 10:.+((SYSTEM_STATE.+slice.+state.+changed )|(ment ac)|(multiple cpu faults)|(system.+state.+changed )|(\[timeout)|(PRM\|1\|D)|(kpr)|(kdp)|(\|lc)|(penalty))" /e /r /s</v>
      </c>
      <c r="U34" s="9" t="str">
        <f t="shared" si="2"/>
        <v>4029</v>
      </c>
      <c r="V34" s="36">
        <f t="shared" si="3"/>
        <v>42715.453310185185</v>
      </c>
      <c r="W34" s="50" t="str">
        <f t="shared" si="4"/>
        <v>EC</v>
      </c>
      <c r="X34" s="50" t="str">
        <f t="shared" si="5"/>
        <v>KEEP</v>
      </c>
      <c r="Y34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{"issue":{"subject":"","project_id":79,"tracker_id":40,"status_id":1,"priority_id":2,"assigned_to_id":23,"start_date":"2016-12-11","description":"","custom_fields":[{"id":1,"name":"Subdivision","value":"EC"},{"id":4,"name":"Milepost","value":"23.3491"},{"id":17,"name":"Train ID","value":"101-11"},{"id":16,"name":"Locomotive ID","value":"4029"},{"id":130,"name":"Impact","value":""},{"id":150,"name":"Time of Event (Mountain Time)","value":"03:52:46"},{"id":151,"name":"Denver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4" s="53"/>
      <c r="AA34" s="53"/>
      <c r="AB34" s="53"/>
      <c r="AC34" s="138" t="str">
        <f t="shared" si="7"/>
        <v>grep -hSE -A100 "Enforcement Action" "%USERPROFILE%\AppData\Local\Temp\OnboardLogs"\RTDC4029\*4029*201612111* | grep -SE "((Enforcement Ac)|(PRM))" -</v>
      </c>
      <c r="AD34" s="1" t="str">
        <f>"grep -hSE ""Enforcement Action"" "&amp;search_path&amp;"\RTDC"&amp;U34&amp;"\*"&amp;U34&amp;"*"&amp;TEXT(A34-utc_offset/24,"YYYYMMDD")&amp;LEFT(TEXT(A34-utc_offset/24,"HH"),1)&amp;"* &gt;&gt; "&amp;Variables!$A$2&amp;"-slicedisagreementcheck.txt"</f>
        <v>grep -hSE "Enforcement Action" "%USERPROFILE%\AppData\Local\Temp\OnboardLogs"\RTDC4029\*4029*201612111* &gt;&gt; 42715-slicedisagreementcheck.txt</v>
      </c>
    </row>
    <row r="35" spans="1:30" x14ac:dyDescent="0.25">
      <c r="A35" s="36">
        <v>42715.642766203702</v>
      </c>
      <c r="B35" s="31" t="s">
        <v>239</v>
      </c>
      <c r="C35" s="31" t="s">
        <v>468</v>
      </c>
      <c r="D35" s="31" t="s">
        <v>49</v>
      </c>
      <c r="E35" s="31" t="s">
        <v>201</v>
      </c>
      <c r="F35" s="47">
        <v>0</v>
      </c>
      <c r="G35" s="47">
        <v>37</v>
      </c>
      <c r="H35" s="47">
        <v>233351</v>
      </c>
      <c r="I35" s="47">
        <v>233382</v>
      </c>
      <c r="J35" s="31" t="s">
        <v>202</v>
      </c>
      <c r="K35" s="47">
        <v>233491</v>
      </c>
      <c r="L35" s="154" t="s">
        <v>50</v>
      </c>
      <c r="M35" s="155">
        <f t="shared" si="0"/>
        <v>57.552</v>
      </c>
      <c r="N35" s="156" t="str">
        <f>VLOOKUP(C35,'Trips&amp;Operators'!$C$1:$G$99999,5,FALSE)</f>
        <v>BARTLETT KIANDRA</v>
      </c>
      <c r="O35" s="182" t="s">
        <v>196</v>
      </c>
      <c r="P35" s="157"/>
      <c r="Q35" s="31"/>
      <c r="R35" s="100" t="str">
        <f>VLOOKUP(C35,'Train Runs'!$A$13:$AE$9971,31,0)</f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S35" s="103" t="str">
        <f>VLOOKUP(C35,'Train Runs'!$A$13:$AE$9971,22,0)</f>
        <v>https://search-rtdc-monitor-bjffxe2xuh6vdkpspy63sjmuny.us-east-1.es.amazonaws.com/_plugin/kibana/#/discover/Steve-Slow-Train-Analysis-(2080s-and-2083s)?_g=(refreshInterval:(display:Off,section:0,value:0),time:(from:'2016-12-11 13:41:01-700',mode:absolute,to:'2016-12-11 16:25:34-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5" s="105" t="str">
        <f t="shared" si="1"/>
        <v>"C:\Program Files (x86)\AstroGrep\AstroGrep.exe" /spath="%USERPROFILE%\AppData\Local\Temp\OnboardLogs" /stypes="*4042*201612112*" /stext=" 22:.+((SYSTEM_STATE.+slice.+state.+changed )|(ment ac)|(multiple cpu faults)|(system.+state.+changed )|(\[timeout)|(PRM\|1\|D)|(kpr)|(kdp)|(\|lc)|(penalty))" /e /r /s</v>
      </c>
      <c r="U35" s="9" t="str">
        <f t="shared" si="2"/>
        <v>4042</v>
      </c>
      <c r="V35" s="36">
        <f t="shared" si="3"/>
        <v>42715.934432870366</v>
      </c>
      <c r="W35" s="50" t="str">
        <f t="shared" si="4"/>
        <v>EC</v>
      </c>
      <c r="X35" s="50" t="str">
        <f t="shared" si="5"/>
        <v>KEEP</v>
      </c>
      <c r="Y35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{"issue":{"subject":"","project_id":79,"tracker_id":40,"status_id":1,"priority_id":2,"assigned_to_id":23,"start_date":"2016-12-11","description":"","custom_fields":[{"id":1,"name":"Subdivision","value":"EC"},{"id":4,"name":"Milepost","value":"23.3491"},{"id":17,"name":"Train ID","value":"189-11"},{"id":16,"name":"Locomotive ID","value":"4042"},{"id":130,"name":"Impact","value":""},{"id":150,"name":"Time of Event (Mountain Time)","value":"15:25:35"},{"id":151,"name":"Denver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5" s="53"/>
      <c r="AA35" s="53"/>
      <c r="AB35" s="53"/>
      <c r="AC35" s="138" t="str">
        <f t="shared" si="7"/>
        <v>grep -hSE -A100 "Enforcement Action" "%USERPROFILE%\AppData\Local\Temp\OnboardLogs"\RTDC4042\*4042*201612112* | grep -SE "((Enforcement Ac)|(PRM))" -</v>
      </c>
      <c r="AD35" s="1" t="str">
        <f>"grep -hSE ""Enforcement Action"" "&amp;search_path&amp;"\RTDC"&amp;U35&amp;"\*"&amp;U35&amp;"*"&amp;TEXT(A35-utc_offset/24,"YYYYMMDD")&amp;LEFT(TEXT(A35-utc_offset/24,"HH"),1)&amp;"* &gt;&gt; "&amp;Variables!$A$2&amp;"-slicedisagreementcheck.txt"</f>
        <v>grep -hSE "Enforcement Action" "%USERPROFILE%\AppData\Local\Temp\OnboardLogs"\RTDC4042\*4042*201612112* &gt;&gt; 42715-slicedisagreementcheck.txt</v>
      </c>
    </row>
    <row r="36" spans="1:30" x14ac:dyDescent="0.25">
      <c r="A36" s="36">
        <v>42715.666134259256</v>
      </c>
      <c r="B36" s="31" t="s">
        <v>233</v>
      </c>
      <c r="C36" s="31" t="s">
        <v>469</v>
      </c>
      <c r="D36" s="31" t="s">
        <v>49</v>
      </c>
      <c r="E36" s="31" t="s">
        <v>201</v>
      </c>
      <c r="F36" s="47">
        <v>0</v>
      </c>
      <c r="G36" s="47">
        <v>83</v>
      </c>
      <c r="H36" s="47">
        <v>233190</v>
      </c>
      <c r="I36" s="47">
        <v>233280</v>
      </c>
      <c r="J36" s="31" t="s">
        <v>202</v>
      </c>
      <c r="K36" s="47">
        <v>233491</v>
      </c>
      <c r="L36" s="154" t="s">
        <v>50</v>
      </c>
      <c r="M36" s="155">
        <f t="shared" si="0"/>
        <v>111.408</v>
      </c>
      <c r="N36" s="156" t="str">
        <f>VLOOKUP(C36,'Trips&amp;Operators'!$C$1:$G$99999,5,FALSE)</f>
        <v>BROWN JACOB</v>
      </c>
      <c r="O36" s="182" t="s">
        <v>196</v>
      </c>
      <c r="P36" s="157"/>
      <c r="Q36" s="31"/>
      <c r="R36" s="100" t="str">
        <f>VLOOKUP(C36,'Train Runs'!$A$13:$AE$9971,31,0)</f>
        <v>aws s3 cp s3://rtdc.mdm.uploadarchive.raw/RTDC4031/ "%USERPROFILE%\AppData\Local\Temp\OnboardLogs"\RTDC4031\2016-12-11 --exclude "*" --recursive --include "*20161211*" &amp; "%USERPROFILE%\Documents\GitHub\mrs-test-scripts\Headless Mode &amp; Sideloading\WalkAndUnGZ.bat" "%USERPROFILE%\AppData\Local\Temp\OnboardLogs"\RTDC4031\2016-12-11 &amp; aws s3 cp s3://rtdc.mdm.uploadarchive.raw/RTDC4031/ "%USERPROFILE%\AppData\Local\Temp\OnboardLogs"\RTDC4031\2016-12-12 --exclude "*" --recursive --include "*20161212*" &amp; "%USERPROFILE%\Documents\GitHub\mrs-test-scripts\Headless Mode &amp; Sideloading\WalkAndUnGZ.bat" "%USERPROFILE%\AppData\Local\Temp\OnboardLogs"\RTDC4031\2016-12-12</v>
      </c>
      <c r="S36" s="103" t="str">
        <f>VLOOKUP(C36,'Train Runs'!$A$13:$AE$9971,22,0)</f>
        <v>https://search-rtdc-monitor-bjffxe2xuh6vdkpspy63sjmuny.us-east-1.es.amazonaws.com/_plugin/kibana/#/discover/Steve-Slow-Train-Analysis-(2080s-and-2083s)?_g=(refreshInterval:(display:Off,section:0,value:0),time:(from:'2016-12-11 14:14:51-700',mode:absolute,to:'2016-12-11 16:59:13-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4031%22')),sort:!(Time,asc))</v>
      </c>
      <c r="T36" s="105" t="str">
        <f t="shared" si="1"/>
        <v>"C:\Program Files (x86)\AstroGrep\AstroGrep.exe" /spath="%USERPROFILE%\AppData\Local\Temp\OnboardLogs" /stypes="*4031*201612112*" /stext=" 22:.+((SYSTEM_STATE.+slice.+state.+changed )|(ment ac)|(multiple cpu faults)|(system.+state.+changed )|(\[timeout)|(PRM\|1\|D)|(kpr)|(kdp)|(\|lc)|(penalty))" /e /r /s</v>
      </c>
      <c r="U36" s="9" t="str">
        <f t="shared" si="2"/>
        <v>4031</v>
      </c>
      <c r="V36" s="36">
        <f t="shared" si="3"/>
        <v>42715.95780092592</v>
      </c>
      <c r="W36" s="50" t="str">
        <f t="shared" si="4"/>
        <v>EC</v>
      </c>
      <c r="X36" s="50" t="str">
        <f t="shared" si="5"/>
        <v>KEEP</v>
      </c>
      <c r="Y36" s="119" t="str">
        <f t="shared" si="6"/>
        <v>echo {"issue":{"subject":"","project_id":79,"tracker_id":40,"status_id":1,"priority_id":2,"assigned_to_id":23,"start_date":"2016-12-11","description":"","custom_fields":[{"id":1,"name":"Subdivision","value":"EC"},{"id":4,"name":"Milepost","value":"23.3491"},{"id":17,"name":"Train ID","value":"193-11"},{"id":16,"name":"Locomotive ID","value":"4031"},{"id":130,"name":"Impact","value":""},{"id":150,"name":"Time of Event (Mountain Time)","value":"15:59:14"},{"id":151,"name":"Denver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6" s="53"/>
      <c r="AA36" s="53"/>
      <c r="AB36" s="53"/>
      <c r="AC36" s="138" t="str">
        <f t="shared" si="7"/>
        <v>grep -hSE -A100 "Enforcement Action" "%USERPROFILE%\AppData\Local\Temp\OnboardLogs"\RTDC4031\*4031*201612112* | grep -SE "((Enforcement Ac)|(PRM))" -</v>
      </c>
      <c r="AD36" s="1" t="str">
        <f>"grep -hSE ""Enforcement Action"" "&amp;search_path&amp;"\RTDC"&amp;U36&amp;"\*"&amp;U36&amp;"*"&amp;TEXT(A36-utc_offset/24,"YYYYMMDD")&amp;LEFT(TEXT(A36-utc_offset/24,"HH"),1)&amp;"* &gt;&gt; "&amp;Variables!$A$2&amp;"-slicedisagreementcheck.txt"</f>
        <v>grep -hSE "Enforcement Action" "%USERPROFILE%\AppData\Local\Temp\OnboardLogs"\RTDC4031\*4031*201612112* &gt;&gt; 42715-slicedisagreementcheck.txt</v>
      </c>
    </row>
    <row r="37" spans="1:30" x14ac:dyDescent="0.25">
      <c r="A37" s="36">
        <v>42715.718055555553</v>
      </c>
      <c r="B37" s="31" t="s">
        <v>239</v>
      </c>
      <c r="C37" s="31" t="s">
        <v>473</v>
      </c>
      <c r="D37" s="31" t="s">
        <v>49</v>
      </c>
      <c r="E37" s="31" t="s">
        <v>201</v>
      </c>
      <c r="F37" s="47">
        <v>0</v>
      </c>
      <c r="G37" s="47">
        <v>42</v>
      </c>
      <c r="H37" s="47">
        <v>233327</v>
      </c>
      <c r="I37" s="47">
        <v>233359</v>
      </c>
      <c r="J37" s="31" t="s">
        <v>202</v>
      </c>
      <c r="K37" s="47">
        <v>233491</v>
      </c>
      <c r="L37" s="154" t="s">
        <v>50</v>
      </c>
      <c r="M37" s="155">
        <f t="shared" si="0"/>
        <v>69.695999999999998</v>
      </c>
      <c r="N37" s="156" t="str">
        <f>VLOOKUP(C37,'Trips&amp;Operators'!$C$1:$G$99999,5,FALSE)</f>
        <v>BARTLETT KIANDRA</v>
      </c>
      <c r="O37" s="182" t="s">
        <v>230</v>
      </c>
      <c r="P37" s="157" t="s">
        <v>967</v>
      </c>
      <c r="Q37" s="31"/>
      <c r="R37" s="100" t="str">
        <f>VLOOKUP(C37,'Train Runs'!$A$13:$AE$9971,31,0)</f>
        <v>aws s3 cp s3://rtdc.mdm.uploadarchive.raw/RTDC4042/ "%USERPROFILE%\AppData\Local\Temp\OnboardLogs"\RTDC4042\2016-12-11 --exclude "*" --recursive --include "*20161211*" &amp; "%USERPROFILE%\Documents\GitHub\mrs-test-scripts\Headless Mode &amp; Sideloading\WalkAndUnGZ.bat" "%USERPROFILE%\AppData\Local\Temp\OnboardLogs"\RTDC4042\2016-12-11 &amp; aws s3 cp s3://rtdc.mdm.uploadarchive.raw/RTDC4042/ "%USERPROFILE%\AppData\Local\Temp\OnboardLogs"\RTDC4042\2016-12-12 --exclude "*" --recursive --include "*20161212*" &amp; "%USERPROFILE%\Documents\GitHub\mrs-test-scripts\Headless Mode &amp; Sideloading\WalkAndUnGZ.bat" "%USERPROFILE%\AppData\Local\Temp\OnboardLogs"\RTDC4042\2016-12-12</v>
      </c>
      <c r="S37" s="103" t="str">
        <f>VLOOKUP(C37,'Train Runs'!$A$13:$AE$9971,22,0)</f>
        <v>https://search-rtdc-monitor-bjffxe2xuh6vdkpspy63sjmuny.us-east-1.es.amazonaws.com/_plugin/kibana/#/discover/Steve-Slow-Train-Analysis-(2080s-and-2083s)?_g=(refreshInterval:(display:Off,section:0,value:0),time:(from:'2016-12-11 15:31:46-700',mode:absolute,to:'2016-12-11 18:13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4042%22')),sort:!(Time,asc))</v>
      </c>
      <c r="T37" s="105" t="str">
        <f t="shared" si="1"/>
        <v>"C:\Program Files (x86)\AstroGrep\AstroGrep.exe" /spath="%USERPROFILE%\AppData\Local\Temp\OnboardLogs" /stypes="*4042*201612120*" /stext=" 00:.+((SYSTEM_STATE.+slice.+state.+changed )|(ment ac)|(multiple cpu faults)|(system.+state.+changed )|(\[timeout)|(PRM\|1\|D)|(kpr)|(kdp)|(\|lc)|(penalty))" /e /r /s</v>
      </c>
      <c r="U37" s="9" t="str">
        <f t="shared" si="2"/>
        <v>4042</v>
      </c>
      <c r="V37" s="36">
        <f t="shared" si="3"/>
        <v>42716.009722222218</v>
      </c>
      <c r="W37" s="50" t="str">
        <f t="shared" si="4"/>
        <v>EC</v>
      </c>
      <c r="X37" s="50" t="str">
        <f t="shared" si="5"/>
        <v>KEEP</v>
      </c>
      <c r="Y37" s="119" t="str">
        <f t="shared" si="6"/>
        <v>echo {"issue":{"subject":"Banner without braking","project_id":79,"tracker_id":40,"status_id":1,"priority_id":2,"assigned_to_id":23,"start_date":"2016-12-11","description":"","custom_fields":[{"id":1,"name":"Subdivision","value":"EC"},{"id":4,"name":"Milepost","value":"23.3491"},{"id":17,"name":"Train ID","value":"203-11"},{"id":16,"name":"Locomotive ID","value":"4042"},{"id":130,"name":"Impact","value":""},{"id":150,"name":"Time of Event (Mountain Time)","value":"17:14:00"},{"id":151,"name":"Denver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7" s="53"/>
      <c r="AA37" s="53"/>
      <c r="AB37" s="53"/>
      <c r="AC37" s="138" t="str">
        <f t="shared" si="7"/>
        <v>grep -hSE -A100 "Enforcement Action" "%USERPROFILE%\AppData\Local\Temp\OnboardLogs"\RTDC4042\*4042*201612120* | grep -SE "((Enforcement Ac)|(PRM))" -</v>
      </c>
      <c r="AD37" s="1" t="str">
        <f>"grep -hSE ""Enforcement Action"" "&amp;search_path&amp;"\RTDC"&amp;U37&amp;"\*"&amp;U37&amp;"*"&amp;TEXT(A37-utc_offset/24,"YYYYMMDD")&amp;LEFT(TEXT(A37-utc_offset/24,"HH"),1)&amp;"* &gt;&gt; "&amp;Variables!$A$2&amp;"-slicedisagreementcheck.txt"</f>
        <v>grep -hSE "Enforcement Action" "%USERPROFILE%\AppData\Local\Temp\OnboardLogs"\RTDC4042\*4042*201612120* &gt;&gt; 42715-slicedisagreementcheck.txt</v>
      </c>
    </row>
    <row r="38" spans="1:30" x14ac:dyDescent="0.25">
      <c r="A38" s="36">
        <v>42715.452013888891</v>
      </c>
      <c r="B38" s="31" t="s">
        <v>302</v>
      </c>
      <c r="C38" s="31" t="s">
        <v>458</v>
      </c>
      <c r="D38" s="31" t="s">
        <v>49</v>
      </c>
      <c r="E38" s="31" t="s">
        <v>269</v>
      </c>
      <c r="F38" s="47">
        <v>300</v>
      </c>
      <c r="G38" s="47">
        <v>396</v>
      </c>
      <c r="H38" s="47">
        <v>16661</v>
      </c>
      <c r="I38" s="47">
        <v>15607</v>
      </c>
      <c r="J38" s="31" t="s">
        <v>270</v>
      </c>
      <c r="K38" s="47">
        <v>15777</v>
      </c>
      <c r="L38" s="154" t="s">
        <v>51</v>
      </c>
      <c r="M38" s="155">
        <f t="shared" si="0"/>
        <v>-89.76</v>
      </c>
      <c r="N38" s="156" t="str">
        <f>VLOOKUP(C38,'Trips&amp;Operators'!$C$1:$G$99999,5,FALSE)</f>
        <v>STARKS ANGELINA</v>
      </c>
      <c r="O38" s="182" t="s">
        <v>230</v>
      </c>
      <c r="P38" s="157" t="s">
        <v>844</v>
      </c>
      <c r="Q38" s="31"/>
      <c r="R38" s="100" t="str">
        <f>VLOOKUP(C38,'Train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38" s="103" t="str">
        <f>VLOOKUP(C38,'Train Runs'!$A$13:$AE$9971,22,0)</f>
        <v>https://search-rtdc-monitor-bjffxe2xuh6vdkpspy63sjmuny.us-east-1.es.amazonaws.com/_plugin/kibana/#/discover/Steve-Slow-Train-Analysis-(2080s-and-2083s)?_g=(refreshInterval:(display:Off,section:0,value:0),time:(from:'2016-12-11 09:36:26-700',mode:absolute,to:'2016-12-11 11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38" s="105" t="str">
        <f t="shared" si="1"/>
        <v>"C:\Program Files (x86)\AstroGrep\AstroGrep.exe" /spath="%USERPROFILE%\AppData\Local\Temp\OnboardLogs" /stypes="*4045*201612111*" /stext=" 17:.+((SYSTEM_STATE.+slice.+state.+changed )|(ment ac)|(multiple cpu faults)|(system.+state.+changed )|(\[timeout)|(PRM\|1\|D)|(kpr)|(kdp)|(\|lc)|(penalty))" /e /r /s</v>
      </c>
      <c r="U38" s="9" t="str">
        <f t="shared" si="2"/>
        <v>4045</v>
      </c>
      <c r="V38" s="36">
        <f t="shared" si="3"/>
        <v>42715.743680555555</v>
      </c>
      <c r="W38" s="50" t="str">
        <f t="shared" si="4"/>
        <v>NW</v>
      </c>
      <c r="X38" s="50" t="str">
        <f t="shared" si="5"/>
        <v>KEEP</v>
      </c>
      <c r="Y38" s="119" t="str">
        <f t="shared" si="6"/>
        <v>echo {"issue":{"subject":"Early arrival (41st)","project_id":79,"tracker_id":40,"status_id":1,"priority_id":2,"assigned_to_id":23,"start_date":"2016-12-11","description":"","custom_fields":[{"id":1,"name":"Subdivision","value":"NW"},{"id":4,"name":"Milepost","value":"1.5777"},{"id":17,"name":"Train ID","value":"1810-11"},{"id":16,"name":"Locomotive ID","value":"4045"},{"id":130,"name":"Impact","value":""},{"id":150,"name":"Time of Event (Mountain Time)","value":"10:50:54"},{"id":151,"name":"Denver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8" s="53"/>
      <c r="AA38" s="53"/>
      <c r="AB38" s="53"/>
      <c r="AC38" s="138" t="str">
        <f t="shared" si="7"/>
        <v>grep -hSE -A100 "Enforcement Action" "%USERPROFILE%\AppData\Local\Temp\OnboardLogs"\RTDC4045\*4045*201612111* | grep -SE "((Enforcement Ac)|(PRM))" -</v>
      </c>
      <c r="AD38" s="1" t="str">
        <f>"grep -hSE ""Enforcement Action"" "&amp;search_path&amp;"\RTDC"&amp;U38&amp;"\*"&amp;U38&amp;"*"&amp;TEXT(A38-utc_offset/24,"YYYYMMDD")&amp;LEFT(TEXT(A38-utc_offset/24,"HH"),1)&amp;"* &gt;&gt; "&amp;Variables!$A$2&amp;"-slicedisagreementcheck.txt"</f>
        <v>grep -hSE "Enforcement Action" "%USERPROFILE%\AppData\Local\Temp\OnboardLogs"\RTDC4045\*4045*201612111* &gt;&gt; 42715-slicedisagreementcheck.txt</v>
      </c>
    </row>
    <row r="39" spans="1:30" x14ac:dyDescent="0.25">
      <c r="A39" s="36">
        <v>42715.685659722221</v>
      </c>
      <c r="B39" s="31" t="s">
        <v>235</v>
      </c>
      <c r="C39" s="31" t="s">
        <v>471</v>
      </c>
      <c r="D39" s="31" t="s">
        <v>98</v>
      </c>
      <c r="E39" s="31" t="s">
        <v>197</v>
      </c>
      <c r="F39" s="47">
        <v>150</v>
      </c>
      <c r="G39" s="47">
        <v>203</v>
      </c>
      <c r="H39" s="47">
        <v>5655</v>
      </c>
      <c r="I39" s="47">
        <v>5946</v>
      </c>
      <c r="J39" s="31" t="s">
        <v>198</v>
      </c>
      <c r="K39" s="47">
        <v>574</v>
      </c>
      <c r="L39" s="154" t="s">
        <v>50</v>
      </c>
      <c r="M39" s="155">
        <f t="shared" ref="M39:M70" si="8">CONVERT((I39-K39)/10000,"mi","ft")*IF(L39="Increasing Mileposts (1)",-1,1)</f>
        <v>-2836.4160000000002</v>
      </c>
      <c r="N39" s="156" t="str">
        <f>VLOOKUP(C39,'Trips&amp;Operators'!$C$1:$G$99999,5,FALSE)</f>
        <v>ADANE ELSHADAY</v>
      </c>
      <c r="O39" s="182" t="s">
        <v>196</v>
      </c>
      <c r="P39" s="157"/>
      <c r="Q39" s="31"/>
      <c r="R39" s="100" t="str">
        <f>VLOOKUP(C39,'Train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39" s="103" t="str">
        <f>VLOOKUP(C39,'Train Runs'!$A$13:$AE$9971,22,0)</f>
        <v>https://search-rtdc-monitor-bjffxe2xuh6vdkpspy63sjmuny.us-east-1.es.amazonaws.com/_plugin/kibana/#/discover/Steve-Slow-Train-Analysis-(2080s-and-2083s)?_g=(refreshInterval:(display:Off,section:0,value:0),time:(from:'2016-12-11 15:04:30-700',mode:absolute,to:'2016-12-11 17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39" s="105" t="str">
        <f t="shared" ref="T39:T70" si="9">astrogrep_path&amp;" /spath="&amp;search_path&amp;" /stypes=""*"&amp;U39&amp;"*"&amp;TEXT(A39-utc_offset/24,"YYYYMMDD")&amp;LEFT(TEXT(A39-utc_offset/24,"HH"),1)&amp;"*"" /stext="" "&amp;TEXT(A39-utc_offset/24,"HH")&amp;search_regexp&amp;""" /e /r /s"</f>
        <v>"C:\Program Files (x86)\AstroGrep\AstroGrep.exe" /spath="%USERPROFILE%\AppData\Local\Temp\OnboardLogs" /stypes="*4046*201612112*" /stext=" 23:.+((SYSTEM_STATE.+slice.+state.+changed )|(ment ac)|(multiple cpu faults)|(system.+state.+changed )|(\[timeout)|(PRM\|1\|D)|(kpr)|(kdp)|(\|lc)|(penalty))" /e /r /s</v>
      </c>
      <c r="U39" s="9" t="str">
        <f t="shared" ref="U39:U59" si="10">MID(B39,13,4)</f>
        <v>4046</v>
      </c>
      <c r="V39" s="36">
        <f t="shared" ref="V39:V59" si="11">A39-utc_offset/24</f>
        <v>42715.977326388886</v>
      </c>
      <c r="W39" s="50" t="str">
        <f t="shared" ref="W39:W59" si="12">IF(VALUE(LEFT(IF(LEN(C39)=6,"0"&amp;C39,C39),2))&lt;=2,"EC",IF(OR(VALUE(LEFT(IF(LEN(C39)=6,"0"&amp;C39,C39),2))=8,VALUE(LEFT(IF(LEN(C39)=6,"0"&amp;C39,C39),2))=18),"NW","Other"))</f>
        <v>NW</v>
      </c>
      <c r="X39" s="50" t="str">
        <f t="shared" ref="X39:X59" si="13">IF(AND(E39="TRACK WARRANT AUTHORITY",G39&lt;10),"OMIT","KEEP")</f>
        <v>KEEP</v>
      </c>
      <c r="Y39" s="119" t="str">
        <f t="shared" ref="Y39:Y70" si="14">"echo {""issue"":{""subject"":"""&amp;P39&amp;""",""project_id"":79,""tracker_id"":40,""status_id"":"&amp;redmine_status&amp;",""priority_id"":"&amp;redmine_priority&amp;",""assigned_to_id"":"&amp;redmine_assignee&amp;",""start_date"":"""&amp;TEXT(A39,"YYYY-mm-dd")&amp;""",""description"":"""&amp;Z39&amp;""",""custom_fields"":[{""id"":1,""name"":""Subdivision"",""value"":"""&amp;W39&amp;"""},{""id"":4,""name"":""Milepost"",""value"":"""&amp;K39/10000&amp;"""},{""id"":17,""name"":""Train ID"",""value"":"""&amp;C39&amp;"""},{""id"":16,""name"":""Locomotive ID"",""value"":"""&amp;U39&amp;"""},{""id"":130,""name"":""Impact"",""value"":"""&amp;AA39&amp;"""},{""id"":150,""name"":""Time of Event (Mountain Time)"",""value"":"""&amp;TEXT(A39,"hh:mm:ss")&amp;"""},{""id"":151,""name"":""Denver Issue ID"",""value"":"""&amp;"""},{""id"":178,""name"":""Operational Impact"",""value"":"""&amp;redmine_op_impact&amp;"""},{""id"":179,""name"":""Denver Segment Assigned"",""value"":"""&amp;AB39&amp;"""}]}}"&amp;" | curl -X POST -H ""Content-Type: application/json"" -H ""X-Redmine-API-Key: "&amp;redm_api_key&amp;""" "&amp;redm_url&amp;" --data @-"</f>
        <v>echo {"issue":{"subject":"","project_id":79,"tracker_id":40,"status_id":1,"priority_id":2,"assigned_to_id":23,"start_date":"2016-12-11","description":"","custom_fields":[{"id":1,"name":"Subdivision","value":"NW"},{"id":4,"name":"Milepost","value":"0.0574"},{"id":17,"name":"Train ID","value":"1821-11"},{"id":16,"name":"Locomotive ID","value":"4046"},{"id":130,"name":"Impact","value":""},{"id":150,"name":"Time of Event (Mountain Time)","value":"16:27:21"},{"id":151,"name":"Denver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39" s="53"/>
      <c r="AA39" s="53"/>
      <c r="AB39" s="53"/>
      <c r="AC39" s="138" t="str">
        <f t="shared" ref="AC39:AC59" si="15">"grep -hSE -A100 ""Enforcement Action"" "&amp;search_path&amp;"\RTDC"&amp;U39&amp;"\*"&amp;U39&amp;"*"&amp;TEXT(A39-utc_offset/24,"YYYYMMDD")&amp;LEFT(TEXT(A39-utc_offset/24,"HH"),1)&amp;"* | grep -SE ""((Enforcement Ac)|(PRM))"" -"</f>
        <v>grep -hSE -A100 "Enforcement Action" "%USERPROFILE%\AppData\Local\Temp\OnboardLogs"\RTDC4046\*4046*201612112* | grep -SE "((Enforcement Ac)|(PRM))" -</v>
      </c>
      <c r="AD39" s="1" t="str">
        <f>"grep -hSE ""Enforcement Action"" "&amp;search_path&amp;"\RTDC"&amp;U39&amp;"\*"&amp;U39&amp;"*"&amp;TEXT(A39-utc_offset/24,"YYYYMMDD")&amp;LEFT(TEXT(A39-utc_offset/24,"HH"),1)&amp;"* &gt;&gt; "&amp;Variables!$A$2&amp;"-slicedisagreementcheck.txt"</f>
        <v>grep -hSE "Enforcement Action" "%USERPROFILE%\AppData\Local\Temp\OnboardLogs"\RTDC4046\*4046*201612112* &gt;&gt; 42715-slicedisagreementcheck.txt</v>
      </c>
    </row>
    <row r="40" spans="1:30" x14ac:dyDescent="0.25">
      <c r="A40" s="36">
        <v>42715.283680555556</v>
      </c>
      <c r="B40" s="31" t="s">
        <v>302</v>
      </c>
      <c r="C40" s="31" t="s">
        <v>450</v>
      </c>
      <c r="D40" s="31" t="s">
        <v>49</v>
      </c>
      <c r="E40" s="31" t="s">
        <v>197</v>
      </c>
      <c r="F40" s="47">
        <v>300</v>
      </c>
      <c r="G40" s="47">
        <v>402</v>
      </c>
      <c r="H40" s="47">
        <v>24786</v>
      </c>
      <c r="I40" s="47">
        <v>23517</v>
      </c>
      <c r="J40" s="31" t="s">
        <v>198</v>
      </c>
      <c r="K40" s="47">
        <v>23561</v>
      </c>
      <c r="L40" s="154" t="s">
        <v>51</v>
      </c>
      <c r="M40" s="155">
        <f t="shared" si="8"/>
        <v>-23.231999999999999</v>
      </c>
      <c r="N40" s="156" t="str">
        <f>VLOOKUP(C40,'Trips&amp;Operators'!$C$1:$G$99999,5,FALSE)</f>
        <v>STARKS ANGELINA</v>
      </c>
      <c r="O40" s="182" t="s">
        <v>196</v>
      </c>
      <c r="P40" s="157"/>
      <c r="Q40" s="31"/>
      <c r="R40" s="100" t="str">
        <f>VLOOKUP(C40,'Train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0" s="103" t="str">
        <f>VLOOKUP(C40,'Train Runs'!$A$13:$AE$9971,22,0)</f>
        <v>https://search-rtdc-monitor-bjffxe2xuh6vdkpspy63sjmuny.us-east-1.es.amazonaws.com/_plugin/kibana/#/discover/Steve-Slow-Train-Analysis-(2080s-and-2083s)?_g=(refreshInterval:(display:Off,section:0,value:0),time:(from:'2016-12-11 05:37:18-700',mode:absolute,to:'2016-12-11 07:55:52-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0" s="105" t="str">
        <f t="shared" si="9"/>
        <v>"C:\Program Files (x86)\AstroGrep\AstroGrep.exe" /spath="%USERPROFILE%\AppData\Local\Temp\OnboardLogs" /stypes="*4045*201612111*" /stext=" 13:.+((SYSTEM_STATE.+slice.+state.+changed )|(ment ac)|(multiple cpu faults)|(system.+state.+changed )|(\[timeout)|(PRM\|1\|D)|(kpr)|(kdp)|(\|lc)|(penalty))" /e /r /s</v>
      </c>
      <c r="U40" s="9" t="str">
        <f t="shared" si="10"/>
        <v>4045</v>
      </c>
      <c r="V40" s="36">
        <f t="shared" si="11"/>
        <v>42715.57534722222</v>
      </c>
      <c r="W40" s="50" t="str">
        <f t="shared" si="12"/>
        <v>NW</v>
      </c>
      <c r="X40" s="50" t="str">
        <f t="shared" si="13"/>
        <v>KEEP</v>
      </c>
      <c r="Y40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{"issue":{"subject":"","project_id":79,"tracker_id":40,"status_id":1,"priority_id":2,"assigned_to_id":23,"start_date":"2016-12-11","description":"","custom_fields":[{"id":1,"name":"Subdivision","value":"NW"},{"id":4,"name":"Milepost","value":"2.3561"},{"id":17,"name":"Train ID","value":"1802-11"},{"id":16,"name":"Locomotive ID","value":"4045"},{"id":130,"name":"Impact","value":""},{"id":150,"name":"Time of Event (Mountain Time)","value":"06:48:30"},{"id":151,"name":"Denver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0" s="53"/>
      <c r="AA40" s="53"/>
      <c r="AB40" s="53"/>
      <c r="AC40" s="138" t="str">
        <f t="shared" si="15"/>
        <v>grep -hSE -A100 "Enforcement Action" "%USERPROFILE%\AppData\Local\Temp\OnboardLogs"\RTDC4045\*4045*201612111* | grep -SE "((Enforcement Ac)|(PRM))" -</v>
      </c>
      <c r="AD40" s="1" t="str">
        <f>"grep -hSE ""Enforcement Action"" "&amp;search_path&amp;"\RTDC"&amp;U40&amp;"\*"&amp;U40&amp;"*"&amp;TEXT(A40-utc_offset/24,"YYYYMMDD")&amp;LEFT(TEXT(A40-utc_offset/24,"HH"),1)&amp;"* &gt;&gt; "&amp;Variables!$A$2&amp;"-slicedisagreementcheck.txt"</f>
        <v>grep -hSE "Enforcement Action" "%USERPROFILE%\AppData\Local\Temp\OnboardLogs"\RTDC4045\*4045*201612111* &gt;&gt; 42715-slicedisagreementcheck.txt</v>
      </c>
    </row>
    <row r="41" spans="1:30" x14ac:dyDescent="0.25">
      <c r="A41" s="36">
        <v>42715.615729166668</v>
      </c>
      <c r="B41" s="31" t="s">
        <v>302</v>
      </c>
      <c r="C41" s="31" t="s">
        <v>467</v>
      </c>
      <c r="D41" s="31" t="s">
        <v>98</v>
      </c>
      <c r="E41" s="31" t="s">
        <v>197</v>
      </c>
      <c r="F41" s="47">
        <v>400</v>
      </c>
      <c r="G41" s="47">
        <v>453</v>
      </c>
      <c r="H41" s="47">
        <v>39259</v>
      </c>
      <c r="I41" s="47">
        <v>37828</v>
      </c>
      <c r="J41" s="31" t="s">
        <v>198</v>
      </c>
      <c r="K41" s="47">
        <v>40977</v>
      </c>
      <c r="L41" s="154" t="s">
        <v>51</v>
      </c>
      <c r="M41" s="155">
        <f t="shared" si="8"/>
        <v>-1662.672</v>
      </c>
      <c r="N41" s="156" t="str">
        <f>VLOOKUP(C41,'Trips&amp;Operators'!$C$1:$G$99999,5,FALSE)</f>
        <v>ADANE ELSHADAY</v>
      </c>
      <c r="O41" s="182" t="s">
        <v>196</v>
      </c>
      <c r="P41" s="157"/>
      <c r="Q41" s="31"/>
      <c r="R41" s="100" t="str">
        <f>VLOOKUP(C41,'Train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1" s="103" t="str">
        <f>VLOOKUP(C41,'Train Runs'!$A$13:$AE$9971,22,0)</f>
        <v>https://search-rtdc-monitor-bjffxe2xuh6vdkpspy63sjmuny.us-east-1.es.amazonaws.com/_plugin/kibana/#/discover/Steve-Slow-Train-Analysis-(2080s-and-2083s)?_g=(refreshInterval:(display:Off,section:0,value:0),time:(from:'2016-12-11 13:36:52-700',mode:absolute,to:'2016-12-11 15:56:14-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1" s="105" t="str">
        <f t="shared" si="9"/>
        <v>"C:\Program Files (x86)\AstroGrep\AstroGrep.exe" /spath="%USERPROFILE%\AppData\Local\Temp\OnboardLogs" /stypes="*4045*201612112*" /stext=" 21:.+((SYSTEM_STATE.+slice.+state.+changed )|(ment ac)|(multiple cpu faults)|(system.+state.+changed )|(\[timeout)|(PRM\|1\|D)|(kpr)|(kdp)|(\|lc)|(penalty))" /e /r /s</v>
      </c>
      <c r="U41" s="9" t="str">
        <f t="shared" si="10"/>
        <v>4045</v>
      </c>
      <c r="V41" s="36">
        <f t="shared" si="11"/>
        <v>42715.907395833332</v>
      </c>
      <c r="W41" s="50" t="str">
        <f t="shared" si="12"/>
        <v>NW</v>
      </c>
      <c r="X41" s="50" t="str">
        <f t="shared" si="13"/>
        <v>KEEP</v>
      </c>
      <c r="Y41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{"issue":{"subject":"","project_id":79,"tracker_id":40,"status_id":1,"priority_id":2,"assigned_to_id":23,"start_date":"2016-12-11","description":"","custom_fields":[{"id":1,"name":"Subdivision","value":"NW"},{"id":4,"name":"Milepost","value":"4.0977"},{"id":17,"name":"Train ID","value":"1818-11"},{"id":16,"name":"Locomotive ID","value":"4045"},{"id":130,"name":"Impact","value":""},{"id":150,"name":"Time of Event (Mountain Time)","value":"14:46:39"},{"id":151,"name":"Denver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1" s="53"/>
      <c r="AA41" s="53"/>
      <c r="AB41" s="53"/>
      <c r="AC41" s="138" t="str">
        <f t="shared" si="15"/>
        <v>grep -hSE -A100 "Enforcement Action" "%USERPROFILE%\AppData\Local\Temp\OnboardLogs"\RTDC4045\*4045*201612112* | grep -SE "((Enforcement Ac)|(PRM))" -</v>
      </c>
      <c r="AD41" s="1" t="str">
        <f>"grep -hSE ""Enforcement Action"" "&amp;search_path&amp;"\RTDC"&amp;U41&amp;"\*"&amp;U41&amp;"*"&amp;TEXT(A41-utc_offset/24,"YYYYMMDD")&amp;LEFT(TEXT(A41-utc_offset/24,"HH"),1)&amp;"* &gt;&gt; "&amp;Variables!$A$2&amp;"-slicedisagreementcheck.txt"</f>
        <v>grep -hSE "Enforcement Action" "%USERPROFILE%\AppData\Local\Temp\OnboardLogs"\RTDC4045\*4045*201612112* &gt;&gt; 42715-slicedisagreementcheck.txt</v>
      </c>
    </row>
    <row r="42" spans="1:30" x14ac:dyDescent="0.25">
      <c r="A42" s="36">
        <v>42715.82402777778</v>
      </c>
      <c r="B42" s="31" t="s">
        <v>302</v>
      </c>
      <c r="C42" s="31" t="s">
        <v>478</v>
      </c>
      <c r="D42" s="31" t="s">
        <v>98</v>
      </c>
      <c r="E42" s="31" t="s">
        <v>197</v>
      </c>
      <c r="F42" s="47">
        <v>400</v>
      </c>
      <c r="G42" s="47">
        <v>454</v>
      </c>
      <c r="H42" s="47">
        <v>39091</v>
      </c>
      <c r="I42" s="47">
        <v>37688</v>
      </c>
      <c r="J42" s="31" t="s">
        <v>198</v>
      </c>
      <c r="K42" s="47">
        <v>40977</v>
      </c>
      <c r="L42" s="154" t="s">
        <v>51</v>
      </c>
      <c r="M42" s="155">
        <f t="shared" si="8"/>
        <v>-1736.5920000000001</v>
      </c>
      <c r="N42" s="156" t="str">
        <f>VLOOKUP(C42,'Trips&amp;Operators'!$C$1:$G$99999,5,FALSE)</f>
        <v>ADANE ELSHADAY</v>
      </c>
      <c r="O42" s="182" t="s">
        <v>196</v>
      </c>
      <c r="P42" s="157"/>
      <c r="Q42" s="31"/>
      <c r="R42" s="100" t="str">
        <f>VLOOKUP(C42,'Train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2" s="103" t="str">
        <f>VLOOKUP(C42,'Train Runs'!$A$13:$AE$9971,22,0)</f>
        <v>https://search-rtdc-monitor-bjffxe2xuh6vdkpspy63sjmuny.us-east-1.es.amazonaws.com/_plugin/kibana/#/discover/Steve-Slow-Train-Analysis-(2080s-and-2083s)?_g=(refreshInterval:(display:Off,section:0,value:0),time:(from:'2016-12-11 18:36:36-700',mode:absolute,to:'2016-12-11 20:58:09-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2" s="105" t="str">
        <f t="shared" si="9"/>
        <v>"C:\Program Files (x86)\AstroGrep\AstroGrep.exe" /spath="%USERPROFILE%\AppData\Local\Temp\OnboardLogs" /stypes="*4045*201612120*" /stext=" 02:.+((SYSTEM_STATE.+slice.+state.+changed )|(ment ac)|(multiple cpu faults)|(system.+state.+changed )|(\[timeout)|(PRM\|1\|D)|(kpr)|(kdp)|(\|lc)|(penalty))" /e /r /s</v>
      </c>
      <c r="U42" s="9" t="str">
        <f t="shared" si="10"/>
        <v>4045</v>
      </c>
      <c r="V42" s="36">
        <f t="shared" si="11"/>
        <v>42716.115694444445</v>
      </c>
      <c r="W42" s="50" t="str">
        <f t="shared" si="12"/>
        <v>NW</v>
      </c>
      <c r="X42" s="50" t="str">
        <f t="shared" si="13"/>
        <v>KEEP</v>
      </c>
      <c r="Y42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{"issue":{"subject":"","project_id":79,"tracker_id":40,"status_id":1,"priority_id":2,"assigned_to_id":23,"start_date":"2016-12-11","description":"","custom_fields":[{"id":1,"name":"Subdivision","value":"NW"},{"id":4,"name":"Milepost","value":"4.0977"},{"id":17,"name":"Train ID","value":"1828-11"},{"id":16,"name":"Locomotive ID","value":"4045"},{"id":130,"name":"Impact","value":""},{"id":150,"name":"Time of Event (Mountain Time)","value":"19:46:36"},{"id":151,"name":"Denver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2" s="53"/>
      <c r="AA42" s="53"/>
      <c r="AB42" s="53"/>
      <c r="AC42" s="138" t="str">
        <f t="shared" si="15"/>
        <v>grep -hSE -A100 "Enforcement Action" "%USERPROFILE%\AppData\Local\Temp\OnboardLogs"\RTDC4045\*4045*201612120* | grep -SE "((Enforcement Ac)|(PRM))" -</v>
      </c>
      <c r="AD42" s="1" t="str">
        <f>"grep -hSE ""Enforcement Action"" "&amp;search_path&amp;"\RTDC"&amp;U42&amp;"\*"&amp;U42&amp;"*"&amp;TEXT(A42-utc_offset/24,"YYYYMMDD")&amp;LEFT(TEXT(A42-utc_offset/24,"HH"),1)&amp;"* &gt;&gt; "&amp;Variables!$A$2&amp;"-slicedisagreementcheck.txt"</f>
        <v>grep -hSE "Enforcement Action" "%USERPROFILE%\AppData\Local\Temp\OnboardLogs"\RTDC4045\*4045*201612120* &gt;&gt; 42715-slicedisagreementcheck.txt</v>
      </c>
    </row>
    <row r="43" spans="1:30" x14ac:dyDescent="0.25">
      <c r="A43" s="36">
        <v>42715.448506944442</v>
      </c>
      <c r="B43" s="31" t="s">
        <v>302</v>
      </c>
      <c r="C43" s="31" t="s">
        <v>458</v>
      </c>
      <c r="D43" s="31" t="s">
        <v>49</v>
      </c>
      <c r="E43" s="31" t="s">
        <v>197</v>
      </c>
      <c r="F43" s="47">
        <v>300</v>
      </c>
      <c r="G43" s="47">
        <v>362</v>
      </c>
      <c r="H43" s="47">
        <v>42555</v>
      </c>
      <c r="I43" s="47">
        <v>41750</v>
      </c>
      <c r="J43" s="31" t="s">
        <v>198</v>
      </c>
      <c r="K43" s="47">
        <v>41797</v>
      </c>
      <c r="L43" s="154" t="s">
        <v>51</v>
      </c>
      <c r="M43" s="155">
        <f t="shared" si="8"/>
        <v>-24.815999999999999</v>
      </c>
      <c r="N43" s="156" t="str">
        <f>VLOOKUP(C43,'Trips&amp;Operators'!$C$1:$G$99999,5,FALSE)</f>
        <v>STARKS ANGELINA</v>
      </c>
      <c r="O43" s="182" t="s">
        <v>196</v>
      </c>
      <c r="P43" s="157"/>
      <c r="Q43" s="31"/>
      <c r="R43" s="100" t="str">
        <f>VLOOKUP(C43,'Train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3" s="103" t="str">
        <f>VLOOKUP(C43,'Train Runs'!$A$13:$AE$9971,22,0)</f>
        <v>https://search-rtdc-monitor-bjffxe2xuh6vdkpspy63sjmuny.us-east-1.es.amazonaws.com/_plugin/kibana/#/discover/Steve-Slow-Train-Analysis-(2080s-and-2083s)?_g=(refreshInterval:(display:Off,section:0,value:0),time:(from:'2016-12-11 09:36:26-700',mode:absolute,to:'2016-12-11 11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3" s="105" t="str">
        <f t="shared" si="9"/>
        <v>"C:\Program Files (x86)\AstroGrep\AstroGrep.exe" /spath="%USERPROFILE%\AppData\Local\Temp\OnboardLogs" /stypes="*4045*201612111*" /stext=" 17:.+((SYSTEM_STATE.+slice.+state.+changed )|(ment ac)|(multiple cpu faults)|(system.+state.+changed )|(\[timeout)|(PRM\|1\|D)|(kpr)|(kdp)|(\|lc)|(penalty))" /e /r /s</v>
      </c>
      <c r="U43" s="9" t="str">
        <f t="shared" si="10"/>
        <v>4045</v>
      </c>
      <c r="V43" s="36">
        <f t="shared" si="11"/>
        <v>42715.740173611106</v>
      </c>
      <c r="W43" s="50" t="str">
        <f t="shared" si="12"/>
        <v>NW</v>
      </c>
      <c r="X43" s="50" t="str">
        <f t="shared" si="13"/>
        <v>KEEP</v>
      </c>
      <c r="Y43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{"issue":{"subject":"","project_id":79,"tracker_id":40,"status_id":1,"priority_id":2,"assigned_to_id":23,"start_date":"2016-12-11","description":"","custom_fields":[{"id":1,"name":"Subdivision","value":"NW"},{"id":4,"name":"Milepost","value":"4.1797"},{"id":17,"name":"Train ID","value":"1810-11"},{"id":16,"name":"Locomotive ID","value":"4045"},{"id":130,"name":"Impact","value":""},{"id":150,"name":"Time of Event (Mountain Time)","value":"10:45:51"},{"id":151,"name":"Denver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3" s="53"/>
      <c r="AA43" s="53"/>
      <c r="AB43" s="53"/>
      <c r="AC43" s="138" t="str">
        <f t="shared" si="15"/>
        <v>grep -hSE -A100 "Enforcement Action" "%USERPROFILE%\AppData\Local\Temp\OnboardLogs"\RTDC4045\*4045*201612111* | grep -SE "((Enforcement Ac)|(PRM))" -</v>
      </c>
      <c r="AD43" s="1" t="str">
        <f>"grep -hSE ""Enforcement Action"" "&amp;search_path&amp;"\RTDC"&amp;U43&amp;"\*"&amp;U43&amp;"*"&amp;TEXT(A43-utc_offset/24,"YYYYMMDD")&amp;LEFT(TEXT(A43-utc_offset/24,"HH"),1)&amp;"* &gt;&gt; "&amp;Variables!$A$2&amp;"-slicedisagreementcheck.txt"</f>
        <v>grep -hSE "Enforcement Action" "%USERPROFILE%\AppData\Local\Temp\OnboardLogs"\RTDC4045\*4045*201612111* &gt;&gt; 42715-slicedisagreementcheck.txt</v>
      </c>
    </row>
    <row r="44" spans="1:30" x14ac:dyDescent="0.25">
      <c r="A44" s="36">
        <v>42715.772789351853</v>
      </c>
      <c r="B44" s="31" t="s">
        <v>235</v>
      </c>
      <c r="C44" s="31" t="s">
        <v>476</v>
      </c>
      <c r="D44" s="31" t="s">
        <v>49</v>
      </c>
      <c r="E44" s="31" t="s">
        <v>197</v>
      </c>
      <c r="F44" s="47">
        <v>150</v>
      </c>
      <c r="G44" s="47">
        <v>290</v>
      </c>
      <c r="H44" s="47">
        <v>56363</v>
      </c>
      <c r="I44" s="47">
        <v>56868</v>
      </c>
      <c r="J44" s="31" t="s">
        <v>198</v>
      </c>
      <c r="K44" s="47">
        <v>57008</v>
      </c>
      <c r="L44" s="154" t="s">
        <v>50</v>
      </c>
      <c r="M44" s="155">
        <f t="shared" si="8"/>
        <v>73.92</v>
      </c>
      <c r="N44" s="156" t="str">
        <f>VLOOKUP(C44,'Trips&amp;Operators'!$C$1:$G$99999,5,FALSE)</f>
        <v>ADANE ELSHADAY</v>
      </c>
      <c r="O44" s="182" t="s">
        <v>230</v>
      </c>
      <c r="P44" s="157" t="s">
        <v>967</v>
      </c>
      <c r="Q44" s="31"/>
      <c r="R44" s="100" t="str">
        <f>VLOOKUP(C44,'Train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44" s="103" t="str">
        <f>VLOOKUP(C44,'Train Runs'!$A$13:$AE$9971,22,0)</f>
        <v>https://search-rtdc-monitor-bjffxe2xuh6vdkpspy63sjmuny.us-east-1.es.amazonaws.com/_plugin/kibana/#/discover/Steve-Slow-Train-Analysis-(2080s-and-2083s)?_g=(refreshInterval:(display:Off,section:0,value:0),time:(from:'2016-12-11 16:57:07-700',mode:absolute,to:'2016-12-11 19:35:33-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44" s="105" t="str">
        <f t="shared" si="9"/>
        <v>"C:\Program Files (x86)\AstroGrep\AstroGrep.exe" /spath="%USERPROFILE%\AppData\Local\Temp\OnboardLogs" /stypes="*4046*201612120*" /stext=" 01:.+((SYSTEM_STATE.+slice.+state.+changed )|(ment ac)|(multiple cpu faults)|(system.+state.+changed )|(\[timeout)|(PRM\|1\|D)|(kpr)|(kdp)|(\|lc)|(penalty))" /e /r /s</v>
      </c>
      <c r="U44" s="9" t="str">
        <f t="shared" si="10"/>
        <v>4046</v>
      </c>
      <c r="V44" s="36">
        <f t="shared" si="11"/>
        <v>42716.064456018517</v>
      </c>
      <c r="W44" s="50" t="str">
        <f t="shared" si="12"/>
        <v>NW</v>
      </c>
      <c r="X44" s="50" t="str">
        <f t="shared" si="13"/>
        <v>KEEP</v>
      </c>
      <c r="Y44" s="119" t="str">
        <f t="shared" si="14"/>
        <v>echo {"issue":{"subject":"Banner without braking","project_id":79,"tracker_id":40,"status_id":1,"priority_id":2,"assigned_to_id":23,"start_date":"2016-12-11","description":"","custom_fields":[{"id":1,"name":"Subdivision","value":"NW"},{"id":4,"name":"Milepost","value":"5.7008"},{"id":17,"name":"Train ID","value":"1825-11"},{"id":16,"name":"Locomotive ID","value":"4046"},{"id":130,"name":"Impact","value":""},{"id":150,"name":"Time of Event (Mountain Time)","value":"18:32:49"},{"id":151,"name":"Denver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4" s="53"/>
      <c r="AA44" s="53"/>
      <c r="AB44" s="53"/>
      <c r="AC44" s="138" t="str">
        <f t="shared" si="15"/>
        <v>grep -hSE -A100 "Enforcement Action" "%USERPROFILE%\AppData\Local\Temp\OnboardLogs"\RTDC4046\*4046*201612120* | grep -SE "((Enforcement Ac)|(PRM))" -</v>
      </c>
      <c r="AD44" s="1" t="str">
        <f>"grep -hSE ""Enforcement Action"" "&amp;search_path&amp;"\RTDC"&amp;U44&amp;"\*"&amp;U44&amp;"*"&amp;TEXT(A44-utc_offset/24,"YYYYMMDD")&amp;LEFT(TEXT(A44-utc_offset/24,"HH"),1)&amp;"* &gt;&gt; "&amp;Variables!$A$2&amp;"-slicedisagreementcheck.txt"</f>
        <v>grep -hSE "Enforcement Action" "%USERPROFILE%\AppData\Local\Temp\OnboardLogs"\RTDC4046\*4046*201612120* &gt;&gt; 42715-slicedisagreementcheck.txt</v>
      </c>
    </row>
    <row r="45" spans="1:30" x14ac:dyDescent="0.25">
      <c r="A45" s="36">
        <v>42715.697453703702</v>
      </c>
      <c r="B45" s="31" t="s">
        <v>302</v>
      </c>
      <c r="C45" s="31" t="s">
        <v>472</v>
      </c>
      <c r="D45" s="31" t="s">
        <v>98</v>
      </c>
      <c r="E45" s="31" t="s">
        <v>199</v>
      </c>
      <c r="F45" s="47">
        <v>200</v>
      </c>
      <c r="G45" s="47">
        <v>259</v>
      </c>
      <c r="H45" s="47">
        <v>55587</v>
      </c>
      <c r="I45" s="47">
        <v>54899</v>
      </c>
      <c r="J45" s="31" t="s">
        <v>200</v>
      </c>
      <c r="K45" s="47">
        <v>58475</v>
      </c>
      <c r="L45" s="154" t="s">
        <v>51</v>
      </c>
      <c r="M45" s="155">
        <f t="shared" si="8"/>
        <v>-1888.1279999999999</v>
      </c>
      <c r="N45" s="156" t="str">
        <f>VLOOKUP(C45,'Trips&amp;Operators'!$C$1:$G$99999,5,FALSE)</f>
        <v>ADANE ELSHADAY</v>
      </c>
      <c r="O45" s="182" t="s">
        <v>196</v>
      </c>
      <c r="P45" s="157" t="s">
        <v>851</v>
      </c>
      <c r="Q45" s="31"/>
      <c r="R45" s="100" t="str">
        <f>VLOOKUP(C45,'Train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5" s="103" t="str">
        <f>VLOOKUP(C45,'Train Runs'!$A$13:$AE$9971,22,0)</f>
        <v>https://search-rtdc-monitor-bjffxe2xuh6vdkpspy63sjmuny.us-east-1.es.amazonaws.com/_plugin/kibana/#/discover/Steve-Slow-Train-Analysis-(2080s-and-2083s)?_g=(refreshInterval:(display:Off,section:0,value:0),time:(from:'2016-12-11 15:40:16-700',mode:absolute,to:'2016-12-11 17:58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5" s="105" t="str">
        <f t="shared" si="9"/>
        <v>"C:\Program Files (x86)\AstroGrep\AstroGrep.exe" /spath="%USERPROFILE%\AppData\Local\Temp\OnboardLogs" /stypes="*4045*201612112*" /stext=" 23:.+((SYSTEM_STATE.+slice.+state.+changed )|(ment ac)|(multiple cpu faults)|(system.+state.+changed )|(\[timeout)|(PRM\|1\|D)|(kpr)|(kdp)|(\|lc)|(penalty))" /e /r /s</v>
      </c>
      <c r="U45" s="9" t="str">
        <f t="shared" si="10"/>
        <v>4045</v>
      </c>
      <c r="V45" s="36">
        <f t="shared" si="11"/>
        <v>42715.989120370366</v>
      </c>
      <c r="W45" s="50" t="str">
        <f t="shared" si="12"/>
        <v>NW</v>
      </c>
      <c r="X45" s="50" t="str">
        <f t="shared" si="13"/>
        <v>KEEP</v>
      </c>
      <c r="Y45" s="119" t="str">
        <f t="shared" si="14"/>
        <v>echo {"issue":{"subject":"Went active too close to signal","project_id":79,"tracker_id":40,"status_id":1,"priority_id":2,"assigned_to_id":23,"start_date":"2016-12-11","description":"","custom_fields":[{"id":1,"name":"Subdivision","value":"NW"},{"id":4,"name":"Milepost","value":"5.8475"},{"id":17,"name":"Train ID","value":"1822-11"},{"id":16,"name":"Locomotive ID","value":"4045"},{"id":130,"name":"Impact","value":""},{"id":150,"name":"Time of Event (Mountain Time)","value":"16:44:20"},{"id":151,"name":"Denver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5" s="53"/>
      <c r="AA45" s="53"/>
      <c r="AB45" s="53"/>
      <c r="AC45" s="138" t="str">
        <f t="shared" si="15"/>
        <v>grep -hSE -A100 "Enforcement Action" "%USERPROFILE%\AppData\Local\Temp\OnboardLogs"\RTDC4045\*4045*201612112* | grep -SE "((Enforcement Ac)|(PRM))" -</v>
      </c>
      <c r="AD45" s="1" t="str">
        <f>"grep -hSE ""Enforcement Action"" "&amp;search_path&amp;"\RTDC"&amp;U45&amp;"\*"&amp;U45&amp;"*"&amp;TEXT(A45-utc_offset/24,"YYYYMMDD")&amp;LEFT(TEXT(A45-utc_offset/24,"HH"),1)&amp;"* &gt;&gt; "&amp;Variables!$A$2&amp;"-slicedisagreementcheck.txt"</f>
        <v>grep -hSE "Enforcement Action" "%USERPROFILE%\AppData\Local\Temp\OnboardLogs"\RTDC4045\*4045*201612112* &gt;&gt; 42715-slicedisagreementcheck.txt</v>
      </c>
    </row>
    <row r="46" spans="1:30" x14ac:dyDescent="0.25">
      <c r="A46" s="36">
        <v>42715.698807870373</v>
      </c>
      <c r="B46" s="31" t="s">
        <v>302</v>
      </c>
      <c r="C46" s="31" t="s">
        <v>472</v>
      </c>
      <c r="D46" s="31" t="s">
        <v>98</v>
      </c>
      <c r="E46" s="31" t="s">
        <v>199</v>
      </c>
      <c r="F46" s="47">
        <v>200</v>
      </c>
      <c r="G46" s="47">
        <v>260</v>
      </c>
      <c r="H46" s="47">
        <v>50994</v>
      </c>
      <c r="I46" s="47">
        <v>50337</v>
      </c>
      <c r="J46" s="31" t="s">
        <v>200</v>
      </c>
      <c r="K46" s="47">
        <v>58475</v>
      </c>
      <c r="L46" s="154" t="s">
        <v>51</v>
      </c>
      <c r="M46" s="155">
        <f t="shared" si="8"/>
        <v>-4296.8639999999996</v>
      </c>
      <c r="N46" s="156" t="str">
        <f>VLOOKUP(C46,'Trips&amp;Operators'!$C$1:$G$99999,5,FALSE)</f>
        <v>ADANE ELSHADAY</v>
      </c>
      <c r="O46" s="182" t="s">
        <v>196</v>
      </c>
      <c r="P46" s="157" t="s">
        <v>851</v>
      </c>
      <c r="Q46" s="31"/>
      <c r="R46" s="100" t="str">
        <f>VLOOKUP(C46,'Train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6" s="103" t="str">
        <f>VLOOKUP(C46,'Train Runs'!$A$13:$AE$9971,22,0)</f>
        <v>https://search-rtdc-monitor-bjffxe2xuh6vdkpspy63sjmuny.us-east-1.es.amazonaws.com/_plugin/kibana/#/discover/Steve-Slow-Train-Analysis-(2080s-and-2083s)?_g=(refreshInterval:(display:Off,section:0,value:0),time:(from:'2016-12-11 15:40:16-700',mode:absolute,to:'2016-12-11 17:58:10-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6" s="105" t="str">
        <f t="shared" si="9"/>
        <v>"C:\Program Files (x86)\AstroGrep\AstroGrep.exe" /spath="%USERPROFILE%\AppData\Local\Temp\OnboardLogs" /stypes="*4045*201612112*" /stext=" 23:.+((SYSTEM_STATE.+slice.+state.+changed )|(ment ac)|(multiple cpu faults)|(system.+state.+changed )|(\[timeout)|(PRM\|1\|D)|(kpr)|(kdp)|(\|lc)|(penalty))" /e /r /s</v>
      </c>
      <c r="U46" s="9" t="str">
        <f t="shared" si="10"/>
        <v>4045</v>
      </c>
      <c r="V46" s="36">
        <f t="shared" si="11"/>
        <v>42715.990474537037</v>
      </c>
      <c r="W46" s="50" t="str">
        <f t="shared" si="12"/>
        <v>NW</v>
      </c>
      <c r="X46" s="50" t="str">
        <f t="shared" si="13"/>
        <v>KEEP</v>
      </c>
      <c r="Y46" s="119" t="str">
        <f t="shared" si="14"/>
        <v>echo {"issue":{"subject":"Went active too close to signal","project_id":79,"tracker_id":40,"status_id":1,"priority_id":2,"assigned_to_id":23,"start_date":"2016-12-11","description":"","custom_fields":[{"id":1,"name":"Subdivision","value":"NW"},{"id":4,"name":"Milepost","value":"5.8475"},{"id":17,"name":"Train ID","value":"1822-11"},{"id":16,"name":"Locomotive ID","value":"4045"},{"id":130,"name":"Impact","value":""},{"id":150,"name":"Time of Event (Mountain Time)","value":"16:46:17"},{"id":151,"name":"Denver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6" s="53"/>
      <c r="AA46" s="53"/>
      <c r="AB46" s="53"/>
      <c r="AC46" s="138" t="str">
        <f t="shared" si="15"/>
        <v>grep -hSE -A100 "Enforcement Action" "%USERPROFILE%\AppData\Local\Temp\OnboardLogs"\RTDC4045\*4045*201612112* | grep -SE "((Enforcement Ac)|(PRM))" -</v>
      </c>
      <c r="AD46" s="1" t="str">
        <f>"grep -hSE ""Enforcement Action"" "&amp;search_path&amp;"\RTDC"&amp;U46&amp;"\*"&amp;U46&amp;"*"&amp;TEXT(A46-utc_offset/24,"YYYYMMDD")&amp;LEFT(TEXT(A46-utc_offset/24,"HH"),1)&amp;"* &gt;&gt; "&amp;Variables!$A$2&amp;"-slicedisagreementcheck.txt"</f>
        <v>grep -hSE "Enforcement Action" "%USERPROFILE%\AppData\Local\Temp\OnboardLogs"\RTDC4045\*4045*201612112* &gt;&gt; 42715-slicedisagreementcheck.txt</v>
      </c>
    </row>
    <row r="47" spans="1:30" x14ac:dyDescent="0.25">
      <c r="A47" s="36">
        <v>42715.24790509259</v>
      </c>
      <c r="B47" s="31" t="s">
        <v>302</v>
      </c>
      <c r="C47" s="31" t="s">
        <v>448</v>
      </c>
      <c r="D47" s="31" t="s">
        <v>49</v>
      </c>
      <c r="E47" s="31" t="s">
        <v>201</v>
      </c>
      <c r="F47" s="47">
        <v>0</v>
      </c>
      <c r="G47" s="47">
        <v>63</v>
      </c>
      <c r="H47" s="47">
        <v>806</v>
      </c>
      <c r="I47" s="47">
        <v>752</v>
      </c>
      <c r="J47" s="31" t="s">
        <v>202</v>
      </c>
      <c r="K47" s="47">
        <v>575</v>
      </c>
      <c r="L47" s="154" t="s">
        <v>51</v>
      </c>
      <c r="M47" s="155">
        <f t="shared" si="8"/>
        <v>93.456000000000003</v>
      </c>
      <c r="N47" s="156" t="str">
        <f>VLOOKUP(C47,'Trips&amp;Operators'!$C$1:$G$99999,5,FALSE)</f>
        <v>STARKS ANGELINA</v>
      </c>
      <c r="O47" s="182" t="s">
        <v>196</v>
      </c>
      <c r="P47" s="157"/>
      <c r="Q47" s="31"/>
      <c r="R47" s="100" t="str">
        <f>VLOOKUP(C47,'Train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7" s="103" t="str">
        <f>VLOOKUP(C47,'Train Runs'!$A$13:$AE$9971,22,0)</f>
        <v>https://search-rtdc-monitor-bjffxe2xuh6vdkpspy63sjmuny.us-east-1.es.amazonaws.com/_plugin/kibana/#/discover/Steve-Slow-Train-Analysis-(2080s-and-2083s)?_g=(refreshInterval:(display:Off,section:0,value:0),time:(from:'2016-12-11 04:39:42-700',mode:absolute,to:'2016-12-11 06:56:59-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7" s="105" t="str">
        <f t="shared" si="9"/>
        <v>"C:\Program Files (x86)\AstroGrep\AstroGrep.exe" /spath="%USERPROFILE%\AppData\Local\Temp\OnboardLogs" /stypes="*4045*201612111*" /stext=" 12:.+((SYSTEM_STATE.+slice.+state.+changed )|(ment ac)|(multiple cpu faults)|(system.+state.+changed )|(\[timeout)|(PRM\|1\|D)|(kpr)|(kdp)|(\|lc)|(penalty))" /e /r /s</v>
      </c>
      <c r="U47" s="9" t="str">
        <f t="shared" si="10"/>
        <v>4045</v>
      </c>
      <c r="V47" s="36">
        <f t="shared" si="11"/>
        <v>42715.539571759255</v>
      </c>
      <c r="W47" s="50" t="str">
        <f t="shared" si="12"/>
        <v>NW</v>
      </c>
      <c r="X47" s="50" t="str">
        <f t="shared" si="13"/>
        <v>KEEP</v>
      </c>
      <c r="Y47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{"issue":{"subject":"","project_id":79,"tracker_id":40,"status_id":1,"priority_id":2,"assigned_to_id":23,"start_date":"2016-12-11","description":"","custom_fields":[{"id":1,"name":"Subdivision","value":"NW"},{"id":4,"name":"Milepost","value":"0.0575"},{"id":17,"name":"Train ID","value":"1800-11"},{"id":16,"name":"Locomotive ID","value":"4045"},{"id":130,"name":"Impact","value":""},{"id":150,"name":"Time of Event (Mountain Time)","value":"05:56:59"},{"id":151,"name":"Denver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7" s="53"/>
      <c r="AA47" s="53"/>
      <c r="AB47" s="53"/>
      <c r="AC47" s="138" t="str">
        <f t="shared" si="15"/>
        <v>grep -hSE -A100 "Enforcement Action" "%USERPROFILE%\AppData\Local\Temp\OnboardLogs"\RTDC4045\*4045*201612111* | grep -SE "((Enforcement Ac)|(PRM))" -</v>
      </c>
      <c r="AD47" s="1" t="str">
        <f>"grep -hSE ""Enforcement Action"" "&amp;search_path&amp;"\RTDC"&amp;U47&amp;"\*"&amp;U47&amp;"*"&amp;TEXT(A47-utc_offset/24,"YYYYMMDD")&amp;LEFT(TEXT(A47-utc_offset/24,"HH"),1)&amp;"* &gt;&gt; "&amp;Variables!$A$2&amp;"-slicedisagreementcheck.txt"</f>
        <v>grep -hSE "Enforcement Action" "%USERPROFILE%\AppData\Local\Temp\OnboardLogs"\RTDC4045\*4045*201612111* &gt;&gt; 42715-slicedisagreementcheck.txt</v>
      </c>
    </row>
    <row r="48" spans="1:30" x14ac:dyDescent="0.25">
      <c r="A48" s="36">
        <v>42715.456423611111</v>
      </c>
      <c r="B48" s="31" t="s">
        <v>302</v>
      </c>
      <c r="C48" s="31" t="s">
        <v>458</v>
      </c>
      <c r="D48" s="31" t="s">
        <v>49</v>
      </c>
      <c r="E48" s="31" t="s">
        <v>201</v>
      </c>
      <c r="F48" s="47">
        <v>0</v>
      </c>
      <c r="G48" s="47">
        <v>37</v>
      </c>
      <c r="H48" s="47">
        <v>705</v>
      </c>
      <c r="I48" s="47">
        <v>682</v>
      </c>
      <c r="J48" s="31" t="s">
        <v>202</v>
      </c>
      <c r="K48" s="47">
        <v>575</v>
      </c>
      <c r="L48" s="154" t="s">
        <v>51</v>
      </c>
      <c r="M48" s="155">
        <f t="shared" si="8"/>
        <v>56.496000000000002</v>
      </c>
      <c r="N48" s="156" t="str">
        <f>VLOOKUP(C48,'Trips&amp;Operators'!$C$1:$G$99999,5,FALSE)</f>
        <v>STARKS ANGELINA</v>
      </c>
      <c r="O48" s="182" t="s">
        <v>196</v>
      </c>
      <c r="P48" s="157"/>
      <c r="Q48" s="31"/>
      <c r="R48" s="100" t="str">
        <f>VLOOKUP(C48,'Train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8" s="103" t="str">
        <f>VLOOKUP(C48,'Train Runs'!$A$13:$AE$9971,22,0)</f>
        <v>https://search-rtdc-monitor-bjffxe2xuh6vdkpspy63sjmuny.us-east-1.es.amazonaws.com/_plugin/kibana/#/discover/Steve-Slow-Train-Analysis-(2080s-and-2083s)?_g=(refreshInterval:(display:Off,section:0,value:0),time:(from:'2016-12-11 09:36:26-700',mode:absolute,to:'2016-12-11 11:57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8" s="105" t="str">
        <f t="shared" si="9"/>
        <v>"C:\Program Files (x86)\AstroGrep\AstroGrep.exe" /spath="%USERPROFILE%\AppData\Local\Temp\OnboardLogs" /stypes="*4045*201612111*" /stext=" 17:.+((SYSTEM_STATE.+slice.+state.+changed )|(ment ac)|(multiple cpu faults)|(system.+state.+changed )|(\[timeout)|(PRM\|1\|D)|(kpr)|(kdp)|(\|lc)|(penalty))" /e /r /s</v>
      </c>
      <c r="U48" s="9" t="str">
        <f t="shared" si="10"/>
        <v>4045</v>
      </c>
      <c r="V48" s="36">
        <f t="shared" si="11"/>
        <v>42715.748090277775</v>
      </c>
      <c r="W48" s="50" t="str">
        <f t="shared" si="12"/>
        <v>NW</v>
      </c>
      <c r="X48" s="50" t="str">
        <f t="shared" si="13"/>
        <v>KEEP</v>
      </c>
      <c r="Y48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{"issue":{"subject":"","project_id":79,"tracker_id":40,"status_id":1,"priority_id":2,"assigned_to_id":23,"start_date":"2016-12-11","description":"","custom_fields":[{"id":1,"name":"Subdivision","value":"NW"},{"id":4,"name":"Milepost","value":"0.0575"},{"id":17,"name":"Train ID","value":"1810-11"},{"id":16,"name":"Locomotive ID","value":"4045"},{"id":130,"name":"Impact","value":""},{"id":150,"name":"Time of Event (Mountain Time)","value":"10:57:15"},{"id":151,"name":"Denver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8" s="53"/>
      <c r="AA48" s="53"/>
      <c r="AB48" s="53"/>
      <c r="AC48" s="138" t="str">
        <f t="shared" si="15"/>
        <v>grep -hSE -A100 "Enforcement Action" "%USERPROFILE%\AppData\Local\Temp\OnboardLogs"\RTDC4045\*4045*201612111* | grep -SE "((Enforcement Ac)|(PRM))" -</v>
      </c>
      <c r="AD48" s="1" t="str">
        <f>"grep -hSE ""Enforcement Action"" "&amp;search_path&amp;"\RTDC"&amp;U48&amp;"\*"&amp;U48&amp;"*"&amp;TEXT(A48-utc_offset/24,"YYYYMMDD")&amp;LEFT(TEXT(A48-utc_offset/24,"HH"),1)&amp;"* &gt;&gt; "&amp;Variables!$A$2&amp;"-slicedisagreementcheck.txt"</f>
        <v>grep -hSE "Enforcement Action" "%USERPROFILE%\AppData\Local\Temp\OnboardLogs"\RTDC4045\*4045*201612111* &gt;&gt; 42715-slicedisagreementcheck.txt</v>
      </c>
    </row>
    <row r="49" spans="1:30" x14ac:dyDescent="0.25">
      <c r="A49" s="36">
        <v>42715.78869212963</v>
      </c>
      <c r="B49" s="31" t="s">
        <v>302</v>
      </c>
      <c r="C49" s="31" t="s">
        <v>477</v>
      </c>
      <c r="D49" s="31" t="s">
        <v>49</v>
      </c>
      <c r="E49" s="31" t="s">
        <v>201</v>
      </c>
      <c r="F49" s="47">
        <v>0</v>
      </c>
      <c r="G49" s="47">
        <v>22</v>
      </c>
      <c r="H49" s="47">
        <v>608</v>
      </c>
      <c r="I49" s="47">
        <v>600</v>
      </c>
      <c r="J49" s="31" t="s">
        <v>202</v>
      </c>
      <c r="K49" s="47">
        <v>575</v>
      </c>
      <c r="L49" s="154" t="s">
        <v>51</v>
      </c>
      <c r="M49" s="155">
        <f t="shared" si="8"/>
        <v>13.2</v>
      </c>
      <c r="N49" s="156" t="str">
        <f>VLOOKUP(C49,'Trips&amp;Operators'!$C$1:$G$99999,5,FALSE)</f>
        <v>ADANE ELSHADAY</v>
      </c>
      <c r="O49" s="182" t="s">
        <v>196</v>
      </c>
      <c r="P49" s="157"/>
      <c r="Q49" s="31"/>
      <c r="R49" s="100" t="str">
        <f>VLOOKUP(C49,'Train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49" s="103" t="str">
        <f>VLOOKUP(C49,'Train Runs'!$A$13:$AE$9971,22,0)</f>
        <v>https://search-rtdc-monitor-bjffxe2xuh6vdkpspy63sjmuny.us-east-1.es.amazonaws.com/_plugin/kibana/#/discover/Steve-Slow-Train-Analysis-(2080s-and-2083s)?_g=(refreshInterval:(display:Off,section:0,value:0),time:(from:'2016-12-11 17:37:21-700',mode:absolute,to:'2016-12-11 19:55:43-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49" s="105" t="str">
        <f t="shared" si="9"/>
        <v>"C:\Program Files (x86)\AstroGrep\AstroGrep.exe" /spath="%USERPROFILE%\AppData\Local\Temp\OnboardLogs" /stypes="*4045*201612120*" /stext=" 01:.+((SYSTEM_STATE.+slice.+state.+changed )|(ment ac)|(multiple cpu faults)|(system.+state.+changed )|(\[timeout)|(PRM\|1\|D)|(kpr)|(kdp)|(\|lc)|(penalty))" /e /r /s</v>
      </c>
      <c r="U49" s="9" t="str">
        <f t="shared" si="10"/>
        <v>4045</v>
      </c>
      <c r="V49" s="36">
        <f t="shared" si="11"/>
        <v>42716.080358796295</v>
      </c>
      <c r="W49" s="50" t="str">
        <f t="shared" si="12"/>
        <v>NW</v>
      </c>
      <c r="X49" s="50" t="str">
        <f t="shared" si="13"/>
        <v>KEEP</v>
      </c>
      <c r="Y49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{"issue":{"subject":"","project_id":79,"tracker_id":40,"status_id":1,"priority_id":2,"assigned_to_id":23,"start_date":"2016-12-11","description":"","custom_fields":[{"id":1,"name":"Subdivision","value":"NW"},{"id":4,"name":"Milepost","value":"0.0575"},{"id":17,"name":"Train ID","value":"1826-11"},{"id":16,"name":"Locomotive ID","value":"4045"},{"id":130,"name":"Impact","value":""},{"id":150,"name":"Time of Event (Mountain Time)","value":"18:55:43"},{"id":151,"name":"Denver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49" s="53"/>
      <c r="AA49" s="53"/>
      <c r="AB49" s="53"/>
      <c r="AC49" s="138" t="str">
        <f t="shared" si="15"/>
        <v>grep -hSE -A100 "Enforcement Action" "%USERPROFILE%\AppData\Local\Temp\OnboardLogs"\RTDC4045\*4045*201612120* | grep -SE "((Enforcement Ac)|(PRM))" -</v>
      </c>
      <c r="AD49" s="1" t="str">
        <f>"grep -hSE ""Enforcement Action"" "&amp;search_path&amp;"\RTDC"&amp;U49&amp;"\*"&amp;U49&amp;"*"&amp;TEXT(A49-utc_offset/24,"YYYYMMDD")&amp;LEFT(TEXT(A49-utc_offset/24,"HH"),1)&amp;"* &gt;&gt; "&amp;Variables!$A$2&amp;"-slicedisagreementcheck.txt"</f>
        <v>grep -hSE "Enforcement Action" "%USERPROFILE%\AppData\Local\Temp\OnboardLogs"\RTDC4045\*4045*201612120* &gt;&gt; 42715-slicedisagreementcheck.txt</v>
      </c>
    </row>
    <row r="50" spans="1:30" x14ac:dyDescent="0.25">
      <c r="A50" s="36">
        <v>42715.915636574071</v>
      </c>
      <c r="B50" s="31" t="s">
        <v>302</v>
      </c>
      <c r="C50" s="31" t="s">
        <v>482</v>
      </c>
      <c r="D50" s="31" t="s">
        <v>49</v>
      </c>
      <c r="E50" s="31" t="s">
        <v>201</v>
      </c>
      <c r="F50" s="47">
        <v>0</v>
      </c>
      <c r="G50" s="47">
        <v>53</v>
      </c>
      <c r="H50" s="47">
        <v>729</v>
      </c>
      <c r="I50" s="47">
        <v>682</v>
      </c>
      <c r="J50" s="31" t="s">
        <v>202</v>
      </c>
      <c r="K50" s="47">
        <v>575</v>
      </c>
      <c r="L50" s="154" t="s">
        <v>51</v>
      </c>
      <c r="M50" s="155">
        <f t="shared" si="8"/>
        <v>56.496000000000002</v>
      </c>
      <c r="N50" s="156" t="str">
        <f>VLOOKUP(C50,'Trips&amp;Operators'!$C$1:$G$99999,5,FALSE)</f>
        <v>ADANE ELSHADAY</v>
      </c>
      <c r="O50" s="182" t="s">
        <v>196</v>
      </c>
      <c r="P50" s="157"/>
      <c r="Q50" s="31"/>
      <c r="R50" s="100" t="str">
        <f>VLOOKUP(C50,'Train Runs'!$A$13:$AE$9971,31,0)</f>
        <v>aws s3 cp s3://rtdc.mdm.uploadarchive.raw/RTDC4045/ "%USERPROFILE%\AppData\Local\Temp\OnboardLogs"\RTDC4045\2016-12-11 --exclude "*" --recursive --include "*20161211*" &amp; "%USERPROFILE%\Documents\GitHub\mrs-test-scripts\Headless Mode &amp; Sideloading\WalkAndUnGZ.bat" "%USERPROFILE%\AppData\Local\Temp\OnboardLogs"\RTDC4045\2016-12-11 &amp; aws s3 cp s3://rtdc.mdm.uploadarchive.raw/RTDC4045/ "%USERPROFILE%\AppData\Local\Temp\OnboardLogs"\RTDC4045\2016-12-12 --exclude "*" --recursive --include "*20161212*" &amp; "%USERPROFILE%\Documents\GitHub\mrs-test-scripts\Headless Mode &amp; Sideloading\WalkAndUnGZ.bat" "%USERPROFILE%\AppData\Local\Temp\OnboardLogs"\RTDC4045\2016-12-12</v>
      </c>
      <c r="S50" s="103" t="str">
        <f>VLOOKUP(C50,'Train Runs'!$A$13:$AE$9971,22,0)</f>
        <v>https://search-rtdc-monitor-bjffxe2xuh6vdkpspy63sjmuny.us-east-1.es.amazonaws.com/_plugin/kibana/#/discover/Steve-Slow-Train-Analysis-(2080s-and-2083s)?_g=(refreshInterval:(display:Off,section:0,value:0),time:(from:'2016-12-11 20:41:55-700',mode:absolute,to:'2016-12-11 22:58:31-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4045%22')),sort:!(Time,asc))</v>
      </c>
      <c r="T50" s="105" t="str">
        <f t="shared" si="9"/>
        <v>"C:\Program Files (x86)\AstroGrep\AstroGrep.exe" /spath="%USERPROFILE%\AppData\Local\Temp\OnboardLogs" /stypes="*4045*201612120*" /stext=" 04:.+((SYSTEM_STATE.+slice.+state.+changed )|(ment ac)|(multiple cpu faults)|(system.+state.+changed )|(\[timeout)|(PRM\|1\|D)|(kpr)|(kdp)|(\|lc)|(penalty))" /e /r /s</v>
      </c>
      <c r="U50" s="9" t="str">
        <f t="shared" si="10"/>
        <v>4045</v>
      </c>
      <c r="V50" s="36">
        <f t="shared" si="11"/>
        <v>42716.207303240735</v>
      </c>
      <c r="W50" s="50" t="str">
        <f t="shared" si="12"/>
        <v>NW</v>
      </c>
      <c r="X50" s="50" t="str">
        <f t="shared" si="13"/>
        <v>KEEP</v>
      </c>
      <c r="Y50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{"issue":{"subject":"","project_id":79,"tracker_id":40,"status_id":1,"priority_id":2,"assigned_to_id":23,"start_date":"2016-12-11","description":"","custom_fields":[{"id":1,"name":"Subdivision","value":"NW"},{"id":4,"name":"Milepost","value":"0.0575"},{"id":17,"name":"Train ID","value":"1832-11"},{"id":16,"name":"Locomotive ID","value":"4045"},{"id":130,"name":"Impact","value":""},{"id":150,"name":"Time of Event (Mountain Time)","value":"21:58:31"},{"id":151,"name":"Denver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0" s="53"/>
      <c r="AA50" s="53"/>
      <c r="AB50" s="53"/>
      <c r="AC50" s="138" t="str">
        <f t="shared" si="15"/>
        <v>grep -hSE -A100 "Enforcement Action" "%USERPROFILE%\AppData\Local\Temp\OnboardLogs"\RTDC4045\*4045*201612120* | grep -SE "((Enforcement Ac)|(PRM))" -</v>
      </c>
      <c r="AD50" s="1" t="str">
        <f>"grep -hSE ""Enforcement Action"" "&amp;search_path&amp;"\RTDC"&amp;U50&amp;"\*"&amp;U50&amp;"*"&amp;TEXT(A50-utc_offset/24,"YYYYMMDD")&amp;LEFT(TEXT(A50-utc_offset/24,"HH"),1)&amp;"* &gt;&gt; "&amp;Variables!$A$2&amp;"-slicedisagreementcheck.txt"</f>
        <v>grep -hSE "Enforcement Action" "%USERPROFILE%\AppData\Local\Temp\OnboardLogs"\RTDC4045\*4045*201612120* &gt;&gt; 42715-slicedisagreementcheck.txt</v>
      </c>
    </row>
    <row r="51" spans="1:30" x14ac:dyDescent="0.25">
      <c r="A51" s="36">
        <v>42715.693796296298</v>
      </c>
      <c r="B51" s="31" t="s">
        <v>235</v>
      </c>
      <c r="C51" s="31" t="s">
        <v>471</v>
      </c>
      <c r="D51" s="31" t="s">
        <v>49</v>
      </c>
      <c r="E51" s="31" t="s">
        <v>201</v>
      </c>
      <c r="F51" s="47">
        <v>0</v>
      </c>
      <c r="G51" s="47">
        <v>59</v>
      </c>
      <c r="H51" s="47">
        <v>58861</v>
      </c>
      <c r="I51" s="47">
        <v>58918</v>
      </c>
      <c r="J51" s="31" t="s">
        <v>202</v>
      </c>
      <c r="K51" s="47">
        <v>59058</v>
      </c>
      <c r="L51" s="154" t="s">
        <v>50</v>
      </c>
      <c r="M51" s="155">
        <f t="shared" si="8"/>
        <v>73.92</v>
      </c>
      <c r="N51" s="156" t="str">
        <f>VLOOKUP(C51,'Trips&amp;Operators'!$C$1:$G$99999,5,FALSE)</f>
        <v>ADANE ELSHADAY</v>
      </c>
      <c r="O51" s="182" t="s">
        <v>196</v>
      </c>
      <c r="P51" s="157"/>
      <c r="Q51" s="31"/>
      <c r="R51" s="100" t="str">
        <f>VLOOKUP(C51,'Train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51" s="103" t="str">
        <f>VLOOKUP(C51,'Train Runs'!$A$13:$AE$9971,22,0)</f>
        <v>https://search-rtdc-monitor-bjffxe2xuh6vdkpspy63sjmuny.us-east-1.es.amazonaws.com/_plugin/kibana/#/discover/Steve-Slow-Train-Analysis-(2080s-and-2083s)?_g=(refreshInterval:(display:Off,section:0,value:0),time:(from:'2016-12-11 15:04:30-700',mode:absolute,to:'2016-12-11 17:39:03-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1" s="105" t="str">
        <f t="shared" si="9"/>
        <v>"C:\Program Files (x86)\AstroGrep\AstroGrep.exe" /spath="%USERPROFILE%\AppData\Local\Temp\OnboardLogs" /stypes="*4046*201612112*" /stext=" 23:.+((SYSTEM_STATE.+slice.+state.+changed )|(ment ac)|(multiple cpu faults)|(system.+state.+changed )|(\[timeout)|(PRM\|1\|D)|(kpr)|(kdp)|(\|lc)|(penalty))" /e /r /s</v>
      </c>
      <c r="U51" s="9" t="str">
        <f t="shared" si="10"/>
        <v>4046</v>
      </c>
      <c r="V51" s="36">
        <f t="shared" si="11"/>
        <v>42715.985462962963</v>
      </c>
      <c r="W51" s="50" t="str">
        <f t="shared" si="12"/>
        <v>NW</v>
      </c>
      <c r="X51" s="50" t="str">
        <f t="shared" si="13"/>
        <v>KEEP</v>
      </c>
      <c r="Y51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{"issue":{"subject":"","project_id":79,"tracker_id":40,"status_id":1,"priority_id":2,"assigned_to_id":23,"start_date":"2016-12-11","description":"","custom_fields":[{"id":1,"name":"Subdivision","value":"NW"},{"id":4,"name":"Milepost","value":"5.9058"},{"id":17,"name":"Train ID","value":"1821-11"},{"id":16,"name":"Locomotive ID","value":"4046"},{"id":130,"name":"Impact","value":""},{"id":150,"name":"Time of Event (Mountain Time)","value":"16:39:04"},{"id":151,"name":"Denver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1" s="53"/>
      <c r="AA51" s="53"/>
      <c r="AB51" s="53"/>
      <c r="AC51" s="138" t="str">
        <f t="shared" si="15"/>
        <v>grep -hSE -A100 "Enforcement Action" "%USERPROFILE%\AppData\Local\Temp\OnboardLogs"\RTDC4046\*4046*201612112* | grep -SE "((Enforcement Ac)|(PRM))" -</v>
      </c>
      <c r="AD51" s="1" t="str">
        <f>"grep -hSE ""Enforcement Action"" "&amp;search_path&amp;"\RTDC"&amp;U51&amp;"\*"&amp;U51&amp;"*"&amp;TEXT(A51-utc_offset/24,"YYYYMMDD")&amp;LEFT(TEXT(A51-utc_offset/24,"HH"),1)&amp;"* &gt;&gt; "&amp;Variables!$A$2&amp;"-slicedisagreementcheck.txt"</f>
        <v>grep -hSE "Enforcement Action" "%USERPROFILE%\AppData\Local\Temp\OnboardLogs"\RTDC4046\*4046*201612112* &gt;&gt; 42715-slicedisagreementcheck.txt</v>
      </c>
    </row>
    <row r="52" spans="1:30" x14ac:dyDescent="0.25">
      <c r="A52" s="36">
        <v>42715.858993055554</v>
      </c>
      <c r="B52" s="31" t="s">
        <v>235</v>
      </c>
      <c r="C52" s="31" t="s">
        <v>479</v>
      </c>
      <c r="D52" s="31" t="s">
        <v>49</v>
      </c>
      <c r="E52" s="31" t="s">
        <v>201</v>
      </c>
      <c r="F52" s="47">
        <v>0</v>
      </c>
      <c r="G52" s="47">
        <v>40</v>
      </c>
      <c r="H52" s="47">
        <v>58946</v>
      </c>
      <c r="I52" s="47">
        <v>58975</v>
      </c>
      <c r="J52" s="31" t="s">
        <v>202</v>
      </c>
      <c r="K52" s="47">
        <v>59058</v>
      </c>
      <c r="L52" s="154" t="s">
        <v>50</v>
      </c>
      <c r="M52" s="155">
        <f t="shared" si="8"/>
        <v>43.823999999999998</v>
      </c>
      <c r="N52" s="156" t="str">
        <f>VLOOKUP(C52,'Trips&amp;Operators'!$C$1:$G$99999,5,FALSE)</f>
        <v>ADANE ELSHADAY</v>
      </c>
      <c r="O52" s="182" t="s">
        <v>230</v>
      </c>
      <c r="P52" s="157" t="s">
        <v>967</v>
      </c>
      <c r="Q52" s="31"/>
      <c r="R52" s="100" t="str">
        <f>VLOOKUP(C52,'Train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52" s="103" t="str">
        <f>VLOOKUP(C52,'Train Runs'!$A$13:$AE$9971,22,0)</f>
        <v>https://search-rtdc-monitor-bjffxe2xuh6vdkpspy63sjmuny.us-east-1.es.amazonaws.com/_plugin/kibana/#/discover/Steve-Slow-Train-Analysis-(2080s-and-2083s)?_g=(refreshInterval:(display:Off,section:0,value:0),time:(from:'2016-12-11 19:01:07-700',mode:absolute,to:'2016-12-11 21:36:56-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2" s="105" t="str">
        <f t="shared" si="9"/>
        <v>"C:\Program Files (x86)\AstroGrep\AstroGrep.exe" /spath="%USERPROFILE%\AppData\Local\Temp\OnboardLogs" /stypes="*4046*201612120*" /stext=" 03:.+((SYSTEM_STATE.+slice.+state.+changed )|(ment ac)|(multiple cpu faults)|(system.+state.+changed )|(\[timeout)|(PRM\|1\|D)|(kpr)|(kdp)|(\|lc)|(penalty))" /e /r /s</v>
      </c>
      <c r="U52" s="9" t="str">
        <f t="shared" si="10"/>
        <v>4046</v>
      </c>
      <c r="V52" s="36">
        <f t="shared" si="11"/>
        <v>42716.150659722218</v>
      </c>
      <c r="W52" s="50" t="str">
        <f t="shared" si="12"/>
        <v>NW</v>
      </c>
      <c r="X52" s="50" t="str">
        <f t="shared" si="13"/>
        <v>KEEP</v>
      </c>
      <c r="Y52" s="119" t="str">
        <f t="shared" si="14"/>
        <v>echo {"issue":{"subject":"Banner without braking","project_id":79,"tracker_id":40,"status_id":1,"priority_id":2,"assigned_to_id":23,"start_date":"2016-12-11","description":"","custom_fields":[{"id":1,"name":"Subdivision","value":"NW"},{"id":4,"name":"Milepost","value":"5.9058"},{"id":17,"name":"Train ID","value":"1829-11"},{"id":16,"name":"Locomotive ID","value":"4046"},{"id":130,"name":"Impact","value":""},{"id":150,"name":"Time of Event (Mountain Time)","value":"20:36:57"},{"id":151,"name":"Denver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2" s="53"/>
      <c r="AA52" s="53"/>
      <c r="AB52" s="53"/>
      <c r="AC52" s="138" t="str">
        <f t="shared" si="15"/>
        <v>grep -hSE -A100 "Enforcement Action" "%USERPROFILE%\AppData\Local\Temp\OnboardLogs"\RTDC4046\*4046*201612120* | grep -SE "((Enforcement Ac)|(PRM))" -</v>
      </c>
      <c r="AD52" s="1" t="str">
        <f>"grep -hSE ""Enforcement Action"" "&amp;search_path&amp;"\RTDC"&amp;U52&amp;"\*"&amp;U52&amp;"*"&amp;TEXT(A52-utc_offset/24,"YYYYMMDD")&amp;LEFT(TEXT(A52-utc_offset/24,"HH"),1)&amp;"* &gt;&gt; "&amp;Variables!$A$2&amp;"-slicedisagreementcheck.txt"</f>
        <v>grep -hSE "Enforcement Action" "%USERPROFILE%\AppData\Local\Temp\OnboardLogs"\RTDC4046\*4046*201612120* &gt;&gt; 42715-slicedisagreementcheck.txt</v>
      </c>
    </row>
    <row r="53" spans="1:30" x14ac:dyDescent="0.25">
      <c r="A53" s="36">
        <v>42715.901701388888</v>
      </c>
      <c r="B53" s="31" t="s">
        <v>235</v>
      </c>
      <c r="C53" s="31" t="s">
        <v>481</v>
      </c>
      <c r="D53" s="31" t="s">
        <v>49</v>
      </c>
      <c r="E53" s="31" t="s">
        <v>201</v>
      </c>
      <c r="F53" s="47">
        <v>0</v>
      </c>
      <c r="G53" s="47">
        <v>120</v>
      </c>
      <c r="H53" s="47">
        <v>58446</v>
      </c>
      <c r="I53" s="47">
        <v>58623</v>
      </c>
      <c r="J53" s="31" t="s">
        <v>202</v>
      </c>
      <c r="K53" s="47">
        <v>59058</v>
      </c>
      <c r="L53" s="154" t="s">
        <v>50</v>
      </c>
      <c r="M53" s="155">
        <f t="shared" si="8"/>
        <v>229.68</v>
      </c>
      <c r="N53" s="156" t="str">
        <f>VLOOKUP(C53,'Trips&amp;Operators'!$C$1:$G$99999,5,FALSE)</f>
        <v>ADANE ELSHADAY</v>
      </c>
      <c r="O53" s="182" t="s">
        <v>196</v>
      </c>
      <c r="P53" s="157"/>
      <c r="Q53" s="31"/>
      <c r="R53" s="100" t="str">
        <f>VLOOKUP(C53,'Train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53" s="103" t="str">
        <f>VLOOKUP(C53,'Train Runs'!$A$13:$AE$9971,22,0)</f>
        <v>https://search-rtdc-monitor-bjffxe2xuh6vdkpspy63sjmuny.us-east-1.es.amazonaws.com/_plugin/kibana/#/discover/Steve-Slow-Train-Analysis-(2080s-and-2083s)?_g=(refreshInterval:(display:Off,section:0,value:0),time:(from:'2016-12-11 19:57:43-700',mode:absolute,to:'2016-12-11 22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3" s="105" t="str">
        <f t="shared" si="9"/>
        <v>"C:\Program Files (x86)\AstroGrep\AstroGrep.exe" /spath="%USERPROFILE%\AppData\Local\Temp\OnboardLogs" /stypes="*4046*201612120*" /stext=" 04:.+((SYSTEM_STATE.+slice.+state.+changed )|(ment ac)|(multiple cpu faults)|(system.+state.+changed )|(\[timeout)|(PRM\|1\|D)|(kpr)|(kdp)|(\|lc)|(penalty))" /e /r /s</v>
      </c>
      <c r="U53" s="9" t="str">
        <f t="shared" si="10"/>
        <v>4046</v>
      </c>
      <c r="V53" s="36">
        <f t="shared" si="11"/>
        <v>42716.193368055552</v>
      </c>
      <c r="W53" s="50" t="str">
        <f t="shared" si="12"/>
        <v>NW</v>
      </c>
      <c r="X53" s="50" t="str">
        <f t="shared" si="13"/>
        <v>KEEP</v>
      </c>
      <c r="Y53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{"issue":{"subject":"","project_id":79,"tracker_id":40,"status_id":1,"priority_id":2,"assigned_to_id":23,"start_date":"2016-12-11","description":"","custom_fields":[{"id":1,"name":"Subdivision","value":"NW"},{"id":4,"name":"Milepost","value":"5.9058"},{"id":17,"name":"Train ID","value":"1831-11"},{"id":16,"name":"Locomotive ID","value":"4046"},{"id":130,"name":"Impact","value":""},{"id":150,"name":"Time of Event (Mountain Time)","value":"21:38:27"},{"id":151,"name":"Denver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3" s="53"/>
      <c r="AA53" s="53"/>
      <c r="AB53" s="53"/>
      <c r="AC53" s="138" t="str">
        <f t="shared" si="15"/>
        <v>grep -hSE -A100 "Enforcement Action" "%USERPROFILE%\AppData\Local\Temp\OnboardLogs"\RTDC4046\*4046*201612120* | grep -SE "((Enforcement Ac)|(PRM))" -</v>
      </c>
      <c r="AD53" s="1" t="str">
        <f>"grep -hSE ""Enforcement Action"" "&amp;search_path&amp;"\RTDC"&amp;U53&amp;"\*"&amp;U53&amp;"*"&amp;TEXT(A53-utc_offset/24,"YYYYMMDD")&amp;LEFT(TEXT(A53-utc_offset/24,"HH"),1)&amp;"* &gt;&gt; "&amp;Variables!$A$2&amp;"-slicedisagreementcheck.txt"</f>
        <v>grep -hSE "Enforcement Action" "%USERPROFILE%\AppData\Local\Temp\OnboardLogs"\RTDC4046\*4046*201612120* &gt;&gt; 42715-slicedisagreementcheck.txt</v>
      </c>
    </row>
    <row r="54" spans="1:30" x14ac:dyDescent="0.25">
      <c r="A54" s="36">
        <v>42715.902141203704</v>
      </c>
      <c r="B54" s="31" t="s">
        <v>235</v>
      </c>
      <c r="C54" s="31" t="s">
        <v>481</v>
      </c>
      <c r="D54" s="31" t="s">
        <v>49</v>
      </c>
      <c r="E54" s="31" t="s">
        <v>201</v>
      </c>
      <c r="F54" s="47">
        <v>0</v>
      </c>
      <c r="G54" s="47">
        <v>59</v>
      </c>
      <c r="H54" s="47">
        <v>58674</v>
      </c>
      <c r="I54" s="47">
        <v>58772</v>
      </c>
      <c r="J54" s="31" t="s">
        <v>202</v>
      </c>
      <c r="K54" s="47">
        <v>59058</v>
      </c>
      <c r="L54" s="154" t="s">
        <v>50</v>
      </c>
      <c r="M54" s="155">
        <f t="shared" si="8"/>
        <v>151.00800000000001</v>
      </c>
      <c r="N54" s="156" t="str">
        <f>VLOOKUP(C54,'Trips&amp;Operators'!$C$1:$G$99999,5,FALSE)</f>
        <v>ADANE ELSHADAY</v>
      </c>
      <c r="O54" s="182" t="s">
        <v>196</v>
      </c>
      <c r="P54" s="157"/>
      <c r="Q54" s="31"/>
      <c r="R54" s="100" t="str">
        <f>VLOOKUP(C54,'Train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54" s="103" t="str">
        <f>VLOOKUP(C54,'Train Runs'!$A$13:$AE$9971,22,0)</f>
        <v>https://search-rtdc-monitor-bjffxe2xuh6vdkpspy63sjmuny.us-east-1.es.amazonaws.com/_plugin/kibana/#/discover/Steve-Slow-Train-Analysis-(2080s-and-2083s)?_g=(refreshInterval:(display:Off,section:0,value:0),time:(from:'2016-12-11 19:57:43-700',mode:absolute,to:'2016-12-11 22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4" s="105" t="str">
        <f t="shared" si="9"/>
        <v>"C:\Program Files (x86)\AstroGrep\AstroGrep.exe" /spath="%USERPROFILE%\AppData\Local\Temp\OnboardLogs" /stypes="*4046*201612120*" /stext=" 04:.+((SYSTEM_STATE.+slice.+state.+changed )|(ment ac)|(multiple cpu faults)|(system.+state.+changed )|(\[timeout)|(PRM\|1\|D)|(kpr)|(kdp)|(\|lc)|(penalty))" /e /r /s</v>
      </c>
      <c r="U54" s="9" t="str">
        <f t="shared" si="10"/>
        <v>4046</v>
      </c>
      <c r="V54" s="36">
        <f t="shared" si="11"/>
        <v>42716.193807870368</v>
      </c>
      <c r="W54" s="50" t="str">
        <f t="shared" si="12"/>
        <v>NW</v>
      </c>
      <c r="X54" s="50" t="str">
        <f t="shared" si="13"/>
        <v>KEEP</v>
      </c>
      <c r="Y54" s="119" t="str">
        <f t="shared" si="14"/>
        <v>echo {"issue":{"subject":"","project_id":79,"tracker_id":40,"status_id":1,"priority_id":2,"assigned_to_id":23,"start_date":"2016-12-11","description":"","custom_fields":[{"id":1,"name":"Subdivision","value":"NW"},{"id":4,"name":"Milepost","value":"5.9058"},{"id":17,"name":"Train ID","value":"1831-11"},{"id":16,"name":"Locomotive ID","value":"4046"},{"id":130,"name":"Impact","value":""},{"id":150,"name":"Time of Event (Mountain Time)","value":"21:39:05"},{"id":151,"name":"Denver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4" s="53"/>
      <c r="AA54" s="53"/>
      <c r="AB54" s="53"/>
      <c r="AC54" s="138" t="str">
        <f t="shared" si="15"/>
        <v>grep -hSE -A100 "Enforcement Action" "%USERPROFILE%\AppData\Local\Temp\OnboardLogs"\RTDC4046\*4046*201612120* | grep -SE "((Enforcement Ac)|(PRM))" -</v>
      </c>
      <c r="AD54" s="1" t="str">
        <f>"grep -hSE ""Enforcement Action"" "&amp;search_path&amp;"\RTDC"&amp;U54&amp;"\*"&amp;U54&amp;"*"&amp;TEXT(A54-utc_offset/24,"YYYYMMDD")&amp;LEFT(TEXT(A54-utc_offset/24,"HH"),1)&amp;"* &gt;&gt; "&amp;Variables!$A$2&amp;"-slicedisagreementcheck.txt"</f>
        <v>grep -hSE "Enforcement Action" "%USERPROFILE%\AppData\Local\Temp\OnboardLogs"\RTDC4046\*4046*201612120* &gt;&gt; 42715-slicedisagreementcheck.txt</v>
      </c>
    </row>
    <row r="55" spans="1:30" x14ac:dyDescent="0.25">
      <c r="A55" s="36">
        <v>42715.903101851851</v>
      </c>
      <c r="B55" s="31" t="s">
        <v>235</v>
      </c>
      <c r="C55" s="31" t="s">
        <v>481</v>
      </c>
      <c r="D55" s="31" t="s">
        <v>49</v>
      </c>
      <c r="E55" s="31" t="s">
        <v>201</v>
      </c>
      <c r="F55" s="47">
        <v>0</v>
      </c>
      <c r="G55" s="47">
        <v>15</v>
      </c>
      <c r="H55" s="47">
        <v>59022</v>
      </c>
      <c r="I55" s="47">
        <v>59028</v>
      </c>
      <c r="J55" s="31" t="s">
        <v>202</v>
      </c>
      <c r="K55" s="47">
        <v>59058</v>
      </c>
      <c r="L55" s="154" t="s">
        <v>50</v>
      </c>
      <c r="M55" s="155">
        <f t="shared" si="8"/>
        <v>15.84</v>
      </c>
      <c r="N55" s="156" t="str">
        <f>VLOOKUP(C55,'Trips&amp;Operators'!$C$1:$G$99999,5,FALSE)</f>
        <v>ADANE ELSHADAY</v>
      </c>
      <c r="O55" s="182" t="s">
        <v>230</v>
      </c>
      <c r="P55" s="157" t="s">
        <v>967</v>
      </c>
      <c r="Q55" s="31"/>
      <c r="R55" s="100" t="str">
        <f>VLOOKUP(C55,'Train Runs'!$A$13:$AE$9971,31,0)</f>
        <v>aws s3 cp s3://rtdc.mdm.uploadarchive.raw/RTDC4046/ "%USERPROFILE%\AppData\Local\Temp\OnboardLogs"\RTDC4046\2016-12-11 --exclude "*" --recursive --include "*20161211*" &amp; "%USERPROFILE%\Documents\GitHub\mrs-test-scripts\Headless Mode &amp; Sideloading\WalkAndUnGZ.bat" "%USERPROFILE%\AppData\Local\Temp\OnboardLogs"\RTDC4046\2016-12-11 &amp; aws s3 cp s3://rtdc.mdm.uploadarchive.raw/RTDC4046/ "%USERPROFILE%\AppData\Local\Temp\OnboardLogs"\RTDC4046\2016-12-12 --exclude "*" --recursive --include "*20161212*" &amp; "%USERPROFILE%\Documents\GitHub\mrs-test-scripts\Headless Mode &amp; Sideloading\WalkAndUnGZ.bat" "%USERPROFILE%\AppData\Local\Temp\OnboardLogs"\RTDC4046\2016-12-12</v>
      </c>
      <c r="S55" s="103" t="str">
        <f>VLOOKUP(C55,'Train Runs'!$A$13:$AE$9971,22,0)</f>
        <v>https://search-rtdc-monitor-bjffxe2xuh6vdkpspy63sjmuny.us-east-1.es.amazonaws.com/_plugin/kibana/#/discover/Steve-Slow-Train-Analysis-(2080s-and-2083s)?_g=(refreshInterval:(display:Off,section:0,value:0),time:(from:'2016-12-11 19:57:43-700',mode:absolute,to:'2016-12-11 22:38:26-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4046%22')),sort:!(Time,asc))</v>
      </c>
      <c r="T55" s="105" t="str">
        <f t="shared" si="9"/>
        <v>"C:\Program Files (x86)\AstroGrep\AstroGrep.exe" /spath="%USERPROFILE%\AppData\Local\Temp\OnboardLogs" /stypes="*4046*201612120*" /stext=" 04:.+((SYSTEM_STATE.+slice.+state.+changed )|(ment ac)|(multiple cpu faults)|(system.+state.+changed )|(\[timeout)|(PRM\|1\|D)|(kpr)|(kdp)|(\|lc)|(penalty))" /e /r /s</v>
      </c>
      <c r="U55" s="9" t="str">
        <f t="shared" si="10"/>
        <v>4046</v>
      </c>
      <c r="V55" s="36">
        <f t="shared" si="11"/>
        <v>42716.194768518515</v>
      </c>
      <c r="W55" s="50" t="str">
        <f t="shared" si="12"/>
        <v>NW</v>
      </c>
      <c r="X55" s="50" t="str">
        <f t="shared" si="13"/>
        <v>KEEP</v>
      </c>
      <c r="Y55" s="119" t="str">
        <f t="shared" si="14"/>
        <v>echo {"issue":{"subject":"Banner without braking","project_id":79,"tracker_id":40,"status_id":1,"priority_id":2,"assigned_to_id":23,"start_date":"2016-12-11","description":"","custom_fields":[{"id":1,"name":"Subdivision","value":"NW"},{"id":4,"name":"Milepost","value":"5.9058"},{"id":17,"name":"Train ID","value":"1831-11"},{"id":16,"name":"Locomotive ID","value":"4046"},{"id":130,"name":"Impact","value":""},{"id":150,"name":"Time of Event (Mountain Time)","value":"21:40:28"},{"id":151,"name":"Denver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5" s="53"/>
      <c r="AA55" s="53"/>
      <c r="AB55" s="53"/>
      <c r="AC55" s="138" t="str">
        <f t="shared" si="15"/>
        <v>grep -hSE -A100 "Enforcement Action" "%USERPROFILE%\AppData\Local\Temp\OnboardLogs"\RTDC4046\*4046*201612120* | grep -SE "((Enforcement Ac)|(PRM))" -</v>
      </c>
      <c r="AD55" s="1" t="str">
        <f>"grep -hSE ""Enforcement Action"" "&amp;search_path&amp;"\RTDC"&amp;U55&amp;"\*"&amp;U55&amp;"*"&amp;TEXT(A55-utc_offset/24,"YYYYMMDD")&amp;LEFT(TEXT(A55-utc_offset/24,"HH"),1)&amp;"* &gt;&gt; "&amp;Variables!$A$2&amp;"-slicedisagreementcheck.txt"</f>
        <v>grep -hSE "Enforcement Action" "%USERPROFILE%\AppData\Local\Temp\OnboardLogs"\RTDC4046\*4046*201612120* &gt;&gt; 42715-slicedisagreementcheck.txt</v>
      </c>
    </row>
    <row r="56" spans="1:30" x14ac:dyDescent="0.25">
      <c r="A56" s="36">
        <v>42715.147662037038</v>
      </c>
      <c r="B56" s="31" t="s">
        <v>243</v>
      </c>
      <c r="C56" s="31" t="s">
        <v>446</v>
      </c>
      <c r="D56" s="31" t="s">
        <v>49</v>
      </c>
      <c r="E56" s="31" t="s">
        <v>201</v>
      </c>
      <c r="F56" s="47">
        <v>0</v>
      </c>
      <c r="G56" s="47">
        <v>53</v>
      </c>
      <c r="H56" s="47">
        <v>201</v>
      </c>
      <c r="I56" s="47">
        <v>143</v>
      </c>
      <c r="J56" s="31" t="s">
        <v>202</v>
      </c>
      <c r="K56" s="47">
        <v>1</v>
      </c>
      <c r="L56" s="154" t="s">
        <v>51</v>
      </c>
      <c r="M56" s="155">
        <f t="shared" si="8"/>
        <v>74.975999999999999</v>
      </c>
      <c r="N56" s="156" t="str">
        <f>VLOOKUP(C56,'Trips&amp;Operators'!$C$1:$G$99999,5,FALSE)</f>
        <v>ACKERMAN JARED</v>
      </c>
      <c r="O56" s="182" t="s">
        <v>196</v>
      </c>
      <c r="P56" s="157"/>
      <c r="Q56" s="31"/>
      <c r="R56" s="100" t="str">
        <f>VLOOKUP(C56,'Train Runs'!$A$13:$AE$9971,31,0)</f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S56" s="103" t="str">
        <f>VLOOKUP(C56,'Train Runs'!$A$13:$AE$9971,22,0)</f>
        <v>https://search-rtdc-monitor-bjffxe2xuh6vdkpspy63sjmuny.us-east-1.es.amazonaws.com/_plugin/kibana/#/discover/Steve-Slow-Train-Analysis-(2080s-and-2083s)?_g=(refreshInterval:(display:Off,section:0,value:0),time:(from:'2016-12-11 02:22:28-700',mode:absolute,to:'2016-12-11 04:32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56" s="105" t="str">
        <f t="shared" si="9"/>
        <v>"C:\Program Files (x86)\AstroGrep\AstroGrep.exe" /spath="%USERPROFILE%\AppData\Local\Temp\OnboardLogs" /stypes="*4010*201612111*" /stext=" 10:.+((SYSTEM_STATE.+slice.+state.+changed )|(ment ac)|(multiple cpu faults)|(system.+state.+changed )|(\[timeout)|(PRM\|1\|D)|(kpr)|(kdp)|(\|lc)|(penalty))" /e /r /s</v>
      </c>
      <c r="U56" s="9" t="str">
        <f t="shared" si="10"/>
        <v>4010</v>
      </c>
      <c r="V56" s="36">
        <f t="shared" si="11"/>
        <v>42715.439328703702</v>
      </c>
      <c r="W56" s="50" t="str">
        <f t="shared" si="12"/>
        <v>Other</v>
      </c>
      <c r="X56" s="50" t="str">
        <f t="shared" si="13"/>
        <v>KEEP</v>
      </c>
      <c r="Y56" s="119" t="str">
        <f t="shared" si="14"/>
        <v>echo {"issue":{"subject":"","project_id":79,"tracker_id":40,"status_id":1,"priority_id":2,"assigned_to_id":23,"start_date":"2016-12-11","description":"","custom_fields":[{"id":1,"name":"Subdivision","value":"Other"},{"id":4,"name":"Milepost","value":"0.0001"},{"id":17,"name":"Train ID","value":"304-11"},{"id":16,"name":"Locomotive ID","value":"4010"},{"id":130,"name":"Impact","value":""},{"id":150,"name":"Time of Event (Mountain Time)","value":"03:32:38"},{"id":151,"name":"Denver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6" s="53"/>
      <c r="AA56" s="53"/>
      <c r="AB56" s="53"/>
      <c r="AC56" s="138" t="str">
        <f t="shared" si="15"/>
        <v>grep -hSE -A100 "Enforcement Action" "%USERPROFILE%\AppData\Local\Temp\OnboardLogs"\RTDC4010\*4010*201612111* | grep -SE "((Enforcement Ac)|(PRM))" -</v>
      </c>
      <c r="AD56" s="1" t="str">
        <f>"grep -hSE ""Enforcement Action"" "&amp;search_path&amp;"\RTDC"&amp;U56&amp;"\*"&amp;U56&amp;"*"&amp;TEXT(A56-utc_offset/24,"YYYYMMDD")&amp;LEFT(TEXT(A56-utc_offset/24,"HH"),1)&amp;"* &gt;&gt; "&amp;Variables!$A$2&amp;"-slicedisagreementcheck.txt"</f>
        <v>grep -hSE "Enforcement Action" "%USERPROFILE%\AppData\Local\Temp\OnboardLogs"\RTDC4010\*4010*201612111* &gt;&gt; 42715-slicedisagreementcheck.txt</v>
      </c>
    </row>
    <row r="57" spans="1:30" x14ac:dyDescent="0.25">
      <c r="A57" s="36">
        <v>42715.148043981484</v>
      </c>
      <c r="B57" s="31" t="s">
        <v>243</v>
      </c>
      <c r="C57" s="31" t="s">
        <v>446</v>
      </c>
      <c r="D57" s="31" t="s">
        <v>49</v>
      </c>
      <c r="E57" s="31" t="s">
        <v>201</v>
      </c>
      <c r="F57" s="47">
        <v>0</v>
      </c>
      <c r="G57" s="47">
        <v>24</v>
      </c>
      <c r="H57" s="47">
        <v>114</v>
      </c>
      <c r="I57" s="47">
        <v>99</v>
      </c>
      <c r="J57" s="31" t="s">
        <v>202</v>
      </c>
      <c r="K57" s="47">
        <v>1</v>
      </c>
      <c r="L57" s="154" t="s">
        <v>51</v>
      </c>
      <c r="M57" s="155">
        <f t="shared" si="8"/>
        <v>51.744</v>
      </c>
      <c r="N57" s="156" t="str">
        <f>VLOOKUP(C57,'Trips&amp;Operators'!$C$1:$G$99999,5,FALSE)</f>
        <v>ACKERMAN JARED</v>
      </c>
      <c r="O57" s="182" t="s">
        <v>196</v>
      </c>
      <c r="P57" s="157"/>
      <c r="Q57" s="31"/>
      <c r="R57" s="100" t="str">
        <f>VLOOKUP(C57,'Train Runs'!$A$13:$AE$9971,31,0)</f>
        <v>aws s3 cp s3://rtdc.mdm.uploadarchive.raw/RTDC4010/ "%USERPROFILE%\AppData\Local\Temp\OnboardLogs"\RTDC4010\2016-12-11 --exclude "*" --recursive --include "*20161211*" &amp; "%USERPROFILE%\Documents\GitHub\mrs-test-scripts\Headless Mode &amp; Sideloading\WalkAndUnGZ.bat" "%USERPROFILE%\AppData\Local\Temp\OnboardLogs"\RTDC4010\2016-12-11 &amp; aws s3 cp s3://rtdc.mdm.uploadarchive.raw/RTDC4010/ "%USERPROFILE%\AppData\Local\Temp\OnboardLogs"\RTDC4010\2016-12-12 --exclude "*" --recursive --include "*20161212*" &amp; "%USERPROFILE%\Documents\GitHub\mrs-test-scripts\Headless Mode &amp; Sideloading\WalkAndUnGZ.bat" "%USERPROFILE%\AppData\Local\Temp\OnboardLogs"\RTDC4010\2016-12-12</v>
      </c>
      <c r="S57" s="103" t="str">
        <f>VLOOKUP(C57,'Train Runs'!$A$13:$AE$9971,22,0)</f>
        <v>https://search-rtdc-monitor-bjffxe2xuh6vdkpspy63sjmuny.us-east-1.es.amazonaws.com/_plugin/kibana/#/discover/Steve-Slow-Train-Analysis-(2080s-and-2083s)?_g=(refreshInterval:(display:Off,section:0,value:0),time:(from:'2016-12-11 02:22:28-700',mode:absolute,to:'2016-12-11 04:32:37-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4010%22')),sort:!(Time,asc))</v>
      </c>
      <c r="T57" s="105" t="str">
        <f t="shared" si="9"/>
        <v>"C:\Program Files (x86)\AstroGrep\AstroGrep.exe" /spath="%USERPROFILE%\AppData\Local\Temp\OnboardLogs" /stypes="*4010*201612111*" /stext=" 10:.+((SYSTEM_STATE.+slice.+state.+changed )|(ment ac)|(multiple cpu faults)|(system.+state.+changed )|(\[timeout)|(PRM\|1\|D)|(kpr)|(kdp)|(\|lc)|(penalty))" /e /r /s</v>
      </c>
      <c r="U57" s="9" t="str">
        <f t="shared" si="10"/>
        <v>4010</v>
      </c>
      <c r="V57" s="36">
        <f t="shared" si="11"/>
        <v>42715.439710648148</v>
      </c>
      <c r="W57" s="50" t="str">
        <f t="shared" si="12"/>
        <v>Other</v>
      </c>
      <c r="X57" s="50" t="str">
        <f t="shared" si="13"/>
        <v>KEEP</v>
      </c>
      <c r="Y57" s="119" t="str">
        <f t="shared" si="14"/>
        <v>echo {"issue":{"subject":"","project_id":79,"tracker_id":40,"status_id":1,"priority_id":2,"assigned_to_id":23,"start_date":"2016-12-11","description":"","custom_fields":[{"id":1,"name":"Subdivision","value":"Other"},{"id":4,"name":"Milepost","value":"0.0001"},{"id":17,"name":"Train ID","value":"304-11"},{"id":16,"name":"Locomotive ID","value":"4010"},{"id":130,"name":"Impact","value":""},{"id":150,"name":"Time of Event (Mountain Time)","value":"03:33:11"},{"id":151,"name":"Denver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7" s="53"/>
      <c r="AA57" s="53"/>
      <c r="AB57" s="53"/>
      <c r="AC57" s="138" t="str">
        <f t="shared" si="15"/>
        <v>grep -hSE -A100 "Enforcement Action" "%USERPROFILE%\AppData\Local\Temp\OnboardLogs"\RTDC4010\*4010*201612111* | grep -SE "((Enforcement Ac)|(PRM))" -</v>
      </c>
      <c r="AD57" s="1" t="str">
        <f>"grep -hSE ""Enforcement Action"" "&amp;search_path&amp;"\RTDC"&amp;U57&amp;"\*"&amp;U57&amp;"*"&amp;TEXT(A57-utc_offset/24,"YYYYMMDD")&amp;LEFT(TEXT(A57-utc_offset/24,"HH"),1)&amp;"* &gt;&gt; "&amp;Variables!$A$2&amp;"-slicedisagreementcheck.txt"</f>
        <v>grep -hSE "Enforcement Action" "%USERPROFILE%\AppData\Local\Temp\OnboardLogs"\RTDC4010\*4010*201612111* &gt;&gt; 42715-slicedisagreementcheck.txt</v>
      </c>
    </row>
    <row r="58" spans="1:30" x14ac:dyDescent="0.25">
      <c r="A58" s="36">
        <v>42715.463368055556</v>
      </c>
      <c r="B58" s="31" t="s">
        <v>370</v>
      </c>
      <c r="C58" s="31" t="s">
        <v>459</v>
      </c>
      <c r="D58" s="31" t="s">
        <v>49</v>
      </c>
      <c r="E58" s="31" t="s">
        <v>201</v>
      </c>
      <c r="F58" s="47">
        <v>0</v>
      </c>
      <c r="G58" s="47">
        <v>38</v>
      </c>
      <c r="H58" s="47">
        <v>939</v>
      </c>
      <c r="I58" s="47">
        <v>911</v>
      </c>
      <c r="J58" s="31" t="s">
        <v>202</v>
      </c>
      <c r="K58" s="47">
        <v>826</v>
      </c>
      <c r="L58" s="154" t="s">
        <v>51</v>
      </c>
      <c r="M58" s="155">
        <f t="shared" si="8"/>
        <v>44.88</v>
      </c>
      <c r="N58" s="156" t="str">
        <f>VLOOKUP(C58,'Trips&amp;Operators'!$C$1:$G$99999,5,FALSE)</f>
        <v>MOSES BRADLEY</v>
      </c>
      <c r="O58" s="182" t="s">
        <v>196</v>
      </c>
      <c r="P58" s="157"/>
      <c r="Q58" s="31"/>
      <c r="R58" s="100" t="str">
        <f>VLOOKUP(C58,'Train Runs'!$A$13:$AE$9971,31,0)</f>
        <v>aws s3 cp s3://rtdc.mdm.uploadarchive.raw/RTDC4004/ "%USERPROFILE%\AppData\Local\Temp\OnboardLogs"\RTDC4004\2016-12-11 --exclude "*" --recursive --include "*20161211*" &amp; "%USERPROFILE%\Documents\GitHub\mrs-test-scripts\Headless Mode &amp; Sideloading\WalkAndUnGZ.bat" "%USERPROFILE%\AppData\Local\Temp\OnboardLogs"\RTDC4004\2016-12-11 &amp; aws s3 cp s3://rtdc.mdm.uploadarchive.raw/RTDC4004/ "%USERPROFILE%\AppData\Local\Temp\OnboardLogs"\RTDC4004\2016-12-12 --exclude "*" --recursive --include "*20161212*" &amp; "%USERPROFILE%\Documents\GitHub\mrs-test-scripts\Headless Mode &amp; Sideloading\WalkAndUnGZ.bat" "%USERPROFILE%\AppData\Local\Temp\OnboardLogs"\RTDC4004\2016-12-12</v>
      </c>
      <c r="S58" s="103" t="str">
        <f>VLOOKUP(C58,'Train Runs'!$A$13:$AE$9971,22,0)</f>
        <v>https://search-rtdc-monitor-bjffxe2xuh6vdkpspy63sjmuny.us-east-1.es.amazonaws.com/_plugin/kibana/#/discover/Steve-Slow-Train-Analysis-(2080s-and-2083s)?_g=(refreshInterval:(display:Off,section:0,value:0),time:(from:'2016-12-11 09:51:51-700',mode:absolute,to:'2016-12-11 12:07:15-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4004%22')),sort:!(Time,asc))</v>
      </c>
      <c r="T58" s="105" t="str">
        <f t="shared" si="9"/>
        <v>"C:\Program Files (x86)\AstroGrep\AstroGrep.exe" /spath="%USERPROFILE%\AppData\Local\Temp\OnboardLogs" /stypes="*4004*201612111*" /stext=" 18:.+((SYSTEM_STATE.+slice.+state.+changed )|(ment ac)|(multiple cpu faults)|(system.+state.+changed )|(\[timeout)|(PRM\|1\|D)|(kpr)|(kdp)|(\|lc)|(penalty))" /e /r /s</v>
      </c>
      <c r="U58" s="9" t="str">
        <f t="shared" si="10"/>
        <v>4004</v>
      </c>
      <c r="V58" s="36">
        <f t="shared" si="11"/>
        <v>42715.75503472222</v>
      </c>
      <c r="W58" s="50" t="str">
        <f t="shared" si="12"/>
        <v>Other</v>
      </c>
      <c r="X58" s="50" t="str">
        <f t="shared" si="13"/>
        <v>KEEP</v>
      </c>
      <c r="Y58" s="119" t="str">
        <f t="shared" si="14"/>
        <v>echo {"issue":{"subject":"","project_id":79,"tracker_id":40,"status_id":1,"priority_id":2,"assigned_to_id":23,"start_date":"2016-12-11","description":"","custom_fields":[{"id":1,"name":"Subdivision","value":"Other"},{"id":4,"name":"Milepost","value":"0.0826"},{"id":17,"name":"Train ID","value":"52-11"},{"id":16,"name":"Locomotive ID","value":"4004"},{"id":130,"name":"Impact","value":""},{"id":150,"name":"Time of Event (Mountain Time)","value":"11:07:15"},{"id":151,"name":"Denver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8" s="53"/>
      <c r="AA58" s="53"/>
      <c r="AB58" s="53"/>
      <c r="AC58" s="138" t="str">
        <f t="shared" si="15"/>
        <v>grep -hSE -A100 "Enforcement Action" "%USERPROFILE%\AppData\Local\Temp\OnboardLogs"\RTDC4004\*4004*201612111* | grep -SE "((Enforcement Ac)|(PRM))" -</v>
      </c>
      <c r="AD58" s="1" t="str">
        <f>"grep -hSE ""Enforcement Action"" "&amp;search_path&amp;"\RTDC"&amp;U58&amp;"\*"&amp;U58&amp;"*"&amp;TEXT(A58-utc_offset/24,"YYYYMMDD")&amp;LEFT(TEXT(A58-utc_offset/24,"HH"),1)&amp;"* &gt;&gt; "&amp;Variables!$A$2&amp;"-slicedisagreementcheck.txt"</f>
        <v>grep -hSE "Enforcement Action" "%USERPROFILE%\AppData\Local\Temp\OnboardLogs"\RTDC4004\*4004*201612111* &gt;&gt; 42715-slicedisagreementcheck.txt</v>
      </c>
    </row>
    <row r="59" spans="1:30" x14ac:dyDescent="0.25">
      <c r="A59" s="36">
        <v>42715.752118055556</v>
      </c>
      <c r="B59" s="31" t="s">
        <v>297</v>
      </c>
      <c r="C59" s="31" t="s">
        <v>475</v>
      </c>
      <c r="D59" s="31" t="s">
        <v>98</v>
      </c>
      <c r="E59" s="31" t="s">
        <v>201</v>
      </c>
      <c r="F59" s="47">
        <v>0</v>
      </c>
      <c r="G59" s="47">
        <v>3</v>
      </c>
      <c r="H59" s="47">
        <v>839</v>
      </c>
      <c r="I59" s="47">
        <v>0</v>
      </c>
      <c r="J59" s="31" t="s">
        <v>202</v>
      </c>
      <c r="K59" s="47">
        <v>839</v>
      </c>
      <c r="L59" s="154" t="s">
        <v>51</v>
      </c>
      <c r="M59" s="155">
        <f t="shared" si="8"/>
        <v>-442.99200000000002</v>
      </c>
      <c r="N59" s="156" t="str">
        <f>VLOOKUP(C59,'Trips&amp;Operators'!$C$1:$G$99999,5,FALSE)</f>
        <v>MACDONALD THOMAS</v>
      </c>
      <c r="O59" s="182" t="s">
        <v>196</v>
      </c>
      <c r="P59" s="157"/>
      <c r="Q59" s="31"/>
      <c r="R59" s="100" t="str">
        <f>VLOOKUP(C59,'Train Runs'!$A$13:$AE$9971,31,0)</f>
        <v>aws s3 cp s3://rtdc.mdm.uploadarchive.raw/RTDC4015/ "%USERPROFILE%\AppData\Local\Temp\OnboardLogs"\RTDC4015\2016-12-11 --exclude "*" --recursive --include "*20161211*" &amp; "%USERPROFILE%\Documents\GitHub\mrs-test-scripts\Headless Mode &amp; Sideloading\WalkAndUnGZ.bat" "%USERPROFILE%\AppData\Local\Temp\OnboardLogs"\RTDC4015\2016-12-11 &amp; aws s3 cp s3://rtdc.mdm.uploadarchive.raw/RTDC4015/ "%USERPROFILE%\AppData\Local\Temp\OnboardLogs"\RTDC4015\2016-12-12 --exclude "*" --recursive --include "*20161212*" &amp; "%USERPROFILE%\Documents\GitHub\mrs-test-scripts\Headless Mode &amp; Sideloading\WalkAndUnGZ.bat" "%USERPROFILE%\AppData\Local\Temp\OnboardLogs"\RTDC4015\2016-12-12</v>
      </c>
      <c r="S59" s="103" t="str">
        <f>VLOOKUP(C59,'Train Runs'!$A$13:$AE$9971,22,0)</f>
        <v>https://search-rtdc-monitor-bjffxe2xuh6vdkpspy63sjmuny.us-east-1.es.amazonaws.com/_plugin/kibana/#/discover/Steve-Slow-Train-Analysis-(2080s-and-2083s)?_g=(refreshInterval:(display:Off,section:0,value:0),time:(from:'2016-12-11 16:51:13-700',mode:absolute,to:'2016-12-11 19:03:02-700'))&amp;_a=(columns:!(Source,'Data.Head%20End%20Milepost',Data.Speed,'Data.Locomotive%20State','Data.Train%20ID','Data.Warning%2FEnforcement%20Type','Data.Target%20Start%20Milepost','Data.Target%20Description','Data.Target%20Speed','Data.Enforcement%20Train%20Speed','Data.Enforcement%20Start%20Milepost','Data.Target%20Type','Data.Enforcement%20Direction%20of%20Travel','Message%20ID','Data.Body%20of%20Summary%20Text','Data.Head%20End%20Track%20name'),filters:!(),index:'emp_*',interval:auto,query:(query_string:(analyze_wildcard:!t,query:'Message%5C%20ID:(2083%20OR%202080%20OR%201041%20OR%202003%20OR%201051%20OR%201043%20OR%201053)%20AND%20%22rtdc.l.rtdc.4015%22')),sort:!(Time,asc))</v>
      </c>
      <c r="T59" s="105" t="str">
        <f t="shared" si="9"/>
        <v>"C:\Program Files (x86)\AstroGrep\AstroGrep.exe" /spath="%USERPROFILE%\AppData\Local\Temp\OnboardLogs" /stypes="*4015*201612120*" /stext=" 01:.+((SYSTEM_STATE.+slice.+state.+changed )|(ment ac)|(multiple cpu faults)|(system.+state.+changed )|(\[timeout)|(PRM\|1\|D)|(kpr)|(kdp)|(\|lc)|(penalty))" /e /r /s</v>
      </c>
      <c r="U59" s="9" t="str">
        <f t="shared" si="10"/>
        <v>4015</v>
      </c>
      <c r="V59" s="36">
        <f t="shared" si="11"/>
        <v>42716.04378472222</v>
      </c>
      <c r="W59" s="50" t="str">
        <f t="shared" si="12"/>
        <v>Other</v>
      </c>
      <c r="X59" s="50" t="str">
        <f t="shared" si="13"/>
        <v>OMIT</v>
      </c>
      <c r="Y59" s="119" t="str">
        <f t="shared" si="14"/>
        <v>echo {"issue":{"subject":"","project_id":79,"tracker_id":40,"status_id":1,"priority_id":2,"assigned_to_id":23,"start_date":"2016-12-11","description":"","custom_fields":[{"id":1,"name":"Subdivision","value":"Other"},{"id":4,"name":"Milepost","value":"0.0839"},{"id":17,"name":"Train ID","value":"72-11"},{"id":16,"name":"Locomotive ID","value":"4015"},{"id":130,"name":"Impact","value":""},{"id":150,"name":"Time of Event (Mountain Time)","value":"18:03:03"},{"id":151,"name":"Denver Issue ID","value":""},{"id":178,"name":"Operational Impact","value":"Yes"},{"id":179,"name":"Denver Segment Assigned","value":""}]}} | curl -X POST -H "Content-Type: application/json" -H "X-Redmine-API-Key: d6333d4a04012a730768444271f8ca06482dae87" https://secure.xorail.net/redmine/issues.json --data @-</v>
      </c>
      <c r="Z59" s="53"/>
      <c r="AA59" s="53"/>
      <c r="AB59" s="53"/>
      <c r="AC59" s="138" t="str">
        <f t="shared" si="15"/>
        <v>grep -hSE -A100 "Enforcement Action" "%USERPROFILE%\AppData\Local\Temp\OnboardLogs"\RTDC4015\*4015*201612120* | grep -SE "((Enforcement Ac)|(PRM))" -</v>
      </c>
      <c r="AD59" s="1" t="str">
        <f>"grep -hSE ""Enforcement Action"" "&amp;search_path&amp;"\RTDC"&amp;U59&amp;"\*"&amp;U59&amp;"*"&amp;TEXT(A59-utc_offset/24,"YYYYMMDD")&amp;LEFT(TEXT(A59-utc_offset/24,"HH"),1)&amp;"* &gt;&gt; "&amp;Variables!$A$2&amp;"-slicedisagreementcheck.txt"</f>
        <v>grep -hSE "Enforcement Action" "%USERPROFILE%\AppData\Local\Temp\OnboardLogs"\RTDC4015\*4015*201612120* &gt;&gt; 42715-slicedisagreementcheck.txt</v>
      </c>
    </row>
    <row r="60" spans="1:30" x14ac:dyDescent="0.25">
      <c r="A60"/>
      <c r="D60"/>
      <c r="E60"/>
      <c r="F60"/>
      <c r="G60"/>
      <c r="H60"/>
      <c r="I60"/>
      <c r="J60"/>
      <c r="K60"/>
      <c r="L60"/>
      <c r="M60"/>
      <c r="N60"/>
      <c r="O60"/>
      <c r="P60"/>
      <c r="R60"/>
      <c r="S60"/>
      <c r="T60"/>
      <c r="V60"/>
      <c r="AC60"/>
    </row>
    <row r="61" spans="1:30" x14ac:dyDescent="0.25">
      <c r="A61"/>
      <c r="D61"/>
      <c r="E61"/>
      <c r="F61"/>
      <c r="G61"/>
      <c r="H61"/>
      <c r="I61"/>
      <c r="J61"/>
      <c r="K61"/>
      <c r="L61"/>
      <c r="M61"/>
      <c r="N61"/>
      <c r="O61"/>
      <c r="P61"/>
      <c r="R61"/>
      <c r="S61"/>
      <c r="T61"/>
      <c r="V61"/>
      <c r="AC61"/>
    </row>
    <row r="62" spans="1:30" x14ac:dyDescent="0.25">
      <c r="A62"/>
      <c r="D62"/>
      <c r="E62"/>
      <c r="F62"/>
      <c r="G62"/>
      <c r="H62"/>
      <c r="I62"/>
      <c r="J62"/>
      <c r="K62"/>
      <c r="L62"/>
      <c r="M62"/>
      <c r="N62"/>
      <c r="O62"/>
      <c r="P62"/>
      <c r="R62"/>
      <c r="S62"/>
      <c r="T62"/>
      <c r="V62"/>
      <c r="AC62"/>
    </row>
    <row r="63" spans="1:30" x14ac:dyDescent="0.25">
      <c r="A63"/>
      <c r="D63"/>
      <c r="E63"/>
      <c r="F63"/>
      <c r="G63"/>
      <c r="H63"/>
      <c r="I63"/>
      <c r="J63"/>
      <c r="K63"/>
      <c r="L63"/>
      <c r="M63"/>
      <c r="N63"/>
      <c r="O63"/>
      <c r="P63"/>
      <c r="R63"/>
      <c r="S63"/>
      <c r="T63"/>
      <c r="V63"/>
      <c r="AC63"/>
    </row>
    <row r="64" spans="1:30" x14ac:dyDescent="0.25">
      <c r="A64"/>
      <c r="D64"/>
      <c r="E64"/>
      <c r="F64"/>
      <c r="G64"/>
      <c r="H64"/>
      <c r="I64"/>
      <c r="J64"/>
      <c r="K64"/>
      <c r="L64"/>
      <c r="M64"/>
      <c r="N64"/>
      <c r="O64"/>
      <c r="P64"/>
      <c r="R64"/>
      <c r="S64"/>
      <c r="T64"/>
      <c r="V64"/>
      <c r="AC64"/>
    </row>
    <row r="65" spans="1:29" x14ac:dyDescent="0.25">
      <c r="A65"/>
      <c r="D65"/>
      <c r="E65"/>
      <c r="F65"/>
      <c r="G65"/>
      <c r="H65"/>
      <c r="I65"/>
      <c r="J65"/>
      <c r="K65"/>
      <c r="L65"/>
      <c r="M65"/>
      <c r="N65"/>
      <c r="O65"/>
      <c r="P65"/>
      <c r="R65"/>
      <c r="S65"/>
      <c r="T65"/>
      <c r="V65"/>
      <c r="AC65"/>
    </row>
    <row r="66" spans="1:29" x14ac:dyDescent="0.25">
      <c r="A66"/>
      <c r="D66"/>
      <c r="E66"/>
      <c r="F66"/>
      <c r="G66"/>
      <c r="H66"/>
      <c r="I66"/>
      <c r="J66"/>
      <c r="K66"/>
      <c r="L66"/>
      <c r="M66"/>
      <c r="N66"/>
      <c r="O66"/>
      <c r="P66"/>
      <c r="R66"/>
      <c r="S66"/>
      <c r="T66"/>
      <c r="V66"/>
      <c r="AC66"/>
    </row>
    <row r="67" spans="1:29" x14ac:dyDescent="0.25">
      <c r="A67"/>
      <c r="D67"/>
      <c r="E67"/>
      <c r="F67"/>
      <c r="G67"/>
      <c r="H67"/>
      <c r="I67"/>
      <c r="J67"/>
      <c r="K67"/>
      <c r="L67"/>
      <c r="M67"/>
      <c r="N67"/>
      <c r="O67"/>
      <c r="P67"/>
      <c r="R67"/>
      <c r="S67"/>
      <c r="T67"/>
      <c r="V67"/>
      <c r="AC67"/>
    </row>
    <row r="68" spans="1:29" x14ac:dyDescent="0.25">
      <c r="A68"/>
      <c r="D68"/>
      <c r="E68"/>
      <c r="F68"/>
      <c r="G68"/>
      <c r="H68"/>
      <c r="I68"/>
      <c r="J68"/>
      <c r="K68"/>
      <c r="L68"/>
      <c r="M68"/>
      <c r="N68"/>
      <c r="O68"/>
      <c r="P68"/>
      <c r="R68"/>
      <c r="S68"/>
      <c r="T68"/>
      <c r="V68"/>
      <c r="AC68"/>
    </row>
    <row r="69" spans="1:29" x14ac:dyDescent="0.25">
      <c r="A69"/>
      <c r="D69"/>
      <c r="E69"/>
      <c r="F69"/>
      <c r="G69"/>
      <c r="H69"/>
      <c r="I69"/>
      <c r="J69"/>
      <c r="K69"/>
      <c r="L69"/>
      <c r="M69"/>
      <c r="N69"/>
      <c r="O69"/>
      <c r="P69"/>
      <c r="R69"/>
      <c r="S69"/>
      <c r="T69"/>
      <c r="V69"/>
      <c r="AC69"/>
    </row>
    <row r="70" spans="1:29" x14ac:dyDescent="0.25">
      <c r="A70"/>
      <c r="D70"/>
      <c r="E70"/>
      <c r="F70"/>
      <c r="G70"/>
      <c r="H70"/>
      <c r="I70"/>
      <c r="J70"/>
      <c r="K70"/>
      <c r="L70"/>
      <c r="M70"/>
      <c r="N70"/>
      <c r="O70"/>
      <c r="P70"/>
      <c r="R70"/>
      <c r="S70"/>
      <c r="T70"/>
      <c r="V70"/>
      <c r="AC70"/>
    </row>
    <row r="71" spans="1:29" x14ac:dyDescent="0.25">
      <c r="A71"/>
      <c r="D71"/>
      <c r="E71"/>
      <c r="F71"/>
      <c r="G71"/>
      <c r="H71"/>
      <c r="I71"/>
      <c r="J71"/>
      <c r="K71"/>
      <c r="L71"/>
      <c r="M71"/>
      <c r="N71"/>
      <c r="O71"/>
      <c r="P71"/>
      <c r="R71"/>
      <c r="S71"/>
      <c r="T71"/>
      <c r="V71"/>
      <c r="AC71"/>
    </row>
    <row r="72" spans="1:29" x14ac:dyDescent="0.25">
      <c r="A72"/>
      <c r="D72"/>
      <c r="E72"/>
      <c r="F72"/>
      <c r="G72"/>
      <c r="H72"/>
      <c r="I72"/>
      <c r="J72"/>
      <c r="K72"/>
      <c r="L72"/>
      <c r="M72"/>
      <c r="N72"/>
      <c r="O72"/>
      <c r="P72"/>
      <c r="R72"/>
      <c r="S72"/>
      <c r="T72"/>
      <c r="V72"/>
      <c r="AC72"/>
    </row>
    <row r="73" spans="1:29" x14ac:dyDescent="0.25">
      <c r="A73"/>
      <c r="D73"/>
      <c r="E73"/>
      <c r="F73"/>
      <c r="G73"/>
      <c r="H73"/>
      <c r="I73"/>
      <c r="J73"/>
      <c r="K73"/>
      <c r="L73"/>
      <c r="M73"/>
      <c r="N73"/>
      <c r="O73"/>
      <c r="P73"/>
      <c r="R73"/>
      <c r="S73"/>
      <c r="T73"/>
      <c r="V73"/>
      <c r="AC73"/>
    </row>
    <row r="74" spans="1:29" x14ac:dyDescent="0.25">
      <c r="A74"/>
      <c r="D74"/>
      <c r="E74"/>
      <c r="F74"/>
      <c r="G74"/>
      <c r="H74"/>
      <c r="I74"/>
      <c r="J74"/>
      <c r="K74"/>
      <c r="L74"/>
      <c r="M74"/>
      <c r="N74"/>
      <c r="O74"/>
      <c r="P74"/>
      <c r="R74"/>
      <c r="S74"/>
      <c r="T74"/>
      <c r="V74"/>
      <c r="AC74"/>
    </row>
    <row r="75" spans="1:29" x14ac:dyDescent="0.25">
      <c r="A75"/>
      <c r="D75"/>
      <c r="E75"/>
      <c r="F75"/>
      <c r="G75"/>
      <c r="H75"/>
      <c r="I75"/>
      <c r="J75"/>
      <c r="K75"/>
      <c r="L75"/>
      <c r="M75"/>
      <c r="N75"/>
      <c r="O75"/>
      <c r="P75"/>
      <c r="R75"/>
      <c r="S75"/>
      <c r="T75"/>
      <c r="V75"/>
      <c r="AC75"/>
    </row>
  </sheetData>
  <autoFilter ref="A6:AC46">
    <sortState ref="A7:AC59">
      <sortCondition ref="V6:V46"/>
    </sortState>
  </autoFilter>
  <sortState ref="A7:AD59">
    <sortCondition ref="W7:W59"/>
    <sortCondition ref="E7:E59"/>
    <sortCondition ref="K7:K59"/>
    <sortCondition ref="C7:C59"/>
    <sortCondition ref="F7:F59"/>
  </sortState>
  <mergeCells count="1">
    <mergeCell ref="A5:O5"/>
  </mergeCells>
  <conditionalFormatting sqref="O6:P6 R6 O76:O1048576 O7:O59">
    <cfRule type="cellIs" dxfId="3" priority="36" operator="equal">
      <formula>"Y"</formula>
    </cfRule>
  </conditionalFormatting>
  <conditionalFormatting sqref="O2:O3">
    <cfRule type="cellIs" dxfId="2" priority="27" operator="equal">
      <formula>"Y"</formula>
    </cfRule>
  </conditionalFormatting>
  <conditionalFormatting sqref="A7:P59">
    <cfRule type="expression" dxfId="1" priority="20">
      <formula>$O7="Y"</formula>
    </cfRule>
  </conditionalFormatting>
  <hyperlinks>
    <hyperlink ref="Z18" r:id="rId1"/>
  </hyperlinks>
  <pageMargins left="0.7" right="0.7" top="0.75" bottom="0.75" header="0.3" footer="0.3"/>
  <pageSetup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5" name="Button 1">
              <controlPr defaultSize="0" print="0" autoFill="0" autoPict="0" macro="[2]!DailyMorningStuff_Enforcements">
                <anchor moveWithCells="1" sizeWithCells="1">
                  <from>
                    <xdr:col>15</xdr:col>
                    <xdr:colOff>352425</xdr:colOff>
                    <xdr:row>1</xdr:row>
                    <xdr:rowOff>28575</xdr:rowOff>
                  </from>
                  <to>
                    <xdr:col>15</xdr:col>
                    <xdr:colOff>1152525</xdr:colOff>
                    <xdr:row>3</xdr:row>
                    <xdr:rowOff>66675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>
          <x14:formula1>
            <xm:f>'Redmine List Values'!$A$2:$A$7</xm:f>
          </x14:formula1>
          <xm:sqref>AA7:AA59</xm:sqref>
        </x14:dataValidation>
        <x14:dataValidation type="list" allowBlank="1" showInputMessage="1" showErrorMessage="1">
          <x14:formula1>
            <xm:f>'Redmine List Values'!$C$2:$C$15</xm:f>
          </x14:formula1>
          <xm:sqref>AB7:AB59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K15"/>
  <sheetViews>
    <sheetView workbookViewId="0">
      <selection activeCell="I4" sqref="I4"/>
    </sheetView>
  </sheetViews>
  <sheetFormatPr defaultRowHeight="15" x14ac:dyDescent="0.25"/>
  <cols>
    <col min="1" max="1" width="9.140625" style="165"/>
    <col min="2" max="2" width="9.140625" style="2" customWidth="1"/>
    <col min="3" max="3" width="8" style="108" bestFit="1" customWidth="1"/>
    <col min="4" max="4" width="9.85546875" style="161" bestFit="1" customWidth="1"/>
    <col min="5" max="5" width="50.85546875" bestFit="1" customWidth="1"/>
    <col min="6" max="6" width="8.7109375" customWidth="1"/>
    <col min="7" max="7" width="13.5703125" customWidth="1"/>
    <col min="8" max="8" width="14.7109375" customWidth="1"/>
    <col min="9" max="10" width="9.140625" customWidth="1"/>
  </cols>
  <sheetData>
    <row r="1" spans="1:11" s="21" customFormat="1" x14ac:dyDescent="0.25">
      <c r="A1" s="165"/>
      <c r="B1" s="185" t="str">
        <f>"Trips that did not appear in PTC Data "&amp;TEXT(Variables!$A$2,"YYYY-mm-dd")</f>
        <v>Trips that did not appear in PTC Data 2016-12-11</v>
      </c>
      <c r="C1" s="185"/>
      <c r="D1" s="185"/>
      <c r="E1" s="185"/>
      <c r="F1" s="185"/>
    </row>
    <row r="2" spans="1:11" s="24" customFormat="1" ht="45" x14ac:dyDescent="0.25">
      <c r="A2" s="178" t="s">
        <v>153</v>
      </c>
      <c r="B2" s="110" t="s">
        <v>58</v>
      </c>
      <c r="C2" s="107" t="s">
        <v>59</v>
      </c>
      <c r="D2" s="162" t="s">
        <v>60</v>
      </c>
      <c r="E2" s="24" t="s">
        <v>56</v>
      </c>
      <c r="F2" s="24" t="s">
        <v>57</v>
      </c>
      <c r="G2" s="24" t="s">
        <v>61</v>
      </c>
      <c r="H2" s="29" t="s">
        <v>62</v>
      </c>
      <c r="I2" s="29" t="s">
        <v>104</v>
      </c>
    </row>
    <row r="3" spans="1:11" x14ac:dyDescent="0.25">
      <c r="A3" s="171">
        <v>133</v>
      </c>
      <c r="B3" s="47" t="str">
        <f>A3&amp;"-"&amp;IF(DAY(Variables!$A$2)&lt;10,0,"")&amp;DAY(Variables!$A$2)</f>
        <v>133-11</v>
      </c>
      <c r="C3" s="158"/>
      <c r="D3" s="163"/>
      <c r="E3" s="31" t="s">
        <v>837</v>
      </c>
      <c r="F3" s="22" t="str">
        <f>VLOOKUP(B3,'Trips&amp;Operators'!$C$2:$E$10000,3,FALSE)</f>
        <v>MAELZER</v>
      </c>
      <c r="G3" s="22" t="str">
        <f>VLOOKUP(B3,'Trips&amp;Operators'!$C$1:$F$10000,4,FALSE)</f>
        <v>KURT</v>
      </c>
      <c r="H3" s="30" t="str">
        <f>VLOOKUP(B3,'Trips&amp;Operators'!$C$1:$H$10000,5,FALSE)</f>
        <v>MAELZER KURT</v>
      </c>
      <c r="I3" s="50" t="str">
        <f t="shared" ref="I3:I6" si="0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3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22133-11%22)),sort:!(Time,asc))</v>
      </c>
      <c r="J3" s="31" t="e">
        <f>VLOOKUP(B3,'Train Runs'!$A$13:$A$99968,1,FALSE)</f>
        <v>#N/A</v>
      </c>
      <c r="K3" s="31" t="e">
        <f>IF(VLOOKUP(A3,$K$36:$K$59,1,FALSE),"Cancelled")</f>
        <v>#N/A</v>
      </c>
    </row>
    <row r="4" spans="1:11" x14ac:dyDescent="0.25">
      <c r="A4" s="171">
        <v>134</v>
      </c>
      <c r="B4" s="47" t="str">
        <f>A4&amp;"-"&amp;IF(DAY(Variables!$A$2)&lt;10,0,"")&amp;DAY(Variables!$A$2)</f>
        <v>134-11</v>
      </c>
      <c r="C4" s="158"/>
      <c r="D4" s="163"/>
      <c r="E4" s="31" t="s">
        <v>837</v>
      </c>
      <c r="F4" s="22" t="e">
        <f>VLOOKUP(B4,'Trips&amp;Operators'!$C$2:$E$10000,3,FALSE)</f>
        <v>#N/A</v>
      </c>
      <c r="G4" s="22" t="e">
        <f>VLOOKUP(B4,'Trips&amp;Operators'!$C$1:$F$10000,4,FALSE)</f>
        <v>#N/A</v>
      </c>
      <c r="H4" s="30" t="e">
        <f>VLOOKUP(B4,'Trips&amp;Operators'!$C$1:$H$10000,5,FALSE)</f>
        <v>#N/A</v>
      </c>
      <c r="I4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22134-11%22)),sort:!(Time,asc))</v>
      </c>
      <c r="J4" s="31" t="e">
        <f>VLOOKUP(B4,'Train Runs'!$A$13:$A$99968,1,FALSE)</f>
        <v>#N/A</v>
      </c>
      <c r="K4" s="31" t="e">
        <f>IF(VLOOKUP(A4,$K$36:$K$59,1,FALSE),"Cancelled")</f>
        <v>#N/A</v>
      </c>
    </row>
    <row r="5" spans="1:11" x14ac:dyDescent="0.25">
      <c r="A5" s="171"/>
      <c r="B5" s="47" t="str">
        <f>A5&amp;"-"&amp;IF(DAY(Variables!$A$2)&lt;10,0,"")&amp;DAY(Variables!$A$2)</f>
        <v>-11</v>
      </c>
      <c r="C5" s="158"/>
      <c r="D5" s="163"/>
      <c r="E5" s="31"/>
      <c r="F5" s="22" t="e">
        <f>VLOOKUP(B5,'Trips&amp;Operators'!$C$2:$E$10000,3,FALSE)</f>
        <v>#N/A</v>
      </c>
      <c r="G5" s="22" t="e">
        <f>VLOOKUP(B5,'Trips&amp;Operators'!$C$1:$F$10000,4,FALSE)</f>
        <v>#N/A</v>
      </c>
      <c r="H5" s="30" t="e">
        <f>VLOOKUP(B5,'Trips&amp;Operators'!$C$1:$H$10000,5,FALSE)</f>
        <v>#N/A</v>
      </c>
      <c r="I5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5" s="31" t="e">
        <f>VLOOKUP(B5,'Train Runs'!$A$13:$A$99968,1,FALSE)</f>
        <v>#N/A</v>
      </c>
      <c r="K5" s="31" t="e">
        <f>IF(VLOOKUP(A5,$K$36:$K$59,1,FALSE),"Cancelled")</f>
        <v>#N/A</v>
      </c>
    </row>
    <row r="6" spans="1:11" x14ac:dyDescent="0.25">
      <c r="A6" s="171"/>
      <c r="B6" s="47" t="str">
        <f>A6&amp;"-"&amp;IF(DAY(Variables!$A$2)&lt;10,0,"")&amp;DAY(Variables!$A$2)</f>
        <v>-11</v>
      </c>
      <c r="C6" s="158"/>
      <c r="D6" s="163"/>
      <c r="E6" s="31"/>
      <c r="F6" s="22" t="e">
        <f>VLOOKUP(B6,'Trips&amp;Operators'!$C$2:$E$10000,3,FALSE)</f>
        <v>#N/A</v>
      </c>
      <c r="G6" s="22" t="e">
        <f>VLOOKUP(B6,'Trips&amp;Operators'!$C$1:$F$10000,4,FALSE)</f>
        <v>#N/A</v>
      </c>
      <c r="H6" s="30" t="e">
        <f>VLOOKUP(B6,'Trips&amp;Operators'!$C$1:$H$10000,5,FALSE)</f>
        <v>#N/A</v>
      </c>
      <c r="I6" s="50" t="str">
        <f t="shared" si="0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6" s="31" t="e">
        <f>VLOOKUP(B6,'Train Runs'!$A$13:$A$99968,1,FALSE)</f>
        <v>#N/A</v>
      </c>
      <c r="K6" s="31" t="e">
        <f>IF(VLOOKUP(A6,$K$36:$K$59,1,FALSE),"Cancelled")</f>
        <v>#N/A</v>
      </c>
    </row>
    <row r="7" spans="1:11" x14ac:dyDescent="0.25">
      <c r="A7" s="171"/>
      <c r="B7" s="47" t="str">
        <f>A7&amp;"-"&amp;IF(DAY(Variables!$A$2)&lt;10,0,"")&amp;DAY(Variables!$A$2)</f>
        <v>-11</v>
      </c>
      <c r="C7" s="158"/>
      <c r="D7" s="163"/>
      <c r="E7" s="31"/>
      <c r="F7" s="22" t="e">
        <f>VLOOKUP(B7,'Trips&amp;Operators'!$C$2:$E$10000,3,FALSE)</f>
        <v>#N/A</v>
      </c>
      <c r="G7" s="22" t="e">
        <f>VLOOKUP(B7,'Trips&amp;Operators'!$C$1:$F$10000,4,FALSE)</f>
        <v>#N/A</v>
      </c>
      <c r="H7" s="30" t="e">
        <f>VLOOKUP(B7,'Trips&amp;Operators'!$C$1:$H$10000,5,FALSE)</f>
        <v>#N/A</v>
      </c>
      <c r="I7" s="50" t="str">
        <f t="shared" ref="I7:I15" si="1">"https://search-rtdc-monitor-bjffxe2xuh6vdkpspy63sjmuny.us-east-1.es.amazonaws.com/_plugin/kibana/#/discover/Missing-Trains-search-by-trip-ID?"&amp;"_g=(refreshInterval:(display:Off,section:0,value:0),time:(from:now-7d,mode:relative,to:now))"&amp;"&amp;_a=(columns:!(Source,'Message%20ID',Destination,'Data.Number%20of%20Train%20IDs'),filters:!(),index:'emp_*',interval:auto,query:(query_string:(analyze_wildcard:!t,query:%22"&amp;B7&amp;"%22)),sort:!(Time,asc))"</f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7" s="31" t="e">
        <f>VLOOKUP(B7,'Train Runs'!$A$13:$A$99968,1,FALSE)</f>
        <v>#N/A</v>
      </c>
      <c r="K7" s="31" t="e">
        <f t="shared" ref="K7:K15" si="2">IF(VLOOKUP(A7,$K$36:$K$59,1,FALSE),"Cancelled")</f>
        <v>#N/A</v>
      </c>
    </row>
    <row r="8" spans="1:11" x14ac:dyDescent="0.25">
      <c r="A8" s="171"/>
      <c r="B8" s="47" t="str">
        <f>A8&amp;"-"&amp;IF(DAY(Variables!$A$2)&lt;10,0,"")&amp;DAY(Variables!$A$2)</f>
        <v>-11</v>
      </c>
      <c r="C8" s="158"/>
      <c r="D8" s="163"/>
      <c r="E8" s="31"/>
      <c r="F8" s="22" t="e">
        <f>VLOOKUP(B8,'Trips&amp;Operators'!$C$2:$E$10000,3,FALSE)</f>
        <v>#N/A</v>
      </c>
      <c r="G8" s="22" t="e">
        <f>VLOOKUP(B8,'Trips&amp;Operators'!$C$1:$F$10000,4,FALSE)</f>
        <v>#N/A</v>
      </c>
      <c r="H8" s="30" t="e">
        <f>VLOOKUP(B8,'Trips&amp;Operators'!$C$1:$H$10000,5,FALSE)</f>
        <v>#N/A</v>
      </c>
      <c r="I8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8" s="31" t="e">
        <f>VLOOKUP(B8,'Train Runs'!$A$13:$A$99968,1,FALSE)</f>
        <v>#N/A</v>
      </c>
      <c r="K8" s="31" t="e">
        <f t="shared" si="2"/>
        <v>#N/A</v>
      </c>
    </row>
    <row r="9" spans="1:11" x14ac:dyDescent="0.25">
      <c r="A9" s="171"/>
      <c r="B9" s="47" t="str">
        <f>A9&amp;"-"&amp;IF(DAY(Variables!$A$2)&lt;10,0,"")&amp;DAY(Variables!$A$2)</f>
        <v>-11</v>
      </c>
      <c r="C9" s="158"/>
      <c r="D9" s="163"/>
      <c r="E9" s="31"/>
      <c r="F9" s="22" t="e">
        <f>VLOOKUP(B9,'Trips&amp;Operators'!$C$2:$E$10000,3,FALSE)</f>
        <v>#N/A</v>
      </c>
      <c r="G9" s="22" t="e">
        <f>VLOOKUP(B9,'Trips&amp;Operators'!$C$1:$F$10000,4,FALSE)</f>
        <v>#N/A</v>
      </c>
      <c r="H9" s="30" t="e">
        <f>VLOOKUP(B9,'Trips&amp;Operators'!$C$1:$H$10000,5,FALSE)</f>
        <v>#N/A</v>
      </c>
      <c r="I9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9" s="31" t="e">
        <f>VLOOKUP(B9,'Train Runs'!$A$13:$A$99968,1,FALSE)</f>
        <v>#N/A</v>
      </c>
      <c r="K9" s="31" t="e">
        <f t="shared" si="2"/>
        <v>#N/A</v>
      </c>
    </row>
    <row r="10" spans="1:11" x14ac:dyDescent="0.25">
      <c r="A10" s="171"/>
      <c r="B10" s="47" t="str">
        <f>A10&amp;"-"&amp;IF(DAY(Variables!$A$2)&lt;10,0,"")&amp;DAY(Variables!$A$2)</f>
        <v>-11</v>
      </c>
      <c r="C10" s="158"/>
      <c r="D10" s="163"/>
      <c r="E10" s="31"/>
      <c r="F10" s="22" t="e">
        <f>VLOOKUP(B10,'Trips&amp;Operators'!$C$2:$E$10000,3,FALSE)</f>
        <v>#N/A</v>
      </c>
      <c r="G10" s="22" t="e">
        <f>VLOOKUP(B10,'Trips&amp;Operators'!$C$1:$F$10000,4,FALSE)</f>
        <v>#N/A</v>
      </c>
      <c r="H10" s="30" t="e">
        <f>VLOOKUP(B10,'Trips&amp;Operators'!$C$1:$H$10000,5,FALSE)</f>
        <v>#N/A</v>
      </c>
      <c r="I10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0" s="31" t="e">
        <f>VLOOKUP(B10,'Train Runs'!$A$13:$A$99968,1,FALSE)</f>
        <v>#N/A</v>
      </c>
      <c r="K10" s="31" t="e">
        <f t="shared" si="2"/>
        <v>#N/A</v>
      </c>
    </row>
    <row r="11" spans="1:11" x14ac:dyDescent="0.25">
      <c r="A11" s="171"/>
      <c r="B11" s="47" t="str">
        <f>A11&amp;"-"&amp;IF(DAY(Variables!$A$2)&lt;10,0,"")&amp;DAY(Variables!$A$2)</f>
        <v>-11</v>
      </c>
      <c r="C11" s="158"/>
      <c r="D11" s="163"/>
      <c r="E11" s="31"/>
      <c r="F11" s="22" t="e">
        <f>VLOOKUP(B11,'Trips&amp;Operators'!$C$2:$E$10000,3,FALSE)</f>
        <v>#N/A</v>
      </c>
      <c r="G11" s="22" t="e">
        <f>VLOOKUP(B11,'Trips&amp;Operators'!$C$1:$F$10000,4,FALSE)</f>
        <v>#N/A</v>
      </c>
      <c r="H11" s="30" t="e">
        <f>VLOOKUP(B11,'Trips&amp;Operators'!$C$1:$H$10000,5,FALSE)</f>
        <v>#N/A</v>
      </c>
      <c r="I11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1" s="31" t="e">
        <f>VLOOKUP(B11,'Train Runs'!$A$13:$A$99968,1,FALSE)</f>
        <v>#N/A</v>
      </c>
      <c r="K11" s="31" t="e">
        <f t="shared" si="2"/>
        <v>#N/A</v>
      </c>
    </row>
    <row r="12" spans="1:11" x14ac:dyDescent="0.25">
      <c r="A12" s="171"/>
      <c r="B12" s="47" t="str">
        <f>A12&amp;"-"&amp;IF(DAY(Variables!$A$2)&lt;10,0,"")&amp;DAY(Variables!$A$2)</f>
        <v>-11</v>
      </c>
      <c r="C12" s="158"/>
      <c r="D12" s="163"/>
      <c r="E12" s="31"/>
      <c r="F12" s="22" t="e">
        <f>VLOOKUP(B12,'Trips&amp;Operators'!$C$2:$E$10000,3,FALSE)</f>
        <v>#N/A</v>
      </c>
      <c r="G12" s="22" t="e">
        <f>VLOOKUP(B12,'Trips&amp;Operators'!$C$1:$F$10000,4,FALSE)</f>
        <v>#N/A</v>
      </c>
      <c r="H12" s="30" t="e">
        <f>VLOOKUP(B12,'Trips&amp;Operators'!$C$1:$H$10000,5,FALSE)</f>
        <v>#N/A</v>
      </c>
      <c r="I12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2" s="31" t="e">
        <f>VLOOKUP(B12,'Train Runs'!$A$13:$A$99968,1,FALSE)</f>
        <v>#N/A</v>
      </c>
      <c r="K12" s="31" t="e">
        <f t="shared" si="2"/>
        <v>#N/A</v>
      </c>
    </row>
    <row r="13" spans="1:11" x14ac:dyDescent="0.25">
      <c r="A13" s="171"/>
      <c r="B13" s="47" t="str">
        <f>A13&amp;"-"&amp;IF(DAY(Variables!$A$2)&lt;10,0,"")&amp;DAY(Variables!$A$2)</f>
        <v>-11</v>
      </c>
      <c r="C13" s="158"/>
      <c r="D13" s="163"/>
      <c r="E13" s="31"/>
      <c r="F13" s="22" t="e">
        <f>VLOOKUP(B13,'Trips&amp;Operators'!$C$2:$E$10000,3,FALSE)</f>
        <v>#N/A</v>
      </c>
      <c r="G13" s="22" t="e">
        <f>VLOOKUP(B13,'Trips&amp;Operators'!$C$1:$F$10000,4,FALSE)</f>
        <v>#N/A</v>
      </c>
      <c r="H13" s="30" t="e">
        <f>VLOOKUP(B13,'Trips&amp;Operators'!$C$1:$H$10000,5,FALSE)</f>
        <v>#N/A</v>
      </c>
      <c r="I13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3" s="31" t="e">
        <f>VLOOKUP(B13,'Train Runs'!$A$13:$A$99968,1,FALSE)</f>
        <v>#N/A</v>
      </c>
      <c r="K13" s="31" t="e">
        <f t="shared" si="2"/>
        <v>#N/A</v>
      </c>
    </row>
    <row r="14" spans="1:11" x14ac:dyDescent="0.25">
      <c r="A14" s="171"/>
      <c r="B14" s="47" t="str">
        <f>A14&amp;"-"&amp;IF(DAY(Variables!$A$2)&lt;10,0,"")&amp;DAY(Variables!$A$2)</f>
        <v>-11</v>
      </c>
      <c r="C14" s="158"/>
      <c r="D14" s="163"/>
      <c r="E14" s="31"/>
      <c r="F14" s="22" t="e">
        <f>VLOOKUP(B14,'Trips&amp;Operators'!$C$2:$E$10000,3,FALSE)</f>
        <v>#N/A</v>
      </c>
      <c r="G14" s="22" t="e">
        <f>VLOOKUP(B14,'Trips&amp;Operators'!$C$1:$F$10000,4,FALSE)</f>
        <v>#N/A</v>
      </c>
      <c r="H14" s="30" t="e">
        <f>VLOOKUP(B14,'Trips&amp;Operators'!$C$1:$H$10000,5,FALSE)</f>
        <v>#N/A</v>
      </c>
      <c r="I14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4" s="31" t="e">
        <f>VLOOKUP(B14,'Train Runs'!$A$13:$A$99968,1,FALSE)</f>
        <v>#N/A</v>
      </c>
      <c r="K14" s="31" t="e">
        <f t="shared" si="2"/>
        <v>#N/A</v>
      </c>
    </row>
    <row r="15" spans="1:11" x14ac:dyDescent="0.25">
      <c r="A15" s="171"/>
      <c r="B15" s="47" t="str">
        <f>A15&amp;"-"&amp;IF(DAY(Variables!$A$2)&lt;10,0,"")&amp;DAY(Variables!$A$2)</f>
        <v>-11</v>
      </c>
      <c r="C15" s="158"/>
      <c r="D15" s="163"/>
      <c r="E15" s="31"/>
      <c r="F15" s="22" t="e">
        <f>VLOOKUP(B15,'Trips&amp;Operators'!$C$2:$E$10000,3,FALSE)</f>
        <v>#N/A</v>
      </c>
      <c r="G15" s="22" t="e">
        <f>VLOOKUP(B15,'Trips&amp;Operators'!$C$1:$F$10000,4,FALSE)</f>
        <v>#N/A</v>
      </c>
      <c r="H15" s="30" t="e">
        <f>VLOOKUP(B15,'Trips&amp;Operators'!$C$1:$H$10000,5,FALSE)</f>
        <v>#N/A</v>
      </c>
      <c r="I15" s="50" t="str">
        <f t="shared" si="1"/>
        <v>https://search-rtdc-monitor-bjffxe2xuh6vdkpspy63sjmuny.us-east-1.es.amazonaws.com/_plugin/kibana/#/discover/Missing-Trains-search-by-trip-ID?_g=(refreshInterval:(display:Off,section:0,value:0),time:(from:now-7d,mode:relative,to:now))&amp;_a=(columns:!(Source,'Message%20ID',Destination,'Data.Number%20of%20Train%20IDs'),filters:!(),index:'emp_*',interval:auto,query:(query_string:(analyze_wildcard:!t,query:%22-11%22)),sort:!(Time,asc))</v>
      </c>
      <c r="J15" s="31" t="e">
        <f>VLOOKUP(B15,'Train Runs'!$A$13:$A$99968,1,FALSE)</f>
        <v>#N/A</v>
      </c>
      <c r="K15" s="31" t="e">
        <f t="shared" si="2"/>
        <v>#N/A</v>
      </c>
    </row>
  </sheetData>
  <autoFilter ref="B2:I2"/>
  <mergeCells count="1">
    <mergeCell ref="B1:F1"/>
  </mergeCells>
  <pageMargins left="0.7" right="0.7" top="0.75" bottom="0.75" header="0.3" footer="0.3"/>
  <pageSetup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0"/>
  </sheetPr>
  <dimension ref="A1:G543"/>
  <sheetViews>
    <sheetView workbookViewId="0">
      <selection sqref="A1:F219"/>
    </sheetView>
  </sheetViews>
  <sheetFormatPr defaultRowHeight="15" x14ac:dyDescent="0.25"/>
  <cols>
    <col min="1" max="1" width="18.28515625" style="8" bestFit="1" customWidth="1"/>
    <col min="2" max="2" width="17" bestFit="1" customWidth="1"/>
    <col min="3" max="3" width="10.140625" bestFit="1" customWidth="1"/>
    <col min="4" max="4" width="9.28515625" style="165" customWidth="1"/>
    <col min="5" max="5" width="19.7109375" bestFit="1" customWidth="1"/>
    <col min="6" max="6" width="17" style="21" bestFit="1" customWidth="1"/>
    <col min="7" max="7" width="18.28515625" style="8" bestFit="1" customWidth="1"/>
  </cols>
  <sheetData>
    <row r="1" spans="1:7" s="21" customFormat="1" x14ac:dyDescent="0.25">
      <c r="A1" s="8" t="s">
        <v>177</v>
      </c>
      <c r="B1" s="21" t="s">
        <v>178</v>
      </c>
      <c r="C1" s="21" t="s">
        <v>0</v>
      </c>
      <c r="D1" s="165" t="s">
        <v>179</v>
      </c>
      <c r="E1" s="21" t="s">
        <v>180</v>
      </c>
      <c r="F1" s="21" t="s">
        <v>281</v>
      </c>
      <c r="G1" s="8" t="s">
        <v>280</v>
      </c>
    </row>
    <row r="2" spans="1:7" x14ac:dyDescent="0.25">
      <c r="A2" s="8">
        <v>42715.032175925924</v>
      </c>
      <c r="B2" s="21" t="s">
        <v>284</v>
      </c>
      <c r="C2" s="21" t="s">
        <v>389</v>
      </c>
      <c r="D2" s="165">
        <v>2550000</v>
      </c>
      <c r="E2" s="21" t="s">
        <v>215</v>
      </c>
      <c r="F2" s="21" t="s">
        <v>388</v>
      </c>
      <c r="G2" s="8" t="str">
        <f>E2&amp;" "&amp;F2</f>
        <v>BADERTSCHER DIANE</v>
      </c>
    </row>
    <row r="3" spans="1:7" x14ac:dyDescent="0.25">
      <c r="A3" s="8">
        <v>42715.035821759258</v>
      </c>
      <c r="B3" s="21" t="s">
        <v>297</v>
      </c>
      <c r="C3" s="21" t="s">
        <v>222</v>
      </c>
      <c r="D3" s="165">
        <v>1800000</v>
      </c>
      <c r="E3" s="21" t="s">
        <v>247</v>
      </c>
      <c r="F3" s="21" t="s">
        <v>288</v>
      </c>
      <c r="G3" s="8" t="str">
        <f t="shared" ref="G3:G66" si="0">E3&amp;" "&amp;F3</f>
        <v>CHANDLER KELVIN</v>
      </c>
    </row>
    <row r="4" spans="1:7" x14ac:dyDescent="0.25">
      <c r="A4" s="8">
        <v>42715.047719907408</v>
      </c>
      <c r="B4" s="21" t="s">
        <v>228</v>
      </c>
      <c r="C4" s="21" t="s">
        <v>221</v>
      </c>
      <c r="D4" s="165">
        <v>1810000</v>
      </c>
      <c r="E4" s="21" t="s">
        <v>359</v>
      </c>
      <c r="F4" s="21" t="s">
        <v>279</v>
      </c>
      <c r="G4" s="8" t="str">
        <f t="shared" si="0"/>
        <v>NEWELL JAMES</v>
      </c>
    </row>
    <row r="5" spans="1:7" x14ac:dyDescent="0.25">
      <c r="A5" s="8">
        <v>42715.057534722226</v>
      </c>
      <c r="B5" s="21" t="s">
        <v>209</v>
      </c>
      <c r="C5" s="21" t="s">
        <v>224</v>
      </c>
      <c r="D5" s="165">
        <v>2000000</v>
      </c>
      <c r="E5" s="21" t="s">
        <v>211</v>
      </c>
      <c r="F5" s="21" t="s">
        <v>279</v>
      </c>
      <c r="G5" s="8" t="str">
        <f t="shared" si="0"/>
        <v>STAMBAUGH JAMES</v>
      </c>
    </row>
    <row r="6" spans="1:7" x14ac:dyDescent="0.25">
      <c r="A6" s="8">
        <v>42715.069930555554</v>
      </c>
      <c r="B6" s="21" t="s">
        <v>260</v>
      </c>
      <c r="C6" s="21" t="s">
        <v>223</v>
      </c>
      <c r="D6" s="165">
        <v>1800000</v>
      </c>
      <c r="E6" s="21" t="s">
        <v>247</v>
      </c>
      <c r="F6" s="21" t="s">
        <v>288</v>
      </c>
      <c r="G6" s="8" t="str">
        <f t="shared" si="0"/>
        <v>CHANDLER KELVIN</v>
      </c>
    </row>
    <row r="7" spans="1:7" x14ac:dyDescent="0.25">
      <c r="A7" s="8">
        <v>42715.071527777778</v>
      </c>
      <c r="B7" s="21" t="s">
        <v>283</v>
      </c>
      <c r="C7" s="21" t="s">
        <v>390</v>
      </c>
      <c r="D7" s="165">
        <v>2550000</v>
      </c>
      <c r="E7" s="21" t="s">
        <v>215</v>
      </c>
      <c r="F7" s="21" t="s">
        <v>388</v>
      </c>
      <c r="G7" s="8" t="str">
        <f t="shared" si="0"/>
        <v>BADERTSCHER DIANE</v>
      </c>
    </row>
    <row r="8" spans="1:7" x14ac:dyDescent="0.25">
      <c r="A8" s="8">
        <v>42715.088148148148</v>
      </c>
      <c r="B8" s="21" t="s">
        <v>208</v>
      </c>
      <c r="C8" s="21" t="s">
        <v>225</v>
      </c>
      <c r="D8" s="165">
        <v>2000000</v>
      </c>
      <c r="E8" s="21" t="s">
        <v>211</v>
      </c>
      <c r="F8" s="21" t="s">
        <v>279</v>
      </c>
      <c r="G8" s="8" t="str">
        <f t="shared" si="0"/>
        <v>STAMBAUGH JAMES</v>
      </c>
    </row>
    <row r="9" spans="1:7" ht="15.75" thickBot="1" x14ac:dyDescent="0.3">
      <c r="A9" s="25">
        <v>42715.111689814818</v>
      </c>
      <c r="B9" s="21" t="s">
        <v>284</v>
      </c>
      <c r="C9" s="21" t="s">
        <v>391</v>
      </c>
      <c r="D9" s="165">
        <v>2550000</v>
      </c>
      <c r="E9" s="21" t="s">
        <v>215</v>
      </c>
      <c r="F9" s="21" t="s">
        <v>388</v>
      </c>
      <c r="G9" s="8" t="str">
        <f t="shared" si="0"/>
        <v>BADERTSCHER DIANE</v>
      </c>
    </row>
    <row r="10" spans="1:7" x14ac:dyDescent="0.25">
      <c r="A10" s="8">
        <v>42715.119259259256</v>
      </c>
      <c r="B10" s="21" t="s">
        <v>212</v>
      </c>
      <c r="C10" s="21" t="s">
        <v>486</v>
      </c>
      <c r="D10" s="165">
        <v>2030000</v>
      </c>
      <c r="E10" s="21" t="s">
        <v>377</v>
      </c>
      <c r="F10" s="21" t="s">
        <v>276</v>
      </c>
      <c r="G10" s="8" t="str">
        <f t="shared" si="0"/>
        <v>KILLION DAVID</v>
      </c>
    </row>
    <row r="11" spans="1:7" x14ac:dyDescent="0.25">
      <c r="A11" s="8">
        <v>42715.132002314815</v>
      </c>
      <c r="B11" s="21" t="s">
        <v>271</v>
      </c>
      <c r="C11" s="21" t="s">
        <v>447</v>
      </c>
      <c r="D11" s="165">
        <v>2030000</v>
      </c>
      <c r="E11" s="21" t="s">
        <v>377</v>
      </c>
      <c r="F11" s="21" t="s">
        <v>276</v>
      </c>
      <c r="G11" s="8" t="str">
        <f t="shared" si="0"/>
        <v>KILLION DAVID</v>
      </c>
    </row>
    <row r="12" spans="1:7" x14ac:dyDescent="0.25">
      <c r="A12" s="8">
        <v>42715.141064814816</v>
      </c>
      <c r="B12" s="21" t="s">
        <v>243</v>
      </c>
      <c r="C12" s="21" t="s">
        <v>446</v>
      </c>
      <c r="D12" s="165">
        <v>1260000</v>
      </c>
      <c r="E12" s="21" t="s">
        <v>487</v>
      </c>
      <c r="F12" s="21" t="s">
        <v>488</v>
      </c>
      <c r="G12" s="8" t="str">
        <f t="shared" si="0"/>
        <v>ACKERMAN JARED</v>
      </c>
    </row>
    <row r="13" spans="1:7" x14ac:dyDescent="0.25">
      <c r="A13" s="8">
        <v>42715.152569444443</v>
      </c>
      <c r="B13" s="21" t="s">
        <v>184</v>
      </c>
      <c r="C13" s="21" t="s">
        <v>489</v>
      </c>
      <c r="D13" s="165">
        <v>1260000</v>
      </c>
      <c r="E13" s="21" t="s">
        <v>487</v>
      </c>
      <c r="F13" s="21" t="s">
        <v>488</v>
      </c>
      <c r="G13" s="8" t="str">
        <f t="shared" si="0"/>
        <v>ACKERMAN JARED</v>
      </c>
    </row>
    <row r="14" spans="1:7" x14ac:dyDescent="0.25">
      <c r="A14" s="8">
        <v>42715.162777777776</v>
      </c>
      <c r="B14" s="21" t="s">
        <v>240</v>
      </c>
      <c r="C14" s="21" t="s">
        <v>490</v>
      </c>
      <c r="D14" s="165">
        <v>2010000</v>
      </c>
      <c r="E14" s="21" t="s">
        <v>331</v>
      </c>
      <c r="F14" s="21" t="s">
        <v>332</v>
      </c>
      <c r="G14" s="8" t="str">
        <f t="shared" si="0"/>
        <v>MAELZER KURT</v>
      </c>
    </row>
    <row r="15" spans="1:7" x14ac:dyDescent="0.25">
      <c r="A15" s="8">
        <v>42715.171168981484</v>
      </c>
      <c r="B15" s="21" t="s">
        <v>212</v>
      </c>
      <c r="C15" s="21" t="s">
        <v>447</v>
      </c>
      <c r="D15" s="165">
        <v>2030000</v>
      </c>
      <c r="E15" s="21" t="s">
        <v>377</v>
      </c>
      <c r="F15" s="21" t="s">
        <v>276</v>
      </c>
      <c r="G15" s="8" t="str">
        <f t="shared" si="0"/>
        <v>KILLION DAVID</v>
      </c>
    </row>
    <row r="16" spans="1:7" x14ac:dyDescent="0.25">
      <c r="A16" s="8">
        <v>42715.173020833332</v>
      </c>
      <c r="B16" s="21" t="s">
        <v>212</v>
      </c>
      <c r="C16" s="21" t="s">
        <v>491</v>
      </c>
      <c r="D16" s="165">
        <v>2030000</v>
      </c>
      <c r="E16" s="21" t="s">
        <v>377</v>
      </c>
      <c r="F16" s="21" t="s">
        <v>276</v>
      </c>
      <c r="G16" s="8" t="str">
        <f t="shared" si="0"/>
        <v>KILLION DAVID</v>
      </c>
    </row>
    <row r="17" spans="1:7" x14ac:dyDescent="0.25">
      <c r="A17" s="8">
        <v>42715.173344907409</v>
      </c>
      <c r="B17" s="21" t="s">
        <v>378</v>
      </c>
      <c r="C17" s="21" t="s">
        <v>492</v>
      </c>
      <c r="D17" s="165">
        <v>2010000</v>
      </c>
      <c r="E17" s="21" t="s">
        <v>331</v>
      </c>
      <c r="F17" s="21" t="s">
        <v>332</v>
      </c>
      <c r="G17" s="8" t="str">
        <f t="shared" si="0"/>
        <v>MAELZER KURT</v>
      </c>
    </row>
    <row r="18" spans="1:7" x14ac:dyDescent="0.25">
      <c r="A18" s="8">
        <v>42715.181331018517</v>
      </c>
      <c r="B18" s="21" t="s">
        <v>246</v>
      </c>
      <c r="C18" s="21" t="s">
        <v>493</v>
      </c>
      <c r="D18" s="165">
        <v>2140000</v>
      </c>
      <c r="E18" s="21" t="s">
        <v>354</v>
      </c>
      <c r="F18" s="21" t="s">
        <v>355</v>
      </c>
      <c r="G18" s="8" t="str">
        <f t="shared" si="0"/>
        <v>ROBINSON KADDIBA</v>
      </c>
    </row>
    <row r="19" spans="1:7" x14ac:dyDescent="0.25">
      <c r="A19" s="8">
        <v>42715.18582175926</v>
      </c>
      <c r="B19" s="21" t="s">
        <v>285</v>
      </c>
      <c r="C19" s="21" t="s">
        <v>494</v>
      </c>
      <c r="D19" s="165">
        <v>1990000</v>
      </c>
      <c r="E19" s="21" t="s">
        <v>360</v>
      </c>
      <c r="F19" s="21" t="s">
        <v>376</v>
      </c>
      <c r="G19" s="8" t="str">
        <f t="shared" si="0"/>
        <v>DAVIS WENDY</v>
      </c>
    </row>
    <row r="20" spans="1:7" x14ac:dyDescent="0.25">
      <c r="A20" s="8">
        <v>42715.191145833334</v>
      </c>
      <c r="B20" s="21" t="s">
        <v>243</v>
      </c>
      <c r="C20" s="21" t="s">
        <v>489</v>
      </c>
      <c r="D20" s="165">
        <v>1260000</v>
      </c>
      <c r="E20" s="21" t="s">
        <v>487</v>
      </c>
      <c r="F20" s="21" t="s">
        <v>488</v>
      </c>
      <c r="G20" s="8" t="str">
        <f t="shared" si="0"/>
        <v>ACKERMAN JARED</v>
      </c>
    </row>
    <row r="21" spans="1:7" x14ac:dyDescent="0.25">
      <c r="A21" s="8">
        <v>42715.191736111112</v>
      </c>
      <c r="B21" s="21" t="s">
        <v>243</v>
      </c>
      <c r="C21" s="21" t="s">
        <v>495</v>
      </c>
      <c r="D21" s="165">
        <v>1260000</v>
      </c>
      <c r="E21" s="21" t="s">
        <v>487</v>
      </c>
      <c r="F21" s="21" t="s">
        <v>488</v>
      </c>
      <c r="G21" s="8" t="str">
        <f t="shared" si="0"/>
        <v>ACKERMAN JARED</v>
      </c>
    </row>
    <row r="22" spans="1:7" x14ac:dyDescent="0.25">
      <c r="A22" s="27">
        <v>42715.194814814815</v>
      </c>
      <c r="B22" s="21" t="s">
        <v>233</v>
      </c>
      <c r="C22" s="21" t="s">
        <v>496</v>
      </c>
      <c r="D22" s="165">
        <v>2140000</v>
      </c>
      <c r="E22" s="21" t="s">
        <v>354</v>
      </c>
      <c r="F22" s="21" t="s">
        <v>355</v>
      </c>
      <c r="G22" s="8" t="str">
        <f t="shared" si="0"/>
        <v>ROBINSON KADDIBA</v>
      </c>
    </row>
    <row r="23" spans="1:7" x14ac:dyDescent="0.25">
      <c r="A23" s="8">
        <v>42715.202361111114</v>
      </c>
      <c r="B23" s="21" t="s">
        <v>233</v>
      </c>
      <c r="C23" s="21" t="s">
        <v>496</v>
      </c>
      <c r="D23" s="165">
        <v>2140000</v>
      </c>
      <c r="E23" s="21" t="s">
        <v>354</v>
      </c>
      <c r="F23" s="21" t="s">
        <v>355</v>
      </c>
      <c r="G23" s="8" t="str">
        <f t="shared" si="0"/>
        <v>ROBINSON KADDIBA</v>
      </c>
    </row>
    <row r="24" spans="1:7" x14ac:dyDescent="0.25">
      <c r="A24" s="8">
        <v>42715.208726851852</v>
      </c>
      <c r="B24" s="21" t="s">
        <v>206</v>
      </c>
      <c r="C24" s="21" t="s">
        <v>497</v>
      </c>
      <c r="D24" s="165">
        <v>2030000</v>
      </c>
      <c r="E24" s="21" t="s">
        <v>377</v>
      </c>
      <c r="F24" s="21" t="s">
        <v>276</v>
      </c>
      <c r="G24" s="8" t="str">
        <f t="shared" si="0"/>
        <v>KILLION DAVID</v>
      </c>
    </row>
    <row r="25" spans="1:7" x14ac:dyDescent="0.25">
      <c r="A25" s="8">
        <v>42715.208807870367</v>
      </c>
      <c r="B25" s="21" t="s">
        <v>271</v>
      </c>
      <c r="C25" s="21" t="s">
        <v>498</v>
      </c>
      <c r="D25" s="165">
        <v>2090000</v>
      </c>
      <c r="E25" s="21" t="s">
        <v>499</v>
      </c>
      <c r="F25" s="21" t="s">
        <v>353</v>
      </c>
      <c r="G25" s="8" t="str">
        <f t="shared" si="0"/>
        <v>HAITHCOX MICHAEL</v>
      </c>
    </row>
    <row r="26" spans="1:7" x14ac:dyDescent="0.25">
      <c r="A26" s="8">
        <v>42715.213854166665</v>
      </c>
      <c r="B26" s="21" t="s">
        <v>240</v>
      </c>
      <c r="C26" s="21" t="s">
        <v>500</v>
      </c>
      <c r="D26" s="165">
        <v>2010000</v>
      </c>
      <c r="E26" s="21" t="s">
        <v>331</v>
      </c>
      <c r="F26" s="21" t="s">
        <v>332</v>
      </c>
      <c r="G26" s="8" t="str">
        <f t="shared" si="0"/>
        <v>MAELZER KURT</v>
      </c>
    </row>
    <row r="27" spans="1:7" x14ac:dyDescent="0.25">
      <c r="A27" s="8">
        <v>42715.223425925928</v>
      </c>
      <c r="B27" s="21" t="s">
        <v>282</v>
      </c>
      <c r="C27" s="21" t="s">
        <v>501</v>
      </c>
      <c r="D27" s="165">
        <v>1990000</v>
      </c>
      <c r="E27" s="21" t="s">
        <v>360</v>
      </c>
      <c r="F27" s="21" t="s">
        <v>376</v>
      </c>
      <c r="G27" s="8" t="str">
        <f t="shared" si="0"/>
        <v>DAVIS WENDY</v>
      </c>
    </row>
    <row r="28" spans="1:7" x14ac:dyDescent="0.25">
      <c r="A28" s="8">
        <v>42715.225092592591</v>
      </c>
      <c r="B28" s="21" t="s">
        <v>235</v>
      </c>
      <c r="C28" s="21" t="s">
        <v>502</v>
      </c>
      <c r="D28" s="165">
        <v>1110000</v>
      </c>
      <c r="E28" s="21" t="s">
        <v>503</v>
      </c>
      <c r="F28" s="21" t="s">
        <v>504</v>
      </c>
      <c r="G28" s="8" t="str">
        <f t="shared" si="0"/>
        <v>STARKS ANGELINA</v>
      </c>
    </row>
    <row r="29" spans="1:7" x14ac:dyDescent="0.25">
      <c r="A29" s="8">
        <v>42715.225694444445</v>
      </c>
      <c r="B29" s="21" t="s">
        <v>184</v>
      </c>
      <c r="C29" s="21" t="s">
        <v>505</v>
      </c>
      <c r="D29" s="165">
        <v>1830000</v>
      </c>
      <c r="E29" s="21" t="s">
        <v>379</v>
      </c>
      <c r="F29" s="21" t="s">
        <v>380</v>
      </c>
      <c r="G29" s="8" t="str">
        <f t="shared" si="0"/>
        <v>YORK EDGAR</v>
      </c>
    </row>
    <row r="30" spans="1:7" x14ac:dyDescent="0.25">
      <c r="A30" s="8">
        <v>42715.228148148148</v>
      </c>
      <c r="B30" s="21" t="s">
        <v>233</v>
      </c>
      <c r="C30" s="21" t="s">
        <v>496</v>
      </c>
      <c r="D30" s="165">
        <v>2140000</v>
      </c>
      <c r="E30" s="21" t="s">
        <v>354</v>
      </c>
      <c r="F30" s="21" t="s">
        <v>355</v>
      </c>
      <c r="G30" s="8" t="str">
        <f t="shared" si="0"/>
        <v>ROBINSON KADDIBA</v>
      </c>
    </row>
    <row r="31" spans="1:7" x14ac:dyDescent="0.25">
      <c r="A31" s="8">
        <v>42715.231400462966</v>
      </c>
      <c r="B31" s="21" t="s">
        <v>183</v>
      </c>
      <c r="C31" s="21" t="s">
        <v>506</v>
      </c>
      <c r="D31" s="165">
        <v>1260000</v>
      </c>
      <c r="E31" s="21" t="s">
        <v>487</v>
      </c>
      <c r="F31" s="21" t="s">
        <v>488</v>
      </c>
      <c r="G31" s="8" t="str">
        <f t="shared" si="0"/>
        <v>ACKERMAN JARED</v>
      </c>
    </row>
    <row r="32" spans="1:7" x14ac:dyDescent="0.25">
      <c r="A32" s="8">
        <v>42715.233136574076</v>
      </c>
      <c r="B32" s="21" t="s">
        <v>246</v>
      </c>
      <c r="C32" s="21" t="s">
        <v>507</v>
      </c>
      <c r="D32" s="165">
        <v>2140000</v>
      </c>
      <c r="E32" s="21" t="s">
        <v>354</v>
      </c>
      <c r="F32" s="21" t="s">
        <v>355</v>
      </c>
      <c r="G32" s="8" t="str">
        <f t="shared" si="0"/>
        <v>ROBINSON KADDIBA</v>
      </c>
    </row>
    <row r="33" spans="1:7" x14ac:dyDescent="0.25">
      <c r="A33" s="8">
        <v>42715.236666666664</v>
      </c>
      <c r="B33" s="21" t="s">
        <v>302</v>
      </c>
      <c r="C33" s="21" t="s">
        <v>448</v>
      </c>
      <c r="D33" s="165">
        <v>1110000</v>
      </c>
      <c r="E33" s="21" t="s">
        <v>503</v>
      </c>
      <c r="F33" s="21" t="s">
        <v>504</v>
      </c>
      <c r="G33" s="8" t="str">
        <f t="shared" si="0"/>
        <v>STARKS ANGELINA</v>
      </c>
    </row>
    <row r="34" spans="1:7" x14ac:dyDescent="0.25">
      <c r="A34" s="8">
        <v>42715.242974537039</v>
      </c>
      <c r="B34" s="21" t="s">
        <v>268</v>
      </c>
      <c r="C34" s="21" t="s">
        <v>508</v>
      </c>
      <c r="D34" s="165">
        <v>2090000</v>
      </c>
      <c r="E34" s="21" t="s">
        <v>499</v>
      </c>
      <c r="F34" s="21" t="s">
        <v>353</v>
      </c>
      <c r="G34" s="8" t="str">
        <f t="shared" si="0"/>
        <v>HAITHCOX MICHAEL</v>
      </c>
    </row>
    <row r="35" spans="1:7" x14ac:dyDescent="0.25">
      <c r="A35" s="8">
        <v>42715.249884259261</v>
      </c>
      <c r="B35" s="21" t="s">
        <v>235</v>
      </c>
      <c r="C35" s="21" t="s">
        <v>509</v>
      </c>
      <c r="D35" s="165">
        <v>1110000</v>
      </c>
      <c r="E35" s="21" t="s">
        <v>503</v>
      </c>
      <c r="F35" s="21" t="s">
        <v>504</v>
      </c>
      <c r="G35" s="8" t="str">
        <f t="shared" si="0"/>
        <v>STARKS ANGELINA</v>
      </c>
    </row>
    <row r="36" spans="1:7" x14ac:dyDescent="0.25">
      <c r="A36" s="8">
        <v>42715.250416666669</v>
      </c>
      <c r="B36" s="21" t="s">
        <v>378</v>
      </c>
      <c r="C36" s="21" t="s">
        <v>510</v>
      </c>
      <c r="D36" s="165">
        <v>2010000</v>
      </c>
      <c r="E36" s="21" t="s">
        <v>331</v>
      </c>
      <c r="F36" s="21" t="s">
        <v>332</v>
      </c>
      <c r="G36" s="8" t="str">
        <f t="shared" si="0"/>
        <v>MAELZER KURT</v>
      </c>
    </row>
    <row r="37" spans="1:7" x14ac:dyDescent="0.25">
      <c r="A37" s="8">
        <v>42715.255254629628</v>
      </c>
      <c r="B37" s="21" t="s">
        <v>212</v>
      </c>
      <c r="C37" s="21" t="s">
        <v>511</v>
      </c>
      <c r="D37" s="165">
        <v>2030000</v>
      </c>
      <c r="E37" s="21" t="s">
        <v>377</v>
      </c>
      <c r="F37" s="21" t="s">
        <v>276</v>
      </c>
      <c r="G37" s="8" t="str">
        <f t="shared" si="0"/>
        <v>KILLION DAVID</v>
      </c>
    </row>
    <row r="38" spans="1:7" x14ac:dyDescent="0.25">
      <c r="A38" s="8">
        <v>42715.25640046296</v>
      </c>
      <c r="B38" s="21" t="s">
        <v>272</v>
      </c>
      <c r="C38" s="21" t="s">
        <v>449</v>
      </c>
      <c r="D38" s="165">
        <v>1830000</v>
      </c>
      <c r="E38" s="21" t="s">
        <v>379</v>
      </c>
      <c r="F38" s="21" t="s">
        <v>380</v>
      </c>
      <c r="G38" s="8" t="str">
        <f t="shared" si="0"/>
        <v>YORK EDGAR</v>
      </c>
    </row>
    <row r="39" spans="1:7" x14ac:dyDescent="0.25">
      <c r="A39" s="8">
        <v>42715.260057870371</v>
      </c>
      <c r="B39" s="21" t="s">
        <v>285</v>
      </c>
      <c r="C39" s="21" t="s">
        <v>512</v>
      </c>
      <c r="D39" s="165">
        <v>1990000</v>
      </c>
      <c r="E39" s="21" t="s">
        <v>360</v>
      </c>
      <c r="F39" s="21" t="s">
        <v>376</v>
      </c>
      <c r="G39" s="8" t="str">
        <f t="shared" si="0"/>
        <v>DAVIS WENDY</v>
      </c>
    </row>
    <row r="40" spans="1:7" x14ac:dyDescent="0.25">
      <c r="A40" s="8">
        <v>42715.267812500002</v>
      </c>
      <c r="B40" s="26" t="s">
        <v>233</v>
      </c>
      <c r="C40" s="21" t="s">
        <v>513</v>
      </c>
      <c r="D40" s="165">
        <v>2140000</v>
      </c>
      <c r="E40" s="21" t="s">
        <v>354</v>
      </c>
      <c r="F40" s="21" t="s">
        <v>355</v>
      </c>
      <c r="G40" s="8" t="str">
        <f t="shared" si="0"/>
        <v>ROBINSON KADDIBA</v>
      </c>
    </row>
    <row r="41" spans="1:7" x14ac:dyDescent="0.25">
      <c r="A41" s="8">
        <v>42715.271863425929</v>
      </c>
      <c r="B41" s="21" t="s">
        <v>243</v>
      </c>
      <c r="C41" s="21" t="s">
        <v>514</v>
      </c>
      <c r="D41" s="165">
        <v>1260000</v>
      </c>
      <c r="E41" s="21" t="s">
        <v>487</v>
      </c>
      <c r="F41" s="21" t="s">
        <v>488</v>
      </c>
      <c r="G41" s="8" t="str">
        <f t="shared" si="0"/>
        <v>ACKERMAN JARED</v>
      </c>
    </row>
    <row r="42" spans="1:7" x14ac:dyDescent="0.25">
      <c r="A42" s="8">
        <v>42715.276250000003</v>
      </c>
      <c r="B42" s="21" t="s">
        <v>302</v>
      </c>
      <c r="C42" s="21" t="s">
        <v>450</v>
      </c>
      <c r="D42" s="165">
        <v>1110000</v>
      </c>
      <c r="E42" s="21" t="s">
        <v>503</v>
      </c>
      <c r="F42" s="21" t="s">
        <v>504</v>
      </c>
      <c r="G42" s="8" t="str">
        <f t="shared" si="0"/>
        <v>STARKS ANGELINA</v>
      </c>
    </row>
    <row r="43" spans="1:7" x14ac:dyDescent="0.25">
      <c r="A43" s="8">
        <v>42715.278958333336</v>
      </c>
      <c r="B43" s="21" t="s">
        <v>271</v>
      </c>
      <c r="C43" s="21" t="s">
        <v>515</v>
      </c>
      <c r="D43" s="165">
        <v>2090000</v>
      </c>
      <c r="E43" s="21" t="s">
        <v>499</v>
      </c>
      <c r="F43" s="21" t="s">
        <v>353</v>
      </c>
      <c r="G43" s="8" t="str">
        <f t="shared" si="0"/>
        <v>HAITHCOX MICHAEL</v>
      </c>
    </row>
    <row r="44" spans="1:7" x14ac:dyDescent="0.25">
      <c r="A44" s="8">
        <v>42715.287638888891</v>
      </c>
      <c r="B44" s="21" t="s">
        <v>371</v>
      </c>
      <c r="C44" s="21" t="s">
        <v>516</v>
      </c>
      <c r="D44" s="165">
        <v>2010000</v>
      </c>
      <c r="E44" s="21" t="s">
        <v>331</v>
      </c>
      <c r="F44" s="21" t="s">
        <v>332</v>
      </c>
      <c r="G44" s="8" t="str">
        <f t="shared" si="0"/>
        <v>MAELZER KURT</v>
      </c>
    </row>
    <row r="45" spans="1:7" x14ac:dyDescent="0.25">
      <c r="A45" s="8">
        <v>42715.291319444441</v>
      </c>
      <c r="B45" s="21" t="s">
        <v>206</v>
      </c>
      <c r="C45" s="21" t="s">
        <v>517</v>
      </c>
      <c r="D45" s="165">
        <v>2030000</v>
      </c>
      <c r="E45" s="21" t="s">
        <v>377</v>
      </c>
      <c r="F45" s="21" t="s">
        <v>276</v>
      </c>
      <c r="G45" s="8" t="str">
        <f t="shared" si="0"/>
        <v>KILLION DAVID</v>
      </c>
    </row>
    <row r="46" spans="1:7" x14ac:dyDescent="0.25">
      <c r="A46" s="8">
        <v>42715.296712962961</v>
      </c>
      <c r="B46" s="21" t="s">
        <v>282</v>
      </c>
      <c r="C46" s="21" t="s">
        <v>451</v>
      </c>
      <c r="D46" s="165">
        <v>1990000</v>
      </c>
      <c r="E46" s="21" t="s">
        <v>360</v>
      </c>
      <c r="F46" s="21" t="s">
        <v>376</v>
      </c>
      <c r="G46" s="8" t="str">
        <f t="shared" si="0"/>
        <v>DAVIS WENDY</v>
      </c>
    </row>
    <row r="47" spans="1:7" x14ac:dyDescent="0.25">
      <c r="A47" s="8">
        <v>42715.298055555555</v>
      </c>
      <c r="B47" s="21" t="s">
        <v>282</v>
      </c>
      <c r="C47" s="21" t="s">
        <v>451</v>
      </c>
      <c r="D47" s="165">
        <v>1990000</v>
      </c>
      <c r="E47" s="21" t="s">
        <v>360</v>
      </c>
      <c r="F47" s="21" t="s">
        <v>376</v>
      </c>
      <c r="G47" s="8" t="str">
        <f t="shared" si="0"/>
        <v>DAVIS WENDY</v>
      </c>
    </row>
    <row r="48" spans="1:7" x14ac:dyDescent="0.25">
      <c r="A48" s="8">
        <v>42715.299479166664</v>
      </c>
      <c r="B48" s="21" t="s">
        <v>184</v>
      </c>
      <c r="C48" s="21" t="s">
        <v>518</v>
      </c>
      <c r="D48" s="165">
        <v>1830000</v>
      </c>
      <c r="E48" s="21" t="s">
        <v>379</v>
      </c>
      <c r="F48" s="21" t="s">
        <v>380</v>
      </c>
      <c r="G48" s="8" t="str">
        <f t="shared" si="0"/>
        <v>YORK EDGAR</v>
      </c>
    </row>
    <row r="49" spans="1:7" x14ac:dyDescent="0.25">
      <c r="A49" s="8">
        <v>42715.303437499999</v>
      </c>
      <c r="B49" s="21" t="s">
        <v>246</v>
      </c>
      <c r="C49" s="21" t="s">
        <v>519</v>
      </c>
      <c r="D49" s="165">
        <v>2140000</v>
      </c>
      <c r="E49" s="21" t="s">
        <v>354</v>
      </c>
      <c r="F49" s="21" t="s">
        <v>355</v>
      </c>
      <c r="G49" s="8" t="str">
        <f t="shared" si="0"/>
        <v>ROBINSON KADDIBA</v>
      </c>
    </row>
    <row r="50" spans="1:7" x14ac:dyDescent="0.25">
      <c r="A50" s="8">
        <v>42715.3044212963</v>
      </c>
      <c r="B50" s="21" t="s">
        <v>235</v>
      </c>
      <c r="C50" s="21" t="s">
        <v>520</v>
      </c>
      <c r="D50" s="165">
        <v>1110000</v>
      </c>
      <c r="E50" s="21" t="s">
        <v>503</v>
      </c>
      <c r="F50" s="21" t="s">
        <v>504</v>
      </c>
      <c r="G50" s="8" t="str">
        <f t="shared" si="0"/>
        <v>STARKS ANGELINA</v>
      </c>
    </row>
    <row r="51" spans="1:7" x14ac:dyDescent="0.25">
      <c r="A51" s="8">
        <v>42715.309502314813</v>
      </c>
      <c r="B51" s="21" t="s">
        <v>183</v>
      </c>
      <c r="C51" s="21" t="s">
        <v>521</v>
      </c>
      <c r="D51" s="165">
        <v>1260000</v>
      </c>
      <c r="E51" s="21" t="s">
        <v>487</v>
      </c>
      <c r="F51" s="21" t="s">
        <v>488</v>
      </c>
      <c r="G51" s="8" t="str">
        <f t="shared" si="0"/>
        <v>ACKERMAN JARED</v>
      </c>
    </row>
    <row r="52" spans="1:7" x14ac:dyDescent="0.25">
      <c r="A52" s="8">
        <v>42715.313993055555</v>
      </c>
      <c r="B52" s="21" t="s">
        <v>268</v>
      </c>
      <c r="C52" s="21" t="s">
        <v>454</v>
      </c>
      <c r="D52" s="165">
        <v>2090000</v>
      </c>
      <c r="E52" s="21" t="s">
        <v>499</v>
      </c>
      <c r="F52" s="21" t="s">
        <v>353</v>
      </c>
      <c r="G52" s="8" t="str">
        <f t="shared" si="0"/>
        <v>HAITHCOX MICHAEL</v>
      </c>
    </row>
    <row r="53" spans="1:7" x14ac:dyDescent="0.25">
      <c r="A53" s="8">
        <v>42715.31689814815</v>
      </c>
      <c r="B53" s="21" t="s">
        <v>302</v>
      </c>
      <c r="C53" s="21" t="s">
        <v>522</v>
      </c>
      <c r="D53" s="165">
        <v>1110000</v>
      </c>
      <c r="E53" s="21" t="s">
        <v>503</v>
      </c>
      <c r="F53" s="21" t="s">
        <v>504</v>
      </c>
      <c r="G53" s="8" t="str">
        <f t="shared" si="0"/>
        <v>STARKS ANGELINA</v>
      </c>
    </row>
    <row r="54" spans="1:7" x14ac:dyDescent="0.25">
      <c r="A54" s="8">
        <v>42715.324803240743</v>
      </c>
      <c r="B54" s="21" t="s">
        <v>378</v>
      </c>
      <c r="C54" s="21" t="s">
        <v>523</v>
      </c>
      <c r="D54" s="165">
        <v>2010000</v>
      </c>
      <c r="E54" s="21" t="s">
        <v>331</v>
      </c>
      <c r="F54" s="21" t="s">
        <v>332</v>
      </c>
      <c r="G54" s="8" t="str">
        <f t="shared" si="0"/>
        <v>MAELZER KURT</v>
      </c>
    </row>
    <row r="55" spans="1:7" x14ac:dyDescent="0.25">
      <c r="A55" s="8">
        <v>42715.32608796296</v>
      </c>
      <c r="B55" s="21" t="s">
        <v>212</v>
      </c>
      <c r="C55" s="21" t="s">
        <v>455</v>
      </c>
      <c r="D55" s="165">
        <v>2030000</v>
      </c>
      <c r="E55" s="21" t="s">
        <v>377</v>
      </c>
      <c r="F55" s="21" t="s">
        <v>276</v>
      </c>
      <c r="G55" s="8" t="str">
        <f t="shared" si="0"/>
        <v>KILLION DAVID</v>
      </c>
    </row>
    <row r="56" spans="1:7" x14ac:dyDescent="0.25">
      <c r="A56" s="8">
        <v>42715.328101851854</v>
      </c>
      <c r="B56" s="21" t="s">
        <v>272</v>
      </c>
      <c r="C56" s="21" t="s">
        <v>453</v>
      </c>
      <c r="D56" s="165">
        <v>1830000</v>
      </c>
      <c r="E56" s="21" t="s">
        <v>379</v>
      </c>
      <c r="F56" s="21" t="s">
        <v>380</v>
      </c>
      <c r="G56" s="8" t="str">
        <f t="shared" si="0"/>
        <v>YORK EDGAR</v>
      </c>
    </row>
    <row r="57" spans="1:7" x14ac:dyDescent="0.25">
      <c r="A57" s="8">
        <v>42715.329560185186</v>
      </c>
      <c r="B57" s="21" t="s">
        <v>285</v>
      </c>
      <c r="C57" s="21" t="s">
        <v>452</v>
      </c>
      <c r="D57" s="165">
        <v>1990000</v>
      </c>
      <c r="E57" s="21" t="s">
        <v>360</v>
      </c>
      <c r="F57" s="21" t="s">
        <v>376</v>
      </c>
      <c r="G57" s="8" t="str">
        <f t="shared" si="0"/>
        <v>DAVIS WENDY</v>
      </c>
    </row>
    <row r="58" spans="1:7" x14ac:dyDescent="0.25">
      <c r="A58" s="8">
        <v>42715.341157407405</v>
      </c>
      <c r="B58" s="21" t="s">
        <v>233</v>
      </c>
      <c r="C58" s="21" t="s">
        <v>524</v>
      </c>
      <c r="D58" s="165">
        <v>2140000</v>
      </c>
      <c r="E58" s="21" t="s">
        <v>354</v>
      </c>
      <c r="F58" s="21" t="s">
        <v>355</v>
      </c>
      <c r="G58" s="8" t="str">
        <f t="shared" si="0"/>
        <v>ROBINSON KADDIBA</v>
      </c>
    </row>
    <row r="59" spans="1:7" x14ac:dyDescent="0.25">
      <c r="A59" s="8">
        <v>42715.345891203702</v>
      </c>
      <c r="B59" s="21" t="s">
        <v>243</v>
      </c>
      <c r="C59" s="21" t="s">
        <v>525</v>
      </c>
      <c r="D59" s="165">
        <v>1260000</v>
      </c>
      <c r="E59" s="21" t="s">
        <v>487</v>
      </c>
      <c r="F59" s="21" t="s">
        <v>488</v>
      </c>
      <c r="G59" s="8" t="str">
        <f t="shared" si="0"/>
        <v>ACKERMAN JARED</v>
      </c>
    </row>
    <row r="60" spans="1:7" x14ac:dyDescent="0.25">
      <c r="A60" s="8">
        <v>42715.346516203703</v>
      </c>
      <c r="B60" s="21" t="s">
        <v>235</v>
      </c>
      <c r="C60" s="21" t="s">
        <v>526</v>
      </c>
      <c r="D60" s="165">
        <v>1110000</v>
      </c>
      <c r="E60" s="21" t="s">
        <v>503</v>
      </c>
      <c r="F60" s="21" t="s">
        <v>504</v>
      </c>
      <c r="G60" s="8" t="str">
        <f t="shared" si="0"/>
        <v>STARKS ANGELINA</v>
      </c>
    </row>
    <row r="61" spans="1:7" x14ac:dyDescent="0.25">
      <c r="A61" s="8">
        <v>42715.350115740737</v>
      </c>
      <c r="B61" s="21" t="s">
        <v>271</v>
      </c>
      <c r="C61" s="21" t="s">
        <v>527</v>
      </c>
      <c r="D61" s="165">
        <v>2090000</v>
      </c>
      <c r="E61" s="21" t="s">
        <v>499</v>
      </c>
      <c r="F61" s="21" t="s">
        <v>353</v>
      </c>
      <c r="G61" s="8" t="str">
        <f t="shared" si="0"/>
        <v>HAITHCOX MICHAEL</v>
      </c>
    </row>
    <row r="62" spans="1:7" x14ac:dyDescent="0.25">
      <c r="A62" s="8">
        <v>42715.359085648146</v>
      </c>
      <c r="B62" s="21" t="s">
        <v>302</v>
      </c>
      <c r="C62" s="21" t="s">
        <v>528</v>
      </c>
      <c r="D62" s="165">
        <v>1110000</v>
      </c>
      <c r="E62" s="21" t="s">
        <v>503</v>
      </c>
      <c r="F62" s="21" t="s">
        <v>504</v>
      </c>
      <c r="G62" s="8" t="str">
        <f t="shared" si="0"/>
        <v>STARKS ANGELINA</v>
      </c>
    </row>
    <row r="63" spans="1:7" x14ac:dyDescent="0.25">
      <c r="A63" s="8">
        <v>42715.361087962963</v>
      </c>
      <c r="B63" s="21" t="s">
        <v>206</v>
      </c>
      <c r="C63" s="21" t="s">
        <v>529</v>
      </c>
      <c r="D63" s="165">
        <v>2030000</v>
      </c>
      <c r="E63" s="21" t="s">
        <v>377</v>
      </c>
      <c r="F63" s="21" t="s">
        <v>276</v>
      </c>
      <c r="G63" s="8" t="str">
        <f t="shared" si="0"/>
        <v>KILLION DAVID</v>
      </c>
    </row>
    <row r="64" spans="1:7" x14ac:dyDescent="0.25">
      <c r="A64" s="27">
        <v>42715.367164351854</v>
      </c>
      <c r="B64" s="21" t="s">
        <v>282</v>
      </c>
      <c r="C64" s="21" t="s">
        <v>530</v>
      </c>
      <c r="D64" s="165">
        <v>1990000</v>
      </c>
      <c r="E64" s="21" t="s">
        <v>360</v>
      </c>
      <c r="F64" s="21" t="s">
        <v>376</v>
      </c>
      <c r="G64" s="8" t="str">
        <f t="shared" si="0"/>
        <v>DAVIS WENDY</v>
      </c>
    </row>
    <row r="65" spans="1:7" x14ac:dyDescent="0.25">
      <c r="A65" s="8">
        <v>42715.37023148148</v>
      </c>
      <c r="B65" s="21" t="s">
        <v>184</v>
      </c>
      <c r="C65" s="21" t="s">
        <v>531</v>
      </c>
      <c r="D65" s="165">
        <v>1830000</v>
      </c>
      <c r="E65" s="21" t="s">
        <v>379</v>
      </c>
      <c r="F65" s="21" t="s">
        <v>380</v>
      </c>
      <c r="G65" s="8" t="str">
        <f t="shared" si="0"/>
        <v>YORK EDGAR</v>
      </c>
    </row>
    <row r="66" spans="1:7" x14ac:dyDescent="0.25">
      <c r="A66" s="8">
        <v>42715.377418981479</v>
      </c>
      <c r="B66" s="21" t="s">
        <v>246</v>
      </c>
      <c r="C66" s="21" t="s">
        <v>456</v>
      </c>
      <c r="D66" s="165">
        <v>2140000</v>
      </c>
      <c r="E66" s="21" t="s">
        <v>354</v>
      </c>
      <c r="F66" s="21" t="s">
        <v>355</v>
      </c>
      <c r="G66" s="8" t="str">
        <f t="shared" si="0"/>
        <v>ROBINSON KADDIBA</v>
      </c>
    </row>
    <row r="67" spans="1:7" x14ac:dyDescent="0.25">
      <c r="A67" s="8">
        <v>42715.381539351853</v>
      </c>
      <c r="B67" s="21" t="s">
        <v>183</v>
      </c>
      <c r="C67" s="21" t="s">
        <v>532</v>
      </c>
      <c r="D67" s="165">
        <v>1260000</v>
      </c>
      <c r="E67" s="21" t="s">
        <v>487</v>
      </c>
      <c r="F67" s="21" t="s">
        <v>488</v>
      </c>
      <c r="G67" s="8" t="str">
        <f t="shared" ref="G67:G130" si="1">E67&amp;" "&amp;F67</f>
        <v>ACKERMAN JARED</v>
      </c>
    </row>
    <row r="68" spans="1:7" x14ac:dyDescent="0.25">
      <c r="A68" s="8">
        <v>42715.387256944443</v>
      </c>
      <c r="B68" s="21" t="s">
        <v>235</v>
      </c>
      <c r="C68" s="21" t="s">
        <v>533</v>
      </c>
      <c r="D68" s="165">
        <v>1110000</v>
      </c>
      <c r="E68" s="21" t="s">
        <v>503</v>
      </c>
      <c r="F68" s="21" t="s">
        <v>504</v>
      </c>
      <c r="G68" s="8" t="str">
        <f t="shared" si="1"/>
        <v>STARKS ANGELINA</v>
      </c>
    </row>
    <row r="69" spans="1:7" x14ac:dyDescent="0.25">
      <c r="A69" s="8">
        <v>42715.388969907406</v>
      </c>
      <c r="B69" s="21" t="s">
        <v>268</v>
      </c>
      <c r="C69" s="21" t="s">
        <v>534</v>
      </c>
      <c r="D69" s="165">
        <v>2090000</v>
      </c>
      <c r="E69" s="21" t="s">
        <v>499</v>
      </c>
      <c r="F69" s="21" t="s">
        <v>353</v>
      </c>
      <c r="G69" s="8" t="str">
        <f t="shared" si="1"/>
        <v>HAITHCOX MICHAEL</v>
      </c>
    </row>
    <row r="70" spans="1:7" x14ac:dyDescent="0.25">
      <c r="A70" s="8">
        <v>42715.389386574076</v>
      </c>
      <c r="B70" s="21" t="s">
        <v>239</v>
      </c>
      <c r="C70" s="21" t="s">
        <v>535</v>
      </c>
      <c r="D70" s="165">
        <v>1780000</v>
      </c>
      <c r="E70" s="21" t="s">
        <v>374</v>
      </c>
      <c r="F70" s="21" t="s">
        <v>375</v>
      </c>
      <c r="G70" s="8" t="str">
        <f t="shared" si="1"/>
        <v>DE LA ROSA ALEX</v>
      </c>
    </row>
    <row r="71" spans="1:7" x14ac:dyDescent="0.25">
      <c r="A71" s="8">
        <v>42715.399085648147</v>
      </c>
      <c r="B71" s="21" t="s">
        <v>212</v>
      </c>
      <c r="C71" s="21" t="s">
        <v>536</v>
      </c>
      <c r="D71" s="165">
        <v>2030000</v>
      </c>
      <c r="E71" s="21" t="s">
        <v>377</v>
      </c>
      <c r="F71" s="21" t="s">
        <v>276</v>
      </c>
      <c r="G71" s="8" t="str">
        <f t="shared" si="1"/>
        <v>KILLION DAVID</v>
      </c>
    </row>
    <row r="72" spans="1:7" x14ac:dyDescent="0.25">
      <c r="A72" s="8">
        <v>42715.401192129626</v>
      </c>
      <c r="B72" s="21" t="s">
        <v>272</v>
      </c>
      <c r="C72" s="21" t="s">
        <v>537</v>
      </c>
      <c r="D72" s="165">
        <v>1830000</v>
      </c>
      <c r="E72" s="21" t="s">
        <v>379</v>
      </c>
      <c r="F72" s="21" t="s">
        <v>380</v>
      </c>
      <c r="G72" s="8" t="str">
        <f t="shared" si="1"/>
        <v>YORK EDGAR</v>
      </c>
    </row>
    <row r="73" spans="1:7" x14ac:dyDescent="0.25">
      <c r="A73" s="8">
        <v>42715.402199074073</v>
      </c>
      <c r="B73" s="21" t="s">
        <v>302</v>
      </c>
      <c r="C73" s="21" t="s">
        <v>538</v>
      </c>
      <c r="D73" s="165">
        <v>1110000</v>
      </c>
      <c r="E73" s="21" t="s">
        <v>503</v>
      </c>
      <c r="F73" s="21" t="s">
        <v>504</v>
      </c>
      <c r="G73" s="8" t="str">
        <f t="shared" si="1"/>
        <v>STARKS ANGELINA</v>
      </c>
    </row>
    <row r="74" spans="1:7" x14ac:dyDescent="0.25">
      <c r="A74" s="8">
        <v>42715.402812499997</v>
      </c>
      <c r="B74" s="21" t="s">
        <v>285</v>
      </c>
      <c r="C74" s="21" t="s">
        <v>457</v>
      </c>
      <c r="D74" s="165">
        <v>1990000</v>
      </c>
      <c r="E74" s="21" t="s">
        <v>360</v>
      </c>
      <c r="F74" s="21" t="s">
        <v>376</v>
      </c>
      <c r="G74" s="8" t="str">
        <f t="shared" si="1"/>
        <v>DAVIS WENDY</v>
      </c>
    </row>
    <row r="75" spans="1:7" x14ac:dyDescent="0.25">
      <c r="A75" s="8">
        <v>42715.411238425928</v>
      </c>
      <c r="B75" s="21" t="s">
        <v>216</v>
      </c>
      <c r="C75" s="21" t="s">
        <v>539</v>
      </c>
      <c r="D75" s="165">
        <v>2100000</v>
      </c>
      <c r="E75" s="21" t="s">
        <v>356</v>
      </c>
      <c r="F75" s="21" t="s">
        <v>357</v>
      </c>
      <c r="G75" s="8" t="str">
        <f t="shared" si="1"/>
        <v>ISHMAEL JOSEPH</v>
      </c>
    </row>
    <row r="76" spans="1:7" x14ac:dyDescent="0.25">
      <c r="A76" s="8">
        <v>42715.415925925925</v>
      </c>
      <c r="B76" s="21" t="s">
        <v>155</v>
      </c>
      <c r="C76" s="21" t="s">
        <v>540</v>
      </c>
      <c r="D76" s="165">
        <v>2270000</v>
      </c>
      <c r="E76" s="21" t="s">
        <v>333</v>
      </c>
      <c r="F76" s="21" t="s">
        <v>334</v>
      </c>
      <c r="G76" s="8" t="str">
        <f t="shared" si="1"/>
        <v>BROWN JACOB</v>
      </c>
    </row>
    <row r="77" spans="1:7" x14ac:dyDescent="0.25">
      <c r="A77" s="8">
        <v>42715.417546296296</v>
      </c>
      <c r="B77" s="21" t="s">
        <v>243</v>
      </c>
      <c r="C77" s="21" t="s">
        <v>541</v>
      </c>
      <c r="D77" s="165">
        <v>1260000</v>
      </c>
      <c r="E77" s="21" t="s">
        <v>487</v>
      </c>
      <c r="F77" s="21" t="s">
        <v>488</v>
      </c>
      <c r="G77" s="8" t="str">
        <f t="shared" si="1"/>
        <v>ACKERMAN JARED</v>
      </c>
    </row>
    <row r="78" spans="1:7" x14ac:dyDescent="0.25">
      <c r="A78" s="8">
        <v>42715.423518518517</v>
      </c>
      <c r="B78" s="21" t="s">
        <v>271</v>
      </c>
      <c r="C78" s="21" t="s">
        <v>542</v>
      </c>
      <c r="D78" s="165">
        <v>2090000</v>
      </c>
      <c r="E78" s="21" t="s">
        <v>499</v>
      </c>
      <c r="F78" s="21" t="s">
        <v>353</v>
      </c>
      <c r="G78" s="8" t="str">
        <f t="shared" si="1"/>
        <v>HAITHCOX MICHAEL</v>
      </c>
    </row>
    <row r="79" spans="1:7" x14ac:dyDescent="0.25">
      <c r="A79" s="8">
        <v>42715.429560185185</v>
      </c>
      <c r="B79" s="21" t="s">
        <v>235</v>
      </c>
      <c r="C79" s="21" t="s">
        <v>543</v>
      </c>
      <c r="D79" s="165">
        <v>1110000</v>
      </c>
      <c r="E79" s="21" t="s">
        <v>503</v>
      </c>
      <c r="F79" s="21" t="s">
        <v>504</v>
      </c>
      <c r="G79" s="8" t="str">
        <f t="shared" si="1"/>
        <v>STARKS ANGELINA</v>
      </c>
    </row>
    <row r="80" spans="1:7" x14ac:dyDescent="0.25">
      <c r="A80" s="8">
        <v>42715.433078703703</v>
      </c>
      <c r="B80" s="21" t="s">
        <v>233</v>
      </c>
      <c r="C80" s="21" t="s">
        <v>544</v>
      </c>
      <c r="D80" s="165">
        <v>2270000</v>
      </c>
      <c r="E80" s="21" t="s">
        <v>333</v>
      </c>
      <c r="F80" s="21" t="s">
        <v>334</v>
      </c>
      <c r="G80" s="8" t="str">
        <f t="shared" si="1"/>
        <v>BROWN JACOB</v>
      </c>
    </row>
    <row r="81" spans="1:7" x14ac:dyDescent="0.25">
      <c r="A81" s="8">
        <v>42715.433217592596</v>
      </c>
      <c r="B81" s="21" t="s">
        <v>240</v>
      </c>
      <c r="C81" s="21" t="s">
        <v>545</v>
      </c>
      <c r="D81" s="165">
        <v>1780000</v>
      </c>
      <c r="E81" s="21" t="s">
        <v>374</v>
      </c>
      <c r="F81" s="21" t="s">
        <v>375</v>
      </c>
      <c r="G81" s="8" t="str">
        <f t="shared" si="1"/>
        <v>DE LA ROSA ALEX</v>
      </c>
    </row>
    <row r="82" spans="1:7" x14ac:dyDescent="0.25">
      <c r="A82" s="8">
        <v>42715.442314814813</v>
      </c>
      <c r="B82" s="21" t="s">
        <v>302</v>
      </c>
      <c r="C82" s="21" t="s">
        <v>458</v>
      </c>
      <c r="D82" s="165">
        <v>1110000</v>
      </c>
      <c r="E82" s="21" t="s">
        <v>503</v>
      </c>
      <c r="F82" s="21" t="s">
        <v>504</v>
      </c>
      <c r="G82" s="8" t="str">
        <f t="shared" si="1"/>
        <v>STARKS ANGELINA</v>
      </c>
    </row>
    <row r="83" spans="1:7" x14ac:dyDescent="0.25">
      <c r="A83" s="8">
        <v>42715.442337962966</v>
      </c>
      <c r="B83" s="21" t="s">
        <v>282</v>
      </c>
      <c r="C83" s="21" t="s">
        <v>546</v>
      </c>
      <c r="D83" s="165">
        <v>1990000</v>
      </c>
      <c r="E83" s="21" t="s">
        <v>360</v>
      </c>
      <c r="F83" s="21" t="s">
        <v>376</v>
      </c>
      <c r="G83" s="8" t="str">
        <f t="shared" si="1"/>
        <v>DAVIS WENDY</v>
      </c>
    </row>
    <row r="84" spans="1:7" x14ac:dyDescent="0.25">
      <c r="A84" s="8">
        <v>42715.443171296298</v>
      </c>
      <c r="B84" s="21" t="s">
        <v>184</v>
      </c>
      <c r="C84" s="21" t="s">
        <v>547</v>
      </c>
      <c r="D84" s="165">
        <v>1830000</v>
      </c>
      <c r="E84" s="21" t="s">
        <v>379</v>
      </c>
      <c r="F84" s="21" t="s">
        <v>380</v>
      </c>
      <c r="G84" s="8" t="str">
        <f t="shared" si="1"/>
        <v>YORK EDGAR</v>
      </c>
    </row>
    <row r="85" spans="1:7" x14ac:dyDescent="0.25">
      <c r="A85" s="8">
        <v>42715.453344907408</v>
      </c>
      <c r="B85" s="21" t="s">
        <v>373</v>
      </c>
      <c r="C85" s="21" t="s">
        <v>548</v>
      </c>
      <c r="D85" s="165">
        <v>2100000</v>
      </c>
      <c r="E85" s="21" t="s">
        <v>356</v>
      </c>
      <c r="F85" s="21" t="s">
        <v>357</v>
      </c>
      <c r="G85" s="8" t="str">
        <f t="shared" si="1"/>
        <v>ISHMAEL JOSEPH</v>
      </c>
    </row>
    <row r="86" spans="1:7" x14ac:dyDescent="0.25">
      <c r="A86" s="8">
        <v>42715.455011574071</v>
      </c>
      <c r="B86" s="21" t="s">
        <v>183</v>
      </c>
      <c r="C86" s="21" t="s">
        <v>549</v>
      </c>
      <c r="D86" s="165">
        <v>880000</v>
      </c>
      <c r="E86" s="21" t="s">
        <v>381</v>
      </c>
      <c r="F86" s="21" t="s">
        <v>353</v>
      </c>
      <c r="G86" s="8" t="str">
        <f t="shared" si="1"/>
        <v>STEWART MICHAEL</v>
      </c>
    </row>
    <row r="87" spans="1:7" x14ac:dyDescent="0.25">
      <c r="A87" s="8">
        <v>42715.455671296295</v>
      </c>
      <c r="B87" s="21" t="s">
        <v>370</v>
      </c>
      <c r="C87" s="21" t="s">
        <v>459</v>
      </c>
      <c r="D87" s="165">
        <v>2040000</v>
      </c>
      <c r="E87" s="21" t="s">
        <v>335</v>
      </c>
      <c r="F87" s="21" t="s">
        <v>336</v>
      </c>
      <c r="G87" s="8" t="str">
        <f t="shared" si="1"/>
        <v>MOSES BRADLEY</v>
      </c>
    </row>
    <row r="88" spans="1:7" x14ac:dyDescent="0.25">
      <c r="A88" s="8">
        <v>42715.46334490741</v>
      </c>
      <c r="B88" s="21" t="s">
        <v>268</v>
      </c>
      <c r="C88" s="21" t="s">
        <v>461</v>
      </c>
      <c r="D88" s="165">
        <v>2090000</v>
      </c>
      <c r="E88" s="21" t="s">
        <v>499</v>
      </c>
      <c r="F88" s="21" t="s">
        <v>353</v>
      </c>
      <c r="G88" s="8" t="str">
        <f t="shared" si="1"/>
        <v>HAITHCOX MICHAEL</v>
      </c>
    </row>
    <row r="89" spans="1:7" x14ac:dyDescent="0.25">
      <c r="A89" s="8">
        <v>42715.464375000003</v>
      </c>
      <c r="B89" s="21" t="s">
        <v>239</v>
      </c>
      <c r="C89" s="21" t="s">
        <v>550</v>
      </c>
      <c r="D89" s="165">
        <v>1280000</v>
      </c>
      <c r="E89" s="21" t="s">
        <v>382</v>
      </c>
      <c r="F89" s="21" t="s">
        <v>383</v>
      </c>
      <c r="G89" s="8" t="str">
        <f t="shared" si="1"/>
        <v>BARTLETT KIANDRA</v>
      </c>
    </row>
    <row r="90" spans="1:7" x14ac:dyDescent="0.25">
      <c r="A90" s="8">
        <v>42715.464791666665</v>
      </c>
      <c r="B90" s="21" t="s">
        <v>154</v>
      </c>
      <c r="C90" s="21" t="s">
        <v>551</v>
      </c>
      <c r="D90" s="165">
        <v>2110000</v>
      </c>
      <c r="E90" s="21" t="s">
        <v>552</v>
      </c>
      <c r="F90" s="21" t="s">
        <v>553</v>
      </c>
      <c r="G90" s="8" t="str">
        <f t="shared" si="1"/>
        <v>OUN ZACK</v>
      </c>
    </row>
    <row r="91" spans="1:7" x14ac:dyDescent="0.25">
      <c r="A91" s="8">
        <v>42715.470381944448</v>
      </c>
      <c r="B91" s="21" t="s">
        <v>246</v>
      </c>
      <c r="C91" s="21" t="s">
        <v>460</v>
      </c>
      <c r="D91" s="165">
        <v>2270000</v>
      </c>
      <c r="E91" s="21" t="s">
        <v>333</v>
      </c>
      <c r="F91" s="21" t="s">
        <v>334</v>
      </c>
      <c r="G91" s="8" t="str">
        <f t="shared" si="1"/>
        <v>BROWN JACOB</v>
      </c>
    </row>
    <row r="92" spans="1:7" x14ac:dyDescent="0.25">
      <c r="A92" s="8">
        <v>42715.471886574072</v>
      </c>
      <c r="B92" s="21" t="s">
        <v>235</v>
      </c>
      <c r="C92" s="21" t="s">
        <v>554</v>
      </c>
      <c r="D92" s="165">
        <v>1110000</v>
      </c>
      <c r="E92" s="21" t="s">
        <v>503</v>
      </c>
      <c r="F92" s="21" t="s">
        <v>504</v>
      </c>
      <c r="G92" s="8" t="str">
        <f t="shared" si="1"/>
        <v>STARKS ANGELINA</v>
      </c>
    </row>
    <row r="93" spans="1:7" x14ac:dyDescent="0.25">
      <c r="A93" s="8">
        <v>42715.47383101852</v>
      </c>
      <c r="B93" s="21" t="s">
        <v>272</v>
      </c>
      <c r="C93" s="21" t="s">
        <v>555</v>
      </c>
      <c r="D93" s="165">
        <v>1830000</v>
      </c>
      <c r="E93" s="21" t="s">
        <v>379</v>
      </c>
      <c r="F93" s="21" t="s">
        <v>380</v>
      </c>
      <c r="G93" s="8" t="str">
        <f t="shared" si="1"/>
        <v>YORK EDGAR</v>
      </c>
    </row>
    <row r="94" spans="1:7" x14ac:dyDescent="0.25">
      <c r="A94" s="8">
        <v>42715.477303240739</v>
      </c>
      <c r="B94" s="21" t="s">
        <v>285</v>
      </c>
      <c r="C94" s="21" t="s">
        <v>556</v>
      </c>
      <c r="D94" s="165">
        <v>1770000</v>
      </c>
      <c r="E94" s="21" t="s">
        <v>384</v>
      </c>
      <c r="F94" s="21" t="s">
        <v>385</v>
      </c>
      <c r="G94" s="8" t="str">
        <f t="shared" si="1"/>
        <v>BRUDER RICHARD</v>
      </c>
    </row>
    <row r="95" spans="1:7" x14ac:dyDescent="0.25">
      <c r="A95" s="8">
        <v>42715.483761574076</v>
      </c>
      <c r="B95" s="21" t="s">
        <v>302</v>
      </c>
      <c r="C95" s="21" t="s">
        <v>557</v>
      </c>
      <c r="D95" s="165">
        <v>1110000</v>
      </c>
      <c r="E95" s="21" t="s">
        <v>503</v>
      </c>
      <c r="F95" s="21" t="s">
        <v>504</v>
      </c>
      <c r="G95" s="8" t="str">
        <f t="shared" si="1"/>
        <v>STARKS ANGELINA</v>
      </c>
    </row>
    <row r="96" spans="1:7" x14ac:dyDescent="0.25">
      <c r="A96" s="8">
        <v>42715.48646990741</v>
      </c>
      <c r="B96" s="21" t="s">
        <v>216</v>
      </c>
      <c r="C96" s="21" t="s">
        <v>558</v>
      </c>
      <c r="D96" s="165">
        <v>2040000</v>
      </c>
      <c r="E96" s="21" t="s">
        <v>335</v>
      </c>
      <c r="F96" s="21" t="s">
        <v>336</v>
      </c>
      <c r="G96" s="8" t="str">
        <f t="shared" si="1"/>
        <v>MOSES BRADLEY</v>
      </c>
    </row>
    <row r="97" spans="1:7" x14ac:dyDescent="0.25">
      <c r="A97" s="8">
        <v>42715.48909722222</v>
      </c>
      <c r="B97" s="21" t="s">
        <v>372</v>
      </c>
      <c r="C97" s="21" t="s">
        <v>559</v>
      </c>
      <c r="D97" s="165">
        <v>2100000</v>
      </c>
      <c r="E97" s="21" t="s">
        <v>356</v>
      </c>
      <c r="F97" s="21" t="s">
        <v>357</v>
      </c>
      <c r="G97" s="8" t="str">
        <f t="shared" si="1"/>
        <v>ISHMAEL JOSEPH</v>
      </c>
    </row>
    <row r="98" spans="1:7" x14ac:dyDescent="0.25">
      <c r="A98" s="8">
        <v>42715.495856481481</v>
      </c>
      <c r="B98" s="21" t="s">
        <v>243</v>
      </c>
      <c r="C98" s="21" t="s">
        <v>560</v>
      </c>
      <c r="D98" s="165">
        <v>880000</v>
      </c>
      <c r="E98" s="21" t="s">
        <v>381</v>
      </c>
      <c r="F98" s="21" t="s">
        <v>353</v>
      </c>
      <c r="G98" s="8" t="str">
        <f t="shared" si="1"/>
        <v>STEWART MICHAEL</v>
      </c>
    </row>
    <row r="99" spans="1:7" x14ac:dyDescent="0.25">
      <c r="A99" s="8">
        <v>42715.496412037035</v>
      </c>
      <c r="B99" s="21" t="s">
        <v>271</v>
      </c>
      <c r="C99" s="21" t="s">
        <v>561</v>
      </c>
      <c r="D99" s="165">
        <v>2350000</v>
      </c>
      <c r="E99" s="21" t="s">
        <v>562</v>
      </c>
      <c r="F99" s="21" t="s">
        <v>563</v>
      </c>
      <c r="G99" s="8" t="str">
        <f t="shared" si="1"/>
        <v>BERLING GARY</v>
      </c>
    </row>
    <row r="100" spans="1:7" x14ac:dyDescent="0.25">
      <c r="A100" s="8">
        <v>42715.497129629628</v>
      </c>
      <c r="B100" s="21" t="s">
        <v>240</v>
      </c>
      <c r="C100" s="21" t="s">
        <v>564</v>
      </c>
      <c r="D100" s="165">
        <v>1280000</v>
      </c>
      <c r="E100" s="21" t="s">
        <v>382</v>
      </c>
      <c r="F100" s="21" t="s">
        <v>383</v>
      </c>
      <c r="G100" s="8" t="str">
        <f t="shared" si="1"/>
        <v>BARTLETT KIANDRA</v>
      </c>
    </row>
    <row r="101" spans="1:7" x14ac:dyDescent="0.25">
      <c r="A101" s="8">
        <v>42715.508518518516</v>
      </c>
      <c r="B101" s="21" t="s">
        <v>233</v>
      </c>
      <c r="C101" s="21" t="s">
        <v>565</v>
      </c>
      <c r="D101" s="165">
        <v>2270000</v>
      </c>
      <c r="E101" s="21" t="s">
        <v>333</v>
      </c>
      <c r="F101" s="21" t="s">
        <v>334</v>
      </c>
      <c r="G101" s="8" t="str">
        <f t="shared" si="1"/>
        <v>BROWN JACOB</v>
      </c>
    </row>
    <row r="102" spans="1:7" x14ac:dyDescent="0.25">
      <c r="A102" s="8">
        <v>42715.512557870374</v>
      </c>
      <c r="B102" s="21" t="s">
        <v>235</v>
      </c>
      <c r="C102" s="21" t="s">
        <v>566</v>
      </c>
      <c r="D102" s="165">
        <v>1110000</v>
      </c>
      <c r="E102" s="21" t="s">
        <v>503</v>
      </c>
      <c r="F102" s="21" t="s">
        <v>504</v>
      </c>
      <c r="G102" s="8" t="str">
        <f t="shared" si="1"/>
        <v>STARKS ANGELINA</v>
      </c>
    </row>
    <row r="103" spans="1:7" x14ac:dyDescent="0.25">
      <c r="A103" s="8">
        <v>42715.513541666667</v>
      </c>
      <c r="B103" s="21" t="s">
        <v>282</v>
      </c>
      <c r="C103" s="21" t="s">
        <v>567</v>
      </c>
      <c r="D103" s="165">
        <v>1770000</v>
      </c>
      <c r="E103" s="21" t="s">
        <v>384</v>
      </c>
      <c r="F103" s="21" t="s">
        <v>385</v>
      </c>
      <c r="G103" s="8" t="str">
        <f t="shared" si="1"/>
        <v>BRUDER RICHARD</v>
      </c>
    </row>
    <row r="104" spans="1:7" x14ac:dyDescent="0.25">
      <c r="A104" s="8">
        <v>42715.516655092593</v>
      </c>
      <c r="B104" s="21" t="s">
        <v>184</v>
      </c>
      <c r="C104" s="21" t="s">
        <v>568</v>
      </c>
      <c r="D104" s="165">
        <v>2020000</v>
      </c>
      <c r="E104" s="21" t="s">
        <v>358</v>
      </c>
      <c r="F104" s="21" t="s">
        <v>274</v>
      </c>
      <c r="G104" s="8" t="str">
        <f t="shared" si="1"/>
        <v>SHOOK JOHN</v>
      </c>
    </row>
    <row r="105" spans="1:7" x14ac:dyDescent="0.25">
      <c r="A105" s="8">
        <v>42715.524629629632</v>
      </c>
      <c r="B105" s="21" t="s">
        <v>373</v>
      </c>
      <c r="C105" s="21" t="s">
        <v>569</v>
      </c>
      <c r="D105" s="165">
        <v>2040000</v>
      </c>
      <c r="E105" s="21" t="s">
        <v>335</v>
      </c>
      <c r="F105" s="21" t="s">
        <v>336</v>
      </c>
      <c r="G105" s="8" t="str">
        <f t="shared" si="1"/>
        <v>MOSES BRADLEY</v>
      </c>
    </row>
    <row r="106" spans="1:7" x14ac:dyDescent="0.25">
      <c r="A106" s="8">
        <v>42715.525613425925</v>
      </c>
      <c r="B106" s="21" t="s">
        <v>302</v>
      </c>
      <c r="C106" s="21" t="s">
        <v>570</v>
      </c>
      <c r="D106" s="165">
        <v>1110000</v>
      </c>
      <c r="E106" s="21" t="s">
        <v>503</v>
      </c>
      <c r="F106" s="21" t="s">
        <v>504</v>
      </c>
      <c r="G106" s="8" t="str">
        <f t="shared" si="1"/>
        <v>STARKS ANGELINA</v>
      </c>
    </row>
    <row r="107" spans="1:7" x14ac:dyDescent="0.25">
      <c r="A107" s="8">
        <v>42715.528402777774</v>
      </c>
      <c r="B107" s="21" t="s">
        <v>183</v>
      </c>
      <c r="C107" s="21" t="s">
        <v>571</v>
      </c>
      <c r="D107" s="165">
        <v>880000</v>
      </c>
      <c r="E107" s="21" t="s">
        <v>381</v>
      </c>
      <c r="F107" s="21" t="s">
        <v>353</v>
      </c>
      <c r="G107" s="8" t="str">
        <f t="shared" si="1"/>
        <v>STEWART MICHAEL</v>
      </c>
    </row>
    <row r="108" spans="1:7" x14ac:dyDescent="0.25">
      <c r="A108" s="8">
        <v>42715.533958333333</v>
      </c>
      <c r="B108" s="21" t="s">
        <v>268</v>
      </c>
      <c r="C108" s="21" t="s">
        <v>572</v>
      </c>
      <c r="D108" s="165">
        <v>2350000</v>
      </c>
      <c r="E108" s="21" t="s">
        <v>562</v>
      </c>
      <c r="F108" s="21" t="s">
        <v>563</v>
      </c>
      <c r="G108" s="8" t="str">
        <f t="shared" si="1"/>
        <v>BERLING GARY</v>
      </c>
    </row>
    <row r="109" spans="1:7" x14ac:dyDescent="0.25">
      <c r="A109" s="8">
        <v>42715.536909722221</v>
      </c>
      <c r="B109" s="21" t="s">
        <v>239</v>
      </c>
      <c r="C109" s="21" t="s">
        <v>463</v>
      </c>
      <c r="D109" s="165">
        <v>1280000</v>
      </c>
      <c r="E109" s="21" t="s">
        <v>382</v>
      </c>
      <c r="F109" s="21" t="s">
        <v>383</v>
      </c>
      <c r="G109" s="8" t="str">
        <f t="shared" si="1"/>
        <v>BARTLETT KIANDRA</v>
      </c>
    </row>
    <row r="110" spans="1:7" x14ac:dyDescent="0.25">
      <c r="A110" s="8">
        <v>42715.545810185184</v>
      </c>
      <c r="B110" s="21" t="s">
        <v>246</v>
      </c>
      <c r="C110" s="21" t="s">
        <v>462</v>
      </c>
      <c r="D110" s="165">
        <v>2270000</v>
      </c>
      <c r="E110" s="21" t="s">
        <v>333</v>
      </c>
      <c r="F110" s="21" t="s">
        <v>334</v>
      </c>
      <c r="G110" s="8" t="str">
        <f t="shared" si="1"/>
        <v>BROWN JACOB</v>
      </c>
    </row>
    <row r="111" spans="1:7" x14ac:dyDescent="0.25">
      <c r="A111" s="8">
        <v>42715.549768518518</v>
      </c>
      <c r="B111" s="21" t="s">
        <v>285</v>
      </c>
      <c r="C111" s="21" t="s">
        <v>464</v>
      </c>
      <c r="D111" s="165">
        <v>1770000</v>
      </c>
      <c r="E111" s="21" t="s">
        <v>384</v>
      </c>
      <c r="F111" s="21" t="s">
        <v>385</v>
      </c>
      <c r="G111" s="8" t="str">
        <f t="shared" si="1"/>
        <v>BRUDER RICHARD</v>
      </c>
    </row>
    <row r="112" spans="1:7" x14ac:dyDescent="0.25">
      <c r="A112" s="8">
        <v>42715.55505787037</v>
      </c>
      <c r="B112" s="21" t="s">
        <v>235</v>
      </c>
      <c r="C112" s="21" t="s">
        <v>573</v>
      </c>
      <c r="D112" s="165">
        <v>1110000</v>
      </c>
      <c r="E112" s="21" t="s">
        <v>503</v>
      </c>
      <c r="F112" s="21" t="s">
        <v>504</v>
      </c>
      <c r="G112" s="8" t="str">
        <f t="shared" si="1"/>
        <v>STARKS ANGELINA</v>
      </c>
    </row>
    <row r="113" spans="1:7" x14ac:dyDescent="0.25">
      <c r="A113" s="8">
        <v>42715.558483796296</v>
      </c>
      <c r="B113" s="21" t="s">
        <v>272</v>
      </c>
      <c r="C113" s="21" t="s">
        <v>574</v>
      </c>
      <c r="D113" s="165">
        <v>2020000</v>
      </c>
      <c r="E113" s="21" t="s">
        <v>358</v>
      </c>
      <c r="F113" s="21" t="s">
        <v>274</v>
      </c>
      <c r="G113" s="8" t="str">
        <f t="shared" si="1"/>
        <v>SHOOK JOHN</v>
      </c>
    </row>
    <row r="114" spans="1:7" x14ac:dyDescent="0.25">
      <c r="A114" s="8">
        <v>42715.559479166666</v>
      </c>
      <c r="B114" s="21" t="s">
        <v>216</v>
      </c>
      <c r="C114" s="21" t="s">
        <v>575</v>
      </c>
      <c r="D114" s="165">
        <v>2040000</v>
      </c>
      <c r="E114" s="21" t="s">
        <v>335</v>
      </c>
      <c r="F114" s="21" t="s">
        <v>336</v>
      </c>
      <c r="G114" s="8" t="str">
        <f t="shared" si="1"/>
        <v>MOSES BRADLEY</v>
      </c>
    </row>
    <row r="115" spans="1:7" x14ac:dyDescent="0.25">
      <c r="A115" s="8">
        <v>42715.568877314814</v>
      </c>
      <c r="B115" s="21" t="s">
        <v>243</v>
      </c>
      <c r="C115" s="21" t="s">
        <v>576</v>
      </c>
      <c r="D115" s="165">
        <v>880000</v>
      </c>
      <c r="E115" s="21" t="s">
        <v>381</v>
      </c>
      <c r="F115" s="21" t="s">
        <v>353</v>
      </c>
      <c r="G115" s="8" t="str">
        <f t="shared" si="1"/>
        <v>STEWART MICHAEL</v>
      </c>
    </row>
    <row r="116" spans="1:7" x14ac:dyDescent="0.25">
      <c r="A116" s="8">
        <v>42715.56890046296</v>
      </c>
      <c r="B116" s="21" t="s">
        <v>302</v>
      </c>
      <c r="C116" s="21" t="s">
        <v>577</v>
      </c>
      <c r="D116" s="165">
        <v>1110000</v>
      </c>
      <c r="E116" s="21" t="s">
        <v>503</v>
      </c>
      <c r="F116" s="21" t="s">
        <v>504</v>
      </c>
      <c r="G116" s="8" t="str">
        <f t="shared" si="1"/>
        <v>STARKS ANGELINA</v>
      </c>
    </row>
    <row r="117" spans="1:7" x14ac:dyDescent="0.25">
      <c r="A117" s="8">
        <v>42715.570567129631</v>
      </c>
      <c r="B117" s="21" t="s">
        <v>271</v>
      </c>
      <c r="C117" s="21" t="s">
        <v>465</v>
      </c>
      <c r="D117" s="165">
        <v>2350000</v>
      </c>
      <c r="E117" s="21" t="s">
        <v>562</v>
      </c>
      <c r="F117" s="21" t="s">
        <v>563</v>
      </c>
      <c r="G117" s="8" t="str">
        <f t="shared" si="1"/>
        <v>BERLING GARY</v>
      </c>
    </row>
    <row r="118" spans="1:7" x14ac:dyDescent="0.25">
      <c r="A118" s="8">
        <v>42715.576620370368</v>
      </c>
      <c r="B118" s="21" t="s">
        <v>240</v>
      </c>
      <c r="C118" s="21" t="s">
        <v>578</v>
      </c>
      <c r="D118" s="165">
        <v>1280000</v>
      </c>
      <c r="E118" s="21" t="s">
        <v>382</v>
      </c>
      <c r="F118" s="21" t="s">
        <v>383</v>
      </c>
      <c r="G118" s="8" t="str">
        <f t="shared" si="1"/>
        <v>BARTLETT KIANDRA</v>
      </c>
    </row>
    <row r="119" spans="1:7" x14ac:dyDescent="0.25">
      <c r="A119" s="8">
        <v>42715.583692129629</v>
      </c>
      <c r="B119" s="21" t="s">
        <v>206</v>
      </c>
      <c r="C119" s="21" t="s">
        <v>579</v>
      </c>
      <c r="D119" s="165">
        <v>2280000</v>
      </c>
      <c r="E119" s="21" t="s">
        <v>580</v>
      </c>
      <c r="F119" s="21" t="s">
        <v>581</v>
      </c>
      <c r="G119" s="8" t="str">
        <f t="shared" si="1"/>
        <v>MAHAN DUANE</v>
      </c>
    </row>
    <row r="120" spans="1:7" x14ac:dyDescent="0.25">
      <c r="A120" s="8">
        <v>42715.58797453704</v>
      </c>
      <c r="B120" s="21" t="s">
        <v>282</v>
      </c>
      <c r="C120" s="21" t="s">
        <v>582</v>
      </c>
      <c r="D120" s="165">
        <v>1770000</v>
      </c>
      <c r="E120" s="21" t="s">
        <v>384</v>
      </c>
      <c r="F120" s="21" t="s">
        <v>385</v>
      </c>
      <c r="G120" s="8" t="str">
        <f t="shared" si="1"/>
        <v>BRUDER RICHARD</v>
      </c>
    </row>
    <row r="121" spans="1:7" x14ac:dyDescent="0.25">
      <c r="A121" s="8">
        <v>42715.591909722221</v>
      </c>
      <c r="B121" s="21" t="s">
        <v>235</v>
      </c>
      <c r="C121" s="21" t="s">
        <v>583</v>
      </c>
      <c r="D121" s="165">
        <v>1820000</v>
      </c>
      <c r="E121" s="21" t="s">
        <v>584</v>
      </c>
      <c r="F121" s="21" t="s">
        <v>585</v>
      </c>
      <c r="G121" s="8" t="str">
        <f t="shared" si="1"/>
        <v>ADANE ELSHADAY</v>
      </c>
    </row>
    <row r="122" spans="1:7" x14ac:dyDescent="0.25">
      <c r="A122" s="8">
        <v>42715.593460648146</v>
      </c>
      <c r="B122" s="26" t="s">
        <v>184</v>
      </c>
      <c r="C122" s="21" t="s">
        <v>466</v>
      </c>
      <c r="D122" s="165">
        <v>2020000</v>
      </c>
      <c r="E122" s="21" t="s">
        <v>358</v>
      </c>
      <c r="F122" s="21" t="s">
        <v>274</v>
      </c>
      <c r="G122" s="8" t="str">
        <f t="shared" si="1"/>
        <v>SHOOK JOHN</v>
      </c>
    </row>
    <row r="123" spans="1:7" x14ac:dyDescent="0.25">
      <c r="A123" s="8">
        <v>42715.605115740742</v>
      </c>
      <c r="B123" s="21" t="s">
        <v>373</v>
      </c>
      <c r="C123" s="21" t="s">
        <v>586</v>
      </c>
      <c r="D123" s="165">
        <v>2040000</v>
      </c>
      <c r="E123" s="21" t="s">
        <v>335</v>
      </c>
      <c r="F123" s="21" t="s">
        <v>336</v>
      </c>
      <c r="G123" s="8" t="str">
        <f t="shared" si="1"/>
        <v>MOSES BRADLEY</v>
      </c>
    </row>
    <row r="124" spans="1:7" x14ac:dyDescent="0.25">
      <c r="A124" s="8">
        <v>42715.609525462962</v>
      </c>
      <c r="B124" s="21" t="s">
        <v>302</v>
      </c>
      <c r="C124" s="21" t="s">
        <v>467</v>
      </c>
      <c r="D124" s="165">
        <v>1820000</v>
      </c>
      <c r="E124" s="21" t="s">
        <v>584</v>
      </c>
      <c r="F124" s="21" t="s">
        <v>585</v>
      </c>
      <c r="G124" s="8" t="str">
        <f t="shared" si="1"/>
        <v>ADANE ELSHADAY</v>
      </c>
    </row>
    <row r="125" spans="1:7" x14ac:dyDescent="0.25">
      <c r="A125" s="8">
        <v>42715.612222222226</v>
      </c>
      <c r="B125" s="21" t="s">
        <v>268</v>
      </c>
      <c r="C125" s="21" t="s">
        <v>587</v>
      </c>
      <c r="D125" s="165">
        <v>2350000</v>
      </c>
      <c r="E125" s="21" t="s">
        <v>562</v>
      </c>
      <c r="F125" s="21" t="s">
        <v>563</v>
      </c>
      <c r="G125" s="8" t="str">
        <f t="shared" si="1"/>
        <v>BERLING GARY</v>
      </c>
    </row>
    <row r="126" spans="1:7" x14ac:dyDescent="0.25">
      <c r="A126" s="8">
        <v>42715.612233796295</v>
      </c>
      <c r="B126" s="21" t="s">
        <v>239</v>
      </c>
      <c r="C126" s="21" t="s">
        <v>468</v>
      </c>
      <c r="D126" s="165">
        <v>1280000</v>
      </c>
      <c r="E126" s="21" t="s">
        <v>382</v>
      </c>
      <c r="F126" s="21" t="s">
        <v>383</v>
      </c>
      <c r="G126" s="8" t="str">
        <f t="shared" si="1"/>
        <v>BARTLETT KIANDRA</v>
      </c>
    </row>
    <row r="127" spans="1:7" x14ac:dyDescent="0.25">
      <c r="A127" s="8">
        <v>42715.613402777781</v>
      </c>
      <c r="B127" s="21" t="s">
        <v>183</v>
      </c>
      <c r="C127" s="21" t="s">
        <v>588</v>
      </c>
      <c r="D127" s="165">
        <v>880000</v>
      </c>
      <c r="E127" s="21" t="s">
        <v>381</v>
      </c>
      <c r="F127" s="21" t="s">
        <v>353</v>
      </c>
      <c r="G127" s="8" t="str">
        <f t="shared" si="1"/>
        <v>STEWART MICHAEL</v>
      </c>
    </row>
    <row r="128" spans="1:7" x14ac:dyDescent="0.25">
      <c r="A128" s="8">
        <v>42715.623900462961</v>
      </c>
      <c r="B128" s="21" t="s">
        <v>212</v>
      </c>
      <c r="C128" s="21" t="s">
        <v>470</v>
      </c>
      <c r="D128" s="165">
        <v>2280000</v>
      </c>
      <c r="E128" s="21" t="s">
        <v>580</v>
      </c>
      <c r="F128" s="21" t="s">
        <v>581</v>
      </c>
      <c r="G128" s="8" t="str">
        <f t="shared" si="1"/>
        <v>MAHAN DUANE</v>
      </c>
    </row>
    <row r="129" spans="1:7" x14ac:dyDescent="0.25">
      <c r="A129" s="8">
        <v>42715.624722222223</v>
      </c>
      <c r="B129" s="21" t="s">
        <v>235</v>
      </c>
      <c r="C129" s="21" t="s">
        <v>589</v>
      </c>
      <c r="D129" s="165">
        <v>1820000</v>
      </c>
      <c r="E129" s="21" t="s">
        <v>584</v>
      </c>
      <c r="F129" s="21" t="s">
        <v>585</v>
      </c>
      <c r="G129" s="8" t="str">
        <f t="shared" si="1"/>
        <v>ADANE ELSHADAY</v>
      </c>
    </row>
    <row r="130" spans="1:7" x14ac:dyDescent="0.25">
      <c r="A130" s="8">
        <v>42715.627476851849</v>
      </c>
      <c r="B130" s="21" t="s">
        <v>285</v>
      </c>
      <c r="C130" s="21" t="s">
        <v>590</v>
      </c>
      <c r="D130" s="165">
        <v>1770000</v>
      </c>
      <c r="E130" s="21" t="s">
        <v>384</v>
      </c>
      <c r="F130" s="21" t="s">
        <v>385</v>
      </c>
      <c r="G130" s="8" t="str">
        <f t="shared" si="1"/>
        <v>BRUDER RICHARD</v>
      </c>
    </row>
    <row r="131" spans="1:7" x14ac:dyDescent="0.25">
      <c r="A131" s="8">
        <v>42715.632708333331</v>
      </c>
      <c r="B131" s="21" t="s">
        <v>272</v>
      </c>
      <c r="C131" s="21" t="s">
        <v>591</v>
      </c>
      <c r="D131" s="165">
        <v>2020000</v>
      </c>
      <c r="E131" s="21" t="s">
        <v>358</v>
      </c>
      <c r="F131" s="21" t="s">
        <v>274</v>
      </c>
      <c r="G131" s="8" t="str">
        <f t="shared" ref="G131:G194" si="2">E131&amp;" "&amp;F131</f>
        <v>SHOOK JOHN</v>
      </c>
    </row>
    <row r="132" spans="1:7" x14ac:dyDescent="0.25">
      <c r="A132" s="8">
        <v>42715.636319444442</v>
      </c>
      <c r="B132" s="21" t="s">
        <v>233</v>
      </c>
      <c r="C132" s="21" t="s">
        <v>469</v>
      </c>
      <c r="D132" s="165">
        <v>2270000</v>
      </c>
      <c r="E132" s="21" t="s">
        <v>333</v>
      </c>
      <c r="F132" s="21" t="s">
        <v>334</v>
      </c>
      <c r="G132" s="8" t="str">
        <f t="shared" si="2"/>
        <v>BROWN JACOB</v>
      </c>
    </row>
    <row r="133" spans="1:7" x14ac:dyDescent="0.25">
      <c r="A133" s="8">
        <v>42715.643773148149</v>
      </c>
      <c r="B133" s="21" t="s">
        <v>243</v>
      </c>
      <c r="C133" s="21" t="s">
        <v>592</v>
      </c>
      <c r="D133" s="165">
        <v>880000</v>
      </c>
      <c r="E133" s="21" t="s">
        <v>381</v>
      </c>
      <c r="F133" s="21" t="s">
        <v>353</v>
      </c>
      <c r="G133" s="8" t="str">
        <f t="shared" si="2"/>
        <v>STEWART MICHAEL</v>
      </c>
    </row>
    <row r="134" spans="1:7" x14ac:dyDescent="0.25">
      <c r="A134" s="8">
        <v>42715.651087962964</v>
      </c>
      <c r="B134" s="21" t="s">
        <v>240</v>
      </c>
      <c r="C134" s="21" t="s">
        <v>593</v>
      </c>
      <c r="D134" s="165">
        <v>1280000</v>
      </c>
      <c r="E134" s="21" t="s">
        <v>382</v>
      </c>
      <c r="F134" s="21" t="s">
        <v>383</v>
      </c>
      <c r="G134" s="8" t="str">
        <f t="shared" si="2"/>
        <v>BARTLETT KIANDRA</v>
      </c>
    </row>
    <row r="135" spans="1:7" x14ac:dyDescent="0.25">
      <c r="A135" s="8">
        <v>42715.65111111111</v>
      </c>
      <c r="B135" s="21" t="s">
        <v>271</v>
      </c>
      <c r="C135" s="21" t="s">
        <v>594</v>
      </c>
      <c r="D135" s="165">
        <v>2350000</v>
      </c>
      <c r="E135" s="21" t="s">
        <v>562</v>
      </c>
      <c r="F135" s="21" t="s">
        <v>563</v>
      </c>
      <c r="G135" s="8" t="str">
        <f t="shared" si="2"/>
        <v>BERLING GARY</v>
      </c>
    </row>
    <row r="136" spans="1:7" x14ac:dyDescent="0.25">
      <c r="A136" s="8">
        <v>42715.652037037034</v>
      </c>
      <c r="B136" s="21" t="s">
        <v>302</v>
      </c>
      <c r="C136" s="21" t="s">
        <v>595</v>
      </c>
      <c r="D136" s="165">
        <v>1820000</v>
      </c>
      <c r="E136" s="21" t="s">
        <v>584</v>
      </c>
      <c r="F136" s="21" t="s">
        <v>585</v>
      </c>
      <c r="G136" s="8" t="str">
        <f t="shared" si="2"/>
        <v>ADANE ELSHADAY</v>
      </c>
    </row>
    <row r="137" spans="1:7" x14ac:dyDescent="0.25">
      <c r="A137" s="8">
        <v>42715.658680555556</v>
      </c>
      <c r="B137" s="21" t="s">
        <v>206</v>
      </c>
      <c r="C137" s="21" t="s">
        <v>596</v>
      </c>
      <c r="D137" s="165">
        <v>2280000</v>
      </c>
      <c r="E137" s="21" t="s">
        <v>580</v>
      </c>
      <c r="F137" s="21" t="s">
        <v>581</v>
      </c>
      <c r="G137" s="8" t="str">
        <f t="shared" si="2"/>
        <v>MAHAN DUANE</v>
      </c>
    </row>
    <row r="138" spans="1:7" x14ac:dyDescent="0.25">
      <c r="A138" s="8">
        <v>42715.659143518518</v>
      </c>
      <c r="B138" s="21" t="s">
        <v>282</v>
      </c>
      <c r="C138" s="21" t="s">
        <v>597</v>
      </c>
      <c r="D138" s="165">
        <v>1770000</v>
      </c>
      <c r="E138" s="21" t="s">
        <v>384</v>
      </c>
      <c r="F138" s="21" t="s">
        <v>385</v>
      </c>
      <c r="G138" s="8" t="str">
        <f t="shared" si="2"/>
        <v>BRUDER RICHARD</v>
      </c>
    </row>
    <row r="139" spans="1:7" x14ac:dyDescent="0.25">
      <c r="A139" s="8">
        <v>42715.668506944443</v>
      </c>
      <c r="B139" s="21" t="s">
        <v>184</v>
      </c>
      <c r="C139" s="21" t="s">
        <v>598</v>
      </c>
      <c r="D139" s="165">
        <v>2020000</v>
      </c>
      <c r="E139" s="21" t="s">
        <v>358</v>
      </c>
      <c r="F139" s="21" t="s">
        <v>274</v>
      </c>
      <c r="G139" s="8" t="str">
        <f t="shared" si="2"/>
        <v>SHOOK JOHN</v>
      </c>
    </row>
    <row r="140" spans="1:7" x14ac:dyDescent="0.25">
      <c r="A140" s="8">
        <v>42715.670289351852</v>
      </c>
      <c r="B140" s="21" t="s">
        <v>235</v>
      </c>
      <c r="C140" s="21" t="s">
        <v>471</v>
      </c>
      <c r="D140" s="165">
        <v>1820000</v>
      </c>
      <c r="E140" s="21" t="s">
        <v>584</v>
      </c>
      <c r="F140" s="21" t="s">
        <v>585</v>
      </c>
      <c r="G140" s="8" t="str">
        <f t="shared" si="2"/>
        <v>ADANE ELSHADAY</v>
      </c>
    </row>
    <row r="141" spans="1:7" x14ac:dyDescent="0.25">
      <c r="A141" s="8">
        <v>42715.670949074076</v>
      </c>
      <c r="B141" s="21" t="s">
        <v>246</v>
      </c>
      <c r="C141" s="21" t="s">
        <v>599</v>
      </c>
      <c r="D141" s="165">
        <v>2270000</v>
      </c>
      <c r="E141" s="21" t="s">
        <v>333</v>
      </c>
      <c r="F141" s="21" t="s">
        <v>334</v>
      </c>
      <c r="G141" s="8" t="str">
        <f t="shared" si="2"/>
        <v>BROWN JACOB</v>
      </c>
    </row>
    <row r="142" spans="1:7" x14ac:dyDescent="0.25">
      <c r="A142" s="8">
        <v>42715.671516203707</v>
      </c>
      <c r="B142" s="21" t="s">
        <v>246</v>
      </c>
      <c r="C142" s="21" t="s">
        <v>599</v>
      </c>
      <c r="D142" s="165">
        <v>2270000</v>
      </c>
      <c r="E142" s="21" t="s">
        <v>333</v>
      </c>
      <c r="F142" s="21" t="s">
        <v>334</v>
      </c>
      <c r="G142" s="8" t="str">
        <f t="shared" si="2"/>
        <v>BROWN JACOB</v>
      </c>
    </row>
    <row r="143" spans="1:7" x14ac:dyDescent="0.25">
      <c r="A143" s="8">
        <v>42715.672291666669</v>
      </c>
      <c r="B143" s="21" t="s">
        <v>246</v>
      </c>
      <c r="C143" s="21" t="s">
        <v>599</v>
      </c>
      <c r="D143" s="165">
        <v>2270000</v>
      </c>
      <c r="E143" s="21" t="s">
        <v>333</v>
      </c>
      <c r="F143" s="21" t="s">
        <v>334</v>
      </c>
      <c r="G143" s="8" t="str">
        <f t="shared" si="2"/>
        <v>BROWN JACOB</v>
      </c>
    </row>
    <row r="144" spans="1:7" x14ac:dyDescent="0.25">
      <c r="A144" s="8">
        <v>42715.673645833333</v>
      </c>
      <c r="B144" s="21" t="s">
        <v>246</v>
      </c>
      <c r="C144" s="21" t="s">
        <v>599</v>
      </c>
      <c r="D144" s="165">
        <v>2270000</v>
      </c>
      <c r="E144" s="21" t="s">
        <v>333</v>
      </c>
      <c r="F144" s="21" t="s">
        <v>334</v>
      </c>
      <c r="G144" s="8" t="str">
        <f t="shared" si="2"/>
        <v>BROWN JACOB</v>
      </c>
    </row>
    <row r="145" spans="1:7" x14ac:dyDescent="0.25">
      <c r="A145" s="8">
        <v>42715.678159722222</v>
      </c>
      <c r="B145" s="21" t="s">
        <v>183</v>
      </c>
      <c r="C145" s="21" t="s">
        <v>600</v>
      </c>
      <c r="D145" s="165">
        <v>880000</v>
      </c>
      <c r="E145" s="21" t="s">
        <v>381</v>
      </c>
      <c r="F145" s="21" t="s">
        <v>353</v>
      </c>
      <c r="G145" s="8" t="str">
        <f t="shared" si="2"/>
        <v>STEWART MICHAEL</v>
      </c>
    </row>
    <row r="146" spans="1:7" x14ac:dyDescent="0.25">
      <c r="A146" s="8">
        <v>42715.683449074073</v>
      </c>
      <c r="B146" s="21" t="s">
        <v>268</v>
      </c>
      <c r="C146" s="21" t="s">
        <v>601</v>
      </c>
      <c r="D146" s="165">
        <v>2350000</v>
      </c>
      <c r="E146" s="21" t="s">
        <v>562</v>
      </c>
      <c r="F146" s="21" t="s">
        <v>563</v>
      </c>
      <c r="G146" s="8" t="str">
        <f t="shared" si="2"/>
        <v>BERLING GARY</v>
      </c>
    </row>
    <row r="147" spans="1:7" x14ac:dyDescent="0.25">
      <c r="A147" s="8">
        <v>42715.689039351855</v>
      </c>
      <c r="B147" s="21" t="s">
        <v>239</v>
      </c>
      <c r="C147" s="21" t="s">
        <v>473</v>
      </c>
      <c r="D147" s="165">
        <v>1280000</v>
      </c>
      <c r="E147" s="21" t="s">
        <v>382</v>
      </c>
      <c r="F147" s="21" t="s">
        <v>383</v>
      </c>
      <c r="G147" s="8" t="str">
        <f t="shared" si="2"/>
        <v>BARTLETT KIANDRA</v>
      </c>
    </row>
    <row r="148" spans="1:7" x14ac:dyDescent="0.25">
      <c r="A148" s="8">
        <v>42715.691840277781</v>
      </c>
      <c r="B148" s="21" t="s">
        <v>212</v>
      </c>
      <c r="C148" s="21" t="s">
        <v>602</v>
      </c>
      <c r="D148" s="165">
        <v>2280000</v>
      </c>
      <c r="E148" s="21" t="s">
        <v>580</v>
      </c>
      <c r="F148" s="21" t="s">
        <v>581</v>
      </c>
      <c r="G148" s="8" t="str">
        <f t="shared" si="2"/>
        <v>MAHAN DUANE</v>
      </c>
    </row>
    <row r="149" spans="1:7" x14ac:dyDescent="0.25">
      <c r="A149" s="8">
        <v>42715.694594907407</v>
      </c>
      <c r="B149" s="21" t="s">
        <v>285</v>
      </c>
      <c r="C149" s="21" t="s">
        <v>603</v>
      </c>
      <c r="D149" s="165">
        <v>1770000</v>
      </c>
      <c r="E149" s="21" t="s">
        <v>384</v>
      </c>
      <c r="F149" s="21" t="s">
        <v>385</v>
      </c>
      <c r="G149" s="8" t="str">
        <f t="shared" si="2"/>
        <v>BRUDER RICHARD</v>
      </c>
    </row>
    <row r="150" spans="1:7" x14ac:dyDescent="0.25">
      <c r="A150" s="8">
        <v>42715.6950462963</v>
      </c>
      <c r="B150" s="21" t="s">
        <v>302</v>
      </c>
      <c r="C150" s="21" t="s">
        <v>472</v>
      </c>
      <c r="D150" s="165">
        <v>1820000</v>
      </c>
      <c r="E150" s="21" t="s">
        <v>584</v>
      </c>
      <c r="F150" s="21" t="s">
        <v>585</v>
      </c>
      <c r="G150" s="8" t="str">
        <f t="shared" si="2"/>
        <v>ADANE ELSHADAY</v>
      </c>
    </row>
    <row r="151" spans="1:7" x14ac:dyDescent="0.25">
      <c r="A151" s="8">
        <v>42715.703298611108</v>
      </c>
      <c r="B151" s="21" t="s">
        <v>272</v>
      </c>
      <c r="C151" s="21" t="s">
        <v>604</v>
      </c>
      <c r="D151" s="165">
        <v>2020000</v>
      </c>
      <c r="E151" s="21" t="s">
        <v>358</v>
      </c>
      <c r="F151" s="21" t="s">
        <v>274</v>
      </c>
      <c r="G151" s="8" t="str">
        <f t="shared" si="2"/>
        <v>SHOOK JOHN</v>
      </c>
    </row>
    <row r="152" spans="1:7" x14ac:dyDescent="0.25">
      <c r="A152" s="8">
        <v>42715.706921296296</v>
      </c>
      <c r="B152" s="21" t="s">
        <v>233</v>
      </c>
      <c r="C152" s="21" t="s">
        <v>605</v>
      </c>
      <c r="D152" s="165">
        <v>2040000</v>
      </c>
      <c r="E152" s="21" t="s">
        <v>335</v>
      </c>
      <c r="F152" s="21" t="s">
        <v>336</v>
      </c>
      <c r="G152" s="8" t="str">
        <f t="shared" si="2"/>
        <v>MOSES BRADLEY</v>
      </c>
    </row>
    <row r="153" spans="1:7" x14ac:dyDescent="0.25">
      <c r="A153" s="8">
        <v>42715.70994212963</v>
      </c>
      <c r="B153" s="21" t="s">
        <v>235</v>
      </c>
      <c r="C153" s="21" t="s">
        <v>606</v>
      </c>
      <c r="D153" s="165">
        <v>1820000</v>
      </c>
      <c r="E153" s="21" t="s">
        <v>584</v>
      </c>
      <c r="F153" s="21" t="s">
        <v>585</v>
      </c>
      <c r="G153" s="8" t="str">
        <f t="shared" si="2"/>
        <v>ADANE ELSHADAY</v>
      </c>
    </row>
    <row r="154" spans="1:7" x14ac:dyDescent="0.25">
      <c r="A154" s="8">
        <v>42715.713125000002</v>
      </c>
      <c r="B154" s="21" t="s">
        <v>243</v>
      </c>
      <c r="C154" s="21" t="s">
        <v>474</v>
      </c>
      <c r="D154" s="165">
        <v>880000</v>
      </c>
      <c r="E154" s="21" t="s">
        <v>381</v>
      </c>
      <c r="F154" s="21" t="s">
        <v>353</v>
      </c>
      <c r="G154" s="8" t="str">
        <f t="shared" si="2"/>
        <v>STEWART MICHAEL</v>
      </c>
    </row>
    <row r="155" spans="1:7" x14ac:dyDescent="0.25">
      <c r="A155" s="8">
        <v>42715.719259259262</v>
      </c>
      <c r="B155" s="21" t="s">
        <v>271</v>
      </c>
      <c r="C155" s="21" t="s">
        <v>607</v>
      </c>
      <c r="D155" s="165">
        <v>1180000</v>
      </c>
      <c r="E155" s="21" t="s">
        <v>261</v>
      </c>
      <c r="F155" s="21" t="s">
        <v>277</v>
      </c>
      <c r="G155" s="8" t="str">
        <f t="shared" si="2"/>
        <v>LEVERE CRAIG</v>
      </c>
    </row>
    <row r="156" spans="1:7" x14ac:dyDescent="0.25">
      <c r="A156" s="8">
        <v>42715.724108796298</v>
      </c>
      <c r="B156" s="21" t="s">
        <v>240</v>
      </c>
      <c r="C156" s="21" t="s">
        <v>608</v>
      </c>
      <c r="D156" s="165">
        <v>1280000</v>
      </c>
      <c r="E156" s="21" t="s">
        <v>382</v>
      </c>
      <c r="F156" s="21" t="s">
        <v>383</v>
      </c>
      <c r="G156" s="8" t="str">
        <f t="shared" si="2"/>
        <v>BARTLETT KIANDRA</v>
      </c>
    </row>
    <row r="157" spans="1:7" x14ac:dyDescent="0.25">
      <c r="A157" s="8">
        <v>42715.725462962961</v>
      </c>
      <c r="B157" s="21" t="s">
        <v>216</v>
      </c>
      <c r="C157" s="21" t="s">
        <v>609</v>
      </c>
      <c r="D157" s="165">
        <v>2260000</v>
      </c>
      <c r="E157" s="21" t="s">
        <v>610</v>
      </c>
      <c r="F157" s="21" t="s">
        <v>611</v>
      </c>
      <c r="G157" s="8" t="str">
        <f t="shared" si="2"/>
        <v>ARVIDSON DANIEL</v>
      </c>
    </row>
    <row r="158" spans="1:7" x14ac:dyDescent="0.25">
      <c r="A158" s="8">
        <v>42715.72855324074</v>
      </c>
      <c r="B158" s="21" t="s">
        <v>370</v>
      </c>
      <c r="C158" s="21" t="s">
        <v>612</v>
      </c>
      <c r="D158" s="165">
        <v>1810000</v>
      </c>
      <c r="E158" s="21" t="s">
        <v>359</v>
      </c>
      <c r="F158" s="21" t="s">
        <v>279</v>
      </c>
      <c r="G158" s="8" t="str">
        <f t="shared" si="2"/>
        <v>NEWELL JAMES</v>
      </c>
    </row>
    <row r="159" spans="1:7" x14ac:dyDescent="0.25">
      <c r="A159" s="8">
        <v>42715.732465277775</v>
      </c>
      <c r="B159" s="21" t="s">
        <v>206</v>
      </c>
      <c r="C159" s="21" t="s">
        <v>613</v>
      </c>
      <c r="D159" s="165">
        <v>2350000</v>
      </c>
      <c r="E159" s="21" t="s">
        <v>562</v>
      </c>
      <c r="F159" s="21" t="s">
        <v>563</v>
      </c>
      <c r="G159" s="8" t="str">
        <f t="shared" si="2"/>
        <v>BERLING GARY</v>
      </c>
    </row>
    <row r="160" spans="1:7" x14ac:dyDescent="0.25">
      <c r="A160" s="8">
        <v>42715.734456018516</v>
      </c>
      <c r="B160" s="21" t="s">
        <v>302</v>
      </c>
      <c r="C160" s="21" t="s">
        <v>614</v>
      </c>
      <c r="D160" s="165">
        <v>1820000</v>
      </c>
      <c r="E160" s="21" t="s">
        <v>584</v>
      </c>
      <c r="F160" s="21" t="s">
        <v>585</v>
      </c>
      <c r="G160" s="8" t="str">
        <f t="shared" si="2"/>
        <v>ADANE ELSHADAY</v>
      </c>
    </row>
    <row r="161" spans="1:7" x14ac:dyDescent="0.25">
      <c r="A161" s="8">
        <v>42715.735312500001</v>
      </c>
      <c r="B161" s="21" t="s">
        <v>282</v>
      </c>
      <c r="C161" s="21" t="s">
        <v>615</v>
      </c>
      <c r="D161" s="165">
        <v>1770000</v>
      </c>
      <c r="E161" s="21" t="s">
        <v>384</v>
      </c>
      <c r="F161" s="21" t="s">
        <v>385</v>
      </c>
      <c r="G161" s="8" t="str">
        <f t="shared" si="2"/>
        <v>BRUDER RICHARD</v>
      </c>
    </row>
    <row r="162" spans="1:7" x14ac:dyDescent="0.25">
      <c r="A162" s="8">
        <v>42715.742997685185</v>
      </c>
      <c r="B162" s="21" t="s">
        <v>184</v>
      </c>
      <c r="C162" s="21" t="s">
        <v>616</v>
      </c>
      <c r="D162" s="165">
        <v>1290000</v>
      </c>
      <c r="E162" s="21" t="s">
        <v>262</v>
      </c>
      <c r="F162" s="21" t="s">
        <v>274</v>
      </c>
      <c r="G162" s="8" t="str">
        <f t="shared" si="2"/>
        <v>COOLAHAN JOHN</v>
      </c>
    </row>
    <row r="163" spans="1:7" x14ac:dyDescent="0.25">
      <c r="A163" s="8">
        <v>42715.744386574072</v>
      </c>
      <c r="B163" s="21" t="s">
        <v>297</v>
      </c>
      <c r="C163" s="21" t="s">
        <v>475</v>
      </c>
      <c r="D163" s="165">
        <v>2560000</v>
      </c>
      <c r="E163" s="21" t="s">
        <v>386</v>
      </c>
      <c r="F163" s="21" t="s">
        <v>387</v>
      </c>
      <c r="G163" s="8" t="str">
        <f t="shared" si="2"/>
        <v>MACDONALD THOMAS</v>
      </c>
    </row>
    <row r="164" spans="1:7" x14ac:dyDescent="0.25">
      <c r="A164" s="8">
        <v>42715.748368055552</v>
      </c>
      <c r="B164" s="21" t="s">
        <v>235</v>
      </c>
      <c r="C164" s="21" t="s">
        <v>476</v>
      </c>
      <c r="D164" s="165">
        <v>1820000</v>
      </c>
      <c r="E164" s="21" t="s">
        <v>584</v>
      </c>
      <c r="F164" s="21" t="s">
        <v>585</v>
      </c>
      <c r="G164" s="8" t="str">
        <f t="shared" si="2"/>
        <v>ADANE ELSHADAY</v>
      </c>
    </row>
    <row r="165" spans="1:7" x14ac:dyDescent="0.25">
      <c r="A165" s="8">
        <v>42715.749120370368</v>
      </c>
      <c r="B165" s="21" t="s">
        <v>246</v>
      </c>
      <c r="C165" s="21" t="s">
        <v>617</v>
      </c>
      <c r="D165" s="165">
        <v>2040000</v>
      </c>
      <c r="E165" s="21" t="s">
        <v>335</v>
      </c>
      <c r="F165" s="21" t="s">
        <v>336</v>
      </c>
      <c r="G165" s="8" t="str">
        <f t="shared" si="2"/>
        <v>MOSES BRADLEY</v>
      </c>
    </row>
    <row r="166" spans="1:7" x14ac:dyDescent="0.25">
      <c r="A166" s="8">
        <v>42715.755532407406</v>
      </c>
      <c r="B166" s="21" t="s">
        <v>183</v>
      </c>
      <c r="C166" s="21" t="s">
        <v>618</v>
      </c>
      <c r="D166" s="165">
        <v>2020000</v>
      </c>
      <c r="E166" s="21" t="s">
        <v>358</v>
      </c>
      <c r="F166" s="21" t="s">
        <v>274</v>
      </c>
      <c r="G166" s="8" t="str">
        <f t="shared" si="2"/>
        <v>SHOOK JOHN</v>
      </c>
    </row>
    <row r="167" spans="1:7" x14ac:dyDescent="0.25">
      <c r="A167" s="8">
        <v>42715.757569444446</v>
      </c>
      <c r="B167" s="21" t="s">
        <v>268</v>
      </c>
      <c r="C167" s="21" t="s">
        <v>619</v>
      </c>
      <c r="D167" s="165">
        <v>1180000</v>
      </c>
      <c r="E167" s="21" t="s">
        <v>261</v>
      </c>
      <c r="F167" s="21" t="s">
        <v>277</v>
      </c>
      <c r="G167" s="8" t="str">
        <f t="shared" si="2"/>
        <v>LEVERE CRAIG</v>
      </c>
    </row>
    <row r="168" spans="1:7" x14ac:dyDescent="0.25">
      <c r="A168" s="8">
        <v>42715.759201388886</v>
      </c>
      <c r="B168" s="21" t="s">
        <v>239</v>
      </c>
      <c r="C168" s="21" t="s">
        <v>620</v>
      </c>
      <c r="D168" s="165">
        <v>1810000</v>
      </c>
      <c r="E168" s="21" t="s">
        <v>359</v>
      </c>
      <c r="F168" s="21" t="s">
        <v>279</v>
      </c>
      <c r="G168" s="8" t="str">
        <f t="shared" si="2"/>
        <v>NEWELL JAMES</v>
      </c>
    </row>
    <row r="169" spans="1:7" x14ac:dyDescent="0.25">
      <c r="A169" s="8">
        <v>42715.762719907405</v>
      </c>
      <c r="B169" s="21" t="s">
        <v>372</v>
      </c>
      <c r="C169" s="21" t="s">
        <v>621</v>
      </c>
      <c r="D169" s="165">
        <v>1280000</v>
      </c>
      <c r="E169" s="21" t="s">
        <v>382</v>
      </c>
      <c r="F169" s="21" t="s">
        <v>383</v>
      </c>
      <c r="G169" s="8" t="str">
        <f t="shared" si="2"/>
        <v>BARTLETT KIANDRA</v>
      </c>
    </row>
    <row r="170" spans="1:7" x14ac:dyDescent="0.25">
      <c r="A170" s="8">
        <v>42715.770092592589</v>
      </c>
      <c r="B170" s="21" t="s">
        <v>285</v>
      </c>
      <c r="C170" s="21" t="s">
        <v>622</v>
      </c>
      <c r="D170" s="165">
        <v>1800000</v>
      </c>
      <c r="E170" s="21" t="s">
        <v>247</v>
      </c>
      <c r="F170" s="21" t="s">
        <v>288</v>
      </c>
      <c r="G170" s="8" t="str">
        <f t="shared" si="2"/>
        <v>CHANDLER KELVIN</v>
      </c>
    </row>
    <row r="171" spans="1:7" x14ac:dyDescent="0.25">
      <c r="A171" s="8">
        <v>42715.775520833333</v>
      </c>
      <c r="B171" s="21" t="s">
        <v>212</v>
      </c>
      <c r="C171" s="21" t="s">
        <v>623</v>
      </c>
      <c r="D171" s="165">
        <v>2350000</v>
      </c>
      <c r="E171" s="21" t="s">
        <v>562</v>
      </c>
      <c r="F171" s="21" t="s">
        <v>563</v>
      </c>
      <c r="G171" s="8" t="str">
        <f t="shared" si="2"/>
        <v>BERLING GARY</v>
      </c>
    </row>
    <row r="172" spans="1:7" x14ac:dyDescent="0.25">
      <c r="A172" s="8">
        <v>42715.776585648149</v>
      </c>
      <c r="B172" s="21" t="s">
        <v>302</v>
      </c>
      <c r="C172" s="21" t="s">
        <v>477</v>
      </c>
      <c r="D172" s="165">
        <v>1820000</v>
      </c>
      <c r="E172" s="21" t="s">
        <v>584</v>
      </c>
      <c r="F172" s="21" t="s">
        <v>585</v>
      </c>
      <c r="G172" s="8" t="str">
        <f t="shared" si="2"/>
        <v>ADANE ELSHADAY</v>
      </c>
    </row>
    <row r="173" spans="1:7" x14ac:dyDescent="0.25">
      <c r="A173" s="8">
        <v>42715.781840277778</v>
      </c>
      <c r="B173" s="21" t="s">
        <v>272</v>
      </c>
      <c r="C173" s="21" t="s">
        <v>624</v>
      </c>
      <c r="D173" s="165">
        <v>1290000</v>
      </c>
      <c r="E173" s="21" t="s">
        <v>262</v>
      </c>
      <c r="F173" s="21" t="s">
        <v>274</v>
      </c>
      <c r="G173" s="8" t="str">
        <f t="shared" si="2"/>
        <v>COOLAHAN JOHN</v>
      </c>
    </row>
    <row r="174" spans="1:7" x14ac:dyDescent="0.25">
      <c r="A174" s="8">
        <v>42715.783865740741</v>
      </c>
      <c r="B174" s="21" t="s">
        <v>233</v>
      </c>
      <c r="C174" s="21" t="s">
        <v>625</v>
      </c>
      <c r="D174" s="165">
        <v>2040000</v>
      </c>
      <c r="E174" s="21" t="s">
        <v>335</v>
      </c>
      <c r="F174" s="21" t="s">
        <v>336</v>
      </c>
      <c r="G174" s="8" t="str">
        <f t="shared" si="2"/>
        <v>MOSES BRADLEY</v>
      </c>
    </row>
    <row r="175" spans="1:7" x14ac:dyDescent="0.25">
      <c r="A175" s="8">
        <v>42715.786805555559</v>
      </c>
      <c r="B175" s="21" t="s">
        <v>243</v>
      </c>
      <c r="C175" s="21" t="s">
        <v>626</v>
      </c>
      <c r="D175" s="165">
        <v>2020000</v>
      </c>
      <c r="E175" s="21" t="s">
        <v>358</v>
      </c>
      <c r="F175" s="21" t="s">
        <v>274</v>
      </c>
      <c r="G175" s="8" t="str">
        <f t="shared" si="2"/>
        <v>SHOOK JOHN</v>
      </c>
    </row>
    <row r="176" spans="1:7" x14ac:dyDescent="0.25">
      <c r="A176" s="8">
        <v>42715.790324074071</v>
      </c>
      <c r="B176" s="21" t="s">
        <v>235</v>
      </c>
      <c r="C176" s="21" t="s">
        <v>627</v>
      </c>
      <c r="D176" s="165">
        <v>1820000</v>
      </c>
      <c r="E176" s="21" t="s">
        <v>584</v>
      </c>
      <c r="F176" s="21" t="s">
        <v>585</v>
      </c>
      <c r="G176" s="8" t="str">
        <f t="shared" si="2"/>
        <v>ADANE ELSHADAY</v>
      </c>
    </row>
    <row r="177" spans="1:7" x14ac:dyDescent="0.25">
      <c r="A177" s="8">
        <v>42715.792199074072</v>
      </c>
      <c r="B177" s="21" t="s">
        <v>271</v>
      </c>
      <c r="C177" s="21" t="s">
        <v>628</v>
      </c>
      <c r="D177" s="165">
        <v>1180000</v>
      </c>
      <c r="E177" s="21" t="s">
        <v>261</v>
      </c>
      <c r="F177" s="21" t="s">
        <v>277</v>
      </c>
      <c r="G177" s="8" t="str">
        <f t="shared" si="2"/>
        <v>LEVERE CRAIG</v>
      </c>
    </row>
    <row r="178" spans="1:7" x14ac:dyDescent="0.25">
      <c r="A178" s="8">
        <v>42715.792638888888</v>
      </c>
      <c r="B178" s="21" t="s">
        <v>240</v>
      </c>
      <c r="C178" s="21" t="s">
        <v>629</v>
      </c>
      <c r="D178" s="165">
        <v>1810000</v>
      </c>
      <c r="E178" s="21" t="s">
        <v>359</v>
      </c>
      <c r="F178" s="21" t="s">
        <v>279</v>
      </c>
      <c r="G178" s="8" t="str">
        <f t="shared" si="2"/>
        <v>NEWELL JAMES</v>
      </c>
    </row>
    <row r="179" spans="1:7" x14ac:dyDescent="0.25">
      <c r="A179" s="8">
        <v>42715.808344907404</v>
      </c>
      <c r="B179" s="21" t="s">
        <v>282</v>
      </c>
      <c r="C179" s="21" t="s">
        <v>630</v>
      </c>
      <c r="D179" s="165">
        <v>1800000</v>
      </c>
      <c r="E179" s="21" t="s">
        <v>247</v>
      </c>
      <c r="F179" s="21" t="s">
        <v>288</v>
      </c>
      <c r="G179" s="8" t="str">
        <f t="shared" si="2"/>
        <v>CHANDLER KELVIN</v>
      </c>
    </row>
    <row r="180" spans="1:7" x14ac:dyDescent="0.25">
      <c r="A180" s="8">
        <v>42715.808761574073</v>
      </c>
      <c r="B180" s="21" t="s">
        <v>272</v>
      </c>
      <c r="C180" s="21" t="s">
        <v>624</v>
      </c>
      <c r="D180" s="165">
        <v>1290000</v>
      </c>
      <c r="E180" s="21" t="s">
        <v>262</v>
      </c>
      <c r="F180" s="21" t="s">
        <v>274</v>
      </c>
      <c r="G180" s="8" t="str">
        <f t="shared" si="2"/>
        <v>COOLAHAN JOHN</v>
      </c>
    </row>
    <row r="181" spans="1:7" x14ac:dyDescent="0.25">
      <c r="A181" s="8">
        <v>42715.813460648147</v>
      </c>
      <c r="B181" s="21" t="s">
        <v>206</v>
      </c>
      <c r="C181" s="21" t="s">
        <v>631</v>
      </c>
      <c r="D181" s="165">
        <v>2350000</v>
      </c>
      <c r="E181" s="21" t="s">
        <v>562</v>
      </c>
      <c r="F181" s="21" t="s">
        <v>563</v>
      </c>
      <c r="G181" s="8" t="str">
        <f t="shared" si="2"/>
        <v>BERLING GARY</v>
      </c>
    </row>
    <row r="182" spans="1:7" x14ac:dyDescent="0.25">
      <c r="A182" s="8">
        <v>42715.817488425928</v>
      </c>
      <c r="B182" s="21" t="s">
        <v>302</v>
      </c>
      <c r="C182" s="21" t="s">
        <v>478</v>
      </c>
      <c r="D182" s="165">
        <v>1820000</v>
      </c>
      <c r="E182" s="21" t="s">
        <v>584</v>
      </c>
      <c r="F182" s="21" t="s">
        <v>585</v>
      </c>
      <c r="G182" s="8" t="str">
        <f t="shared" si="2"/>
        <v>ADANE ELSHADAY</v>
      </c>
    </row>
    <row r="183" spans="1:7" x14ac:dyDescent="0.25">
      <c r="A183" s="8">
        <v>42715.819039351853</v>
      </c>
      <c r="B183" s="21" t="s">
        <v>184</v>
      </c>
      <c r="C183" s="21" t="s">
        <v>632</v>
      </c>
      <c r="D183" s="165">
        <v>1290000</v>
      </c>
      <c r="E183" s="21" t="s">
        <v>262</v>
      </c>
      <c r="F183" s="21" t="s">
        <v>274</v>
      </c>
      <c r="G183" s="8" t="str">
        <f t="shared" si="2"/>
        <v>COOLAHAN JOHN</v>
      </c>
    </row>
    <row r="184" spans="1:7" x14ac:dyDescent="0.25">
      <c r="A184" s="8">
        <v>42715.823958333334</v>
      </c>
      <c r="B184" s="21" t="s">
        <v>183</v>
      </c>
      <c r="C184" s="21" t="s">
        <v>626</v>
      </c>
      <c r="D184" s="165">
        <v>2020000</v>
      </c>
      <c r="E184" s="21" t="s">
        <v>358</v>
      </c>
      <c r="F184" s="21" t="s">
        <v>274</v>
      </c>
      <c r="G184" s="8" t="str">
        <f t="shared" si="2"/>
        <v>SHOOK JOHN</v>
      </c>
    </row>
    <row r="185" spans="1:7" x14ac:dyDescent="0.25">
      <c r="A185" s="8">
        <v>42715.824097222219</v>
      </c>
      <c r="B185" s="21" t="s">
        <v>268</v>
      </c>
      <c r="C185" s="21" t="s">
        <v>480</v>
      </c>
      <c r="D185" s="165">
        <v>1180000</v>
      </c>
      <c r="E185" s="21" t="s">
        <v>261</v>
      </c>
      <c r="F185" s="21" t="s">
        <v>277</v>
      </c>
      <c r="G185" s="8" t="str">
        <f t="shared" si="2"/>
        <v>LEVERE CRAIG</v>
      </c>
    </row>
    <row r="186" spans="1:7" x14ac:dyDescent="0.25">
      <c r="A186" s="8">
        <v>42715.824560185189</v>
      </c>
      <c r="B186" s="21" t="s">
        <v>183</v>
      </c>
      <c r="C186" s="21" t="s">
        <v>633</v>
      </c>
      <c r="D186" s="165">
        <v>2020000</v>
      </c>
      <c r="E186" s="21" t="s">
        <v>358</v>
      </c>
      <c r="F186" s="21" t="s">
        <v>274</v>
      </c>
      <c r="G186" s="8" t="str">
        <f t="shared" si="2"/>
        <v>SHOOK JOHN</v>
      </c>
    </row>
    <row r="187" spans="1:7" x14ac:dyDescent="0.25">
      <c r="A187" s="8">
        <v>42715.829664351855</v>
      </c>
      <c r="B187" s="21" t="s">
        <v>239</v>
      </c>
      <c r="C187" s="21" t="s">
        <v>634</v>
      </c>
      <c r="D187" s="165">
        <v>1810000</v>
      </c>
      <c r="E187" s="21" t="s">
        <v>359</v>
      </c>
      <c r="F187" s="21" t="s">
        <v>279</v>
      </c>
      <c r="G187" s="8" t="str">
        <f t="shared" si="2"/>
        <v>NEWELL JAMES</v>
      </c>
    </row>
    <row r="188" spans="1:7" x14ac:dyDescent="0.25">
      <c r="A188" s="8">
        <v>42715.834675925929</v>
      </c>
      <c r="B188" s="21" t="s">
        <v>235</v>
      </c>
      <c r="C188" s="21" t="s">
        <v>479</v>
      </c>
      <c r="D188" s="165">
        <v>1820000</v>
      </c>
      <c r="E188" s="21" t="s">
        <v>584</v>
      </c>
      <c r="F188" s="21" t="s">
        <v>585</v>
      </c>
      <c r="G188" s="8" t="str">
        <f t="shared" si="2"/>
        <v>ADANE ELSHADAY</v>
      </c>
    </row>
    <row r="189" spans="1:7" x14ac:dyDescent="0.25">
      <c r="A189" s="8">
        <v>42715.850185185183</v>
      </c>
      <c r="B189" s="21" t="s">
        <v>272</v>
      </c>
      <c r="C189" s="21" t="s">
        <v>635</v>
      </c>
      <c r="D189" s="165">
        <v>1290000</v>
      </c>
      <c r="E189" s="21" t="s">
        <v>262</v>
      </c>
      <c r="F189" s="21" t="s">
        <v>274</v>
      </c>
      <c r="G189" s="8" t="str">
        <f t="shared" si="2"/>
        <v>COOLAHAN JOHN</v>
      </c>
    </row>
    <row r="190" spans="1:7" x14ac:dyDescent="0.25">
      <c r="A190" s="8">
        <v>42715.853252314817</v>
      </c>
      <c r="B190" s="21" t="s">
        <v>285</v>
      </c>
      <c r="C190" s="21" t="s">
        <v>636</v>
      </c>
      <c r="D190" s="165">
        <v>1800000</v>
      </c>
      <c r="E190" s="21" t="s">
        <v>247</v>
      </c>
      <c r="F190" s="21" t="s">
        <v>288</v>
      </c>
      <c r="G190" s="8" t="str">
        <f t="shared" si="2"/>
        <v>CHANDLER KELVIN</v>
      </c>
    </row>
    <row r="191" spans="1:7" x14ac:dyDescent="0.25">
      <c r="A191" s="8">
        <v>42715.860520833332</v>
      </c>
      <c r="B191" s="21" t="s">
        <v>302</v>
      </c>
      <c r="C191" s="21" t="s">
        <v>637</v>
      </c>
      <c r="D191" s="165">
        <v>1820000</v>
      </c>
      <c r="E191" s="21" t="s">
        <v>584</v>
      </c>
      <c r="F191" s="21" t="s">
        <v>585</v>
      </c>
      <c r="G191" s="8" t="str">
        <f t="shared" si="2"/>
        <v>ADANE ELSHADAY</v>
      </c>
    </row>
    <row r="192" spans="1:7" x14ac:dyDescent="0.25">
      <c r="A192" s="8">
        <v>42715.865856481483</v>
      </c>
      <c r="B192" s="21" t="s">
        <v>240</v>
      </c>
      <c r="C192" s="21" t="s">
        <v>638</v>
      </c>
      <c r="D192" s="165">
        <v>2540000</v>
      </c>
      <c r="E192" s="21" t="s">
        <v>639</v>
      </c>
      <c r="F192" s="21" t="s">
        <v>640</v>
      </c>
      <c r="G192" s="8" t="str">
        <f t="shared" si="2"/>
        <v>MCREYNOLDS KYLE</v>
      </c>
    </row>
    <row r="193" spans="1:7" x14ac:dyDescent="0.25">
      <c r="A193" s="8">
        <v>42715.870451388888</v>
      </c>
      <c r="B193" s="21" t="s">
        <v>271</v>
      </c>
      <c r="C193" s="21" t="s">
        <v>641</v>
      </c>
      <c r="D193" s="165">
        <v>1180000</v>
      </c>
      <c r="E193" s="21" t="s">
        <v>261</v>
      </c>
      <c r="F193" s="21" t="s">
        <v>277</v>
      </c>
      <c r="G193" s="8" t="str">
        <f t="shared" si="2"/>
        <v>LEVERE CRAIG</v>
      </c>
    </row>
    <row r="194" spans="1:7" x14ac:dyDescent="0.25">
      <c r="A194" s="8">
        <v>42715.874259259261</v>
      </c>
      <c r="B194" s="21" t="s">
        <v>235</v>
      </c>
      <c r="C194" s="21" t="s">
        <v>481</v>
      </c>
      <c r="D194" s="165">
        <v>1820000</v>
      </c>
      <c r="E194" s="21" t="s">
        <v>584</v>
      </c>
      <c r="F194" s="21" t="s">
        <v>585</v>
      </c>
      <c r="G194" s="8" t="str">
        <f t="shared" si="2"/>
        <v>ADANE ELSHADAY</v>
      </c>
    </row>
    <row r="195" spans="1:7" x14ac:dyDescent="0.25">
      <c r="A195" s="8">
        <v>42715.888969907406</v>
      </c>
      <c r="B195" s="21" t="s">
        <v>184</v>
      </c>
      <c r="C195" s="21" t="s">
        <v>642</v>
      </c>
      <c r="D195" s="165">
        <v>2550000</v>
      </c>
      <c r="E195" s="21" t="s">
        <v>215</v>
      </c>
      <c r="F195" s="21" t="s">
        <v>388</v>
      </c>
      <c r="G195" s="8" t="str">
        <f t="shared" ref="G195:G258" si="3">E195&amp;" "&amp;F195</f>
        <v>BADERTSCHER DIANE</v>
      </c>
    </row>
    <row r="196" spans="1:7" x14ac:dyDescent="0.25">
      <c r="A196" s="8">
        <v>42715.890740740739</v>
      </c>
      <c r="B196" s="21" t="s">
        <v>282</v>
      </c>
      <c r="C196" s="21" t="s">
        <v>643</v>
      </c>
      <c r="D196" s="165">
        <v>1800000</v>
      </c>
      <c r="E196" s="21" t="s">
        <v>247</v>
      </c>
      <c r="F196" s="21" t="s">
        <v>288</v>
      </c>
      <c r="G196" s="8" t="str">
        <f t="shared" si="3"/>
        <v>CHANDLER KELVIN</v>
      </c>
    </row>
    <row r="197" spans="1:7" x14ac:dyDescent="0.25">
      <c r="A197" s="8">
        <v>42715.904594907406</v>
      </c>
      <c r="B197" s="21" t="s">
        <v>302</v>
      </c>
      <c r="C197" s="21" t="s">
        <v>482</v>
      </c>
      <c r="D197" s="165">
        <v>1820000</v>
      </c>
      <c r="E197" s="21" t="s">
        <v>584</v>
      </c>
      <c r="F197" s="21" t="s">
        <v>585</v>
      </c>
      <c r="G197" s="8" t="str">
        <f t="shared" si="3"/>
        <v>ADANE ELSHADAY</v>
      </c>
    </row>
    <row r="198" spans="1:7" x14ac:dyDescent="0.25">
      <c r="A198" s="8">
        <v>42715.907083333332</v>
      </c>
      <c r="B198" s="21" t="s">
        <v>239</v>
      </c>
      <c r="C198" s="21" t="s">
        <v>644</v>
      </c>
      <c r="D198" s="165">
        <v>2540000</v>
      </c>
      <c r="E198" s="21" t="s">
        <v>639</v>
      </c>
      <c r="F198" s="21" t="s">
        <v>640</v>
      </c>
      <c r="G198" s="8" t="str">
        <f t="shared" si="3"/>
        <v>MCREYNOLDS KYLE</v>
      </c>
    </row>
    <row r="199" spans="1:7" x14ac:dyDescent="0.25">
      <c r="A199" s="8">
        <v>42715.90829861111</v>
      </c>
      <c r="B199" s="21" t="s">
        <v>268</v>
      </c>
      <c r="C199" s="21" t="s">
        <v>645</v>
      </c>
      <c r="D199" s="165">
        <v>1180000</v>
      </c>
      <c r="E199" s="21" t="s">
        <v>261</v>
      </c>
      <c r="F199" s="21" t="s">
        <v>277</v>
      </c>
      <c r="G199" s="8" t="str">
        <f t="shared" si="3"/>
        <v>LEVERE CRAIG</v>
      </c>
    </row>
    <row r="200" spans="1:7" x14ac:dyDescent="0.25">
      <c r="A200" s="8">
        <v>42715.921018518522</v>
      </c>
      <c r="B200" s="21" t="s">
        <v>235</v>
      </c>
      <c r="C200" s="21" t="s">
        <v>646</v>
      </c>
      <c r="D200" s="165">
        <v>1820000</v>
      </c>
      <c r="E200" s="21" t="s">
        <v>584</v>
      </c>
      <c r="F200" s="21" t="s">
        <v>585</v>
      </c>
      <c r="G200" s="8" t="str">
        <f t="shared" si="3"/>
        <v>ADANE ELSHADAY</v>
      </c>
    </row>
    <row r="201" spans="1:7" x14ac:dyDescent="0.25">
      <c r="A201" s="8">
        <v>42715.931689814817</v>
      </c>
      <c r="B201" s="21" t="s">
        <v>272</v>
      </c>
      <c r="C201" s="21" t="s">
        <v>647</v>
      </c>
      <c r="D201" s="165">
        <v>2550000</v>
      </c>
      <c r="E201" s="21" t="s">
        <v>215</v>
      </c>
      <c r="F201" s="21" t="s">
        <v>388</v>
      </c>
      <c r="G201" s="8" t="str">
        <f t="shared" si="3"/>
        <v>BADERTSCHER DIANE</v>
      </c>
    </row>
    <row r="202" spans="1:7" x14ac:dyDescent="0.25">
      <c r="A202" s="27">
        <v>42715.935856481483</v>
      </c>
      <c r="B202" s="21" t="s">
        <v>285</v>
      </c>
      <c r="C202" s="21" t="s">
        <v>648</v>
      </c>
      <c r="D202" s="165">
        <v>1800000</v>
      </c>
      <c r="E202" s="21" t="s">
        <v>247</v>
      </c>
      <c r="F202" s="21" t="s">
        <v>288</v>
      </c>
      <c r="G202" s="8" t="str">
        <f t="shared" si="3"/>
        <v>CHANDLER KELVIN</v>
      </c>
    </row>
    <row r="203" spans="1:7" x14ac:dyDescent="0.25">
      <c r="A203" s="8">
        <v>42715.943761574075</v>
      </c>
      <c r="B203" s="21" t="s">
        <v>302</v>
      </c>
      <c r="C203" s="21" t="s">
        <v>649</v>
      </c>
      <c r="D203" s="165">
        <v>1820000</v>
      </c>
      <c r="E203" s="21" t="s">
        <v>584</v>
      </c>
      <c r="F203" s="21" t="s">
        <v>585</v>
      </c>
      <c r="G203" s="8" t="str">
        <f t="shared" si="3"/>
        <v>ADANE ELSHADAY</v>
      </c>
    </row>
    <row r="204" spans="1:7" x14ac:dyDescent="0.25">
      <c r="A204" s="8">
        <v>42715.952094907407</v>
      </c>
      <c r="B204" s="21" t="s">
        <v>271</v>
      </c>
      <c r="C204" s="21" t="s">
        <v>650</v>
      </c>
      <c r="D204" s="165">
        <v>1180000</v>
      </c>
      <c r="E204" s="21" t="s">
        <v>261</v>
      </c>
      <c r="F204" s="21" t="s">
        <v>277</v>
      </c>
      <c r="G204" s="8" t="str">
        <f t="shared" si="3"/>
        <v>LEVERE CRAIG</v>
      </c>
    </row>
    <row r="205" spans="1:7" x14ac:dyDescent="0.25">
      <c r="A205" s="8">
        <v>42715.954282407409</v>
      </c>
      <c r="B205" s="21" t="s">
        <v>240</v>
      </c>
      <c r="C205" s="21" t="s">
        <v>651</v>
      </c>
      <c r="D205" s="165">
        <v>2540000</v>
      </c>
      <c r="E205" s="21" t="s">
        <v>639</v>
      </c>
      <c r="F205" s="21" t="s">
        <v>640</v>
      </c>
      <c r="G205" s="8" t="str">
        <f t="shared" si="3"/>
        <v>MCREYNOLDS KYLE</v>
      </c>
    </row>
    <row r="206" spans="1:7" x14ac:dyDescent="0.25">
      <c r="A206" s="8">
        <v>42715.974988425929</v>
      </c>
      <c r="B206" s="21" t="s">
        <v>282</v>
      </c>
      <c r="C206" s="21" t="s">
        <v>652</v>
      </c>
      <c r="D206" s="165">
        <v>1800000</v>
      </c>
      <c r="E206" s="21" t="s">
        <v>247</v>
      </c>
      <c r="F206" s="21" t="s">
        <v>288</v>
      </c>
      <c r="G206" s="8" t="str">
        <f t="shared" si="3"/>
        <v>CHANDLER KELVIN</v>
      </c>
    </row>
    <row r="207" spans="1:7" x14ac:dyDescent="0.25">
      <c r="A207" s="8">
        <v>42715.976087962961</v>
      </c>
      <c r="B207" s="21" t="s">
        <v>184</v>
      </c>
      <c r="C207" s="21" t="s">
        <v>483</v>
      </c>
      <c r="D207" s="165">
        <v>1290000</v>
      </c>
      <c r="E207" s="21" t="s">
        <v>262</v>
      </c>
      <c r="F207" s="21" t="s">
        <v>274</v>
      </c>
      <c r="G207" s="8" t="str">
        <f t="shared" si="3"/>
        <v>COOLAHAN JOHN</v>
      </c>
    </row>
    <row r="208" spans="1:7" x14ac:dyDescent="0.25">
      <c r="A208" s="8">
        <v>42715.99386574074</v>
      </c>
      <c r="B208" s="21" t="s">
        <v>239</v>
      </c>
      <c r="C208" s="21" t="s">
        <v>653</v>
      </c>
      <c r="D208" s="165">
        <v>1810000</v>
      </c>
      <c r="E208" s="21" t="s">
        <v>359</v>
      </c>
      <c r="F208" s="21" t="s">
        <v>279</v>
      </c>
      <c r="G208" s="8" t="str">
        <f t="shared" si="3"/>
        <v>NEWELL JAMES</v>
      </c>
    </row>
    <row r="209" spans="1:7" x14ac:dyDescent="0.25">
      <c r="A209" s="8">
        <v>42715.994085648148</v>
      </c>
      <c r="B209" s="21" t="s">
        <v>268</v>
      </c>
      <c r="C209" s="21" t="s">
        <v>484</v>
      </c>
      <c r="D209" s="165">
        <v>1180000</v>
      </c>
      <c r="E209" s="21" t="s">
        <v>261</v>
      </c>
      <c r="F209" s="21" t="s">
        <v>277</v>
      </c>
      <c r="G209" s="8" t="str">
        <f t="shared" si="3"/>
        <v>LEVERE CRAIG</v>
      </c>
    </row>
    <row r="210" spans="1:7" x14ac:dyDescent="0.25">
      <c r="A210" s="8">
        <v>42716.012303240743</v>
      </c>
      <c r="B210" s="21" t="s">
        <v>272</v>
      </c>
      <c r="C210" s="21" t="s">
        <v>654</v>
      </c>
      <c r="D210" s="165">
        <v>1290000</v>
      </c>
      <c r="E210" s="21" t="s">
        <v>262</v>
      </c>
      <c r="F210" s="21" t="s">
        <v>274</v>
      </c>
      <c r="G210" s="8" t="str">
        <f t="shared" si="3"/>
        <v>COOLAHAN JOHN</v>
      </c>
    </row>
    <row r="211" spans="1:7" x14ac:dyDescent="0.25">
      <c r="A211" s="8">
        <v>42716.02070601852</v>
      </c>
      <c r="B211" s="21" t="s">
        <v>285</v>
      </c>
      <c r="C211" s="21" t="s">
        <v>655</v>
      </c>
      <c r="D211" s="165">
        <v>1800000</v>
      </c>
      <c r="E211" s="21" t="s">
        <v>247</v>
      </c>
      <c r="F211" s="21" t="s">
        <v>288</v>
      </c>
      <c r="G211" s="8" t="str">
        <f t="shared" si="3"/>
        <v>CHANDLER KELVIN</v>
      </c>
    </row>
    <row r="212" spans="1:7" x14ac:dyDescent="0.25">
      <c r="A212" s="8">
        <v>42716.030555555553</v>
      </c>
      <c r="B212" s="21" t="s">
        <v>240</v>
      </c>
      <c r="C212" s="21" t="s">
        <v>485</v>
      </c>
      <c r="D212" s="165">
        <v>1810000</v>
      </c>
      <c r="E212" s="21" t="s">
        <v>359</v>
      </c>
      <c r="F212" s="21" t="s">
        <v>279</v>
      </c>
      <c r="G212" s="8" t="str">
        <f t="shared" si="3"/>
        <v>NEWELL JAMES</v>
      </c>
    </row>
    <row r="213" spans="1:7" x14ac:dyDescent="0.25">
      <c r="A213" s="8">
        <v>42716.032870370371</v>
      </c>
      <c r="B213" s="21" t="s">
        <v>271</v>
      </c>
      <c r="C213" s="21" t="s">
        <v>656</v>
      </c>
      <c r="D213" s="165">
        <v>1180000</v>
      </c>
      <c r="E213" s="21" t="s">
        <v>261</v>
      </c>
      <c r="F213" s="21" t="s">
        <v>277</v>
      </c>
      <c r="G213" s="8" t="str">
        <f t="shared" si="3"/>
        <v>LEVERE CRAIG</v>
      </c>
    </row>
    <row r="214" spans="1:7" x14ac:dyDescent="0.25">
      <c r="A214" s="8">
        <v>42716.050312500003</v>
      </c>
      <c r="B214" s="21" t="s">
        <v>184</v>
      </c>
      <c r="C214" s="21" t="s">
        <v>657</v>
      </c>
      <c r="D214" s="165">
        <v>1290000</v>
      </c>
      <c r="E214" s="21" t="s">
        <v>262</v>
      </c>
      <c r="F214" s="21" t="s">
        <v>274</v>
      </c>
      <c r="G214" s="8" t="str">
        <f t="shared" si="3"/>
        <v>COOLAHAN JOHN</v>
      </c>
    </row>
    <row r="215" spans="1:7" x14ac:dyDescent="0.25">
      <c r="A215" s="8">
        <v>42716.05190972222</v>
      </c>
      <c r="B215" s="21" t="s">
        <v>184</v>
      </c>
      <c r="C215" s="21" t="s">
        <v>657</v>
      </c>
      <c r="D215" s="165">
        <v>1290000</v>
      </c>
      <c r="E215" s="21" t="s">
        <v>262</v>
      </c>
      <c r="F215" s="21" t="s">
        <v>274</v>
      </c>
      <c r="G215" s="8" t="str">
        <f t="shared" si="3"/>
        <v>COOLAHAN JOHN</v>
      </c>
    </row>
    <row r="216" spans="1:7" x14ac:dyDescent="0.25">
      <c r="A216" s="8">
        <v>42716.058125000003</v>
      </c>
      <c r="B216" s="21" t="s">
        <v>282</v>
      </c>
      <c r="C216" s="21" t="s">
        <v>658</v>
      </c>
      <c r="D216" s="165">
        <v>1800000</v>
      </c>
      <c r="E216" s="21" t="s">
        <v>247</v>
      </c>
      <c r="F216" s="21" t="s">
        <v>288</v>
      </c>
      <c r="G216" s="8" t="str">
        <f t="shared" si="3"/>
        <v>CHANDLER KELVIN</v>
      </c>
    </row>
    <row r="217" spans="1:7" x14ac:dyDescent="0.25">
      <c r="A217" s="8">
        <v>42716.072106481479</v>
      </c>
      <c r="B217" s="21" t="s">
        <v>239</v>
      </c>
      <c r="C217" s="21" t="s">
        <v>659</v>
      </c>
      <c r="D217" s="165">
        <v>1810000</v>
      </c>
      <c r="E217" s="21" t="s">
        <v>359</v>
      </c>
      <c r="F217" s="21" t="s">
        <v>279</v>
      </c>
      <c r="G217" s="8" t="str">
        <f t="shared" si="3"/>
        <v>NEWELL JAMES</v>
      </c>
    </row>
    <row r="218" spans="1:7" x14ac:dyDescent="0.25">
      <c r="A218" s="8">
        <v>42716.092361111114</v>
      </c>
      <c r="B218" s="21" t="s">
        <v>285</v>
      </c>
      <c r="C218" s="21" t="s">
        <v>660</v>
      </c>
      <c r="D218" s="165">
        <v>1800000</v>
      </c>
      <c r="E218" s="21" t="s">
        <v>247</v>
      </c>
      <c r="F218" s="21" t="s">
        <v>288</v>
      </c>
      <c r="G218" s="8" t="str">
        <f t="shared" si="3"/>
        <v>CHANDLER KELVIN</v>
      </c>
    </row>
    <row r="219" spans="1:7" x14ac:dyDescent="0.25">
      <c r="A219" s="8">
        <v>42716.093634259261</v>
      </c>
      <c r="B219" s="21" t="s">
        <v>285</v>
      </c>
      <c r="C219" s="21" t="s">
        <v>660</v>
      </c>
      <c r="D219" s="165">
        <v>1800000</v>
      </c>
      <c r="E219" s="21" t="s">
        <v>247</v>
      </c>
      <c r="F219" s="21" t="s">
        <v>288</v>
      </c>
      <c r="G219" s="8" t="str">
        <f t="shared" si="3"/>
        <v>CHANDLER KELVIN</v>
      </c>
    </row>
    <row r="220" spans="1:7" x14ac:dyDescent="0.25">
      <c r="A220" s="8">
        <v>42711.971956018519</v>
      </c>
      <c r="B220" s="21" t="s">
        <v>243</v>
      </c>
      <c r="C220" s="21" t="s">
        <v>337</v>
      </c>
      <c r="D220" s="165">
        <v>1290000</v>
      </c>
      <c r="E220" s="21" t="s">
        <v>262</v>
      </c>
      <c r="F220" s="21" t="s">
        <v>274</v>
      </c>
      <c r="G220" s="8" t="str">
        <f t="shared" si="3"/>
        <v>COOLAHAN JOHN</v>
      </c>
    </row>
    <row r="221" spans="1:7" x14ac:dyDescent="0.25">
      <c r="A221" s="8">
        <v>42711.994189814817</v>
      </c>
      <c r="B221" s="21" t="s">
        <v>272</v>
      </c>
      <c r="C221" s="21" t="s">
        <v>338</v>
      </c>
      <c r="D221" s="165">
        <v>2000000</v>
      </c>
      <c r="E221" s="21" t="s">
        <v>211</v>
      </c>
      <c r="F221" s="21" t="s">
        <v>279</v>
      </c>
      <c r="G221" s="8" t="str">
        <f t="shared" si="3"/>
        <v>STAMBAUGH JAMES</v>
      </c>
    </row>
    <row r="222" spans="1:7" x14ac:dyDescent="0.25">
      <c r="A222" s="8">
        <v>42711.996365740742</v>
      </c>
      <c r="B222" s="21" t="s">
        <v>233</v>
      </c>
      <c r="C222" s="21" t="s">
        <v>339</v>
      </c>
      <c r="D222" s="165">
        <v>1300000</v>
      </c>
      <c r="E222" s="21" t="s">
        <v>113</v>
      </c>
      <c r="F222" s="21" t="s">
        <v>278</v>
      </c>
      <c r="G222" s="8" t="str">
        <f t="shared" si="3"/>
        <v>LEVIN SCOTT</v>
      </c>
    </row>
    <row r="223" spans="1:7" x14ac:dyDescent="0.25">
      <c r="A223" s="8">
        <v>42712.015729166669</v>
      </c>
      <c r="B223" s="21" t="s">
        <v>297</v>
      </c>
      <c r="C223" s="21" t="s">
        <v>340</v>
      </c>
      <c r="D223" s="165">
        <v>1230000</v>
      </c>
      <c r="E223" s="21" t="s">
        <v>265</v>
      </c>
      <c r="F223" s="21" t="s">
        <v>275</v>
      </c>
      <c r="G223" s="8" t="str">
        <f t="shared" si="3"/>
        <v>YANAI IAN</v>
      </c>
    </row>
    <row r="224" spans="1:7" x14ac:dyDescent="0.25">
      <c r="A224" s="8">
        <v>42712.018240740741</v>
      </c>
      <c r="B224" t="s">
        <v>183</v>
      </c>
      <c r="C224" t="s">
        <v>341</v>
      </c>
      <c r="D224" s="165">
        <v>1290000</v>
      </c>
      <c r="E224" t="s">
        <v>262</v>
      </c>
      <c r="F224" s="21" t="s">
        <v>274</v>
      </c>
      <c r="G224" s="8" t="str">
        <f t="shared" si="3"/>
        <v>COOLAHAN JOHN</v>
      </c>
    </row>
    <row r="225" spans="1:7" x14ac:dyDescent="0.25">
      <c r="A225" s="8">
        <v>42712.026701388888</v>
      </c>
      <c r="B225" t="s">
        <v>184</v>
      </c>
      <c r="C225" t="s">
        <v>342</v>
      </c>
      <c r="D225" s="165">
        <v>2000000</v>
      </c>
      <c r="E225" t="s">
        <v>211</v>
      </c>
      <c r="F225" s="21" t="s">
        <v>279</v>
      </c>
      <c r="G225" s="8" t="str">
        <f t="shared" si="3"/>
        <v>STAMBAUGH JAMES</v>
      </c>
    </row>
    <row r="226" spans="1:7" x14ac:dyDescent="0.25">
      <c r="A226" s="8">
        <v>42712.030902777777</v>
      </c>
      <c r="B226" t="s">
        <v>246</v>
      </c>
      <c r="C226" t="s">
        <v>343</v>
      </c>
      <c r="D226" s="165">
        <v>1300000</v>
      </c>
      <c r="E226" t="s">
        <v>113</v>
      </c>
      <c r="F226" s="21" t="s">
        <v>278</v>
      </c>
      <c r="G226" s="8" t="str">
        <f t="shared" si="3"/>
        <v>LEVIN SCOTT</v>
      </c>
    </row>
    <row r="227" spans="1:7" x14ac:dyDescent="0.25">
      <c r="A227" s="8">
        <v>42712.039756944447</v>
      </c>
      <c r="B227" t="s">
        <v>183</v>
      </c>
      <c r="C227" t="s">
        <v>341</v>
      </c>
      <c r="D227" s="165">
        <v>1290000</v>
      </c>
      <c r="E227" t="s">
        <v>262</v>
      </c>
      <c r="F227" s="21" t="s">
        <v>274</v>
      </c>
      <c r="G227" s="8" t="str">
        <f t="shared" si="3"/>
        <v>COOLAHAN JOHN</v>
      </c>
    </row>
    <row r="228" spans="1:7" x14ac:dyDescent="0.25">
      <c r="A228" s="8">
        <v>42712.048078703701</v>
      </c>
      <c r="B228" t="s">
        <v>260</v>
      </c>
      <c r="C228" t="s">
        <v>344</v>
      </c>
      <c r="D228" s="165">
        <v>1230000</v>
      </c>
      <c r="E228" t="s">
        <v>265</v>
      </c>
      <c r="F228" s="21" t="s">
        <v>275</v>
      </c>
      <c r="G228" s="8" t="str">
        <f t="shared" si="3"/>
        <v>YANAI IAN</v>
      </c>
    </row>
    <row r="229" spans="1:7" x14ac:dyDescent="0.25">
      <c r="A229" s="8">
        <v>42712.048773148148</v>
      </c>
      <c r="B229" t="s">
        <v>260</v>
      </c>
      <c r="C229" t="s">
        <v>344</v>
      </c>
      <c r="D229" s="165">
        <v>1230000</v>
      </c>
      <c r="E229" t="s">
        <v>265</v>
      </c>
      <c r="F229" s="21" t="s">
        <v>275</v>
      </c>
      <c r="G229" s="8" t="str">
        <f t="shared" si="3"/>
        <v>YANAI IAN</v>
      </c>
    </row>
    <row r="230" spans="1:7" x14ac:dyDescent="0.25">
      <c r="A230" s="8">
        <v>42712.054328703707</v>
      </c>
      <c r="B230" t="s">
        <v>243</v>
      </c>
      <c r="C230" t="s">
        <v>345</v>
      </c>
      <c r="D230" s="165">
        <v>1290000</v>
      </c>
      <c r="E230" t="s">
        <v>262</v>
      </c>
      <c r="F230" s="21" t="s">
        <v>274</v>
      </c>
      <c r="G230" s="8" t="str">
        <f t="shared" si="3"/>
        <v>COOLAHAN JOHN</v>
      </c>
    </row>
    <row r="231" spans="1:7" x14ac:dyDescent="0.25">
      <c r="A231" s="8">
        <v>42712.068402777775</v>
      </c>
      <c r="B231" t="s">
        <v>233</v>
      </c>
      <c r="C231" t="s">
        <v>346</v>
      </c>
      <c r="D231" s="165">
        <v>1300000</v>
      </c>
      <c r="E231" t="s">
        <v>113</v>
      </c>
      <c r="F231" s="21" t="s">
        <v>278</v>
      </c>
      <c r="G231" s="8" t="str">
        <f t="shared" si="3"/>
        <v>LEVIN SCOTT</v>
      </c>
    </row>
    <row r="232" spans="1:7" x14ac:dyDescent="0.25">
      <c r="A232" s="8">
        <v>42712.089166666665</v>
      </c>
      <c r="B232" t="s">
        <v>183</v>
      </c>
      <c r="C232" t="s">
        <v>347</v>
      </c>
      <c r="D232" s="165">
        <v>1290000</v>
      </c>
      <c r="E232" t="s">
        <v>262</v>
      </c>
      <c r="F232" s="21" t="s">
        <v>274</v>
      </c>
      <c r="G232" s="8" t="str">
        <f t="shared" si="3"/>
        <v>COOLAHAN JOHN</v>
      </c>
    </row>
    <row r="233" spans="1:7" x14ac:dyDescent="0.25">
      <c r="A233" s="8">
        <v>42710.900254629632</v>
      </c>
      <c r="B233" t="s">
        <v>243</v>
      </c>
      <c r="C233" t="s">
        <v>303</v>
      </c>
      <c r="D233" s="165">
        <v>2000000</v>
      </c>
      <c r="E233" t="s">
        <v>211</v>
      </c>
      <c r="F233" s="21" t="s">
        <v>279</v>
      </c>
      <c r="G233" s="8" t="str">
        <f t="shared" si="3"/>
        <v>STAMBAUGH JAMES</v>
      </c>
    </row>
    <row r="234" spans="1:7" x14ac:dyDescent="0.25">
      <c r="A234" s="8">
        <v>42710.906898148147</v>
      </c>
      <c r="B234" t="s">
        <v>268</v>
      </c>
      <c r="C234" t="s">
        <v>307</v>
      </c>
      <c r="D234" s="165">
        <v>1180000</v>
      </c>
      <c r="E234" t="s">
        <v>261</v>
      </c>
      <c r="F234" s="21" t="s">
        <v>277</v>
      </c>
      <c r="G234" s="8" t="str">
        <f t="shared" si="3"/>
        <v>LEVERE CRAIG</v>
      </c>
    </row>
    <row r="235" spans="1:7" x14ac:dyDescent="0.25">
      <c r="A235" s="8">
        <v>42710.914652777778</v>
      </c>
      <c r="B235" t="s">
        <v>183</v>
      </c>
      <c r="C235" t="s">
        <v>308</v>
      </c>
      <c r="D235" s="165">
        <v>2000000</v>
      </c>
      <c r="E235" t="s">
        <v>211</v>
      </c>
      <c r="F235" s="21" t="s">
        <v>279</v>
      </c>
      <c r="G235" s="8" t="str">
        <f t="shared" si="3"/>
        <v>STAMBAUGH JAMES</v>
      </c>
    </row>
    <row r="236" spans="1:7" x14ac:dyDescent="0.25">
      <c r="A236" s="8">
        <v>42710.931018518517</v>
      </c>
      <c r="B236" t="s">
        <v>282</v>
      </c>
      <c r="C236" t="s">
        <v>309</v>
      </c>
      <c r="D236" s="165">
        <v>1290000</v>
      </c>
      <c r="E236" t="s">
        <v>262</v>
      </c>
      <c r="F236" s="21" t="s">
        <v>274</v>
      </c>
      <c r="G236" s="8" t="str">
        <f t="shared" si="3"/>
        <v>COOLAHAN JOHN</v>
      </c>
    </row>
    <row r="237" spans="1:7" x14ac:dyDescent="0.25">
      <c r="A237" s="8">
        <v>42710.933738425927</v>
      </c>
      <c r="B237" t="s">
        <v>206</v>
      </c>
      <c r="C237" t="s">
        <v>310</v>
      </c>
      <c r="D237" s="165">
        <v>1800000</v>
      </c>
      <c r="E237" t="s">
        <v>247</v>
      </c>
      <c r="F237" s="21" t="s">
        <v>288</v>
      </c>
      <c r="G237" s="8" t="str">
        <f t="shared" si="3"/>
        <v>CHANDLER KELVIN</v>
      </c>
    </row>
    <row r="238" spans="1:7" x14ac:dyDescent="0.25">
      <c r="A238" s="8">
        <v>42710.942199074074</v>
      </c>
      <c r="B238" t="s">
        <v>243</v>
      </c>
      <c r="C238" t="s">
        <v>311</v>
      </c>
      <c r="D238" s="165">
        <v>2000000</v>
      </c>
      <c r="E238" t="s">
        <v>211</v>
      </c>
      <c r="F238" s="21" t="s">
        <v>279</v>
      </c>
      <c r="G238" s="8" t="str">
        <f t="shared" si="3"/>
        <v>STAMBAUGH JAMES</v>
      </c>
    </row>
    <row r="239" spans="1:7" x14ac:dyDescent="0.25">
      <c r="A239" s="8">
        <v>42710.943599537037</v>
      </c>
      <c r="B239" t="s">
        <v>283</v>
      </c>
      <c r="C239" t="s">
        <v>312</v>
      </c>
      <c r="D239" s="165">
        <v>1230000</v>
      </c>
      <c r="E239" t="s">
        <v>265</v>
      </c>
      <c r="F239" s="21" t="s">
        <v>275</v>
      </c>
      <c r="G239" s="8" t="str">
        <f t="shared" si="3"/>
        <v>YANAI IAN</v>
      </c>
    </row>
    <row r="240" spans="1:7" x14ac:dyDescent="0.25">
      <c r="A240" s="8">
        <v>42710.949293981481</v>
      </c>
      <c r="B240" t="s">
        <v>271</v>
      </c>
      <c r="C240" t="s">
        <v>313</v>
      </c>
      <c r="D240" s="165">
        <v>1180000</v>
      </c>
      <c r="E240" t="s">
        <v>261</v>
      </c>
      <c r="F240" s="21" t="s">
        <v>277</v>
      </c>
      <c r="G240" s="8" t="str">
        <f t="shared" si="3"/>
        <v>LEVERE CRAIG</v>
      </c>
    </row>
    <row r="241" spans="1:7" x14ac:dyDescent="0.25">
      <c r="A241" s="8">
        <v>42710.973136574074</v>
      </c>
      <c r="B241" t="s">
        <v>212</v>
      </c>
      <c r="C241" t="s">
        <v>314</v>
      </c>
      <c r="D241" s="165">
        <v>1800000</v>
      </c>
      <c r="E241" t="s">
        <v>247</v>
      </c>
      <c r="F241" s="21" t="s">
        <v>288</v>
      </c>
      <c r="G241" s="8" t="str">
        <f t="shared" si="3"/>
        <v>CHANDLER KELVIN</v>
      </c>
    </row>
    <row r="242" spans="1:7" x14ac:dyDescent="0.25">
      <c r="A242" s="8">
        <v>42710.976597222223</v>
      </c>
      <c r="B242" t="s">
        <v>285</v>
      </c>
      <c r="C242" t="s">
        <v>315</v>
      </c>
      <c r="D242" s="165">
        <v>1290000</v>
      </c>
      <c r="E242" t="s">
        <v>262</v>
      </c>
      <c r="F242" s="21" t="s">
        <v>274</v>
      </c>
      <c r="G242" s="8" t="str">
        <f t="shared" si="3"/>
        <v>COOLAHAN JOHN</v>
      </c>
    </row>
    <row r="243" spans="1:7" x14ac:dyDescent="0.25">
      <c r="A243" s="8">
        <v>42710.986574074072</v>
      </c>
      <c r="B243" t="s">
        <v>284</v>
      </c>
      <c r="C243" t="s">
        <v>304</v>
      </c>
      <c r="D243" s="165">
        <v>1230000</v>
      </c>
      <c r="E243" t="s">
        <v>265</v>
      </c>
      <c r="F243" s="21" t="s">
        <v>275</v>
      </c>
      <c r="G243" s="8" t="str">
        <f t="shared" si="3"/>
        <v>YANAI IAN</v>
      </c>
    </row>
    <row r="244" spans="1:7" x14ac:dyDescent="0.25">
      <c r="A244" s="8">
        <v>42710.993564814817</v>
      </c>
      <c r="B244" t="s">
        <v>268</v>
      </c>
      <c r="C244" t="s">
        <v>316</v>
      </c>
      <c r="D244" s="165">
        <v>1180000</v>
      </c>
      <c r="E244" t="s">
        <v>261</v>
      </c>
      <c r="F244" s="21" t="s">
        <v>277</v>
      </c>
      <c r="G244" s="8" t="str">
        <f t="shared" si="3"/>
        <v>LEVERE CRAIG</v>
      </c>
    </row>
    <row r="245" spans="1:7" x14ac:dyDescent="0.25">
      <c r="A245" s="8">
        <v>42711.01425925926</v>
      </c>
      <c r="B245" t="s">
        <v>282</v>
      </c>
      <c r="C245" t="s">
        <v>305</v>
      </c>
      <c r="D245" s="165">
        <v>1290000</v>
      </c>
      <c r="E245" t="s">
        <v>262</v>
      </c>
      <c r="F245" s="21" t="s">
        <v>274</v>
      </c>
      <c r="G245" s="8" t="str">
        <f t="shared" si="3"/>
        <v>COOLAHAN JOHN</v>
      </c>
    </row>
    <row r="246" spans="1:7" x14ac:dyDescent="0.25">
      <c r="A246" s="8">
        <v>42711.019074074073</v>
      </c>
      <c r="B246" t="s">
        <v>206</v>
      </c>
      <c r="C246" t="s">
        <v>317</v>
      </c>
      <c r="D246" s="165">
        <v>1800000</v>
      </c>
      <c r="E246" t="s">
        <v>247</v>
      </c>
      <c r="F246" s="21" t="s">
        <v>288</v>
      </c>
      <c r="G246" s="8" t="str">
        <f t="shared" si="3"/>
        <v>CHANDLER KELVIN</v>
      </c>
    </row>
    <row r="247" spans="1:7" x14ac:dyDescent="0.25">
      <c r="A247" s="8">
        <v>42711.031099537038</v>
      </c>
      <c r="B247" t="s">
        <v>283</v>
      </c>
      <c r="C247" t="s">
        <v>306</v>
      </c>
      <c r="D247" s="165">
        <v>1230000</v>
      </c>
      <c r="E247" t="s">
        <v>265</v>
      </c>
      <c r="F247" s="21" t="s">
        <v>275</v>
      </c>
      <c r="G247" s="8" t="str">
        <f t="shared" si="3"/>
        <v>YANAI IAN</v>
      </c>
    </row>
    <row r="248" spans="1:7" x14ac:dyDescent="0.25">
      <c r="A248" s="8">
        <v>42711.03497685185</v>
      </c>
      <c r="B248" t="s">
        <v>271</v>
      </c>
      <c r="C248" t="s">
        <v>318</v>
      </c>
      <c r="D248" s="165">
        <v>1180000</v>
      </c>
      <c r="E248" t="s">
        <v>261</v>
      </c>
      <c r="F248" s="21" t="s">
        <v>277</v>
      </c>
      <c r="G248" s="8" t="str">
        <f t="shared" si="3"/>
        <v>LEVERE CRAIG</v>
      </c>
    </row>
    <row r="249" spans="1:7" x14ac:dyDescent="0.25">
      <c r="A249" s="8">
        <v>42711.048715277779</v>
      </c>
      <c r="B249" t="s">
        <v>285</v>
      </c>
      <c r="C249" t="s">
        <v>319</v>
      </c>
      <c r="D249" s="165">
        <v>1290000</v>
      </c>
      <c r="E249" t="s">
        <v>262</v>
      </c>
      <c r="F249" s="21" t="s">
        <v>274</v>
      </c>
      <c r="G249" s="8" t="str">
        <f t="shared" si="3"/>
        <v>COOLAHAN JOHN</v>
      </c>
    </row>
    <row r="250" spans="1:7" x14ac:dyDescent="0.25">
      <c r="A250" s="8">
        <v>42711.05877314815</v>
      </c>
      <c r="B250" t="s">
        <v>212</v>
      </c>
      <c r="C250" t="s">
        <v>320</v>
      </c>
      <c r="D250" s="165">
        <v>1800000</v>
      </c>
      <c r="E250" t="s">
        <v>247</v>
      </c>
      <c r="F250" s="21" t="s">
        <v>288</v>
      </c>
      <c r="G250" s="8" t="str">
        <f t="shared" si="3"/>
        <v>CHANDLER KELVIN</v>
      </c>
    </row>
    <row r="251" spans="1:7" x14ac:dyDescent="0.25">
      <c r="A251" s="8">
        <v>42711.068078703705</v>
      </c>
      <c r="B251" t="s">
        <v>284</v>
      </c>
      <c r="C251" t="s">
        <v>321</v>
      </c>
      <c r="D251" s="165">
        <v>1230000</v>
      </c>
      <c r="E251" t="s">
        <v>265</v>
      </c>
      <c r="F251" s="21" t="s">
        <v>275</v>
      </c>
      <c r="G251" s="8" t="str">
        <f t="shared" si="3"/>
        <v>YANAI IAN</v>
      </c>
    </row>
    <row r="252" spans="1:7" x14ac:dyDescent="0.25">
      <c r="A252" s="8">
        <v>42711.082199074073</v>
      </c>
      <c r="B252" t="s">
        <v>212</v>
      </c>
      <c r="C252" t="s">
        <v>320</v>
      </c>
      <c r="D252" s="165">
        <v>1800000</v>
      </c>
      <c r="E252" t="s">
        <v>247</v>
      </c>
      <c r="F252" s="21" t="s">
        <v>288</v>
      </c>
      <c r="G252" s="8" t="str">
        <f t="shared" si="3"/>
        <v>CHANDLER KELVIN</v>
      </c>
    </row>
    <row r="253" spans="1:7" x14ac:dyDescent="0.25">
      <c r="A253" s="8">
        <v>42711.093726851854</v>
      </c>
      <c r="B253" t="s">
        <v>206</v>
      </c>
      <c r="C253" t="s">
        <v>186</v>
      </c>
      <c r="D253" s="165">
        <v>1800000</v>
      </c>
      <c r="E253" t="s">
        <v>247</v>
      </c>
      <c r="F253" s="21" t="s">
        <v>288</v>
      </c>
      <c r="G253" s="8" t="str">
        <f t="shared" si="3"/>
        <v>CHANDLER KELVIN</v>
      </c>
    </row>
    <row r="254" spans="1:7" x14ac:dyDescent="0.25">
      <c r="A254" s="8">
        <v>42700.045347222222</v>
      </c>
      <c r="B254" t="s">
        <v>235</v>
      </c>
      <c r="C254" t="s">
        <v>251</v>
      </c>
      <c r="D254" s="165">
        <v>2630000</v>
      </c>
      <c r="E254" t="s">
        <v>242</v>
      </c>
      <c r="F254" s="21" t="str">
        <f t="shared" ref="F254:F265" si="4">B254</f>
        <v>rtdc.l.rtdc.4046:itc</v>
      </c>
      <c r="G254" s="8" t="str">
        <f t="shared" si="3"/>
        <v>SAFIEF rtdc.l.rtdc.4046:itc</v>
      </c>
    </row>
    <row r="255" spans="1:7" x14ac:dyDescent="0.25">
      <c r="A255" s="8">
        <v>42700.053495370368</v>
      </c>
      <c r="B255" t="s">
        <v>240</v>
      </c>
      <c r="C255" t="s">
        <v>252</v>
      </c>
      <c r="D255" s="165">
        <v>2000000</v>
      </c>
      <c r="E255" t="s">
        <v>211</v>
      </c>
      <c r="F255" s="21" t="str">
        <f t="shared" si="4"/>
        <v>rtdc.l.rtdc.4041:itc</v>
      </c>
      <c r="G255" s="8" t="str">
        <f t="shared" si="3"/>
        <v>STAMBAUGH rtdc.l.rtdc.4041:itc</v>
      </c>
    </row>
    <row r="256" spans="1:7" x14ac:dyDescent="0.25">
      <c r="A256" s="8">
        <v>42700.064895833333</v>
      </c>
      <c r="B256" t="s">
        <v>154</v>
      </c>
      <c r="C256" t="s">
        <v>249</v>
      </c>
      <c r="D256" s="165">
        <v>2530000</v>
      </c>
      <c r="E256" t="s">
        <v>248</v>
      </c>
      <c r="F256" s="21" t="str">
        <f t="shared" si="4"/>
        <v>rtdc.l.rtdc.4051:itc</v>
      </c>
      <c r="G256" s="8" t="str">
        <f t="shared" si="3"/>
        <v>LALONDE rtdc.l.rtdc.4051:itc</v>
      </c>
    </row>
    <row r="257" spans="1:7" x14ac:dyDescent="0.25">
      <c r="A257" s="8">
        <v>42700.072881944441</v>
      </c>
      <c r="B257" t="s">
        <v>228</v>
      </c>
      <c r="C257" t="s">
        <v>253</v>
      </c>
      <c r="D257" s="165">
        <v>1800000</v>
      </c>
      <c r="E257" t="s">
        <v>247</v>
      </c>
      <c r="F257" s="21" t="str">
        <f t="shared" si="4"/>
        <v>rtdc.l.rtdc.4014:itc</v>
      </c>
      <c r="G257" s="8" t="str">
        <f t="shared" si="3"/>
        <v>CHANDLER rtdc.l.rtdc.4014:itc</v>
      </c>
    </row>
    <row r="258" spans="1:7" x14ac:dyDescent="0.25">
      <c r="A258" s="8">
        <v>42700.07576388889</v>
      </c>
      <c r="B258" t="s">
        <v>209</v>
      </c>
      <c r="C258" t="s">
        <v>254</v>
      </c>
      <c r="D258" s="165">
        <v>2600000</v>
      </c>
      <c r="E258" t="s">
        <v>241</v>
      </c>
      <c r="F258" s="21" t="str">
        <f t="shared" si="4"/>
        <v>rtdc.l.rtdc.4039:itc</v>
      </c>
      <c r="G258" s="8" t="str">
        <f t="shared" si="3"/>
        <v>DAVIDSON rtdc.l.rtdc.4039:itc</v>
      </c>
    </row>
    <row r="259" spans="1:7" x14ac:dyDescent="0.25">
      <c r="A259" s="8">
        <v>42700.083275462966</v>
      </c>
      <c r="B259" t="s">
        <v>155</v>
      </c>
      <c r="C259" t="s">
        <v>250</v>
      </c>
      <c r="D259" s="165">
        <v>2530000</v>
      </c>
      <c r="E259" t="s">
        <v>248</v>
      </c>
      <c r="F259" s="21" t="str">
        <f t="shared" si="4"/>
        <v>rtdc.l.rtdc.4052:itc</v>
      </c>
      <c r="G259" s="8" t="str">
        <f t="shared" ref="G259:G322" si="5">E259&amp;" "&amp;F259</f>
        <v>LALONDE rtdc.l.rtdc.4052:itc</v>
      </c>
    </row>
    <row r="260" spans="1:7" x14ac:dyDescent="0.25">
      <c r="A260" s="8">
        <v>42700.08734953704</v>
      </c>
      <c r="B260" t="s">
        <v>239</v>
      </c>
      <c r="C260" t="s">
        <v>255</v>
      </c>
      <c r="D260" s="165">
        <v>2000000</v>
      </c>
      <c r="E260" t="s">
        <v>211</v>
      </c>
      <c r="F260" s="21" t="str">
        <f t="shared" si="4"/>
        <v>rtdc.l.rtdc.4042:itc</v>
      </c>
      <c r="G260" s="8" t="str">
        <f t="shared" si="5"/>
        <v>STAMBAUGH rtdc.l.rtdc.4042:itc</v>
      </c>
    </row>
    <row r="261" spans="1:7" x14ac:dyDescent="0.25">
      <c r="A261" s="8">
        <v>42700.106736111113</v>
      </c>
      <c r="B261" t="s">
        <v>154</v>
      </c>
      <c r="C261" t="s">
        <v>249</v>
      </c>
      <c r="D261" s="165">
        <v>2530000</v>
      </c>
      <c r="E261" t="s">
        <v>248</v>
      </c>
      <c r="F261" s="21" t="str">
        <f t="shared" si="4"/>
        <v>rtdc.l.rtdc.4051:itc</v>
      </c>
      <c r="G261" s="8" t="str">
        <f t="shared" si="5"/>
        <v>LALONDE rtdc.l.rtdc.4051:itc</v>
      </c>
    </row>
    <row r="262" spans="1:7" x14ac:dyDescent="0.25">
      <c r="A262" s="8">
        <v>42700.111076388886</v>
      </c>
      <c r="B262" t="s">
        <v>208</v>
      </c>
      <c r="C262" t="s">
        <v>256</v>
      </c>
      <c r="D262" s="165">
        <v>2600000</v>
      </c>
      <c r="E262" t="s">
        <v>241</v>
      </c>
      <c r="F262" s="21" t="str">
        <f t="shared" si="4"/>
        <v>rtdc.l.rtdc.4040:itc</v>
      </c>
      <c r="G262" s="8" t="str">
        <f t="shared" si="5"/>
        <v>DAVIDSON rtdc.l.rtdc.4040:itc</v>
      </c>
    </row>
    <row r="263" spans="1:7" x14ac:dyDescent="0.25">
      <c r="A263" s="8">
        <v>42685.016226851854</v>
      </c>
      <c r="B263" t="s">
        <v>206</v>
      </c>
      <c r="C263" t="s">
        <v>220</v>
      </c>
      <c r="D263" s="165">
        <v>2000000</v>
      </c>
      <c r="E263" t="s">
        <v>211</v>
      </c>
      <c r="F263" s="21" t="str">
        <f t="shared" si="4"/>
        <v>rtdc.l.rtdc.4011:itc</v>
      </c>
      <c r="G263" s="8" t="str">
        <f t="shared" si="5"/>
        <v>STAMBAUGH rtdc.l.rtdc.4011:itc</v>
      </c>
    </row>
    <row r="264" spans="1:7" x14ac:dyDescent="0.25">
      <c r="A264" s="8">
        <v>42685.029282407406</v>
      </c>
      <c r="B264" t="s">
        <v>216</v>
      </c>
      <c r="C264" t="s">
        <v>221</v>
      </c>
      <c r="D264" s="165">
        <v>2550000</v>
      </c>
      <c r="E264" t="s">
        <v>215</v>
      </c>
      <c r="F264" s="21" t="str">
        <f t="shared" si="4"/>
        <v>rtdc.l.rtdc.4022:itc</v>
      </c>
      <c r="G264" s="8" t="str">
        <f t="shared" si="5"/>
        <v>BADERTSCHER rtdc.l.rtdc.4022:itc</v>
      </c>
    </row>
    <row r="265" spans="1:7" x14ac:dyDescent="0.25">
      <c r="A265" s="8">
        <v>42685.039282407408</v>
      </c>
      <c r="B265" t="s">
        <v>219</v>
      </c>
      <c r="C265" t="s">
        <v>222</v>
      </c>
      <c r="D265" s="165">
        <v>1300000</v>
      </c>
      <c r="E265" t="s">
        <v>113</v>
      </c>
      <c r="F265" s="21" t="str">
        <f t="shared" si="4"/>
        <v>rtdc.l.rtdc.4037:itc</v>
      </c>
      <c r="G265" s="8" t="str">
        <f t="shared" si="5"/>
        <v>LEVIN rtdc.l.rtdc.4037:itc</v>
      </c>
    </row>
    <row r="266" spans="1:7" x14ac:dyDescent="0.25">
      <c r="A266" s="8">
        <v>42685.049375000002</v>
      </c>
      <c r="B266" t="s">
        <v>214</v>
      </c>
      <c r="C266" t="s">
        <v>223</v>
      </c>
      <c r="D266" s="165">
        <v>2420000</v>
      </c>
      <c r="E266" t="s">
        <v>217</v>
      </c>
      <c r="F266" s="21" t="str">
        <f t="shared" ref="F266:F281" si="6">B266</f>
        <v>rtdc.l.rtdc.4002:itc</v>
      </c>
      <c r="G266" s="8" t="str">
        <f t="shared" si="5"/>
        <v>HOLCOMB rtdc.l.rtdc.4002:itc</v>
      </c>
    </row>
    <row r="267" spans="1:7" x14ac:dyDescent="0.25">
      <c r="A267" s="8">
        <v>42685.056481481479</v>
      </c>
      <c r="B267" t="s">
        <v>212</v>
      </c>
      <c r="C267" t="s">
        <v>224</v>
      </c>
      <c r="D267" s="165">
        <v>2000000</v>
      </c>
      <c r="E267" t="s">
        <v>211</v>
      </c>
      <c r="F267" s="21" t="str">
        <f t="shared" si="6"/>
        <v>rtdc.l.rtdc.4012:itc</v>
      </c>
      <c r="G267" s="8" t="str">
        <f t="shared" si="5"/>
        <v>STAMBAUGH rtdc.l.rtdc.4012:itc</v>
      </c>
    </row>
    <row r="268" spans="1:7" x14ac:dyDescent="0.25">
      <c r="A268" s="8">
        <v>42685.071712962963</v>
      </c>
      <c r="B268" t="s">
        <v>218</v>
      </c>
      <c r="C268" t="s">
        <v>225</v>
      </c>
      <c r="D268" s="165">
        <v>1300000</v>
      </c>
      <c r="E268" t="s">
        <v>113</v>
      </c>
      <c r="F268" s="21" t="str">
        <f t="shared" si="6"/>
        <v>rtdc.l.rtdc.4038:itc</v>
      </c>
      <c r="G268" s="8" t="str">
        <f t="shared" si="5"/>
        <v>LEVIN rtdc.l.rtdc.4038:itc</v>
      </c>
    </row>
    <row r="269" spans="1:7" x14ac:dyDescent="0.25">
      <c r="A269" s="8">
        <v>42650.082824074074</v>
      </c>
      <c r="B269" t="s">
        <v>154</v>
      </c>
      <c r="C269" t="s">
        <v>185</v>
      </c>
      <c r="D269" s="165">
        <v>630000</v>
      </c>
      <c r="E269" t="b">
        <v>1</v>
      </c>
      <c r="F269" s="21" t="str">
        <f t="shared" si="6"/>
        <v>rtdc.l.rtdc.4051:itc</v>
      </c>
      <c r="G269" s="8" t="str">
        <f t="shared" si="5"/>
        <v>TRUE rtdc.l.rtdc.4051:itc</v>
      </c>
    </row>
    <row r="270" spans="1:7" x14ac:dyDescent="0.25">
      <c r="A270" s="8">
        <v>42650.090624999997</v>
      </c>
      <c r="B270" t="s">
        <v>183</v>
      </c>
      <c r="C270" t="s">
        <v>186</v>
      </c>
      <c r="D270" s="165">
        <v>1480000</v>
      </c>
      <c r="E270" t="s">
        <v>181</v>
      </c>
      <c r="F270" s="21" t="str">
        <f t="shared" si="6"/>
        <v>rtdc.l.rtdc.4009:itc</v>
      </c>
      <c r="G270" s="8" t="str">
        <f t="shared" si="5"/>
        <v>STURGEON rtdc.l.rtdc.4009:itc</v>
      </c>
    </row>
    <row r="271" spans="1:7" x14ac:dyDescent="0.25">
      <c r="A271" s="8">
        <v>42650.101805555554</v>
      </c>
      <c r="B271" t="s">
        <v>155</v>
      </c>
      <c r="C271" t="s">
        <v>185</v>
      </c>
      <c r="D271" s="165">
        <v>630000</v>
      </c>
      <c r="E271" t="b">
        <v>1</v>
      </c>
      <c r="F271" s="21" t="str">
        <f t="shared" si="6"/>
        <v>rtdc.l.rtdc.4052:itc</v>
      </c>
      <c r="G271" s="8" t="str">
        <f t="shared" si="5"/>
        <v>TRUE rtdc.l.rtdc.4052:itc</v>
      </c>
    </row>
    <row r="272" spans="1:7" x14ac:dyDescent="0.25">
      <c r="A272" s="8">
        <v>42650.102453703701</v>
      </c>
      <c r="B272" t="s">
        <v>155</v>
      </c>
      <c r="C272" t="s">
        <v>185</v>
      </c>
      <c r="D272" s="165">
        <v>630000</v>
      </c>
      <c r="E272" t="b">
        <v>1</v>
      </c>
      <c r="F272" s="21" t="str">
        <f t="shared" si="6"/>
        <v>rtdc.l.rtdc.4052:itc</v>
      </c>
      <c r="G272" s="8" t="str">
        <f t="shared" si="5"/>
        <v>TRUE rtdc.l.rtdc.4052:itc</v>
      </c>
    </row>
    <row r="273" spans="1:7" x14ac:dyDescent="0.25">
      <c r="A273" s="8">
        <v>42650.103645833333</v>
      </c>
      <c r="B273" t="s">
        <v>155</v>
      </c>
      <c r="C273" t="s">
        <v>185</v>
      </c>
      <c r="D273" s="165">
        <v>630000</v>
      </c>
      <c r="E273" t="b">
        <v>1</v>
      </c>
      <c r="F273" s="21" t="str">
        <f t="shared" si="6"/>
        <v>rtdc.l.rtdc.4052:itc</v>
      </c>
      <c r="G273" s="8" t="str">
        <f t="shared" si="5"/>
        <v>TRUE rtdc.l.rtdc.4052:itc</v>
      </c>
    </row>
    <row r="274" spans="1:7" x14ac:dyDescent="0.25">
      <c r="F274" s="21">
        <f t="shared" si="6"/>
        <v>0</v>
      </c>
      <c r="G274" s="8" t="str">
        <f t="shared" si="5"/>
        <v xml:space="preserve"> 0</v>
      </c>
    </row>
    <row r="275" spans="1:7" x14ac:dyDescent="0.25">
      <c r="F275" s="21">
        <f t="shared" si="6"/>
        <v>0</v>
      </c>
      <c r="G275" s="8" t="str">
        <f t="shared" si="5"/>
        <v xml:space="preserve"> 0</v>
      </c>
    </row>
    <row r="276" spans="1:7" x14ac:dyDescent="0.25">
      <c r="F276" s="21">
        <f t="shared" si="6"/>
        <v>0</v>
      </c>
      <c r="G276" s="8" t="str">
        <f t="shared" si="5"/>
        <v xml:space="preserve"> 0</v>
      </c>
    </row>
    <row r="277" spans="1:7" x14ac:dyDescent="0.25">
      <c r="F277" s="21">
        <f t="shared" si="6"/>
        <v>0</v>
      </c>
      <c r="G277" s="8" t="str">
        <f t="shared" si="5"/>
        <v xml:space="preserve"> 0</v>
      </c>
    </row>
    <row r="278" spans="1:7" x14ac:dyDescent="0.25">
      <c r="F278" s="21">
        <f t="shared" si="6"/>
        <v>0</v>
      </c>
      <c r="G278" s="8" t="str">
        <f t="shared" si="5"/>
        <v xml:space="preserve"> 0</v>
      </c>
    </row>
    <row r="279" spans="1:7" x14ac:dyDescent="0.25">
      <c r="F279" s="21">
        <f t="shared" si="6"/>
        <v>0</v>
      </c>
      <c r="G279" s="8" t="str">
        <f t="shared" si="5"/>
        <v xml:space="preserve"> 0</v>
      </c>
    </row>
    <row r="280" spans="1:7" x14ac:dyDescent="0.25">
      <c r="F280" s="21">
        <f t="shared" si="6"/>
        <v>0</v>
      </c>
      <c r="G280" s="8" t="str">
        <f t="shared" si="5"/>
        <v xml:space="preserve"> 0</v>
      </c>
    </row>
    <row r="281" spans="1:7" x14ac:dyDescent="0.25">
      <c r="F281" s="21">
        <f t="shared" si="6"/>
        <v>0</v>
      </c>
      <c r="G281" s="8" t="str">
        <f t="shared" si="5"/>
        <v xml:space="preserve"> 0</v>
      </c>
    </row>
    <row r="282" spans="1:7" x14ac:dyDescent="0.25">
      <c r="F282" s="21">
        <f t="shared" ref="F282:F345" si="7">B282</f>
        <v>0</v>
      </c>
      <c r="G282" s="8" t="str">
        <f t="shared" si="5"/>
        <v xml:space="preserve"> 0</v>
      </c>
    </row>
    <row r="283" spans="1:7" x14ac:dyDescent="0.25">
      <c r="F283" s="21">
        <f t="shared" si="7"/>
        <v>0</v>
      </c>
      <c r="G283" s="8" t="str">
        <f t="shared" si="5"/>
        <v xml:space="preserve"> 0</v>
      </c>
    </row>
    <row r="284" spans="1:7" x14ac:dyDescent="0.25">
      <c r="F284" s="21">
        <f t="shared" si="7"/>
        <v>0</v>
      </c>
      <c r="G284" s="8" t="str">
        <f t="shared" si="5"/>
        <v xml:space="preserve"> 0</v>
      </c>
    </row>
    <row r="285" spans="1:7" x14ac:dyDescent="0.25">
      <c r="F285" s="21">
        <f t="shared" si="7"/>
        <v>0</v>
      </c>
      <c r="G285" s="8" t="str">
        <f t="shared" si="5"/>
        <v xml:space="preserve"> 0</v>
      </c>
    </row>
    <row r="286" spans="1:7" x14ac:dyDescent="0.25">
      <c r="F286" s="21">
        <f t="shared" si="7"/>
        <v>0</v>
      </c>
      <c r="G286" s="8" t="str">
        <f t="shared" si="5"/>
        <v xml:space="preserve"> 0</v>
      </c>
    </row>
    <row r="287" spans="1:7" x14ac:dyDescent="0.25">
      <c r="F287" s="21">
        <f t="shared" si="7"/>
        <v>0</v>
      </c>
      <c r="G287" s="8" t="str">
        <f t="shared" si="5"/>
        <v xml:space="preserve"> 0</v>
      </c>
    </row>
    <row r="288" spans="1:7" x14ac:dyDescent="0.25">
      <c r="F288" s="21">
        <f t="shared" si="7"/>
        <v>0</v>
      </c>
      <c r="G288" s="8" t="str">
        <f t="shared" si="5"/>
        <v xml:space="preserve"> 0</v>
      </c>
    </row>
    <row r="289" spans="6:7" x14ac:dyDescent="0.25">
      <c r="F289" s="21">
        <f t="shared" si="7"/>
        <v>0</v>
      </c>
      <c r="G289" s="8" t="str">
        <f t="shared" si="5"/>
        <v xml:space="preserve"> 0</v>
      </c>
    </row>
    <row r="290" spans="6:7" x14ac:dyDescent="0.25">
      <c r="F290" s="21">
        <f t="shared" si="7"/>
        <v>0</v>
      </c>
      <c r="G290" s="8" t="str">
        <f t="shared" si="5"/>
        <v xml:space="preserve"> 0</v>
      </c>
    </row>
    <row r="291" spans="6:7" x14ac:dyDescent="0.25">
      <c r="F291" s="21">
        <f t="shared" si="7"/>
        <v>0</v>
      </c>
      <c r="G291" s="8" t="str">
        <f t="shared" si="5"/>
        <v xml:space="preserve"> 0</v>
      </c>
    </row>
    <row r="292" spans="6:7" x14ac:dyDescent="0.25">
      <c r="F292" s="21">
        <f t="shared" si="7"/>
        <v>0</v>
      </c>
      <c r="G292" s="8" t="str">
        <f t="shared" si="5"/>
        <v xml:space="preserve"> 0</v>
      </c>
    </row>
    <row r="293" spans="6:7" x14ac:dyDescent="0.25">
      <c r="F293" s="21">
        <f t="shared" si="7"/>
        <v>0</v>
      </c>
      <c r="G293" s="8" t="str">
        <f t="shared" si="5"/>
        <v xml:space="preserve"> 0</v>
      </c>
    </row>
    <row r="294" spans="6:7" x14ac:dyDescent="0.25">
      <c r="F294" s="21">
        <f t="shared" si="7"/>
        <v>0</v>
      </c>
      <c r="G294" s="8" t="str">
        <f t="shared" si="5"/>
        <v xml:space="preserve"> 0</v>
      </c>
    </row>
    <row r="295" spans="6:7" x14ac:dyDescent="0.25">
      <c r="F295" s="21">
        <f t="shared" si="7"/>
        <v>0</v>
      </c>
      <c r="G295" s="8" t="str">
        <f t="shared" si="5"/>
        <v xml:space="preserve"> 0</v>
      </c>
    </row>
    <row r="296" spans="6:7" x14ac:dyDescent="0.25">
      <c r="F296" s="21">
        <f t="shared" si="7"/>
        <v>0</v>
      </c>
      <c r="G296" s="8" t="str">
        <f t="shared" si="5"/>
        <v xml:space="preserve"> 0</v>
      </c>
    </row>
    <row r="297" spans="6:7" x14ac:dyDescent="0.25">
      <c r="F297" s="21">
        <f t="shared" si="7"/>
        <v>0</v>
      </c>
      <c r="G297" s="8" t="str">
        <f t="shared" si="5"/>
        <v xml:space="preserve"> 0</v>
      </c>
    </row>
    <row r="298" spans="6:7" x14ac:dyDescent="0.25">
      <c r="F298" s="21">
        <f t="shared" si="7"/>
        <v>0</v>
      </c>
      <c r="G298" s="8" t="str">
        <f t="shared" si="5"/>
        <v xml:space="preserve"> 0</v>
      </c>
    </row>
    <row r="299" spans="6:7" x14ac:dyDescent="0.25">
      <c r="F299" s="21">
        <f t="shared" si="7"/>
        <v>0</v>
      </c>
      <c r="G299" s="8" t="str">
        <f t="shared" si="5"/>
        <v xml:space="preserve"> 0</v>
      </c>
    </row>
    <row r="300" spans="6:7" x14ac:dyDescent="0.25">
      <c r="F300" s="21">
        <f t="shared" si="7"/>
        <v>0</v>
      </c>
      <c r="G300" s="8" t="str">
        <f t="shared" si="5"/>
        <v xml:space="preserve"> 0</v>
      </c>
    </row>
    <row r="301" spans="6:7" x14ac:dyDescent="0.25">
      <c r="F301" s="21">
        <f t="shared" si="7"/>
        <v>0</v>
      </c>
      <c r="G301" s="8" t="str">
        <f t="shared" si="5"/>
        <v xml:space="preserve"> 0</v>
      </c>
    </row>
    <row r="302" spans="6:7" x14ac:dyDescent="0.25">
      <c r="F302" s="21">
        <f t="shared" si="7"/>
        <v>0</v>
      </c>
      <c r="G302" s="8" t="str">
        <f t="shared" si="5"/>
        <v xml:space="preserve"> 0</v>
      </c>
    </row>
    <row r="303" spans="6:7" x14ac:dyDescent="0.25">
      <c r="F303" s="21">
        <f t="shared" si="7"/>
        <v>0</v>
      </c>
      <c r="G303" s="8" t="str">
        <f t="shared" si="5"/>
        <v xml:space="preserve"> 0</v>
      </c>
    </row>
    <row r="304" spans="6:7" x14ac:dyDescent="0.25">
      <c r="F304" s="21">
        <f t="shared" si="7"/>
        <v>0</v>
      </c>
      <c r="G304" s="8" t="str">
        <f t="shared" si="5"/>
        <v xml:space="preserve"> 0</v>
      </c>
    </row>
    <row r="305" spans="6:7" x14ac:dyDescent="0.25">
      <c r="F305" s="21">
        <f t="shared" si="7"/>
        <v>0</v>
      </c>
      <c r="G305" s="8" t="str">
        <f t="shared" si="5"/>
        <v xml:space="preserve"> 0</v>
      </c>
    </row>
    <row r="306" spans="6:7" x14ac:dyDescent="0.25">
      <c r="F306" s="21">
        <f t="shared" si="7"/>
        <v>0</v>
      </c>
      <c r="G306" s="8" t="str">
        <f t="shared" si="5"/>
        <v xml:space="preserve"> 0</v>
      </c>
    </row>
    <row r="307" spans="6:7" x14ac:dyDescent="0.25">
      <c r="F307" s="21">
        <f t="shared" si="7"/>
        <v>0</v>
      </c>
      <c r="G307" s="8" t="str">
        <f t="shared" si="5"/>
        <v xml:space="preserve"> 0</v>
      </c>
    </row>
    <row r="308" spans="6:7" x14ac:dyDescent="0.25">
      <c r="F308" s="21">
        <f t="shared" si="7"/>
        <v>0</v>
      </c>
      <c r="G308" s="8" t="str">
        <f t="shared" si="5"/>
        <v xml:space="preserve"> 0</v>
      </c>
    </row>
    <row r="309" spans="6:7" x14ac:dyDescent="0.25">
      <c r="F309" s="21">
        <f t="shared" si="7"/>
        <v>0</v>
      </c>
      <c r="G309" s="8" t="str">
        <f t="shared" si="5"/>
        <v xml:space="preserve"> 0</v>
      </c>
    </row>
    <row r="310" spans="6:7" x14ac:dyDescent="0.25">
      <c r="F310" s="21">
        <f t="shared" si="7"/>
        <v>0</v>
      </c>
      <c r="G310" s="8" t="str">
        <f t="shared" si="5"/>
        <v xml:space="preserve"> 0</v>
      </c>
    </row>
    <row r="311" spans="6:7" x14ac:dyDescent="0.25">
      <c r="F311" s="21">
        <f t="shared" si="7"/>
        <v>0</v>
      </c>
      <c r="G311" s="8" t="str">
        <f t="shared" si="5"/>
        <v xml:space="preserve"> 0</v>
      </c>
    </row>
    <row r="312" spans="6:7" x14ac:dyDescent="0.25">
      <c r="F312" s="21">
        <f t="shared" si="7"/>
        <v>0</v>
      </c>
      <c r="G312" s="8" t="str">
        <f t="shared" si="5"/>
        <v xml:space="preserve"> 0</v>
      </c>
    </row>
    <row r="313" spans="6:7" x14ac:dyDescent="0.25">
      <c r="F313" s="21">
        <f t="shared" si="7"/>
        <v>0</v>
      </c>
      <c r="G313" s="8" t="str">
        <f t="shared" si="5"/>
        <v xml:space="preserve"> 0</v>
      </c>
    </row>
    <row r="314" spans="6:7" x14ac:dyDescent="0.25">
      <c r="F314" s="21">
        <f t="shared" si="7"/>
        <v>0</v>
      </c>
      <c r="G314" s="8" t="str">
        <f t="shared" si="5"/>
        <v xml:space="preserve"> 0</v>
      </c>
    </row>
    <row r="315" spans="6:7" x14ac:dyDescent="0.25">
      <c r="F315" s="21">
        <f t="shared" si="7"/>
        <v>0</v>
      </c>
      <c r="G315" s="8" t="str">
        <f t="shared" si="5"/>
        <v xml:space="preserve"> 0</v>
      </c>
    </row>
    <row r="316" spans="6:7" x14ac:dyDescent="0.25">
      <c r="F316" s="21">
        <f t="shared" si="7"/>
        <v>0</v>
      </c>
      <c r="G316" s="8" t="str">
        <f t="shared" si="5"/>
        <v xml:space="preserve"> 0</v>
      </c>
    </row>
    <row r="317" spans="6:7" x14ac:dyDescent="0.25">
      <c r="F317" s="21">
        <f t="shared" si="7"/>
        <v>0</v>
      </c>
      <c r="G317" s="8" t="str">
        <f t="shared" si="5"/>
        <v xml:space="preserve"> 0</v>
      </c>
    </row>
    <row r="318" spans="6:7" x14ac:dyDescent="0.25">
      <c r="F318" s="21">
        <f t="shared" si="7"/>
        <v>0</v>
      </c>
      <c r="G318" s="8" t="str">
        <f t="shared" si="5"/>
        <v xml:space="preserve"> 0</v>
      </c>
    </row>
    <row r="319" spans="6:7" x14ac:dyDescent="0.25">
      <c r="F319" s="21">
        <f t="shared" si="7"/>
        <v>0</v>
      </c>
      <c r="G319" s="8" t="str">
        <f t="shared" si="5"/>
        <v xml:space="preserve"> 0</v>
      </c>
    </row>
    <row r="320" spans="6:7" x14ac:dyDescent="0.25">
      <c r="F320" s="21">
        <f t="shared" si="7"/>
        <v>0</v>
      </c>
      <c r="G320" s="8" t="str">
        <f t="shared" si="5"/>
        <v xml:space="preserve"> 0</v>
      </c>
    </row>
    <row r="321" spans="6:7" x14ac:dyDescent="0.25">
      <c r="F321" s="21">
        <f t="shared" si="7"/>
        <v>0</v>
      </c>
      <c r="G321" s="8" t="str">
        <f t="shared" si="5"/>
        <v xml:space="preserve"> 0</v>
      </c>
    </row>
    <row r="322" spans="6:7" x14ac:dyDescent="0.25">
      <c r="F322" s="21">
        <f t="shared" si="7"/>
        <v>0</v>
      </c>
      <c r="G322" s="8" t="str">
        <f t="shared" si="5"/>
        <v xml:space="preserve"> 0</v>
      </c>
    </row>
    <row r="323" spans="6:7" x14ac:dyDescent="0.25">
      <c r="F323" s="21">
        <f t="shared" si="7"/>
        <v>0</v>
      </c>
      <c r="G323" s="8" t="str">
        <f t="shared" ref="G323:G386" si="8">E323&amp;" "&amp;F323</f>
        <v xml:space="preserve"> 0</v>
      </c>
    </row>
    <row r="324" spans="6:7" x14ac:dyDescent="0.25">
      <c r="F324" s="21">
        <f t="shared" si="7"/>
        <v>0</v>
      </c>
      <c r="G324" s="8" t="str">
        <f t="shared" si="8"/>
        <v xml:space="preserve"> 0</v>
      </c>
    </row>
    <row r="325" spans="6:7" x14ac:dyDescent="0.25">
      <c r="F325" s="21">
        <f t="shared" si="7"/>
        <v>0</v>
      </c>
      <c r="G325" s="8" t="str">
        <f t="shared" si="8"/>
        <v xml:space="preserve"> 0</v>
      </c>
    </row>
    <row r="326" spans="6:7" x14ac:dyDescent="0.25">
      <c r="F326" s="21">
        <f t="shared" si="7"/>
        <v>0</v>
      </c>
      <c r="G326" s="8" t="str">
        <f t="shared" si="8"/>
        <v xml:space="preserve"> 0</v>
      </c>
    </row>
    <row r="327" spans="6:7" x14ac:dyDescent="0.25">
      <c r="F327" s="21">
        <f t="shared" si="7"/>
        <v>0</v>
      </c>
      <c r="G327" s="8" t="str">
        <f t="shared" si="8"/>
        <v xml:space="preserve"> 0</v>
      </c>
    </row>
    <row r="328" spans="6:7" x14ac:dyDescent="0.25">
      <c r="F328" s="21">
        <f t="shared" si="7"/>
        <v>0</v>
      </c>
      <c r="G328" s="8" t="str">
        <f t="shared" si="8"/>
        <v xml:space="preserve"> 0</v>
      </c>
    </row>
    <row r="329" spans="6:7" x14ac:dyDescent="0.25">
      <c r="F329" s="21">
        <f t="shared" si="7"/>
        <v>0</v>
      </c>
      <c r="G329" s="8" t="str">
        <f t="shared" si="8"/>
        <v xml:space="preserve"> 0</v>
      </c>
    </row>
    <row r="330" spans="6:7" x14ac:dyDescent="0.25">
      <c r="F330" s="21">
        <f t="shared" si="7"/>
        <v>0</v>
      </c>
      <c r="G330" s="8" t="str">
        <f t="shared" si="8"/>
        <v xml:space="preserve"> 0</v>
      </c>
    </row>
    <row r="331" spans="6:7" x14ac:dyDescent="0.25">
      <c r="F331" s="21">
        <f t="shared" si="7"/>
        <v>0</v>
      </c>
      <c r="G331" s="8" t="str">
        <f t="shared" si="8"/>
        <v xml:space="preserve"> 0</v>
      </c>
    </row>
    <row r="332" spans="6:7" x14ac:dyDescent="0.25">
      <c r="F332" s="21">
        <f t="shared" si="7"/>
        <v>0</v>
      </c>
      <c r="G332" s="8" t="str">
        <f t="shared" si="8"/>
        <v xml:space="preserve"> 0</v>
      </c>
    </row>
    <row r="333" spans="6:7" x14ac:dyDescent="0.25">
      <c r="F333" s="21">
        <f t="shared" si="7"/>
        <v>0</v>
      </c>
      <c r="G333" s="8" t="str">
        <f t="shared" si="8"/>
        <v xml:space="preserve"> 0</v>
      </c>
    </row>
    <row r="334" spans="6:7" x14ac:dyDescent="0.25">
      <c r="F334" s="21">
        <f t="shared" si="7"/>
        <v>0</v>
      </c>
      <c r="G334" s="8" t="str">
        <f t="shared" si="8"/>
        <v xml:space="preserve"> 0</v>
      </c>
    </row>
    <row r="335" spans="6:7" x14ac:dyDescent="0.25">
      <c r="F335" s="21">
        <f t="shared" si="7"/>
        <v>0</v>
      </c>
      <c r="G335" s="8" t="str">
        <f t="shared" si="8"/>
        <v xml:space="preserve"> 0</v>
      </c>
    </row>
    <row r="336" spans="6:7" x14ac:dyDescent="0.25">
      <c r="F336" s="21">
        <f t="shared" si="7"/>
        <v>0</v>
      </c>
      <c r="G336" s="8" t="str">
        <f t="shared" si="8"/>
        <v xml:space="preserve"> 0</v>
      </c>
    </row>
    <row r="337" spans="6:7" x14ac:dyDescent="0.25">
      <c r="F337" s="21">
        <f t="shared" si="7"/>
        <v>0</v>
      </c>
      <c r="G337" s="8" t="str">
        <f t="shared" si="8"/>
        <v xml:space="preserve"> 0</v>
      </c>
    </row>
    <row r="338" spans="6:7" x14ac:dyDescent="0.25">
      <c r="F338" s="21">
        <f t="shared" si="7"/>
        <v>0</v>
      </c>
      <c r="G338" s="8" t="str">
        <f t="shared" si="8"/>
        <v xml:space="preserve"> 0</v>
      </c>
    </row>
    <row r="339" spans="6:7" x14ac:dyDescent="0.25">
      <c r="F339" s="21">
        <f t="shared" si="7"/>
        <v>0</v>
      </c>
      <c r="G339" s="8" t="str">
        <f t="shared" si="8"/>
        <v xml:space="preserve"> 0</v>
      </c>
    </row>
    <row r="340" spans="6:7" x14ac:dyDescent="0.25">
      <c r="F340" s="21">
        <f t="shared" si="7"/>
        <v>0</v>
      </c>
      <c r="G340" s="8" t="str">
        <f t="shared" si="8"/>
        <v xml:space="preserve"> 0</v>
      </c>
    </row>
    <row r="341" spans="6:7" x14ac:dyDescent="0.25">
      <c r="F341" s="21">
        <f t="shared" si="7"/>
        <v>0</v>
      </c>
      <c r="G341" s="8" t="str">
        <f t="shared" si="8"/>
        <v xml:space="preserve"> 0</v>
      </c>
    </row>
    <row r="342" spans="6:7" x14ac:dyDescent="0.25">
      <c r="F342" s="21">
        <f t="shared" si="7"/>
        <v>0</v>
      </c>
      <c r="G342" s="8" t="str">
        <f t="shared" si="8"/>
        <v xml:space="preserve"> 0</v>
      </c>
    </row>
    <row r="343" spans="6:7" x14ac:dyDescent="0.25">
      <c r="F343" s="21">
        <f t="shared" si="7"/>
        <v>0</v>
      </c>
      <c r="G343" s="8" t="str">
        <f t="shared" si="8"/>
        <v xml:space="preserve"> 0</v>
      </c>
    </row>
    <row r="344" spans="6:7" x14ac:dyDescent="0.25">
      <c r="F344" s="21">
        <f t="shared" si="7"/>
        <v>0</v>
      </c>
      <c r="G344" s="8" t="str">
        <f t="shared" si="8"/>
        <v xml:space="preserve"> 0</v>
      </c>
    </row>
    <row r="345" spans="6:7" x14ac:dyDescent="0.25">
      <c r="F345" s="21">
        <f t="shared" si="7"/>
        <v>0</v>
      </c>
      <c r="G345" s="8" t="str">
        <f t="shared" si="8"/>
        <v xml:space="preserve"> 0</v>
      </c>
    </row>
    <row r="346" spans="6:7" x14ac:dyDescent="0.25">
      <c r="F346" s="21">
        <f t="shared" ref="F346:F409" si="9">B346</f>
        <v>0</v>
      </c>
      <c r="G346" s="8" t="str">
        <f t="shared" si="8"/>
        <v xml:space="preserve"> 0</v>
      </c>
    </row>
    <row r="347" spans="6:7" x14ac:dyDescent="0.25">
      <c r="F347" s="21">
        <f t="shared" si="9"/>
        <v>0</v>
      </c>
      <c r="G347" s="8" t="str">
        <f t="shared" si="8"/>
        <v xml:space="preserve"> 0</v>
      </c>
    </row>
    <row r="348" spans="6:7" x14ac:dyDescent="0.25">
      <c r="F348" s="21">
        <f t="shared" si="9"/>
        <v>0</v>
      </c>
      <c r="G348" s="8" t="str">
        <f t="shared" si="8"/>
        <v xml:space="preserve"> 0</v>
      </c>
    </row>
    <row r="349" spans="6:7" x14ac:dyDescent="0.25">
      <c r="F349" s="21">
        <f t="shared" si="9"/>
        <v>0</v>
      </c>
      <c r="G349" s="8" t="str">
        <f t="shared" si="8"/>
        <v xml:space="preserve"> 0</v>
      </c>
    </row>
    <row r="350" spans="6:7" x14ac:dyDescent="0.25">
      <c r="F350" s="21">
        <f t="shared" si="9"/>
        <v>0</v>
      </c>
      <c r="G350" s="8" t="str">
        <f t="shared" si="8"/>
        <v xml:space="preserve"> 0</v>
      </c>
    </row>
    <row r="351" spans="6:7" x14ac:dyDescent="0.25">
      <c r="F351" s="21">
        <f t="shared" si="9"/>
        <v>0</v>
      </c>
      <c r="G351" s="8" t="str">
        <f t="shared" si="8"/>
        <v xml:space="preserve"> 0</v>
      </c>
    </row>
    <row r="352" spans="6:7" x14ac:dyDescent="0.25">
      <c r="F352" s="21">
        <f t="shared" si="9"/>
        <v>0</v>
      </c>
      <c r="G352" s="8" t="str">
        <f t="shared" si="8"/>
        <v xml:space="preserve"> 0</v>
      </c>
    </row>
    <row r="353" spans="6:7" x14ac:dyDescent="0.25">
      <c r="F353" s="21">
        <f t="shared" si="9"/>
        <v>0</v>
      </c>
      <c r="G353" s="8" t="str">
        <f t="shared" si="8"/>
        <v xml:space="preserve"> 0</v>
      </c>
    </row>
    <row r="354" spans="6:7" x14ac:dyDescent="0.25">
      <c r="F354" s="21">
        <f t="shared" si="9"/>
        <v>0</v>
      </c>
      <c r="G354" s="8" t="str">
        <f t="shared" si="8"/>
        <v xml:space="preserve"> 0</v>
      </c>
    </row>
    <row r="355" spans="6:7" x14ac:dyDescent="0.25">
      <c r="F355" s="21">
        <f t="shared" si="9"/>
        <v>0</v>
      </c>
      <c r="G355" s="8" t="str">
        <f t="shared" si="8"/>
        <v xml:space="preserve"> 0</v>
      </c>
    </row>
    <row r="356" spans="6:7" x14ac:dyDescent="0.25">
      <c r="F356" s="21">
        <f t="shared" si="9"/>
        <v>0</v>
      </c>
      <c r="G356" s="8" t="str">
        <f t="shared" si="8"/>
        <v xml:space="preserve"> 0</v>
      </c>
    </row>
    <row r="357" spans="6:7" x14ac:dyDescent="0.25">
      <c r="F357" s="21">
        <f t="shared" si="9"/>
        <v>0</v>
      </c>
      <c r="G357" s="8" t="str">
        <f t="shared" si="8"/>
        <v xml:space="preserve"> 0</v>
      </c>
    </row>
    <row r="358" spans="6:7" x14ac:dyDescent="0.25">
      <c r="F358" s="21">
        <f t="shared" si="9"/>
        <v>0</v>
      </c>
      <c r="G358" s="8" t="str">
        <f t="shared" si="8"/>
        <v xml:space="preserve"> 0</v>
      </c>
    </row>
    <row r="359" spans="6:7" x14ac:dyDescent="0.25">
      <c r="F359" s="21">
        <f t="shared" si="9"/>
        <v>0</v>
      </c>
      <c r="G359" s="8" t="str">
        <f t="shared" si="8"/>
        <v xml:space="preserve"> 0</v>
      </c>
    </row>
    <row r="360" spans="6:7" x14ac:dyDescent="0.25">
      <c r="F360" s="21">
        <f t="shared" si="9"/>
        <v>0</v>
      </c>
      <c r="G360" s="8" t="str">
        <f t="shared" si="8"/>
        <v xml:space="preserve"> 0</v>
      </c>
    </row>
    <row r="361" spans="6:7" x14ac:dyDescent="0.25">
      <c r="F361" s="21">
        <f t="shared" si="9"/>
        <v>0</v>
      </c>
      <c r="G361" s="8" t="str">
        <f t="shared" si="8"/>
        <v xml:space="preserve"> 0</v>
      </c>
    </row>
    <row r="362" spans="6:7" x14ac:dyDescent="0.25">
      <c r="F362" s="21">
        <f t="shared" si="9"/>
        <v>0</v>
      </c>
      <c r="G362" s="8" t="str">
        <f t="shared" si="8"/>
        <v xml:space="preserve"> 0</v>
      </c>
    </row>
    <row r="363" spans="6:7" x14ac:dyDescent="0.25">
      <c r="F363" s="21">
        <f t="shared" si="9"/>
        <v>0</v>
      </c>
      <c r="G363" s="8" t="str">
        <f t="shared" si="8"/>
        <v xml:space="preserve"> 0</v>
      </c>
    </row>
    <row r="364" spans="6:7" x14ac:dyDescent="0.25">
      <c r="F364" s="21">
        <f t="shared" si="9"/>
        <v>0</v>
      </c>
      <c r="G364" s="8" t="str">
        <f t="shared" si="8"/>
        <v xml:space="preserve"> 0</v>
      </c>
    </row>
    <row r="365" spans="6:7" x14ac:dyDescent="0.25">
      <c r="F365" s="21">
        <f t="shared" si="9"/>
        <v>0</v>
      </c>
      <c r="G365" s="8" t="str">
        <f t="shared" si="8"/>
        <v xml:space="preserve"> 0</v>
      </c>
    </row>
    <row r="366" spans="6:7" x14ac:dyDescent="0.25">
      <c r="F366" s="21">
        <f t="shared" si="9"/>
        <v>0</v>
      </c>
      <c r="G366" s="8" t="str">
        <f t="shared" si="8"/>
        <v xml:space="preserve"> 0</v>
      </c>
    </row>
    <row r="367" spans="6:7" x14ac:dyDescent="0.25">
      <c r="F367" s="21">
        <f t="shared" si="9"/>
        <v>0</v>
      </c>
      <c r="G367" s="8" t="str">
        <f t="shared" si="8"/>
        <v xml:space="preserve"> 0</v>
      </c>
    </row>
    <row r="368" spans="6:7" x14ac:dyDescent="0.25">
      <c r="F368" s="21">
        <f t="shared" si="9"/>
        <v>0</v>
      </c>
      <c r="G368" s="8" t="str">
        <f t="shared" si="8"/>
        <v xml:space="preserve"> 0</v>
      </c>
    </row>
    <row r="369" spans="6:7" x14ac:dyDescent="0.25">
      <c r="F369" s="21">
        <f t="shared" si="9"/>
        <v>0</v>
      </c>
      <c r="G369" s="8" t="str">
        <f t="shared" si="8"/>
        <v xml:space="preserve"> 0</v>
      </c>
    </row>
    <row r="370" spans="6:7" x14ac:dyDescent="0.25">
      <c r="F370" s="21">
        <f t="shared" si="9"/>
        <v>0</v>
      </c>
      <c r="G370" s="8" t="str">
        <f t="shared" si="8"/>
        <v xml:space="preserve"> 0</v>
      </c>
    </row>
    <row r="371" spans="6:7" x14ac:dyDescent="0.25">
      <c r="F371" s="21">
        <f t="shared" si="9"/>
        <v>0</v>
      </c>
      <c r="G371" s="8" t="str">
        <f t="shared" si="8"/>
        <v xml:space="preserve"> 0</v>
      </c>
    </row>
    <row r="372" spans="6:7" x14ac:dyDescent="0.25">
      <c r="F372" s="21">
        <f t="shared" si="9"/>
        <v>0</v>
      </c>
      <c r="G372" s="8" t="str">
        <f t="shared" si="8"/>
        <v xml:space="preserve"> 0</v>
      </c>
    </row>
    <row r="373" spans="6:7" x14ac:dyDescent="0.25">
      <c r="F373" s="21">
        <f t="shared" si="9"/>
        <v>0</v>
      </c>
      <c r="G373" s="8" t="str">
        <f t="shared" si="8"/>
        <v xml:space="preserve"> 0</v>
      </c>
    </row>
    <row r="374" spans="6:7" x14ac:dyDescent="0.25">
      <c r="F374" s="21">
        <f t="shared" si="9"/>
        <v>0</v>
      </c>
      <c r="G374" s="8" t="str">
        <f t="shared" si="8"/>
        <v xml:space="preserve"> 0</v>
      </c>
    </row>
    <row r="375" spans="6:7" x14ac:dyDescent="0.25">
      <c r="F375" s="21">
        <f t="shared" si="9"/>
        <v>0</v>
      </c>
      <c r="G375" s="8" t="str">
        <f t="shared" si="8"/>
        <v xml:space="preserve"> 0</v>
      </c>
    </row>
    <row r="376" spans="6:7" x14ac:dyDescent="0.25">
      <c r="F376" s="21">
        <f t="shared" si="9"/>
        <v>0</v>
      </c>
      <c r="G376" s="8" t="str">
        <f t="shared" si="8"/>
        <v xml:space="preserve"> 0</v>
      </c>
    </row>
    <row r="377" spans="6:7" x14ac:dyDescent="0.25">
      <c r="F377" s="21">
        <f t="shared" si="9"/>
        <v>0</v>
      </c>
      <c r="G377" s="8" t="str">
        <f t="shared" si="8"/>
        <v xml:space="preserve"> 0</v>
      </c>
    </row>
    <row r="378" spans="6:7" x14ac:dyDescent="0.25">
      <c r="F378" s="21">
        <f t="shared" si="9"/>
        <v>0</v>
      </c>
      <c r="G378" s="8" t="str">
        <f t="shared" si="8"/>
        <v xml:space="preserve"> 0</v>
      </c>
    </row>
    <row r="379" spans="6:7" x14ac:dyDescent="0.25">
      <c r="F379" s="21">
        <f t="shared" si="9"/>
        <v>0</v>
      </c>
      <c r="G379" s="8" t="str">
        <f t="shared" si="8"/>
        <v xml:space="preserve"> 0</v>
      </c>
    </row>
    <row r="380" spans="6:7" x14ac:dyDescent="0.25">
      <c r="F380" s="21">
        <f t="shared" si="9"/>
        <v>0</v>
      </c>
      <c r="G380" s="8" t="str">
        <f t="shared" si="8"/>
        <v xml:space="preserve"> 0</v>
      </c>
    </row>
    <row r="381" spans="6:7" x14ac:dyDescent="0.25">
      <c r="F381" s="21">
        <f t="shared" si="9"/>
        <v>0</v>
      </c>
      <c r="G381" s="8" t="str">
        <f t="shared" si="8"/>
        <v xml:space="preserve"> 0</v>
      </c>
    </row>
    <row r="382" spans="6:7" x14ac:dyDescent="0.25">
      <c r="F382" s="21">
        <f t="shared" si="9"/>
        <v>0</v>
      </c>
      <c r="G382" s="8" t="str">
        <f t="shared" si="8"/>
        <v xml:space="preserve"> 0</v>
      </c>
    </row>
    <row r="383" spans="6:7" x14ac:dyDescent="0.25">
      <c r="F383" s="21">
        <f t="shared" si="9"/>
        <v>0</v>
      </c>
      <c r="G383" s="8" t="str">
        <f t="shared" si="8"/>
        <v xml:space="preserve"> 0</v>
      </c>
    </row>
    <row r="384" spans="6:7" x14ac:dyDescent="0.25">
      <c r="F384" s="21">
        <f t="shared" si="9"/>
        <v>0</v>
      </c>
      <c r="G384" s="8" t="str">
        <f t="shared" si="8"/>
        <v xml:space="preserve"> 0</v>
      </c>
    </row>
    <row r="385" spans="6:7" x14ac:dyDescent="0.25">
      <c r="F385" s="21">
        <f t="shared" si="9"/>
        <v>0</v>
      </c>
      <c r="G385" s="8" t="str">
        <f t="shared" si="8"/>
        <v xml:space="preserve"> 0</v>
      </c>
    </row>
    <row r="386" spans="6:7" x14ac:dyDescent="0.25">
      <c r="F386" s="21">
        <f t="shared" si="9"/>
        <v>0</v>
      </c>
      <c r="G386" s="8" t="str">
        <f t="shared" si="8"/>
        <v xml:space="preserve"> 0</v>
      </c>
    </row>
    <row r="387" spans="6:7" x14ac:dyDescent="0.25">
      <c r="F387" s="21">
        <f t="shared" si="9"/>
        <v>0</v>
      </c>
      <c r="G387" s="8" t="str">
        <f t="shared" ref="G387:G450" si="10">E387&amp;" "&amp;F387</f>
        <v xml:space="preserve"> 0</v>
      </c>
    </row>
    <row r="388" spans="6:7" x14ac:dyDescent="0.25">
      <c r="F388" s="21">
        <f t="shared" si="9"/>
        <v>0</v>
      </c>
      <c r="G388" s="8" t="str">
        <f t="shared" si="10"/>
        <v xml:space="preserve"> 0</v>
      </c>
    </row>
    <row r="389" spans="6:7" x14ac:dyDescent="0.25">
      <c r="F389" s="21">
        <f t="shared" si="9"/>
        <v>0</v>
      </c>
      <c r="G389" s="8" t="str">
        <f t="shared" si="10"/>
        <v xml:space="preserve"> 0</v>
      </c>
    </row>
    <row r="390" spans="6:7" x14ac:dyDescent="0.25">
      <c r="F390" s="21">
        <f t="shared" si="9"/>
        <v>0</v>
      </c>
      <c r="G390" s="8" t="str">
        <f t="shared" si="10"/>
        <v xml:space="preserve"> 0</v>
      </c>
    </row>
    <row r="391" spans="6:7" x14ac:dyDescent="0.25">
      <c r="F391" s="21">
        <f t="shared" si="9"/>
        <v>0</v>
      </c>
      <c r="G391" s="8" t="str">
        <f t="shared" si="10"/>
        <v xml:space="preserve"> 0</v>
      </c>
    </row>
    <row r="392" spans="6:7" x14ac:dyDescent="0.25">
      <c r="F392" s="21">
        <f t="shared" si="9"/>
        <v>0</v>
      </c>
      <c r="G392" s="8" t="str">
        <f t="shared" si="10"/>
        <v xml:space="preserve"> 0</v>
      </c>
    </row>
    <row r="393" spans="6:7" x14ac:dyDescent="0.25">
      <c r="F393" s="21">
        <f t="shared" si="9"/>
        <v>0</v>
      </c>
      <c r="G393" s="8" t="str">
        <f t="shared" si="10"/>
        <v xml:space="preserve"> 0</v>
      </c>
    </row>
    <row r="394" spans="6:7" x14ac:dyDescent="0.25">
      <c r="F394" s="21">
        <f t="shared" si="9"/>
        <v>0</v>
      </c>
      <c r="G394" s="8" t="str">
        <f t="shared" si="10"/>
        <v xml:space="preserve"> 0</v>
      </c>
    </row>
    <row r="395" spans="6:7" x14ac:dyDescent="0.25">
      <c r="F395" s="21">
        <f t="shared" si="9"/>
        <v>0</v>
      </c>
      <c r="G395" s="8" t="str">
        <f t="shared" si="10"/>
        <v xml:space="preserve"> 0</v>
      </c>
    </row>
    <row r="396" spans="6:7" x14ac:dyDescent="0.25">
      <c r="F396" s="21">
        <f t="shared" si="9"/>
        <v>0</v>
      </c>
      <c r="G396" s="8" t="str">
        <f t="shared" si="10"/>
        <v xml:space="preserve"> 0</v>
      </c>
    </row>
    <row r="397" spans="6:7" x14ac:dyDescent="0.25">
      <c r="F397" s="21">
        <f t="shared" si="9"/>
        <v>0</v>
      </c>
      <c r="G397" s="8" t="str">
        <f t="shared" si="10"/>
        <v xml:space="preserve"> 0</v>
      </c>
    </row>
    <row r="398" spans="6:7" x14ac:dyDescent="0.25">
      <c r="F398" s="21">
        <f t="shared" si="9"/>
        <v>0</v>
      </c>
      <c r="G398" s="8" t="str">
        <f t="shared" si="10"/>
        <v xml:space="preserve"> 0</v>
      </c>
    </row>
    <row r="399" spans="6:7" x14ac:dyDescent="0.25">
      <c r="F399" s="21">
        <f t="shared" si="9"/>
        <v>0</v>
      </c>
      <c r="G399" s="8" t="str">
        <f t="shared" si="10"/>
        <v xml:space="preserve"> 0</v>
      </c>
    </row>
    <row r="400" spans="6:7" x14ac:dyDescent="0.25">
      <c r="F400" s="21">
        <f t="shared" si="9"/>
        <v>0</v>
      </c>
      <c r="G400" s="8" t="str">
        <f t="shared" si="10"/>
        <v xml:space="preserve"> 0</v>
      </c>
    </row>
    <row r="401" spans="6:7" x14ac:dyDescent="0.25">
      <c r="F401" s="21">
        <f t="shared" si="9"/>
        <v>0</v>
      </c>
      <c r="G401" s="8" t="str">
        <f t="shared" si="10"/>
        <v xml:space="preserve"> 0</v>
      </c>
    </row>
    <row r="402" spans="6:7" x14ac:dyDescent="0.25">
      <c r="F402" s="21">
        <f t="shared" si="9"/>
        <v>0</v>
      </c>
      <c r="G402" s="8" t="str">
        <f t="shared" si="10"/>
        <v xml:space="preserve"> 0</v>
      </c>
    </row>
    <row r="403" spans="6:7" x14ac:dyDescent="0.25">
      <c r="F403" s="21">
        <f t="shared" si="9"/>
        <v>0</v>
      </c>
      <c r="G403" s="8" t="str">
        <f t="shared" si="10"/>
        <v xml:space="preserve"> 0</v>
      </c>
    </row>
    <row r="404" spans="6:7" x14ac:dyDescent="0.25">
      <c r="F404" s="21">
        <f t="shared" si="9"/>
        <v>0</v>
      </c>
      <c r="G404" s="8" t="str">
        <f t="shared" si="10"/>
        <v xml:space="preserve"> 0</v>
      </c>
    </row>
    <row r="405" spans="6:7" x14ac:dyDescent="0.25">
      <c r="F405" s="21">
        <f t="shared" si="9"/>
        <v>0</v>
      </c>
      <c r="G405" s="8" t="str">
        <f t="shared" si="10"/>
        <v xml:space="preserve"> 0</v>
      </c>
    </row>
    <row r="406" spans="6:7" x14ac:dyDescent="0.25">
      <c r="F406" s="21">
        <f t="shared" si="9"/>
        <v>0</v>
      </c>
      <c r="G406" s="8" t="str">
        <f t="shared" si="10"/>
        <v xml:space="preserve"> 0</v>
      </c>
    </row>
    <row r="407" spans="6:7" x14ac:dyDescent="0.25">
      <c r="F407" s="21">
        <f t="shared" si="9"/>
        <v>0</v>
      </c>
      <c r="G407" s="8" t="str">
        <f t="shared" si="10"/>
        <v xml:space="preserve"> 0</v>
      </c>
    </row>
    <row r="408" spans="6:7" x14ac:dyDescent="0.25">
      <c r="F408" s="21">
        <f t="shared" si="9"/>
        <v>0</v>
      </c>
      <c r="G408" s="8" t="str">
        <f t="shared" si="10"/>
        <v xml:space="preserve"> 0</v>
      </c>
    </row>
    <row r="409" spans="6:7" x14ac:dyDescent="0.25">
      <c r="F409" s="21">
        <f t="shared" si="9"/>
        <v>0</v>
      </c>
      <c r="G409" s="8" t="str">
        <f t="shared" si="10"/>
        <v xml:space="preserve"> 0</v>
      </c>
    </row>
    <row r="410" spans="6:7" x14ac:dyDescent="0.25">
      <c r="F410" s="21">
        <f t="shared" ref="F410:F473" si="11">B410</f>
        <v>0</v>
      </c>
      <c r="G410" s="8" t="str">
        <f t="shared" si="10"/>
        <v xml:space="preserve"> 0</v>
      </c>
    </row>
    <row r="411" spans="6:7" x14ac:dyDescent="0.25">
      <c r="F411" s="21">
        <f t="shared" si="11"/>
        <v>0</v>
      </c>
      <c r="G411" s="8" t="str">
        <f t="shared" si="10"/>
        <v xml:space="preserve"> 0</v>
      </c>
    </row>
    <row r="412" spans="6:7" x14ac:dyDescent="0.25">
      <c r="F412" s="21">
        <f t="shared" si="11"/>
        <v>0</v>
      </c>
      <c r="G412" s="8" t="str">
        <f t="shared" si="10"/>
        <v xml:space="preserve"> 0</v>
      </c>
    </row>
    <row r="413" spans="6:7" x14ac:dyDescent="0.25">
      <c r="F413" s="21">
        <f t="shared" si="11"/>
        <v>0</v>
      </c>
      <c r="G413" s="8" t="str">
        <f t="shared" si="10"/>
        <v xml:space="preserve"> 0</v>
      </c>
    </row>
    <row r="414" spans="6:7" x14ac:dyDescent="0.25">
      <c r="F414" s="21">
        <f t="shared" si="11"/>
        <v>0</v>
      </c>
      <c r="G414" s="8" t="str">
        <f t="shared" si="10"/>
        <v xml:space="preserve"> 0</v>
      </c>
    </row>
    <row r="415" spans="6:7" x14ac:dyDescent="0.25">
      <c r="F415" s="21">
        <f t="shared" si="11"/>
        <v>0</v>
      </c>
      <c r="G415" s="8" t="str">
        <f t="shared" si="10"/>
        <v xml:space="preserve"> 0</v>
      </c>
    </row>
    <row r="416" spans="6:7" x14ac:dyDescent="0.25">
      <c r="F416" s="21">
        <f t="shared" si="11"/>
        <v>0</v>
      </c>
      <c r="G416" s="8" t="str">
        <f t="shared" si="10"/>
        <v xml:space="preserve"> 0</v>
      </c>
    </row>
    <row r="417" spans="6:7" x14ac:dyDescent="0.25">
      <c r="F417" s="21">
        <f t="shared" si="11"/>
        <v>0</v>
      </c>
      <c r="G417" s="8" t="str">
        <f t="shared" si="10"/>
        <v xml:space="preserve"> 0</v>
      </c>
    </row>
    <row r="418" spans="6:7" x14ac:dyDescent="0.25">
      <c r="F418" s="21">
        <f t="shared" si="11"/>
        <v>0</v>
      </c>
      <c r="G418" s="8" t="str">
        <f t="shared" si="10"/>
        <v xml:space="preserve"> 0</v>
      </c>
    </row>
    <row r="419" spans="6:7" x14ac:dyDescent="0.25">
      <c r="F419" s="21">
        <f t="shared" si="11"/>
        <v>0</v>
      </c>
      <c r="G419" s="8" t="str">
        <f t="shared" si="10"/>
        <v xml:space="preserve"> 0</v>
      </c>
    </row>
    <row r="420" spans="6:7" x14ac:dyDescent="0.25">
      <c r="F420" s="21">
        <f t="shared" si="11"/>
        <v>0</v>
      </c>
      <c r="G420" s="8" t="str">
        <f t="shared" si="10"/>
        <v xml:space="preserve"> 0</v>
      </c>
    </row>
    <row r="421" spans="6:7" x14ac:dyDescent="0.25">
      <c r="F421" s="21">
        <f t="shared" si="11"/>
        <v>0</v>
      </c>
      <c r="G421" s="8" t="str">
        <f t="shared" si="10"/>
        <v xml:space="preserve"> 0</v>
      </c>
    </row>
    <row r="422" spans="6:7" x14ac:dyDescent="0.25">
      <c r="F422" s="21">
        <f t="shared" si="11"/>
        <v>0</v>
      </c>
      <c r="G422" s="8" t="str">
        <f t="shared" si="10"/>
        <v xml:space="preserve"> 0</v>
      </c>
    </row>
    <row r="423" spans="6:7" x14ac:dyDescent="0.25">
      <c r="F423" s="21">
        <f t="shared" si="11"/>
        <v>0</v>
      </c>
      <c r="G423" s="8" t="str">
        <f t="shared" si="10"/>
        <v xml:space="preserve"> 0</v>
      </c>
    </row>
    <row r="424" spans="6:7" x14ac:dyDescent="0.25">
      <c r="F424" s="21">
        <f t="shared" si="11"/>
        <v>0</v>
      </c>
      <c r="G424" s="8" t="str">
        <f t="shared" si="10"/>
        <v xml:space="preserve"> 0</v>
      </c>
    </row>
    <row r="425" spans="6:7" x14ac:dyDescent="0.25">
      <c r="F425" s="21">
        <f t="shared" si="11"/>
        <v>0</v>
      </c>
      <c r="G425" s="8" t="str">
        <f t="shared" si="10"/>
        <v xml:space="preserve"> 0</v>
      </c>
    </row>
    <row r="426" spans="6:7" x14ac:dyDescent="0.25">
      <c r="F426" s="21">
        <f t="shared" si="11"/>
        <v>0</v>
      </c>
      <c r="G426" s="8" t="str">
        <f t="shared" si="10"/>
        <v xml:space="preserve"> 0</v>
      </c>
    </row>
    <row r="427" spans="6:7" x14ac:dyDescent="0.25">
      <c r="F427" s="21">
        <f t="shared" si="11"/>
        <v>0</v>
      </c>
      <c r="G427" s="8" t="str">
        <f t="shared" si="10"/>
        <v xml:space="preserve"> 0</v>
      </c>
    </row>
    <row r="428" spans="6:7" x14ac:dyDescent="0.25">
      <c r="F428" s="21">
        <f t="shared" si="11"/>
        <v>0</v>
      </c>
      <c r="G428" s="8" t="str">
        <f t="shared" si="10"/>
        <v xml:space="preserve"> 0</v>
      </c>
    </row>
    <row r="429" spans="6:7" x14ac:dyDescent="0.25">
      <c r="F429" s="21">
        <f t="shared" si="11"/>
        <v>0</v>
      </c>
      <c r="G429" s="8" t="str">
        <f t="shared" si="10"/>
        <v xml:space="preserve"> 0</v>
      </c>
    </row>
    <row r="430" spans="6:7" x14ac:dyDescent="0.25">
      <c r="F430" s="21">
        <f t="shared" si="11"/>
        <v>0</v>
      </c>
      <c r="G430" s="8" t="str">
        <f t="shared" si="10"/>
        <v xml:space="preserve"> 0</v>
      </c>
    </row>
    <row r="431" spans="6:7" x14ac:dyDescent="0.25">
      <c r="F431" s="21">
        <f t="shared" si="11"/>
        <v>0</v>
      </c>
      <c r="G431" s="8" t="str">
        <f t="shared" si="10"/>
        <v xml:space="preserve"> 0</v>
      </c>
    </row>
    <row r="432" spans="6:7" x14ac:dyDescent="0.25">
      <c r="F432" s="21">
        <f t="shared" si="11"/>
        <v>0</v>
      </c>
      <c r="G432" s="8" t="str">
        <f t="shared" si="10"/>
        <v xml:space="preserve"> 0</v>
      </c>
    </row>
    <row r="433" spans="6:7" x14ac:dyDescent="0.25">
      <c r="F433" s="21">
        <f t="shared" si="11"/>
        <v>0</v>
      </c>
      <c r="G433" s="8" t="str">
        <f t="shared" si="10"/>
        <v xml:space="preserve"> 0</v>
      </c>
    </row>
    <row r="434" spans="6:7" x14ac:dyDescent="0.25">
      <c r="F434" s="21">
        <f t="shared" si="11"/>
        <v>0</v>
      </c>
      <c r="G434" s="8" t="str">
        <f t="shared" si="10"/>
        <v xml:space="preserve"> 0</v>
      </c>
    </row>
    <row r="435" spans="6:7" x14ac:dyDescent="0.25">
      <c r="F435" s="21">
        <f t="shared" si="11"/>
        <v>0</v>
      </c>
      <c r="G435" s="8" t="str">
        <f t="shared" si="10"/>
        <v xml:space="preserve"> 0</v>
      </c>
    </row>
    <row r="436" spans="6:7" x14ac:dyDescent="0.25">
      <c r="F436" s="21">
        <f t="shared" si="11"/>
        <v>0</v>
      </c>
      <c r="G436" s="8" t="str">
        <f t="shared" si="10"/>
        <v xml:space="preserve"> 0</v>
      </c>
    </row>
    <row r="437" spans="6:7" x14ac:dyDescent="0.25">
      <c r="F437" s="21">
        <f t="shared" si="11"/>
        <v>0</v>
      </c>
      <c r="G437" s="8" t="str">
        <f t="shared" si="10"/>
        <v xml:space="preserve"> 0</v>
      </c>
    </row>
    <row r="438" spans="6:7" x14ac:dyDescent="0.25">
      <c r="F438" s="21">
        <f t="shared" si="11"/>
        <v>0</v>
      </c>
      <c r="G438" s="8" t="str">
        <f t="shared" si="10"/>
        <v xml:space="preserve"> 0</v>
      </c>
    </row>
    <row r="439" spans="6:7" x14ac:dyDescent="0.25">
      <c r="F439" s="21">
        <f t="shared" si="11"/>
        <v>0</v>
      </c>
      <c r="G439" s="8" t="str">
        <f t="shared" si="10"/>
        <v xml:space="preserve"> 0</v>
      </c>
    </row>
    <row r="440" spans="6:7" x14ac:dyDescent="0.25">
      <c r="F440" s="21">
        <f t="shared" si="11"/>
        <v>0</v>
      </c>
      <c r="G440" s="8" t="str">
        <f t="shared" si="10"/>
        <v xml:space="preserve"> 0</v>
      </c>
    </row>
    <row r="441" spans="6:7" x14ac:dyDescent="0.25">
      <c r="F441" s="21">
        <f t="shared" si="11"/>
        <v>0</v>
      </c>
      <c r="G441" s="8" t="str">
        <f t="shared" si="10"/>
        <v xml:space="preserve"> 0</v>
      </c>
    </row>
    <row r="442" spans="6:7" x14ac:dyDescent="0.25">
      <c r="F442" s="21">
        <f t="shared" si="11"/>
        <v>0</v>
      </c>
      <c r="G442" s="8" t="str">
        <f t="shared" si="10"/>
        <v xml:space="preserve"> 0</v>
      </c>
    </row>
    <row r="443" spans="6:7" x14ac:dyDescent="0.25">
      <c r="F443" s="21">
        <f t="shared" si="11"/>
        <v>0</v>
      </c>
      <c r="G443" s="8" t="str">
        <f t="shared" si="10"/>
        <v xml:space="preserve"> 0</v>
      </c>
    </row>
    <row r="444" spans="6:7" x14ac:dyDescent="0.25">
      <c r="F444" s="21">
        <f t="shared" si="11"/>
        <v>0</v>
      </c>
      <c r="G444" s="8" t="str">
        <f t="shared" si="10"/>
        <v xml:space="preserve"> 0</v>
      </c>
    </row>
    <row r="445" spans="6:7" x14ac:dyDescent="0.25">
      <c r="F445" s="21">
        <f t="shared" si="11"/>
        <v>0</v>
      </c>
      <c r="G445" s="8" t="str">
        <f t="shared" si="10"/>
        <v xml:space="preserve"> 0</v>
      </c>
    </row>
    <row r="446" spans="6:7" x14ac:dyDescent="0.25">
      <c r="F446" s="21">
        <f t="shared" si="11"/>
        <v>0</v>
      </c>
      <c r="G446" s="8" t="str">
        <f t="shared" si="10"/>
        <v xml:space="preserve"> 0</v>
      </c>
    </row>
    <row r="447" spans="6:7" x14ac:dyDescent="0.25">
      <c r="F447" s="21">
        <f t="shared" si="11"/>
        <v>0</v>
      </c>
      <c r="G447" s="8" t="str">
        <f t="shared" si="10"/>
        <v xml:space="preserve"> 0</v>
      </c>
    </row>
    <row r="448" spans="6:7" x14ac:dyDescent="0.25">
      <c r="F448" s="21">
        <f t="shared" si="11"/>
        <v>0</v>
      </c>
      <c r="G448" s="8" t="str">
        <f t="shared" si="10"/>
        <v xml:space="preserve"> 0</v>
      </c>
    </row>
    <row r="449" spans="6:7" x14ac:dyDescent="0.25">
      <c r="F449" s="21">
        <f t="shared" si="11"/>
        <v>0</v>
      </c>
      <c r="G449" s="8" t="str">
        <f t="shared" si="10"/>
        <v xml:space="preserve"> 0</v>
      </c>
    </row>
    <row r="450" spans="6:7" x14ac:dyDescent="0.25">
      <c r="F450" s="21">
        <f t="shared" si="11"/>
        <v>0</v>
      </c>
      <c r="G450" s="8" t="str">
        <f t="shared" si="10"/>
        <v xml:space="preserve"> 0</v>
      </c>
    </row>
    <row r="451" spans="6:7" x14ac:dyDescent="0.25">
      <c r="F451" s="21">
        <f t="shared" si="11"/>
        <v>0</v>
      </c>
      <c r="G451" s="8" t="str">
        <f t="shared" ref="G451:G514" si="12">E451&amp;" "&amp;F451</f>
        <v xml:space="preserve"> 0</v>
      </c>
    </row>
    <row r="452" spans="6:7" x14ac:dyDescent="0.25">
      <c r="F452" s="21">
        <f t="shared" si="11"/>
        <v>0</v>
      </c>
      <c r="G452" s="8" t="str">
        <f t="shared" si="12"/>
        <v xml:space="preserve"> 0</v>
      </c>
    </row>
    <row r="453" spans="6:7" x14ac:dyDescent="0.25">
      <c r="F453" s="21">
        <f t="shared" si="11"/>
        <v>0</v>
      </c>
      <c r="G453" s="8" t="str">
        <f t="shared" si="12"/>
        <v xml:space="preserve"> 0</v>
      </c>
    </row>
    <row r="454" spans="6:7" x14ac:dyDescent="0.25">
      <c r="F454" s="21">
        <f t="shared" si="11"/>
        <v>0</v>
      </c>
      <c r="G454" s="8" t="str">
        <f t="shared" si="12"/>
        <v xml:space="preserve"> 0</v>
      </c>
    </row>
    <row r="455" spans="6:7" x14ac:dyDescent="0.25">
      <c r="F455" s="21">
        <f t="shared" si="11"/>
        <v>0</v>
      </c>
      <c r="G455" s="8" t="str">
        <f t="shared" si="12"/>
        <v xml:space="preserve"> 0</v>
      </c>
    </row>
    <row r="456" spans="6:7" x14ac:dyDescent="0.25">
      <c r="F456" s="21">
        <f t="shared" si="11"/>
        <v>0</v>
      </c>
      <c r="G456" s="8" t="str">
        <f t="shared" si="12"/>
        <v xml:space="preserve"> 0</v>
      </c>
    </row>
    <row r="457" spans="6:7" x14ac:dyDescent="0.25">
      <c r="F457" s="21">
        <f t="shared" si="11"/>
        <v>0</v>
      </c>
      <c r="G457" s="8" t="str">
        <f t="shared" si="12"/>
        <v xml:space="preserve"> 0</v>
      </c>
    </row>
    <row r="458" spans="6:7" x14ac:dyDescent="0.25">
      <c r="F458" s="21">
        <f t="shared" si="11"/>
        <v>0</v>
      </c>
      <c r="G458" s="8" t="str">
        <f t="shared" si="12"/>
        <v xml:space="preserve"> 0</v>
      </c>
    </row>
    <row r="459" spans="6:7" x14ac:dyDescent="0.25">
      <c r="F459" s="21">
        <f t="shared" si="11"/>
        <v>0</v>
      </c>
      <c r="G459" s="8" t="str">
        <f t="shared" si="12"/>
        <v xml:space="preserve"> 0</v>
      </c>
    </row>
    <row r="460" spans="6:7" x14ac:dyDescent="0.25">
      <c r="F460" s="21">
        <f t="shared" si="11"/>
        <v>0</v>
      </c>
      <c r="G460" s="8" t="str">
        <f t="shared" si="12"/>
        <v xml:space="preserve"> 0</v>
      </c>
    </row>
    <row r="461" spans="6:7" x14ac:dyDescent="0.25">
      <c r="F461" s="21">
        <f t="shared" si="11"/>
        <v>0</v>
      </c>
      <c r="G461" s="8" t="str">
        <f t="shared" si="12"/>
        <v xml:space="preserve"> 0</v>
      </c>
    </row>
    <row r="462" spans="6:7" x14ac:dyDescent="0.25">
      <c r="F462" s="21">
        <f t="shared" si="11"/>
        <v>0</v>
      </c>
      <c r="G462" s="8" t="str">
        <f t="shared" si="12"/>
        <v xml:space="preserve"> 0</v>
      </c>
    </row>
    <row r="463" spans="6:7" x14ac:dyDescent="0.25">
      <c r="F463" s="21">
        <f t="shared" si="11"/>
        <v>0</v>
      </c>
      <c r="G463" s="8" t="str">
        <f t="shared" si="12"/>
        <v xml:space="preserve"> 0</v>
      </c>
    </row>
    <row r="464" spans="6:7" x14ac:dyDescent="0.25">
      <c r="F464" s="21">
        <f t="shared" si="11"/>
        <v>0</v>
      </c>
      <c r="G464" s="8" t="str">
        <f t="shared" si="12"/>
        <v xml:space="preserve"> 0</v>
      </c>
    </row>
    <row r="465" spans="6:7" x14ac:dyDescent="0.25">
      <c r="F465" s="21">
        <f t="shared" si="11"/>
        <v>0</v>
      </c>
      <c r="G465" s="8" t="str">
        <f t="shared" si="12"/>
        <v xml:space="preserve"> 0</v>
      </c>
    </row>
    <row r="466" spans="6:7" x14ac:dyDescent="0.25">
      <c r="F466" s="21">
        <f t="shared" si="11"/>
        <v>0</v>
      </c>
      <c r="G466" s="8" t="str">
        <f t="shared" si="12"/>
        <v xml:space="preserve"> 0</v>
      </c>
    </row>
    <row r="467" spans="6:7" x14ac:dyDescent="0.25">
      <c r="F467" s="21">
        <f t="shared" si="11"/>
        <v>0</v>
      </c>
      <c r="G467" s="8" t="str">
        <f t="shared" si="12"/>
        <v xml:space="preserve"> 0</v>
      </c>
    </row>
    <row r="468" spans="6:7" x14ac:dyDescent="0.25">
      <c r="F468" s="21">
        <f t="shared" si="11"/>
        <v>0</v>
      </c>
      <c r="G468" s="8" t="str">
        <f t="shared" si="12"/>
        <v xml:space="preserve"> 0</v>
      </c>
    </row>
    <row r="469" spans="6:7" x14ac:dyDescent="0.25">
      <c r="F469" s="21">
        <f t="shared" si="11"/>
        <v>0</v>
      </c>
      <c r="G469" s="8" t="str">
        <f t="shared" si="12"/>
        <v xml:space="preserve"> 0</v>
      </c>
    </row>
    <row r="470" spans="6:7" x14ac:dyDescent="0.25">
      <c r="F470" s="21">
        <f t="shared" si="11"/>
        <v>0</v>
      </c>
      <c r="G470" s="8" t="str">
        <f t="shared" si="12"/>
        <v xml:space="preserve"> 0</v>
      </c>
    </row>
    <row r="471" spans="6:7" x14ac:dyDescent="0.25">
      <c r="F471" s="21">
        <f t="shared" si="11"/>
        <v>0</v>
      </c>
      <c r="G471" s="8" t="str">
        <f t="shared" si="12"/>
        <v xml:space="preserve"> 0</v>
      </c>
    </row>
    <row r="472" spans="6:7" x14ac:dyDescent="0.25">
      <c r="F472" s="21">
        <f t="shared" si="11"/>
        <v>0</v>
      </c>
      <c r="G472" s="8" t="str">
        <f t="shared" si="12"/>
        <v xml:space="preserve"> 0</v>
      </c>
    </row>
    <row r="473" spans="6:7" x14ac:dyDescent="0.25">
      <c r="F473" s="21">
        <f t="shared" si="11"/>
        <v>0</v>
      </c>
      <c r="G473" s="8" t="str">
        <f t="shared" si="12"/>
        <v xml:space="preserve"> 0</v>
      </c>
    </row>
    <row r="474" spans="6:7" x14ac:dyDescent="0.25">
      <c r="F474" s="21">
        <f t="shared" ref="F474:F537" si="13">B474</f>
        <v>0</v>
      </c>
      <c r="G474" s="8" t="str">
        <f t="shared" si="12"/>
        <v xml:space="preserve"> 0</v>
      </c>
    </row>
    <row r="475" spans="6:7" x14ac:dyDescent="0.25">
      <c r="F475" s="21">
        <f t="shared" si="13"/>
        <v>0</v>
      </c>
      <c r="G475" s="8" t="str">
        <f t="shared" si="12"/>
        <v xml:space="preserve"> 0</v>
      </c>
    </row>
    <row r="476" spans="6:7" x14ac:dyDescent="0.25">
      <c r="F476" s="21">
        <f t="shared" si="13"/>
        <v>0</v>
      </c>
      <c r="G476" s="8" t="str">
        <f t="shared" si="12"/>
        <v xml:space="preserve"> 0</v>
      </c>
    </row>
    <row r="477" spans="6:7" x14ac:dyDescent="0.25">
      <c r="F477" s="21">
        <f t="shared" si="13"/>
        <v>0</v>
      </c>
      <c r="G477" s="8" t="str">
        <f t="shared" si="12"/>
        <v xml:space="preserve"> 0</v>
      </c>
    </row>
    <row r="478" spans="6:7" x14ac:dyDescent="0.25">
      <c r="F478" s="21">
        <f t="shared" si="13"/>
        <v>0</v>
      </c>
      <c r="G478" s="8" t="str">
        <f t="shared" si="12"/>
        <v xml:space="preserve"> 0</v>
      </c>
    </row>
    <row r="479" spans="6:7" x14ac:dyDescent="0.25">
      <c r="F479" s="21">
        <f t="shared" si="13"/>
        <v>0</v>
      </c>
      <c r="G479" s="8" t="str">
        <f t="shared" si="12"/>
        <v xml:space="preserve"> 0</v>
      </c>
    </row>
    <row r="480" spans="6:7" x14ac:dyDescent="0.25">
      <c r="F480" s="21">
        <f t="shared" si="13"/>
        <v>0</v>
      </c>
      <c r="G480" s="8" t="str">
        <f t="shared" si="12"/>
        <v xml:space="preserve"> 0</v>
      </c>
    </row>
    <row r="481" spans="6:7" x14ac:dyDescent="0.25">
      <c r="F481" s="21">
        <f t="shared" si="13"/>
        <v>0</v>
      </c>
      <c r="G481" s="8" t="str">
        <f t="shared" si="12"/>
        <v xml:space="preserve"> 0</v>
      </c>
    </row>
    <row r="482" spans="6:7" x14ac:dyDescent="0.25">
      <c r="F482" s="21">
        <f t="shared" si="13"/>
        <v>0</v>
      </c>
      <c r="G482" s="8" t="str">
        <f t="shared" si="12"/>
        <v xml:space="preserve"> 0</v>
      </c>
    </row>
    <row r="483" spans="6:7" x14ac:dyDescent="0.25">
      <c r="F483" s="21">
        <f t="shared" si="13"/>
        <v>0</v>
      </c>
      <c r="G483" s="8" t="str">
        <f t="shared" si="12"/>
        <v xml:space="preserve"> 0</v>
      </c>
    </row>
    <row r="484" spans="6:7" x14ac:dyDescent="0.25">
      <c r="F484" s="21">
        <f t="shared" si="13"/>
        <v>0</v>
      </c>
      <c r="G484" s="8" t="str">
        <f t="shared" si="12"/>
        <v xml:space="preserve"> 0</v>
      </c>
    </row>
    <row r="485" spans="6:7" x14ac:dyDescent="0.25">
      <c r="F485" s="21">
        <f t="shared" si="13"/>
        <v>0</v>
      </c>
      <c r="G485" s="8" t="str">
        <f t="shared" si="12"/>
        <v xml:space="preserve"> 0</v>
      </c>
    </row>
    <row r="486" spans="6:7" x14ac:dyDescent="0.25">
      <c r="F486" s="21">
        <f t="shared" si="13"/>
        <v>0</v>
      </c>
      <c r="G486" s="8" t="str">
        <f t="shared" si="12"/>
        <v xml:space="preserve"> 0</v>
      </c>
    </row>
    <row r="487" spans="6:7" x14ac:dyDescent="0.25">
      <c r="F487" s="21">
        <f t="shared" si="13"/>
        <v>0</v>
      </c>
      <c r="G487" s="8" t="str">
        <f t="shared" si="12"/>
        <v xml:space="preserve"> 0</v>
      </c>
    </row>
    <row r="488" spans="6:7" x14ac:dyDescent="0.25">
      <c r="F488" s="21">
        <f t="shared" si="13"/>
        <v>0</v>
      </c>
      <c r="G488" s="8" t="str">
        <f t="shared" si="12"/>
        <v xml:space="preserve"> 0</v>
      </c>
    </row>
    <row r="489" spans="6:7" x14ac:dyDescent="0.25">
      <c r="F489" s="21">
        <f t="shared" si="13"/>
        <v>0</v>
      </c>
      <c r="G489" s="8" t="str">
        <f t="shared" si="12"/>
        <v xml:space="preserve"> 0</v>
      </c>
    </row>
    <row r="490" spans="6:7" x14ac:dyDescent="0.25">
      <c r="F490" s="21">
        <f t="shared" si="13"/>
        <v>0</v>
      </c>
      <c r="G490" s="8" t="str">
        <f t="shared" si="12"/>
        <v xml:space="preserve"> 0</v>
      </c>
    </row>
    <row r="491" spans="6:7" x14ac:dyDescent="0.25">
      <c r="F491" s="21">
        <f t="shared" si="13"/>
        <v>0</v>
      </c>
      <c r="G491" s="8" t="str">
        <f t="shared" si="12"/>
        <v xml:space="preserve"> 0</v>
      </c>
    </row>
    <row r="492" spans="6:7" x14ac:dyDescent="0.25">
      <c r="F492" s="21">
        <f t="shared" si="13"/>
        <v>0</v>
      </c>
      <c r="G492" s="8" t="str">
        <f t="shared" si="12"/>
        <v xml:space="preserve"> 0</v>
      </c>
    </row>
    <row r="493" spans="6:7" x14ac:dyDescent="0.25">
      <c r="F493" s="21">
        <f t="shared" si="13"/>
        <v>0</v>
      </c>
      <c r="G493" s="8" t="str">
        <f t="shared" si="12"/>
        <v xml:space="preserve"> 0</v>
      </c>
    </row>
    <row r="494" spans="6:7" x14ac:dyDescent="0.25">
      <c r="F494" s="21">
        <f t="shared" si="13"/>
        <v>0</v>
      </c>
      <c r="G494" s="8" t="str">
        <f t="shared" si="12"/>
        <v xml:space="preserve"> 0</v>
      </c>
    </row>
    <row r="495" spans="6:7" x14ac:dyDescent="0.25">
      <c r="F495" s="21">
        <f t="shared" si="13"/>
        <v>0</v>
      </c>
      <c r="G495" s="8" t="str">
        <f t="shared" si="12"/>
        <v xml:space="preserve"> 0</v>
      </c>
    </row>
    <row r="496" spans="6:7" x14ac:dyDescent="0.25">
      <c r="F496" s="21">
        <f t="shared" si="13"/>
        <v>0</v>
      </c>
      <c r="G496" s="8" t="str">
        <f t="shared" si="12"/>
        <v xml:space="preserve"> 0</v>
      </c>
    </row>
    <row r="497" spans="6:7" x14ac:dyDescent="0.25">
      <c r="F497" s="21">
        <f t="shared" si="13"/>
        <v>0</v>
      </c>
      <c r="G497" s="8" t="str">
        <f t="shared" si="12"/>
        <v xml:space="preserve"> 0</v>
      </c>
    </row>
    <row r="498" spans="6:7" x14ac:dyDescent="0.25">
      <c r="F498" s="21">
        <f t="shared" si="13"/>
        <v>0</v>
      </c>
      <c r="G498" s="8" t="str">
        <f t="shared" si="12"/>
        <v xml:space="preserve"> 0</v>
      </c>
    </row>
    <row r="499" spans="6:7" x14ac:dyDescent="0.25">
      <c r="F499" s="21">
        <f t="shared" si="13"/>
        <v>0</v>
      </c>
      <c r="G499" s="8" t="str">
        <f t="shared" si="12"/>
        <v xml:space="preserve"> 0</v>
      </c>
    </row>
    <row r="500" spans="6:7" x14ac:dyDescent="0.25">
      <c r="F500" s="21">
        <f t="shared" si="13"/>
        <v>0</v>
      </c>
      <c r="G500" s="8" t="str">
        <f t="shared" si="12"/>
        <v xml:space="preserve"> 0</v>
      </c>
    </row>
    <row r="501" spans="6:7" x14ac:dyDescent="0.25">
      <c r="F501" s="21">
        <f t="shared" si="13"/>
        <v>0</v>
      </c>
      <c r="G501" s="8" t="str">
        <f t="shared" si="12"/>
        <v xml:space="preserve"> 0</v>
      </c>
    </row>
    <row r="502" spans="6:7" x14ac:dyDescent="0.25">
      <c r="F502" s="21">
        <f t="shared" si="13"/>
        <v>0</v>
      </c>
      <c r="G502" s="8" t="str">
        <f t="shared" si="12"/>
        <v xml:space="preserve"> 0</v>
      </c>
    </row>
    <row r="503" spans="6:7" x14ac:dyDescent="0.25">
      <c r="F503" s="21">
        <f t="shared" si="13"/>
        <v>0</v>
      </c>
      <c r="G503" s="8" t="str">
        <f t="shared" si="12"/>
        <v xml:space="preserve"> 0</v>
      </c>
    </row>
    <row r="504" spans="6:7" x14ac:dyDescent="0.25">
      <c r="F504" s="21">
        <f t="shared" si="13"/>
        <v>0</v>
      </c>
      <c r="G504" s="8" t="str">
        <f t="shared" si="12"/>
        <v xml:space="preserve"> 0</v>
      </c>
    </row>
    <row r="505" spans="6:7" x14ac:dyDescent="0.25">
      <c r="F505" s="21">
        <f t="shared" si="13"/>
        <v>0</v>
      </c>
      <c r="G505" s="8" t="str">
        <f t="shared" si="12"/>
        <v xml:space="preserve"> 0</v>
      </c>
    </row>
    <row r="506" spans="6:7" x14ac:dyDescent="0.25">
      <c r="F506" s="21">
        <f t="shared" si="13"/>
        <v>0</v>
      </c>
      <c r="G506" s="8" t="str">
        <f t="shared" si="12"/>
        <v xml:space="preserve"> 0</v>
      </c>
    </row>
    <row r="507" spans="6:7" x14ac:dyDescent="0.25">
      <c r="F507" s="21">
        <f t="shared" si="13"/>
        <v>0</v>
      </c>
      <c r="G507" s="8" t="str">
        <f t="shared" si="12"/>
        <v xml:space="preserve"> 0</v>
      </c>
    </row>
    <row r="508" spans="6:7" x14ac:dyDescent="0.25">
      <c r="F508" s="21">
        <f t="shared" si="13"/>
        <v>0</v>
      </c>
      <c r="G508" s="8" t="str">
        <f t="shared" si="12"/>
        <v xml:space="preserve"> 0</v>
      </c>
    </row>
    <row r="509" spans="6:7" x14ac:dyDescent="0.25">
      <c r="F509" s="21">
        <f t="shared" si="13"/>
        <v>0</v>
      </c>
      <c r="G509" s="8" t="str">
        <f t="shared" si="12"/>
        <v xml:space="preserve"> 0</v>
      </c>
    </row>
    <row r="510" spans="6:7" x14ac:dyDescent="0.25">
      <c r="F510" s="21">
        <f t="shared" si="13"/>
        <v>0</v>
      </c>
      <c r="G510" s="8" t="str">
        <f t="shared" si="12"/>
        <v xml:space="preserve"> 0</v>
      </c>
    </row>
    <row r="511" spans="6:7" x14ac:dyDescent="0.25">
      <c r="F511" s="21">
        <f t="shared" si="13"/>
        <v>0</v>
      </c>
      <c r="G511" s="8" t="str">
        <f t="shared" si="12"/>
        <v xml:space="preserve"> 0</v>
      </c>
    </row>
    <row r="512" spans="6:7" x14ac:dyDescent="0.25">
      <c r="F512" s="21">
        <f t="shared" si="13"/>
        <v>0</v>
      </c>
      <c r="G512" s="8" t="str">
        <f t="shared" si="12"/>
        <v xml:space="preserve"> 0</v>
      </c>
    </row>
    <row r="513" spans="6:7" x14ac:dyDescent="0.25">
      <c r="F513" s="21">
        <f t="shared" si="13"/>
        <v>0</v>
      </c>
      <c r="G513" s="8" t="str">
        <f t="shared" si="12"/>
        <v xml:space="preserve"> 0</v>
      </c>
    </row>
    <row r="514" spans="6:7" x14ac:dyDescent="0.25">
      <c r="F514" s="21">
        <f t="shared" si="13"/>
        <v>0</v>
      </c>
      <c r="G514" s="8" t="str">
        <f t="shared" si="12"/>
        <v xml:space="preserve"> 0</v>
      </c>
    </row>
    <row r="515" spans="6:7" x14ac:dyDescent="0.25">
      <c r="F515" s="21">
        <f t="shared" si="13"/>
        <v>0</v>
      </c>
      <c r="G515" s="8" t="str">
        <f t="shared" ref="G515:G543" si="14">E515&amp;" "&amp;F515</f>
        <v xml:space="preserve"> 0</v>
      </c>
    </row>
    <row r="516" spans="6:7" x14ac:dyDescent="0.25">
      <c r="F516" s="21">
        <f t="shared" si="13"/>
        <v>0</v>
      </c>
      <c r="G516" s="8" t="str">
        <f t="shared" si="14"/>
        <v xml:space="preserve"> 0</v>
      </c>
    </row>
    <row r="517" spans="6:7" x14ac:dyDescent="0.25">
      <c r="F517" s="21">
        <f t="shared" si="13"/>
        <v>0</v>
      </c>
      <c r="G517" s="8" t="str">
        <f t="shared" si="14"/>
        <v xml:space="preserve"> 0</v>
      </c>
    </row>
    <row r="518" spans="6:7" x14ac:dyDescent="0.25">
      <c r="F518" s="21">
        <f t="shared" si="13"/>
        <v>0</v>
      </c>
      <c r="G518" s="8" t="str">
        <f t="shared" si="14"/>
        <v xml:space="preserve"> 0</v>
      </c>
    </row>
    <row r="519" spans="6:7" x14ac:dyDescent="0.25">
      <c r="F519" s="21">
        <f t="shared" si="13"/>
        <v>0</v>
      </c>
      <c r="G519" s="8" t="str">
        <f t="shared" si="14"/>
        <v xml:space="preserve"> 0</v>
      </c>
    </row>
    <row r="520" spans="6:7" x14ac:dyDescent="0.25">
      <c r="F520" s="21">
        <f t="shared" si="13"/>
        <v>0</v>
      </c>
      <c r="G520" s="8" t="str">
        <f t="shared" si="14"/>
        <v xml:space="preserve"> 0</v>
      </c>
    </row>
    <row r="521" spans="6:7" x14ac:dyDescent="0.25">
      <c r="F521" s="21">
        <f t="shared" si="13"/>
        <v>0</v>
      </c>
      <c r="G521" s="8" t="str">
        <f t="shared" si="14"/>
        <v xml:space="preserve"> 0</v>
      </c>
    </row>
    <row r="522" spans="6:7" x14ac:dyDescent="0.25">
      <c r="F522" s="21">
        <f t="shared" si="13"/>
        <v>0</v>
      </c>
      <c r="G522" s="8" t="str">
        <f t="shared" si="14"/>
        <v xml:space="preserve"> 0</v>
      </c>
    </row>
    <row r="523" spans="6:7" x14ac:dyDescent="0.25">
      <c r="F523" s="21">
        <f t="shared" si="13"/>
        <v>0</v>
      </c>
      <c r="G523" s="8" t="str">
        <f t="shared" si="14"/>
        <v xml:space="preserve"> 0</v>
      </c>
    </row>
    <row r="524" spans="6:7" x14ac:dyDescent="0.25">
      <c r="F524" s="21">
        <f t="shared" si="13"/>
        <v>0</v>
      </c>
      <c r="G524" s="8" t="str">
        <f t="shared" si="14"/>
        <v xml:space="preserve"> 0</v>
      </c>
    </row>
    <row r="525" spans="6:7" x14ac:dyDescent="0.25">
      <c r="F525" s="21">
        <f t="shared" si="13"/>
        <v>0</v>
      </c>
      <c r="G525" s="8" t="str">
        <f t="shared" si="14"/>
        <v xml:space="preserve"> 0</v>
      </c>
    </row>
    <row r="526" spans="6:7" x14ac:dyDescent="0.25">
      <c r="F526" s="21">
        <f t="shared" si="13"/>
        <v>0</v>
      </c>
      <c r="G526" s="8" t="str">
        <f t="shared" si="14"/>
        <v xml:space="preserve"> 0</v>
      </c>
    </row>
    <row r="527" spans="6:7" x14ac:dyDescent="0.25">
      <c r="F527" s="21">
        <f t="shared" si="13"/>
        <v>0</v>
      </c>
      <c r="G527" s="8" t="str">
        <f t="shared" si="14"/>
        <v xml:space="preserve"> 0</v>
      </c>
    </row>
    <row r="528" spans="6:7" x14ac:dyDescent="0.25">
      <c r="F528" s="21">
        <f t="shared" si="13"/>
        <v>0</v>
      </c>
      <c r="G528" s="8" t="str">
        <f t="shared" si="14"/>
        <v xml:space="preserve"> 0</v>
      </c>
    </row>
    <row r="529" spans="6:7" x14ac:dyDescent="0.25">
      <c r="F529" s="21">
        <f t="shared" si="13"/>
        <v>0</v>
      </c>
      <c r="G529" s="8" t="str">
        <f t="shared" si="14"/>
        <v xml:space="preserve"> 0</v>
      </c>
    </row>
    <row r="530" spans="6:7" x14ac:dyDescent="0.25">
      <c r="F530" s="21">
        <f t="shared" si="13"/>
        <v>0</v>
      </c>
      <c r="G530" s="8" t="str">
        <f t="shared" si="14"/>
        <v xml:space="preserve"> 0</v>
      </c>
    </row>
    <row r="531" spans="6:7" x14ac:dyDescent="0.25">
      <c r="F531" s="21">
        <f t="shared" si="13"/>
        <v>0</v>
      </c>
      <c r="G531" s="8" t="str">
        <f t="shared" si="14"/>
        <v xml:space="preserve"> 0</v>
      </c>
    </row>
    <row r="532" spans="6:7" x14ac:dyDescent="0.25">
      <c r="F532" s="21">
        <f t="shared" si="13"/>
        <v>0</v>
      </c>
      <c r="G532" s="8" t="str">
        <f t="shared" si="14"/>
        <v xml:space="preserve"> 0</v>
      </c>
    </row>
    <row r="533" spans="6:7" x14ac:dyDescent="0.25">
      <c r="F533" s="21">
        <f t="shared" si="13"/>
        <v>0</v>
      </c>
      <c r="G533" s="8" t="str">
        <f t="shared" si="14"/>
        <v xml:space="preserve"> 0</v>
      </c>
    </row>
    <row r="534" spans="6:7" x14ac:dyDescent="0.25">
      <c r="F534" s="21">
        <f t="shared" si="13"/>
        <v>0</v>
      </c>
      <c r="G534" s="8" t="str">
        <f t="shared" si="14"/>
        <v xml:space="preserve"> 0</v>
      </c>
    </row>
    <row r="535" spans="6:7" x14ac:dyDescent="0.25">
      <c r="F535" s="21">
        <f t="shared" si="13"/>
        <v>0</v>
      </c>
      <c r="G535" s="8" t="str">
        <f t="shared" si="14"/>
        <v xml:space="preserve"> 0</v>
      </c>
    </row>
    <row r="536" spans="6:7" x14ac:dyDescent="0.25">
      <c r="F536" s="21">
        <f t="shared" si="13"/>
        <v>0</v>
      </c>
      <c r="G536" s="8" t="str">
        <f t="shared" si="14"/>
        <v xml:space="preserve"> 0</v>
      </c>
    </row>
    <row r="537" spans="6:7" x14ac:dyDescent="0.25">
      <c r="F537" s="21">
        <f t="shared" si="13"/>
        <v>0</v>
      </c>
      <c r="G537" s="8" t="str">
        <f t="shared" si="14"/>
        <v xml:space="preserve"> 0</v>
      </c>
    </row>
    <row r="538" spans="6:7" x14ac:dyDescent="0.25">
      <c r="F538" s="21">
        <f t="shared" ref="F538:F543" si="15">B538</f>
        <v>0</v>
      </c>
      <c r="G538" s="8" t="str">
        <f t="shared" si="14"/>
        <v xml:space="preserve"> 0</v>
      </c>
    </row>
    <row r="539" spans="6:7" x14ac:dyDescent="0.25">
      <c r="F539" s="21">
        <f t="shared" si="15"/>
        <v>0</v>
      </c>
      <c r="G539" s="8" t="str">
        <f t="shared" si="14"/>
        <v xml:space="preserve"> 0</v>
      </c>
    </row>
    <row r="540" spans="6:7" x14ac:dyDescent="0.25">
      <c r="F540" s="21">
        <f t="shared" si="15"/>
        <v>0</v>
      </c>
      <c r="G540" s="8" t="str">
        <f t="shared" si="14"/>
        <v xml:space="preserve"> 0</v>
      </c>
    </row>
    <row r="541" spans="6:7" x14ac:dyDescent="0.25">
      <c r="F541" s="21">
        <f t="shared" si="15"/>
        <v>0</v>
      </c>
      <c r="G541" s="8" t="str">
        <f t="shared" si="14"/>
        <v xml:space="preserve"> 0</v>
      </c>
    </row>
    <row r="542" spans="6:7" x14ac:dyDescent="0.25">
      <c r="F542" s="21">
        <f t="shared" si="15"/>
        <v>0</v>
      </c>
      <c r="G542" s="8" t="str">
        <f t="shared" si="14"/>
        <v xml:space="preserve"> 0</v>
      </c>
    </row>
    <row r="543" spans="6:7" x14ac:dyDescent="0.25">
      <c r="F543" s="21">
        <f t="shared" si="15"/>
        <v>0</v>
      </c>
      <c r="G543" s="8" t="str">
        <f t="shared" si="14"/>
        <v xml:space="preserve"> 0</v>
      </c>
    </row>
  </sheetData>
  <sortState ref="A1:E291">
    <sortCondition ref="C1:C291"/>
  </sortState>
  <pageMargins left="0.7" right="0.7" top="0.75" bottom="0.75" header="0.3" footer="0.3"/>
  <pageSetup orientation="portrait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0"/>
  </sheetPr>
  <dimension ref="A1:R33"/>
  <sheetViews>
    <sheetView workbookViewId="0">
      <selection sqref="A1:R29"/>
    </sheetView>
  </sheetViews>
  <sheetFormatPr defaultRowHeight="15" x14ac:dyDescent="0.25"/>
  <cols>
    <col min="1" max="1" width="22.5703125" style="133" customWidth="1"/>
    <col min="2" max="2" width="8.42578125" style="133" bestFit="1" customWidth="1"/>
    <col min="3" max="3" width="12.5703125" style="133" bestFit="1" customWidth="1"/>
    <col min="4" max="4" width="18.5703125" style="153" bestFit="1" customWidth="1"/>
    <col min="5" max="5" width="9.85546875" style="133" bestFit="1" customWidth="1"/>
    <col min="6" max="6" width="9" style="133" bestFit="1" customWidth="1"/>
    <col min="7" max="7" width="8.85546875" style="133" bestFit="1" customWidth="1"/>
    <col min="8" max="8" width="14" style="133" bestFit="1" customWidth="1"/>
    <col min="9" max="9" width="21.140625" style="133" bestFit="1" customWidth="1"/>
    <col min="10" max="10" width="8.7109375" style="133" bestFit="1" customWidth="1"/>
    <col min="11" max="11" width="11.28515625" style="133" bestFit="1" customWidth="1"/>
    <col min="12" max="12" width="11" style="133" bestFit="1" customWidth="1"/>
    <col min="13" max="13" width="11.28515625" style="133" bestFit="1" customWidth="1"/>
    <col min="14" max="14" width="13.7109375" style="133" bestFit="1" customWidth="1"/>
    <col min="15" max="15" width="14.85546875" style="133" bestFit="1" customWidth="1"/>
    <col min="16" max="16" width="16.7109375" style="133" bestFit="1" customWidth="1"/>
    <col min="17" max="17" width="9.42578125" style="133" bestFit="1" customWidth="1"/>
    <col min="18" max="16384" width="9.140625" style="133"/>
  </cols>
  <sheetData>
    <row r="1" spans="1:18" s="134" customFormat="1" x14ac:dyDescent="0.25">
      <c r="A1" s="164" t="s">
        <v>165</v>
      </c>
      <c r="B1" s="164" t="s">
        <v>168</v>
      </c>
      <c r="C1" s="164" t="s">
        <v>161</v>
      </c>
      <c r="D1" s="159" t="s">
        <v>173</v>
      </c>
      <c r="E1" s="164" t="s">
        <v>162</v>
      </c>
      <c r="F1" s="164" t="s">
        <v>160</v>
      </c>
      <c r="G1" s="164" t="s">
        <v>158</v>
      </c>
      <c r="H1" s="164" t="s">
        <v>322</v>
      </c>
      <c r="I1" s="164" t="s">
        <v>171</v>
      </c>
      <c r="J1" s="164" t="s">
        <v>172</v>
      </c>
      <c r="K1" s="164" t="s">
        <v>323</v>
      </c>
      <c r="L1" s="164" t="s">
        <v>166</v>
      </c>
      <c r="M1" s="164" t="s">
        <v>164</v>
      </c>
      <c r="N1" s="164" t="s">
        <v>159</v>
      </c>
      <c r="O1" s="164" t="s">
        <v>169</v>
      </c>
      <c r="P1" s="164" t="s">
        <v>163</v>
      </c>
      <c r="Q1" s="164" t="s">
        <v>170</v>
      </c>
      <c r="R1" s="164" t="s">
        <v>167</v>
      </c>
    </row>
    <row r="2" spans="1:18" x14ac:dyDescent="0.25">
      <c r="A2" s="165">
        <v>37.53</v>
      </c>
      <c r="B2" s="165">
        <v>0.28999999999999998</v>
      </c>
      <c r="C2" s="165">
        <v>25.5</v>
      </c>
      <c r="D2" s="8">
        <v>42715</v>
      </c>
      <c r="E2" s="165">
        <v>0.61</v>
      </c>
      <c r="F2" s="165" t="s">
        <v>257</v>
      </c>
      <c r="G2" s="165">
        <v>256.25</v>
      </c>
      <c r="H2" s="165"/>
      <c r="I2" s="165">
        <v>8.0000000000000004E-4</v>
      </c>
      <c r="J2" s="165">
        <v>0.01</v>
      </c>
      <c r="K2" s="165" t="s">
        <v>393</v>
      </c>
      <c r="L2" s="165">
        <v>1004.98</v>
      </c>
      <c r="M2" s="165" t="s">
        <v>266</v>
      </c>
      <c r="N2" s="165">
        <v>37.53</v>
      </c>
      <c r="O2" s="165">
        <v>1481439600</v>
      </c>
      <c r="P2" s="165">
        <v>8.01</v>
      </c>
      <c r="Q2" s="165">
        <v>295</v>
      </c>
      <c r="R2" s="165">
        <v>1.21</v>
      </c>
    </row>
    <row r="3" spans="1:18" x14ac:dyDescent="0.25">
      <c r="A3" s="165">
        <v>36.15</v>
      </c>
      <c r="B3" s="165">
        <v>0.38</v>
      </c>
      <c r="C3" s="165">
        <v>25.88</v>
      </c>
      <c r="D3" s="8">
        <v>42715.041666666664</v>
      </c>
      <c r="E3" s="165">
        <v>0.66</v>
      </c>
      <c r="F3" s="165" t="s">
        <v>257</v>
      </c>
      <c r="G3" s="165">
        <v>257.87</v>
      </c>
      <c r="H3" s="165"/>
      <c r="I3" s="165">
        <v>1.5E-3</v>
      </c>
      <c r="J3" s="165">
        <v>0.03</v>
      </c>
      <c r="K3" s="165" t="s">
        <v>393</v>
      </c>
      <c r="L3" s="165">
        <v>1005.45</v>
      </c>
      <c r="M3" s="165" t="s">
        <v>266</v>
      </c>
      <c r="N3" s="165">
        <v>36.15</v>
      </c>
      <c r="O3" s="165">
        <v>1481443200</v>
      </c>
      <c r="P3" s="165">
        <v>7.74</v>
      </c>
      <c r="Q3" s="165">
        <v>326</v>
      </c>
      <c r="R3" s="165">
        <v>1.42</v>
      </c>
    </row>
    <row r="4" spans="1:18" x14ac:dyDescent="0.25">
      <c r="A4" s="165">
        <v>35.11</v>
      </c>
      <c r="B4" s="165">
        <v>0.47</v>
      </c>
      <c r="C4" s="165">
        <v>25.44</v>
      </c>
      <c r="D4" s="8">
        <v>42715.083333333336</v>
      </c>
      <c r="E4" s="165">
        <v>0.67</v>
      </c>
      <c r="F4" s="165" t="s">
        <v>257</v>
      </c>
      <c r="G4" s="165">
        <v>259.48</v>
      </c>
      <c r="H4" s="165"/>
      <c r="I4" s="165">
        <v>1.5E-3</v>
      </c>
      <c r="J4" s="165">
        <v>0.03</v>
      </c>
      <c r="K4" s="165" t="s">
        <v>393</v>
      </c>
      <c r="L4" s="165">
        <v>1005.76</v>
      </c>
      <c r="M4" s="165" t="s">
        <v>266</v>
      </c>
      <c r="N4" s="165">
        <v>35.11</v>
      </c>
      <c r="O4" s="165">
        <v>1481446800</v>
      </c>
      <c r="P4" s="165">
        <v>6.93</v>
      </c>
      <c r="Q4" s="165">
        <v>0</v>
      </c>
      <c r="R4" s="165">
        <v>1.24</v>
      </c>
    </row>
    <row r="5" spans="1:18" x14ac:dyDescent="0.25">
      <c r="A5" s="165">
        <v>34.130000000000003</v>
      </c>
      <c r="B5" s="165">
        <v>0.5</v>
      </c>
      <c r="C5" s="165">
        <v>25.48</v>
      </c>
      <c r="D5" s="8">
        <v>42715.125</v>
      </c>
      <c r="E5" s="165">
        <v>0.7</v>
      </c>
      <c r="F5" s="165" t="s">
        <v>324</v>
      </c>
      <c r="G5" s="165">
        <v>262.37</v>
      </c>
      <c r="H5" s="165">
        <v>1.9E-2</v>
      </c>
      <c r="I5" s="165">
        <v>2.5000000000000001E-3</v>
      </c>
      <c r="J5" s="165">
        <v>7.0000000000000007E-2</v>
      </c>
      <c r="K5" s="165" t="s">
        <v>324</v>
      </c>
      <c r="L5" s="165">
        <v>1006.89</v>
      </c>
      <c r="M5" s="165" t="s">
        <v>394</v>
      </c>
      <c r="N5" s="165">
        <v>34.130000000000003</v>
      </c>
      <c r="O5" s="165">
        <v>1481450400</v>
      </c>
      <c r="P5" s="165">
        <v>6.3</v>
      </c>
      <c r="Q5" s="165">
        <v>236</v>
      </c>
      <c r="R5" s="165">
        <v>0.3</v>
      </c>
    </row>
    <row r="6" spans="1:18" x14ac:dyDescent="0.25">
      <c r="A6" s="165">
        <v>33.22</v>
      </c>
      <c r="B6" s="165">
        <v>0.51</v>
      </c>
      <c r="C6" s="165">
        <v>26.92</v>
      </c>
      <c r="D6" s="8">
        <v>42715.166666666664</v>
      </c>
      <c r="E6" s="165">
        <v>0.77</v>
      </c>
      <c r="F6" s="165" t="s">
        <v>324</v>
      </c>
      <c r="G6" s="165">
        <v>265.74</v>
      </c>
      <c r="H6" s="165">
        <v>1.7999999999999999E-2</v>
      </c>
      <c r="I6" s="165">
        <v>2.3999999999999998E-3</v>
      </c>
      <c r="J6" s="165">
        <v>7.0000000000000007E-2</v>
      </c>
      <c r="K6" s="165" t="s">
        <v>324</v>
      </c>
      <c r="L6" s="165">
        <v>1008.27</v>
      </c>
      <c r="M6" s="165" t="s">
        <v>394</v>
      </c>
      <c r="N6" s="165">
        <v>33.22</v>
      </c>
      <c r="O6" s="165">
        <v>1481454000</v>
      </c>
      <c r="P6" s="165">
        <v>6.37</v>
      </c>
      <c r="Q6" s="165">
        <v>93</v>
      </c>
      <c r="R6" s="165">
        <v>1.22</v>
      </c>
    </row>
    <row r="7" spans="1:18" x14ac:dyDescent="0.25">
      <c r="A7" s="165">
        <v>32.619999999999997</v>
      </c>
      <c r="B7" s="165">
        <v>0.53</v>
      </c>
      <c r="C7" s="165">
        <v>26.47</v>
      </c>
      <c r="D7" s="8">
        <v>42715.208333333336</v>
      </c>
      <c r="E7" s="165">
        <v>0.78</v>
      </c>
      <c r="F7" s="165" t="s">
        <v>324</v>
      </c>
      <c r="G7" s="165">
        <v>268.66000000000003</v>
      </c>
      <c r="H7" s="165">
        <v>3.5000000000000003E-2</v>
      </c>
      <c r="I7" s="165">
        <v>4.7000000000000002E-3</v>
      </c>
      <c r="J7" s="165">
        <v>0.19</v>
      </c>
      <c r="K7" s="165" t="s">
        <v>324</v>
      </c>
      <c r="L7" s="165">
        <v>1009.68</v>
      </c>
      <c r="M7" s="165" t="s">
        <v>661</v>
      </c>
      <c r="N7" s="165">
        <v>32.619999999999997</v>
      </c>
      <c r="O7" s="165">
        <v>1481457600</v>
      </c>
      <c r="P7" s="165">
        <v>5.33</v>
      </c>
      <c r="Q7" s="165">
        <v>66</v>
      </c>
      <c r="R7" s="165">
        <v>2.12</v>
      </c>
    </row>
    <row r="8" spans="1:18" x14ac:dyDescent="0.25">
      <c r="A8" s="165">
        <v>31.19</v>
      </c>
      <c r="B8" s="165">
        <v>0.59</v>
      </c>
      <c r="C8" s="165">
        <v>26.27</v>
      </c>
      <c r="D8" s="8">
        <v>42715.25</v>
      </c>
      <c r="E8" s="165">
        <v>0.82</v>
      </c>
      <c r="F8" s="165" t="s">
        <v>324</v>
      </c>
      <c r="G8" s="165">
        <v>270.61</v>
      </c>
      <c r="H8" s="165">
        <v>0.17</v>
      </c>
      <c r="I8" s="165">
        <v>2.1000000000000001E-2</v>
      </c>
      <c r="J8" s="165">
        <v>0.62</v>
      </c>
      <c r="K8" s="165" t="s">
        <v>324</v>
      </c>
      <c r="L8" s="165">
        <v>1010.9</v>
      </c>
      <c r="M8" s="165" t="s">
        <v>662</v>
      </c>
      <c r="N8" s="165">
        <v>31.19</v>
      </c>
      <c r="O8" s="165">
        <v>1481461200</v>
      </c>
      <c r="P8" s="165">
        <v>0.68</v>
      </c>
      <c r="Q8" s="165">
        <v>90</v>
      </c>
      <c r="R8" s="165">
        <v>1.84</v>
      </c>
    </row>
    <row r="9" spans="1:18" x14ac:dyDescent="0.25">
      <c r="A9" s="165">
        <v>30.54</v>
      </c>
      <c r="B9" s="165">
        <v>0.69</v>
      </c>
      <c r="C9" s="165">
        <v>27.94</v>
      </c>
      <c r="D9" s="8">
        <v>42715.291666666664</v>
      </c>
      <c r="E9" s="165">
        <v>0.9</v>
      </c>
      <c r="F9" s="165" t="s">
        <v>324</v>
      </c>
      <c r="G9" s="165">
        <v>272.10000000000002</v>
      </c>
      <c r="H9" s="165">
        <v>7.0999999999999994E-2</v>
      </c>
      <c r="I9" s="165">
        <v>8.3000000000000001E-3</v>
      </c>
      <c r="J9" s="165">
        <v>0.43</v>
      </c>
      <c r="K9" s="165" t="s">
        <v>324</v>
      </c>
      <c r="L9" s="165">
        <v>1012.02</v>
      </c>
      <c r="M9" s="165" t="s">
        <v>661</v>
      </c>
      <c r="N9" s="165">
        <v>30.54</v>
      </c>
      <c r="O9" s="165">
        <v>1481464800</v>
      </c>
      <c r="P9" s="165">
        <v>2.58</v>
      </c>
      <c r="Q9" s="165">
        <v>131</v>
      </c>
      <c r="R9" s="165">
        <v>2.0499999999999998</v>
      </c>
    </row>
    <row r="10" spans="1:18" x14ac:dyDescent="0.25">
      <c r="A10" s="165">
        <v>30.18</v>
      </c>
      <c r="B10" s="165">
        <v>0.72</v>
      </c>
      <c r="C10" s="165">
        <v>27.77</v>
      </c>
      <c r="D10" s="8">
        <v>42715.333333333336</v>
      </c>
      <c r="E10" s="165">
        <v>0.91</v>
      </c>
      <c r="F10" s="165" t="s">
        <v>258</v>
      </c>
      <c r="G10" s="165">
        <v>273.76</v>
      </c>
      <c r="H10" s="165">
        <v>1.0999999999999999E-2</v>
      </c>
      <c r="I10" s="165">
        <v>1.2999999999999999E-3</v>
      </c>
      <c r="J10" s="165">
        <v>0.02</v>
      </c>
      <c r="K10" s="165" t="s">
        <v>324</v>
      </c>
      <c r="L10" s="165">
        <v>1012.94</v>
      </c>
      <c r="M10" s="165" t="s">
        <v>392</v>
      </c>
      <c r="N10" s="165">
        <v>30.18</v>
      </c>
      <c r="O10" s="165">
        <v>1481468400</v>
      </c>
      <c r="P10" s="165">
        <v>2.73</v>
      </c>
      <c r="Q10" s="165">
        <v>170</v>
      </c>
      <c r="R10" s="165">
        <v>1.48</v>
      </c>
    </row>
    <row r="11" spans="1:18" x14ac:dyDescent="0.25">
      <c r="A11" s="165">
        <v>33.07</v>
      </c>
      <c r="B11" s="165">
        <v>0.73</v>
      </c>
      <c r="C11" s="165">
        <v>29.62</v>
      </c>
      <c r="D11" s="8">
        <v>42715.375</v>
      </c>
      <c r="E11" s="165">
        <v>0.87</v>
      </c>
      <c r="F11" s="165" t="s">
        <v>258</v>
      </c>
      <c r="G11" s="165">
        <v>276.2</v>
      </c>
      <c r="H11" s="165">
        <v>8.0000000000000002E-3</v>
      </c>
      <c r="I11" s="165">
        <v>1.1000000000000001E-3</v>
      </c>
      <c r="J11" s="165">
        <v>0.01</v>
      </c>
      <c r="K11" s="165" t="s">
        <v>324</v>
      </c>
      <c r="L11" s="165">
        <v>1013.65</v>
      </c>
      <c r="M11" s="165" t="s">
        <v>392</v>
      </c>
      <c r="N11" s="165">
        <v>33.07</v>
      </c>
      <c r="O11" s="165">
        <v>1481472000</v>
      </c>
      <c r="P11" s="165">
        <v>3.39</v>
      </c>
      <c r="Q11" s="165">
        <v>139</v>
      </c>
      <c r="R11" s="165">
        <v>0.86</v>
      </c>
    </row>
    <row r="12" spans="1:18" x14ac:dyDescent="0.25">
      <c r="A12" s="165">
        <v>36.24</v>
      </c>
      <c r="B12" s="165">
        <v>0.63</v>
      </c>
      <c r="C12" s="165">
        <v>30.01</v>
      </c>
      <c r="D12" s="8">
        <v>42715.416666666664</v>
      </c>
      <c r="E12" s="165">
        <v>0.78</v>
      </c>
      <c r="F12" s="165" t="s">
        <v>258</v>
      </c>
      <c r="G12" s="165">
        <v>278.8</v>
      </c>
      <c r="H12" s="165"/>
      <c r="I12" s="165">
        <v>1E-3</v>
      </c>
      <c r="J12" s="165">
        <v>0.01</v>
      </c>
      <c r="K12" s="165" t="s">
        <v>393</v>
      </c>
      <c r="L12" s="165">
        <v>1014.26</v>
      </c>
      <c r="M12" s="165" t="s">
        <v>392</v>
      </c>
      <c r="N12" s="165">
        <v>36.24</v>
      </c>
      <c r="O12" s="165">
        <v>1481475600</v>
      </c>
      <c r="P12" s="165">
        <v>4.46</v>
      </c>
      <c r="Q12" s="165">
        <v>47</v>
      </c>
      <c r="R12" s="165">
        <v>1.17</v>
      </c>
    </row>
    <row r="13" spans="1:18" x14ac:dyDescent="0.25">
      <c r="A13" s="165">
        <v>37.700000000000003</v>
      </c>
      <c r="B13" s="165">
        <v>0.56000000000000005</v>
      </c>
      <c r="C13" s="165">
        <v>30.2</v>
      </c>
      <c r="D13" s="8">
        <v>42715.458333333336</v>
      </c>
      <c r="E13" s="165">
        <v>0.74</v>
      </c>
      <c r="F13" s="165" t="s">
        <v>258</v>
      </c>
      <c r="G13" s="165">
        <v>280.39999999999998</v>
      </c>
      <c r="H13" s="165"/>
      <c r="I13" s="165">
        <v>8.0000000000000004E-4</v>
      </c>
      <c r="J13" s="165">
        <v>0.01</v>
      </c>
      <c r="K13" s="165" t="s">
        <v>393</v>
      </c>
      <c r="L13" s="165">
        <v>1014.56</v>
      </c>
      <c r="M13" s="165" t="s">
        <v>266</v>
      </c>
      <c r="N13" s="165">
        <v>37.700000000000003</v>
      </c>
      <c r="O13" s="165">
        <v>1481479200</v>
      </c>
      <c r="P13" s="165">
        <v>5.05</v>
      </c>
      <c r="Q13" s="165">
        <v>66</v>
      </c>
      <c r="R13" s="165">
        <v>1.6</v>
      </c>
    </row>
    <row r="14" spans="1:18" x14ac:dyDescent="0.25">
      <c r="A14" s="165">
        <v>39.82</v>
      </c>
      <c r="B14" s="165">
        <v>0.51</v>
      </c>
      <c r="C14" s="165">
        <v>30.73</v>
      </c>
      <c r="D14" s="8">
        <v>42715.5</v>
      </c>
      <c r="E14" s="165">
        <v>0.7</v>
      </c>
      <c r="F14" s="165" t="s">
        <v>258</v>
      </c>
      <c r="G14" s="165">
        <v>280.3</v>
      </c>
      <c r="H14" s="165"/>
      <c r="I14" s="165">
        <v>0</v>
      </c>
      <c r="J14" s="165">
        <v>0</v>
      </c>
      <c r="K14" s="165"/>
      <c r="L14" s="165">
        <v>1014.45</v>
      </c>
      <c r="M14" s="165" t="s">
        <v>266</v>
      </c>
      <c r="N14" s="165">
        <v>39.82</v>
      </c>
      <c r="O14" s="165">
        <v>1481482800</v>
      </c>
      <c r="P14" s="165">
        <v>9.2799999999999994</v>
      </c>
      <c r="Q14" s="165">
        <v>47</v>
      </c>
      <c r="R14" s="165">
        <v>1.81</v>
      </c>
    </row>
    <row r="15" spans="1:18" x14ac:dyDescent="0.25">
      <c r="A15" s="165">
        <v>41.64</v>
      </c>
      <c r="B15" s="165">
        <v>0.48</v>
      </c>
      <c r="C15" s="165">
        <v>30.3</v>
      </c>
      <c r="D15" s="8">
        <v>42715.541666666664</v>
      </c>
      <c r="E15" s="165">
        <v>0.64</v>
      </c>
      <c r="F15" s="165" t="s">
        <v>258</v>
      </c>
      <c r="G15" s="165">
        <v>279.2</v>
      </c>
      <c r="H15" s="165"/>
      <c r="I15" s="165">
        <v>0</v>
      </c>
      <c r="J15" s="165">
        <v>0</v>
      </c>
      <c r="K15" s="165"/>
      <c r="L15" s="165">
        <v>1014.14</v>
      </c>
      <c r="M15" s="165" t="s">
        <v>266</v>
      </c>
      <c r="N15" s="165">
        <v>41.64</v>
      </c>
      <c r="O15" s="165">
        <v>1481486400</v>
      </c>
      <c r="P15" s="165">
        <v>5.48</v>
      </c>
      <c r="Q15" s="165">
        <v>0</v>
      </c>
      <c r="R15" s="165">
        <v>2.2400000000000002</v>
      </c>
    </row>
    <row r="16" spans="1:18" x14ac:dyDescent="0.25">
      <c r="A16" s="165">
        <v>42.89</v>
      </c>
      <c r="B16" s="165">
        <v>0.34</v>
      </c>
      <c r="C16" s="165">
        <v>28.46</v>
      </c>
      <c r="D16" s="8">
        <v>42715.583333333336</v>
      </c>
      <c r="E16" s="165">
        <v>0.56000000000000005</v>
      </c>
      <c r="F16" s="165" t="s">
        <v>258</v>
      </c>
      <c r="G16" s="165">
        <v>278.02999999999997</v>
      </c>
      <c r="H16" s="165"/>
      <c r="I16" s="165">
        <v>0</v>
      </c>
      <c r="J16" s="165">
        <v>0</v>
      </c>
      <c r="K16" s="165"/>
      <c r="L16" s="165">
        <v>1014.07</v>
      </c>
      <c r="M16" s="165" t="s">
        <v>266</v>
      </c>
      <c r="N16" s="165">
        <v>42.89</v>
      </c>
      <c r="O16" s="165">
        <v>1481490000</v>
      </c>
      <c r="P16" s="165">
        <v>6.87</v>
      </c>
      <c r="Q16" s="165">
        <v>0</v>
      </c>
      <c r="R16" s="165">
        <v>2.89</v>
      </c>
    </row>
    <row r="17" spans="1:18" x14ac:dyDescent="0.25">
      <c r="A17" s="165">
        <v>42.02</v>
      </c>
      <c r="B17" s="165">
        <v>0.3</v>
      </c>
      <c r="C17" s="165">
        <v>27.95</v>
      </c>
      <c r="D17" s="8">
        <v>42715.625</v>
      </c>
      <c r="E17" s="165">
        <v>0.56999999999999995</v>
      </c>
      <c r="F17" s="165" t="s">
        <v>258</v>
      </c>
      <c r="G17" s="165">
        <v>276.83</v>
      </c>
      <c r="H17" s="165"/>
      <c r="I17" s="165">
        <v>0</v>
      </c>
      <c r="J17" s="165">
        <v>0</v>
      </c>
      <c r="K17" s="165"/>
      <c r="L17" s="165">
        <v>1014.45</v>
      </c>
      <c r="M17" s="165" t="s">
        <v>266</v>
      </c>
      <c r="N17" s="165">
        <v>42.02</v>
      </c>
      <c r="O17" s="165">
        <v>1481493600</v>
      </c>
      <c r="P17" s="165">
        <v>7.07</v>
      </c>
      <c r="Q17" s="165">
        <v>14</v>
      </c>
      <c r="R17" s="165">
        <v>2.72</v>
      </c>
    </row>
    <row r="18" spans="1:18" x14ac:dyDescent="0.25">
      <c r="A18" s="165">
        <v>37.99</v>
      </c>
      <c r="B18" s="165">
        <v>0.3</v>
      </c>
      <c r="C18" s="165">
        <v>26.51</v>
      </c>
      <c r="D18" s="8">
        <v>42715.666666666664</v>
      </c>
      <c r="E18" s="165">
        <v>0.59</v>
      </c>
      <c r="F18" s="165" t="s">
        <v>258</v>
      </c>
      <c r="G18" s="165">
        <v>275.57</v>
      </c>
      <c r="H18" s="165"/>
      <c r="I18" s="165">
        <v>0</v>
      </c>
      <c r="J18" s="165">
        <v>0</v>
      </c>
      <c r="K18" s="165"/>
      <c r="L18" s="165">
        <v>1014.99</v>
      </c>
      <c r="M18" s="165" t="s">
        <v>266</v>
      </c>
      <c r="N18" s="165">
        <v>39.74</v>
      </c>
      <c r="O18" s="165">
        <v>1481497200</v>
      </c>
      <c r="P18" s="165">
        <v>9.98</v>
      </c>
      <c r="Q18" s="165">
        <v>33</v>
      </c>
      <c r="R18" s="165">
        <v>3.07</v>
      </c>
    </row>
    <row r="19" spans="1:18" x14ac:dyDescent="0.25">
      <c r="A19" s="165">
        <v>36.590000000000003</v>
      </c>
      <c r="B19" s="165">
        <v>0.19</v>
      </c>
      <c r="C19" s="165">
        <v>25.85</v>
      </c>
      <c r="D19" s="8">
        <v>42715.708333333336</v>
      </c>
      <c r="E19" s="165">
        <v>0.65</v>
      </c>
      <c r="F19" s="165" t="s">
        <v>663</v>
      </c>
      <c r="G19" s="165">
        <v>275.06</v>
      </c>
      <c r="H19" s="165"/>
      <c r="I19" s="165">
        <v>0</v>
      </c>
      <c r="J19" s="165">
        <v>0</v>
      </c>
      <c r="K19" s="165"/>
      <c r="L19" s="165">
        <v>1015.66</v>
      </c>
      <c r="M19" s="165" t="s">
        <v>664</v>
      </c>
      <c r="N19" s="165">
        <v>36.590000000000003</v>
      </c>
      <c r="O19" s="165">
        <v>1481500800</v>
      </c>
      <c r="P19" s="165">
        <v>7.49</v>
      </c>
      <c r="Q19" s="165">
        <v>81</v>
      </c>
      <c r="R19" s="165">
        <v>2.97</v>
      </c>
    </row>
    <row r="20" spans="1:18" x14ac:dyDescent="0.25">
      <c r="A20" s="165">
        <v>33.44</v>
      </c>
      <c r="B20" s="165">
        <v>0.11</v>
      </c>
      <c r="C20" s="165">
        <v>23.94</v>
      </c>
      <c r="D20" s="8">
        <v>42715.75</v>
      </c>
      <c r="E20" s="165">
        <v>0.68</v>
      </c>
      <c r="F20" s="165" t="s">
        <v>663</v>
      </c>
      <c r="G20" s="165">
        <v>275.97000000000003</v>
      </c>
      <c r="H20" s="165"/>
      <c r="I20" s="165">
        <v>0</v>
      </c>
      <c r="J20" s="165">
        <v>0</v>
      </c>
      <c r="K20" s="165"/>
      <c r="L20" s="165">
        <v>1015.9</v>
      </c>
      <c r="M20" s="165" t="s">
        <v>664</v>
      </c>
      <c r="N20" s="165">
        <v>33.44</v>
      </c>
      <c r="O20" s="165">
        <v>1481504400</v>
      </c>
      <c r="P20" s="165">
        <v>7.03</v>
      </c>
      <c r="Q20" s="165">
        <v>104</v>
      </c>
      <c r="R20" s="165">
        <v>1.42</v>
      </c>
    </row>
    <row r="21" spans="1:18" x14ac:dyDescent="0.25">
      <c r="A21" s="165">
        <v>32.61</v>
      </c>
      <c r="B21" s="165">
        <v>0.11</v>
      </c>
      <c r="C21" s="165">
        <v>24.24</v>
      </c>
      <c r="D21" s="8">
        <v>42715.791666666664</v>
      </c>
      <c r="E21" s="165">
        <v>0.71</v>
      </c>
      <c r="F21" s="165" t="s">
        <v>663</v>
      </c>
      <c r="G21" s="165">
        <v>277.62</v>
      </c>
      <c r="H21" s="165"/>
      <c r="I21" s="165">
        <v>0</v>
      </c>
      <c r="J21" s="165">
        <v>0</v>
      </c>
      <c r="K21" s="165"/>
      <c r="L21" s="165">
        <v>1016.69</v>
      </c>
      <c r="M21" s="165" t="s">
        <v>664</v>
      </c>
      <c r="N21" s="165">
        <v>32.61</v>
      </c>
      <c r="O21" s="165">
        <v>1481508000</v>
      </c>
      <c r="P21" s="165">
        <v>7.27</v>
      </c>
      <c r="Q21" s="165">
        <v>154</v>
      </c>
      <c r="R21" s="165">
        <v>1.54</v>
      </c>
    </row>
    <row r="22" spans="1:18" x14ac:dyDescent="0.25">
      <c r="A22" s="165">
        <v>31.23</v>
      </c>
      <c r="B22" s="165">
        <v>0.13</v>
      </c>
      <c r="C22" s="165">
        <v>23.45</v>
      </c>
      <c r="D22" s="8">
        <v>42715.833333333336</v>
      </c>
      <c r="E22" s="165">
        <v>0.73</v>
      </c>
      <c r="F22" s="165" t="s">
        <v>663</v>
      </c>
      <c r="G22" s="165">
        <v>278.86</v>
      </c>
      <c r="H22" s="165"/>
      <c r="I22" s="165">
        <v>0</v>
      </c>
      <c r="J22" s="165">
        <v>0</v>
      </c>
      <c r="K22" s="165"/>
      <c r="L22" s="165">
        <v>1017.42</v>
      </c>
      <c r="M22" s="165" t="s">
        <v>664</v>
      </c>
      <c r="N22" s="165">
        <v>31.23</v>
      </c>
      <c r="O22" s="165">
        <v>1481511600</v>
      </c>
      <c r="P22" s="165">
        <v>7.1</v>
      </c>
      <c r="Q22" s="165">
        <v>175</v>
      </c>
      <c r="R22" s="165">
        <v>0.99</v>
      </c>
    </row>
    <row r="23" spans="1:18" x14ac:dyDescent="0.25">
      <c r="A23" s="165">
        <v>28.4</v>
      </c>
      <c r="B23" s="165">
        <v>0.15</v>
      </c>
      <c r="C23" s="165">
        <v>21.67</v>
      </c>
      <c r="D23" s="8">
        <v>42715.875</v>
      </c>
      <c r="E23" s="165">
        <v>0.76</v>
      </c>
      <c r="F23" s="165" t="s">
        <v>663</v>
      </c>
      <c r="G23" s="165">
        <v>279.27999999999997</v>
      </c>
      <c r="H23" s="165"/>
      <c r="I23" s="165">
        <v>0</v>
      </c>
      <c r="J23" s="165">
        <v>0</v>
      </c>
      <c r="K23" s="165"/>
      <c r="L23" s="165">
        <v>1017.79</v>
      </c>
      <c r="M23" s="165" t="s">
        <v>664</v>
      </c>
      <c r="N23" s="165">
        <v>28.4</v>
      </c>
      <c r="O23" s="165">
        <v>1481515200</v>
      </c>
      <c r="P23" s="165">
        <v>6.62</v>
      </c>
      <c r="Q23" s="165">
        <v>200</v>
      </c>
      <c r="R23" s="165">
        <v>0.68</v>
      </c>
    </row>
    <row r="24" spans="1:18" x14ac:dyDescent="0.25">
      <c r="A24" s="165">
        <v>28.25</v>
      </c>
      <c r="B24" s="165">
        <v>0.28000000000000003</v>
      </c>
      <c r="C24" s="165">
        <v>22.24</v>
      </c>
      <c r="D24" s="8">
        <v>42715.916666666664</v>
      </c>
      <c r="E24" s="165">
        <v>0.78</v>
      </c>
      <c r="F24" s="165" t="s">
        <v>257</v>
      </c>
      <c r="G24" s="165">
        <v>279.27</v>
      </c>
      <c r="H24" s="165"/>
      <c r="I24" s="165">
        <v>0</v>
      </c>
      <c r="J24" s="165">
        <v>0</v>
      </c>
      <c r="K24" s="165"/>
      <c r="L24" s="165">
        <v>1017.88</v>
      </c>
      <c r="M24" s="165" t="s">
        <v>266</v>
      </c>
      <c r="N24" s="165">
        <v>28.25</v>
      </c>
      <c r="O24" s="165">
        <v>1481518800</v>
      </c>
      <c r="P24" s="165">
        <v>6.47</v>
      </c>
      <c r="Q24" s="165">
        <v>214</v>
      </c>
      <c r="R24" s="165">
        <v>2.36</v>
      </c>
    </row>
    <row r="25" spans="1:18" x14ac:dyDescent="0.25">
      <c r="A25" s="165">
        <v>26.2</v>
      </c>
      <c r="B25" s="165">
        <v>0.26</v>
      </c>
      <c r="C25" s="165">
        <v>20.49</v>
      </c>
      <c r="D25" s="8">
        <v>42715.958333333336</v>
      </c>
      <c r="E25" s="165">
        <v>0.79</v>
      </c>
      <c r="F25" s="165" t="s">
        <v>257</v>
      </c>
      <c r="G25" s="165">
        <v>278.93</v>
      </c>
      <c r="H25" s="165"/>
      <c r="I25" s="165">
        <v>0</v>
      </c>
      <c r="J25" s="165">
        <v>0</v>
      </c>
      <c r="K25" s="165"/>
      <c r="L25" s="165">
        <v>1017.75</v>
      </c>
      <c r="M25" s="165" t="s">
        <v>266</v>
      </c>
      <c r="N25" s="165">
        <v>26.2</v>
      </c>
      <c r="O25" s="165">
        <v>1481522400</v>
      </c>
      <c r="P25" s="165">
        <v>6.12</v>
      </c>
      <c r="Q25" s="165">
        <v>231</v>
      </c>
      <c r="R25" s="165">
        <v>2.4</v>
      </c>
    </row>
    <row r="26" spans="1:18" x14ac:dyDescent="0.25">
      <c r="A26" s="165">
        <v>22.13</v>
      </c>
      <c r="B26" s="165">
        <v>0.3</v>
      </c>
      <c r="C26" s="165">
        <v>20.43</v>
      </c>
      <c r="D26" s="8">
        <v>42716</v>
      </c>
      <c r="E26" s="165">
        <v>0.8</v>
      </c>
      <c r="F26" s="165" t="s">
        <v>257</v>
      </c>
      <c r="G26" s="165">
        <v>277.95</v>
      </c>
      <c r="H26" s="165"/>
      <c r="I26" s="165">
        <v>0</v>
      </c>
      <c r="J26" s="165">
        <v>0</v>
      </c>
      <c r="K26" s="165"/>
      <c r="L26" s="165">
        <v>1017.37</v>
      </c>
      <c r="M26" s="165" t="s">
        <v>266</v>
      </c>
      <c r="N26" s="165">
        <v>25.86</v>
      </c>
      <c r="O26" s="165">
        <v>1481526000</v>
      </c>
      <c r="P26" s="165">
        <v>5.86</v>
      </c>
      <c r="Q26" s="165">
        <v>228</v>
      </c>
      <c r="R26" s="165">
        <v>3.15</v>
      </c>
    </row>
    <row r="27" spans="1:18" x14ac:dyDescent="0.25">
      <c r="A27" s="165">
        <v>25.25</v>
      </c>
      <c r="B27" s="165">
        <v>0.4</v>
      </c>
      <c r="C27" s="165">
        <v>19.600000000000001</v>
      </c>
      <c r="D27" s="8">
        <v>42716.041666666664</v>
      </c>
      <c r="E27" s="165">
        <v>0.79</v>
      </c>
      <c r="F27" s="165" t="s">
        <v>257</v>
      </c>
      <c r="G27" s="165">
        <v>276.97000000000003</v>
      </c>
      <c r="H27" s="165"/>
      <c r="I27" s="165">
        <v>0</v>
      </c>
      <c r="J27" s="165">
        <v>0</v>
      </c>
      <c r="K27" s="165"/>
      <c r="L27" s="165">
        <v>1016.96</v>
      </c>
      <c r="M27" s="165" t="s">
        <v>266</v>
      </c>
      <c r="N27" s="165">
        <v>25.25</v>
      </c>
      <c r="O27" s="165">
        <v>1481529600</v>
      </c>
      <c r="P27" s="165">
        <v>6.62</v>
      </c>
      <c r="Q27" s="165">
        <v>266</v>
      </c>
      <c r="R27" s="165">
        <v>2.2999999999999998</v>
      </c>
    </row>
    <row r="28" spans="1:18" x14ac:dyDescent="0.25">
      <c r="A28" s="165">
        <v>24.97</v>
      </c>
      <c r="B28" s="165">
        <v>0.33</v>
      </c>
      <c r="C28" s="165">
        <v>19.3</v>
      </c>
      <c r="D28" s="8">
        <v>42716.083333333336</v>
      </c>
      <c r="E28" s="165">
        <v>0.79</v>
      </c>
      <c r="F28" s="165" t="s">
        <v>257</v>
      </c>
      <c r="G28" s="165">
        <v>275.98</v>
      </c>
      <c r="H28" s="165"/>
      <c r="I28" s="165">
        <v>0</v>
      </c>
      <c r="J28" s="165">
        <v>0</v>
      </c>
      <c r="K28" s="165"/>
      <c r="L28" s="165">
        <v>1016.56</v>
      </c>
      <c r="M28" s="165" t="s">
        <v>266</v>
      </c>
      <c r="N28" s="165">
        <v>24.97</v>
      </c>
      <c r="O28" s="165">
        <v>1481533200</v>
      </c>
      <c r="P28" s="165">
        <v>7.04</v>
      </c>
      <c r="Q28" s="165">
        <v>270</v>
      </c>
      <c r="R28" s="165">
        <v>1.88</v>
      </c>
    </row>
    <row r="29" spans="1:18" x14ac:dyDescent="0.25">
      <c r="A29" s="165">
        <v>23.36</v>
      </c>
      <c r="B29" s="165">
        <v>0.24</v>
      </c>
      <c r="C29" s="165">
        <v>16.25</v>
      </c>
      <c r="D29" s="8">
        <v>42716.125</v>
      </c>
      <c r="E29" s="165">
        <v>0.74</v>
      </c>
      <c r="F29" s="165" t="s">
        <v>663</v>
      </c>
      <c r="G29" s="165">
        <v>276.38</v>
      </c>
      <c r="H29" s="165"/>
      <c r="I29" s="165">
        <v>0</v>
      </c>
      <c r="J29" s="165">
        <v>0</v>
      </c>
      <c r="K29" s="165"/>
      <c r="L29" s="165">
        <v>1016</v>
      </c>
      <c r="M29" s="165" t="s">
        <v>664</v>
      </c>
      <c r="N29" s="165">
        <v>23.36</v>
      </c>
      <c r="O29" s="165">
        <v>1481536800</v>
      </c>
      <c r="P29" s="165">
        <v>7.85</v>
      </c>
      <c r="Q29" s="165">
        <v>264</v>
      </c>
      <c r="R29" s="165">
        <v>2.54</v>
      </c>
    </row>
    <row r="30" spans="1:18" x14ac:dyDescent="0.25">
      <c r="A30"/>
      <c r="B30"/>
      <c r="C30"/>
      <c r="D30" s="8"/>
      <c r="E30"/>
      <c r="F30"/>
      <c r="G30"/>
      <c r="H30"/>
      <c r="I30"/>
      <c r="J30"/>
      <c r="K30"/>
      <c r="L30"/>
      <c r="M30"/>
      <c r="N30"/>
      <c r="O30"/>
      <c r="P30"/>
    </row>
    <row r="31" spans="1:18" x14ac:dyDescent="0.25">
      <c r="A31" s="133" t="s">
        <v>203</v>
      </c>
    </row>
    <row r="33" spans="1:1" x14ac:dyDescent="0.25">
      <c r="A33" s="133" t="s">
        <v>187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0"/>
  </sheetPr>
  <dimension ref="A1:P34"/>
  <sheetViews>
    <sheetView workbookViewId="0">
      <selection activeCell="D13" sqref="D13"/>
    </sheetView>
  </sheetViews>
  <sheetFormatPr defaultRowHeight="15" x14ac:dyDescent="0.25"/>
  <cols>
    <col min="1" max="1" width="32.140625" customWidth="1"/>
    <col min="3" max="3" width="24" customWidth="1"/>
    <col min="4" max="4" width="19.140625" style="69" customWidth="1"/>
    <col min="10" max="10" width="24.28515625" bestFit="1" customWidth="1"/>
    <col min="11" max="11" width="15.28515625" hidden="1" customWidth="1"/>
    <col min="12" max="12" width="13.5703125" hidden="1" customWidth="1"/>
    <col min="13" max="13" width="9" style="165" bestFit="1" customWidth="1"/>
    <col min="16" max="16" width="9.140625" style="165"/>
  </cols>
  <sheetData>
    <row r="1" spans="1:16" ht="45.75" x14ac:dyDescent="0.3">
      <c r="A1" s="11" t="s">
        <v>25</v>
      </c>
      <c r="C1" s="142" t="s">
        <v>99</v>
      </c>
      <c r="D1" s="143" t="s">
        <v>100</v>
      </c>
      <c r="J1" s="32" t="s">
        <v>101</v>
      </c>
      <c r="K1" s="32" t="s">
        <v>66</v>
      </c>
      <c r="L1" s="32" t="s">
        <v>67</v>
      </c>
      <c r="O1" s="70" t="s">
        <v>102</v>
      </c>
    </row>
    <row r="2" spans="1:16" ht="15.75" thickBot="1" x14ac:dyDescent="0.3">
      <c r="A2" s="12">
        <v>42715</v>
      </c>
      <c r="B2" s="4"/>
      <c r="C2" s="144">
        <v>50</v>
      </c>
      <c r="D2" s="145">
        <v>25</v>
      </c>
      <c r="F2" t="s">
        <v>114</v>
      </c>
      <c r="J2" s="32"/>
      <c r="K2" s="32" t="s">
        <v>66</v>
      </c>
      <c r="L2" s="32" t="s">
        <v>67</v>
      </c>
    </row>
    <row r="3" spans="1:16" x14ac:dyDescent="0.25">
      <c r="C3" s="69"/>
      <c r="F3" t="s">
        <v>52</v>
      </c>
      <c r="J3" s="33" t="s">
        <v>68</v>
      </c>
      <c r="K3" s="34">
        <v>2.7052</v>
      </c>
      <c r="L3" s="34">
        <v>2.7349999999999999</v>
      </c>
      <c r="M3" s="165">
        <f t="shared" ref="M3:M14" si="0">AVERAGE(K3:L3)</f>
        <v>2.7201</v>
      </c>
      <c r="O3" t="s">
        <v>103</v>
      </c>
      <c r="P3" s="165">
        <f>AVERAGE(1.0714,1.1016)</f>
        <v>1.0865</v>
      </c>
    </row>
    <row r="4" spans="1:16" ht="45" x14ac:dyDescent="0.25">
      <c r="C4" s="142" t="s">
        <v>99</v>
      </c>
      <c r="D4" s="143" t="s">
        <v>100</v>
      </c>
      <c r="F4" t="s">
        <v>53</v>
      </c>
      <c r="J4" s="33" t="s">
        <v>69</v>
      </c>
      <c r="K4" s="34">
        <v>3.0830000000000002</v>
      </c>
      <c r="L4" s="34">
        <v>3.097</v>
      </c>
      <c r="M4" s="165">
        <f t="shared" si="0"/>
        <v>3.09</v>
      </c>
    </row>
    <row r="5" spans="1:16" x14ac:dyDescent="0.25">
      <c r="C5" s="69">
        <v>30</v>
      </c>
      <c r="D5" s="69">
        <v>9</v>
      </c>
      <c r="J5" s="33" t="s">
        <v>70</v>
      </c>
      <c r="K5" s="34">
        <v>3.3136000000000001</v>
      </c>
      <c r="L5" s="34">
        <v>3.3256999999999999</v>
      </c>
      <c r="M5" s="165">
        <f t="shared" si="0"/>
        <v>3.3196500000000002</v>
      </c>
    </row>
    <row r="6" spans="1:16" x14ac:dyDescent="0.25">
      <c r="C6" s="69"/>
      <c r="F6" t="s">
        <v>115</v>
      </c>
      <c r="J6" s="33" t="s">
        <v>71</v>
      </c>
      <c r="K6" s="34">
        <v>4.2778999999999998</v>
      </c>
      <c r="L6" s="34">
        <v>4.2961</v>
      </c>
      <c r="M6" s="165">
        <f t="shared" si="0"/>
        <v>4.2869999999999999</v>
      </c>
    </row>
    <row r="7" spans="1:16" x14ac:dyDescent="0.25">
      <c r="C7" s="69"/>
      <c r="F7" t="s">
        <v>116</v>
      </c>
      <c r="J7" s="33" t="s">
        <v>72</v>
      </c>
      <c r="K7" s="34">
        <v>4.7865000000000002</v>
      </c>
      <c r="L7" s="34">
        <v>4.8048000000000002</v>
      </c>
      <c r="M7" s="165">
        <f t="shared" si="0"/>
        <v>4.7956500000000002</v>
      </c>
    </row>
    <row r="8" spans="1:16" x14ac:dyDescent="0.25">
      <c r="C8" s="69"/>
      <c r="F8" t="s">
        <v>117</v>
      </c>
      <c r="J8" s="33" t="s">
        <v>73</v>
      </c>
      <c r="K8" s="34">
        <v>5.3155000000000001</v>
      </c>
      <c r="L8" s="34">
        <v>5.3277000000000001</v>
      </c>
      <c r="M8" s="165">
        <f t="shared" si="0"/>
        <v>5.3216000000000001</v>
      </c>
    </row>
    <row r="9" spans="1:16" x14ac:dyDescent="0.25">
      <c r="C9" s="69"/>
      <c r="J9" s="33" t="s">
        <v>74</v>
      </c>
      <c r="K9" s="34">
        <v>5.8117000000000001</v>
      </c>
      <c r="L9" s="34">
        <v>5.8300999999999998</v>
      </c>
      <c r="M9" s="165">
        <f t="shared" si="0"/>
        <v>5.8209</v>
      </c>
    </row>
    <row r="10" spans="1:16" x14ac:dyDescent="0.25">
      <c r="C10" s="69"/>
      <c r="J10" s="33" t="s">
        <v>75</v>
      </c>
      <c r="K10" s="34">
        <v>5.8783000000000003</v>
      </c>
      <c r="L10" s="34">
        <v>5.8903999999999996</v>
      </c>
      <c r="M10" s="165">
        <f t="shared" si="0"/>
        <v>5.8843499999999995</v>
      </c>
    </row>
    <row r="11" spans="1:16" x14ac:dyDescent="0.25">
      <c r="C11" s="69"/>
      <c r="J11" s="33" t="s">
        <v>76</v>
      </c>
      <c r="K11" s="34">
        <v>6.3068</v>
      </c>
      <c r="L11" s="34">
        <v>6.3308999999999997</v>
      </c>
      <c r="M11" s="165">
        <f t="shared" si="0"/>
        <v>6.3188499999999994</v>
      </c>
    </row>
    <row r="12" spans="1:16" x14ac:dyDescent="0.25">
      <c r="C12" s="69"/>
      <c r="J12" s="33" t="s">
        <v>77</v>
      </c>
      <c r="K12" s="34">
        <v>7.8349000000000002</v>
      </c>
      <c r="L12" s="34">
        <v>7.8468999999999998</v>
      </c>
      <c r="M12" s="165">
        <f t="shared" si="0"/>
        <v>7.8408999999999995</v>
      </c>
    </row>
    <row r="13" spans="1:16" x14ac:dyDescent="0.25">
      <c r="C13" s="69"/>
      <c r="J13" s="33" t="s">
        <v>78</v>
      </c>
      <c r="K13" s="34">
        <v>10.373799999999999</v>
      </c>
      <c r="L13" s="34">
        <v>10.38</v>
      </c>
      <c r="M13" s="165">
        <f t="shared" si="0"/>
        <v>10.376899999999999</v>
      </c>
    </row>
    <row r="14" spans="1:16" x14ac:dyDescent="0.25">
      <c r="C14" s="69"/>
      <c r="J14" s="33" t="s">
        <v>79</v>
      </c>
      <c r="K14" s="34">
        <v>10.8954</v>
      </c>
      <c r="L14" s="34">
        <v>10.913500000000001</v>
      </c>
      <c r="M14" s="165">
        <f t="shared" si="0"/>
        <v>10.904450000000001</v>
      </c>
    </row>
    <row r="15" spans="1:16" x14ac:dyDescent="0.25">
      <c r="C15" s="69"/>
      <c r="J15" s="33"/>
      <c r="K15" s="34"/>
      <c r="L15" s="34"/>
    </row>
    <row r="16" spans="1:16" x14ac:dyDescent="0.25">
      <c r="C16" s="69"/>
      <c r="J16" s="33"/>
      <c r="K16" s="34"/>
      <c r="L16" s="34"/>
    </row>
    <row r="17" spans="3:13" x14ac:dyDescent="0.25">
      <c r="C17" s="160" t="s">
        <v>204</v>
      </c>
      <c r="J17" s="33"/>
      <c r="K17" s="34"/>
      <c r="L17" s="34"/>
    </row>
    <row r="18" spans="3:13" x14ac:dyDescent="0.25">
      <c r="C18" t="s">
        <v>819</v>
      </c>
      <c r="J18" s="33" t="s">
        <v>85</v>
      </c>
      <c r="K18" s="34"/>
      <c r="L18" s="34"/>
      <c r="M18" s="165" t="str">
        <f>"""C:\Program Files (x86)\AstroGrep\AstroGrep.exe"""</f>
        <v>"C:\Program Files (x86)\AstroGrep\AstroGrep.exe"</v>
      </c>
    </row>
    <row r="19" spans="3:13" x14ac:dyDescent="0.25">
      <c r="C19" t="s">
        <v>835</v>
      </c>
      <c r="J19" s="33" t="s">
        <v>86</v>
      </c>
      <c r="K19" s="34"/>
      <c r="L19" s="34"/>
      <c r="M19" s="165" t="s">
        <v>112</v>
      </c>
    </row>
    <row r="20" spans="3:13" x14ac:dyDescent="0.25">
      <c r="C20" t="s">
        <v>820</v>
      </c>
      <c r="J20" t="s">
        <v>87</v>
      </c>
      <c r="M20" s="165" t="s">
        <v>264</v>
      </c>
    </row>
    <row r="21" spans="3:13" x14ac:dyDescent="0.25">
      <c r="C21" t="s">
        <v>821</v>
      </c>
      <c r="J21" s="21" t="s">
        <v>90</v>
      </c>
      <c r="K21" s="21" t="s">
        <v>91</v>
      </c>
      <c r="M21" s="165" t="s">
        <v>182</v>
      </c>
    </row>
    <row r="22" spans="3:13" x14ac:dyDescent="0.25">
      <c r="C22" t="s">
        <v>822</v>
      </c>
      <c r="J22" s="21" t="s">
        <v>92</v>
      </c>
      <c r="K22" s="21" t="s">
        <v>93</v>
      </c>
      <c r="M22" s="165" t="s">
        <v>111</v>
      </c>
    </row>
    <row r="23" spans="3:13" x14ac:dyDescent="0.25">
      <c r="C23" t="s">
        <v>823</v>
      </c>
      <c r="J23" s="29" t="s">
        <v>95</v>
      </c>
      <c r="K23" s="21"/>
      <c r="M23" s="165">
        <v>-7</v>
      </c>
    </row>
    <row r="24" spans="3:13" x14ac:dyDescent="0.25">
      <c r="C24" t="s">
        <v>824</v>
      </c>
      <c r="J24" s="21" t="s">
        <v>108</v>
      </c>
      <c r="K24" s="21"/>
      <c r="M24" s="165" t="s">
        <v>110</v>
      </c>
    </row>
    <row r="25" spans="3:13" x14ac:dyDescent="0.25">
      <c r="C25" t="s">
        <v>825</v>
      </c>
      <c r="J25" t="s">
        <v>151</v>
      </c>
      <c r="M25" s="165" t="b">
        <v>1</v>
      </c>
    </row>
    <row r="26" spans="3:13" x14ac:dyDescent="0.25">
      <c r="C26" t="s">
        <v>826</v>
      </c>
      <c r="J26" t="s">
        <v>152</v>
      </c>
      <c r="M26" s="165" t="str">
        <f>"C:\Users\stu\Documents\GitHub\eaglep3-reporting\EC\"&amp;TEXT(A2,"yyyy-mm-dd")&amp;"-refined-times.txt"</f>
        <v>C:\Users\stu\Documents\GitHub\eaglep3-reporting\EC\2016-12-11-refined-times.txt</v>
      </c>
    </row>
    <row r="27" spans="3:13" x14ac:dyDescent="0.25">
      <c r="C27" t="s">
        <v>827</v>
      </c>
      <c r="J27" t="s">
        <v>188</v>
      </c>
      <c r="M27" s="165" t="str">
        <f>"C:\Users\stu\Documents\GitHub\eaglep3-reporting\EC\"&amp;TEXT(A2,"YYYY-MM-DD")&amp;"-Enforcements.txt"</f>
        <v>C:\Users\stu\Documents\GitHub\eaglep3-reporting\EC\2016-12-11-Enforcements.txt</v>
      </c>
    </row>
    <row r="28" spans="3:13" x14ac:dyDescent="0.25">
      <c r="C28" t="s">
        <v>828</v>
      </c>
      <c r="J28" t="s">
        <v>189</v>
      </c>
      <c r="M28" s="165" t="str">
        <f>"C:\Users\stu\Documents\GitHub\eaglep3-reporting\EC\"&amp;TEXT(A2,"YYYY-MM-DD")&amp;"-Runs.txt"</f>
        <v>C:\Users\stu\Documents\GitHub\eaglep3-reporting\EC\2016-12-11-Runs.txt</v>
      </c>
    </row>
    <row r="29" spans="3:13" x14ac:dyDescent="0.25">
      <c r="C29" t="s">
        <v>829</v>
      </c>
      <c r="J29" t="s">
        <v>190</v>
      </c>
      <c r="M29" s="165" t="str">
        <f>"C:\Users\stu\Documents\GitHub\eaglep3-reporting\EC\"&amp;TEXT(A2,"YYYY-MM-DD")&amp;"-Trips.txt"</f>
        <v>C:\Users\stu\Documents\GitHub\eaglep3-reporting\EC\2016-12-11-Trips.txt</v>
      </c>
    </row>
    <row r="30" spans="3:13" x14ac:dyDescent="0.25">
      <c r="C30" t="s">
        <v>830</v>
      </c>
      <c r="J30" t="s">
        <v>191</v>
      </c>
      <c r="M30" s="165" t="str">
        <f>"C:\Users\stu\Documents\GitHub\eaglep3-reporting\EC\"&amp;TEXT(A2,"YYYY-MM-DD")&amp;"-Weather.txt"</f>
        <v>C:\Users\stu\Documents\GitHub\eaglep3-reporting\EC\2016-12-11-Weather.txt</v>
      </c>
    </row>
    <row r="31" spans="3:13" x14ac:dyDescent="0.25">
      <c r="C31" t="s">
        <v>831</v>
      </c>
    </row>
    <row r="32" spans="3:13" x14ac:dyDescent="0.25">
      <c r="C32" t="s">
        <v>832</v>
      </c>
    </row>
    <row r="33" spans="3:3" x14ac:dyDescent="0.25">
      <c r="C33" t="s">
        <v>833</v>
      </c>
    </row>
    <row r="34" spans="3:3" x14ac:dyDescent="0.25">
      <c r="C34" t="s">
        <v>834</v>
      </c>
    </row>
  </sheetData>
  <pageMargins left="0.7" right="0.7" top="0.75" bottom="0.75" header="0.3" footer="0.3"/>
  <pageSetup orientation="portrait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2]!Mail_workbook_Outlook">
                <anchor moveWithCells="1" sizeWithCells="1">
                  <from>
                    <xdr:col>0</xdr:col>
                    <xdr:colOff>295275</xdr:colOff>
                    <xdr:row>5</xdr:row>
                    <xdr:rowOff>47625</xdr:rowOff>
                  </from>
                  <to>
                    <xdr:col>0</xdr:col>
                    <xdr:colOff>1628775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6" r:id="rId5" name="Button 2">
              <controlPr defaultSize="0" print="0" autoFill="0" autoPict="0" macro="[2]!ImportRawText">
                <anchor moveWithCells="1" sizeWithCells="1">
                  <from>
                    <xdr:col>0</xdr:col>
                    <xdr:colOff>304800</xdr:colOff>
                    <xdr:row>9</xdr:row>
                    <xdr:rowOff>85725</xdr:rowOff>
                  </from>
                  <to>
                    <xdr:col>0</xdr:col>
                    <xdr:colOff>1552575</xdr:colOff>
                    <xdr:row>12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47" r:id="rId6" name="Button 3">
              <controlPr defaultSize="0" print="0" autoFill="0" autoPict="0" macro="[2]!SetTodaysDate">
                <anchor moveWithCells="1" sizeWithCells="1">
                  <from>
                    <xdr:col>0</xdr:col>
                    <xdr:colOff>295275</xdr:colOff>
                    <xdr:row>12</xdr:row>
                    <xdr:rowOff>142875</xdr:rowOff>
                  </from>
                  <to>
                    <xdr:col>0</xdr:col>
                    <xdr:colOff>1543050</xdr:colOff>
                    <xdr:row>15</xdr:row>
                    <xdr:rowOff>95250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tabColor theme="0"/>
  </sheetPr>
  <dimension ref="A1:K15"/>
  <sheetViews>
    <sheetView workbookViewId="0"/>
  </sheetViews>
  <sheetFormatPr defaultRowHeight="15" x14ac:dyDescent="0.25"/>
  <cols>
    <col min="1" max="1" width="32.85546875" style="113" bestFit="1" customWidth="1"/>
    <col min="2" max="7" width="9.140625" style="113"/>
    <col min="8" max="8" width="17.7109375" style="113" bestFit="1" customWidth="1"/>
    <col min="9" max="9" width="9.140625" style="115"/>
    <col min="10" max="16384" width="9.140625" style="113"/>
  </cols>
  <sheetData>
    <row r="1" spans="1:11" x14ac:dyDescent="0.25">
      <c r="A1" s="112" t="s">
        <v>122</v>
      </c>
      <c r="B1" s="112" t="s">
        <v>123</v>
      </c>
      <c r="C1" s="113" t="s">
        <v>124</v>
      </c>
      <c r="H1" t="s">
        <v>118</v>
      </c>
      <c r="I1" s="114" t="s">
        <v>120</v>
      </c>
      <c r="J1"/>
    </row>
    <row r="2" spans="1:11" x14ac:dyDescent="0.25">
      <c r="A2" s="113" t="s">
        <v>125</v>
      </c>
      <c r="B2" s="113" t="s">
        <v>126</v>
      </c>
      <c r="C2" s="113" t="s">
        <v>127</v>
      </c>
      <c r="H2" t="s">
        <v>119</v>
      </c>
      <c r="I2" s="106" t="s">
        <v>121</v>
      </c>
      <c r="J2"/>
    </row>
    <row r="3" spans="1:11" x14ac:dyDescent="0.25">
      <c r="A3" s="113" t="s">
        <v>128</v>
      </c>
      <c r="B3" s="113" t="s">
        <v>129</v>
      </c>
      <c r="C3" s="113" t="s">
        <v>130</v>
      </c>
      <c r="H3" t="s">
        <v>144</v>
      </c>
      <c r="I3" s="106">
        <v>1</v>
      </c>
      <c r="J3"/>
      <c r="K3" s="68"/>
    </row>
    <row r="4" spans="1:11" x14ac:dyDescent="0.25">
      <c r="A4" s="113" t="s">
        <v>131</v>
      </c>
      <c r="C4" s="113" t="s">
        <v>132</v>
      </c>
      <c r="H4" t="s">
        <v>145</v>
      </c>
      <c r="I4" s="106">
        <v>2</v>
      </c>
      <c r="J4"/>
      <c r="K4" s="68"/>
    </row>
    <row r="5" spans="1:11" x14ac:dyDescent="0.25">
      <c r="A5" s="113" t="s">
        <v>133</v>
      </c>
      <c r="C5" s="113" t="s">
        <v>134</v>
      </c>
      <c r="H5" t="s">
        <v>146</v>
      </c>
      <c r="I5" s="106">
        <v>23</v>
      </c>
      <c r="J5"/>
      <c r="K5" s="68"/>
    </row>
    <row r="6" spans="1:11" x14ac:dyDescent="0.25">
      <c r="A6" s="113" t="s">
        <v>135</v>
      </c>
      <c r="C6" s="113" t="s">
        <v>136</v>
      </c>
      <c r="H6" s="116" t="s">
        <v>147</v>
      </c>
      <c r="I6" s="117" t="s">
        <v>126</v>
      </c>
    </row>
    <row r="7" spans="1:11" x14ac:dyDescent="0.25">
      <c r="A7" s="113" t="s">
        <v>137</v>
      </c>
      <c r="C7" s="113" t="s">
        <v>138</v>
      </c>
    </row>
    <row r="8" spans="1:11" x14ac:dyDescent="0.25">
      <c r="C8" s="113" t="s">
        <v>139</v>
      </c>
    </row>
    <row r="9" spans="1:11" x14ac:dyDescent="0.25">
      <c r="C9" s="116" t="s">
        <v>174</v>
      </c>
    </row>
    <row r="10" spans="1:11" x14ac:dyDescent="0.25">
      <c r="C10" s="113" t="s">
        <v>140</v>
      </c>
    </row>
    <row r="11" spans="1:11" x14ac:dyDescent="0.25">
      <c r="C11" s="113" t="s">
        <v>141</v>
      </c>
    </row>
    <row r="12" spans="1:11" x14ac:dyDescent="0.25">
      <c r="C12" s="113" t="s">
        <v>142</v>
      </c>
    </row>
    <row r="13" spans="1:11" x14ac:dyDescent="0.25">
      <c r="C13" s="113" t="s">
        <v>143</v>
      </c>
    </row>
    <row r="14" spans="1:11" x14ac:dyDescent="0.25">
      <c r="C14" s="116" t="s">
        <v>175</v>
      </c>
    </row>
    <row r="15" spans="1:11" x14ac:dyDescent="0.25">
      <c r="C15" s="116" t="s">
        <v>210</v>
      </c>
    </row>
  </sheetData>
  <pageMargins left="0.7" right="0.7" top="0.75" bottom="0.75" header="0.3" footer="0.3"/>
  <pageSetup orientation="portrait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C281"/>
  <sheetViews>
    <sheetView workbookViewId="0">
      <selection activeCell="B85" sqref="B85:C115"/>
    </sheetView>
  </sheetViews>
  <sheetFormatPr defaultRowHeight="15" x14ac:dyDescent="0.25"/>
  <cols>
    <col min="2" max="2" width="22.28515625" bestFit="1" customWidth="1"/>
    <col min="3" max="3" width="9.7109375" customWidth="1"/>
  </cols>
  <sheetData>
    <row r="1" spans="1:3" x14ac:dyDescent="0.25">
      <c r="A1" t="s">
        <v>852</v>
      </c>
      <c r="B1" t="str">
        <f t="shared" ref="B1:B52" si="0">MID(A1,6,23)</f>
        <v>2016/12/11 10:52:39.696</v>
      </c>
      <c r="C1" t="e">
        <f>ABS(B1-#REF!)</f>
        <v>#REF!</v>
      </c>
    </row>
    <row r="2" spans="1:3" x14ac:dyDescent="0.25">
      <c r="A2" t="s">
        <v>853</v>
      </c>
      <c r="B2" s="21" t="str">
        <f t="shared" si="0"/>
        <v>2016/12/11 10:52:39.814</v>
      </c>
      <c r="C2">
        <f>ABS(B2-B1)</f>
        <v>1.3657408999279141E-6</v>
      </c>
    </row>
    <row r="3" spans="1:3" x14ac:dyDescent="0.25">
      <c r="A3" t="s">
        <v>854</v>
      </c>
      <c r="B3" s="21" t="str">
        <f t="shared" si="0"/>
        <v>2016/12/11 11:22:19.682</v>
      </c>
      <c r="C3" s="21">
        <f t="shared" ref="C3:C52" si="1">ABS(B3-B2)</f>
        <v>2.0600324074621312E-2</v>
      </c>
    </row>
    <row r="4" spans="1:3" x14ac:dyDescent="0.25">
      <c r="A4" t="s">
        <v>855</v>
      </c>
      <c r="B4" s="21" t="str">
        <f t="shared" si="0"/>
        <v>2016/12/11 12:56:52.948</v>
      </c>
      <c r="C4" s="21">
        <f t="shared" si="1"/>
        <v>6.5662800923746545E-2</v>
      </c>
    </row>
    <row r="5" spans="1:3" x14ac:dyDescent="0.25">
      <c r="A5" t="s">
        <v>856</v>
      </c>
      <c r="B5" s="21" t="str">
        <f t="shared" si="0"/>
        <v>2016/12/11 12:56:53.456</v>
      </c>
      <c r="C5" s="21">
        <f t="shared" si="1"/>
        <v>5.8796285884454846E-6</v>
      </c>
    </row>
    <row r="6" spans="1:3" x14ac:dyDescent="0.25">
      <c r="A6" t="s">
        <v>857</v>
      </c>
      <c r="B6" s="21" t="str">
        <f t="shared" si="0"/>
        <v>2016/12/11 12:56:53.781</v>
      </c>
      <c r="C6" s="21">
        <f t="shared" si="1"/>
        <v>3.7615754990838468E-6</v>
      </c>
    </row>
    <row r="7" spans="1:3" x14ac:dyDescent="0.25">
      <c r="A7" t="s">
        <v>858</v>
      </c>
      <c r="B7" s="21" t="str">
        <f t="shared" si="0"/>
        <v>2016/12/11 13:32:56.943</v>
      </c>
      <c r="C7" s="21">
        <f t="shared" si="1"/>
        <v>2.5036597224243451E-2</v>
      </c>
    </row>
    <row r="8" spans="1:3" x14ac:dyDescent="0.25">
      <c r="A8" t="s">
        <v>859</v>
      </c>
      <c r="B8" s="21" t="str">
        <f t="shared" si="0"/>
        <v>2016/12/11 13:32:58.220</v>
      </c>
      <c r="C8" s="21">
        <f t="shared" si="1"/>
        <v>1.4780089259147644E-5</v>
      </c>
    </row>
    <row r="9" spans="1:3" x14ac:dyDescent="0.25">
      <c r="A9" t="s">
        <v>860</v>
      </c>
      <c r="B9" s="21" t="str">
        <f t="shared" si="0"/>
        <v>2016/12/11 13:32:58.636</v>
      </c>
      <c r="C9" s="21">
        <f t="shared" si="1"/>
        <v>4.8148140194825828E-6</v>
      </c>
    </row>
    <row r="10" spans="1:3" x14ac:dyDescent="0.25">
      <c r="A10" t="s">
        <v>861</v>
      </c>
      <c r="B10" s="21" t="str">
        <f t="shared" si="0"/>
        <v>2016/12/11 13:48:08.470</v>
      </c>
      <c r="C10" s="21">
        <f t="shared" si="1"/>
        <v>1.053048611356644E-2</v>
      </c>
    </row>
    <row r="11" spans="1:3" x14ac:dyDescent="0.25">
      <c r="A11" t="s">
        <v>862</v>
      </c>
      <c r="B11" s="21" t="str">
        <f t="shared" si="0"/>
        <v>2016/12/11 13:48:08.800</v>
      </c>
      <c r="C11" s="21">
        <f t="shared" si="1"/>
        <v>3.8194411899894476E-6</v>
      </c>
    </row>
    <row r="12" spans="1:3" x14ac:dyDescent="0.25">
      <c r="A12" t="s">
        <v>863</v>
      </c>
      <c r="B12" s="21" t="str">
        <f t="shared" si="0"/>
        <v>2016/12/11 13:48:08.967</v>
      </c>
      <c r="C12" s="21">
        <f t="shared" si="1"/>
        <v>1.9328726921230555E-6</v>
      </c>
    </row>
    <row r="13" spans="1:3" x14ac:dyDescent="0.25">
      <c r="A13" t="s">
        <v>864</v>
      </c>
      <c r="B13" s="21" t="str">
        <f t="shared" si="0"/>
        <v>2016/12/11 14:16:42.098</v>
      </c>
      <c r="C13" s="21">
        <f t="shared" si="1"/>
        <v>1.982790508918697E-2</v>
      </c>
    </row>
    <row r="14" spans="1:3" x14ac:dyDescent="0.25">
      <c r="A14" t="s">
        <v>865</v>
      </c>
      <c r="B14" s="21" t="str">
        <f t="shared" si="0"/>
        <v>2016/12/11 14:16:42.403</v>
      </c>
      <c r="C14" s="21">
        <f t="shared" si="1"/>
        <v>3.5300981835462153E-6</v>
      </c>
    </row>
    <row r="15" spans="1:3" x14ac:dyDescent="0.25">
      <c r="A15" t="s">
        <v>866</v>
      </c>
      <c r="B15" s="21" t="str">
        <f t="shared" si="0"/>
        <v>2016/12/11 14:16:42.562</v>
      </c>
      <c r="C15" s="21">
        <f t="shared" si="1"/>
        <v>1.8402788555249572E-6</v>
      </c>
    </row>
    <row r="16" spans="1:3" x14ac:dyDescent="0.25">
      <c r="A16" t="s">
        <v>867</v>
      </c>
      <c r="B16" s="21" t="str">
        <f t="shared" si="0"/>
        <v>2016/12/11 14:52:13.398</v>
      </c>
      <c r="C16" s="21">
        <f t="shared" si="1"/>
        <v>2.4662453703058418E-2</v>
      </c>
    </row>
    <row r="17" spans="1:3" x14ac:dyDescent="0.25">
      <c r="A17" t="s">
        <v>868</v>
      </c>
      <c r="B17" s="21" t="str">
        <f t="shared" si="0"/>
        <v>2016/12/11 14:52:13.554</v>
      </c>
      <c r="C17" s="21">
        <f t="shared" si="1"/>
        <v>1.8055507098324597E-6</v>
      </c>
    </row>
    <row r="18" spans="1:3" x14ac:dyDescent="0.25">
      <c r="A18" t="s">
        <v>869</v>
      </c>
      <c r="B18" s="21" t="str">
        <f t="shared" si="0"/>
        <v>2016/12/11 14:52:14.092</v>
      </c>
      <c r="C18" s="21">
        <f t="shared" si="1"/>
        <v>6.2268518377095461E-6</v>
      </c>
    </row>
    <row r="19" spans="1:3" x14ac:dyDescent="0.25">
      <c r="A19" t="s">
        <v>870</v>
      </c>
      <c r="B19" s="21" t="str">
        <f t="shared" si="0"/>
        <v>2016/12/11 14:56:27.298</v>
      </c>
      <c r="C19" s="21">
        <f t="shared" si="1"/>
        <v>2.9306249998626299E-3</v>
      </c>
    </row>
    <row r="20" spans="1:3" x14ac:dyDescent="0.25">
      <c r="A20" t="s">
        <v>871</v>
      </c>
      <c r="B20" s="21" t="str">
        <f t="shared" si="0"/>
        <v>2016/12/11 14:56:27.458</v>
      </c>
      <c r="C20" s="21">
        <f t="shared" si="1"/>
        <v>1.851854904089123E-6</v>
      </c>
    </row>
    <row r="21" spans="1:3" x14ac:dyDescent="0.25">
      <c r="A21" t="s">
        <v>872</v>
      </c>
      <c r="B21" s="21" t="str">
        <f t="shared" si="0"/>
        <v>2016/12/11 15:07:04.146</v>
      </c>
      <c r="C21" s="21">
        <f t="shared" si="1"/>
        <v>7.3690740755409934E-3</v>
      </c>
    </row>
    <row r="22" spans="1:3" x14ac:dyDescent="0.25">
      <c r="A22" t="s">
        <v>873</v>
      </c>
      <c r="B22" s="21" t="str">
        <f t="shared" si="0"/>
        <v>2016/12/11 15:07:04.289</v>
      </c>
      <c r="C22" s="21">
        <f t="shared" si="1"/>
        <v>1.6550911823287606E-6</v>
      </c>
    </row>
    <row r="23" spans="1:3" x14ac:dyDescent="0.25">
      <c r="A23" t="s">
        <v>874</v>
      </c>
      <c r="B23" s="21" t="str">
        <f t="shared" si="0"/>
        <v>2016/12/11 15:07:04.688</v>
      </c>
      <c r="C23" s="21">
        <f t="shared" si="1"/>
        <v>4.6180575736798346E-6</v>
      </c>
    </row>
    <row r="24" spans="1:3" x14ac:dyDescent="0.25">
      <c r="A24" t="s">
        <v>875</v>
      </c>
      <c r="B24" s="21" t="str">
        <f t="shared" si="0"/>
        <v>2016/12/11 15:16:58.955</v>
      </c>
      <c r="C24" s="21">
        <f t="shared" si="1"/>
        <v>6.8780902729486115E-3</v>
      </c>
    </row>
    <row r="25" spans="1:3" x14ac:dyDescent="0.25">
      <c r="A25" t="s">
        <v>876</v>
      </c>
      <c r="B25" s="21" t="str">
        <f t="shared" si="0"/>
        <v>2016/12/11 15:16:58.962</v>
      </c>
      <c r="C25" s="21">
        <f t="shared" si="1"/>
        <v>8.1017788033932447E-8</v>
      </c>
    </row>
    <row r="26" spans="1:3" x14ac:dyDescent="0.25">
      <c r="A26" t="s">
        <v>877</v>
      </c>
      <c r="B26" s="21" t="str">
        <f t="shared" si="0"/>
        <v>2016/12/11 15:16:59.646</v>
      </c>
      <c r="C26" s="21">
        <f t="shared" si="1"/>
        <v>7.9166711657308042E-6</v>
      </c>
    </row>
    <row r="27" spans="1:3" x14ac:dyDescent="0.25">
      <c r="A27" t="s">
        <v>878</v>
      </c>
      <c r="B27" s="21" t="str">
        <f t="shared" si="0"/>
        <v>2016/12/11 15:21:17.600</v>
      </c>
      <c r="C27" s="21">
        <f t="shared" si="1"/>
        <v>2.9855786997359246E-3</v>
      </c>
    </row>
    <row r="28" spans="1:3" x14ac:dyDescent="0.25">
      <c r="A28" t="s">
        <v>879</v>
      </c>
      <c r="B28" s="21" t="str">
        <f t="shared" si="0"/>
        <v>2016/12/11 15:21:18.201</v>
      </c>
      <c r="C28" s="21">
        <f t="shared" si="1"/>
        <v>6.9560192059725523E-6</v>
      </c>
    </row>
    <row r="29" spans="1:3" x14ac:dyDescent="0.25">
      <c r="A29" t="s">
        <v>880</v>
      </c>
      <c r="B29" s="21" t="str">
        <f t="shared" si="0"/>
        <v>2016/12/11 15:37:23.806</v>
      </c>
      <c r="C29" s="21">
        <f t="shared" si="1"/>
        <v>1.1175983796420041E-2</v>
      </c>
    </row>
    <row r="30" spans="1:3" x14ac:dyDescent="0.25">
      <c r="A30" t="s">
        <v>881</v>
      </c>
      <c r="B30" s="21" t="str">
        <f t="shared" si="0"/>
        <v>2016/12/11 15:37:24.544</v>
      </c>
      <c r="C30" s="21">
        <f t="shared" si="1"/>
        <v>8.5416686488315463E-6</v>
      </c>
    </row>
    <row r="31" spans="1:3" x14ac:dyDescent="0.25">
      <c r="A31" t="s">
        <v>882</v>
      </c>
      <c r="B31" s="21" t="str">
        <f t="shared" si="0"/>
        <v>2016/12/11 16:13:31.907</v>
      </c>
      <c r="C31" s="21">
        <f t="shared" si="1"/>
        <v>2.5085219909669831E-2</v>
      </c>
    </row>
    <row r="32" spans="1:3" x14ac:dyDescent="0.25">
      <c r="A32" t="s">
        <v>883</v>
      </c>
      <c r="B32" s="21" t="str">
        <f t="shared" si="0"/>
        <v>2016/12/11 16:13:32.420</v>
      </c>
      <c r="C32" s="21">
        <f t="shared" si="1"/>
        <v>5.9374942793510854E-6</v>
      </c>
    </row>
    <row r="33" spans="1:3" x14ac:dyDescent="0.25">
      <c r="A33" t="s">
        <v>884</v>
      </c>
      <c r="B33" s="21" t="str">
        <f t="shared" si="0"/>
        <v>2016/12/11 16:13:33.000</v>
      </c>
      <c r="C33" s="21">
        <f t="shared" si="1"/>
        <v>6.712965841870755E-6</v>
      </c>
    </row>
    <row r="34" spans="1:3" x14ac:dyDescent="0.25">
      <c r="A34" t="s">
        <v>885</v>
      </c>
      <c r="B34" s="21" t="str">
        <f t="shared" si="0"/>
        <v>2016/12/11 17:19:13.127</v>
      </c>
      <c r="C34" s="21">
        <f t="shared" si="1"/>
        <v>4.5603321756061632E-2</v>
      </c>
    </row>
    <row r="35" spans="1:3" x14ac:dyDescent="0.25">
      <c r="A35" t="s">
        <v>886</v>
      </c>
      <c r="B35" s="21" t="str">
        <f t="shared" si="0"/>
        <v>2016/12/11 17:19:13.271</v>
      </c>
      <c r="C35" s="21">
        <f t="shared" si="1"/>
        <v>1.6666672308929265E-6</v>
      </c>
    </row>
    <row r="36" spans="1:3" x14ac:dyDescent="0.25">
      <c r="A36" t="s">
        <v>887</v>
      </c>
      <c r="B36" s="21" t="str">
        <f t="shared" si="0"/>
        <v>2016/12/11 17:19:13.676</v>
      </c>
      <c r="C36" s="21">
        <f t="shared" si="1"/>
        <v>4.6874993131496012E-6</v>
      </c>
    </row>
    <row r="37" spans="1:3" x14ac:dyDescent="0.25">
      <c r="A37" t="s">
        <v>888</v>
      </c>
      <c r="B37" s="21" t="str">
        <f t="shared" si="0"/>
        <v>2016/12/11 17:45:36.801</v>
      </c>
      <c r="C37" s="21">
        <f t="shared" si="1"/>
        <v>1.8323206022614613E-2</v>
      </c>
    </row>
    <row r="38" spans="1:3" x14ac:dyDescent="0.25">
      <c r="A38" t="s">
        <v>889</v>
      </c>
      <c r="B38" s="21" t="str">
        <f t="shared" si="0"/>
        <v>2016/12/11 17:45:37.292</v>
      </c>
      <c r="C38" s="21">
        <f t="shared" si="1"/>
        <v>5.6828721426427364E-6</v>
      </c>
    </row>
    <row r="39" spans="1:3" x14ac:dyDescent="0.25">
      <c r="A39" t="s">
        <v>890</v>
      </c>
      <c r="B39" s="21" t="str">
        <f t="shared" si="0"/>
        <v>2016/12/11 17:45:37.469</v>
      </c>
      <c r="C39" s="21">
        <f t="shared" si="1"/>
        <v>2.0486113498918712E-6</v>
      </c>
    </row>
    <row r="40" spans="1:3" x14ac:dyDescent="0.25">
      <c r="A40" t="s">
        <v>891</v>
      </c>
      <c r="B40" s="21" t="str">
        <f t="shared" si="0"/>
        <v>2016/12/11 17:50:36.800</v>
      </c>
      <c r="C40" s="21">
        <f t="shared" si="1"/>
        <v>3.4644791667233221E-3</v>
      </c>
    </row>
    <row r="41" spans="1:3" x14ac:dyDescent="0.25">
      <c r="A41" t="s">
        <v>892</v>
      </c>
      <c r="B41" s="21" t="str">
        <f t="shared" si="0"/>
        <v>2016/12/11 17:50:37.466</v>
      </c>
      <c r="C41" s="21">
        <f t="shared" si="1"/>
        <v>7.708331395406276E-6</v>
      </c>
    </row>
    <row r="42" spans="1:3" x14ac:dyDescent="0.25">
      <c r="A42" t="s">
        <v>893</v>
      </c>
      <c r="B42" s="21" t="str">
        <f t="shared" si="0"/>
        <v>2016/12/11 17:57:10.453</v>
      </c>
      <c r="C42" s="21">
        <f t="shared" si="1"/>
        <v>4.5484606453101151E-3</v>
      </c>
    </row>
    <row r="43" spans="1:3" x14ac:dyDescent="0.25">
      <c r="A43" t="s">
        <v>894</v>
      </c>
      <c r="B43" s="21" t="str">
        <f t="shared" si="0"/>
        <v>2016/12/11 17:57:10.782</v>
      </c>
      <c r="C43" s="21">
        <f t="shared" si="1"/>
        <v>3.8078724173828959E-6</v>
      </c>
    </row>
    <row r="44" spans="1:3" x14ac:dyDescent="0.25">
      <c r="A44" t="s">
        <v>895</v>
      </c>
      <c r="B44" s="21" t="str">
        <f t="shared" si="0"/>
        <v>2016/12/11 17:57:11.266</v>
      </c>
      <c r="C44" s="21">
        <f t="shared" si="1"/>
        <v>5.601854354608804E-6</v>
      </c>
    </row>
    <row r="45" spans="1:3" x14ac:dyDescent="0.25">
      <c r="A45" t="s">
        <v>896</v>
      </c>
      <c r="B45" s="21" t="str">
        <f t="shared" si="0"/>
        <v>2016/12/11 18:17:08.578</v>
      </c>
      <c r="C45" s="21">
        <f t="shared" si="1"/>
        <v>1.3857777776138391E-2</v>
      </c>
    </row>
    <row r="46" spans="1:3" x14ac:dyDescent="0.25">
      <c r="A46" t="s">
        <v>897</v>
      </c>
      <c r="B46" s="21" t="str">
        <f t="shared" si="0"/>
        <v>2016/12/11 18:17:09.110</v>
      </c>
      <c r="C46" s="21">
        <f t="shared" si="1"/>
        <v>6.1574100982397795E-6</v>
      </c>
    </row>
    <row r="47" spans="1:3" x14ac:dyDescent="0.25">
      <c r="A47" t="s">
        <v>898</v>
      </c>
      <c r="B47" s="21" t="str">
        <f t="shared" si="0"/>
        <v>2016/12/11 18:30:40.895</v>
      </c>
      <c r="C47" s="21">
        <f t="shared" si="1"/>
        <v>9.3956597193027847E-3</v>
      </c>
    </row>
    <row r="48" spans="1:3" x14ac:dyDescent="0.25">
      <c r="A48" t="s">
        <v>899</v>
      </c>
      <c r="B48" s="21" t="str">
        <f t="shared" si="0"/>
        <v>2016/12/11 18:30:41.994</v>
      </c>
      <c r="C48" s="21">
        <f t="shared" si="1"/>
        <v>1.2719909136649221E-5</v>
      </c>
    </row>
    <row r="49" spans="1:3" x14ac:dyDescent="0.25">
      <c r="A49" t="s">
        <v>900</v>
      </c>
      <c r="B49" s="21" t="str">
        <f t="shared" si="0"/>
        <v>2016/12/11 18:30:42.641</v>
      </c>
      <c r="C49" s="21">
        <f t="shared" si="1"/>
        <v>7.4884228524751961E-6</v>
      </c>
    </row>
    <row r="50" spans="1:3" x14ac:dyDescent="0.25">
      <c r="A50" t="s">
        <v>901</v>
      </c>
      <c r="B50" s="21" t="str">
        <f t="shared" si="0"/>
        <v>2016/12/11 18:33:40.622</v>
      </c>
      <c r="C50" s="21">
        <f t="shared" si="1"/>
        <v>2.0599652780219913E-3</v>
      </c>
    </row>
    <row r="51" spans="1:3" x14ac:dyDescent="0.25">
      <c r="A51" t="s">
        <v>902</v>
      </c>
      <c r="B51" s="21" t="str">
        <f t="shared" si="0"/>
        <v>2016/12/11 18:33:41.229</v>
      </c>
      <c r="C51" s="21">
        <f t="shared" si="1"/>
        <v>7.0254609454423189E-6</v>
      </c>
    </row>
    <row r="52" spans="1:3" x14ac:dyDescent="0.25">
      <c r="A52" t="s">
        <v>903</v>
      </c>
      <c r="B52" s="21" t="str">
        <f t="shared" si="0"/>
        <v>2016/12/11 18:47:54.915</v>
      </c>
      <c r="C52" s="21">
        <f t="shared" si="1"/>
        <v>9.8806250025518239E-3</v>
      </c>
    </row>
    <row r="53" spans="1:3" x14ac:dyDescent="0.25">
      <c r="A53" t="s">
        <v>904</v>
      </c>
      <c r="B53" s="21" t="str">
        <f t="shared" ref="B53:B80" si="2">MID(A53,6,23)</f>
        <v>2016/12/11 18:48:10.007</v>
      </c>
      <c r="C53" s="21">
        <f t="shared" ref="C53:C80" si="3">ABS(B53-B52)</f>
        <v>1.7467592260800302E-4</v>
      </c>
    </row>
    <row r="54" spans="1:3" x14ac:dyDescent="0.25">
      <c r="A54" t="s">
        <v>905</v>
      </c>
      <c r="B54" s="21" t="str">
        <f t="shared" si="2"/>
        <v>2016/12/11 18:50:59.211</v>
      </c>
      <c r="C54" s="21">
        <f t="shared" si="3"/>
        <v>1.9583796311053447E-3</v>
      </c>
    </row>
    <row r="55" spans="1:3" x14ac:dyDescent="0.25">
      <c r="A55" t="s">
        <v>906</v>
      </c>
      <c r="B55" s="21" t="str">
        <f t="shared" si="2"/>
        <v>2016/12/11 18:50:59.601</v>
      </c>
      <c r="C55" s="21">
        <f t="shared" si="3"/>
        <v>4.5138876885175705E-6</v>
      </c>
    </row>
    <row r="56" spans="1:3" x14ac:dyDescent="0.25">
      <c r="A56" t="s">
        <v>907</v>
      </c>
      <c r="B56" s="21" t="str">
        <f t="shared" si="2"/>
        <v>2016/12/11 18:56:08.455</v>
      </c>
      <c r="C56" s="21">
        <f t="shared" si="3"/>
        <v>3.5746990761253983E-3</v>
      </c>
    </row>
    <row r="57" spans="1:3" x14ac:dyDescent="0.25">
      <c r="A57" t="s">
        <v>908</v>
      </c>
      <c r="B57" s="21" t="str">
        <f t="shared" si="2"/>
        <v>2016/12/11 19:01:18.284</v>
      </c>
      <c r="C57" s="21">
        <f t="shared" si="3"/>
        <v>3.5859837953466922E-3</v>
      </c>
    </row>
    <row r="58" spans="1:3" x14ac:dyDescent="0.25">
      <c r="A58" t="s">
        <v>909</v>
      </c>
      <c r="B58" s="21" t="str">
        <f t="shared" si="2"/>
        <v>2016/12/11 20:13:39.599</v>
      </c>
      <c r="C58" s="21">
        <f t="shared" si="3"/>
        <v>5.0246701393916737E-2</v>
      </c>
    </row>
    <row r="59" spans="1:3" x14ac:dyDescent="0.25">
      <c r="A59" t="s">
        <v>910</v>
      </c>
      <c r="B59" s="21" t="str">
        <f t="shared" si="2"/>
        <v>2016/12/11 20:13:39.899</v>
      </c>
      <c r="C59" s="21">
        <f t="shared" si="3"/>
        <v>3.4722179407253861E-6</v>
      </c>
    </row>
    <row r="60" spans="1:3" x14ac:dyDescent="0.25">
      <c r="A60" t="s">
        <v>911</v>
      </c>
      <c r="B60" s="21" t="str">
        <f t="shared" si="2"/>
        <v>2016/12/11 20:13:39.989</v>
      </c>
      <c r="C60" s="21">
        <f t="shared" si="3"/>
        <v>1.0416697477921844E-6</v>
      </c>
    </row>
    <row r="61" spans="1:3" x14ac:dyDescent="0.25">
      <c r="A61" t="s">
        <v>912</v>
      </c>
      <c r="B61" s="21" t="str">
        <f t="shared" si="2"/>
        <v>2016/12/11 20:26:35.855</v>
      </c>
      <c r="C61" s="21">
        <f t="shared" si="3"/>
        <v>8.9799305569613352E-3</v>
      </c>
    </row>
    <row r="62" spans="1:3" x14ac:dyDescent="0.25">
      <c r="A62" t="s">
        <v>913</v>
      </c>
      <c r="B62" s="21" t="str">
        <f t="shared" si="2"/>
        <v>2016/12/11 20:26:36.041</v>
      </c>
      <c r="C62" s="21">
        <f t="shared" si="3"/>
        <v>2.1527739590965211E-6</v>
      </c>
    </row>
    <row r="63" spans="1:3" x14ac:dyDescent="0.25">
      <c r="A63" t="s">
        <v>914</v>
      </c>
      <c r="B63" s="21" t="str">
        <f t="shared" si="2"/>
        <v>2016/12/11 20:44:19.137</v>
      </c>
      <c r="C63" s="21">
        <f t="shared" si="3"/>
        <v>1.2304351854254492E-2</v>
      </c>
    </row>
    <row r="64" spans="1:3" x14ac:dyDescent="0.25">
      <c r="A64" t="s">
        <v>915</v>
      </c>
      <c r="B64" s="21" t="str">
        <f t="shared" si="2"/>
        <v>2016/12/11 20:44:19.286</v>
      </c>
      <c r="C64" s="21">
        <f t="shared" si="3"/>
        <v>1.7245329217985272E-6</v>
      </c>
    </row>
    <row r="65" spans="1:3" x14ac:dyDescent="0.25">
      <c r="A65" t="s">
        <v>916</v>
      </c>
      <c r="B65" s="21" t="str">
        <f t="shared" si="2"/>
        <v>2016/12/11 20:44:19.688</v>
      </c>
      <c r="C65" s="21">
        <f t="shared" si="3"/>
        <v>4.6527784434147179E-6</v>
      </c>
    </row>
    <row r="66" spans="1:3" x14ac:dyDescent="0.25">
      <c r="A66" t="s">
        <v>917</v>
      </c>
      <c r="B66" s="21" t="str">
        <f t="shared" si="2"/>
        <v>2016/12/11 20:45:15.148</v>
      </c>
      <c r="C66" s="21">
        <f t="shared" si="3"/>
        <v>6.4189815020654351E-4</v>
      </c>
    </row>
    <row r="67" spans="1:3" x14ac:dyDescent="0.25">
      <c r="A67" t="s">
        <v>918</v>
      </c>
      <c r="B67" s="21" t="str">
        <f t="shared" si="2"/>
        <v>2016/12/11 20:45:15.302</v>
      </c>
      <c r="C67" s="21">
        <f t="shared" si="3"/>
        <v>1.7824058886617422E-6</v>
      </c>
    </row>
    <row r="68" spans="1:3" x14ac:dyDescent="0.25">
      <c r="A68" t="s">
        <v>919</v>
      </c>
      <c r="B68" s="21" t="str">
        <f t="shared" si="2"/>
        <v>2016/12/11 20:45:15.697</v>
      </c>
      <c r="C68" s="21">
        <f t="shared" si="3"/>
        <v>4.5717606553807855E-6</v>
      </c>
    </row>
    <row r="69" spans="1:3" x14ac:dyDescent="0.25">
      <c r="A69" t="s">
        <v>920</v>
      </c>
      <c r="B69" s="21" t="str">
        <f t="shared" si="2"/>
        <v>2016/12/11 21:17:24.719</v>
      </c>
      <c r="C69" s="21">
        <f t="shared" si="3"/>
        <v>2.2326643520500511E-2</v>
      </c>
    </row>
    <row r="70" spans="1:3" x14ac:dyDescent="0.25">
      <c r="A70" t="s">
        <v>921</v>
      </c>
      <c r="B70" s="21" t="str">
        <f t="shared" si="2"/>
        <v>2016/12/11 21:17:24.807</v>
      </c>
      <c r="C70" s="21">
        <f t="shared" si="3"/>
        <v>1.0185176506638527E-6</v>
      </c>
    </row>
    <row r="71" spans="1:3" x14ac:dyDescent="0.25">
      <c r="A71" t="s">
        <v>922</v>
      </c>
      <c r="B71" s="21" t="str">
        <f t="shared" si="2"/>
        <v>2016/12/11 21:17:25.039</v>
      </c>
      <c r="C71" s="21">
        <f t="shared" si="3"/>
        <v>2.6851848815567791E-6</v>
      </c>
    </row>
    <row r="72" spans="1:3" x14ac:dyDescent="0.25">
      <c r="A72" t="s">
        <v>923</v>
      </c>
      <c r="B72" s="21" t="str">
        <f t="shared" si="2"/>
        <v>2016/12/11 21:27:31.230</v>
      </c>
      <c r="C72" s="21">
        <f t="shared" si="3"/>
        <v>7.016099538304843E-3</v>
      </c>
    </row>
    <row r="73" spans="1:3" x14ac:dyDescent="0.25">
      <c r="A73" t="s">
        <v>924</v>
      </c>
      <c r="B73" s="21" t="str">
        <f t="shared" si="2"/>
        <v>2016/12/11 21:27:31.890</v>
      </c>
      <c r="C73" s="21">
        <f t="shared" si="3"/>
        <v>7.6388896559365094E-6</v>
      </c>
    </row>
    <row r="74" spans="1:3" x14ac:dyDescent="0.25">
      <c r="A74" t="s">
        <v>925</v>
      </c>
      <c r="B74" s="21" t="str">
        <f t="shared" si="2"/>
        <v>2016/12/11 21:27:32.407</v>
      </c>
      <c r="C74" s="21">
        <f t="shared" si="3"/>
        <v>5.9837911976501346E-6</v>
      </c>
    </row>
    <row r="75" spans="1:3" x14ac:dyDescent="0.25">
      <c r="A75" t="s">
        <v>926</v>
      </c>
      <c r="B75" s="21" t="str">
        <f t="shared" si="2"/>
        <v>2016/12/11 21:46:18.470</v>
      </c>
      <c r="C75" s="21">
        <f t="shared" si="3"/>
        <v>1.303313657263061E-2</v>
      </c>
    </row>
    <row r="76" spans="1:3" x14ac:dyDescent="0.25">
      <c r="A76" t="s">
        <v>927</v>
      </c>
      <c r="B76" s="21" t="str">
        <f t="shared" si="2"/>
        <v>2016/12/11 21:46:19.299</v>
      </c>
      <c r="C76" s="21">
        <f t="shared" si="3"/>
        <v>9.5949071692302823E-6</v>
      </c>
    </row>
    <row r="77" spans="1:3" x14ac:dyDescent="0.25">
      <c r="A77" t="s">
        <v>928</v>
      </c>
      <c r="B77" s="21" t="str">
        <f t="shared" si="2"/>
        <v>2016/12/11 21:46:19.797</v>
      </c>
      <c r="C77" s="21">
        <f t="shared" si="3"/>
        <v>5.7638899306766689E-6</v>
      </c>
    </row>
    <row r="78" spans="1:3" x14ac:dyDescent="0.25">
      <c r="A78" t="s">
        <v>929</v>
      </c>
      <c r="B78" s="21" t="str">
        <f t="shared" si="2"/>
        <v>2016/12/11 22:10:01.845</v>
      </c>
      <c r="C78" s="21">
        <f t="shared" si="3"/>
        <v>1.6458888894703705E-2</v>
      </c>
    </row>
    <row r="79" spans="1:3" x14ac:dyDescent="0.25">
      <c r="A79" t="s">
        <v>930</v>
      </c>
      <c r="B79" s="21" t="str">
        <f t="shared" si="2"/>
        <v>2016/12/11 22:10:02.031</v>
      </c>
      <c r="C79" s="21">
        <f t="shared" si="3"/>
        <v>2.1527739590965211E-6</v>
      </c>
    </row>
    <row r="80" spans="1:3" x14ac:dyDescent="0.25">
      <c r="A80" t="s">
        <v>931</v>
      </c>
      <c r="B80" s="21" t="str">
        <f t="shared" si="2"/>
        <v>2016/12/11 22:22:12.983</v>
      </c>
      <c r="C80" s="21">
        <f t="shared" si="3"/>
        <v>8.4600925911217928E-3</v>
      </c>
    </row>
    <row r="81" spans="1:3" x14ac:dyDescent="0.25">
      <c r="A81" t="s">
        <v>932</v>
      </c>
      <c r="B81" s="21" t="str">
        <f t="shared" ref="B81:B85" si="4">MID(A81,6,23)</f>
        <v>2016/12/11 22:22:13.065</v>
      </c>
      <c r="C81" s="21">
        <f t="shared" ref="C81:C85" si="5">ABS(B81-B80)</f>
        <v>9.4907591119408607E-7</v>
      </c>
    </row>
    <row r="82" spans="1:3" x14ac:dyDescent="0.25">
      <c r="A82" t="s">
        <v>933</v>
      </c>
      <c r="B82" s="21" t="str">
        <f t="shared" si="4"/>
        <v>2016/12/11 22:22:13.134</v>
      </c>
      <c r="C82" s="21">
        <f t="shared" si="5"/>
        <v>7.9860910773277283E-7</v>
      </c>
    </row>
    <row r="83" spans="1:3" x14ac:dyDescent="0.25">
      <c r="A83" t="s">
        <v>934</v>
      </c>
      <c r="B83" s="21" t="str">
        <f t="shared" si="4"/>
        <v>2016/12/11 22:25:29.835</v>
      </c>
      <c r="C83" s="21">
        <f t="shared" si="5"/>
        <v>2.2766319452784956E-3</v>
      </c>
    </row>
    <row r="84" spans="1:3" x14ac:dyDescent="0.25">
      <c r="A84" t="s">
        <v>935</v>
      </c>
      <c r="B84" s="21" t="str">
        <f t="shared" si="4"/>
        <v>2016/12/11 22:25:30.023</v>
      </c>
      <c r="C84" s="21">
        <f t="shared" si="5"/>
        <v>2.1759260562248528E-6</v>
      </c>
    </row>
    <row r="85" spans="1:3" x14ac:dyDescent="0.25">
      <c r="A85" t="s">
        <v>936</v>
      </c>
      <c r="B85" s="21" t="str">
        <f t="shared" si="4"/>
        <v>2016/12/11 22:42:37.546</v>
      </c>
      <c r="C85" s="21">
        <f t="shared" si="5"/>
        <v>1.189262731350027E-2</v>
      </c>
    </row>
    <row r="86" spans="1:3" x14ac:dyDescent="0.25">
      <c r="A86" t="s">
        <v>937</v>
      </c>
      <c r="B86" s="21" t="str">
        <f t="shared" ref="B86:B115" si="6">MID(A86,6,23)</f>
        <v>2016/12/11 22:42:37.796</v>
      </c>
      <c r="C86" s="21">
        <f t="shared" ref="C86:C115" si="7">ABS(B86-B85)</f>
        <v>2.8935173759236932E-6</v>
      </c>
    </row>
    <row r="87" spans="1:3" x14ac:dyDescent="0.25">
      <c r="A87" t="s">
        <v>938</v>
      </c>
      <c r="B87" s="21" t="str">
        <f t="shared" si="6"/>
        <v>2016/12/11 22:59:06.969</v>
      </c>
      <c r="C87" s="21">
        <f t="shared" si="7"/>
        <v>1.1448761579231359E-2</v>
      </c>
    </row>
    <row r="88" spans="1:3" x14ac:dyDescent="0.25">
      <c r="A88" t="s">
        <v>939</v>
      </c>
      <c r="B88" s="21" t="str">
        <f t="shared" si="6"/>
        <v>2016/12/11 22:59:07.038</v>
      </c>
      <c r="C88" s="21">
        <f t="shared" si="7"/>
        <v>7.9860910773277283E-7</v>
      </c>
    </row>
    <row r="89" spans="1:3" x14ac:dyDescent="0.25">
      <c r="A89" t="s">
        <v>940</v>
      </c>
      <c r="B89" s="21" t="str">
        <f t="shared" si="6"/>
        <v>2016/12/11 22:59:07.111</v>
      </c>
      <c r="C89" s="21">
        <f t="shared" si="7"/>
        <v>8.4490602603182197E-7</v>
      </c>
    </row>
    <row r="90" spans="1:3" x14ac:dyDescent="0.25">
      <c r="A90" t="s">
        <v>941</v>
      </c>
      <c r="B90" s="21" t="str">
        <f t="shared" si="6"/>
        <v>2016/12/11 23:44:04.290</v>
      </c>
      <c r="C90" s="21">
        <f t="shared" si="7"/>
        <v>3.1217349540384021E-2</v>
      </c>
    </row>
    <row r="91" spans="1:3" x14ac:dyDescent="0.25">
      <c r="A91" t="s">
        <v>942</v>
      </c>
      <c r="B91" s="21" t="str">
        <f t="shared" si="6"/>
        <v>2016/12/11 23:44:04.462</v>
      </c>
      <c r="C91" s="21">
        <f t="shared" si="7"/>
        <v>1.9907383830286562E-6</v>
      </c>
    </row>
    <row r="92" spans="1:3" x14ac:dyDescent="0.25">
      <c r="A92" t="s">
        <v>943</v>
      </c>
      <c r="B92" s="21" t="str">
        <f t="shared" si="6"/>
        <v>2016/12/11 23:44:05.794</v>
      </c>
      <c r="C92" s="21">
        <f t="shared" si="7"/>
        <v>1.5416670066770166E-5</v>
      </c>
    </row>
    <row r="93" spans="1:3" x14ac:dyDescent="0.25">
      <c r="A93" t="s">
        <v>944</v>
      </c>
      <c r="B93" s="21" t="str">
        <f t="shared" si="6"/>
        <v>2016/12/11 23:46:00.472</v>
      </c>
      <c r="C93" s="21">
        <f t="shared" si="7"/>
        <v>1.3272916621644981E-3</v>
      </c>
    </row>
    <row r="94" spans="1:3" x14ac:dyDescent="0.25">
      <c r="A94" t="s">
        <v>945</v>
      </c>
      <c r="B94" s="21" t="str">
        <f t="shared" si="6"/>
        <v>2016/12/11 23:46:01.294</v>
      </c>
      <c r="C94" s="21">
        <f t="shared" si="7"/>
        <v>9.5138893811963499E-6</v>
      </c>
    </row>
    <row r="95" spans="1:3" x14ac:dyDescent="0.25">
      <c r="A95" t="s">
        <v>946</v>
      </c>
      <c r="B95" s="21" t="str">
        <f t="shared" si="6"/>
        <v>2016/12/11 23:46:01.797</v>
      </c>
      <c r="C95" s="21">
        <f t="shared" si="7"/>
        <v>5.8217628975398839E-6</v>
      </c>
    </row>
    <row r="96" spans="1:3" x14ac:dyDescent="0.25">
      <c r="A96" t="s">
        <v>947</v>
      </c>
      <c r="B96" s="21" t="str">
        <f t="shared" si="6"/>
        <v>2016/12/12 00:13:53.836</v>
      </c>
      <c r="C96" s="21">
        <f t="shared" si="7"/>
        <v>1.9352303235791624E-2</v>
      </c>
    </row>
    <row r="97" spans="1:3" x14ac:dyDescent="0.25">
      <c r="A97" t="s">
        <v>948</v>
      </c>
      <c r="B97" s="21" t="str">
        <f t="shared" si="6"/>
        <v>2016/12/12 00:30:45.798</v>
      </c>
      <c r="C97" s="21">
        <f t="shared" si="7"/>
        <v>1.171252314816229E-2</v>
      </c>
    </row>
    <row r="98" spans="1:3" x14ac:dyDescent="0.25">
      <c r="A98" t="s">
        <v>949</v>
      </c>
      <c r="B98" s="21" t="str">
        <f t="shared" si="6"/>
        <v>2016/12/12 00:30:46.508</v>
      </c>
      <c r="C98" s="21">
        <f t="shared" si="7"/>
        <v>8.2175974966958165E-6</v>
      </c>
    </row>
    <row r="99" spans="1:3" x14ac:dyDescent="0.25">
      <c r="A99" t="s">
        <v>950</v>
      </c>
      <c r="B99" s="21" t="str">
        <f t="shared" si="6"/>
        <v>2016/12/12 00:30:46.833</v>
      </c>
      <c r="C99" s="21">
        <f t="shared" si="7"/>
        <v>3.7615754990838468E-6</v>
      </c>
    </row>
    <row r="100" spans="1:3" x14ac:dyDescent="0.25">
      <c r="A100" t="s">
        <v>951</v>
      </c>
      <c r="B100" s="21" t="str">
        <f t="shared" si="6"/>
        <v>2016/12/12 01:32:35.608</v>
      </c>
      <c r="C100" s="21">
        <f t="shared" si="7"/>
        <v>4.2925636567815673E-2</v>
      </c>
    </row>
    <row r="101" spans="1:3" x14ac:dyDescent="0.25">
      <c r="A101" t="s">
        <v>952</v>
      </c>
      <c r="B101" s="21" t="str">
        <f t="shared" si="6"/>
        <v>2016/12/12 01:55:39.451</v>
      </c>
      <c r="C101" s="21">
        <f t="shared" si="7"/>
        <v>1.6016701389162336E-2</v>
      </c>
    </row>
    <row r="102" spans="1:3" x14ac:dyDescent="0.25">
      <c r="A102" t="s">
        <v>953</v>
      </c>
      <c r="B102" s="21" t="str">
        <f t="shared" si="6"/>
        <v>2016/12/12 01:55:40.269</v>
      </c>
      <c r="C102" s="21">
        <f t="shared" si="7"/>
        <v>9.4675924628973007E-6</v>
      </c>
    </row>
    <row r="103" spans="1:3" x14ac:dyDescent="0.25">
      <c r="A103" t="s">
        <v>954</v>
      </c>
      <c r="B103" s="21" t="str">
        <f t="shared" si="6"/>
        <v>2016/12/12 02:46:15.468</v>
      </c>
      <c r="C103" s="21">
        <f t="shared" si="7"/>
        <v>3.5129618059727363E-2</v>
      </c>
    </row>
    <row r="104" spans="1:3" x14ac:dyDescent="0.25">
      <c r="A104" t="s">
        <v>955</v>
      </c>
      <c r="B104" s="21" t="str">
        <f t="shared" si="6"/>
        <v>2016/12/12 02:46:16.286</v>
      </c>
      <c r="C104" s="21">
        <f t="shared" si="7"/>
        <v>9.4675924628973007E-6</v>
      </c>
    </row>
    <row r="105" spans="1:3" x14ac:dyDescent="0.25">
      <c r="A105" t="s">
        <v>956</v>
      </c>
      <c r="B105" s="21" t="str">
        <f t="shared" si="6"/>
        <v>2016/12/12 02:46:16.791</v>
      </c>
      <c r="C105" s="21">
        <f t="shared" si="7"/>
        <v>5.8449077187106013E-6</v>
      </c>
    </row>
    <row r="106" spans="1:3" x14ac:dyDescent="0.25">
      <c r="A106" t="s">
        <v>957</v>
      </c>
      <c r="B106" s="21" t="str">
        <f t="shared" si="6"/>
        <v>2016/12/12 03:36:51.603</v>
      </c>
      <c r="C106" s="21">
        <f t="shared" si="7"/>
        <v>3.5125138885632623E-2</v>
      </c>
    </row>
    <row r="107" spans="1:3" x14ac:dyDescent="0.25">
      <c r="A107" t="s">
        <v>958</v>
      </c>
      <c r="B107" s="21" t="str">
        <f t="shared" si="6"/>
        <v>2016/12/12 03:37:29.599</v>
      </c>
      <c r="C107" s="21">
        <f t="shared" si="7"/>
        <v>4.3976851884508505E-4</v>
      </c>
    </row>
    <row r="108" spans="1:3" x14ac:dyDescent="0.25">
      <c r="A108" t="s">
        <v>959</v>
      </c>
      <c r="B108" s="21" t="str">
        <f t="shared" si="6"/>
        <v>2016/12/12 03:54:55.466</v>
      </c>
      <c r="C108" s="21">
        <f t="shared" si="7"/>
        <v>1.2104942128644325E-2</v>
      </c>
    </row>
    <row r="109" spans="1:3" x14ac:dyDescent="0.25">
      <c r="A109" t="s">
        <v>960</v>
      </c>
      <c r="B109" s="21" t="str">
        <f t="shared" si="6"/>
        <v>2016/12/12 04:38:56.607</v>
      </c>
      <c r="C109" s="21">
        <f t="shared" si="7"/>
        <v>3.0568761576432735E-2</v>
      </c>
    </row>
    <row r="110" spans="1:3" x14ac:dyDescent="0.25">
      <c r="A110" t="s">
        <v>961</v>
      </c>
      <c r="B110" s="21" t="str">
        <f t="shared" si="6"/>
        <v>2016/12/12 04:40:23.602</v>
      </c>
      <c r="C110" s="21">
        <f t="shared" si="7"/>
        <v>1.0068865740322508E-3</v>
      </c>
    </row>
    <row r="111" spans="1:3" x14ac:dyDescent="0.25">
      <c r="A111" t="s">
        <v>962</v>
      </c>
      <c r="B111" s="21" t="str">
        <f t="shared" si="6"/>
        <v>2016/12/12 04:58:24.460</v>
      </c>
      <c r="C111" s="21">
        <f t="shared" si="7"/>
        <v>1.2509930558735505E-2</v>
      </c>
    </row>
    <row r="112" spans="1:3" x14ac:dyDescent="0.25">
      <c r="A112" t="s">
        <v>963</v>
      </c>
      <c r="B112" s="21" t="str">
        <f t="shared" si="6"/>
        <v>2016/12/12 04:58:25.273</v>
      </c>
      <c r="C112" s="21">
        <f t="shared" si="7"/>
        <v>9.4097194960340858E-6</v>
      </c>
    </row>
    <row r="113" spans="1:3" x14ac:dyDescent="0.25">
      <c r="A113" t="s">
        <v>964</v>
      </c>
      <c r="B113" s="21" t="str">
        <f t="shared" si="6"/>
        <v>2016/12/12 04:58:25.790</v>
      </c>
      <c r="C113" s="21">
        <f t="shared" si="7"/>
        <v>5.9837984736077487E-6</v>
      </c>
    </row>
    <row r="114" spans="1:3" x14ac:dyDescent="0.25">
      <c r="A114" t="s">
        <v>965</v>
      </c>
      <c r="B114" s="21" t="str">
        <f t="shared" si="6"/>
        <v>2016/12/12 07:25:28.620</v>
      </c>
      <c r="C114" s="21">
        <f t="shared" si="7"/>
        <v>0.10211608796089422</v>
      </c>
    </row>
    <row r="115" spans="1:3" x14ac:dyDescent="0.25">
      <c r="A115" t="s">
        <v>966</v>
      </c>
      <c r="B115" s="21" t="str">
        <f t="shared" si="6"/>
        <v>2016/12/12 07:25:29.219</v>
      </c>
      <c r="C115" s="21">
        <f t="shared" si="7"/>
        <v>6.9328671088442206E-6</v>
      </c>
    </row>
    <row r="116" spans="1:3" x14ac:dyDescent="0.25">
      <c r="B116" s="21"/>
      <c r="C116" s="21"/>
    </row>
    <row r="117" spans="1:3" x14ac:dyDescent="0.25">
      <c r="B117" s="21"/>
      <c r="C117" s="21"/>
    </row>
    <row r="118" spans="1:3" x14ac:dyDescent="0.25">
      <c r="B118" s="21"/>
      <c r="C118" s="21"/>
    </row>
    <row r="119" spans="1:3" x14ac:dyDescent="0.25">
      <c r="B119" s="21"/>
      <c r="C119" s="21"/>
    </row>
    <row r="120" spans="1:3" x14ac:dyDescent="0.25">
      <c r="B120" s="21"/>
      <c r="C120" s="21"/>
    </row>
    <row r="121" spans="1:3" x14ac:dyDescent="0.25">
      <c r="B121" s="21"/>
      <c r="C121" s="21"/>
    </row>
    <row r="122" spans="1:3" x14ac:dyDescent="0.25">
      <c r="B122" s="21"/>
      <c r="C122" s="21"/>
    </row>
    <row r="123" spans="1:3" x14ac:dyDescent="0.25">
      <c r="B123" s="21"/>
      <c r="C123" s="21"/>
    </row>
    <row r="124" spans="1:3" x14ac:dyDescent="0.25">
      <c r="B124" s="21"/>
      <c r="C124" s="21"/>
    </row>
    <row r="125" spans="1:3" x14ac:dyDescent="0.25">
      <c r="B125" s="21"/>
      <c r="C125" s="21"/>
    </row>
    <row r="126" spans="1:3" x14ac:dyDescent="0.25">
      <c r="B126" s="21"/>
      <c r="C126" s="21"/>
    </row>
    <row r="127" spans="1:3" x14ac:dyDescent="0.25">
      <c r="B127" s="21"/>
      <c r="C127" s="21"/>
    </row>
    <row r="128" spans="1:3" x14ac:dyDescent="0.25">
      <c r="B128" s="21"/>
      <c r="C128" s="21"/>
    </row>
    <row r="129" spans="2:3" x14ac:dyDescent="0.25">
      <c r="B129" s="21"/>
      <c r="C129" s="21"/>
    </row>
    <row r="130" spans="2:3" x14ac:dyDescent="0.25">
      <c r="B130" s="21"/>
      <c r="C130" s="21"/>
    </row>
    <row r="131" spans="2:3" x14ac:dyDescent="0.25">
      <c r="B131" s="21"/>
      <c r="C131" s="21"/>
    </row>
    <row r="132" spans="2:3" x14ac:dyDescent="0.25">
      <c r="B132" s="21"/>
      <c r="C132" s="21"/>
    </row>
    <row r="133" spans="2:3" x14ac:dyDescent="0.25">
      <c r="B133" s="21"/>
      <c r="C133" s="21"/>
    </row>
    <row r="134" spans="2:3" x14ac:dyDescent="0.25">
      <c r="B134" s="21"/>
      <c r="C134" s="21"/>
    </row>
    <row r="135" spans="2:3" x14ac:dyDescent="0.25">
      <c r="B135" s="21"/>
      <c r="C135" s="21"/>
    </row>
    <row r="136" spans="2:3" x14ac:dyDescent="0.25">
      <c r="B136" s="21"/>
      <c r="C136" s="21"/>
    </row>
    <row r="137" spans="2:3" x14ac:dyDescent="0.25">
      <c r="B137" s="21"/>
      <c r="C137" s="21"/>
    </row>
    <row r="138" spans="2:3" x14ac:dyDescent="0.25">
      <c r="B138" s="21"/>
      <c r="C138" s="21"/>
    </row>
    <row r="139" spans="2:3" x14ac:dyDescent="0.25">
      <c r="B139" s="21"/>
      <c r="C139" s="21"/>
    </row>
    <row r="140" spans="2:3" x14ac:dyDescent="0.25">
      <c r="B140" s="21"/>
      <c r="C140" s="21"/>
    </row>
    <row r="141" spans="2:3" x14ac:dyDescent="0.25">
      <c r="B141" s="21"/>
      <c r="C141" s="21"/>
    </row>
    <row r="142" spans="2:3" x14ac:dyDescent="0.25">
      <c r="B142" s="21"/>
      <c r="C142" s="21"/>
    </row>
    <row r="143" spans="2:3" x14ac:dyDescent="0.25">
      <c r="B143" s="21"/>
      <c r="C143" s="21"/>
    </row>
    <row r="144" spans="2:3" x14ac:dyDescent="0.25">
      <c r="B144" s="21"/>
      <c r="C144" s="21"/>
    </row>
    <row r="145" spans="2:3" x14ac:dyDescent="0.25">
      <c r="B145" s="21"/>
      <c r="C145" s="21"/>
    </row>
    <row r="146" spans="2:3" x14ac:dyDescent="0.25">
      <c r="B146" s="21"/>
      <c r="C146" s="21"/>
    </row>
    <row r="147" spans="2:3" x14ac:dyDescent="0.25">
      <c r="B147" s="21"/>
      <c r="C147" s="21"/>
    </row>
    <row r="148" spans="2:3" x14ac:dyDescent="0.25">
      <c r="B148" s="21"/>
      <c r="C148" s="21"/>
    </row>
    <row r="149" spans="2:3" x14ac:dyDescent="0.25">
      <c r="B149" s="21"/>
      <c r="C149" s="21"/>
    </row>
    <row r="150" spans="2:3" x14ac:dyDescent="0.25">
      <c r="B150" s="21"/>
      <c r="C150" s="21"/>
    </row>
    <row r="151" spans="2:3" x14ac:dyDescent="0.25">
      <c r="B151" s="21"/>
      <c r="C151" s="21"/>
    </row>
    <row r="152" spans="2:3" x14ac:dyDescent="0.25">
      <c r="B152" s="21"/>
      <c r="C152" s="21"/>
    </row>
    <row r="153" spans="2:3" x14ac:dyDescent="0.25">
      <c r="B153" s="21"/>
      <c r="C153" s="21"/>
    </row>
    <row r="154" spans="2:3" x14ac:dyDescent="0.25">
      <c r="B154" s="21"/>
      <c r="C154" s="21"/>
    </row>
    <row r="155" spans="2:3" x14ac:dyDescent="0.25">
      <c r="B155" s="21"/>
      <c r="C155" s="21"/>
    </row>
    <row r="156" spans="2:3" x14ac:dyDescent="0.25">
      <c r="B156" s="21"/>
      <c r="C156" s="21"/>
    </row>
    <row r="157" spans="2:3" x14ac:dyDescent="0.25">
      <c r="B157" s="21"/>
      <c r="C157" s="21"/>
    </row>
    <row r="158" spans="2:3" x14ac:dyDescent="0.25">
      <c r="B158" s="21"/>
      <c r="C158" s="21"/>
    </row>
    <row r="159" spans="2:3" x14ac:dyDescent="0.25">
      <c r="B159" s="21"/>
      <c r="C159" s="21"/>
    </row>
    <row r="160" spans="2:3" x14ac:dyDescent="0.25">
      <c r="B160" s="21"/>
      <c r="C160" s="21"/>
    </row>
    <row r="161" spans="2:3" x14ac:dyDescent="0.25">
      <c r="B161" s="21"/>
      <c r="C161" s="21"/>
    </row>
    <row r="162" spans="2:3" x14ac:dyDescent="0.25">
      <c r="B162" s="21"/>
      <c r="C162" s="21"/>
    </row>
    <row r="163" spans="2:3" x14ac:dyDescent="0.25">
      <c r="B163" s="21"/>
      <c r="C163" s="21"/>
    </row>
    <row r="164" spans="2:3" x14ac:dyDescent="0.25">
      <c r="B164" s="21"/>
      <c r="C164" s="21"/>
    </row>
    <row r="165" spans="2:3" x14ac:dyDescent="0.25">
      <c r="B165" s="21"/>
      <c r="C165" s="21"/>
    </row>
    <row r="166" spans="2:3" x14ac:dyDescent="0.25">
      <c r="B166" s="21"/>
      <c r="C166" s="21"/>
    </row>
    <row r="167" spans="2:3" x14ac:dyDescent="0.25">
      <c r="B167" s="21"/>
      <c r="C167" s="21"/>
    </row>
    <row r="168" spans="2:3" x14ac:dyDescent="0.25">
      <c r="B168" s="21"/>
      <c r="C168" s="21"/>
    </row>
    <row r="169" spans="2:3" x14ac:dyDescent="0.25">
      <c r="B169" s="21"/>
      <c r="C169" s="21"/>
    </row>
    <row r="170" spans="2:3" x14ac:dyDescent="0.25">
      <c r="B170" s="21"/>
      <c r="C170" s="21"/>
    </row>
    <row r="171" spans="2:3" x14ac:dyDescent="0.25">
      <c r="B171" s="21"/>
      <c r="C171" s="21"/>
    </row>
    <row r="172" spans="2:3" x14ac:dyDescent="0.25">
      <c r="B172" s="21"/>
      <c r="C172" s="21"/>
    </row>
    <row r="173" spans="2:3" x14ac:dyDescent="0.25">
      <c r="B173" s="21"/>
      <c r="C173" s="21"/>
    </row>
    <row r="174" spans="2:3" x14ac:dyDescent="0.25">
      <c r="B174" s="21"/>
      <c r="C174" s="21"/>
    </row>
    <row r="175" spans="2:3" x14ac:dyDescent="0.25">
      <c r="B175" s="21"/>
      <c r="C175" s="21"/>
    </row>
    <row r="176" spans="2:3" x14ac:dyDescent="0.25">
      <c r="B176" s="21"/>
      <c r="C176" s="21"/>
    </row>
    <row r="177" spans="2:3" x14ac:dyDescent="0.25">
      <c r="B177" s="21"/>
      <c r="C177" s="21"/>
    </row>
    <row r="178" spans="2:3" x14ac:dyDescent="0.25">
      <c r="B178" s="21"/>
      <c r="C178" s="21"/>
    </row>
    <row r="179" spans="2:3" x14ac:dyDescent="0.25">
      <c r="B179" s="21"/>
      <c r="C179" s="21"/>
    </row>
    <row r="180" spans="2:3" x14ac:dyDescent="0.25">
      <c r="B180" s="21"/>
      <c r="C180" s="21"/>
    </row>
    <row r="181" spans="2:3" x14ac:dyDescent="0.25">
      <c r="B181" s="21"/>
      <c r="C181" s="21"/>
    </row>
    <row r="182" spans="2:3" x14ac:dyDescent="0.25">
      <c r="B182" s="21"/>
      <c r="C182" s="21"/>
    </row>
    <row r="183" spans="2:3" x14ac:dyDescent="0.25">
      <c r="B183" s="21"/>
      <c r="C183" s="21"/>
    </row>
    <row r="184" spans="2:3" x14ac:dyDescent="0.25">
      <c r="B184" s="21"/>
      <c r="C184" s="21"/>
    </row>
    <row r="185" spans="2:3" x14ac:dyDescent="0.25">
      <c r="B185" s="21"/>
      <c r="C185" s="21"/>
    </row>
    <row r="186" spans="2:3" x14ac:dyDescent="0.25">
      <c r="B186" s="21"/>
      <c r="C186" s="21"/>
    </row>
    <row r="187" spans="2:3" x14ac:dyDescent="0.25">
      <c r="B187" s="21"/>
      <c r="C187" s="21"/>
    </row>
    <row r="188" spans="2:3" x14ac:dyDescent="0.25">
      <c r="B188" s="21"/>
      <c r="C188" s="21"/>
    </row>
    <row r="189" spans="2:3" x14ac:dyDescent="0.25">
      <c r="B189" s="21"/>
      <c r="C189" s="21"/>
    </row>
    <row r="190" spans="2:3" x14ac:dyDescent="0.25">
      <c r="B190" s="21"/>
      <c r="C190" s="21"/>
    </row>
    <row r="191" spans="2:3" x14ac:dyDescent="0.25">
      <c r="B191" s="21"/>
      <c r="C191" s="21"/>
    </row>
    <row r="192" spans="2:3" x14ac:dyDescent="0.25">
      <c r="B192" s="21"/>
      <c r="C192" s="21"/>
    </row>
    <row r="193" spans="2:3" x14ac:dyDescent="0.25">
      <c r="B193" s="21"/>
      <c r="C193" s="21"/>
    </row>
    <row r="194" spans="2:3" x14ac:dyDescent="0.25">
      <c r="B194" s="21"/>
      <c r="C194" s="21"/>
    </row>
    <row r="195" spans="2:3" x14ac:dyDescent="0.25">
      <c r="B195" s="21"/>
      <c r="C195" s="21"/>
    </row>
    <row r="196" spans="2:3" x14ac:dyDescent="0.25">
      <c r="B196" s="21"/>
      <c r="C196" s="21"/>
    </row>
    <row r="197" spans="2:3" x14ac:dyDescent="0.25">
      <c r="B197" s="21"/>
      <c r="C197" s="21"/>
    </row>
    <row r="198" spans="2:3" x14ac:dyDescent="0.25">
      <c r="B198" s="21"/>
      <c r="C198" s="21"/>
    </row>
    <row r="199" spans="2:3" x14ac:dyDescent="0.25">
      <c r="B199" s="21"/>
      <c r="C199" s="21"/>
    </row>
    <row r="200" spans="2:3" x14ac:dyDescent="0.25">
      <c r="B200" s="21"/>
      <c r="C200" s="21"/>
    </row>
    <row r="201" spans="2:3" x14ac:dyDescent="0.25">
      <c r="B201" s="21"/>
      <c r="C201" s="21"/>
    </row>
    <row r="202" spans="2:3" x14ac:dyDescent="0.25">
      <c r="B202" s="21"/>
      <c r="C202" s="21"/>
    </row>
    <row r="203" spans="2:3" x14ac:dyDescent="0.25">
      <c r="B203" s="21"/>
      <c r="C203" s="21"/>
    </row>
    <row r="204" spans="2:3" x14ac:dyDescent="0.25">
      <c r="B204" s="21"/>
      <c r="C204" s="21"/>
    </row>
    <row r="205" spans="2:3" x14ac:dyDescent="0.25">
      <c r="B205" s="21"/>
      <c r="C205" s="21"/>
    </row>
    <row r="206" spans="2:3" x14ac:dyDescent="0.25">
      <c r="B206" s="21"/>
      <c r="C206" s="21"/>
    </row>
    <row r="207" spans="2:3" x14ac:dyDescent="0.25">
      <c r="B207" s="21"/>
      <c r="C207" s="21"/>
    </row>
    <row r="208" spans="2:3" x14ac:dyDescent="0.25">
      <c r="B208" s="21"/>
      <c r="C208" s="21"/>
    </row>
    <row r="209" spans="2:3" x14ac:dyDescent="0.25">
      <c r="B209" s="21"/>
      <c r="C209" s="21"/>
    </row>
    <row r="210" spans="2:3" x14ac:dyDescent="0.25">
      <c r="B210" s="21"/>
      <c r="C210" s="21"/>
    </row>
    <row r="211" spans="2:3" x14ac:dyDescent="0.25">
      <c r="B211" s="21"/>
      <c r="C211" s="21"/>
    </row>
    <row r="212" spans="2:3" x14ac:dyDescent="0.25">
      <c r="B212" s="21"/>
      <c r="C212" s="21"/>
    </row>
    <row r="213" spans="2:3" x14ac:dyDescent="0.25">
      <c r="B213" s="21"/>
      <c r="C213" s="21"/>
    </row>
    <row r="214" spans="2:3" x14ac:dyDescent="0.25">
      <c r="B214" s="21"/>
      <c r="C214" s="21"/>
    </row>
    <row r="215" spans="2:3" x14ac:dyDescent="0.25">
      <c r="B215" s="21"/>
      <c r="C215" s="21"/>
    </row>
    <row r="216" spans="2:3" x14ac:dyDescent="0.25">
      <c r="B216" s="21"/>
      <c r="C216" s="21"/>
    </row>
    <row r="217" spans="2:3" x14ac:dyDescent="0.25">
      <c r="B217" s="21"/>
      <c r="C217" s="21"/>
    </row>
    <row r="218" spans="2:3" x14ac:dyDescent="0.25">
      <c r="B218" s="21"/>
      <c r="C218" s="21"/>
    </row>
    <row r="219" spans="2:3" x14ac:dyDescent="0.25">
      <c r="B219" s="21"/>
      <c r="C219" s="21"/>
    </row>
    <row r="220" spans="2:3" x14ac:dyDescent="0.25">
      <c r="B220" s="21"/>
      <c r="C220" s="21"/>
    </row>
    <row r="221" spans="2:3" x14ac:dyDescent="0.25">
      <c r="B221" s="21"/>
      <c r="C221" s="21"/>
    </row>
    <row r="222" spans="2:3" x14ac:dyDescent="0.25">
      <c r="B222" s="21"/>
      <c r="C222" s="21"/>
    </row>
    <row r="223" spans="2:3" x14ac:dyDescent="0.25">
      <c r="B223" s="21"/>
      <c r="C223" s="21"/>
    </row>
    <row r="224" spans="2:3" x14ac:dyDescent="0.25">
      <c r="B224" s="21"/>
      <c r="C224" s="21"/>
    </row>
    <row r="225" spans="2:3" x14ac:dyDescent="0.25">
      <c r="B225" s="21"/>
      <c r="C225" s="21"/>
    </row>
    <row r="226" spans="2:3" x14ac:dyDescent="0.25">
      <c r="B226" s="21"/>
      <c r="C226" s="21"/>
    </row>
    <row r="227" spans="2:3" x14ac:dyDescent="0.25">
      <c r="B227" s="21"/>
      <c r="C227" s="21"/>
    </row>
    <row r="228" spans="2:3" x14ac:dyDescent="0.25">
      <c r="B228" s="21"/>
      <c r="C228" s="21"/>
    </row>
    <row r="229" spans="2:3" x14ac:dyDescent="0.25">
      <c r="B229" s="21"/>
      <c r="C229" s="21"/>
    </row>
    <row r="230" spans="2:3" x14ac:dyDescent="0.25">
      <c r="B230" s="21"/>
      <c r="C230" s="21"/>
    </row>
    <row r="231" spans="2:3" x14ac:dyDescent="0.25">
      <c r="B231" s="21"/>
      <c r="C231" s="21"/>
    </row>
    <row r="232" spans="2:3" x14ac:dyDescent="0.25">
      <c r="B232" s="21"/>
      <c r="C232" s="21"/>
    </row>
    <row r="233" spans="2:3" x14ac:dyDescent="0.25">
      <c r="B233" s="21"/>
      <c r="C233" s="21"/>
    </row>
    <row r="234" spans="2:3" x14ac:dyDescent="0.25">
      <c r="B234" s="21"/>
      <c r="C234" s="21"/>
    </row>
    <row r="235" spans="2:3" x14ac:dyDescent="0.25">
      <c r="B235" s="21"/>
      <c r="C235" s="21"/>
    </row>
    <row r="236" spans="2:3" x14ac:dyDescent="0.25">
      <c r="B236" s="21"/>
      <c r="C236" s="21"/>
    </row>
    <row r="237" spans="2:3" x14ac:dyDescent="0.25">
      <c r="B237" s="21"/>
      <c r="C237" s="21"/>
    </row>
    <row r="238" spans="2:3" x14ac:dyDescent="0.25">
      <c r="B238" s="21"/>
      <c r="C238" s="21"/>
    </row>
    <row r="239" spans="2:3" x14ac:dyDescent="0.25">
      <c r="B239" s="21"/>
      <c r="C239" s="21"/>
    </row>
    <row r="240" spans="2:3" x14ac:dyDescent="0.25">
      <c r="B240" s="21"/>
      <c r="C240" s="21"/>
    </row>
    <row r="241" spans="2:3" x14ac:dyDescent="0.25">
      <c r="B241" s="21"/>
      <c r="C241" s="21"/>
    </row>
    <row r="242" spans="2:3" x14ac:dyDescent="0.25">
      <c r="B242" s="21"/>
      <c r="C242" s="21"/>
    </row>
    <row r="243" spans="2:3" x14ac:dyDescent="0.25">
      <c r="B243" s="21"/>
      <c r="C243" s="21"/>
    </row>
    <row r="244" spans="2:3" x14ac:dyDescent="0.25">
      <c r="B244" s="21"/>
      <c r="C244" s="21"/>
    </row>
    <row r="245" spans="2:3" x14ac:dyDescent="0.25">
      <c r="B245" s="21"/>
      <c r="C245" s="21"/>
    </row>
    <row r="246" spans="2:3" x14ac:dyDescent="0.25">
      <c r="B246" s="21"/>
      <c r="C246" s="21"/>
    </row>
    <row r="247" spans="2:3" x14ac:dyDescent="0.25">
      <c r="B247" s="21"/>
      <c r="C247" s="21"/>
    </row>
    <row r="248" spans="2:3" x14ac:dyDescent="0.25">
      <c r="B248" s="21"/>
      <c r="C248" s="21"/>
    </row>
    <row r="249" spans="2:3" x14ac:dyDescent="0.25">
      <c r="B249" s="21"/>
      <c r="C249" s="21"/>
    </row>
    <row r="250" spans="2:3" x14ac:dyDescent="0.25">
      <c r="B250" s="21"/>
      <c r="C250" s="21"/>
    </row>
    <row r="251" spans="2:3" x14ac:dyDescent="0.25">
      <c r="B251" s="21"/>
      <c r="C251" s="21"/>
    </row>
    <row r="252" spans="2:3" x14ac:dyDescent="0.25">
      <c r="B252" s="21"/>
      <c r="C252" s="21"/>
    </row>
    <row r="253" spans="2:3" x14ac:dyDescent="0.25">
      <c r="B253" s="21"/>
      <c r="C253" s="21"/>
    </row>
    <row r="254" spans="2:3" x14ac:dyDescent="0.25">
      <c r="B254" s="21"/>
      <c r="C254" s="21"/>
    </row>
    <row r="255" spans="2:3" x14ac:dyDescent="0.25">
      <c r="B255" s="21"/>
      <c r="C255" s="21"/>
    </row>
    <row r="256" spans="2:3" x14ac:dyDescent="0.25">
      <c r="B256" s="21"/>
      <c r="C256" s="21"/>
    </row>
    <row r="257" spans="2:3" x14ac:dyDescent="0.25">
      <c r="B257" s="21"/>
      <c r="C257" s="21"/>
    </row>
    <row r="258" spans="2:3" x14ac:dyDescent="0.25">
      <c r="B258" s="21"/>
      <c r="C258" s="21"/>
    </row>
    <row r="259" spans="2:3" x14ac:dyDescent="0.25">
      <c r="B259" s="21"/>
      <c r="C259" s="21"/>
    </row>
    <row r="260" spans="2:3" x14ac:dyDescent="0.25">
      <c r="B260" s="21"/>
      <c r="C260" s="21"/>
    </row>
    <row r="261" spans="2:3" x14ac:dyDescent="0.25">
      <c r="B261" s="21"/>
      <c r="C261" s="21"/>
    </row>
    <row r="262" spans="2:3" x14ac:dyDescent="0.25">
      <c r="B262" s="21"/>
      <c r="C262" s="21"/>
    </row>
    <row r="263" spans="2:3" x14ac:dyDescent="0.25">
      <c r="B263" s="21"/>
      <c r="C263" s="21"/>
    </row>
    <row r="264" spans="2:3" x14ac:dyDescent="0.25">
      <c r="B264" s="21"/>
      <c r="C264" s="21"/>
    </row>
    <row r="265" spans="2:3" x14ac:dyDescent="0.25">
      <c r="B265" s="21"/>
      <c r="C265" s="21"/>
    </row>
    <row r="266" spans="2:3" x14ac:dyDescent="0.25">
      <c r="B266" s="21"/>
      <c r="C266" s="21"/>
    </row>
    <row r="267" spans="2:3" x14ac:dyDescent="0.25">
      <c r="B267" s="21"/>
      <c r="C267" s="21"/>
    </row>
    <row r="268" spans="2:3" x14ac:dyDescent="0.25">
      <c r="B268" s="21"/>
      <c r="C268" s="21"/>
    </row>
    <row r="269" spans="2:3" x14ac:dyDescent="0.25">
      <c r="B269" s="21"/>
      <c r="C269" s="21"/>
    </row>
    <row r="270" spans="2:3" x14ac:dyDescent="0.25">
      <c r="B270" s="21"/>
      <c r="C270" s="21"/>
    </row>
    <row r="271" spans="2:3" x14ac:dyDescent="0.25">
      <c r="B271" s="21"/>
      <c r="C271" s="21"/>
    </row>
    <row r="272" spans="2:3" x14ac:dyDescent="0.25">
      <c r="B272" s="21"/>
      <c r="C272" s="21"/>
    </row>
    <row r="273" spans="2:3" x14ac:dyDescent="0.25">
      <c r="B273" s="21"/>
      <c r="C273" s="21"/>
    </row>
    <row r="274" spans="2:3" x14ac:dyDescent="0.25">
      <c r="B274" s="21"/>
      <c r="C274" s="21"/>
    </row>
    <row r="275" spans="2:3" x14ac:dyDescent="0.25">
      <c r="B275" s="21"/>
      <c r="C275" s="21"/>
    </row>
    <row r="276" spans="2:3" x14ac:dyDescent="0.25">
      <c r="B276" s="21"/>
      <c r="C276" s="21"/>
    </row>
    <row r="277" spans="2:3" x14ac:dyDescent="0.25">
      <c r="B277" s="21"/>
      <c r="C277" s="21"/>
    </row>
    <row r="278" spans="2:3" x14ac:dyDescent="0.25">
      <c r="B278" s="21"/>
      <c r="C278" s="21"/>
    </row>
    <row r="279" spans="2:3" x14ac:dyDescent="0.25">
      <c r="B279" s="21"/>
      <c r="C279" s="21"/>
    </row>
    <row r="280" spans="2:3" x14ac:dyDescent="0.25">
      <c r="B280" s="21"/>
      <c r="C280" s="21"/>
    </row>
    <row r="281" spans="2:3" x14ac:dyDescent="0.25">
      <c r="B281" s="21"/>
      <c r="C281" s="21"/>
    </row>
  </sheetData>
  <sortState ref="A1:A281">
    <sortCondition ref="A1:A281"/>
  </sortState>
  <conditionalFormatting sqref="C1:C1048576">
    <cfRule type="cellIs" dxfId="0" priority="1" operator="greaterThan">
      <formula>0.000115740740740741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20</vt:i4>
      </vt:variant>
    </vt:vector>
  </HeadingPairs>
  <TitlesOfParts>
    <vt:vector size="28" baseType="lpstr">
      <vt:lpstr>Train Runs</vt:lpstr>
      <vt:lpstr>Enforcements</vt:lpstr>
      <vt:lpstr>Missing Trips</vt:lpstr>
      <vt:lpstr>Trips&amp;Operators</vt:lpstr>
      <vt:lpstr>Weather</vt:lpstr>
      <vt:lpstr>Variables</vt:lpstr>
      <vt:lpstr>Redmine List Values</vt:lpstr>
      <vt:lpstr>Slice Disagreement Check</vt:lpstr>
      <vt:lpstr>astrogrep_path</vt:lpstr>
      <vt:lpstr>'Train Runs'!Denver_Train_Runs_04122016</vt:lpstr>
      <vt:lpstr>enforcements_txt</vt:lpstr>
      <vt:lpstr>outputrefinedruntimes</vt:lpstr>
      <vt:lpstr>redmine_api</vt:lpstr>
      <vt:lpstr>redmine_assignee</vt:lpstr>
      <vt:lpstr>redmine_op_impact</vt:lpstr>
      <vt:lpstr>redmine_priority</vt:lpstr>
      <vt:lpstr>redmine_status</vt:lpstr>
      <vt:lpstr>redmine_url</vt:lpstr>
      <vt:lpstr>RefinedRTDCRunTimesOutputFile</vt:lpstr>
      <vt:lpstr>refinertdcruntimes</vt:lpstr>
      <vt:lpstr>runsrefined_txt</vt:lpstr>
      <vt:lpstr>s3_bucket</vt:lpstr>
      <vt:lpstr>search_path</vt:lpstr>
      <vt:lpstr>search_regexp</vt:lpstr>
      <vt:lpstr>trips_txt</vt:lpstr>
      <vt:lpstr>utc_offset</vt:lpstr>
      <vt:lpstr>walkandungz</vt:lpstr>
      <vt:lpstr>weather_txt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Whitlock, Robert;Tu, Steve</dc:creator>
  <cp:lastModifiedBy>Steve Tu</cp:lastModifiedBy>
  <dcterms:created xsi:type="dcterms:W3CDTF">2016-04-12T13:52:23Z</dcterms:created>
  <dcterms:modified xsi:type="dcterms:W3CDTF">2016-12-13T16:42:17Z</dcterms:modified>
</cp:coreProperties>
</file>