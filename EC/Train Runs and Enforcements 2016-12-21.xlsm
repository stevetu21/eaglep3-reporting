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  <externalReference r:id="rId11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Runs'!$A$12:$AG$230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1" i="1" l="1"/>
  <c r="X162" i="1"/>
  <c r="X163" i="1"/>
  <c r="X164" i="1"/>
  <c r="X165" i="1"/>
  <c r="X166" i="1"/>
  <c r="X167" i="1"/>
  <c r="X155" i="1"/>
  <c r="X158" i="1"/>
  <c r="X159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T158" i="1"/>
  <c r="V158" i="1"/>
  <c r="Y158" i="1"/>
  <c r="Z158" i="1"/>
  <c r="AB158" i="1"/>
  <c r="AC158" i="1"/>
  <c r="AD158" i="1"/>
  <c r="AG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62" i="1"/>
  <c r="X156" i="1" l="1"/>
  <c r="X157" i="1"/>
  <c r="AI161" i="1"/>
  <c r="AA158" i="1"/>
  <c r="AA162" i="1"/>
  <c r="W162" i="1" s="1"/>
  <c r="T162" i="1"/>
  <c r="AA161" i="1"/>
  <c r="W161" i="1" s="1"/>
  <c r="T161" i="1"/>
  <c r="U161" i="1" s="1"/>
  <c r="S161" i="1" s="1"/>
  <c r="AA157" i="1"/>
  <c r="AA156" i="1"/>
  <c r="AA159" i="1"/>
  <c r="W159" i="1" s="1"/>
  <c r="AA155" i="1"/>
  <c r="T159" i="1"/>
  <c r="U159" i="1" s="1"/>
  <c r="S159" i="1" s="1"/>
  <c r="W158" i="1"/>
  <c r="AG155" i="1"/>
  <c r="U155" i="1" s="1"/>
  <c r="S155" i="1" s="1"/>
  <c r="AI159" i="1"/>
  <c r="U158" i="1"/>
  <c r="S158" i="1" s="1"/>
  <c r="AG157" i="1"/>
  <c r="AG154" i="1"/>
  <c r="W154" i="1" s="1"/>
  <c r="AI158" i="1"/>
  <c r="AG156" i="1"/>
  <c r="U162" i="1"/>
  <c r="S162" i="1" s="1"/>
  <c r="AI162" i="1"/>
  <c r="K152" i="1"/>
  <c r="L152" i="1"/>
  <c r="M152" i="1"/>
  <c r="V152" i="1"/>
  <c r="Y152" i="1"/>
  <c r="Z152" i="1"/>
  <c r="AB152" i="1"/>
  <c r="AC152" i="1"/>
  <c r="AD152" i="1"/>
  <c r="T152" i="1" s="1"/>
  <c r="AE152" i="1"/>
  <c r="AF152" i="1"/>
  <c r="AH152" i="1"/>
  <c r="P150" i="1"/>
  <c r="Y127" i="1"/>
  <c r="Y128" i="1"/>
  <c r="Y129" i="1"/>
  <c r="Y130" i="1"/>
  <c r="Y131" i="1"/>
  <c r="Y132" i="1"/>
  <c r="Y133" i="1"/>
  <c r="Y134" i="1"/>
  <c r="Y13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K16" i="1"/>
  <c r="L16" i="1"/>
  <c r="M16" i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S23" i="3" s="1"/>
  <c r="Y21" i="1"/>
  <c r="Z21" i="1"/>
  <c r="AB21" i="1"/>
  <c r="AC21" i="1"/>
  <c r="AD21" i="1"/>
  <c r="AE21" i="1"/>
  <c r="R23" i="3" s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P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S22" i="3" s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S21" i="3" s="1"/>
  <c r="Y34" i="1"/>
  <c r="Z34" i="1"/>
  <c r="AB34" i="1"/>
  <c r="AC34" i="1"/>
  <c r="AD34" i="1"/>
  <c r="T34" i="1" s="1"/>
  <c r="AE34" i="1"/>
  <c r="R21" i="3" s="1"/>
  <c r="AF34" i="1"/>
  <c r="AH34" i="1"/>
  <c r="K35" i="1"/>
  <c r="L35" i="1"/>
  <c r="M35" i="1"/>
  <c r="V35" i="1"/>
  <c r="S11" i="3" s="1"/>
  <c r="Y35" i="1"/>
  <c r="Z35" i="1"/>
  <c r="AB35" i="1"/>
  <c r="AC35" i="1"/>
  <c r="AD35" i="1"/>
  <c r="AG35" i="1" s="1"/>
  <c r="AE35" i="1"/>
  <c r="R10" i="3" s="1"/>
  <c r="AF35" i="1"/>
  <c r="AH35" i="1"/>
  <c r="K36" i="1"/>
  <c r="L36" i="1"/>
  <c r="M36" i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I39" i="1" s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S15" i="3" s="1"/>
  <c r="Y43" i="1"/>
  <c r="Z43" i="1"/>
  <c r="AB43" i="1"/>
  <c r="AC43" i="1"/>
  <c r="AD43" i="1"/>
  <c r="AG43" i="1" s="1"/>
  <c r="AE43" i="1"/>
  <c r="R12" i="3" s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S16" i="3" s="1"/>
  <c r="Y45" i="1"/>
  <c r="Z45" i="1"/>
  <c r="AB45" i="1"/>
  <c r="AC45" i="1"/>
  <c r="AD45" i="1"/>
  <c r="T45" i="1" s="1"/>
  <c r="AE45" i="1"/>
  <c r="R16" i="3" s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R9" i="3" s="1"/>
  <c r="AF52" i="1"/>
  <c r="AH52" i="1"/>
  <c r="K53" i="1"/>
  <c r="L53" i="1"/>
  <c r="M53" i="1"/>
  <c r="N53" i="1" s="1"/>
  <c r="V53" i="1"/>
  <c r="Y53" i="1"/>
  <c r="Z53" i="1"/>
  <c r="AI53" i="1" s="1"/>
  <c r="AB53" i="1"/>
  <c r="AC53" i="1"/>
  <c r="AD53" i="1"/>
  <c r="AG53" i="1" s="1"/>
  <c r="AE53" i="1"/>
  <c r="AF53" i="1"/>
  <c r="AH53" i="1"/>
  <c r="K54" i="1"/>
  <c r="L54" i="1"/>
  <c r="M54" i="1"/>
  <c r="V54" i="1"/>
  <c r="Y54" i="1"/>
  <c r="Z54" i="1"/>
  <c r="AB54" i="1"/>
  <c r="AC54" i="1"/>
  <c r="AD54" i="1"/>
  <c r="AE54" i="1"/>
  <c r="AF54" i="1"/>
  <c r="AH54" i="1"/>
  <c r="K55" i="1"/>
  <c r="L55" i="1"/>
  <c r="M55" i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I61" i="1" s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S31" i="3" s="1"/>
  <c r="Y62" i="1"/>
  <c r="Z62" i="1"/>
  <c r="AB62" i="1"/>
  <c r="AC62" i="1"/>
  <c r="AD62" i="1"/>
  <c r="AE62" i="1"/>
  <c r="R31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S14" i="3" s="1"/>
  <c r="Y70" i="1"/>
  <c r="Z70" i="1"/>
  <c r="AB70" i="1"/>
  <c r="AC70" i="1"/>
  <c r="AD70" i="1"/>
  <c r="AG70" i="1" s="1"/>
  <c r="AE70" i="1"/>
  <c r="R14" i="3" s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S13" i="3" s="1"/>
  <c r="Y76" i="1"/>
  <c r="Z76" i="1"/>
  <c r="AI76" i="1" s="1"/>
  <c r="AB76" i="1"/>
  <c r="AC76" i="1"/>
  <c r="AD76" i="1"/>
  <c r="AG76" i="1" s="1"/>
  <c r="AE76" i="1"/>
  <c r="R13" i="3" s="1"/>
  <c r="AF76" i="1"/>
  <c r="AH76" i="1"/>
  <c r="K77" i="1"/>
  <c r="L77" i="1"/>
  <c r="M77" i="1"/>
  <c r="N77" i="1" s="1"/>
  <c r="V77" i="1"/>
  <c r="S18" i="3" s="1"/>
  <c r="Y77" i="1"/>
  <c r="Z77" i="1"/>
  <c r="AB77" i="1"/>
  <c r="AC77" i="1"/>
  <c r="AD77" i="1"/>
  <c r="AG77" i="1" s="1"/>
  <c r="AE77" i="1"/>
  <c r="R18" i="3" s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I88" i="1" s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R32" i="3" s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S25" i="3" s="1"/>
  <c r="Y101" i="1"/>
  <c r="Z101" i="1"/>
  <c r="AB101" i="1"/>
  <c r="AC101" i="1"/>
  <c r="AD101" i="1"/>
  <c r="AE101" i="1"/>
  <c r="R25" i="3" s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X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S33" i="3" s="1"/>
  <c r="Y124" i="1"/>
  <c r="Z124" i="1"/>
  <c r="AB124" i="1"/>
  <c r="AC124" i="1"/>
  <c r="AD124" i="1"/>
  <c r="AG124" i="1" s="1"/>
  <c r="AE124" i="1"/>
  <c r="R33" i="3" s="1"/>
  <c r="AF124" i="1"/>
  <c r="AH124" i="1"/>
  <c r="K125" i="1"/>
  <c r="L125" i="1"/>
  <c r="M125" i="1"/>
  <c r="N125" i="1" s="1"/>
  <c r="V125" i="1"/>
  <c r="S27" i="3" s="1"/>
  <c r="Y125" i="1"/>
  <c r="Z125" i="1"/>
  <c r="AB125" i="1"/>
  <c r="AC125" i="1"/>
  <c r="AD125" i="1"/>
  <c r="AE125" i="1"/>
  <c r="R26" i="3" s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Z127" i="1"/>
  <c r="AA127" i="1" s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S28" i="3" s="1"/>
  <c r="Z135" i="1"/>
  <c r="AB135" i="1"/>
  <c r="AC135" i="1"/>
  <c r="AD135" i="1"/>
  <c r="AG135" i="1" s="1"/>
  <c r="AE135" i="1"/>
  <c r="R28" i="3" s="1"/>
  <c r="AF135" i="1"/>
  <c r="AH135" i="1"/>
  <c r="K136" i="1"/>
  <c r="L136" i="1"/>
  <c r="M136" i="1"/>
  <c r="N136" i="1" s="1"/>
  <c r="V136" i="1"/>
  <c r="S34" i="3" s="1"/>
  <c r="Y136" i="1"/>
  <c r="Z136" i="1"/>
  <c r="AB136" i="1"/>
  <c r="AC136" i="1"/>
  <c r="AD136" i="1"/>
  <c r="T136" i="1" s="1"/>
  <c r="AE136" i="1"/>
  <c r="R34" i="3" s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S29" i="3" s="1"/>
  <c r="Y139" i="1"/>
  <c r="Z139" i="1"/>
  <c r="AB139" i="1"/>
  <c r="AC139" i="1"/>
  <c r="AD139" i="1"/>
  <c r="AE139" i="1"/>
  <c r="R29" i="3" s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S30" i="3" s="1"/>
  <c r="Y143" i="1"/>
  <c r="Z143" i="1"/>
  <c r="AB143" i="1"/>
  <c r="AC143" i="1"/>
  <c r="AD143" i="1"/>
  <c r="AG143" i="1" s="1"/>
  <c r="AE143" i="1"/>
  <c r="R30" i="3" s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V148" i="1"/>
  <c r="S20" i="3" s="1"/>
  <c r="Y148" i="1"/>
  <c r="Z148" i="1"/>
  <c r="AB148" i="1"/>
  <c r="AC148" i="1"/>
  <c r="AD148" i="1"/>
  <c r="T148" i="1" s="1"/>
  <c r="AE148" i="1"/>
  <c r="R20" i="3" s="1"/>
  <c r="AF148" i="1"/>
  <c r="AH148" i="1"/>
  <c r="K149" i="1"/>
  <c r="L149" i="1"/>
  <c r="M149" i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V150" i="1"/>
  <c r="S8" i="3" s="1"/>
  <c r="Y150" i="1"/>
  <c r="Z150" i="1"/>
  <c r="AB150" i="1"/>
  <c r="AC150" i="1"/>
  <c r="AD150" i="1"/>
  <c r="AE150" i="1"/>
  <c r="R8" i="3" s="1"/>
  <c r="AF150" i="1"/>
  <c r="AH150" i="1"/>
  <c r="K151" i="1"/>
  <c r="L151" i="1"/>
  <c r="M151" i="1"/>
  <c r="N151" i="1" s="1"/>
  <c r="V151" i="1"/>
  <c r="S17" i="3" s="1"/>
  <c r="Y151" i="1"/>
  <c r="Z151" i="1"/>
  <c r="AB151" i="1"/>
  <c r="AC151" i="1"/>
  <c r="AD151" i="1"/>
  <c r="T151" i="1" s="1"/>
  <c r="AE151" i="1"/>
  <c r="R17" i="3" s="1"/>
  <c r="AF151" i="1"/>
  <c r="AH151" i="1"/>
  <c r="K153" i="1"/>
  <c r="L153" i="1"/>
  <c r="M153" i="1"/>
  <c r="N153" i="1" s="1"/>
  <c r="V153" i="1"/>
  <c r="Y153" i="1"/>
  <c r="Z153" i="1"/>
  <c r="AB153" i="1"/>
  <c r="AC153" i="1"/>
  <c r="AD153" i="1"/>
  <c r="X154" i="1" s="1"/>
  <c r="AE153" i="1"/>
  <c r="AF153" i="1"/>
  <c r="AH153" i="1"/>
  <c r="K207" i="1"/>
  <c r="L207" i="1"/>
  <c r="M207" i="1"/>
  <c r="N207" i="1" s="1"/>
  <c r="V207" i="1"/>
  <c r="Y207" i="1"/>
  <c r="Z207" i="1"/>
  <c r="AB207" i="1"/>
  <c r="AC207" i="1"/>
  <c r="AD207" i="1"/>
  <c r="AG207" i="1" s="1"/>
  <c r="AI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S41" i="3" s="1"/>
  <c r="Y210" i="1"/>
  <c r="Z210" i="1"/>
  <c r="AB210" i="1"/>
  <c r="AC210" i="1"/>
  <c r="AD210" i="1"/>
  <c r="AE210" i="1"/>
  <c r="R41" i="3" s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3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K214" i="1"/>
  <c r="L214" i="1"/>
  <c r="M214" i="1"/>
  <c r="N214" i="1" s="1"/>
  <c r="T214" i="1"/>
  <c r="V214" i="1"/>
  <c r="Y214" i="1"/>
  <c r="Z214" i="1"/>
  <c r="AB214" i="1"/>
  <c r="AC214" i="1"/>
  <c r="AD214" i="1"/>
  <c r="AG214" i="1" s="1"/>
  <c r="AE214" i="1"/>
  <c r="AF214" i="1"/>
  <c r="AH166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8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6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0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79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0" i="1"/>
  <c r="K235" i="1"/>
  <c r="L235" i="1"/>
  <c r="M235" i="1"/>
  <c r="N235" i="1" s="1"/>
  <c r="V235" i="1"/>
  <c r="Y235" i="1"/>
  <c r="Z235" i="1"/>
  <c r="AB235" i="1"/>
  <c r="AC235" i="1"/>
  <c r="AD235" i="1"/>
  <c r="X235" i="1" s="1"/>
  <c r="AE235" i="1"/>
  <c r="AF235" i="1"/>
  <c r="AH181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2" i="1"/>
  <c r="AH183" i="1"/>
  <c r="AH184" i="1"/>
  <c r="AH185" i="1"/>
  <c r="K163" i="1"/>
  <c r="L163" i="1"/>
  <c r="M163" i="1"/>
  <c r="N163" i="1" s="1"/>
  <c r="V163" i="1"/>
  <c r="S40" i="3" s="1"/>
  <c r="Y163" i="1"/>
  <c r="Z163" i="1"/>
  <c r="AB163" i="1"/>
  <c r="AC163" i="1"/>
  <c r="AD163" i="1"/>
  <c r="AE163" i="1"/>
  <c r="R40" i="3" s="1"/>
  <c r="AF163" i="1"/>
  <c r="AH186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9" i="1"/>
  <c r="K167" i="1"/>
  <c r="L167" i="1"/>
  <c r="M167" i="1"/>
  <c r="N167" i="1" s="1"/>
  <c r="V167" i="1"/>
  <c r="S38" i="3" s="1"/>
  <c r="Y167" i="1"/>
  <c r="Z167" i="1"/>
  <c r="AB167" i="1"/>
  <c r="AC167" i="1"/>
  <c r="AD167" i="1"/>
  <c r="T167" i="1" s="1"/>
  <c r="AE167" i="1"/>
  <c r="R38" i="3" s="1"/>
  <c r="AF167" i="1"/>
  <c r="AH190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9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4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6" i="1"/>
  <c r="K174" i="1"/>
  <c r="L174" i="1"/>
  <c r="M174" i="1"/>
  <c r="N174" i="1" s="1"/>
  <c r="V174" i="1"/>
  <c r="S35" i="3" s="1"/>
  <c r="Y174" i="1"/>
  <c r="Z174" i="1"/>
  <c r="AB174" i="1"/>
  <c r="AC174" i="1"/>
  <c r="AD174" i="1"/>
  <c r="AE174" i="1"/>
  <c r="R35" i="3" s="1"/>
  <c r="AF174" i="1"/>
  <c r="AH197" i="1"/>
  <c r="K175" i="1"/>
  <c r="L175" i="1"/>
  <c r="M175" i="1"/>
  <c r="N175" i="1" s="1"/>
  <c r="V175" i="1"/>
  <c r="S36" i="3" s="1"/>
  <c r="Y175" i="1"/>
  <c r="Z175" i="1"/>
  <c r="AB175" i="1"/>
  <c r="AC175" i="1"/>
  <c r="AD175" i="1"/>
  <c r="AG175" i="1" s="1"/>
  <c r="AE175" i="1"/>
  <c r="R36" i="3" s="1"/>
  <c r="AF175" i="1"/>
  <c r="AH198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9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1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2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3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4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AH205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06" i="1"/>
  <c r="K184" i="1"/>
  <c r="L184" i="1"/>
  <c r="M184" i="1"/>
  <c r="N184" i="1" s="1"/>
  <c r="V184" i="1"/>
  <c r="S37" i="3" s="1"/>
  <c r="Y184" i="1"/>
  <c r="Z184" i="1"/>
  <c r="AB184" i="1"/>
  <c r="AC184" i="1"/>
  <c r="AD184" i="1"/>
  <c r="AG184" i="1" s="1"/>
  <c r="AE184" i="1"/>
  <c r="R37" i="3" s="1"/>
  <c r="AF184" i="1"/>
  <c r="AH20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9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0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2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3" i="1"/>
  <c r="K191" i="1"/>
  <c r="L191" i="1"/>
  <c r="M191" i="1"/>
  <c r="N191" i="1" s="1"/>
  <c r="T191" i="1"/>
  <c r="V191" i="1"/>
  <c r="Y191" i="1"/>
  <c r="Z191" i="1"/>
  <c r="AB191" i="1"/>
  <c r="AC191" i="1"/>
  <c r="AD191" i="1"/>
  <c r="AG191" i="1" s="1"/>
  <c r="AE191" i="1"/>
  <c r="AF191" i="1"/>
  <c r="AH214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6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217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8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0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2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2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6" i="1"/>
  <c r="K204" i="1"/>
  <c r="L204" i="1"/>
  <c r="M204" i="1"/>
  <c r="N204" i="1" s="1"/>
  <c r="V204" i="1"/>
  <c r="S39" i="3" s="1"/>
  <c r="Y204" i="1"/>
  <c r="Z204" i="1"/>
  <c r="AB204" i="1"/>
  <c r="AC204" i="1"/>
  <c r="AD204" i="1"/>
  <c r="T204" i="1" s="1"/>
  <c r="AE204" i="1"/>
  <c r="R39" i="3" s="1"/>
  <c r="AF204" i="1"/>
  <c r="AH22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9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30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31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32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3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4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5" i="1"/>
  <c r="M23" i="3"/>
  <c r="U23" i="3"/>
  <c r="T23" i="3" s="1"/>
  <c r="V23" i="3"/>
  <c r="W23" i="3"/>
  <c r="X23" i="3"/>
  <c r="AC23" i="3"/>
  <c r="M40" i="3"/>
  <c r="U40" i="3"/>
  <c r="T40" i="3" s="1"/>
  <c r="V40" i="3"/>
  <c r="W40" i="3"/>
  <c r="X40" i="3"/>
  <c r="M10" i="3"/>
  <c r="S10" i="3"/>
  <c r="U10" i="3"/>
  <c r="T10" i="3" s="1"/>
  <c r="V10" i="3"/>
  <c r="W10" i="3"/>
  <c r="X10" i="3"/>
  <c r="M11" i="3"/>
  <c r="U11" i="3"/>
  <c r="T11" i="3" s="1"/>
  <c r="V11" i="3"/>
  <c r="W11" i="3"/>
  <c r="X11" i="3"/>
  <c r="AC11" i="3"/>
  <c r="M22" i="3"/>
  <c r="R22" i="3"/>
  <c r="U22" i="3"/>
  <c r="T22" i="3" s="1"/>
  <c r="V22" i="3"/>
  <c r="W22" i="3"/>
  <c r="X22" i="3"/>
  <c r="M21" i="3"/>
  <c r="U21" i="3"/>
  <c r="T21" i="3" s="1"/>
  <c r="V21" i="3"/>
  <c r="W21" i="3"/>
  <c r="X21" i="3"/>
  <c r="M38" i="3"/>
  <c r="U38" i="3"/>
  <c r="T38" i="3" s="1"/>
  <c r="V38" i="3"/>
  <c r="W38" i="3"/>
  <c r="X38" i="3"/>
  <c r="AC38" i="3"/>
  <c r="M24" i="3"/>
  <c r="U24" i="3"/>
  <c r="T24" i="3" s="1"/>
  <c r="V24" i="3"/>
  <c r="W24" i="3"/>
  <c r="X24" i="3"/>
  <c r="M12" i="3"/>
  <c r="U12" i="3"/>
  <c r="T12" i="3" s="1"/>
  <c r="V12" i="3"/>
  <c r="W12" i="3"/>
  <c r="X12" i="3"/>
  <c r="AC12" i="3"/>
  <c r="M9" i="3"/>
  <c r="S9" i="3"/>
  <c r="U9" i="3"/>
  <c r="T9" i="3" s="1"/>
  <c r="V9" i="3"/>
  <c r="W9" i="3"/>
  <c r="X9" i="3"/>
  <c r="AC9" i="3"/>
  <c r="M15" i="3"/>
  <c r="U15" i="3"/>
  <c r="T15" i="3" s="1"/>
  <c r="V15" i="3"/>
  <c r="W15" i="3"/>
  <c r="X15" i="3"/>
  <c r="M16" i="3"/>
  <c r="U16" i="3"/>
  <c r="T16" i="3" s="1"/>
  <c r="V16" i="3"/>
  <c r="W16" i="3"/>
  <c r="X16" i="3"/>
  <c r="M35" i="3"/>
  <c r="U35" i="3"/>
  <c r="T35" i="3" s="1"/>
  <c r="V35" i="3"/>
  <c r="W35" i="3"/>
  <c r="X35" i="3"/>
  <c r="M31" i="3"/>
  <c r="U31" i="3"/>
  <c r="T31" i="3" s="1"/>
  <c r="V31" i="3"/>
  <c r="W31" i="3"/>
  <c r="X31" i="3"/>
  <c r="AC31" i="3"/>
  <c r="M36" i="3"/>
  <c r="U36" i="3"/>
  <c r="T36" i="3" s="1"/>
  <c r="V36" i="3"/>
  <c r="W36" i="3"/>
  <c r="X36" i="3"/>
  <c r="M14" i="3"/>
  <c r="U14" i="3"/>
  <c r="T14" i="3" s="1"/>
  <c r="V14" i="3"/>
  <c r="W14" i="3"/>
  <c r="X14" i="3"/>
  <c r="M13" i="3"/>
  <c r="U13" i="3"/>
  <c r="T13" i="3" s="1"/>
  <c r="V13" i="3"/>
  <c r="W13" i="3"/>
  <c r="X13" i="3"/>
  <c r="AC13" i="3"/>
  <c r="M18" i="3"/>
  <c r="U18" i="3"/>
  <c r="T18" i="3" s="1"/>
  <c r="V18" i="3"/>
  <c r="W18" i="3"/>
  <c r="X18" i="3"/>
  <c r="AC18" i="3"/>
  <c r="M32" i="3"/>
  <c r="S32" i="3"/>
  <c r="U32" i="3"/>
  <c r="T32" i="3" s="1"/>
  <c r="V32" i="3"/>
  <c r="W32" i="3"/>
  <c r="X32" i="3"/>
  <c r="AC32" i="3"/>
  <c r="M37" i="3"/>
  <c r="U37" i="3"/>
  <c r="T37" i="3" s="1"/>
  <c r="V37" i="3"/>
  <c r="W37" i="3"/>
  <c r="X37" i="3"/>
  <c r="AC37" i="3"/>
  <c r="M25" i="3"/>
  <c r="U25" i="3"/>
  <c r="T25" i="3" s="1"/>
  <c r="V25" i="3"/>
  <c r="W25" i="3"/>
  <c r="X25" i="3"/>
  <c r="AC25" i="3"/>
  <c r="M33" i="3"/>
  <c r="U33" i="3"/>
  <c r="T33" i="3" s="1"/>
  <c r="V33" i="3"/>
  <c r="W33" i="3"/>
  <c r="X33" i="3"/>
  <c r="AC33" i="3"/>
  <c r="M26" i="3"/>
  <c r="U26" i="3"/>
  <c r="T26" i="3" s="1"/>
  <c r="V26" i="3"/>
  <c r="W26" i="3"/>
  <c r="X26" i="3"/>
  <c r="AC26" i="3"/>
  <c r="M27" i="3"/>
  <c r="U27" i="3"/>
  <c r="T27" i="3" s="1"/>
  <c r="V27" i="3"/>
  <c r="W27" i="3"/>
  <c r="X27" i="3"/>
  <c r="AC27" i="3"/>
  <c r="M41" i="3"/>
  <c r="U41" i="3"/>
  <c r="T41" i="3" s="1"/>
  <c r="V41" i="3"/>
  <c r="W41" i="3"/>
  <c r="X41" i="3"/>
  <c r="AC41" i="3"/>
  <c r="M34" i="3"/>
  <c r="U34" i="3"/>
  <c r="T34" i="3" s="1"/>
  <c r="V34" i="3"/>
  <c r="W34" i="3"/>
  <c r="X34" i="3"/>
  <c r="AC34" i="3"/>
  <c r="M28" i="3"/>
  <c r="U28" i="3"/>
  <c r="T28" i="3" s="1"/>
  <c r="V28" i="3"/>
  <c r="W28" i="3"/>
  <c r="X28" i="3"/>
  <c r="M29" i="3"/>
  <c r="U29" i="3"/>
  <c r="T29" i="3" s="1"/>
  <c r="V29" i="3"/>
  <c r="W29" i="3"/>
  <c r="X29" i="3"/>
  <c r="AC29" i="3"/>
  <c r="M39" i="3"/>
  <c r="U39" i="3"/>
  <c r="T39" i="3" s="1"/>
  <c r="V39" i="3"/>
  <c r="W39" i="3"/>
  <c r="X39" i="3"/>
  <c r="M30" i="3"/>
  <c r="U30" i="3"/>
  <c r="T30" i="3" s="1"/>
  <c r="V30" i="3"/>
  <c r="W30" i="3"/>
  <c r="X30" i="3"/>
  <c r="AC30" i="3"/>
  <c r="M20" i="3"/>
  <c r="U20" i="3"/>
  <c r="T20" i="3" s="1"/>
  <c r="V20" i="3"/>
  <c r="W20" i="3"/>
  <c r="X20" i="3"/>
  <c r="M17" i="3"/>
  <c r="U17" i="3"/>
  <c r="T17" i="3" s="1"/>
  <c r="V17" i="3"/>
  <c r="W17" i="3"/>
  <c r="X17" i="3"/>
  <c r="M8" i="3"/>
  <c r="U8" i="3"/>
  <c r="T8" i="3" s="1"/>
  <c r="V8" i="3"/>
  <c r="W8" i="3"/>
  <c r="X8" i="3"/>
  <c r="AC8" i="3"/>
  <c r="M7" i="3"/>
  <c r="U7" i="3"/>
  <c r="T7" i="3" s="1"/>
  <c r="V7" i="3"/>
  <c r="W7" i="3"/>
  <c r="X7" i="3"/>
  <c r="M28" i="5"/>
  <c r="T160" i="1" l="1"/>
  <c r="X160" i="1"/>
  <c r="W155" i="1"/>
  <c r="X130" i="1"/>
  <c r="AA220" i="1"/>
  <c r="W220" i="1" s="1"/>
  <c r="AA218" i="1"/>
  <c r="AA204" i="1"/>
  <c r="AA196" i="1"/>
  <c r="W196" i="1" s="1"/>
  <c r="AA230" i="1"/>
  <c r="AI96" i="1"/>
  <c r="AA95" i="1"/>
  <c r="P35" i="1"/>
  <c r="W157" i="1"/>
  <c r="AI215" i="1"/>
  <c r="P148" i="1"/>
  <c r="X129" i="1"/>
  <c r="X134" i="1"/>
  <c r="X128" i="1"/>
  <c r="X144" i="1"/>
  <c r="S24" i="3"/>
  <c r="AG206" i="1"/>
  <c r="AI211" i="1"/>
  <c r="T129" i="1"/>
  <c r="AI124" i="1"/>
  <c r="AI112" i="1"/>
  <c r="T46" i="1"/>
  <c r="U46" i="1" s="1"/>
  <c r="S46" i="1" s="1"/>
  <c r="AA19" i="1"/>
  <c r="W19" i="1" s="1"/>
  <c r="X146" i="1"/>
  <c r="AG153" i="1"/>
  <c r="AI153" i="1" s="1"/>
  <c r="X153" i="1"/>
  <c r="X179" i="1"/>
  <c r="AA152" i="1"/>
  <c r="AI105" i="1"/>
  <c r="AA34" i="1"/>
  <c r="AA33" i="1"/>
  <c r="X147" i="1"/>
  <c r="X143" i="1"/>
  <c r="AG152" i="1"/>
  <c r="U152" i="1" s="1"/>
  <c r="S152" i="1" s="1"/>
  <c r="AI155" i="1"/>
  <c r="AC20" i="3"/>
  <c r="U156" i="1"/>
  <c r="S156" i="1" s="1"/>
  <c r="AI156" i="1"/>
  <c r="AC40" i="3"/>
  <c r="AI157" i="1"/>
  <c r="U157" i="1"/>
  <c r="S157" i="1" s="1"/>
  <c r="W156" i="1"/>
  <c r="AI154" i="1"/>
  <c r="U154" i="1"/>
  <c r="S154" i="1" s="1"/>
  <c r="AC24" i="3"/>
  <c r="AC10" i="3"/>
  <c r="AD20" i="3"/>
  <c r="AC22" i="3"/>
  <c r="AC28" i="3"/>
  <c r="AC7" i="3"/>
  <c r="AC39" i="3"/>
  <c r="AC17" i="3"/>
  <c r="Y8" i="3"/>
  <c r="AI152" i="1"/>
  <c r="X152" i="1"/>
  <c r="AC16" i="3"/>
  <c r="R7" i="3"/>
  <c r="Y20" i="3"/>
  <c r="AC35" i="3"/>
  <c r="AC21" i="3"/>
  <c r="AD26" i="3"/>
  <c r="AC14" i="3"/>
  <c r="AC15" i="3"/>
  <c r="AA143" i="1"/>
  <c r="W143" i="1" s="1"/>
  <c r="AA142" i="1"/>
  <c r="W142" i="1" s="1"/>
  <c r="AI138" i="1"/>
  <c r="AI72" i="1"/>
  <c r="AA35" i="1"/>
  <c r="W35" i="1" s="1"/>
  <c r="AA22" i="1"/>
  <c r="W22" i="1" s="1"/>
  <c r="AA14" i="1"/>
  <c r="X26" i="1"/>
  <c r="AG199" i="1"/>
  <c r="AI199" i="1" s="1"/>
  <c r="X199" i="1"/>
  <c r="AA171" i="1"/>
  <c r="AI168" i="1"/>
  <c r="AA167" i="1"/>
  <c r="AI164" i="1"/>
  <c r="AA25" i="1"/>
  <c r="AG14" i="1"/>
  <c r="X30" i="1"/>
  <c r="X132" i="1"/>
  <c r="AA191" i="1"/>
  <c r="AA188" i="1"/>
  <c r="W188" i="1" s="1"/>
  <c r="AA185" i="1"/>
  <c r="AA182" i="1"/>
  <c r="AA181" i="1"/>
  <c r="AA180" i="1"/>
  <c r="W180" i="1" s="1"/>
  <c r="AA89" i="1"/>
  <c r="AA88" i="1"/>
  <c r="W88" i="1" s="1"/>
  <c r="AI80" i="1"/>
  <c r="AG71" i="1"/>
  <c r="AA43" i="1"/>
  <c r="W43" i="1" s="1"/>
  <c r="X135" i="1"/>
  <c r="X133" i="1"/>
  <c r="X131" i="1"/>
  <c r="X127" i="1"/>
  <c r="AC36" i="3"/>
  <c r="S12" i="3"/>
  <c r="S26" i="3"/>
  <c r="Y13" i="3"/>
  <c r="AA198" i="1"/>
  <c r="AA197" i="1"/>
  <c r="T187" i="1"/>
  <c r="AA233" i="1"/>
  <c r="W233" i="1" s="1"/>
  <c r="AA153" i="1"/>
  <c r="AA149" i="1"/>
  <c r="W149" i="1" s="1"/>
  <c r="AI120" i="1"/>
  <c r="AI104" i="1"/>
  <c r="AA101" i="1"/>
  <c r="AA100" i="1"/>
  <c r="W100" i="1" s="1"/>
  <c r="AG90" i="1"/>
  <c r="X90" i="1"/>
  <c r="X83" i="1"/>
  <c r="AA76" i="1"/>
  <c r="W76" i="1" s="1"/>
  <c r="AG75" i="1"/>
  <c r="AA67" i="1"/>
  <c r="W67" i="1" s="1"/>
  <c r="P54" i="1"/>
  <c r="AA39" i="1"/>
  <c r="W39" i="1" s="1"/>
  <c r="AA30" i="1"/>
  <c r="X27" i="1"/>
  <c r="AA119" i="1"/>
  <c r="AA99" i="1"/>
  <c r="X76" i="1"/>
  <c r="AA60" i="1"/>
  <c r="W60" i="1" s="1"/>
  <c r="AA59" i="1"/>
  <c r="AI35" i="1"/>
  <c r="Y12" i="3"/>
  <c r="X195" i="1"/>
  <c r="AA192" i="1"/>
  <c r="W192" i="1" s="1"/>
  <c r="AA176" i="1"/>
  <c r="W176" i="1" s="1"/>
  <c r="AA175" i="1"/>
  <c r="AG148" i="1"/>
  <c r="U148" i="1" s="1"/>
  <c r="AI143" i="1"/>
  <c r="AA135" i="1"/>
  <c r="W135" i="1" s="1"/>
  <c r="AA131" i="1"/>
  <c r="W131" i="1" s="1"/>
  <c r="AG119" i="1"/>
  <c r="AI119" i="1" s="1"/>
  <c r="AA117" i="1"/>
  <c r="T22" i="1"/>
  <c r="U22" i="1" s="1"/>
  <c r="S22" i="1" s="1"/>
  <c r="X28" i="1"/>
  <c r="AA36" i="1"/>
  <c r="W36" i="1" s="1"/>
  <c r="T183" i="1"/>
  <c r="X178" i="1"/>
  <c r="X229" i="1"/>
  <c r="AA227" i="1"/>
  <c r="X210" i="1"/>
  <c r="AA209" i="1"/>
  <c r="X138" i="1"/>
  <c r="AA137" i="1"/>
  <c r="AA134" i="1"/>
  <c r="W134" i="1" s="1"/>
  <c r="AA133" i="1"/>
  <c r="AA105" i="1"/>
  <c r="X75" i="1"/>
  <c r="AA74" i="1"/>
  <c r="AA53" i="1"/>
  <c r="W53" i="1" s="1"/>
  <c r="AA52" i="1"/>
  <c r="AA51" i="1"/>
  <c r="W51" i="1" s="1"/>
  <c r="AA50" i="1"/>
  <c r="AA48" i="1"/>
  <c r="W48" i="1" s="1"/>
  <c r="AA37" i="1"/>
  <c r="AA27" i="1"/>
  <c r="W27" i="1" s="1"/>
  <c r="AA15" i="1"/>
  <c r="R27" i="3"/>
  <c r="AG183" i="1"/>
  <c r="AI183" i="1" s="1"/>
  <c r="AG231" i="1"/>
  <c r="X231" i="1"/>
  <c r="T210" i="1"/>
  <c r="AG137" i="1"/>
  <c r="AI137" i="1" s="1"/>
  <c r="AG127" i="1"/>
  <c r="AA104" i="1"/>
  <c r="W104" i="1" s="1"/>
  <c r="AG28" i="1"/>
  <c r="U28" i="1" s="1"/>
  <c r="S28" i="1" s="1"/>
  <c r="AG16" i="1"/>
  <c r="U16" i="1" s="1"/>
  <c r="R11" i="3"/>
  <c r="AI187" i="1"/>
  <c r="Y41" i="3"/>
  <c r="Y26" i="3"/>
  <c r="R24" i="3"/>
  <c r="Y38" i="3"/>
  <c r="AI219" i="1"/>
  <c r="AA219" i="1"/>
  <c r="W219" i="1" s="1"/>
  <c r="AA166" i="1"/>
  <c r="AA165" i="1"/>
  <c r="AG226" i="1"/>
  <c r="AA224" i="1"/>
  <c r="AI214" i="1"/>
  <c r="AA213" i="1"/>
  <c r="AA212" i="1"/>
  <c r="AA211" i="1"/>
  <c r="W211" i="1" s="1"/>
  <c r="AI149" i="1"/>
  <c r="AA148" i="1"/>
  <c r="AI142" i="1"/>
  <c r="AA141" i="1"/>
  <c r="AI128" i="1"/>
  <c r="AG113" i="1"/>
  <c r="U113" i="1" s="1"/>
  <c r="S113" i="1" s="1"/>
  <c r="AA91" i="1"/>
  <c r="AA90" i="1"/>
  <c r="W90" i="1" s="1"/>
  <c r="AI84" i="1"/>
  <c r="AA83" i="1"/>
  <c r="W83" i="1" s="1"/>
  <c r="AI68" i="1"/>
  <c r="AI65" i="1"/>
  <c r="T63" i="1"/>
  <c r="AA57" i="1"/>
  <c r="W57" i="1" s="1"/>
  <c r="AA56" i="1"/>
  <c r="W56" i="1" s="1"/>
  <c r="AA54" i="1"/>
  <c r="AG34" i="1"/>
  <c r="AI34" i="1" s="1"/>
  <c r="AA32" i="1"/>
  <c r="T27" i="1"/>
  <c r="U27" i="1" s="1"/>
  <c r="S27" i="1" s="1"/>
  <c r="AA24" i="1"/>
  <c r="AG20" i="1"/>
  <c r="U14" i="1"/>
  <c r="S14" i="1" s="1"/>
  <c r="R15" i="3"/>
  <c r="Y36" i="3"/>
  <c r="Y23" i="3"/>
  <c r="S7" i="3"/>
  <c r="AD36" i="3"/>
  <c r="AD35" i="3"/>
  <c r="AD22" i="3"/>
  <c r="AD39" i="3"/>
  <c r="W105" i="1"/>
  <c r="W175" i="1"/>
  <c r="X216" i="1"/>
  <c r="AI203" i="1"/>
  <c r="AA203" i="1"/>
  <c r="W203" i="1" s="1"/>
  <c r="AA201" i="1"/>
  <c r="AA200" i="1"/>
  <c r="W200" i="1" s="1"/>
  <c r="AA195" i="1"/>
  <c r="W195" i="1" s="1"/>
  <c r="AA189" i="1"/>
  <c r="AA184" i="1"/>
  <c r="W184" i="1" s="1"/>
  <c r="AA179" i="1"/>
  <c r="W179" i="1" s="1"/>
  <c r="AA228" i="1"/>
  <c r="AG151" i="1"/>
  <c r="U151" i="1" s="1"/>
  <c r="S151" i="1" s="1"/>
  <c r="X151" i="1"/>
  <c r="AA150" i="1"/>
  <c r="AA128" i="1"/>
  <c r="W128" i="1" s="1"/>
  <c r="AA123" i="1"/>
  <c r="AA115" i="1"/>
  <c r="AA114" i="1"/>
  <c r="T114" i="1"/>
  <c r="AA112" i="1"/>
  <c r="W112" i="1" s="1"/>
  <c r="T111" i="1"/>
  <c r="U111" i="1" s="1"/>
  <c r="S111" i="1" s="1"/>
  <c r="X107" i="1"/>
  <c r="AA107" i="1"/>
  <c r="AA106" i="1"/>
  <c r="AA103" i="1"/>
  <c r="AG99" i="1"/>
  <c r="AI99" i="1" s="1"/>
  <c r="X99" i="1"/>
  <c r="AA98" i="1"/>
  <c r="AA96" i="1"/>
  <c r="W96" i="1" s="1"/>
  <c r="AG89" i="1"/>
  <c r="AI89" i="1" s="1"/>
  <c r="AI83" i="1"/>
  <c r="AA75" i="1"/>
  <c r="AA72" i="1"/>
  <c r="W72" i="1" s="1"/>
  <c r="AA68" i="1"/>
  <c r="W68" i="1" s="1"/>
  <c r="AA66" i="1"/>
  <c r="AA62" i="1"/>
  <c r="X60" i="1"/>
  <c r="AG55" i="1"/>
  <c r="U55" i="1" s="1"/>
  <c r="AI51" i="1"/>
  <c r="AA47" i="1"/>
  <c r="AI43" i="1"/>
  <c r="AG41" i="1"/>
  <c r="U41" i="1" s="1"/>
  <c r="S41" i="1" s="1"/>
  <c r="AA38" i="1"/>
  <c r="AG30" i="1"/>
  <c r="U30" i="1" s="1"/>
  <c r="S30" i="1" s="1"/>
  <c r="AG24" i="1"/>
  <c r="AA20" i="1"/>
  <c r="W20" i="1" s="1"/>
  <c r="AA217" i="1"/>
  <c r="W217" i="1" s="1"/>
  <c r="AA216" i="1"/>
  <c r="U206" i="1"/>
  <c r="S206" i="1" s="1"/>
  <c r="AA194" i="1"/>
  <c r="AA178" i="1"/>
  <c r="T175" i="1"/>
  <c r="AG170" i="1"/>
  <c r="U170" i="1" s="1"/>
  <c r="S170" i="1" s="1"/>
  <c r="X168" i="1"/>
  <c r="AA160" i="1"/>
  <c r="AA232" i="1"/>
  <c r="AA231" i="1"/>
  <c r="W231" i="1" s="1"/>
  <c r="AA229" i="1"/>
  <c r="W229" i="1" s="1"/>
  <c r="AG228" i="1"/>
  <c r="U228" i="1" s="1"/>
  <c r="S228" i="1" s="1"/>
  <c r="X228" i="1"/>
  <c r="AA225" i="1"/>
  <c r="T215" i="1"/>
  <c r="AA208" i="1"/>
  <c r="AA146" i="1"/>
  <c r="W146" i="1" s="1"/>
  <c r="AA140" i="1"/>
  <c r="W140" i="1" s="1"/>
  <c r="AA139" i="1"/>
  <c r="AI134" i="1"/>
  <c r="X100" i="1"/>
  <c r="U20" i="1"/>
  <c r="S20" i="1" s="1"/>
  <c r="AA16" i="1"/>
  <c r="AA221" i="1"/>
  <c r="W191" i="1"/>
  <c r="AA164" i="1"/>
  <c r="W164" i="1" s="1"/>
  <c r="AA163" i="1"/>
  <c r="AA223" i="1"/>
  <c r="AA222" i="1"/>
  <c r="AA215" i="1"/>
  <c r="W215" i="1" s="1"/>
  <c r="AA207" i="1"/>
  <c r="W207" i="1" s="1"/>
  <c r="AA151" i="1"/>
  <c r="AA126" i="1"/>
  <c r="AA120" i="1"/>
  <c r="W120" i="1" s="1"/>
  <c r="AG117" i="1"/>
  <c r="AI117" i="1" s="1"/>
  <c r="AA111" i="1"/>
  <c r="W111" i="1" s="1"/>
  <c r="AA109" i="1"/>
  <c r="W109" i="1" s="1"/>
  <c r="AG106" i="1"/>
  <c r="X106" i="1"/>
  <c r="AG98" i="1"/>
  <c r="AI98" i="1" s="1"/>
  <c r="X98" i="1"/>
  <c r="AA80" i="1"/>
  <c r="W80" i="1" s="1"/>
  <c r="AA79" i="1"/>
  <c r="W79" i="1" s="1"/>
  <c r="AA77" i="1"/>
  <c r="W77" i="1" s="1"/>
  <c r="AA69" i="1"/>
  <c r="AA65" i="1"/>
  <c r="W65" i="1" s="1"/>
  <c r="AA64" i="1"/>
  <c r="W64" i="1" s="1"/>
  <c r="AA61" i="1"/>
  <c r="W61" i="1" s="1"/>
  <c r="AG59" i="1"/>
  <c r="AI57" i="1"/>
  <c r="AA44" i="1"/>
  <c r="AG42" i="1"/>
  <c r="U42" i="1" s="1"/>
  <c r="S42" i="1" s="1"/>
  <c r="X42" i="1"/>
  <c r="AA41" i="1"/>
  <c r="AA40" i="1"/>
  <c r="X38" i="1"/>
  <c r="X34" i="1"/>
  <c r="AG32" i="1"/>
  <c r="AA28" i="1"/>
  <c r="W28" i="1" s="1"/>
  <c r="T19" i="1"/>
  <c r="T219" i="1"/>
  <c r="AA173" i="1"/>
  <c r="AA172" i="1"/>
  <c r="W172" i="1" s="1"/>
  <c r="AG171" i="1"/>
  <c r="AI171" i="1" s="1"/>
  <c r="X171" i="1"/>
  <c r="AA169" i="1"/>
  <c r="W169" i="1" s="1"/>
  <c r="AA168" i="1"/>
  <c r="W168" i="1" s="1"/>
  <c r="AG167" i="1"/>
  <c r="AA234" i="1"/>
  <c r="W234" i="1" s="1"/>
  <c r="AG136" i="1"/>
  <c r="X136" i="1"/>
  <c r="AI195" i="1"/>
  <c r="AI179" i="1"/>
  <c r="T200" i="1"/>
  <c r="U200" i="1" s="1"/>
  <c r="S200" i="1" s="1"/>
  <c r="T220" i="1"/>
  <c r="U220" i="1" s="1"/>
  <c r="S220" i="1" s="1"/>
  <c r="X203" i="1"/>
  <c r="AG202" i="1"/>
  <c r="AI202" i="1" s="1"/>
  <c r="X202" i="1"/>
  <c r="AA199" i="1"/>
  <c r="AA187" i="1"/>
  <c r="W187" i="1" s="1"/>
  <c r="AG186" i="1"/>
  <c r="AI186" i="1" s="1"/>
  <c r="X186" i="1"/>
  <c r="AA183" i="1"/>
  <c r="X170" i="1"/>
  <c r="T211" i="1"/>
  <c r="T216" i="1"/>
  <c r="U216" i="1" s="1"/>
  <c r="S216" i="1" s="1"/>
  <c r="X200" i="1"/>
  <c r="T195" i="1"/>
  <c r="U195" i="1" s="1"/>
  <c r="S195" i="1" s="1"/>
  <c r="U191" i="1"/>
  <c r="S191" i="1" s="1"/>
  <c r="U187" i="1"/>
  <c r="S187" i="1" s="1"/>
  <c r="X187" i="1"/>
  <c r="X184" i="1"/>
  <c r="AI206" i="1"/>
  <c r="T179" i="1"/>
  <c r="U179" i="1" s="1"/>
  <c r="S179" i="1" s="1"/>
  <c r="U175" i="1"/>
  <c r="S175" i="1" s="1"/>
  <c r="T163" i="1"/>
  <c r="AG160" i="1"/>
  <c r="AG232" i="1"/>
  <c r="U232" i="1" s="1"/>
  <c r="S232" i="1" s="1"/>
  <c r="X232" i="1"/>
  <c r="W212" i="1"/>
  <c r="AA210" i="1"/>
  <c r="W153" i="1"/>
  <c r="X141" i="1"/>
  <c r="AG141" i="1"/>
  <c r="AI141" i="1" s="1"/>
  <c r="X142" i="1"/>
  <c r="W95" i="1"/>
  <c r="X220" i="1"/>
  <c r="AA206" i="1"/>
  <c r="W206" i="1" s="1"/>
  <c r="AA205" i="1"/>
  <c r="T203" i="1"/>
  <c r="AA202" i="1"/>
  <c r="X196" i="1"/>
  <c r="AA193" i="1"/>
  <c r="W193" i="1" s="1"/>
  <c r="X191" i="1"/>
  <c r="AA186" i="1"/>
  <c r="X180" i="1"/>
  <c r="AA177" i="1"/>
  <c r="W177" i="1" s="1"/>
  <c r="X174" i="1"/>
  <c r="AA170" i="1"/>
  <c r="AG163" i="1"/>
  <c r="AG224" i="1"/>
  <c r="AG222" i="1"/>
  <c r="AA214" i="1"/>
  <c r="W214" i="1" s="1"/>
  <c r="X211" i="1"/>
  <c r="AG210" i="1"/>
  <c r="U210" i="1" s="1"/>
  <c r="S210" i="1" s="1"/>
  <c r="T153" i="1"/>
  <c r="U153" i="1" s="1"/>
  <c r="S153" i="1" s="1"/>
  <c r="AG150" i="1"/>
  <c r="W150" i="1" s="1"/>
  <c r="AI95" i="1"/>
  <c r="T184" i="1"/>
  <c r="U184" i="1" s="1"/>
  <c r="S184" i="1" s="1"/>
  <c r="AI191" i="1"/>
  <c r="T168" i="1"/>
  <c r="U168" i="1" s="1"/>
  <c r="S168" i="1" s="1"/>
  <c r="AI184" i="1"/>
  <c r="AI175" i="1"/>
  <c r="T229" i="1"/>
  <c r="U229" i="1" s="1"/>
  <c r="S229" i="1" s="1"/>
  <c r="U226" i="1"/>
  <c r="S226" i="1" s="1"/>
  <c r="AA226" i="1"/>
  <c r="W226" i="1" s="1"/>
  <c r="X215" i="1"/>
  <c r="X207" i="1"/>
  <c r="AG144" i="1"/>
  <c r="U144" i="1" s="1"/>
  <c r="S144" i="1" s="1"/>
  <c r="AA144" i="1"/>
  <c r="T141" i="1"/>
  <c r="U127" i="1"/>
  <c r="S127" i="1" s="1"/>
  <c r="AI79" i="1"/>
  <c r="AA145" i="1"/>
  <c r="T142" i="1"/>
  <c r="U142" i="1" s="1"/>
  <c r="S142" i="1" s="1"/>
  <c r="X137" i="1"/>
  <c r="AG133" i="1"/>
  <c r="W133" i="1" s="1"/>
  <c r="AA129" i="1"/>
  <c r="AA125" i="1"/>
  <c r="X124" i="1"/>
  <c r="AG123" i="1"/>
  <c r="AI123" i="1" s="1"/>
  <c r="AG122" i="1"/>
  <c r="U122" i="1" s="1"/>
  <c r="S122" i="1" s="1"/>
  <c r="X122" i="1"/>
  <c r="AG115" i="1"/>
  <c r="AA113" i="1"/>
  <c r="T112" i="1"/>
  <c r="U112" i="1" s="1"/>
  <c r="S112" i="1" s="1"/>
  <c r="T107" i="1"/>
  <c r="X104" i="1"/>
  <c r="AG103" i="1"/>
  <c r="T95" i="1"/>
  <c r="U95" i="1" s="1"/>
  <c r="S95" i="1" s="1"/>
  <c r="T79" i="1"/>
  <c r="U79" i="1" s="1"/>
  <c r="S79" i="1" s="1"/>
  <c r="T72" i="1"/>
  <c r="T67" i="1"/>
  <c r="AA55" i="1"/>
  <c r="AG50" i="1"/>
  <c r="W50" i="1" s="1"/>
  <c r="AA46" i="1"/>
  <c r="W46" i="1" s="1"/>
  <c r="AG45" i="1"/>
  <c r="X45" i="1"/>
  <c r="AA42" i="1"/>
  <c r="W42" i="1" s="1"/>
  <c r="X39" i="1"/>
  <c r="AG38" i="1"/>
  <c r="AI38" i="1" s="1"/>
  <c r="X31" i="1"/>
  <c r="X23" i="1"/>
  <c r="X15" i="1"/>
  <c r="AA138" i="1"/>
  <c r="W138" i="1" s="1"/>
  <c r="AA136" i="1"/>
  <c r="W136" i="1" s="1"/>
  <c r="AA130" i="1"/>
  <c r="AG129" i="1"/>
  <c r="T128" i="1"/>
  <c r="U128" i="1" s="1"/>
  <c r="S128" i="1" s="1"/>
  <c r="X123" i="1"/>
  <c r="T116" i="1"/>
  <c r="AA97" i="1"/>
  <c r="W97" i="1" s="1"/>
  <c r="AA92" i="1"/>
  <c r="AG91" i="1"/>
  <c r="U91" i="1" s="1"/>
  <c r="S91" i="1" s="1"/>
  <c r="X91" i="1"/>
  <c r="T88" i="1"/>
  <c r="T87" i="1"/>
  <c r="U87" i="1" s="1"/>
  <c r="S87" i="1" s="1"/>
  <c r="AA84" i="1"/>
  <c r="W84" i="1" s="1"/>
  <c r="AA82" i="1"/>
  <c r="AA81" i="1"/>
  <c r="W81" i="1" s="1"/>
  <c r="T76" i="1"/>
  <c r="AA73" i="1"/>
  <c r="AA71" i="1"/>
  <c r="W71" i="1" s="1"/>
  <c r="T68" i="1"/>
  <c r="X64" i="1"/>
  <c r="T60" i="1"/>
  <c r="U60" i="1" s="1"/>
  <c r="S60" i="1" s="1"/>
  <c r="X56" i="1"/>
  <c r="X52" i="1"/>
  <c r="X46" i="1"/>
  <c r="X43" i="1"/>
  <c r="AA26" i="1"/>
  <c r="AA18" i="1"/>
  <c r="AA17" i="1"/>
  <c r="U136" i="1"/>
  <c r="S136" i="1" s="1"/>
  <c r="W127" i="1"/>
  <c r="AA124" i="1"/>
  <c r="W124" i="1" s="1"/>
  <c r="AA122" i="1"/>
  <c r="AA121" i="1"/>
  <c r="W121" i="1" s="1"/>
  <c r="AA116" i="1"/>
  <c r="W116" i="1" s="1"/>
  <c r="AA108" i="1"/>
  <c r="AG107" i="1"/>
  <c r="W107" i="1" s="1"/>
  <c r="T104" i="1"/>
  <c r="U104" i="1" s="1"/>
  <c r="S104" i="1" s="1"/>
  <c r="AI100" i="1"/>
  <c r="T96" i="1"/>
  <c r="U96" i="1" s="1"/>
  <c r="S96" i="1" s="1"/>
  <c r="AA87" i="1"/>
  <c r="W87" i="1" s="1"/>
  <c r="T83" i="1"/>
  <c r="T80" i="1"/>
  <c r="X72" i="1"/>
  <c r="AA58" i="1"/>
  <c r="W58" i="1" s="1"/>
  <c r="AA45" i="1"/>
  <c r="X37" i="1"/>
  <c r="AA31" i="1"/>
  <c r="W31" i="1" s="1"/>
  <c r="T31" i="1"/>
  <c r="U31" i="1" s="1"/>
  <c r="S31" i="1" s="1"/>
  <c r="AG26" i="1"/>
  <c r="AI26" i="1" s="1"/>
  <c r="AA23" i="1"/>
  <c r="W23" i="1" s="1"/>
  <c r="T23" i="1"/>
  <c r="AI20" i="1"/>
  <c r="X19" i="1"/>
  <c r="AG18" i="1"/>
  <c r="AI18" i="1" s="1"/>
  <c r="W15" i="1"/>
  <c r="T15" i="1"/>
  <c r="U15" i="1" s="1"/>
  <c r="W14" i="1"/>
  <c r="AA93" i="1"/>
  <c r="W93" i="1" s="1"/>
  <c r="X88" i="1"/>
  <c r="AA85" i="1"/>
  <c r="X84" i="1"/>
  <c r="AG82" i="1"/>
  <c r="U82" i="1" s="1"/>
  <c r="S82" i="1" s="1"/>
  <c r="X82" i="1"/>
  <c r="U71" i="1"/>
  <c r="S71" i="1" s="1"/>
  <c r="X68" i="1"/>
  <c r="T64" i="1"/>
  <c r="U59" i="1"/>
  <c r="S59" i="1" s="1"/>
  <c r="T56" i="1"/>
  <c r="U56" i="1" s="1"/>
  <c r="T43" i="1"/>
  <c r="U43" i="1" s="1"/>
  <c r="S43" i="1" s="1"/>
  <c r="U34" i="1"/>
  <c r="S34" i="1" s="1"/>
  <c r="AA29" i="1"/>
  <c r="AA21" i="1"/>
  <c r="AI226" i="1"/>
  <c r="U203" i="1"/>
  <c r="S203" i="1" s="1"/>
  <c r="W181" i="1"/>
  <c r="AI192" i="1"/>
  <c r="AI231" i="1"/>
  <c r="AI180" i="1"/>
  <c r="AI234" i="1"/>
  <c r="W216" i="1"/>
  <c r="T197" i="1"/>
  <c r="X197" i="1"/>
  <c r="T190" i="1"/>
  <c r="T174" i="1"/>
  <c r="AI193" i="1"/>
  <c r="T235" i="1"/>
  <c r="U215" i="1"/>
  <c r="S215" i="1" s="1"/>
  <c r="T139" i="1"/>
  <c r="X139" i="1"/>
  <c r="AG139" i="1"/>
  <c r="W139" i="1" s="1"/>
  <c r="X78" i="1"/>
  <c r="AG78" i="1"/>
  <c r="X79" i="1"/>
  <c r="T78" i="1"/>
  <c r="T54" i="1"/>
  <c r="X54" i="1"/>
  <c r="AG54" i="1"/>
  <c r="X55" i="1"/>
  <c r="X49" i="1"/>
  <c r="AG49" i="1"/>
  <c r="X50" i="1"/>
  <c r="T49" i="1"/>
  <c r="X206" i="1"/>
  <c r="AG205" i="1"/>
  <c r="W205" i="1" s="1"/>
  <c r="T201" i="1"/>
  <c r="X201" i="1"/>
  <c r="AG197" i="1"/>
  <c r="T194" i="1"/>
  <c r="AG190" i="1"/>
  <c r="X190" i="1"/>
  <c r="T185" i="1"/>
  <c r="X185" i="1"/>
  <c r="T178" i="1"/>
  <c r="T172" i="1"/>
  <c r="U172" i="1" s="1"/>
  <c r="S172" i="1" s="1"/>
  <c r="AG221" i="1"/>
  <c r="AI233" i="1"/>
  <c r="AI229" i="1"/>
  <c r="X205" i="1"/>
  <c r="AG204" i="1"/>
  <c r="AI204" i="1" s="1"/>
  <c r="AI225" i="1"/>
  <c r="AG201" i="1"/>
  <c r="T198" i="1"/>
  <c r="AG194" i="1"/>
  <c r="AI194" i="1" s="1"/>
  <c r="AI216" i="1"/>
  <c r="T192" i="1"/>
  <c r="U192" i="1" s="1"/>
  <c r="S192" i="1" s="1"/>
  <c r="T189" i="1"/>
  <c r="X189" i="1"/>
  <c r="X188" i="1"/>
  <c r="AG185" i="1"/>
  <c r="T182" i="1"/>
  <c r="AG178" i="1"/>
  <c r="AI178" i="1" s="1"/>
  <c r="AI200" i="1"/>
  <c r="T176" i="1"/>
  <c r="U176" i="1" s="1"/>
  <c r="S176" i="1" s="1"/>
  <c r="T173" i="1"/>
  <c r="X173" i="1"/>
  <c r="X172" i="1"/>
  <c r="X221" i="1"/>
  <c r="X217" i="1"/>
  <c r="T217" i="1"/>
  <c r="U217" i="1" s="1"/>
  <c r="S217" i="1" s="1"/>
  <c r="X204" i="1"/>
  <c r="AG198" i="1"/>
  <c r="AI198" i="1" s="1"/>
  <c r="T196" i="1"/>
  <c r="U196" i="1" s="1"/>
  <c r="S196" i="1" s="1"/>
  <c r="T193" i="1"/>
  <c r="U193" i="1" s="1"/>
  <c r="S193" i="1" s="1"/>
  <c r="X193" i="1"/>
  <c r="X192" i="1"/>
  <c r="AA190" i="1"/>
  <c r="AG189" i="1"/>
  <c r="AG182" i="1"/>
  <c r="AI182" i="1" s="1"/>
  <c r="T180" i="1"/>
  <c r="U180" i="1" s="1"/>
  <c r="S180" i="1" s="1"/>
  <c r="T177" i="1"/>
  <c r="U177" i="1" s="1"/>
  <c r="S177" i="1" s="1"/>
  <c r="X177" i="1"/>
  <c r="X176" i="1"/>
  <c r="X175" i="1"/>
  <c r="AA174" i="1"/>
  <c r="AG173" i="1"/>
  <c r="AG166" i="1"/>
  <c r="W166" i="1" s="1"/>
  <c r="T164" i="1"/>
  <c r="U164" i="1" s="1"/>
  <c r="S164" i="1" s="1"/>
  <c r="AA235" i="1"/>
  <c r="AG227" i="1"/>
  <c r="X227" i="1"/>
  <c r="AI172" i="1"/>
  <c r="W225" i="1"/>
  <c r="T225" i="1"/>
  <c r="U225" i="1" s="1"/>
  <c r="S225" i="1" s="1"/>
  <c r="T208" i="1"/>
  <c r="X208" i="1"/>
  <c r="AG208" i="1"/>
  <c r="AG147" i="1"/>
  <c r="X148" i="1"/>
  <c r="AG132" i="1"/>
  <c r="X118" i="1"/>
  <c r="AG118" i="1"/>
  <c r="T118" i="1"/>
  <c r="X119" i="1"/>
  <c r="AI111" i="1"/>
  <c r="X110" i="1"/>
  <c r="AG110" i="1"/>
  <c r="X111" i="1"/>
  <c r="T110" i="1"/>
  <c r="T181" i="1"/>
  <c r="U181" i="1" s="1"/>
  <c r="S181" i="1" s="1"/>
  <c r="X181" i="1"/>
  <c r="T165" i="1"/>
  <c r="X219" i="1"/>
  <c r="T188" i="1"/>
  <c r="U188" i="1" s="1"/>
  <c r="S188" i="1" s="1"/>
  <c r="AG174" i="1"/>
  <c r="T169" i="1"/>
  <c r="U169" i="1" s="1"/>
  <c r="S169" i="1" s="1"/>
  <c r="X169" i="1"/>
  <c r="AG165" i="1"/>
  <c r="AG235" i="1"/>
  <c r="T233" i="1"/>
  <c r="U233" i="1" s="1"/>
  <c r="S233" i="1" s="1"/>
  <c r="T230" i="1"/>
  <c r="X230" i="1"/>
  <c r="X225" i="1"/>
  <c r="AI150" i="1"/>
  <c r="AI146" i="1"/>
  <c r="AG145" i="1"/>
  <c r="T145" i="1"/>
  <c r="AI135" i="1"/>
  <c r="AI131" i="1"/>
  <c r="AG130" i="1"/>
  <c r="T130" i="1"/>
  <c r="U123" i="1"/>
  <c r="S123" i="1" s="1"/>
  <c r="AI121" i="1"/>
  <c r="AG108" i="1"/>
  <c r="X108" i="1"/>
  <c r="T108" i="1"/>
  <c r="AI90" i="1"/>
  <c r="U90" i="1"/>
  <c r="S90" i="1" s="1"/>
  <c r="T85" i="1"/>
  <c r="X85" i="1"/>
  <c r="AG85" i="1"/>
  <c r="AI67" i="1"/>
  <c r="U67" i="1"/>
  <c r="S67" i="1" s="1"/>
  <c r="U219" i="1"/>
  <c r="S219" i="1" s="1"/>
  <c r="AI177" i="1"/>
  <c r="T125" i="1"/>
  <c r="X125" i="1"/>
  <c r="AG125" i="1"/>
  <c r="AG218" i="1"/>
  <c r="AI218" i="1" s="1"/>
  <c r="X218" i="1"/>
  <c r="AI190" i="1"/>
  <c r="T234" i="1"/>
  <c r="U234" i="1" s="1"/>
  <c r="S234" i="1" s="1"/>
  <c r="X234" i="1"/>
  <c r="X233" i="1"/>
  <c r="U231" i="1"/>
  <c r="S231" i="1" s="1"/>
  <c r="AG230" i="1"/>
  <c r="AI230" i="1" s="1"/>
  <c r="AI174" i="1"/>
  <c r="T223" i="1"/>
  <c r="X223" i="1"/>
  <c r="AG223" i="1"/>
  <c r="AI223" i="1" s="1"/>
  <c r="X224" i="1"/>
  <c r="U214" i="1"/>
  <c r="S214" i="1" s="1"/>
  <c r="T213" i="1"/>
  <c r="X213" i="1"/>
  <c r="AG213" i="1"/>
  <c r="X214" i="1"/>
  <c r="W208" i="1"/>
  <c r="AI127" i="1"/>
  <c r="U76" i="1"/>
  <c r="S76" i="1" s="1"/>
  <c r="X226" i="1"/>
  <c r="X222" i="1"/>
  <c r="U211" i="1"/>
  <c r="S211" i="1" s="1"/>
  <c r="AG209" i="1"/>
  <c r="AI209" i="1" s="1"/>
  <c r="X209" i="1"/>
  <c r="T207" i="1"/>
  <c r="U207" i="1" s="1"/>
  <c r="S207" i="1" s="1"/>
  <c r="T150" i="1"/>
  <c r="U150" i="1" s="1"/>
  <c r="S150" i="1" s="1"/>
  <c r="X150" i="1"/>
  <c r="X149" i="1"/>
  <c r="AA147" i="1"/>
  <c r="AI144" i="1"/>
  <c r="AG140" i="1"/>
  <c r="X140" i="1"/>
  <c r="T138" i="1"/>
  <c r="U138" i="1" s="1"/>
  <c r="S138" i="1" s="1"/>
  <c r="T135" i="1"/>
  <c r="U135" i="1" s="1"/>
  <c r="S135" i="1" s="1"/>
  <c r="AA132" i="1"/>
  <c r="AI129" i="1"/>
  <c r="AG126" i="1"/>
  <c r="X126" i="1"/>
  <c r="T124" i="1"/>
  <c r="U124" i="1" s="1"/>
  <c r="S124" i="1" s="1"/>
  <c r="T121" i="1"/>
  <c r="U121" i="1" s="1"/>
  <c r="S121" i="1" s="1"/>
  <c r="X121" i="1"/>
  <c r="X120" i="1"/>
  <c r="AA118" i="1"/>
  <c r="AG114" i="1"/>
  <c r="X115" i="1"/>
  <c r="AI97" i="1"/>
  <c r="AI93" i="1"/>
  <c r="AI87" i="1"/>
  <c r="AI60" i="1"/>
  <c r="T212" i="1"/>
  <c r="U212" i="1" s="1"/>
  <c r="S212" i="1" s="1"/>
  <c r="X212" i="1"/>
  <c r="T143" i="1"/>
  <c r="U143" i="1" s="1"/>
  <c r="S143" i="1" s="1"/>
  <c r="AI116" i="1"/>
  <c r="U116" i="1"/>
  <c r="S116" i="1" s="1"/>
  <c r="AI109" i="1"/>
  <c r="AI103" i="1"/>
  <c r="U83" i="1"/>
  <c r="S83" i="1" s="1"/>
  <c r="AI81" i="1"/>
  <c r="AI77" i="1"/>
  <c r="AI74" i="1"/>
  <c r="AA63" i="1"/>
  <c r="W63" i="1" s="1"/>
  <c r="U63" i="1"/>
  <c r="S63" i="1" s="1"/>
  <c r="T149" i="1"/>
  <c r="U149" i="1" s="1"/>
  <c r="T146" i="1"/>
  <c r="U146" i="1" s="1"/>
  <c r="S146" i="1" s="1"/>
  <c r="AI136" i="1"/>
  <c r="T134" i="1"/>
  <c r="U134" i="1" s="1"/>
  <c r="S134" i="1" s="1"/>
  <c r="T131" i="1"/>
  <c r="U131" i="1" s="1"/>
  <c r="S131" i="1" s="1"/>
  <c r="T120" i="1"/>
  <c r="U120" i="1" s="1"/>
  <c r="S120" i="1" s="1"/>
  <c r="X116" i="1"/>
  <c r="U103" i="1"/>
  <c r="S103" i="1" s="1"/>
  <c r="T101" i="1"/>
  <c r="X101" i="1"/>
  <c r="AG101" i="1"/>
  <c r="W101" i="1" s="1"/>
  <c r="X94" i="1"/>
  <c r="AG94" i="1"/>
  <c r="X95" i="1"/>
  <c r="AG92" i="1"/>
  <c r="W92" i="1" s="1"/>
  <c r="X92" i="1"/>
  <c r="T92" i="1"/>
  <c r="AI75" i="1"/>
  <c r="U75" i="1"/>
  <c r="S75" i="1" s="1"/>
  <c r="AI70" i="1"/>
  <c r="AI45" i="1"/>
  <c r="U45" i="1"/>
  <c r="S45" i="1" s="1"/>
  <c r="X117" i="1"/>
  <c r="X113" i="1"/>
  <c r="X112" i="1"/>
  <c r="AA110" i="1"/>
  <c r="AG102" i="1"/>
  <c r="X102" i="1"/>
  <c r="T100" i="1"/>
  <c r="U100" i="1" s="1"/>
  <c r="S100" i="1" s="1"/>
  <c r="T97" i="1"/>
  <c r="U97" i="1" s="1"/>
  <c r="S97" i="1" s="1"/>
  <c r="X97" i="1"/>
  <c r="X96" i="1"/>
  <c r="AA94" i="1"/>
  <c r="U88" i="1"/>
  <c r="S88" i="1" s="1"/>
  <c r="AG86" i="1"/>
  <c r="X86" i="1"/>
  <c r="T84" i="1"/>
  <c r="U84" i="1" s="1"/>
  <c r="S84" i="1" s="1"/>
  <c r="T81" i="1"/>
  <c r="U81" i="1" s="1"/>
  <c r="S81" i="1" s="1"/>
  <c r="X81" i="1"/>
  <c r="X80" i="1"/>
  <c r="AA78" i="1"/>
  <c r="W75" i="1"/>
  <c r="T74" i="1"/>
  <c r="U74" i="1" s="1"/>
  <c r="S74" i="1" s="1"/>
  <c r="X74" i="1"/>
  <c r="U72" i="1"/>
  <c r="S72" i="1" s="1"/>
  <c r="AI71" i="1"/>
  <c r="X71" i="1"/>
  <c r="AI64" i="1"/>
  <c r="U64" i="1"/>
  <c r="S64" i="1" s="1"/>
  <c r="T58" i="1"/>
  <c r="X58" i="1"/>
  <c r="AG58" i="1"/>
  <c r="X59" i="1"/>
  <c r="U38" i="1"/>
  <c r="S38" i="1" s="1"/>
  <c r="T105" i="1"/>
  <c r="U105" i="1" s="1"/>
  <c r="S105" i="1" s="1"/>
  <c r="X105" i="1"/>
  <c r="X103" i="1"/>
  <c r="AA102" i="1"/>
  <c r="T89" i="1"/>
  <c r="X89" i="1"/>
  <c r="X87" i="1"/>
  <c r="AA86" i="1"/>
  <c r="U80" i="1"/>
  <c r="S80" i="1" s="1"/>
  <c r="AA70" i="1"/>
  <c r="W70" i="1" s="1"/>
  <c r="AG69" i="1"/>
  <c r="W69" i="1" s="1"/>
  <c r="T69" i="1"/>
  <c r="X69" i="1"/>
  <c r="T66" i="1"/>
  <c r="X66" i="1"/>
  <c r="AG66" i="1"/>
  <c r="W66" i="1" s="1"/>
  <c r="X67" i="1"/>
  <c r="AI63" i="1"/>
  <c r="AI56" i="1"/>
  <c r="T40" i="1"/>
  <c r="X40" i="1"/>
  <c r="AG40" i="1"/>
  <c r="X41" i="1"/>
  <c r="AI36" i="1"/>
  <c r="T109" i="1"/>
  <c r="U109" i="1" s="1"/>
  <c r="S109" i="1" s="1"/>
  <c r="X109" i="1"/>
  <c r="T93" i="1"/>
  <c r="U93" i="1" s="1"/>
  <c r="S93" i="1" s="1"/>
  <c r="X93" i="1"/>
  <c r="AI82" i="1"/>
  <c r="T77" i="1"/>
  <c r="U77" i="1" s="1"/>
  <c r="S77" i="1" s="1"/>
  <c r="X77" i="1"/>
  <c r="W74" i="1"/>
  <c r="AG73" i="1"/>
  <c r="T73" i="1"/>
  <c r="X73" i="1"/>
  <c r="T70" i="1"/>
  <c r="U70" i="1" s="1"/>
  <c r="S70" i="1" s="1"/>
  <c r="X70" i="1"/>
  <c r="U68" i="1"/>
  <c r="S68" i="1" s="1"/>
  <c r="T62" i="1"/>
  <c r="X62" i="1"/>
  <c r="AG62" i="1"/>
  <c r="X63" i="1"/>
  <c r="AI59" i="1"/>
  <c r="AI48" i="1"/>
  <c r="AG47" i="1"/>
  <c r="X47" i="1"/>
  <c r="T47" i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AG52" i="1"/>
  <c r="X51" i="1"/>
  <c r="AA49" i="1"/>
  <c r="AI46" i="1"/>
  <c r="T39" i="1"/>
  <c r="U39" i="1" s="1"/>
  <c r="S39" i="1" s="1"/>
  <c r="T36" i="1"/>
  <c r="U36" i="1" s="1"/>
  <c r="X36" i="1"/>
  <c r="X35" i="1"/>
  <c r="T33" i="1"/>
  <c r="X33" i="1"/>
  <c r="AG33" i="1"/>
  <c r="W33" i="1" s="1"/>
  <c r="T29" i="1"/>
  <c r="AG29" i="1"/>
  <c r="T25" i="1"/>
  <c r="X25" i="1"/>
  <c r="AG25" i="1"/>
  <c r="W25" i="1" s="1"/>
  <c r="T21" i="1"/>
  <c r="X21" i="1"/>
  <c r="AG21" i="1"/>
  <c r="X22" i="1"/>
  <c r="T17" i="1"/>
  <c r="X17" i="1"/>
  <c r="AG17" i="1"/>
  <c r="X18" i="1"/>
  <c r="T44" i="1"/>
  <c r="X44" i="1"/>
  <c r="T37" i="1"/>
  <c r="AI31" i="1"/>
  <c r="AI27" i="1"/>
  <c r="AI23" i="1"/>
  <c r="U23" i="1"/>
  <c r="S23" i="1" s="1"/>
  <c r="AI19" i="1"/>
  <c r="U19" i="1"/>
  <c r="S19" i="1" s="1"/>
  <c r="AI15" i="1"/>
  <c r="T51" i="1"/>
  <c r="U51" i="1" s="1"/>
  <c r="S51" i="1" s="1"/>
  <c r="T48" i="1"/>
  <c r="U48" i="1" s="1"/>
  <c r="S48" i="1" s="1"/>
  <c r="X48" i="1"/>
  <c r="AG44" i="1"/>
  <c r="AG37" i="1"/>
  <c r="T35" i="1"/>
  <c r="U35" i="1" s="1"/>
  <c r="AI22" i="1"/>
  <c r="AI14" i="1"/>
  <c r="X32" i="1"/>
  <c r="X24" i="1"/>
  <c r="X20" i="1"/>
  <c r="X16" i="1"/>
  <c r="AD25" i="3"/>
  <c r="AD41" i="3"/>
  <c r="Y32" i="3"/>
  <c r="AD13" i="3"/>
  <c r="Y15" i="3"/>
  <c r="AD12" i="3"/>
  <c r="Y10" i="3"/>
  <c r="AD23" i="3"/>
  <c r="AD38" i="3"/>
  <c r="AD8" i="3"/>
  <c r="Y28" i="3"/>
  <c r="Y39" i="3"/>
  <c r="AD28" i="3"/>
  <c r="Y25" i="3"/>
  <c r="AD32" i="3"/>
  <c r="Y35" i="3"/>
  <c r="AD15" i="3"/>
  <c r="Y22" i="3"/>
  <c r="AD10" i="3"/>
  <c r="Y7" i="3"/>
  <c r="Y30" i="3"/>
  <c r="Y29" i="3"/>
  <c r="Y34" i="3"/>
  <c r="Y27" i="3"/>
  <c r="Y33" i="3"/>
  <c r="Y18" i="3"/>
  <c r="Y14" i="3"/>
  <c r="Y31" i="3"/>
  <c r="Y16" i="3"/>
  <c r="Y9" i="3"/>
  <c r="Y24" i="3"/>
  <c r="AD7" i="3"/>
  <c r="AD17" i="3"/>
  <c r="AD30" i="3"/>
  <c r="AD29" i="3"/>
  <c r="AD34" i="3"/>
  <c r="AD27" i="3"/>
  <c r="AD33" i="3"/>
  <c r="AD37" i="3"/>
  <c r="AD18" i="3"/>
  <c r="AD14" i="3"/>
  <c r="AD31" i="3"/>
  <c r="AD9" i="3"/>
  <c r="AD24" i="3"/>
  <c r="AD21" i="3"/>
  <c r="AD11" i="3"/>
  <c r="AD40" i="3"/>
  <c r="Y17" i="3"/>
  <c r="Y37" i="3"/>
  <c r="Y21" i="3"/>
  <c r="Y11" i="3"/>
  <c r="Y40" i="3"/>
  <c r="M19" i="3"/>
  <c r="R19" i="3"/>
  <c r="S19" i="3"/>
  <c r="U19" i="3"/>
  <c r="T19" i="3" s="1"/>
  <c r="V19" i="3"/>
  <c r="W19" i="3"/>
  <c r="X19" i="3"/>
  <c r="W21" i="1" l="1"/>
  <c r="W167" i="1"/>
  <c r="W148" i="1"/>
  <c r="AI107" i="1"/>
  <c r="W227" i="1"/>
  <c r="U202" i="1"/>
  <c r="S202" i="1" s="1"/>
  <c r="W224" i="1"/>
  <c r="W152" i="1"/>
  <c r="AI122" i="1"/>
  <c r="W178" i="1"/>
  <c r="W103" i="1"/>
  <c r="W98" i="1"/>
  <c r="W29" i="1"/>
  <c r="W59" i="1"/>
  <c r="W119" i="1"/>
  <c r="W24" i="1"/>
  <c r="W54" i="1"/>
  <c r="AI167" i="1"/>
  <c r="W30" i="1"/>
  <c r="W16" i="1"/>
  <c r="AI16" i="1"/>
  <c r="W47" i="1"/>
  <c r="W106" i="1"/>
  <c r="W137" i="1"/>
  <c r="W228" i="1"/>
  <c r="AI30" i="1"/>
  <c r="AI42" i="1"/>
  <c r="W62" i="1"/>
  <c r="W45" i="1"/>
  <c r="U129" i="1"/>
  <c r="S129" i="1" s="1"/>
  <c r="W186" i="1"/>
  <c r="W202" i="1"/>
  <c r="W183" i="1"/>
  <c r="AC19" i="3"/>
  <c r="S15" i="1"/>
  <c r="S148" i="1"/>
  <c r="W102" i="1"/>
  <c r="U186" i="1"/>
  <c r="S186" i="1" s="1"/>
  <c r="U171" i="1"/>
  <c r="S171" i="1" s="1"/>
  <c r="U167" i="1"/>
  <c r="S167" i="1" s="1"/>
  <c r="U119" i="1"/>
  <c r="S119" i="1" s="1"/>
  <c r="W222" i="1"/>
  <c r="U26" i="1"/>
  <c r="S26" i="1" s="1"/>
  <c r="U98" i="1"/>
  <c r="S98" i="1" s="1"/>
  <c r="W209" i="1"/>
  <c r="U199" i="1"/>
  <c r="S199" i="1" s="1"/>
  <c r="AI148" i="1"/>
  <c r="W171" i="1"/>
  <c r="AD16" i="3"/>
  <c r="W185" i="1"/>
  <c r="W108" i="1"/>
  <c r="W199" i="1"/>
  <c r="U18" i="1"/>
  <c r="S18" i="1" s="1"/>
  <c r="W170" i="1"/>
  <c r="AI28" i="1"/>
  <c r="U117" i="1"/>
  <c r="S117" i="1" s="1"/>
  <c r="W113" i="1"/>
  <c r="W34" i="1"/>
  <c r="S35" i="1"/>
  <c r="W40" i="1"/>
  <c r="AI113" i="1"/>
  <c r="W213" i="1"/>
  <c r="U222" i="1"/>
  <c r="S222" i="1" s="1"/>
  <c r="W165" i="1"/>
  <c r="AI222" i="1"/>
  <c r="U183" i="1"/>
  <c r="S183" i="1" s="1"/>
  <c r="W145" i="1"/>
  <c r="W44" i="1"/>
  <c r="AI91" i="1"/>
  <c r="U137" i="1"/>
  <c r="S137" i="1" s="1"/>
  <c r="W85" i="1"/>
  <c r="W55" i="1"/>
  <c r="W32" i="1"/>
  <c r="W41" i="1"/>
  <c r="AI41" i="1"/>
  <c r="U89" i="1"/>
  <c r="S89" i="1" s="1"/>
  <c r="U106" i="1"/>
  <c r="S106" i="1" s="1"/>
  <c r="AI151" i="1"/>
  <c r="U99" i="1"/>
  <c r="S99" i="1" s="1"/>
  <c r="W114" i="1"/>
  <c r="AI170" i="1"/>
  <c r="AI55" i="1"/>
  <c r="AI106" i="1"/>
  <c r="U224" i="1"/>
  <c r="S224" i="1" s="1"/>
  <c r="W130" i="1"/>
  <c r="AI210" i="1"/>
  <c r="W144" i="1"/>
  <c r="W89" i="1"/>
  <c r="W151" i="1"/>
  <c r="W194" i="1"/>
  <c r="W99" i="1"/>
  <c r="W117" i="1"/>
  <c r="W129" i="1"/>
  <c r="W210" i="1"/>
  <c r="U24" i="1"/>
  <c r="S24" i="1" s="1"/>
  <c r="AI24" i="1"/>
  <c r="W235" i="1"/>
  <c r="W122" i="1"/>
  <c r="U141" i="1"/>
  <c r="S141" i="1" s="1"/>
  <c r="U32" i="1"/>
  <c r="S32" i="1" s="1"/>
  <c r="AI32" i="1"/>
  <c r="W94" i="1"/>
  <c r="W82" i="1"/>
  <c r="W91" i="1"/>
  <c r="U115" i="1"/>
  <c r="S115" i="1" s="1"/>
  <c r="AI115" i="1"/>
  <c r="W123" i="1"/>
  <c r="W198" i="1"/>
  <c r="W18" i="1"/>
  <c r="U133" i="1"/>
  <c r="S133" i="1" s="1"/>
  <c r="AI133" i="1"/>
  <c r="U163" i="1"/>
  <c r="S163" i="1" s="1"/>
  <c r="AI163" i="1"/>
  <c r="U160" i="1"/>
  <c r="S160" i="1" s="1"/>
  <c r="AI160" i="1"/>
  <c r="W38" i="1"/>
  <c r="W163" i="1"/>
  <c r="AI166" i="1"/>
  <c r="W182" i="1"/>
  <c r="U107" i="1"/>
  <c r="S107" i="1" s="1"/>
  <c r="W26" i="1"/>
  <c r="U50" i="1"/>
  <c r="S50" i="1" s="1"/>
  <c r="AI50" i="1"/>
  <c r="W141" i="1"/>
  <c r="W115" i="1"/>
  <c r="W232" i="1"/>
  <c r="W160" i="1"/>
  <c r="AI37" i="1"/>
  <c r="U37" i="1"/>
  <c r="S37" i="1" s="1"/>
  <c r="U17" i="1"/>
  <c r="S17" i="1" s="1"/>
  <c r="AI17" i="1"/>
  <c r="AI86" i="1"/>
  <c r="U86" i="1"/>
  <c r="S86" i="1" s="1"/>
  <c r="AI94" i="1"/>
  <c r="U94" i="1"/>
  <c r="S94" i="1" s="1"/>
  <c r="AI176" i="1"/>
  <c r="U230" i="1"/>
  <c r="S230" i="1" s="1"/>
  <c r="AI185" i="1"/>
  <c r="U218" i="1"/>
  <c r="S218" i="1" s="1"/>
  <c r="AI232" i="1"/>
  <c r="U118" i="1"/>
  <c r="S118" i="1" s="1"/>
  <c r="AI118" i="1"/>
  <c r="AI132" i="1"/>
  <c r="U132" i="1"/>
  <c r="S132" i="1" s="1"/>
  <c r="AI147" i="1"/>
  <c r="U147" i="1"/>
  <c r="S147" i="1" s="1"/>
  <c r="U221" i="1"/>
  <c r="S221" i="1" s="1"/>
  <c r="AI235" i="1"/>
  <c r="U73" i="1"/>
  <c r="S73" i="1" s="1"/>
  <c r="AI73" i="1"/>
  <c r="U58" i="1"/>
  <c r="S58" i="1" s="1"/>
  <c r="AI58" i="1"/>
  <c r="AI126" i="1"/>
  <c r="U126" i="1"/>
  <c r="S126" i="1" s="1"/>
  <c r="U209" i="1"/>
  <c r="S209" i="1" s="1"/>
  <c r="W73" i="1"/>
  <c r="W37" i="1"/>
  <c r="AI196" i="1"/>
  <c r="U173" i="1"/>
  <c r="S173" i="1" s="1"/>
  <c r="W173" i="1"/>
  <c r="AI213" i="1"/>
  <c r="U190" i="1"/>
  <c r="S190" i="1" s="1"/>
  <c r="W17" i="1"/>
  <c r="U25" i="1"/>
  <c r="S25" i="1" s="1"/>
  <c r="AI25" i="1"/>
  <c r="U47" i="1"/>
  <c r="S47" i="1" s="1"/>
  <c r="AI47" i="1"/>
  <c r="W86" i="1"/>
  <c r="AI101" i="1"/>
  <c r="U101" i="1"/>
  <c r="S101" i="1" s="1"/>
  <c r="U114" i="1"/>
  <c r="S114" i="1" s="1"/>
  <c r="AI114" i="1"/>
  <c r="U29" i="1"/>
  <c r="S29" i="1" s="1"/>
  <c r="AI29" i="1"/>
  <c r="U33" i="1"/>
  <c r="S33" i="1" s="1"/>
  <c r="AI33" i="1"/>
  <c r="W49" i="1"/>
  <c r="U69" i="1"/>
  <c r="S69" i="1" s="1"/>
  <c r="AI69" i="1"/>
  <c r="W126" i="1"/>
  <c r="W118" i="1"/>
  <c r="AI140" i="1"/>
  <c r="U140" i="1"/>
  <c r="S140" i="1" s="1"/>
  <c r="W147" i="1"/>
  <c r="U223" i="1"/>
  <c r="S223" i="1" s="1"/>
  <c r="AI169" i="1"/>
  <c r="U108" i="1"/>
  <c r="S108" i="1" s="1"/>
  <c r="AI108" i="1"/>
  <c r="U145" i="1"/>
  <c r="S145" i="1" s="1"/>
  <c r="AI145" i="1"/>
  <c r="W223" i="1"/>
  <c r="AI181" i="1"/>
  <c r="U235" i="1"/>
  <c r="S235" i="1" s="1"/>
  <c r="W190" i="1"/>
  <c r="AI201" i="1"/>
  <c r="U178" i="1"/>
  <c r="S178" i="1" s="1"/>
  <c r="U185" i="1"/>
  <c r="S185" i="1" s="1"/>
  <c r="AI208" i="1"/>
  <c r="AI217" i="1"/>
  <c r="U194" i="1"/>
  <c r="S194" i="1" s="1"/>
  <c r="U201" i="1"/>
  <c r="S201" i="1" s="1"/>
  <c r="AI224" i="1"/>
  <c r="U204" i="1"/>
  <c r="S204" i="1" s="1"/>
  <c r="AI227" i="1"/>
  <c r="U54" i="1"/>
  <c r="S54" i="1" s="1"/>
  <c r="AI54" i="1"/>
  <c r="W221" i="1"/>
  <c r="U62" i="1"/>
  <c r="S62" i="1" s="1"/>
  <c r="AI62" i="1"/>
  <c r="AI40" i="1"/>
  <c r="U40" i="1"/>
  <c r="S40" i="1" s="1"/>
  <c r="AI110" i="1"/>
  <c r="U110" i="1"/>
  <c r="S110" i="1" s="1"/>
  <c r="AI220" i="1"/>
  <c r="U197" i="1"/>
  <c r="S197" i="1" s="1"/>
  <c r="AI228" i="1"/>
  <c r="U205" i="1"/>
  <c r="S205" i="1" s="1"/>
  <c r="AI49" i="1"/>
  <c r="U49" i="1"/>
  <c r="S49" i="1" s="1"/>
  <c r="AI78" i="1"/>
  <c r="U78" i="1"/>
  <c r="S78" i="1" s="1"/>
  <c r="W197" i="1"/>
  <c r="U21" i="1"/>
  <c r="S21" i="1" s="1"/>
  <c r="AI21" i="1"/>
  <c r="AI52" i="1"/>
  <c r="U52" i="1"/>
  <c r="S52" i="1" s="1"/>
  <c r="U66" i="1"/>
  <c r="S66" i="1" s="1"/>
  <c r="AI66" i="1"/>
  <c r="W132" i="1"/>
  <c r="U213" i="1"/>
  <c r="S213" i="1" s="1"/>
  <c r="AI165" i="1"/>
  <c r="U44" i="1"/>
  <c r="S44" i="1" s="1"/>
  <c r="AI44" i="1"/>
  <c r="W52" i="1"/>
  <c r="W78" i="1"/>
  <c r="AI102" i="1"/>
  <c r="U102" i="1"/>
  <c r="S102" i="1" s="1"/>
  <c r="W110" i="1"/>
  <c r="U92" i="1"/>
  <c r="S92" i="1" s="1"/>
  <c r="AI92" i="1"/>
  <c r="AI125" i="1"/>
  <c r="U125" i="1"/>
  <c r="S125" i="1" s="1"/>
  <c r="AI85" i="1"/>
  <c r="U85" i="1"/>
  <c r="S85" i="1" s="1"/>
  <c r="U130" i="1"/>
  <c r="S130" i="1" s="1"/>
  <c r="AI130" i="1"/>
  <c r="U165" i="1"/>
  <c r="S165" i="1" s="1"/>
  <c r="AI188" i="1"/>
  <c r="AI197" i="1"/>
  <c r="U174" i="1"/>
  <c r="S174" i="1" s="1"/>
  <c r="W125" i="1"/>
  <c r="U208" i="1"/>
  <c r="S208" i="1" s="1"/>
  <c r="AI173" i="1"/>
  <c r="U227" i="1"/>
  <c r="S227" i="1" s="1"/>
  <c r="AI189" i="1"/>
  <c r="U166" i="1"/>
  <c r="S166" i="1" s="1"/>
  <c r="W174" i="1"/>
  <c r="AI205" i="1"/>
  <c r="U182" i="1"/>
  <c r="S182" i="1" s="1"/>
  <c r="U189" i="1"/>
  <c r="S189" i="1" s="1"/>
  <c r="AI212" i="1"/>
  <c r="W189" i="1"/>
  <c r="AI221" i="1"/>
  <c r="U198" i="1"/>
  <c r="S198" i="1" s="1"/>
  <c r="AI139" i="1"/>
  <c r="U139" i="1"/>
  <c r="S139" i="1" s="1"/>
  <c r="W230" i="1"/>
  <c r="W201" i="1"/>
  <c r="W204" i="1"/>
  <c r="W218" i="1"/>
  <c r="Y19" i="3"/>
  <c r="AD19" i="3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86" i="9" l="1"/>
  <c r="B87" i="9"/>
  <c r="C87" i="9" l="1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B57" i="9"/>
  <c r="B58" i="9"/>
  <c r="B59" i="9"/>
  <c r="B60" i="9"/>
  <c r="B61" i="9"/>
  <c r="B62" i="9"/>
  <c r="C62" i="9" s="1"/>
  <c r="B63" i="9"/>
  <c r="B64" i="9"/>
  <c r="B65" i="9"/>
  <c r="B66" i="9"/>
  <c r="C66" i="9" s="1"/>
  <c r="B67" i="9"/>
  <c r="B68" i="9"/>
  <c r="B69" i="9"/>
  <c r="B70" i="9"/>
  <c r="C70" i="9" s="1"/>
  <c r="B71" i="9"/>
  <c r="B72" i="9"/>
  <c r="B73" i="9"/>
  <c r="B74" i="9"/>
  <c r="C74" i="9" s="1"/>
  <c r="B75" i="9"/>
  <c r="B76" i="9"/>
  <c r="B77" i="9"/>
  <c r="B78" i="9"/>
  <c r="C78" i="9" s="1"/>
  <c r="B79" i="9"/>
  <c r="B80" i="9"/>
  <c r="C76" i="9" l="1"/>
  <c r="C72" i="9"/>
  <c r="C68" i="9"/>
  <c r="C64" i="9"/>
  <c r="C60" i="9"/>
  <c r="C56" i="9"/>
  <c r="C58" i="9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1" i="3" l="1"/>
  <c r="N10" i="3"/>
  <c r="N40" i="3"/>
  <c r="H6" i="6"/>
  <c r="N41" i="3"/>
  <c r="N27" i="3"/>
  <c r="N26" i="3"/>
  <c r="N25" i="3"/>
  <c r="N37" i="3"/>
  <c r="N17" i="3"/>
  <c r="N20" i="3"/>
  <c r="N30" i="3"/>
  <c r="N29" i="3"/>
  <c r="N28" i="3"/>
  <c r="N14" i="3"/>
  <c r="N31" i="3"/>
  <c r="H4" i="6"/>
  <c r="H5" i="6"/>
  <c r="N33" i="3"/>
  <c r="N23" i="3"/>
  <c r="N36" i="3"/>
  <c r="N16" i="3"/>
  <c r="N38" i="3"/>
  <c r="N24" i="3"/>
  <c r="N21" i="3"/>
  <c r="N7" i="3"/>
  <c r="N8" i="3"/>
  <c r="N39" i="3"/>
  <c r="N34" i="3"/>
  <c r="N32" i="3"/>
  <c r="N18" i="3"/>
  <c r="N13" i="3"/>
  <c r="N35" i="3"/>
  <c r="N9" i="3"/>
  <c r="N15" i="3"/>
  <c r="N12" i="3"/>
  <c r="N22" i="3"/>
  <c r="N19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<sst xmlns="http://schemas.openxmlformats.org/spreadsheetml/2006/main" count="2616" uniqueCount="948">
  <si>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</si>
  <si>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</si>
  <si>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</si>
  <si>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</si>
  <si>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</si>
  <si>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</si>
  <si>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</si>
  <si>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</si>
  <si>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</si>
  <si>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</si>
  <si>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</si>
  <si>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</si>
  <si>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</si>
  <si>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</si>
  <si>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</si>
  <si>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</si>
  <si>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</si>
  <si>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</si>
  <si>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</si>
  <si>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</si>
  <si>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</si>
  <si>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</si>
  <si>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</si>
  <si>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</si>
  <si>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</si>
  <si>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</si>
  <si>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</si>
  <si>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</si>
  <si>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</si>
  <si>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</si>
  <si>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</si>
  <si>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</si>
  <si>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</si>
  <si>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</si>
  <si>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</si>
  <si>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</si>
  <si>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</si>
  <si>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</si>
  <si>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</si>
  <si>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</si>
  <si>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</si>
  <si>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</si>
  <si>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</si>
  <si>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</si>
  <si>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</si>
  <si>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</si>
  <si>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</si>
  <si>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</si>
  <si>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</si>
  <si>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</si>
  <si>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</si>
  <si>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</si>
  <si>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</si>
  <si>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</si>
  <si>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</si>
  <si>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</si>
  <si>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</si>
  <si>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</si>
  <si>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</si>
  <si>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</si>
  <si>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</si>
  <si>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</si>
  <si>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</si>
  <si>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</si>
  <si>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</si>
  <si>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</si>
  <si>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</si>
  <si>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</si>
  <si>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</si>
  <si>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</si>
  <si>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</si>
  <si>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</si>
  <si>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</si>
  <si>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</si>
  <si>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</si>
  <si>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</si>
  <si>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</si>
  <si>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</si>
  <si>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</si>
  <si>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</si>
  <si>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</si>
  <si>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</si>
  <si>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</si>
  <si>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</si>
  <si>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</si>
  <si>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</si>
  <si>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</si>
  <si>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</si>
  <si>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</si>
  <si>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</si>
  <si>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</si>
  <si>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</si>
  <si>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</si>
  <si>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</si>
  <si>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</si>
  <si>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</si>
  <si>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</si>
  <si>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</si>
  <si>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</si>
  <si>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</si>
  <si>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</si>
  <si>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</si>
  <si>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</si>
  <si>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</si>
  <si>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</si>
  <si>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</si>
  <si>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</si>
  <si>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</si>
  <si>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</si>
  <si>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</si>
  <si>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</si>
  <si>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</si>
  <si>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</si>
  <si>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</si>
  <si>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</si>
  <si>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</si>
  <si>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</si>
  <si>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</si>
  <si>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</si>
  <si>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</si>
  <si>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</si>
  <si>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</si>
  <si>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</si>
  <si>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</si>
  <si>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</si>
  <si>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</si>
  <si>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</si>
  <si>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</si>
  <si>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</si>
  <si>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</si>
  <si>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</si>
  <si>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</si>
  <si>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</si>
  <si>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</si>
  <si>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</si>
  <si>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</si>
  <si>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</si>
  <si>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</si>
  <si>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</si>
  <si>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</si>
  <si>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</si>
  <si>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</si>
  <si>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</si>
  <si>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</si>
  <si>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</si>
  <si>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</si>
  <si>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</si>
  <si>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</si>
  <si>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</si>
  <si>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</si>
  <si>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</si>
  <si>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</si>
  <si>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</si>
  <si>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</si>
  <si>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</si>
  <si>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</si>
  <si>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</si>
  <si>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</si>
  <si>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</si>
  <si>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</si>
  <si>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</si>
  <si>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</si>
  <si>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</si>
  <si>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</si>
  <si>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</si>
  <si>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</si>
  <si>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</si>
  <si>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</si>
  <si>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</si>
  <si>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</si>
  <si>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</si>
  <si>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</si>
  <si>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</si>
  <si>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</si>
  <si>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</si>
  <si>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</si>
  <si>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</si>
  <si>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</si>
  <si>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</si>
  <si>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</si>
  <si>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</si>
  <si>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</si>
  <si>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</si>
  <si>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</si>
  <si>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</si>
  <si>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</si>
  <si>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</si>
  <si>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</si>
  <si>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</si>
  <si>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</si>
  <si>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</si>
  <si>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</si>
  <si>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</si>
  <si>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</si>
  <si>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</si>
  <si>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</si>
  <si>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</si>
  <si>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</si>
  <si>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</si>
  <si>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</si>
  <si>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</si>
  <si>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</si>
  <si>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</si>
  <si>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</si>
  <si>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</si>
  <si>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</si>
  <si>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</si>
  <si>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</si>
  <si>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</si>
  <si>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</si>
  <si>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</si>
  <si>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</si>
  <si>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</si>
  <si>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</si>
  <si>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</si>
  <si>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</si>
  <si>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</si>
  <si>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</si>
  <si>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</si>
  <si>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</si>
  <si>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</si>
  <si>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</si>
  <si>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</si>
  <si>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</si>
  <si>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</si>
  <si>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</si>
  <si>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</si>
  <si>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</si>
  <si>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</si>
  <si>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</si>
  <si>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</si>
  <si>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</si>
  <si>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</si>
  <si>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</si>
  <si>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</si>
  <si>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</si>
  <si>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</si>
  <si>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</si>
  <si>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</si>
  <si>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</si>
  <si>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</si>
  <si>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</si>
  <si>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</si>
  <si>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</si>
  <si>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</si>
  <si>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</si>
  <si>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</si>
  <si>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</si>
  <si>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</si>
  <si>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</si>
  <si>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</si>
  <si>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</si>
  <si>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</si>
  <si>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</si>
  <si>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</si>
  <si>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</si>
  <si>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</si>
  <si>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</si>
  <si>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</si>
  <si>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</si>
  <si>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</si>
  <si>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</si>
  <si>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</si>
  <si>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</si>
  <si>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</si>
  <si>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</si>
  <si>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</si>
  <si>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</si>
  <si>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</si>
  <si>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</si>
  <si>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</si>
  <si>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</si>
  <si>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</si>
  <si>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204:232985</t>
  </si>
  <si>
    <t>rtdc.l.rtdc.4004:itc</t>
  </si>
  <si>
    <t>rtdc.l.rtdc.4021:itc</t>
  </si>
  <si>
    <t>SCOTT</t>
  </si>
  <si>
    <t>rtdc.l.rtdc.4003:itc</t>
  </si>
  <si>
    <t>204:138</t>
  </si>
  <si>
    <t>204:444</t>
  </si>
  <si>
    <t>204:477</t>
  </si>
  <si>
    <t>rtdc.l.rtdc.4018:itc</t>
  </si>
  <si>
    <t>rtdc.l.rtdc.4017:itc</t>
  </si>
  <si>
    <t>204:233289</t>
  </si>
  <si>
    <t>204:233000</t>
  </si>
  <si>
    <t>204:232986</t>
  </si>
  <si>
    <t>204:440</t>
  </si>
  <si>
    <t>204:233299</t>
  </si>
  <si>
    <t>204:233298</t>
  </si>
  <si>
    <t>300:58933</t>
  </si>
  <si>
    <t>204:969</t>
  </si>
  <si>
    <t>300:58939</t>
  </si>
  <si>
    <t>300:58615</t>
  </si>
  <si>
    <t>rtdc.l.rtdc.4010:itc</t>
  </si>
  <si>
    <t>SMITH</t>
  </si>
  <si>
    <t>SWANSON</t>
  </si>
  <si>
    <t>BRYCE</t>
  </si>
  <si>
    <t>NEWELL</t>
  </si>
  <si>
    <t>GREGORY</t>
  </si>
  <si>
    <t>204:233310</t>
  </si>
  <si>
    <t>204:449</t>
  </si>
  <si>
    <t>204:469</t>
  </si>
  <si>
    <t>204:442</t>
  </si>
  <si>
    <t>204:233295</t>
  </si>
  <si>
    <t>204:233308</t>
  </si>
  <si>
    <t>204:232973</t>
  </si>
  <si>
    <t>204:232972</t>
  </si>
  <si>
    <t>204:232978</t>
  </si>
  <si>
    <t>300:58929</t>
  </si>
  <si>
    <t>300:58924</t>
  </si>
  <si>
    <t>300:58619</t>
  </si>
  <si>
    <t>204:668</t>
  </si>
  <si>
    <t>204:678</t>
  </si>
  <si>
    <t>300:58926</t>
  </si>
  <si>
    <t>300:58920</t>
  </si>
  <si>
    <t>rtdc.l.rtdc.4028:itc</t>
  </si>
  <si>
    <t>rtdc.l.rtdc.4027:itc</t>
  </si>
  <si>
    <t>rtdc.l.rtdc.4044:itc</t>
  </si>
  <si>
    <t>rtdc.l.rtdc.4031:itc</t>
  </si>
  <si>
    <t>rtdc.l.rtdc.4043:itc</t>
  </si>
  <si>
    <t>234-18</t>
  </si>
  <si>
    <t>235-18</t>
  </si>
  <si>
    <t>OUN</t>
  </si>
  <si>
    <t>ZACK</t>
  </si>
  <si>
    <t>BARTLETT</t>
  </si>
  <si>
    <t>KIANDRA</t>
  </si>
  <si>
    <t>MCREYNOLDS</t>
  </si>
  <si>
    <t>KYLE</t>
  </si>
  <si>
    <t>230-18</t>
  </si>
  <si>
    <t>1833-18</t>
  </si>
  <si>
    <t>232-18</t>
  </si>
  <si>
    <t>1902-18</t>
  </si>
  <si>
    <t>237-18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</si>
  <si>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</si>
  <si>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</si>
  <si>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</si>
  <si>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</si>
  <si>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</si>
  <si>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</si>
  <si>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</si>
  <si>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</si>
  <si>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</si>
  <si>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</si>
  <si>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</si>
  <si>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</si>
  <si>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</si>
  <si>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204:232981</t>
  </si>
  <si>
    <t>204:433</t>
  </si>
  <si>
    <t>204:745</t>
  </si>
  <si>
    <t>204:1018</t>
  </si>
  <si>
    <t>300:58611</t>
  </si>
  <si>
    <t>204:172</t>
  </si>
  <si>
    <t>204:232984</t>
  </si>
  <si>
    <t>204:170</t>
  </si>
  <si>
    <t>204:473</t>
  </si>
  <si>
    <t>204:233301</t>
  </si>
  <si>
    <t>204:233285</t>
  </si>
  <si>
    <t>204:233297</t>
  </si>
  <si>
    <t>204:130</t>
  </si>
  <si>
    <t>300:23302</t>
  </si>
  <si>
    <t>rtdc.l.rtdc.4019:itc</t>
  </si>
  <si>
    <t>MAGEE</t>
  </si>
  <si>
    <t>KENYA</t>
  </si>
  <si>
    <t>STARKS</t>
  </si>
  <si>
    <t>ANGELINA</t>
  </si>
  <si>
    <t>SIMMONS</t>
  </si>
  <si>
    <t>SHYHESHA</t>
  </si>
  <si>
    <t>rtdc.l.rtdc.4020:itc</t>
  </si>
  <si>
    <t>DUNCAN</t>
  </si>
  <si>
    <t>SHEILA</t>
  </si>
  <si>
    <t>CLARK</t>
  </si>
  <si>
    <t>KATHLEEN</t>
  </si>
  <si>
    <t>COMELLA</t>
  </si>
  <si>
    <t>JUSTIN</t>
  </si>
  <si>
    <t>YANG</t>
  </si>
  <si>
    <t>JAN</t>
  </si>
  <si>
    <t>partly-cloudy-day</t>
  </si>
  <si>
    <t>Mostly Cloudy</t>
  </si>
  <si>
    <t>204:748</t>
  </si>
  <si>
    <t>204:233312</t>
  </si>
  <si>
    <t>204:232675</t>
  </si>
  <si>
    <t>204:233293</t>
  </si>
  <si>
    <t>204:233288</t>
  </si>
  <si>
    <t>204:232959</t>
  </si>
  <si>
    <t>204:232991</t>
  </si>
  <si>
    <t>204:233300</t>
  </si>
  <si>
    <t>204:438</t>
  </si>
  <si>
    <t>204:233325</t>
  </si>
  <si>
    <t>204:152</t>
  </si>
  <si>
    <t>204:232967</t>
  </si>
  <si>
    <t>204:233337</t>
  </si>
  <si>
    <t>204:232955</t>
  </si>
  <si>
    <t>204:232975</t>
  </si>
  <si>
    <t>204:233025</t>
  </si>
  <si>
    <t>204:167</t>
  </si>
  <si>
    <t>204:233002</t>
  </si>
  <si>
    <t>204:233302</t>
  </si>
  <si>
    <t>204:232969</t>
  </si>
  <si>
    <t>204:232979</t>
  </si>
  <si>
    <t>204:232980</t>
  </si>
  <si>
    <t>204:232983</t>
  </si>
  <si>
    <t>204:233034</t>
  </si>
  <si>
    <t>204:232982</t>
  </si>
  <si>
    <t>204:232970</t>
  </si>
  <si>
    <t>204:233287</t>
  </si>
  <si>
    <t>204:466</t>
  </si>
  <si>
    <t>204:491</t>
  </si>
  <si>
    <t>204:165</t>
  </si>
  <si>
    <t>204:233009</t>
  </si>
  <si>
    <t>204:911</t>
  </si>
  <si>
    <t>300:24222</t>
  </si>
  <si>
    <t>300:23299</t>
  </si>
  <si>
    <t>300:58634</t>
  </si>
  <si>
    <t>300:58630</t>
  </si>
  <si>
    <t>204:1034</t>
  </si>
  <si>
    <t>300:58609</t>
  </si>
  <si>
    <t>300:58608</t>
  </si>
  <si>
    <t>204:971</t>
  </si>
  <si>
    <t>300:58922</t>
  </si>
  <si>
    <t>300:58604</t>
  </si>
  <si>
    <t>300:58621</t>
  </si>
  <si>
    <t>204:692</t>
  </si>
  <si>
    <t>300:58916</t>
  </si>
  <si>
    <t>Onboard in-route failure</t>
  </si>
  <si>
    <t>Wi-MAX data drop</t>
  </si>
  <si>
    <t>Early arrival</t>
  </si>
  <si>
    <t>106-21</t>
  </si>
  <si>
    <t>108-21</t>
  </si>
  <si>
    <t>803-21</t>
  </si>
  <si>
    <t>123-21</t>
  </si>
  <si>
    <t>116-21</t>
  </si>
  <si>
    <t>122-21</t>
  </si>
  <si>
    <t>807-21</t>
  </si>
  <si>
    <t>130-21</t>
  </si>
  <si>
    <t>139-21</t>
  </si>
  <si>
    <t>132-21</t>
  </si>
  <si>
    <t>814-21</t>
  </si>
  <si>
    <t>147-21</t>
  </si>
  <si>
    <t>815-21</t>
  </si>
  <si>
    <t>155-21</t>
  </si>
  <si>
    <t>161-21</t>
  </si>
  <si>
    <t>162-21</t>
  </si>
  <si>
    <t>181-21</t>
  </si>
  <si>
    <t>824-21</t>
  </si>
  <si>
    <t>186-21</t>
  </si>
  <si>
    <t>209-21</t>
  </si>
  <si>
    <t>210-21</t>
  </si>
  <si>
    <t>305-21</t>
  </si>
  <si>
    <t>221-21</t>
  </si>
  <si>
    <t>220-21</t>
  </si>
  <si>
    <t>224-21</t>
  </si>
  <si>
    <t>844-21</t>
  </si>
  <si>
    <t>228-21</t>
  </si>
  <si>
    <t>233-21</t>
  </si>
  <si>
    <t>235-21</t>
  </si>
  <si>
    <t>234-21</t>
  </si>
  <si>
    <t>242-20</t>
  </si>
  <si>
    <t>311-20</t>
  </si>
  <si>
    <t>244-20</t>
  </si>
  <si>
    <t>313-20</t>
  </si>
  <si>
    <t>315-20</t>
  </si>
  <si>
    <t>302-21</t>
  </si>
  <si>
    <t>ISHMAEL</t>
  </si>
  <si>
    <t>JOSEPH</t>
  </si>
  <si>
    <t>101-21</t>
  </si>
  <si>
    <t>304-21</t>
  </si>
  <si>
    <t>103-21</t>
  </si>
  <si>
    <t>306-21</t>
  </si>
  <si>
    <t>GEBRETEKLE</t>
  </si>
  <si>
    <t>DAGNEW</t>
  </si>
  <si>
    <t>308-21</t>
  </si>
  <si>
    <t>BONDS</t>
  </si>
  <si>
    <t>REYNALDO</t>
  </si>
  <si>
    <t>102-21</t>
  </si>
  <si>
    <t>105-21</t>
  </si>
  <si>
    <t>310-21</t>
  </si>
  <si>
    <t>COOLAHAN</t>
  </si>
  <si>
    <t>107-21</t>
  </si>
  <si>
    <t>104-21</t>
  </si>
  <si>
    <t>109-21</t>
  </si>
  <si>
    <t>901-21</t>
  </si>
  <si>
    <t>111-21</t>
  </si>
  <si>
    <t>BEAM</t>
  </si>
  <si>
    <t>ROSS</t>
  </si>
  <si>
    <t>113-21</t>
  </si>
  <si>
    <t>800-21</t>
  </si>
  <si>
    <t>115-21</t>
  </si>
  <si>
    <t>117-21</t>
  </si>
  <si>
    <t>110-21</t>
  </si>
  <si>
    <t>112-21</t>
  </si>
  <si>
    <t>801-21</t>
  </si>
  <si>
    <t>119-21</t>
  </si>
  <si>
    <t>902-21</t>
  </si>
  <si>
    <t>802-21</t>
  </si>
  <si>
    <t>121-21</t>
  </si>
  <si>
    <t>118-21</t>
  </si>
  <si>
    <t>805-21</t>
  </si>
  <si>
    <t>804-21</t>
  </si>
  <si>
    <t>125-21</t>
  </si>
  <si>
    <t>127-21</t>
  </si>
  <si>
    <t>120-21</t>
  </si>
  <si>
    <t>806-21</t>
  </si>
  <si>
    <t>129-21</t>
  </si>
  <si>
    <t>124-21</t>
  </si>
  <si>
    <t>131-21</t>
  </si>
  <si>
    <t>126-21</t>
  </si>
  <si>
    <t>808-21</t>
  </si>
  <si>
    <t>133-21</t>
  </si>
  <si>
    <t>809-21</t>
  </si>
  <si>
    <t>128-21</t>
  </si>
  <si>
    <t>135-21</t>
  </si>
  <si>
    <t>810-21</t>
  </si>
  <si>
    <t>137-21</t>
  </si>
  <si>
    <t>811-21</t>
  </si>
  <si>
    <t>903-21</t>
  </si>
  <si>
    <t>134-21</t>
  </si>
  <si>
    <t>812-21</t>
  </si>
  <si>
    <t>141-21</t>
  </si>
  <si>
    <t>136-21</t>
  </si>
  <si>
    <t>143-21</t>
  </si>
  <si>
    <t>813-21</t>
  </si>
  <si>
    <t>138-21</t>
  </si>
  <si>
    <t>145-21</t>
  </si>
  <si>
    <t>140-21</t>
  </si>
  <si>
    <t>50-21</t>
  </si>
  <si>
    <t>YOUNG</t>
  </si>
  <si>
    <t>ELIZABETH</t>
  </si>
  <si>
    <t>142-21</t>
  </si>
  <si>
    <t>149-21</t>
  </si>
  <si>
    <t>144-21</t>
  </si>
  <si>
    <t>151-21</t>
  </si>
  <si>
    <t>146-21</t>
  </si>
  <si>
    <t>153-21</t>
  </si>
  <si>
    <t>148-21</t>
  </si>
  <si>
    <t>150-21</t>
  </si>
  <si>
    <t>816-21</t>
  </si>
  <si>
    <t>157-21</t>
  </si>
  <si>
    <t>152-21</t>
  </si>
  <si>
    <t>159-21</t>
  </si>
  <si>
    <t>154-21</t>
  </si>
  <si>
    <t>817-21</t>
  </si>
  <si>
    <t>156-21</t>
  </si>
  <si>
    <t>163-21</t>
  </si>
  <si>
    <t>158-21</t>
  </si>
  <si>
    <t>818-21</t>
  </si>
  <si>
    <t>165-21</t>
  </si>
  <si>
    <t>HELVIE</t>
  </si>
  <si>
    <t>ADAM</t>
  </si>
  <si>
    <t>160-21</t>
  </si>
  <si>
    <t>167-21</t>
  </si>
  <si>
    <t>169-21</t>
  </si>
  <si>
    <t>819-21</t>
  </si>
  <si>
    <t>164-21</t>
  </si>
  <si>
    <t>171-21</t>
  </si>
  <si>
    <t>BRANNON</t>
  </si>
  <si>
    <t>JEFFREY</t>
  </si>
  <si>
    <t>166-21</t>
  </si>
  <si>
    <t>820-21</t>
  </si>
  <si>
    <t>168-21</t>
  </si>
  <si>
    <t>173-21</t>
  </si>
  <si>
    <t>175-21</t>
  </si>
  <si>
    <t>170-21</t>
  </si>
  <si>
    <t>177-21</t>
  </si>
  <si>
    <t>821-21</t>
  </si>
  <si>
    <t>BRUDER</t>
  </si>
  <si>
    <t>RICHARD</t>
  </si>
  <si>
    <t>172-21</t>
  </si>
  <si>
    <t>179-21</t>
  </si>
  <si>
    <t>174-21</t>
  </si>
  <si>
    <t>822-21</t>
  </si>
  <si>
    <t>176-21</t>
  </si>
  <si>
    <t>183-21</t>
  </si>
  <si>
    <t>178-21</t>
  </si>
  <si>
    <t>185-21</t>
  </si>
  <si>
    <t>823-21</t>
  </si>
  <si>
    <t>180-21</t>
  </si>
  <si>
    <t>187-21</t>
  </si>
  <si>
    <t>182-21</t>
  </si>
  <si>
    <t>189-21</t>
  </si>
  <si>
    <t>184-21</t>
  </si>
  <si>
    <t>191-21</t>
  </si>
  <si>
    <t>193-21</t>
  </si>
  <si>
    <t>825-21</t>
  </si>
  <si>
    <t>188-21</t>
  </si>
  <si>
    <t>195-21</t>
  </si>
  <si>
    <t>827-21</t>
  </si>
  <si>
    <t>904-21</t>
  </si>
  <si>
    <t>190-21</t>
  </si>
  <si>
    <t>826-21</t>
  </si>
  <si>
    <t>197-21</t>
  </si>
  <si>
    <t>192-21</t>
  </si>
  <si>
    <t>199-21</t>
  </si>
  <si>
    <t>194-21</t>
  </si>
  <si>
    <t>196-21</t>
  </si>
  <si>
    <t>828-21</t>
  </si>
  <si>
    <t>201-21</t>
  </si>
  <si>
    <t>829-21</t>
  </si>
  <si>
    <t>203-21</t>
  </si>
  <si>
    <t>198-21</t>
  </si>
  <si>
    <t>830-21</t>
  </si>
  <si>
    <t>205-21</t>
  </si>
  <si>
    <t>200-21</t>
  </si>
  <si>
    <t>831-21</t>
  </si>
  <si>
    <t>207-21</t>
  </si>
  <si>
    <t>202-21</t>
  </si>
  <si>
    <t>73-21</t>
  </si>
  <si>
    <t>832-21</t>
  </si>
  <si>
    <t>HILLS</t>
  </si>
  <si>
    <t>DUSTIN</t>
  </si>
  <si>
    <t>833-21</t>
  </si>
  <si>
    <t>204-21</t>
  </si>
  <si>
    <t>211-21</t>
  </si>
  <si>
    <t>206-21</t>
  </si>
  <si>
    <t>834-21</t>
  </si>
  <si>
    <t>213-21</t>
  </si>
  <si>
    <t>835-21</t>
  </si>
  <si>
    <t>54-21</t>
  </si>
  <si>
    <t>BROWN</t>
  </si>
  <si>
    <t>JACOB</t>
  </si>
  <si>
    <t>208-21</t>
  </si>
  <si>
    <t>215-21</t>
  </si>
  <si>
    <t>rtdc.l.rtdc.4030:itc</t>
  </si>
  <si>
    <t>56-21</t>
  </si>
  <si>
    <t>212-21</t>
  </si>
  <si>
    <t>836-21</t>
  </si>
  <si>
    <t>217-21</t>
  </si>
  <si>
    <t>837-21</t>
  </si>
  <si>
    <t>219-21</t>
  </si>
  <si>
    <t>NELSON</t>
  </si>
  <si>
    <t>ARIANE</t>
  </si>
  <si>
    <t>63-21</t>
  </si>
  <si>
    <t>303-21</t>
  </si>
  <si>
    <t>214-21</t>
  </si>
  <si>
    <t>838-21</t>
  </si>
  <si>
    <t>216-21</t>
  </si>
  <si>
    <t>839-21</t>
  </si>
  <si>
    <t>218-21</t>
  </si>
  <si>
    <t>906-21</t>
  </si>
  <si>
    <t>841-21</t>
  </si>
  <si>
    <t>223-21</t>
  </si>
  <si>
    <t>222-21</t>
  </si>
  <si>
    <t>840-21</t>
  </si>
  <si>
    <t>307-21</t>
  </si>
  <si>
    <t>225-21</t>
  </si>
  <si>
    <t>843-21</t>
  </si>
  <si>
    <t>227-21</t>
  </si>
  <si>
    <t>229-21</t>
  </si>
  <si>
    <t>842-21</t>
  </si>
  <si>
    <t>226-21</t>
  </si>
  <si>
    <t>845-21</t>
  </si>
  <si>
    <t>231-21</t>
  </si>
  <si>
    <t>230-21</t>
  </si>
  <si>
    <t>232-21</t>
  </si>
  <si>
    <t>847-21</t>
  </si>
  <si>
    <t>237-21</t>
  </si>
  <si>
    <t>908-21</t>
  </si>
  <si>
    <t>309-21</t>
  </si>
  <si>
    <t>60-21</t>
  </si>
  <si>
    <t>52-21</t>
  </si>
  <si>
    <t>PERKINS</t>
  </si>
  <si>
    <t>DARREN</t>
  </si>
  <si>
    <t>311-21</t>
  </si>
  <si>
    <t>rtdc.l.rtdc.4029:itc</t>
  </si>
  <si>
    <t>61-21</t>
  </si>
  <si>
    <t>51-21</t>
  </si>
  <si>
    <t>302-22</t>
  </si>
  <si>
    <t>cloudy</t>
  </si>
  <si>
    <t>Overcast</t>
  </si>
  <si>
    <t>204:744</t>
  </si>
  <si>
    <t>204:19201</t>
  </si>
  <si>
    <t>204:19198</t>
  </si>
  <si>
    <t>204:232656</t>
  </si>
  <si>
    <t>204:739</t>
  </si>
  <si>
    <t>204:233319</t>
  </si>
  <si>
    <t>204:232689</t>
  </si>
  <si>
    <t>204:114</t>
  </si>
  <si>
    <t>204:233347</t>
  </si>
  <si>
    <t>204:132</t>
  </si>
  <si>
    <t>204:783</t>
  </si>
  <si>
    <t>204:64702</t>
  </si>
  <si>
    <t>204:781</t>
  </si>
  <si>
    <t>204:232989</t>
  </si>
  <si>
    <t>204:723</t>
  </si>
  <si>
    <t>204:158</t>
  </si>
  <si>
    <t>204:475</t>
  </si>
  <si>
    <t>204:154429</t>
  </si>
  <si>
    <t>204:56980</t>
  </si>
  <si>
    <t>204:232966</t>
  </si>
  <si>
    <t>204:232998</t>
  </si>
  <si>
    <t>204:899</t>
  </si>
  <si>
    <t>204:233304</t>
  </si>
  <si>
    <t>204:233303</t>
  </si>
  <si>
    <t>204:232992</t>
  </si>
  <si>
    <t>204:233281</t>
  </si>
  <si>
    <t>204:233006</t>
  </si>
  <si>
    <t>204:446</t>
  </si>
  <si>
    <t>204:233322</t>
  </si>
  <si>
    <t>204:19130</t>
  </si>
  <si>
    <t>204:232987</t>
  </si>
  <si>
    <t>204:123</t>
  </si>
  <si>
    <t>204:141</t>
  </si>
  <si>
    <t>204:233307</t>
  </si>
  <si>
    <t>204:232974</t>
  </si>
  <si>
    <t>204:233314</t>
  </si>
  <si>
    <t>204:233276</t>
  </si>
  <si>
    <t>204:233023</t>
  </si>
  <si>
    <t>204:233341</t>
  </si>
  <si>
    <t>204:233282</t>
  </si>
  <si>
    <t>204:233272</t>
  </si>
  <si>
    <t>204:232946</t>
  </si>
  <si>
    <t>204:233346</t>
  </si>
  <si>
    <t>204:233027</t>
  </si>
  <si>
    <t>204:232988</t>
  </si>
  <si>
    <t>204:233366</t>
  </si>
  <si>
    <t>204:233040</t>
  </si>
  <si>
    <t>204:233351</t>
  </si>
  <si>
    <t>204:233306</t>
  </si>
  <si>
    <t>204:232996</t>
  </si>
  <si>
    <t>204:212</t>
  </si>
  <si>
    <t>204:233338</t>
  </si>
  <si>
    <t>204:183</t>
  </si>
  <si>
    <t>204:233062</t>
  </si>
  <si>
    <t>204:506</t>
  </si>
  <si>
    <t>204:233402</t>
  </si>
  <si>
    <t>204:233074</t>
  </si>
  <si>
    <t>204:101</t>
  </si>
  <si>
    <t>204:233329</t>
  </si>
  <si>
    <t>204:185</t>
  </si>
  <si>
    <t>204:426</t>
  </si>
  <si>
    <t>204:233011</t>
  </si>
  <si>
    <t>204:420</t>
  </si>
  <si>
    <t>204:233370</t>
  </si>
  <si>
    <t>204:233047</t>
  </si>
  <si>
    <t>204:96</t>
  </si>
  <si>
    <t>204:344</t>
  </si>
  <si>
    <t>204:37188</t>
  </si>
  <si>
    <t>204:1023</t>
  </si>
  <si>
    <t>204:27325</t>
  </si>
  <si>
    <t>204:404</t>
  </si>
  <si>
    <t>300:22586</t>
  </si>
  <si>
    <t>300:23061</t>
  </si>
  <si>
    <t>300:19218</t>
  </si>
  <si>
    <t>204:109</t>
  </si>
  <si>
    <t>300:23310</t>
  </si>
  <si>
    <t>300:22236</t>
  </si>
  <si>
    <t>300:23290</t>
  </si>
  <si>
    <t>204:1083</t>
  </si>
  <si>
    <t>300:23020</t>
  </si>
  <si>
    <t>204:1171</t>
  </si>
  <si>
    <t>204:67467</t>
  </si>
  <si>
    <t>204:128266</t>
  </si>
  <si>
    <t>204:67710</t>
  </si>
  <si>
    <t>204:128312</t>
  </si>
  <si>
    <t>204:127999</t>
  </si>
  <si>
    <t>204:70054</t>
  </si>
  <si>
    <t>204:67137</t>
  </si>
  <si>
    <t>300:21784</t>
  </si>
  <si>
    <t>204:137</t>
  </si>
  <si>
    <t>300:21956</t>
  </si>
  <si>
    <t>204:128005</t>
  </si>
  <si>
    <t>204:69409</t>
  </si>
  <si>
    <t>204:128044</t>
  </si>
  <si>
    <t>204:72392</t>
  </si>
  <si>
    <t>204:232704</t>
  </si>
  <si>
    <t>204:67456</t>
  </si>
  <si>
    <t>204:67782</t>
  </si>
  <si>
    <t>204:128256</t>
  </si>
  <si>
    <t>204:67796</t>
  </si>
  <si>
    <t>204:128305</t>
  </si>
  <si>
    <t>204:439</t>
  </si>
  <si>
    <t>300:24197</t>
  </si>
  <si>
    <t>204:1492</t>
  </si>
  <si>
    <t>204:715</t>
  </si>
  <si>
    <t>204:962</t>
  </si>
  <si>
    <t>300:58911</t>
  </si>
  <si>
    <t>300:58583</t>
  </si>
  <si>
    <t>204:684</t>
  </si>
  <si>
    <t>204:776</t>
  </si>
  <si>
    <t>204:964</t>
  </si>
  <si>
    <t>204:722</t>
  </si>
  <si>
    <t>204:1051</t>
  </si>
  <si>
    <t>300:58084</t>
  </si>
  <si>
    <t>300:58594</t>
  </si>
  <si>
    <t>204:936</t>
  </si>
  <si>
    <t>204:976</t>
  </si>
  <si>
    <t>300:58606</t>
  </si>
  <si>
    <t>204:659</t>
  </si>
  <si>
    <t>204:958</t>
  </si>
  <si>
    <t>204:965</t>
  </si>
  <si>
    <t>204:972</t>
  </si>
  <si>
    <t>204:990</t>
  </si>
  <si>
    <t>300:58950</t>
  </si>
  <si>
    <t>204:699</t>
  </si>
  <si>
    <t>300:58937</t>
  </si>
  <si>
    <t>300:58624</t>
  </si>
  <si>
    <t>300:58935</t>
  </si>
  <si>
    <t>204:967</t>
  </si>
  <si>
    <t>204:694</t>
  </si>
  <si>
    <t>204:906</t>
  </si>
  <si>
    <t>300:58965</t>
  </si>
  <si>
    <t>300:58651</t>
  </si>
  <si>
    <t>204:649</t>
  </si>
  <si>
    <t>204:986</t>
  </si>
  <si>
    <t>204:944</t>
  </si>
  <si>
    <t>300:58946</t>
  </si>
  <si>
    <t>204:628</t>
  </si>
  <si>
    <t>204:981</t>
  </si>
  <si>
    <t>204:663</t>
  </si>
  <si>
    <t>204:629</t>
  </si>
  <si>
    <t>300:58617</t>
  </si>
  <si>
    <t>204:677</t>
  </si>
  <si>
    <t>204:978</t>
  </si>
  <si>
    <t>300:58943</t>
  </si>
  <si>
    <t>204:687</t>
  </si>
  <si>
    <t>300:58641</t>
  </si>
  <si>
    <t>300:58956</t>
  </si>
  <si>
    <t>204:957</t>
  </si>
  <si>
    <t>300:58963</t>
  </si>
  <si>
    <t>300:30004</t>
  </si>
  <si>
    <t>204:1233</t>
  </si>
  <si>
    <t>300:22348</t>
  </si>
  <si>
    <t>204:640</t>
  </si>
  <si>
    <t>300:23256</t>
  </si>
  <si>
    <t>300:22357</t>
  </si>
  <si>
    <t>300:28789</t>
  </si>
  <si>
    <t>300:58643</t>
  </si>
  <si>
    <t>300:20996</t>
  </si>
  <si>
    <t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t>
  </si>
  <si>
    <t>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 &amp; 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</t>
  </si>
  <si>
    <t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t>
  </si>
  <si>
    <t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t>
  </si>
  <si>
    <t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t>
  </si>
  <si>
    <t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t>
  </si>
  <si>
    <t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t>
  </si>
  <si>
    <t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t>
  </si>
  <si>
    <t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t>
  </si>
  <si>
    <t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t>
  </si>
  <si>
    <t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t>
  </si>
  <si>
    <t>aws s3 cp s3://rtdc.mdm.uploadarchive.raw/RTDC4013/ "%USERPROFILE%\AppData\Local\Temp\OnboardLogs"\RTDC4013\2016-12-21 --exclude "*" --recursive --include "*20161221*" &amp; "%USERPROFILE%\Documents\GitHub\mrs-test-scripts\Headless Mode &amp; Sideloading\WalkAndUnGZ.bat" "%USERPROFILE%\AppData\Local\Temp\OnboardLogs"\RTDC4013\2016-12-21 &amp; aws s3 cp s3://rtdc.mdm.uploadarchive.raw/RTDC4013/ "%USERPROFILE%\AppData\Local\Temp\OnboardLogs"\RTDC4013\2016-12-22 --exclude "*" --recursive --include "*20161222*" &amp; "%USERPROFILE%\Documents\GitHub\mrs-test-scripts\Headless Mode &amp; Sideloading\WalkAndUnGZ.bat" "%USERPROFILE%\AppData\Local\Temp\OnboardLogs"\RTDC4013\2016-12-22</t>
  </si>
  <si>
    <t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t>
  </si>
  <si>
    <t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t>
  </si>
  <si>
    <t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t>
  </si>
  <si>
    <t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t>
  </si>
  <si>
    <t>Slice reboot while stopped at 38th, re-inited without delay or issue</t>
  </si>
  <si>
    <t>Hard cut out - mechanical issue</t>
  </si>
  <si>
    <t>Cancelled</t>
  </si>
  <si>
    <t>Onboard in-route failure delayed departure</t>
  </si>
  <si>
    <t>DUS SW 9 reverse (train was on Main 1)</t>
  </si>
  <si>
    <t>Early cut out to support Chambers XING work</t>
  </si>
  <si>
    <t>236-21</t>
  </si>
  <si>
    <t>Ran ATC to support EC Subdiv 81 cutover</t>
  </si>
  <si>
    <t>238-21</t>
  </si>
  <si>
    <t>239-21</t>
  </si>
  <si>
    <t>241-21</t>
  </si>
  <si>
    <t>242-21</t>
  </si>
  <si>
    <t>243-21</t>
  </si>
  <si>
    <t>244-21</t>
  </si>
  <si>
    <t>Overspeed</t>
  </si>
  <si>
    <t>http://stevetu21.github.io/eaglep3/load_kml.html?kml=http://rtdc.gmaps-snips.s3.amazonaws.com/da8a7597-2617-4898-bab7-de5d449f9b88.kml</t>
  </si>
  <si>
    <t>http://stevetu21.github.io/eaglep3/load_kml.html?kml=http://rtdc.gmaps-snips.s3.amazonaws.com/73afda23-a990-40ec-ae28-357215117cd6.kml</t>
  </si>
  <si>
    <t>SYS :2016/12/21 12:43:27.493:ENFORCEMENT:Predictive Enforcement Action:  Target Number: 00006048  Target Speed:   0.0  Current Speed:  17.1</t>
  </si>
  <si>
    <t>SYS :2016/12/21 12:43:28.617:ENFORCEMENT:Predictive Enforcement Action:  Target Number: 00006048  Target Speed:   0.0  Current Speed:  16.4</t>
  </si>
  <si>
    <t>SYS :2016/12/21 12:43:28.779:ENFORCEMENT:Predictive Enforcement Action:  Target Number: 00006048  Target Speed:   0.0  Current Speed:  15.7</t>
  </si>
  <si>
    <t>SYS :2016/12/21 13:11:13.431:ENFORCEMENT:Predictive Enforcement Action:  Target Number: 00001042  Target Speed:   0.0  Current Speed:   4.8</t>
  </si>
  <si>
    <t>SYS :2016/12/21 13:11:13.838:ENFORCEMENT:Predictive Enforcement Action:  Target Number: 0000104A  Target Speed:   0.0  Current Speed:   4.8</t>
  </si>
  <si>
    <t>SYS :2016/12/21 13:38:43.785:ENFORCEMENT:Predictive Enforcement Action:  Target Number: 00001019  Target Speed:   0.0  Current Speed:   8.9</t>
  </si>
  <si>
    <t>SYS :2016/12/21 13:38:43.981:ENFORCEMENT:Predictive Enforcement Action:  Target Number: 0000100A  Target Speed:   0.0  Current Speed:   8.9</t>
  </si>
  <si>
    <t>SYS :2016/12/21 13:38:44.135:ENFORCEMENT:Predictive Enforcement Action:  Target Number: 00001019  Target Speed:   0.0  Current Speed:   8.9</t>
  </si>
  <si>
    <t>SYS :2016/12/21 13:42:16.729:ENFORCEMENT:Predictive Enforcement Action:  Target Number: 00017109  Target Speed:   0.0  Current Speed:  60.2</t>
  </si>
  <si>
    <t>SYS :2016/12/21 13:42:16.838:ENFORCEMENT:Predictive Enforcement Action:  Target Number: 00017109  Target Speed:   0.0  Current Speed:  60.2</t>
  </si>
  <si>
    <t>SYS :2016/12/21 13:42:17.722:ENFORCEMENT:Predictive Enforcement Action:  Target Number: 00017109  Target Speed:   0.0  Current Speed:  60.2</t>
  </si>
  <si>
    <t>SYS :2016/12/21 13:43:09.711:ENFORCEMENT:Predictive Enforcement Action:  Target Number: 00017109  Target Speed:   2.0  Current Speed:   7.6</t>
  </si>
  <si>
    <t>SYS :2016/12/21 13:43:11.706:ENFORCEMENT:Reactive Enforcement Action:  Target Number: 00017109  Target Speed:   2.0  Current Speed:   7.6</t>
  </si>
  <si>
    <t>SYS :2016/12/21 13:43:11.828:ENFORCEMENT:Reactive Enforcement Action:  Target Number: 00017109  Target Speed:   2.0  Current Speed:   7.6</t>
  </si>
  <si>
    <t>SYS :2016/12/21 13:50:37.874:ENFORCEMENT:Predictive Enforcement Action:  Target Number: 0000A00A  Target Speed:  10.0  Current Speed:  15.1</t>
  </si>
  <si>
    <t>SYS :2016/12/21 13:50:38.083:ENFORCEMENT:Predictive Enforcement Action:  Target Number: 0000A00A  Target Speed:  10.0  Current Speed:  15.1</t>
  </si>
  <si>
    <t>SYS :2016/12/21 13:50:38.185:ENFORCEMENT:Predictive Enforcement Action:  Target Number: 0000A00A  Target Speed:  10.0  Current Speed:  15.1</t>
  </si>
  <si>
    <t>SYS :2016/12/21 14:16:43.448:ENFORCEMENT:Predictive Enforcement Action:  Target Number: 000063D4  Target Speed:   0.0  Current Speed:  35.4</t>
  </si>
  <si>
    <t>SYS :2016/12/21 14:24:06.804:ENFORCEMENT:Predictive Enforcement Action:  Target Number: 0000A00C  Target Speed:  10.0  Current Speed:  29.6</t>
  </si>
  <si>
    <t>SYS :2016/12/21 14:24:07.006:ENFORCEMENT:Predictive Enforcement Action:  Target Number: 0000A00A  Target Speed:  10.0  Current Speed:  29.6</t>
  </si>
  <si>
    <t>SYS :2016/12/21 14:24:07.157:ENFORCEMENT:Predictive Enforcement Action:  Target Number: 0000A00A  Target Speed:  10.0  Current Speed:  30.3</t>
  </si>
  <si>
    <t>SYS :2016/12/21 14:50:58.425:ENFORCEMENT:Predictive Enforcement Action:  Target Number: 0000104E  Target Speed:   0.0  Current Speed:   5.0</t>
  </si>
  <si>
    <t>SYS :2016/12/21 14:50:58.435:ENFORCEMENT:Predictive Enforcement Action:  Target Number: 00001045  Target Speed:   0.0  Current Speed:   5.0</t>
  </si>
  <si>
    <t>SYS :2016/12/21 14:50:58.834:ENFORCEMENT:Predictive Enforcement Action:  Target Number: 0000104D  Target Speed:   0.0  Current Speed:   5.0</t>
  </si>
  <si>
    <t>SYS :2016/12/21 15:20:05.647:ENFORCEMENT:Predictive Enforcement Action:  Target Number: 0000100A  Target Speed:   0.0  Current Speed:   5.3</t>
  </si>
  <si>
    <t>SYS :2016/12/21 15:28:43.193:ENFORCEMENT:Predictive Enforcement Action:  Target Number: 000170DB  Target Speed:   0.0  Current Speed:  57.8</t>
  </si>
  <si>
    <t>SYS :2016/12/21 15:28:43.881:ENFORCEMENT:Predictive Enforcement Action:  Target Number: 000170DB  Target Speed:   0.0  Current Speed:  57.8</t>
  </si>
  <si>
    <t>SYS :2016/12/21 15:28:44.096:ENFORCEMENT:Predictive Enforcement Action:  Target Number: 000170DB  Target Speed:   0.0  Current Speed:  57.8</t>
  </si>
  <si>
    <t>SYS :2016/12/21 15:38:35.043:ENFORCEMENT:Predictive Enforcement Action:  Target Number: 00017046  Target Speed:   0.0  Current Speed:  31.3</t>
  </si>
  <si>
    <t>SYS :2016/12/21 15:38:35.323:ENFORCEMENT:Predictive Enforcement Action:  Target Number: 00017046  Target Speed:   0.0  Current Speed:  30.6</t>
  </si>
  <si>
    <t>SYS :2016/12/21 15:38:35.673:ENFORCEMENT:Predictive Enforcement Action:  Target Number: 00017046  Target Speed:   0.0  Current Speed:  31.3</t>
  </si>
  <si>
    <t>SYS :2016/12/21 15:48:58.180:ENFORCEMENT:Predictive Enforcement Action:  Target Number: 00010162  Target Speed:  20.0  Current Speed:  28.6</t>
  </si>
  <si>
    <t>SYS :2016/12/21 15:48:58.869:ENFORCEMENT:Predictive Enforcement Action:  Target Number: 00010162  Target Speed:  20.0  Current Speed:  28.6</t>
  </si>
  <si>
    <t>SYS :2016/12/21 15:48:59.079:ENFORCEMENT:Predictive Enforcement Action:  Target Number: 00010162  Target Speed:  20.0  Current Speed:  28.5</t>
  </si>
  <si>
    <t>SYS :2016/12/21 15:56:51.864:ENFORCEMENT:Predictive Enforcement Action:  Target Number: 00010079  Target Speed:  20.0  Current Speed:  26.6</t>
  </si>
  <si>
    <t>SYS :2016/12/21 15:56:52.690:ENFORCEMENT:Predictive Enforcement Action:  Target Number: 00010079  Target Speed:  20.0  Current Speed:  26.8</t>
  </si>
  <si>
    <t>SYS :2016/12/21 15:56:53.098:ENFORCEMENT:Predictive Enforcement Action:  Target Number: 00010079  Target Speed:  20.0  Current Speed:  26.6</t>
  </si>
  <si>
    <t>SYS :2016/12/21 16:52:42.685:ENFORCEMENT:Predictive Enforcement Action:  Target Number: 00010211  Target Speed:  15.0  Current Speed:  20.1</t>
  </si>
  <si>
    <t>SYS :2016/12/21 16:52:43.102:ENFORCEMENT:Predictive Enforcement Action:  Target Number: 00010211  Target Speed:  15.0  Current Speed:  20.1</t>
  </si>
  <si>
    <t>SYS :2016/12/21 17:06:43.489:ENFORCEMENT:Predictive Enforcement Action:  Target Number: 0000100D  Target Speed:   0.0  Current Speed:   6.2</t>
  </si>
  <si>
    <t>SYS :2016/12/21 17:06:43.660:ENFORCEMENT:Predictive Enforcement Action:  Target Number: 0000100D  Target Speed:   0.0  Current Speed:   6.2</t>
  </si>
  <si>
    <t>SYS :2016/12/21 17:06:44.378:ENFORCEMENT:Predictive Enforcement Action:  Target Number: 0000100D  Target Speed:   0.0  Current Speed:   6.2</t>
  </si>
  <si>
    <t>SYS :2016/12/21 17:26:46.159:ENFORCEMENT:Predictive Enforcement Action:  Target Number: 0001021D  Target Speed:  30.0  Current Speed:  37.2</t>
  </si>
  <si>
    <t>SYS :2016/12/21 17:26:46.799:ENFORCEMENT:Predictive Enforcement Action:  Target Number: 00010237  Target Speed:  30.0  Current Speed:  37.2</t>
  </si>
  <si>
    <t>SYS :2016/12/21 17:26:47.002:ENFORCEMENT:Predictive Enforcement Action:  Target Number: 00010164  Target Speed:  30.0  Current Speed:  37.2</t>
  </si>
  <si>
    <t>SYS :2016/12/21 17:33:10.894:ENFORCEMENT:Reactive Enforcement Action:  Target Number: 00010020  Target Speed:  20.0  Current Speed:  25.1</t>
  </si>
  <si>
    <t>SYS :2016/12/21 17:33:10.945:ENFORCEMENT:Reactive Enforcement Action:  Target Number: 00010020  Target Speed:  20.0  Current Speed:  25.1</t>
  </si>
  <si>
    <t>SYS :2016/12/21 17:33:11.846:ENFORCEMENT:Reactive Enforcement Action:  Target Number: 00010020  Target Speed:  20.0  Current Speed:  25.1</t>
  </si>
  <si>
    <t>SYS :2016/12/21 18:18:21.678:ENFORCEMENT:Reactive Enforcement Action:  Target Number: 000100E6  Target Speed:  15.0  Current Speed:  20.1</t>
  </si>
  <si>
    <t>SYS :2016/12/21 18:18:22.410:ENFORCEMENT:Reactive Enforcement Action:  Target Number: 000100EB  Target Speed:  15.0  Current Speed:  20.1</t>
  </si>
  <si>
    <t>SYS :2016/12/21 18:18:22.520:ENFORCEMENT:Reactive Enforcement Action:  Target Number: 000100EA  Target Speed:  15.0  Current Speed:  20.1</t>
  </si>
  <si>
    <t>SYS :2016/12/21 19:19:43.689:ENFORCEMENT:Reactive Enforcement Action:  Target Number: 0001007A  Target Speed:  60.0  Current Speed:  65.3</t>
  </si>
  <si>
    <t>SYS :2016/12/21 19:19:43.813:ENFORCEMENT:Reactive Enforcement Action:  Target Number: 000101E7  Target Speed:  60.0  Current Speed:  65.3</t>
  </si>
  <si>
    <t>SYS :2016/12/21 19:19:44.471:ENFORCEMENT:Reactive Enforcement Action:  Target Number: 000101E7  Target Speed:  60.0  Current Speed:  65.3</t>
  </si>
  <si>
    <t>SYS :2016/12/21 21:21:11.033:ENFORCEMENT:Predictive Enforcement Action:  Target Number: 00001010  Target Speed:   0.0  Current Speed:   5.5</t>
  </si>
  <si>
    <t>SYS :2016/12/21 21:21:11.305:ENFORCEMENT:Predictive Enforcement Action:  Target Number: 00001010  Target Speed:   0.0  Current Speed:   5.5</t>
  </si>
  <si>
    <t>SYS :2016/12/21 21:53:11.431:ENFORCEMENT:Predictive Enforcement Action:  Target Number: 000064FE  Target Speed:   0.0  Current Speed:  14.3</t>
  </si>
  <si>
    <t>SYS :2016/12/21 21:53:12.000:ENFORCEMENT:Predictive Enforcement Action:  Target Number: 00006445  Target Speed:   0.0  Current Speed:  14.3</t>
  </si>
  <si>
    <t>SYS :2016/12/21 22:51:34.860:ENFORCEMENT:Predictive Enforcement Action:  Target Number: 00001023  Target Speed:   0.0  Current Speed:   4.7</t>
  </si>
  <si>
    <t>SYS :2016/12/21 22:51:35.067:ENFORCEMENT:Predictive Enforcement Action:  Target Number: 00001021  Target Speed:   0.0  Current Speed:   4.7</t>
  </si>
  <si>
    <t>SYS :2016/12/21 22:51:35.171:ENFORCEMENT:Predictive Enforcement Action:  Target Number: 00001021  Target Speed:   0.0  Current Speed:   4.7</t>
  </si>
  <si>
    <t>SYS :2016/12/22 00:50:13.309:ENFORCEMENT:Predictive Enforcement Action:  Target Number: 00001014  Target Speed:   0.0  Current Speed:  15.2</t>
  </si>
  <si>
    <t>SYS :2016/12/22 00:50:16.033:ENFORCEMENT:Predictive Enforcement Action:  Target Number: 00001014  Target Speed:   0.0  Current Speed:  17.4</t>
  </si>
  <si>
    <t>SYS :2016/12/22 01:48:31.189:ENFORCEMENT:Predictive Enforcement Action:  Target Number: 0000101B  Target Speed:   0.0  Current Speed:  17.3</t>
  </si>
  <si>
    <t>SYS :2016/12/22 01:48:31.749:ENFORCEMENT:Predictive Enforcement Action:  Target Number: 0000101B  Target Speed:   0.0  Current Speed:  17.3</t>
  </si>
  <si>
    <t>SYS :2016/12/22 01:48:31.970:ENFORCEMENT:Predictive Enforcement Action:  Target Number: 0000101B  Target Speed:   0.0  Current Speed:  17.3</t>
  </si>
  <si>
    <t>SYS :2016/12/22 01:49:21.742:ENFORCEMENT:Predictive Enforcement Action:  Target Number: 0000101B  Target Speed:   0.0  Current Speed:   6.0</t>
  </si>
  <si>
    <t>SYS :2016/12/22 01:49:21.969:ENFORCEMENT:Predictive Enforcement Action:  Target Number: 0000101B  Target Speed:   0.0  Current Speed:   6.0</t>
  </si>
  <si>
    <t>SYS :2016/12/22 01:49:22.187:ENFORCEMENT:Predictive Enforcement Action:  Target Number: 0000101B  Target Speed:   0.0  Current Speed:   6.0</t>
  </si>
  <si>
    <t>SYS :2016/12/22 03:07:26.442:ENFORCEMENT:Predictive Enforcement Action:  Target Number: 00001056  Target Speed:   0.0  Current Speed:   3.7</t>
  </si>
  <si>
    <t>SYS :2016/12/22 03:07:26.442:ENFORCEMENT:Predictive Enforcement Action:  Target Number: 0000105F  Target Speed:   0.0  Current Speed:   3.7</t>
  </si>
  <si>
    <t>SYS :2016/12/22 03:07:26.828:ENFORCEMENT:Predictive Enforcement Action:  Target Number: 0000105E  Target Speed:   0.0  Current Speed:   3.7</t>
  </si>
  <si>
    <t>SYS :2016/12/22 04:08:05.065:ENFORCEMENT:Predictive Enforcement Action:  Target Number: 00001029  Target Speed:   0.0  Current Speed:   4.9</t>
  </si>
  <si>
    <t>SYS :2016/12/22 04:08:05.169:ENFORCEMENT:Predictive Enforcement Action:  Target Number: 00001029  Target Speed:   0.0  Current Speed:   4.9</t>
  </si>
  <si>
    <t>SYS :2016/12/22 05:08:26.440:ENFORCEMENT:Predictive Enforcement Action:  Target Number: 00001058  Target Speed:   0.0  Current Speed:  10.6</t>
  </si>
  <si>
    <t>SYS :2016/12/22 05:08:26.440:ENFORCEMENT:Predictive Enforcement Action:  Target Number: 00001061  Target Speed:   0.0  Current Speed:  10.6</t>
  </si>
  <si>
    <t>SYS :2016/12/22 05:15:00.423:ENFORCEMENT:Reactive Enforcement Action:  Target Number: 00006332  Target Speed:  20.0  Current Speed:  27.4</t>
  </si>
  <si>
    <t>SYS :2016/12/22 05:15:02.500:ENFORCEMENT:Reactive Enforcement Action:  Target Number: 00006312  Target Speed:  20.0  Current Speed:  30.5</t>
  </si>
  <si>
    <t>SYS :2016/12/22 05:34:49.750:ENFORCEMENT:Predictive Enforcement Action:  Target Number: 00001020  Target Speed:   0.0  Current Speed:  16.2</t>
  </si>
  <si>
    <t>SYS :2016/12/22 05:53:17.970:ENFORCEMENT:Reactive Enforcement Action:  Target Number: 000101BC  Target Speed:  40.0  Current Speed:  45.3</t>
  </si>
  <si>
    <t>SYS :2016/12/22 05:53:18.087:ENFORCEMENT:Reactive Enforcement Action:  Target Number: 00010442  Target Speed:  40.0  Current Speed:  45.3</t>
  </si>
  <si>
    <t>SYS :2016/12/22 05:53:18.282:ENFORCEMENT:Reactive Enforcement Action:  Target Number: 0001043E  Target Speed:  40.0  Current Speed:  45.3</t>
  </si>
  <si>
    <t>SYS :2016/12/22 06:32:21.667:ENFORCEMENT:Predictive Enforcement Action:  Target Number: 000170EA  Target Speed:  11.0  Current Speed:  16.9</t>
  </si>
  <si>
    <t>SYS :2016/12/22 06:32:22.451:ENFORCEMENT:Predictive Enforcement Action:  Target Number: 000171E6  Target Speed:  11.0  Current Speed:  16.7</t>
  </si>
  <si>
    <t>SYS :2016/12/22 06:33:20.812:ENFORCEMENT:Predictive Enforcement Action:  Target Number: 000171E6  Target Speed:   2.0  Current Speed:   8.4</t>
  </si>
  <si>
    <t>SYS :2016/12/22 06:33:21.471:ENFORCEMENT:Predictive Enforcement Action:  Target Number: 000171E6  Target Speed:   2.0  Current Speed:   8.4</t>
  </si>
  <si>
    <t>SYS :2016/12/22 06:33:21.669:ENFORCEMENT:Predictive Enforcement Action:  Target Number: 000170EA  Target Speed:   2.0  Current Speed:   8.4</t>
  </si>
  <si>
    <t>Pena 4S STOP, 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</si>
</sst>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169" fontId="20" fillId="0" borderId="0" xfId="4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  <sheetName val="Slice Disagreement Che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73afda23-a990-40ec-ae28-357215117cd6.kml" TargetMode="External"/><Relationship Id="rId1" Type="http://schemas.openxmlformats.org/officeDocument/2006/relationships/hyperlink" Target="http://stevetu21.github.io/eaglep3/load_kml.html?kml=http://rtdc.gmaps-snips.s3.amazonaws.com/da8a7597-2617-4898-bab7-de5d449f9b88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3"/>
  <sheetViews>
    <sheetView tabSelected="1" zoomScaleNormal="100" workbookViewId="0">
      <selection activeCell="R15" sqref="R1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42725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142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COUNTIFS($N$13:$N$9363,"&gt;0",$AG$13:$AG$9363,I1)</f>
        <v>130</v>
      </c>
      <c r="K5" s="44"/>
      <c r="L5" s="44"/>
      <c r="M5" s="45">
        <f>AVERAGEIFS($N$13:$N$9363,$AG$13:$AG$9363,I1)</f>
        <v>36.88749999985756</v>
      </c>
      <c r="N5" s="43">
        <f t="array" ref="N5">MIN(IF($AG$13:$AG$9363=I1,IF(ISNUMBER($N$13:$N$9363),IF($N$13:$N$9363&gt;0,$N$13:$N$9363))))</f>
        <v>34.366666664136574</v>
      </c>
      <c r="O5" s="3">
        <f t="array" ref="O5">MAX(IF($AG$13:$AG$9363=I1,IF(ISNUMBER($N$13:$N$9363),IF($N$13:$N$9363&gt;0,$N$13:$N$9363))))</f>
        <v>47.466666667023674</v>
      </c>
      <c r="P5" s="2"/>
      <c r="R5" s="80" t="s">
        <v>17</v>
      </c>
      <c r="S5" s="55">
        <f>COUNTIFS($N$13:$N$9363,"&gt;0",$AG$13:$AG$9363,R1)</f>
        <v>47</v>
      </c>
      <c r="T5" s="44"/>
      <c r="U5" s="168"/>
      <c r="V5" s="45">
        <f>AVERAGEIFS($N$13:$N$9363,$AG$13:$AG$9363,R1)</f>
        <v>15.240425532460808</v>
      </c>
      <c r="W5" s="43">
        <f t="array" ref="W5">MIN(IF($AG$13:$AG$9363=R1,IF(ISNUMBER($N$13:$N$9363),IF($N$13:$N$9363&gt;0,$N$13:$N$9363))))</f>
        <v>11.916666665347293</v>
      </c>
      <c r="X5" s="173">
        <f t="array" ref="X5">MAX(IF($AG$13:$AG$9363=R1,IF(ISNUMBER($N$13:$N$9363),IF($N$13:$N$9363&gt;0,$N$13:$N$9363))))</f>
        <v>17.816666672006249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COUNT($O$13:$O$143)</f>
        <v>0</v>
      </c>
      <c r="K6" s="44"/>
      <c r="L6" s="44"/>
      <c r="M6" s="45">
        <f>IFERROR(AVERAGE($O$13:$O$143),0)</f>
        <v>0</v>
      </c>
      <c r="N6" s="43">
        <f>MIN($O$13:$O$143)</f>
        <v>0</v>
      </c>
      <c r="O6" s="3">
        <f>MAX($O$13:$O$143)</f>
        <v>0</v>
      </c>
      <c r="P6" s="2"/>
      <c r="R6" s="81" t="s">
        <v>43</v>
      </c>
      <c r="S6" s="55">
        <f>COUNT($O$13:$O$143)</f>
        <v>0</v>
      </c>
      <c r="T6" s="44"/>
      <c r="U6" s="168"/>
      <c r="V6" s="45">
        <f>IFERROR(AVERAGE($O$13:$O$143),0)</f>
        <v>0</v>
      </c>
      <c r="W6" s="43">
        <f>MIN($O$13:$O$143)</f>
        <v>0</v>
      </c>
      <c r="X6" s="173">
        <f>MAX($O$13:$O$143)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COUNTIFS($P$13:$P$9363,"&gt;0",$AG$13:$AG$9363,I1)</f>
        <v>12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COUNTIFS($P$13:$P$9363,"&gt;0",$AG$13:$AG$9363,R1)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130</v>
      </c>
      <c r="K8" s="44"/>
      <c r="L8" s="44"/>
      <c r="M8" s="45">
        <f>M5</f>
        <v>36.88749999985756</v>
      </c>
      <c r="N8" s="43">
        <f>N5</f>
        <v>34.366666664136574</v>
      </c>
      <c r="O8" s="3">
        <f>O5</f>
        <v>47.466666667023674</v>
      </c>
      <c r="P8" s="2"/>
      <c r="R8" s="80" t="s">
        <v>16</v>
      </c>
      <c r="S8" s="55">
        <f>S5</f>
        <v>47</v>
      </c>
      <c r="T8" s="44"/>
      <c r="U8" s="168"/>
      <c r="V8" s="45">
        <f>V5</f>
        <v>15.240425532460808</v>
      </c>
      <c r="W8" s="43">
        <f>W5</f>
        <v>11.916666665347293</v>
      </c>
      <c r="X8" s="173">
        <f>X5</f>
        <v>17.816666672006249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0.91549295774647887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- 2016-12-21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AVERAGE(S13:S102)</f>
        <v>0.99127906976744184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464</v>
      </c>
      <c r="B13" s="7">
        <v>4016</v>
      </c>
      <c r="C13" s="22" t="s">
        <v>205</v>
      </c>
      <c r="D13" s="22" t="s">
        <v>668</v>
      </c>
      <c r="E13" s="13">
        <v>42725.121759259258</v>
      </c>
      <c r="F13" s="13">
        <v>42725.135613425926</v>
      </c>
      <c r="G13" s="7">
        <v>2</v>
      </c>
      <c r="H13" s="22" t="s">
        <v>396</v>
      </c>
      <c r="I13" s="13">
        <v>42725.161932870367</v>
      </c>
      <c r="J13" s="7">
        <v>0</v>
      </c>
      <c r="K13" s="109" t="str">
        <f t="shared" ref="K13:K44" si="0">IF(ISEVEN(B13),(B13-1)&amp;"/"&amp;B13,B13&amp;"/"&amp;(B13+1))</f>
        <v>4015/4016</v>
      </c>
      <c r="L13" s="22" t="str">
        <f>VLOOKUP(A13,'Trips&amp;Operators'!$C$1:$G$99999,5,FALSE)</f>
        <v>ISHMAEL JOSEPH</v>
      </c>
      <c r="M13" s="6">
        <f t="shared" ref="M13:M44" si="1">I13-F13</f>
        <v>2.6319444441469386E-2</v>
      </c>
      <c r="N13" s="7">
        <f>24*60*SUM($M13:$M13)</f>
        <v>37.899999995715916</v>
      </c>
      <c r="O13" s="7"/>
      <c r="P13" s="7"/>
      <c r="Q13" s="23"/>
      <c r="R13" s="23"/>
      <c r="S13" s="35">
        <f>SUM(U13:U13)/IF(AG13="EC",12,1)</f>
        <v>1</v>
      </c>
      <c r="T13" s="50" t="str">
        <f t="shared" ref="T13:T44" si="2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3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https://search-rtdc-monitor-bjffxe2xuh6vdkpspy63sjmuny.us-east-1.es.amazonaws.com/_plugin/kibana/#/discover/Steve-Slow-Train-Analysis-(2080s-and-2083s)?_g=(refreshInterval:(display:Off,section:0,value:0),time:(from:'2016-12-21 01:55:20-700',mode:absolute,to:'2016-12-21 04:53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52" t="str">
        <f t="shared" ref="W13:W44" si="4">IF(AA13&lt;IF(AG13="EC",23,5.65),"Y","N")</f>
        <v>N</v>
      </c>
      <c r="X13" s="177" t="e">
        <f t="shared" ref="X13:X25" si="5">VALUE(LEFT(AD13,4))-VALUE(LEFT(AD12,4))</f>
        <v>#VALUE!</v>
      </c>
      <c r="Y13" s="67">
        <f t="shared" ref="Y13:Y44" si="6">RIGHT(D13,LEN(D13)-4)/10000</f>
        <v>7.4399999999999994E-2</v>
      </c>
      <c r="Z13" s="67">
        <f t="shared" ref="Z13:Z44" si="7">RIGHT(H13,LEN(H13)-4)/10000</f>
        <v>23.330200000000001</v>
      </c>
      <c r="AA13" s="67">
        <f t="shared" ref="AA13:AA44" si="8">ABS(Z13-Y13)</f>
        <v>23.255800000000001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44" si="9">IF(LEN(A13)=6,"0"&amp;A13,A13)</f>
        <v>0101-21</v>
      </c>
      <c r="AE13" s="91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13" s="88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/stypes="app*4016*20161221*" /stext=" 10:.+((SYSTEM_STATE.+slice.+state.+changed )|(ment ac)|(multiple cpu faults)|(system.+state.+changed )|(\[timeout)|(PRM\|1\|D)|(kpr)|(kdp)|(\|lc)|(penalty))" /e /r /s</v>
      </c>
      <c r="AG13" s="1" t="str">
        <f t="shared" ref="AG13:AG44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4016 --swversion DE.1.0.8.0 --startMP 204:744 --initTime 2016-12-21T02:55:20 --startdatetime 2016-12-21T03:15:17 --delay 2 --endMP 204:233302 --enddatetime 2016-12-21T03:53:11 --enforcementcount 0 &gt;&gt;C:\Users\stu\Documents\GitHub\eaglep3-reporting\EC\2016-12-21-refined-times.txt</v>
      </c>
      <c r="AI13" s="11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{"issue":{"subject":"","project_id":79,"tracker_id":40,"status_id":1,"priority_id":2,"assigned_to_id":23,"start_date":"2016-12-21","description":"","custom_fields":[{"id":1,"name":"Subdivision","value":"EC"},{"id":4,"name":"Milepost","value":"23.3302"},{"id":17,"name":"Train ID","value":"101-21"},{"id":16,"name":"Locomotive ID","value":"4016"},{"id":130,"name":"Impact","value":""},{"id":150,"name":"Time of Event (Mountain Time)","value":"03:53:11"},{"id":151,"name":"Denver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473</v>
      </c>
      <c r="B14" s="7">
        <v>4039</v>
      </c>
      <c r="C14" s="22" t="s">
        <v>205</v>
      </c>
      <c r="D14" s="22" t="s">
        <v>380</v>
      </c>
      <c r="E14" s="13">
        <v>42725.169479166667</v>
      </c>
      <c r="F14" s="13">
        <v>42725.174571759257</v>
      </c>
      <c r="G14" s="7">
        <v>0</v>
      </c>
      <c r="H14" s="22" t="s">
        <v>358</v>
      </c>
      <c r="I14" s="13">
        <v>42725.205763888887</v>
      </c>
      <c r="J14" s="7">
        <v>0</v>
      </c>
      <c r="K14" s="109" t="str">
        <f t="shared" si="0"/>
        <v>4039/4040</v>
      </c>
      <c r="L14" s="22" t="str">
        <f>VLOOKUP(A14,'Trips&amp;Operators'!$C$1:$G$99999,5,FALSE)</f>
        <v>ISHMAEL JOSEPH</v>
      </c>
      <c r="M14" s="6">
        <f t="shared" si="1"/>
        <v>3.1192129630653653E-2</v>
      </c>
      <c r="N14" s="7">
        <f>24*60*SUM($M14:$M14)</f>
        <v>44.916666668141261</v>
      </c>
      <c r="O14" s="7"/>
      <c r="P14" s="7"/>
      <c r="Q14" s="23"/>
      <c r="R14" s="23"/>
      <c r="S14" s="35">
        <f>SUM(U14:U14)/IF(AG14="EC",12,1)</f>
        <v>1</v>
      </c>
      <c r="T14" s="50" t="str">
        <f t="shared" si="2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03:04:03-700',mode:absolute,to:'2016-12-21 05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" s="52" t="str">
        <f t="shared" si="4"/>
        <v>N</v>
      </c>
      <c r="X14" s="177">
        <f t="shared" si="5"/>
        <v>1</v>
      </c>
      <c r="Y14" s="67">
        <f t="shared" si="6"/>
        <v>23.267499999999998</v>
      </c>
      <c r="Z14" s="67">
        <f t="shared" si="7"/>
        <v>1.2999999999999999E-2</v>
      </c>
      <c r="AA14" s="67">
        <f t="shared" si="8"/>
        <v>23.254499999999997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9"/>
        <v>0102-21</v>
      </c>
      <c r="AE14" s="91" t="str">
        <f t="shared" si="10"/>
        <v>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 &amp; 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</v>
      </c>
      <c r="AF14" s="88" t="str">
        <f t="shared" si="11"/>
        <v>"C:\Program Files (x86)\AstroGrep\AstroGrep.exe" /spath="%USERPROFILE%\AppData\Local\Temp\OnboardLogs" /stypes="app*4039*20161221*"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92" t="str">
        <f t="shared" ref="AH14:AH77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4039 --swversion DE.1.0.8.0 --startMP 204:232675 --initTime 2016-12-21T04:04:03 --startdatetime 2016-12-21T04:11:23 --delay 0 --endMP 204:130 --enddatetime 2016-12-21T04:56:18 --enforcementcount 0 &gt;&gt;C:\Users\stu\Documents\GitHub\eaglep3-reporting\EC\2016-12-21-refined-times.txt</v>
      </c>
      <c r="AI14" s="119" t="str">
        <f t="shared" ref="AI14:AI77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{"issue":{"subject":"","project_id":79,"tracker_id":40,"status_id":1,"priority_id":2,"assigned_to_id":23,"start_date":"2016-12-21","description":"","custom_fields":[{"id":1,"name":"Subdivision","value":"EC"},{"id":4,"name":"Milepost","value":"0.013"},{"id":17,"name":"Train ID","value":"102-21"},{"id":16,"name":"Locomotive ID","value":"4039"},{"id":130,"name":"Impact","value":""},{"id":150,"name":"Time of Event (Mountain Time)","value":"04:56:18"},{"id":151,"name":"Denver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466</v>
      </c>
      <c r="B15" s="7">
        <v>4042</v>
      </c>
      <c r="C15" s="22" t="s">
        <v>205</v>
      </c>
      <c r="D15" s="22" t="s">
        <v>669</v>
      </c>
      <c r="E15" s="13">
        <v>42725.161319444444</v>
      </c>
      <c r="F15" s="13">
        <v>42725.156608796293</v>
      </c>
      <c r="G15" s="7">
        <v>0</v>
      </c>
      <c r="H15" s="22" t="s">
        <v>356</v>
      </c>
      <c r="I15" s="13">
        <v>42725.184282407405</v>
      </c>
      <c r="J15" s="7">
        <v>0</v>
      </c>
      <c r="K15" s="109" t="str">
        <f t="shared" si="0"/>
        <v>4041/4042</v>
      </c>
      <c r="L15" s="22" t="str">
        <f>VLOOKUP(A15,'Trips&amp;Operators'!$C$1:$G$99999,5,FALSE)</f>
        <v>MAGEE KENYA</v>
      </c>
      <c r="M15" s="6">
        <f t="shared" si="1"/>
        <v>2.7673611111822538E-2</v>
      </c>
      <c r="N15" s="7">
        <f>24*60*SUM($M15:$M15)</f>
        <v>39.850000001024455</v>
      </c>
      <c r="O15" s="7"/>
      <c r="P15" s="7"/>
      <c r="Q15" s="23"/>
      <c r="R15" s="23" t="s">
        <v>843</v>
      </c>
      <c r="S15" s="35">
        <f>SUM(U15:U16)/IF(AG15="EC",12,1)</f>
        <v>1</v>
      </c>
      <c r="T15" s="50" t="str">
        <f t="shared" si="2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02:52:18-700',mode:absolute,to:'2016-12-21 05:25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" s="52" t="str">
        <f t="shared" si="4"/>
        <v>Y</v>
      </c>
      <c r="X15" s="177">
        <f t="shared" si="5"/>
        <v>1</v>
      </c>
      <c r="Y15" s="67">
        <f t="shared" si="6"/>
        <v>1.9200999999999999</v>
      </c>
      <c r="Z15" s="67">
        <f t="shared" si="7"/>
        <v>23.328499999999998</v>
      </c>
      <c r="AA15" s="67">
        <f t="shared" si="8"/>
        <v>21.408399999999997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9"/>
        <v>0103-21</v>
      </c>
      <c r="AE15" s="91" t="str">
        <f t="shared" si="10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15" s="88" t="str">
        <f t="shared" si="11"/>
        <v>"C:\Program Files (x86)\AstroGrep\AstroGrep.exe" /spath="%USERPROFILE%\AppData\Local\Temp\OnboardLogs" /stypes="app*4042*20161221*"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92" t="str">
        <f t="shared" si="15"/>
        <v>"%USERPROFILE%\Documents\GitHub\eaglep3\Utilities\RefineRTDCRunTimes.py" --tripid 103-21 --locoid 4042 --swversion DE.1.0.8.0 --startMP 204:19201 --initTime 2016-12-21T03:52:18 --startdatetime 2016-12-21T03:45:31 --delay 0 --endMP 204:233285 --enddatetime 2016-12-21T04:25:22 --enforcementcount 0 &gt;&gt;C:\Users\stu\Documents\GitHub\eaglep3-reporting\EC\2016-12-21-refined-times.txt</v>
      </c>
      <c r="AI15" s="119" t="str">
        <f t="shared" si="16"/>
        <v>echo {"issue":{"subject":"Slice reboot while stopped at 38th, re-inited without delay or issue","project_id":79,"tracker_id":40,"status_id":1,"priority_id":2,"assigned_to_id":23,"start_date":"2016-12-21","description":"","custom_fields":[{"id":1,"name":"Subdivision","value":"EC"},{"id":4,"name":"Milepost","value":"23.3285"},{"id":17,"name":"Train ID","value":"103-21"},{"id":16,"name":"Locomotive ID","value":"4042"},{"id":130,"name":"Impact","value":""},{"id":150,"name":"Time of Event (Mountain Time)","value":"04:25:22"},{"id":151,"name":"Denver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466</v>
      </c>
      <c r="B16" s="7">
        <v>4042</v>
      </c>
      <c r="C16" s="22" t="s">
        <v>205</v>
      </c>
      <c r="D16" s="22" t="s">
        <v>378</v>
      </c>
      <c r="E16" s="13">
        <v>42725.151331018518</v>
      </c>
      <c r="F16" s="13">
        <v>42725.162395833337</v>
      </c>
      <c r="G16" s="7">
        <v>1</v>
      </c>
      <c r="H16" s="22" t="s">
        <v>670</v>
      </c>
      <c r="I16" s="13">
        <v>42725.184282407405</v>
      </c>
      <c r="J16" s="7">
        <v>0</v>
      </c>
      <c r="K16" s="109" t="str">
        <f t="shared" si="0"/>
        <v>4041/4042</v>
      </c>
      <c r="L16" s="22" t="str">
        <f>VLOOKUP(A16,'Trips&amp;Operators'!$C$1:$G$99999,5,FALSE)</f>
        <v>MAGEE KENYA</v>
      </c>
      <c r="M16" s="6">
        <f t="shared" si="1"/>
        <v>2.1886574068048503E-2</v>
      </c>
      <c r="N16" s="7"/>
      <c r="O16" s="7"/>
      <c r="P16" s="7"/>
      <c r="Q16" s="23"/>
      <c r="R16" s="23"/>
      <c r="S16" s="35"/>
      <c r="T16" s="50" t="str">
        <f t="shared" si="2"/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02:37:55-700',mode:absolute,to:'2016-12-21 05:25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" s="52" t="str">
        <f t="shared" si="4"/>
        <v>Y</v>
      </c>
      <c r="X16" s="177">
        <f t="shared" si="5"/>
        <v>0</v>
      </c>
      <c r="Y16" s="67">
        <f t="shared" si="6"/>
        <v>7.4800000000000005E-2</v>
      </c>
      <c r="Z16" s="67">
        <f t="shared" si="7"/>
        <v>1.9198</v>
      </c>
      <c r="AA16" s="67">
        <f t="shared" si="8"/>
        <v>1.845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9"/>
        <v>0103-21</v>
      </c>
      <c r="AE16" s="91" t="str">
        <f t="shared" si="10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16" s="88" t="str">
        <f t="shared" si="11"/>
        <v>"C:\Program Files (x86)\AstroGrep\AstroGrep.exe" /spath="%USERPROFILE%\AppData\Local\Temp\OnboardLogs" /stypes="app*4042*20161221*" /stext=" 11:.+((SYSTEM_STATE.+slice.+state.+changed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92" t="str">
        <f t="shared" si="15"/>
        <v>"%USERPROFILE%\Documents\GitHub\eaglep3\Utilities\RefineRTDCRunTimes.py" --tripid 103-21 --locoid 4042 --swversion DE.1.0.8.0 --startMP 204:748 --initTime 2016-12-21T03:37:55 --startdatetime 2016-12-21T03:53:51 --delay 1 --endMP 204:19198 --enddatetime 2016-12-21T04:25:22 --enforcementcount 0 &gt;&gt;C:\Users\stu\Documents\GitHub\eaglep3-reporting\EC\2016-12-21-refined-times.txt</v>
      </c>
      <c r="AI16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{"issue":{"subject":"","project_id":79,"tracker_id":40,"status_id":1,"priority_id":2,"assigned_to_id":23,"start_date":"2016-12-21","description":"","custom_fields":[{"id":1,"name":"Subdivision","value":"EC"},{"id":4,"name":"Milepost","value":"1.9198"},{"id":17,"name":"Train ID","value":"103-21"},{"id":16,"name":"Locomotive ID","value":"4042"},{"id":130,"name":"Impact","value":""},{"id":150,"name":"Time of Event (Mountain Time)","value":"04:25:22"},{"id":151,"name":"Denver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478</v>
      </c>
      <c r="B17" s="7">
        <v>4043</v>
      </c>
      <c r="C17" s="22" t="s">
        <v>205</v>
      </c>
      <c r="D17" s="22" t="s">
        <v>671</v>
      </c>
      <c r="E17" s="13">
        <v>42725.19189814815</v>
      </c>
      <c r="F17" s="13">
        <v>42725.195590277777</v>
      </c>
      <c r="G17" s="7">
        <v>1</v>
      </c>
      <c r="H17" s="22" t="s">
        <v>268</v>
      </c>
      <c r="I17" s="13">
        <v>42725.222453703704</v>
      </c>
      <c r="J17" s="7">
        <v>0</v>
      </c>
      <c r="K17" s="109" t="str">
        <f t="shared" si="0"/>
        <v>4043/4044</v>
      </c>
      <c r="L17" s="22" t="str">
        <f>VLOOKUP(A17,'Trips&amp;Operators'!$C$1:$G$99999,5,FALSE)</f>
        <v>MAGEE KENYA</v>
      </c>
      <c r="M17" s="6">
        <f t="shared" si="1"/>
        <v>2.6863425926421769E-2</v>
      </c>
      <c r="N17" s="7">
        <f t="shared" ref="N17:N25" si="17">24*60*SUM($M17:$M17)</f>
        <v>38.683333334047347</v>
      </c>
      <c r="O17" s="7"/>
      <c r="P17" s="7"/>
      <c r="Q17" s="23"/>
      <c r="R17" s="23"/>
      <c r="S17" s="35">
        <f t="shared" ref="S17:S34" si="18">SUM(U17:U17)/IF(AG17="EC",12,1)</f>
        <v>1</v>
      </c>
      <c r="T17" s="50" t="str">
        <f t="shared" si="2"/>
        <v>Southbound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03:36:20-700',mode:absolute,to:'2016-12-21 06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" s="52" t="str">
        <f t="shared" si="4"/>
        <v>N</v>
      </c>
      <c r="X17" s="177">
        <f t="shared" si="5"/>
        <v>1</v>
      </c>
      <c r="Y17" s="67">
        <f t="shared" si="6"/>
        <v>23.265599999999999</v>
      </c>
      <c r="Z17" s="67">
        <f t="shared" si="7"/>
        <v>1.61E-2</v>
      </c>
      <c r="AA17" s="67">
        <f t="shared" si="8"/>
        <v>23.249499999999998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9"/>
        <v>0104-21</v>
      </c>
      <c r="AE17" s="91" t="str">
        <f t="shared" si="10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17" s="88" t="str">
        <f t="shared" si="11"/>
        <v>"C:\Program Files (x86)\AstroGrep\AstroGrep.exe" /spath="%USERPROFILE%\AppData\Local\Temp\OnboardLogs" /stypes="app*4043*20161221*"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92" t="str">
        <f t="shared" si="15"/>
        <v>"%USERPROFILE%\Documents\GitHub\eaglep3\Utilities\RefineRTDCRunTimes.py" --tripid 104-21 --locoid 4043 --swversion DE.1.0.8.0 --startMP 204:232656 --initTime 2016-12-21T04:36:20 --startdatetime 2016-12-21T04:41:39 --delay 1 --endMP 204:161 --enddatetime 2016-12-21T05:20:20 --enforcementcount 0 &gt;&gt;C:\Users\stu\Documents\GitHub\eaglep3-reporting\EC\2016-12-21-refined-times.txt</v>
      </c>
      <c r="AI17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{"issue":{"subject":"","project_id":79,"tracker_id":40,"status_id":1,"priority_id":2,"assigned_to_id":23,"start_date":"2016-12-21","description":"","custom_fields":[{"id":1,"name":"Subdivision","value":"EC"},{"id":4,"name":"Milepost","value":"0.0161"},{"id":17,"name":"Train ID","value":"104-21"},{"id":16,"name":"Locomotive ID","value":"4043"},{"id":130,"name":"Impact","value":""},{"id":150,"name":"Time of Event (Mountain Time)","value":"05:20:20"},{"id":151,"name":"Denver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474</v>
      </c>
      <c r="B18" s="7">
        <v>4027</v>
      </c>
      <c r="C18" s="22" t="s">
        <v>205</v>
      </c>
      <c r="D18" s="22" t="s">
        <v>672</v>
      </c>
      <c r="E18" s="13">
        <v>42725.169722222221</v>
      </c>
      <c r="F18" s="13">
        <v>42725.177569444444</v>
      </c>
      <c r="G18" s="7">
        <v>6</v>
      </c>
      <c r="H18" s="22" t="s">
        <v>673</v>
      </c>
      <c r="I18" s="13">
        <v>42725.20208333333</v>
      </c>
      <c r="J18" s="7">
        <v>0</v>
      </c>
      <c r="K18" s="109" t="str">
        <f t="shared" si="0"/>
        <v>4027/4028</v>
      </c>
      <c r="L18" s="22" t="str">
        <f>VLOOKUP(A18,'Trips&amp;Operators'!$C$1:$G$99999,5,FALSE)</f>
        <v>GEBRETEKLE DAGNEW</v>
      </c>
      <c r="M18" s="6">
        <f t="shared" si="1"/>
        <v>2.4513888885849155E-2</v>
      </c>
      <c r="N18" s="7">
        <f t="shared" si="17"/>
        <v>35.299999995622784</v>
      </c>
      <c r="O18" s="7"/>
      <c r="P18" s="7"/>
      <c r="Q18" s="23"/>
      <c r="R18" s="23"/>
      <c r="S18" s="35">
        <f t="shared" si="18"/>
        <v>1</v>
      </c>
      <c r="T18" s="50" t="str">
        <f t="shared" si="2"/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03:04:24-700',mode:absolute,to:'2016-12-21 05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" s="52" t="str">
        <f t="shared" si="4"/>
        <v>N</v>
      </c>
      <c r="X18" s="177">
        <f t="shared" si="5"/>
        <v>1</v>
      </c>
      <c r="Y18" s="67">
        <f t="shared" si="6"/>
        <v>7.3899999999999993E-2</v>
      </c>
      <c r="Z18" s="67">
        <f t="shared" si="7"/>
        <v>23.331900000000001</v>
      </c>
      <c r="AA18" s="67">
        <f t="shared" si="8"/>
        <v>23.258000000000003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9"/>
        <v>0105-21</v>
      </c>
      <c r="AE18" s="91" t="str">
        <f t="shared" si="10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18" s="88" t="str">
        <f t="shared" si="11"/>
        <v>"C:\Program Files (x86)\AstroGrep\AstroGrep.exe" /spath="%USERPROFILE%\AppData\Local\Temp\OnboardLogs" /stypes="app*4027*20161221*" /stext=" 11:.+((SYSTEM_STATE.+slice.+state.+changed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92" t="str">
        <f t="shared" si="15"/>
        <v>"%USERPROFILE%\Documents\GitHub\eaglep3\Utilities\RefineRTDCRunTimes.py" --tripid 105-21 --locoid 4027 --swversion DE.1.0.8.0 --startMP 204:739 --initTime 2016-12-21T04:04:24 --startdatetime 2016-12-21T04:15:42 --delay 6 --endMP 204:233319 --enddatetime 2016-12-21T04:51:00 --enforcementcount 0 &gt;&gt;C:\Users\stu\Documents\GitHub\eaglep3-reporting\EC\2016-12-21-refined-times.txt</v>
      </c>
      <c r="AI18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{"issue":{"subject":"","project_id":79,"tracker_id":40,"status_id":1,"priority_id":2,"assigned_to_id":23,"start_date":"2016-12-21","description":"","custom_fields":[{"id":1,"name":"Subdivision","value":"EC"},{"id":4,"name":"Milepost","value":"23.3319"},{"id":17,"name":"Train ID","value":"105-21"},{"id":16,"name":"Locomotive ID","value":"4027"},{"id":130,"name":"Impact","value":""},{"id":150,"name":"Time of Event (Mountain Time)","value":"04:51:00"},{"id":151,"name":"Denver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426</v>
      </c>
      <c r="B19" s="7">
        <v>4013</v>
      </c>
      <c r="C19" s="22" t="s">
        <v>205</v>
      </c>
      <c r="D19" s="22" t="s">
        <v>674</v>
      </c>
      <c r="E19" s="13">
        <v>42725.210520833331</v>
      </c>
      <c r="F19" s="13">
        <v>42725.216215277775</v>
      </c>
      <c r="G19" s="7">
        <v>3</v>
      </c>
      <c r="H19" s="22" t="s">
        <v>675</v>
      </c>
      <c r="I19" s="13">
        <v>42725.245324074072</v>
      </c>
      <c r="J19" s="7">
        <v>0</v>
      </c>
      <c r="K19" s="109" t="str">
        <f t="shared" si="0"/>
        <v>4013/4014</v>
      </c>
      <c r="L19" s="22" t="str">
        <f>VLOOKUP(A19,'Trips&amp;Operators'!$C$1:$G$99999,5,FALSE)</f>
        <v>GEBRETEKLE DAGNEW</v>
      </c>
      <c r="M19" s="6">
        <f t="shared" si="1"/>
        <v>2.9108796297805384E-2</v>
      </c>
      <c r="N19" s="7">
        <f t="shared" si="17"/>
        <v>41.916666668839753</v>
      </c>
      <c r="O19" s="7"/>
      <c r="P19" s="7"/>
      <c r="Q19" s="23"/>
      <c r="R19" s="23"/>
      <c r="S19" s="35">
        <f t="shared" si="18"/>
        <v>1</v>
      </c>
      <c r="T19" s="50" t="str">
        <f t="shared" si="2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04:03:09-700',mode:absolute,to:'2016-12-21 06:53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" s="52" t="str">
        <f t="shared" si="4"/>
        <v>N</v>
      </c>
      <c r="X19" s="177">
        <f t="shared" si="5"/>
        <v>1</v>
      </c>
      <c r="Y19" s="67">
        <f t="shared" si="6"/>
        <v>23.268899999999999</v>
      </c>
      <c r="Z19" s="67">
        <f t="shared" si="7"/>
        <v>1.14E-2</v>
      </c>
      <c r="AA19" s="67">
        <f t="shared" si="8"/>
        <v>23.2575</v>
      </c>
      <c r="AB19" s="64" t="str">
        <f>VLOOKUP(A19,Enforcements!$C$7:$K$19,8,0)</f>
        <v>Signal based authority (5)</v>
      </c>
      <c r="AC19" s="60" t="str">
        <f>VLOOKUP(A19,Enforcements!$C$7:$E$19,3,0)</f>
        <v>SIGNAL</v>
      </c>
      <c r="AD19" s="61" t="str">
        <f t="shared" si="9"/>
        <v>0106-21</v>
      </c>
      <c r="AE19" s="91" t="str">
        <f t="shared" si="10"/>
        <v>aws s3 cp s3://rtdc.mdm.uploadarchive.raw/RTDC4013/ "%USERPROFILE%\AppData\Local\Temp\OnboardLogs"\RTDC4013\2016-12-21 --exclude "*" --recursive --include "*20161221*" &amp; "%USERPROFILE%\Documents\GitHub\mrs-test-scripts\Headless Mode &amp; Sideloading\WalkAndUnGZ.bat" "%USERPROFILE%\AppData\Local\Temp\OnboardLogs"\RTDC4013\2016-12-21 &amp; aws s3 cp s3://rtdc.mdm.uploadarchive.raw/RTDC4013/ "%USERPROFILE%\AppData\Local\Temp\OnboardLogs"\RTDC4013\2016-12-22 --exclude "*" --recursive --include "*20161222*" &amp; "%USERPROFILE%\Documents\GitHub\mrs-test-scripts\Headless Mode &amp; Sideloading\WalkAndUnGZ.bat" "%USERPROFILE%\AppData\Local\Temp\OnboardLogs"\RTDC4013\2016-12-22</v>
      </c>
      <c r="AF19" s="88" t="str">
        <f t="shared" si="11"/>
        <v>"C:\Program Files (x86)\AstroGrep\AstroGrep.exe" /spath="%USERPROFILE%\AppData\Local\Temp\OnboardLogs" /stypes="app*4013*20161221*"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92" t="str">
        <f t="shared" si="15"/>
        <v>"%USERPROFILE%\Documents\GitHub\eaglep3\Utilities\RefineRTDCRunTimes.py" --tripid 106-21 --locoid 4013 --swversion DE.1.0.8.0 --startMP 204:232689 --initTime 2016-12-21T05:03:09 --startdatetime 2016-12-21T05:11:21 --delay 3 --endMP 204:114 --enddatetime 2016-12-21T05:53:16 --enforcementcount 0 &gt;&gt;C:\Users\stu\Documents\GitHub\eaglep3-reporting\EC\2016-12-21-refined-times.txt</v>
      </c>
      <c r="AI19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{"issue":{"subject":"","project_id":79,"tracker_id":40,"status_id":1,"priority_id":2,"assigned_to_id":23,"start_date":"2016-12-21","description":"","custom_fields":[{"id":1,"name":"Subdivision","value":"EC"},{"id":4,"name":"Milepost","value":"0.0114"},{"id":17,"name":"Train ID","value":"106-21"},{"id":16,"name":"Locomotive ID","value":"4013"},{"id":130,"name":"Impact","value":""},{"id":150,"name":"Time of Event (Mountain Time)","value":"05:53:16"},{"id":151,"name":"Denver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477</v>
      </c>
      <c r="B20" s="7">
        <v>4003</v>
      </c>
      <c r="C20" s="22" t="s">
        <v>205</v>
      </c>
      <c r="D20" s="22" t="s">
        <v>257</v>
      </c>
      <c r="E20" s="13">
        <v>42725.182280092595</v>
      </c>
      <c r="F20" s="13">
        <v>42725.187939814816</v>
      </c>
      <c r="G20" s="7">
        <v>1</v>
      </c>
      <c r="H20" s="22" t="s">
        <v>676</v>
      </c>
      <c r="I20" s="13">
        <v>42725.213368055556</v>
      </c>
      <c r="J20" s="7">
        <v>0</v>
      </c>
      <c r="K20" s="109" t="str">
        <f t="shared" si="0"/>
        <v>4003/4004</v>
      </c>
      <c r="L20" s="22" t="str">
        <f>VLOOKUP(A20,'Trips&amp;Operators'!$C$1:$G$99999,5,FALSE)</f>
        <v>BONDS REYNALDO</v>
      </c>
      <c r="M20" s="6">
        <f t="shared" si="1"/>
        <v>2.5428240740438923E-2</v>
      </c>
      <c r="N20" s="7">
        <f t="shared" si="17"/>
        <v>36.616666666232049</v>
      </c>
      <c r="O20" s="7"/>
      <c r="P20" s="7"/>
      <c r="Q20" s="23"/>
      <c r="R20" s="23"/>
      <c r="S20" s="35">
        <f t="shared" si="18"/>
        <v>1</v>
      </c>
      <c r="T20" s="50" t="str">
        <f t="shared" si="2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03:22:29-700',mode:absolute,to:'2016-12-21 06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" s="52" t="str">
        <f t="shared" si="4"/>
        <v>N</v>
      </c>
      <c r="X20" s="177">
        <f t="shared" si="5"/>
        <v>1</v>
      </c>
      <c r="Y20" s="67">
        <f t="shared" si="6"/>
        <v>4.6399999999999997E-2</v>
      </c>
      <c r="Z20" s="67">
        <f t="shared" si="7"/>
        <v>23.334700000000002</v>
      </c>
      <c r="AA20" s="67">
        <f t="shared" si="8"/>
        <v>23.288300000000003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9"/>
        <v>0107-21</v>
      </c>
      <c r="AE20" s="91" t="str">
        <f t="shared" si="10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20" s="88" t="str">
        <f t="shared" si="11"/>
        <v>"C:\Program Files (x86)\AstroGrep\AstroGrep.exe" /spath="%USERPROFILE%\AppData\Local\Temp\OnboardLogs" /stypes="app*4003*20161221*" /stext=" 12:.+((SYSTEM_STATE.+slice.+state.+changed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92" t="str">
        <f t="shared" si="15"/>
        <v>"%USERPROFILE%\Documents\GitHub\eaglep3\Utilities\RefineRTDCRunTimes.py" --tripid 107-21 --locoid 4003 --swversion DE.1.0.8.0 --startMP 204:464 --initTime 2016-12-21T04:22:29 --startdatetime 2016-12-21T04:30:38 --delay 1 --endMP 204:233347 --enddatetime 2016-12-21T05:07:15 --enforcementcount 0 &gt;&gt;C:\Users\stu\Documents\GitHub\eaglep3-reporting\EC\2016-12-21-refined-times.txt</v>
      </c>
      <c r="AI20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{"issue":{"subject":"","project_id":79,"tracker_id":40,"status_id":1,"priority_id":2,"assigned_to_id":23,"start_date":"2016-12-21","description":"","custom_fields":[{"id":1,"name":"Subdivision","value":"EC"},{"id":4,"name":"Milepost","value":"23.3347"},{"id":17,"name":"Train ID","value":"107-21"},{"id":16,"name":"Locomotive ID","value":"4003"},{"id":130,"name":"Impact","value":""},{"id":150,"name":"Time of Event (Mountain Time)","value":"05:07:15"},{"id":151,"name":"Denver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427</v>
      </c>
      <c r="B21" s="7">
        <v>4004</v>
      </c>
      <c r="C21" s="22" t="s">
        <v>205</v>
      </c>
      <c r="D21" s="22" t="s">
        <v>383</v>
      </c>
      <c r="E21" s="13">
        <v>42725.217476851853</v>
      </c>
      <c r="F21" s="13">
        <v>42725.2265625</v>
      </c>
      <c r="G21" s="7">
        <v>1</v>
      </c>
      <c r="H21" s="22" t="s">
        <v>245</v>
      </c>
      <c r="I21" s="13">
        <v>42725.2578587963</v>
      </c>
      <c r="J21" s="7">
        <v>0</v>
      </c>
      <c r="K21" s="109" t="str">
        <f t="shared" si="0"/>
        <v>4003/4004</v>
      </c>
      <c r="L21" s="22" t="str">
        <f>VLOOKUP(A21,'Trips&amp;Operators'!$C$1:$G$99999,5,FALSE)</f>
        <v>BONDS REYNALDO</v>
      </c>
      <c r="M21" s="6">
        <f t="shared" si="1"/>
        <v>3.1296296299842652E-2</v>
      </c>
      <c r="N21" s="7">
        <f t="shared" si="17"/>
        <v>45.066666671773419</v>
      </c>
      <c r="O21" s="7"/>
      <c r="P21" s="7"/>
      <c r="Q21" s="23"/>
      <c r="R21" s="23"/>
      <c r="S21" s="35">
        <f t="shared" si="18"/>
        <v>1</v>
      </c>
      <c r="T21" s="50" t="str">
        <f t="shared" si="2"/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04:13:10-700',mode:absolute,to:'2016-12-21 07:11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" s="52" t="str">
        <f t="shared" si="4"/>
        <v>N</v>
      </c>
      <c r="X21" s="177">
        <f t="shared" si="5"/>
        <v>1</v>
      </c>
      <c r="Y21" s="67">
        <f t="shared" si="6"/>
        <v>23.2959</v>
      </c>
      <c r="Z21" s="67">
        <f t="shared" si="7"/>
        <v>1.6299999999999999E-2</v>
      </c>
      <c r="AA21" s="67">
        <f t="shared" si="8"/>
        <v>23.279599999999999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9"/>
        <v>0108-21</v>
      </c>
      <c r="AE21" s="91" t="str">
        <f t="shared" si="10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21" s="88" t="str">
        <f t="shared" si="11"/>
        <v>"C:\Program Files (x86)\AstroGrep\AstroGrep.exe" /spath="%USERPROFILE%\AppData\Local\Temp\OnboardLogs" /stypes="app*4004*20161221*" /stext=" 13:.+((SYSTEM_STATE.+slice.+state.+changed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92" t="str">
        <f t="shared" si="15"/>
        <v>"%USERPROFILE%\Documents\GitHub\eaglep3\Utilities\RefineRTDCRunTimes.py" --tripid 108-21 --locoid 4004 --swversion DE.1.0.8.0 --startMP 204:232959 --initTime 2016-12-21T05:13:10 --startdatetime 2016-12-21T05:26:15 --delay 1 --endMP 204:163 --enddatetime 2016-12-21T06:11:19 --enforcementcount 0 &gt;&gt;C:\Users\stu\Documents\GitHub\eaglep3-reporting\EC\2016-12-21-refined-times.txt</v>
      </c>
      <c r="AI21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{"issue":{"subject":"","project_id":79,"tracker_id":40,"status_id":1,"priority_id":2,"assigned_to_id":23,"start_date":"2016-12-21","description":"","custom_fields":[{"id":1,"name":"Subdivision","value":"EC"},{"id":4,"name":"Milepost","value":"0.0163"},{"id":17,"name":"Train ID","value":"108-21"},{"id":16,"name":"Locomotive ID","value":"4004"},{"id":130,"name":"Impact","value":""},{"id":150,"name":"Time of Event (Mountain Time)","value":"06:11:19"},{"id":151,"name":"Denver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479</v>
      </c>
      <c r="B22" s="7">
        <v>4020</v>
      </c>
      <c r="C22" s="22" t="s">
        <v>205</v>
      </c>
      <c r="D22" s="22" t="s">
        <v>194</v>
      </c>
      <c r="E22" s="13">
        <v>42725.19425925926</v>
      </c>
      <c r="F22" s="13">
        <v>42725.198414351849</v>
      </c>
      <c r="G22" s="7">
        <v>3</v>
      </c>
      <c r="H22" s="22" t="s">
        <v>396</v>
      </c>
      <c r="I22" s="13">
        <v>42725.223113425927</v>
      </c>
      <c r="J22" s="7">
        <v>0</v>
      </c>
      <c r="K22" s="109" t="str">
        <f t="shared" si="0"/>
        <v>4019/4020</v>
      </c>
      <c r="L22" s="22" t="str">
        <f>VLOOKUP(A22,'Trips&amp;Operators'!$C$1:$G$99999,5,FALSE)</f>
        <v>COOLAHAN JOHN</v>
      </c>
      <c r="M22" s="6">
        <f t="shared" si="1"/>
        <v>2.4699074077943806E-2</v>
      </c>
      <c r="N22" s="7">
        <f t="shared" si="17"/>
        <v>35.56666667223908</v>
      </c>
      <c r="O22" s="7"/>
      <c r="P22" s="7"/>
      <c r="Q22" s="23"/>
      <c r="R22" s="23"/>
      <c r="S22" s="35">
        <f t="shared" si="18"/>
        <v>1</v>
      </c>
      <c r="T22" s="50" t="str">
        <f t="shared" si="2"/>
        <v>NorthBound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03:39:44-700',mode:absolute,to:'2016-12-21 06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" s="52" t="str">
        <f t="shared" si="4"/>
        <v>N</v>
      </c>
      <c r="X22" s="177">
        <f t="shared" si="5"/>
        <v>1</v>
      </c>
      <c r="Y22" s="67">
        <f t="shared" si="6"/>
        <v>4.5100000000000001E-2</v>
      </c>
      <c r="Z22" s="67">
        <f t="shared" si="7"/>
        <v>23.330200000000001</v>
      </c>
      <c r="AA22" s="67">
        <f t="shared" si="8"/>
        <v>23.2851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9"/>
        <v>0109-21</v>
      </c>
      <c r="AE22" s="91" t="str">
        <f t="shared" si="10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22" s="88" t="str">
        <f t="shared" si="11"/>
        <v>"C:\Program Files (x86)\AstroGrep\AstroGrep.exe" /spath="%USERPROFILE%\AppData\Local\Temp\OnboardLogs" /stypes="app*4020*20161221*" /stext=" 12:.+((SYSTEM_STATE.+slice.+state.+changed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92" t="str">
        <f t="shared" si="15"/>
        <v>"%USERPROFILE%\Documents\GitHub\eaglep3\Utilities\RefineRTDCRunTimes.py" --tripid 109-21 --locoid 4020 --swversion DE.1.0.8.0 --startMP 204:451 --initTime 2016-12-21T04:39:44 --startdatetime 2016-12-21T04:45:43 --delay 3 --endMP 204:233302 --enddatetime 2016-12-21T05:21:17 --enforcementcount 0 &gt;&gt;C:\Users\stu\Documents\GitHub\eaglep3-reporting\EC\2016-12-21-refined-times.txt</v>
      </c>
      <c r="AI22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{"issue":{"subject":"","project_id":79,"tracker_id":40,"status_id":1,"priority_id":2,"assigned_to_id":23,"start_date":"2016-12-21","description":"","custom_fields":[{"id":1,"name":"Subdivision","value":"EC"},{"id":4,"name":"Milepost","value":"23.3302"},{"id":17,"name":"Train ID","value":"109-21"},{"id":16,"name":"Locomotive ID","value":"4020"},{"id":130,"name":"Impact","value":""},{"id":150,"name":"Time of Event (Mountain Time)","value":"05:21:17"},{"id":151,"name":"Denver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488</v>
      </c>
      <c r="B23" s="7">
        <v>4019</v>
      </c>
      <c r="C23" s="22" t="s">
        <v>205</v>
      </c>
      <c r="D23" s="22" t="s">
        <v>273</v>
      </c>
      <c r="E23" s="13">
        <v>42725.232754629629</v>
      </c>
      <c r="F23" s="13">
        <v>42725.237071759257</v>
      </c>
      <c r="G23" s="7">
        <v>1</v>
      </c>
      <c r="H23" s="22" t="s">
        <v>677</v>
      </c>
      <c r="I23" s="13">
        <v>42725.264965277776</v>
      </c>
      <c r="J23" s="7">
        <v>0</v>
      </c>
      <c r="K23" s="109" t="str">
        <f t="shared" si="0"/>
        <v>4019/4020</v>
      </c>
      <c r="L23" s="22" t="str">
        <f>VLOOKUP(A23,'Trips&amp;Operators'!$C$1:$G$99999,5,FALSE)</f>
        <v>COOLAHAN JOHN</v>
      </c>
      <c r="M23" s="6">
        <f t="shared" si="1"/>
        <v>2.789351851970423E-2</v>
      </c>
      <c r="N23" s="7">
        <f t="shared" si="17"/>
        <v>40.166666668374091</v>
      </c>
      <c r="O23" s="7"/>
      <c r="P23" s="7"/>
      <c r="Q23" s="23"/>
      <c r="R23" s="23"/>
      <c r="S23" s="35">
        <f t="shared" si="18"/>
        <v>1</v>
      </c>
      <c r="T23" s="50" t="str">
        <f t="shared" si="2"/>
        <v>Southbound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04:35:10-700',mode:absolute,to:'2016-12-21 07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3" s="52" t="str">
        <f t="shared" si="4"/>
        <v>N</v>
      </c>
      <c r="X23" s="177">
        <f t="shared" si="5"/>
        <v>1</v>
      </c>
      <c r="Y23" s="67">
        <f t="shared" si="6"/>
        <v>23.298500000000001</v>
      </c>
      <c r="Z23" s="67">
        <f t="shared" si="7"/>
        <v>1.32E-2</v>
      </c>
      <c r="AA23" s="67">
        <f t="shared" si="8"/>
        <v>23.285299999999999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9"/>
        <v>0110-21</v>
      </c>
      <c r="AE23" s="91" t="str">
        <f t="shared" si="10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23" s="88" t="str">
        <f t="shared" si="11"/>
        <v>"C:\Program Files (x86)\AstroGrep\AstroGrep.exe" /spath="%USERPROFILE%\AppData\Local\Temp\OnboardLogs" /stypes="app*4019*20161221*" /stext=" 13:.+((SYSTEM_STATE.+slice.+state.+changed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92" t="str">
        <f t="shared" si="15"/>
        <v>"%USERPROFILE%\Documents\GitHub\eaglep3\Utilities\RefineRTDCRunTimes.py" --tripid 110-21 --locoid 4019 --swversion DE.1.0.8.0 --startMP 204:232985 --initTime 2016-12-21T05:35:10 --startdatetime 2016-12-21T05:41:23 --delay 1 --endMP 204:132 --enddatetime 2016-12-21T06:21:33 --enforcementcount 0 &gt;&gt;C:\Users\stu\Documents\GitHub\eaglep3-reporting\EC\2016-12-21-refined-times.txt</v>
      </c>
      <c r="AI23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{"issue":{"subject":"","project_id":79,"tracker_id":40,"status_id":1,"priority_id":2,"assigned_to_id":23,"start_date":"2016-12-21","description":"","custom_fields":[{"id":1,"name":"Subdivision","value":"EC"},{"id":4,"name":"Milepost","value":"0.0132"},{"id":17,"name":"Train ID","value":"110-21"},{"id":16,"name":"Locomotive ID","value":"4019"},{"id":130,"name":"Impact","value":""},{"id":150,"name":"Time of Event (Mountain Time)","value":"06:21:33"},{"id":151,"name":"Denver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481</v>
      </c>
      <c r="B24" s="7">
        <v>4016</v>
      </c>
      <c r="C24" s="22" t="s">
        <v>205</v>
      </c>
      <c r="D24" s="22" t="s">
        <v>678</v>
      </c>
      <c r="E24" s="13">
        <v>42725.208287037036</v>
      </c>
      <c r="F24" s="13">
        <v>42725.210081018522</v>
      </c>
      <c r="G24" s="7">
        <v>1</v>
      </c>
      <c r="H24" s="22" t="s">
        <v>357</v>
      </c>
      <c r="I24" s="13">
        <v>42725.234039351853</v>
      </c>
      <c r="J24" s="7">
        <v>0</v>
      </c>
      <c r="K24" s="109" t="str">
        <f t="shared" si="0"/>
        <v>4015/4016</v>
      </c>
      <c r="L24" s="22" t="str">
        <f>VLOOKUP(A24,'Trips&amp;Operators'!$C$1:$G$99999,5,FALSE)</f>
        <v>BEAM ROSS</v>
      </c>
      <c r="M24" s="6">
        <f t="shared" si="1"/>
        <v>2.3958333331393078E-2</v>
      </c>
      <c r="N24" s="7">
        <f t="shared" si="17"/>
        <v>34.499999997206032</v>
      </c>
      <c r="O24" s="7"/>
      <c r="P24" s="7"/>
      <c r="Q24" s="23"/>
      <c r="R24" s="23"/>
      <c r="S24" s="35">
        <f t="shared" si="18"/>
        <v>1</v>
      </c>
      <c r="T24" s="50" t="str">
        <f t="shared" si="2"/>
        <v>NorthBound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03:59:56-700',mode:absolute,to:'2016-12-21 06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4" s="52" t="str">
        <f t="shared" si="4"/>
        <v>N</v>
      </c>
      <c r="X24" s="177">
        <f t="shared" si="5"/>
        <v>1</v>
      </c>
      <c r="Y24" s="67">
        <f t="shared" si="6"/>
        <v>7.8299999999999995E-2</v>
      </c>
      <c r="Z24" s="67">
        <f t="shared" si="7"/>
        <v>23.329699999999999</v>
      </c>
      <c r="AA24" s="67">
        <f t="shared" si="8"/>
        <v>23.2514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9"/>
        <v>0111-21</v>
      </c>
      <c r="AE24" s="91" t="str">
        <f t="shared" si="10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24" s="88" t="str">
        <f t="shared" si="11"/>
        <v>"C:\Program Files (x86)\AstroGrep\AstroGrep.exe" /spath="%USERPROFILE%\AppData\Local\Temp\OnboardLogs" /stypes="app*4016*20161221*" /stext=" 12:.+((SYSTEM_STATE.+slice.+state.+changed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92" t="str">
        <f t="shared" si="15"/>
        <v>"%USERPROFILE%\Documents\GitHub\eaglep3\Utilities\RefineRTDCRunTimes.py" --tripid 111-21 --locoid 4016 --swversion DE.1.0.8.0 --startMP 204:783 --initTime 2016-12-21T04:59:56 --startdatetime 2016-12-21T05:02:31 --delay 1 --endMP 204:233297 --enddatetime 2016-12-21T05:37:01 --enforcementcount 0 &gt;&gt;C:\Users\stu\Documents\GitHub\eaglep3-reporting\EC\2016-12-21-refined-times.txt</v>
      </c>
      <c r="AI24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{"issue":{"subject":"","project_id":79,"tracker_id":40,"status_id":1,"priority_id":2,"assigned_to_id":23,"start_date":"2016-12-21","description":"","custom_fields":[{"id":1,"name":"Subdivision","value":"EC"},{"id":4,"name":"Milepost","value":"23.3297"},{"id":17,"name":"Train ID","value":"111-21"},{"id":16,"name":"Locomotive ID","value":"4016"},{"id":130,"name":"Impact","value":""},{"id":150,"name":"Time of Event (Mountain Time)","value":"05:37:01"},{"id":151,"name":"Denver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489</v>
      </c>
      <c r="B25" s="7">
        <v>4015</v>
      </c>
      <c r="C25" s="22" t="s">
        <v>205</v>
      </c>
      <c r="D25" s="22" t="s">
        <v>267</v>
      </c>
      <c r="E25" s="13">
        <v>42725.240902777776</v>
      </c>
      <c r="F25" s="13">
        <v>42725.247418981482</v>
      </c>
      <c r="G25" s="7">
        <v>1</v>
      </c>
      <c r="H25" s="22" t="s">
        <v>235</v>
      </c>
      <c r="I25" s="13">
        <v>42725.278009259258</v>
      </c>
      <c r="J25" s="7">
        <v>0</v>
      </c>
      <c r="K25" s="109" t="str">
        <f t="shared" si="0"/>
        <v>4015/4016</v>
      </c>
      <c r="L25" s="22" t="str">
        <f>VLOOKUP(A25,'Trips&amp;Operators'!$C$1:$G$99999,5,FALSE)</f>
        <v>BEAM ROSS</v>
      </c>
      <c r="M25" s="6">
        <f t="shared" si="1"/>
        <v>3.0590277776354924E-2</v>
      </c>
      <c r="N25" s="7">
        <f t="shared" si="17"/>
        <v>44.04999999795109</v>
      </c>
      <c r="O25" s="7"/>
      <c r="P25" s="7"/>
      <c r="Q25" s="23"/>
      <c r="R25" s="23"/>
      <c r="S25" s="35">
        <f t="shared" si="18"/>
        <v>1</v>
      </c>
      <c r="T25" s="50" t="str">
        <f t="shared" si="2"/>
        <v>Southbound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04:46:54-700',mode:absolute,to:'2016-12-21 07:40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5" s="52" t="str">
        <f t="shared" si="4"/>
        <v>N</v>
      </c>
      <c r="X25" s="177">
        <f t="shared" si="5"/>
        <v>1</v>
      </c>
      <c r="Y25" s="67">
        <f t="shared" si="6"/>
        <v>23.297699999999999</v>
      </c>
      <c r="Z25" s="67">
        <f t="shared" si="7"/>
        <v>1.4500000000000001E-2</v>
      </c>
      <c r="AA25" s="67">
        <f t="shared" si="8"/>
        <v>23.283199999999997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9"/>
        <v>0112-21</v>
      </c>
      <c r="AE25" s="91" t="str">
        <f t="shared" si="10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25" s="88" t="str">
        <f t="shared" si="11"/>
        <v>"C:\Program Files (x86)\AstroGrep\AstroGrep.exe" /spath="%USERPROFILE%\AppData\Local\Temp\OnboardLogs" /stypes="app*4015*20161221*" /stext=" 13:.+((SYSTEM_STATE.+slice.+state.+changed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92" t="str">
        <f t="shared" si="15"/>
        <v>"%USERPROFILE%\Documents\GitHub\eaglep3\Utilities\RefineRTDCRunTimes.py" --tripid 112-21 --locoid 4015 --swversion DE.1.0.8.0 --startMP 204:232977 --initTime 2016-12-21T05:46:54 --startdatetime 2016-12-21T05:56:17 --delay 1 --endMP 204:145 --enddatetime 2016-12-21T06:40:20 --enforcementcount 0 &gt;&gt;C:\Users\stu\Documents\GitHub\eaglep3-reporting\EC\2016-12-21-refined-times.txt</v>
      </c>
      <c r="AI25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{"issue":{"subject":"","project_id":79,"tracker_id":40,"status_id":1,"priority_id":2,"assigned_to_id":23,"start_date":"2016-12-21","description":"","custom_fields":[{"id":1,"name":"Subdivision","value":"EC"},{"id":4,"name":"Milepost","value":"0.0145"},{"id":17,"name":"Train ID","value":"112-21"},{"id":16,"name":"Locomotive ID","value":"4015"},{"id":130,"name":"Impact","value":""},{"id":150,"name":"Time of Event (Mountain Time)","value":"06:40:20"},{"id":151,"name":"Denver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484</v>
      </c>
      <c r="B26" s="7">
        <v>4040</v>
      </c>
      <c r="C26" s="22" t="s">
        <v>205</v>
      </c>
      <c r="D26" s="22" t="s">
        <v>270</v>
      </c>
      <c r="E26" s="13">
        <v>42725.209502314814</v>
      </c>
      <c r="F26" s="13">
        <v>42725.218935185185</v>
      </c>
      <c r="G26" s="7">
        <v>1</v>
      </c>
      <c r="H26" s="22" t="s">
        <v>679</v>
      </c>
      <c r="I26" s="13">
        <v>42725.228738425925</v>
      </c>
      <c r="J26" s="7">
        <v>0</v>
      </c>
      <c r="K26" s="109" t="str">
        <f t="shared" si="0"/>
        <v>4039/4040</v>
      </c>
      <c r="L26" s="22" t="str">
        <f>VLOOKUP(A26,'Trips&amp;Operators'!$C$1:$G$99999,5,FALSE)</f>
        <v>ISHMAEL JOSEPH</v>
      </c>
      <c r="M26" s="6">
        <f t="shared" si="1"/>
        <v>9.8032407404389232E-3</v>
      </c>
      <c r="N26" s="7"/>
      <c r="O26" s="7"/>
      <c r="P26" s="7">
        <f>24*60*SUM($M26:$M26)</f>
        <v>14.116666666232049</v>
      </c>
      <c r="Q26" s="23"/>
      <c r="R26" s="23" t="s">
        <v>844</v>
      </c>
      <c r="S26" s="35">
        <f t="shared" si="18"/>
        <v>0.75</v>
      </c>
      <c r="T26" s="50" t="str">
        <f t="shared" si="2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9</v>
      </c>
      <c r="V2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04:01:41-700',mode:absolute,to:'2016-12-21 06:29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6" s="52" t="str">
        <f t="shared" si="4"/>
        <v>Y</v>
      </c>
      <c r="X26" s="177">
        <f t="shared" ref="X26:X30" si="19">VALUE(LEFT(AD26,4))-VALUE(LEFT(AD25,4))</f>
        <v>1</v>
      </c>
      <c r="Y26" s="67">
        <f t="shared" si="6"/>
        <v>4.6199999999999998E-2</v>
      </c>
      <c r="Z26" s="67">
        <f t="shared" si="7"/>
        <v>6.4702000000000002</v>
      </c>
      <c r="AA26" s="67">
        <f t="shared" si="8"/>
        <v>6.4240000000000004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9"/>
        <v>0113-21</v>
      </c>
      <c r="AE26" s="91" t="str">
        <f t="shared" si="10"/>
        <v>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 &amp; 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</v>
      </c>
      <c r="AF26" s="88" t="str">
        <f t="shared" si="11"/>
        <v>"C:\Program Files (x86)\AstroGrep\AstroGrep.exe" /spath="%USERPROFILE%\AppData\Local\Temp\OnboardLogs" /stypes="app*4040*20161221*" /stext=" 12:.+((SYSTEM_STATE.+slice.+state.+changed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92" t="str">
        <f t="shared" si="15"/>
        <v>"%USERPROFILE%\Documents\GitHub\eaglep3\Utilities\RefineRTDCRunTimes.py" --tripid 113-21 --locoid 4040 --swversion DE.1.0.8.0 --startMP 204:462 --initTime 2016-12-21T05:01:41 --startdatetime 2016-12-21T05:15:16 --delay 1 --endMP 204:64702 --enddatetime 2016-12-21T05:29:23 --enforcementcount 0 &gt;&gt;C:\Users\stu\Documents\GitHub\eaglep3-reporting\EC\2016-12-21-refined-times.txt</v>
      </c>
      <c r="AI26" s="119" t="str">
        <f t="shared" si="16"/>
        <v>echo {"issue":{"subject":"Hard cut out - mechanical issue","project_id":79,"tracker_id":40,"status_id":1,"priority_id":2,"assigned_to_id":23,"start_date":"2016-12-21","description":"","custom_fields":[{"id":1,"name":"Subdivision","value":"EC"},{"id":4,"name":"Milepost","value":"6.4702"},{"id":17,"name":"Train ID","value":"113-21"},{"id":16,"name":"Locomotive ID","value":"4040"},{"id":130,"name":"Impact","value":""},{"id":150,"name":"Time of Event (Mountain Time)","value":"05:29:23"},{"id":151,"name":"Denver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486</v>
      </c>
      <c r="B27" s="7">
        <v>4042</v>
      </c>
      <c r="C27" s="22" t="s">
        <v>205</v>
      </c>
      <c r="D27" s="22" t="s">
        <v>680</v>
      </c>
      <c r="E27" s="13">
        <v>42725.227939814817</v>
      </c>
      <c r="F27" s="13">
        <v>42725.230173611111</v>
      </c>
      <c r="G27" s="7">
        <v>2</v>
      </c>
      <c r="H27" s="22" t="s">
        <v>299</v>
      </c>
      <c r="I27" s="13">
        <v>42725.258148148147</v>
      </c>
      <c r="J27" s="7">
        <v>0</v>
      </c>
      <c r="K27" s="109" t="str">
        <f t="shared" si="0"/>
        <v>4041/4042</v>
      </c>
      <c r="L27" s="22" t="str">
        <f>VLOOKUP(A27,'Trips&amp;Operators'!$C$1:$G$99999,5,FALSE)</f>
        <v>STARKS ANGELINA</v>
      </c>
      <c r="M27" s="6">
        <f t="shared" si="1"/>
        <v>2.7974537035333924E-2</v>
      </c>
      <c r="N27" s="7">
        <f t="shared" ref="N27:N34" si="20">24*60*SUM($M27:$M27)</f>
        <v>40.283333330880851</v>
      </c>
      <c r="O27" s="7"/>
      <c r="P27" s="7"/>
      <c r="Q27" s="23"/>
      <c r="R27" s="23"/>
      <c r="S27" s="35">
        <f t="shared" si="18"/>
        <v>1</v>
      </c>
      <c r="T27" s="50" t="str">
        <f t="shared" si="2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04:28:14-700',mode:absolute,to:'2016-12-21 07:11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7" s="52" t="str">
        <f t="shared" si="4"/>
        <v>N</v>
      </c>
      <c r="X27" s="177">
        <f t="shared" si="19"/>
        <v>2</v>
      </c>
      <c r="Y27" s="67">
        <f t="shared" si="6"/>
        <v>7.8100000000000003E-2</v>
      </c>
      <c r="Z27" s="67">
        <f t="shared" si="7"/>
        <v>23.331</v>
      </c>
      <c r="AA27" s="67">
        <f t="shared" si="8"/>
        <v>23.2529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9"/>
        <v>0115-21</v>
      </c>
      <c r="AE27" s="91" t="str">
        <f t="shared" si="10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27" s="88" t="str">
        <f t="shared" si="11"/>
        <v>"C:\Program Files (x86)\AstroGrep\AstroGrep.exe" /spath="%USERPROFILE%\AppData\Local\Temp\OnboardLogs" /stypes="app*4042*20161221*"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92" t="str">
        <f t="shared" si="15"/>
        <v>"%USERPROFILE%\Documents\GitHub\eaglep3\Utilities\RefineRTDCRunTimes.py" --tripid 115-21 --locoid 4042 --swversion DE.1.0.8.0 --startMP 204:781 --initTime 2016-12-21T05:28:14 --startdatetime 2016-12-21T05:31:27 --delay 2 --endMP 204:233310 --enddatetime 2016-12-21T06:11:44 --enforcementcount 0 &gt;&gt;C:\Users\stu\Documents\GitHub\eaglep3-reporting\EC\2016-12-21-refined-times.txt</v>
      </c>
      <c r="AI27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{"issue":{"subject":"","project_id":79,"tracker_id":40,"status_id":1,"priority_id":2,"assigned_to_id":23,"start_date":"2016-12-21","description":"","custom_fields":[{"id":1,"name":"Subdivision","value":"EC"},{"id":4,"name":"Milepost","value":"23.331"},{"id":17,"name":"Train ID","value":"115-21"},{"id":16,"name":"Locomotive ID","value":"4042"},{"id":130,"name":"Impact","value":""},{"id":150,"name":"Time of Event (Mountain Time)","value":"06:11:44"},{"id":151,"name":"Denver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430</v>
      </c>
      <c r="B28" s="7">
        <v>4041</v>
      </c>
      <c r="C28" s="22" t="s">
        <v>205</v>
      </c>
      <c r="D28" s="22" t="s">
        <v>681</v>
      </c>
      <c r="E28" s="13">
        <v>42725.268449074072</v>
      </c>
      <c r="F28" s="13">
        <v>42725.269641203704</v>
      </c>
      <c r="G28" s="7">
        <v>1</v>
      </c>
      <c r="H28" s="22" t="s">
        <v>224</v>
      </c>
      <c r="I28" s="13">
        <v>42725.297719907408</v>
      </c>
      <c r="J28" s="7">
        <v>0</v>
      </c>
      <c r="K28" s="109" t="str">
        <f t="shared" si="0"/>
        <v>4041/4042</v>
      </c>
      <c r="L28" s="22" t="str">
        <f>VLOOKUP(A28,'Trips&amp;Operators'!$C$1:$G$99999,5,FALSE)</f>
        <v>STARKS ANGELINA</v>
      </c>
      <c r="M28" s="6">
        <f t="shared" si="1"/>
        <v>2.8078703704522923E-2</v>
      </c>
      <c r="N28" s="7">
        <f t="shared" si="20"/>
        <v>40.433333334513009</v>
      </c>
      <c r="O28" s="7"/>
      <c r="P28" s="7"/>
      <c r="Q28" s="23"/>
      <c r="R28" s="23"/>
      <c r="S28" s="35">
        <f t="shared" si="18"/>
        <v>1</v>
      </c>
      <c r="T28" s="50" t="str">
        <f t="shared" si="2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05:26:34-700',mode:absolute,to:'2016-12-21 08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8" s="52" t="str">
        <f t="shared" si="4"/>
        <v>N</v>
      </c>
      <c r="X28" s="177">
        <f t="shared" si="19"/>
        <v>1</v>
      </c>
      <c r="Y28" s="67">
        <f t="shared" si="6"/>
        <v>23.2989</v>
      </c>
      <c r="Z28" s="67">
        <f t="shared" si="7"/>
        <v>1.54E-2</v>
      </c>
      <c r="AA28" s="67">
        <f t="shared" si="8"/>
        <v>23.2835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9"/>
        <v>0116-21</v>
      </c>
      <c r="AE28" s="91" t="str">
        <f t="shared" si="10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28" s="88" t="str">
        <f t="shared" si="11"/>
        <v>"C:\Program Files (x86)\AstroGrep\AstroGrep.exe" /spath="%USERPROFILE%\AppData\Local\Temp\OnboardLogs" /stypes="app*4041*20161221*"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92" t="str">
        <f t="shared" si="15"/>
        <v>"%USERPROFILE%\Documents\GitHub\eaglep3\Utilities\RefineRTDCRunTimes.py" --tripid 116-21 --locoid 4041 --swversion DE.1.0.8.0 --startMP 204:232989 --initTime 2016-12-21T06:26:34 --startdatetime 2016-12-21T06:28:17 --delay 1 --endMP 204:154 --enddatetime 2016-12-21T07:08:43 --enforcementcount 0 &gt;&gt;C:\Users\stu\Documents\GitHub\eaglep3-reporting\EC\2016-12-21-refined-times.txt</v>
      </c>
      <c r="AI28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{"issue":{"subject":"","project_id":79,"tracker_id":40,"status_id":1,"priority_id":2,"assigned_to_id":23,"start_date":"2016-12-21","description":"","custom_fields":[{"id":1,"name":"Subdivision","value":"EC"},{"id":4,"name":"Milepost","value":"0.0154"},{"id":17,"name":"Train ID","value":"116-21"},{"id":16,"name":"Locomotive ID","value":"4041"},{"id":130,"name":"Impact","value":""},{"id":150,"name":"Time of Event (Mountain Time)","value":"07:08:43"},{"id":151,"name":"Denver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487</v>
      </c>
      <c r="B29" s="7">
        <v>4044</v>
      </c>
      <c r="C29" s="22" t="s">
        <v>205</v>
      </c>
      <c r="D29" s="22" t="s">
        <v>194</v>
      </c>
      <c r="E29" s="13">
        <v>42725.22828703704</v>
      </c>
      <c r="F29" s="13">
        <v>42725.239907407406</v>
      </c>
      <c r="G29" s="7">
        <v>1</v>
      </c>
      <c r="H29" s="22" t="s">
        <v>379</v>
      </c>
      <c r="I29" s="13">
        <v>42725.265046296299</v>
      </c>
      <c r="J29" s="7">
        <v>0</v>
      </c>
      <c r="K29" s="109" t="str">
        <f t="shared" si="0"/>
        <v>4043/4044</v>
      </c>
      <c r="L29" s="22" t="str">
        <f>VLOOKUP(A29,'Trips&amp;Operators'!$C$1:$G$99999,5,FALSE)</f>
        <v>MAGEE KENYA</v>
      </c>
      <c r="M29" s="6">
        <f t="shared" si="1"/>
        <v>2.513888889370719E-2</v>
      </c>
      <c r="N29" s="7">
        <f t="shared" si="20"/>
        <v>36.200000006938353</v>
      </c>
      <c r="O29" s="7"/>
      <c r="P29" s="7"/>
      <c r="Q29" s="23"/>
      <c r="R29" s="23"/>
      <c r="S29" s="35">
        <f t="shared" si="18"/>
        <v>1</v>
      </c>
      <c r="T29" s="50" t="str">
        <f t="shared" si="2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04:28:44-700',mode:absolute,to:'2016-12-21 07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9" s="52" t="str">
        <f t="shared" si="4"/>
        <v>N</v>
      </c>
      <c r="X29" s="177">
        <f t="shared" si="19"/>
        <v>1</v>
      </c>
      <c r="Y29" s="67">
        <f t="shared" si="6"/>
        <v>4.5100000000000001E-2</v>
      </c>
      <c r="Z29" s="67">
        <f t="shared" si="7"/>
        <v>23.331199999999999</v>
      </c>
      <c r="AA29" s="67">
        <f t="shared" si="8"/>
        <v>23.286099999999998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9"/>
        <v>0117-21</v>
      </c>
      <c r="AE29" s="91" t="str">
        <f t="shared" si="10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29" s="88" t="str">
        <f t="shared" si="11"/>
        <v>"C:\Program Files (x86)\AstroGrep\AstroGrep.exe" /spath="%USERPROFILE%\AppData\Local\Temp\OnboardLogs" /stypes="app*4044*20161221*"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92" t="str">
        <f t="shared" si="15"/>
        <v>"%USERPROFILE%\Documents\GitHub\eaglep3\Utilities\RefineRTDCRunTimes.py" --tripid 117-21 --locoid 4044 --swversion DE.1.0.8.0 --startMP 204:451 --initTime 2016-12-21T05:28:44 --startdatetime 2016-12-21T05:45:28 --delay 1 --endMP 204:233312 --enddatetime 2016-12-21T06:21:40 --enforcementcount 0 &gt;&gt;C:\Users\stu\Documents\GitHub\eaglep3-reporting\EC\2016-12-21-refined-times.txt</v>
      </c>
      <c r="AI29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{"issue":{"subject":"","project_id":79,"tracker_id":40,"status_id":1,"priority_id":2,"assigned_to_id":23,"start_date":"2016-12-21","description":"","custom_fields":[{"id":1,"name":"Subdivision","value":"EC"},{"id":4,"name":"Milepost","value":"23.3312"},{"id":17,"name":"Train ID","value":"117-21"},{"id":16,"name":"Locomotive ID","value":"4044"},{"id":130,"name":"Impact","value":""},{"id":150,"name":"Time of Event (Mountain Time)","value":"06:21:40"},{"id":151,"name":"Denver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495</v>
      </c>
      <c r="B30" s="7">
        <v>4043</v>
      </c>
      <c r="C30" s="22" t="s">
        <v>205</v>
      </c>
      <c r="D30" s="22" t="s">
        <v>258</v>
      </c>
      <c r="E30" s="13">
        <v>42725.269756944443</v>
      </c>
      <c r="F30" s="13">
        <v>42725.278738425928</v>
      </c>
      <c r="G30" s="7">
        <v>7</v>
      </c>
      <c r="H30" s="22" t="s">
        <v>262</v>
      </c>
      <c r="I30" s="13">
        <v>42725.30609953704</v>
      </c>
      <c r="J30" s="7">
        <v>0</v>
      </c>
      <c r="K30" s="109" t="str">
        <f t="shared" si="0"/>
        <v>4043/4044</v>
      </c>
      <c r="L30" s="22" t="str">
        <f>VLOOKUP(A30,'Trips&amp;Operators'!$C$1:$G$99999,5,FALSE)</f>
        <v>MAGEE KENYA</v>
      </c>
      <c r="M30" s="6">
        <f t="shared" si="1"/>
        <v>2.73611111115315E-2</v>
      </c>
      <c r="N30" s="7">
        <f t="shared" si="20"/>
        <v>39.40000000060536</v>
      </c>
      <c r="O30" s="7"/>
      <c r="P30" s="7"/>
      <c r="Q30" s="23"/>
      <c r="R30" s="23"/>
      <c r="S30" s="35">
        <f t="shared" si="18"/>
        <v>1</v>
      </c>
      <c r="T30" s="50" t="str">
        <f t="shared" si="2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05:28:27-700',mode:absolute,to:'2016-12-21 08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0" s="52" t="str">
        <f t="shared" si="4"/>
        <v>N</v>
      </c>
      <c r="X30" s="177">
        <f t="shared" si="19"/>
        <v>1</v>
      </c>
      <c r="Y30" s="67">
        <f t="shared" si="6"/>
        <v>23.299399999999999</v>
      </c>
      <c r="Z30" s="67">
        <f t="shared" si="7"/>
        <v>1.47E-2</v>
      </c>
      <c r="AA30" s="67">
        <f t="shared" si="8"/>
        <v>23.284699999999997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9"/>
        <v>0118-21</v>
      </c>
      <c r="AE30" s="91" t="str">
        <f t="shared" si="10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30" s="88" t="str">
        <f t="shared" si="11"/>
        <v>"C:\Program Files (x86)\AstroGrep\AstroGrep.exe" /spath="%USERPROFILE%\AppData\Local\Temp\OnboardLogs" /stypes="app*4043*20161221*"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92" t="str">
        <f t="shared" si="15"/>
        <v>"%USERPROFILE%\Documents\GitHub\eaglep3\Utilities\RefineRTDCRunTimes.py" --tripid 118-21 --locoid 4043 --swversion DE.1.0.8.0 --startMP 204:232994 --initTime 2016-12-21T06:28:27 --startdatetime 2016-12-21T06:41:23 --delay 7 --endMP 204:147 --enddatetime 2016-12-21T07:20:47 --enforcementcount 0 &gt;&gt;C:\Users\stu\Documents\GitHub\eaglep3-reporting\EC\2016-12-21-refined-times.txt</v>
      </c>
      <c r="AI30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{"issue":{"subject":"","project_id":79,"tracker_id":40,"status_id":1,"priority_id":2,"assigned_to_id":23,"start_date":"2016-12-21","description":"","custom_fields":[{"id":1,"name":"Subdivision","value":"EC"},{"id":4,"name":"Milepost","value":"0.0147"},{"id":17,"name":"Train ID","value":"118-21"},{"id":16,"name":"Locomotive ID","value":"4043"},{"id":130,"name":"Impact","value":""},{"id":150,"name":"Time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491</v>
      </c>
      <c r="B31" s="7">
        <v>4027</v>
      </c>
      <c r="C31" s="22" t="s">
        <v>205</v>
      </c>
      <c r="D31" s="22" t="s">
        <v>682</v>
      </c>
      <c r="E31" s="13">
        <v>42725.248599537037</v>
      </c>
      <c r="F31" s="13">
        <v>42725.250694444447</v>
      </c>
      <c r="G31" s="7">
        <v>2</v>
      </c>
      <c r="H31" s="22" t="s">
        <v>304</v>
      </c>
      <c r="I31" s="13">
        <v>42725.275081018517</v>
      </c>
      <c r="J31" s="7">
        <v>0</v>
      </c>
      <c r="K31" s="109" t="str">
        <f t="shared" si="0"/>
        <v>4027/4028</v>
      </c>
      <c r="L31" s="22" t="str">
        <f>VLOOKUP(A31,'Trips&amp;Operators'!$C$1:$G$99999,5,FALSE)</f>
        <v>GEBRETEKLE DAGNEW</v>
      </c>
      <c r="M31" s="6">
        <f t="shared" si="1"/>
        <v>2.438657407037681E-2</v>
      </c>
      <c r="N31" s="7">
        <f t="shared" si="20"/>
        <v>35.116666661342606</v>
      </c>
      <c r="O31" s="7"/>
      <c r="P31" s="7"/>
      <c r="Q31" s="23"/>
      <c r="R31" s="23"/>
      <c r="S31" s="35">
        <f t="shared" si="18"/>
        <v>1</v>
      </c>
      <c r="T31" s="50" t="str">
        <f t="shared" si="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04:57:59-700',mode:absolute,to:'2016-12-21 07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1" s="52" t="str">
        <f t="shared" si="4"/>
        <v>N</v>
      </c>
      <c r="X31" s="177">
        <f t="shared" ref="X31:X62" si="21">VALUE(LEFT(AD31,4))-VALUE(LEFT(AD30,4))</f>
        <v>1</v>
      </c>
      <c r="Y31" s="67">
        <f t="shared" si="6"/>
        <v>7.2300000000000003E-2</v>
      </c>
      <c r="Z31" s="67">
        <f t="shared" si="7"/>
        <v>23.3308</v>
      </c>
      <c r="AA31" s="67">
        <f t="shared" si="8"/>
        <v>23.258500000000002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9"/>
        <v>0119-21</v>
      </c>
      <c r="AE31" s="91" t="str">
        <f t="shared" si="10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31" s="88" t="str">
        <f t="shared" si="11"/>
        <v>"C:\Program Files (x86)\AstroGrep\AstroGrep.exe" /spath="%USERPROFILE%\AppData\Local\Temp\OnboardLogs" /stypes="app*4027*20161221*" /stext=" 13:.+((SYSTEM_STATE.+slice.+state.+changed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92" t="str">
        <f t="shared" si="15"/>
        <v>"%USERPROFILE%\Documents\GitHub\eaglep3\Utilities\RefineRTDCRunTimes.py" --tripid 119-21 --locoid 4027 --swversion DE.1.0.8.0 --startMP 204:723 --initTime 2016-12-21T05:57:59 --startdatetime 2016-12-21T06:01:00 --delay 2 --endMP 204:233308 --enddatetime 2016-12-21T06:36:07 --enforcementcount 0 &gt;&gt;C:\Users\stu\Documents\GitHub\eaglep3-reporting\EC\2016-12-21-refined-times.txt</v>
      </c>
      <c r="AI31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{"issue":{"subject":"","project_id":79,"tracker_id":40,"status_id":1,"priority_id":2,"assigned_to_id":23,"start_date":"2016-12-21","description":"","custom_fields":[{"id":1,"name":"Subdivision","value":"EC"},{"id":4,"name":"Milepost","value":"23.3308"},{"id":17,"name":"Train ID","value":"119-21"},{"id":16,"name":"Locomotive ID","value":"4027"},{"id":130,"name":"Impact","value":""},{"id":150,"name":"Time of Event (Mountain Time)","value":"06:36:07"},{"id":151,"name":"Denver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500</v>
      </c>
      <c r="B32" s="7">
        <v>4028</v>
      </c>
      <c r="C32" s="22" t="s">
        <v>205</v>
      </c>
      <c r="D32" s="22" t="s">
        <v>398</v>
      </c>
      <c r="E32" s="13">
        <v>42725.286458333336</v>
      </c>
      <c r="F32" s="13">
        <v>42725.289131944446</v>
      </c>
      <c r="G32" s="7">
        <v>3</v>
      </c>
      <c r="H32" s="22" t="s">
        <v>683</v>
      </c>
      <c r="I32" s="13">
        <v>42725.315983796296</v>
      </c>
      <c r="J32" s="7">
        <v>0</v>
      </c>
      <c r="K32" s="109" t="str">
        <f t="shared" si="0"/>
        <v>4027/4028</v>
      </c>
      <c r="L32" s="22" t="str">
        <f>VLOOKUP(A32,'Trips&amp;Operators'!$C$1:$G$99999,5,FALSE)</f>
        <v>GEBRETEKLE DAGNEW</v>
      </c>
      <c r="M32" s="6">
        <f t="shared" si="1"/>
        <v>2.6851851849642117E-2</v>
      </c>
      <c r="N32" s="7">
        <f t="shared" si="20"/>
        <v>38.666666663484648</v>
      </c>
      <c r="O32" s="7"/>
      <c r="P32" s="7"/>
      <c r="Q32" s="23"/>
      <c r="R32" s="23"/>
      <c r="S32" s="35">
        <f t="shared" si="18"/>
        <v>1</v>
      </c>
      <c r="T32" s="50" t="str">
        <f t="shared" si="2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05:52:30-700',mode:absolute,to:'2016-12-21 08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2" s="52" t="str">
        <f t="shared" si="4"/>
        <v>N</v>
      </c>
      <c r="X32" s="177">
        <f t="shared" si="21"/>
        <v>1</v>
      </c>
      <c r="Y32" s="67">
        <f t="shared" si="6"/>
        <v>23.297899999999998</v>
      </c>
      <c r="Z32" s="67">
        <f t="shared" si="7"/>
        <v>1.5800000000000002E-2</v>
      </c>
      <c r="AA32" s="67">
        <f t="shared" si="8"/>
        <v>23.2821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9"/>
        <v>0120-21</v>
      </c>
      <c r="AE32" s="91" t="str">
        <f t="shared" si="10"/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32" s="88" t="str">
        <f t="shared" si="11"/>
        <v>"C:\Program Files (x86)\AstroGrep\AstroGrep.exe" /spath="%USERPROFILE%\AppData\Local\Temp\OnboardLogs" /stypes="app*4028*20161221*" /stext=" 14:.+((SYSTEM_STATE.+slice.+state.+changed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92" t="str">
        <f t="shared" si="15"/>
        <v>"%USERPROFILE%\Documents\GitHub\eaglep3\Utilities\RefineRTDCRunTimes.py" --tripid 120-21 --locoid 4028 --swversion DE.1.0.8.0 --startMP 204:232979 --initTime 2016-12-21T06:52:30 --startdatetime 2016-12-21T06:56:21 --delay 3 --endMP 204:158 --enddatetime 2016-12-21T07:35:01 --enforcementcount 0 &gt;&gt;C:\Users\stu\Documents\GitHub\eaglep3-reporting\EC\2016-12-21-refined-times.txt</v>
      </c>
      <c r="AI32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{"issue":{"subject":"","project_id":79,"tracker_id":40,"status_id":1,"priority_id":2,"assigned_to_id":23,"start_date":"2016-12-21","description":"","custom_fields":[{"id":1,"name":"Subdivision","value":"EC"},{"id":4,"name":"Milepost","value":"0.0158"},{"id":17,"name":"Train ID","value":"120-21"},{"id":16,"name":"Locomotive ID","value":"4028"},{"id":130,"name":"Impact","value":""},{"id":150,"name":"Time of Event (Mountain Time)","value":"07:35:01"},{"id":151,"name":"Denver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494</v>
      </c>
      <c r="B33" s="7">
        <v>4003</v>
      </c>
      <c r="C33" s="22" t="s">
        <v>205</v>
      </c>
      <c r="D33" s="22" t="s">
        <v>684</v>
      </c>
      <c r="E33" s="13">
        <v>42725.258738425924</v>
      </c>
      <c r="F33" s="13">
        <v>42725.260694444441</v>
      </c>
      <c r="G33" s="7">
        <v>1</v>
      </c>
      <c r="H33" s="22" t="s">
        <v>287</v>
      </c>
      <c r="I33" s="13">
        <v>42725.285694444443</v>
      </c>
      <c r="J33" s="7">
        <v>0</v>
      </c>
      <c r="K33" s="109" t="str">
        <f t="shared" si="0"/>
        <v>4003/4004</v>
      </c>
      <c r="L33" s="22" t="str">
        <f>VLOOKUP(A33,'Trips&amp;Operators'!$C$1:$G$99999,5,FALSE)</f>
        <v>BONDS REYNALDO</v>
      </c>
      <c r="M33" s="6">
        <f t="shared" si="1"/>
        <v>2.5000000001455192E-2</v>
      </c>
      <c r="N33" s="7">
        <f t="shared" si="20"/>
        <v>36.000000002095476</v>
      </c>
      <c r="O33" s="7"/>
      <c r="P33" s="7"/>
      <c r="Q33" s="23"/>
      <c r="R33" s="23"/>
      <c r="S33" s="35">
        <f t="shared" si="18"/>
        <v>1</v>
      </c>
      <c r="T33" s="50" t="str">
        <f t="shared" si="2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05:12:35-700',mode:absolute,to:'2016-12-21 07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3" s="52" t="str">
        <f t="shared" si="4"/>
        <v>N</v>
      </c>
      <c r="X33" s="177">
        <f t="shared" si="21"/>
        <v>1</v>
      </c>
      <c r="Y33" s="67">
        <f t="shared" si="6"/>
        <v>4.7500000000000001E-2</v>
      </c>
      <c r="Z33" s="67">
        <f t="shared" si="7"/>
        <v>23.329899999999999</v>
      </c>
      <c r="AA33" s="67">
        <f t="shared" si="8"/>
        <v>23.282399999999999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9"/>
        <v>0121-21</v>
      </c>
      <c r="AE33" s="91" t="str">
        <f t="shared" si="10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33" s="88" t="str">
        <f t="shared" si="11"/>
        <v>"C:\Program Files (x86)\AstroGrep\AstroGrep.exe" /spath="%USERPROFILE%\AppData\Local\Temp\OnboardLogs" /stypes="app*4003*20161221*" /stext=" 13:.+((SYSTEM_STATE.+slice.+state.+changed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92" t="str">
        <f t="shared" si="15"/>
        <v>"%USERPROFILE%\Documents\GitHub\eaglep3\Utilities\RefineRTDCRunTimes.py" --tripid 121-21 --locoid 4003 --swversion DE.1.0.8.0 --startMP 204:475 --initTime 2016-12-21T06:12:35 --startdatetime 2016-12-21T06:15:24 --delay 1 --endMP 204:233299 --enddatetime 2016-12-21T06:51:24 --enforcementcount 0 &gt;&gt;C:\Users\stu\Documents\GitHub\eaglep3-reporting\EC\2016-12-21-refined-times.txt</v>
      </c>
      <c r="AI33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{"issue":{"subject":"","project_id":79,"tracker_id":40,"status_id":1,"priority_id":2,"assigned_to_id":23,"start_date":"2016-12-21","description":"","custom_fields":[{"id":1,"name":"Subdivision","value":"EC"},{"id":4,"name":"Milepost","value":"23.3299"},{"id":17,"name":"Train ID","value":"121-21"},{"id":16,"name":"Locomotive ID","value":"4003"},{"id":130,"name":"Impact","value":""},{"id":150,"name":"Time of Event (Mountain Time)","value":"06:51:24"},{"id":151,"name":"Denver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431</v>
      </c>
      <c r="B34" s="7">
        <v>4004</v>
      </c>
      <c r="C34" s="22" t="s">
        <v>205</v>
      </c>
      <c r="D34" s="22" t="s">
        <v>389</v>
      </c>
      <c r="E34" s="13">
        <v>42725.287476851852</v>
      </c>
      <c r="F34" s="13">
        <v>42725.299479166664</v>
      </c>
      <c r="G34" s="7">
        <v>1</v>
      </c>
      <c r="H34" s="22" t="s">
        <v>407</v>
      </c>
      <c r="I34" s="13">
        <v>42725.32712962963</v>
      </c>
      <c r="J34" s="7">
        <v>0</v>
      </c>
      <c r="K34" s="109" t="str">
        <f t="shared" si="0"/>
        <v>4003/4004</v>
      </c>
      <c r="L34" s="22" t="str">
        <f>VLOOKUP(A34,'Trips&amp;Operators'!$C$1:$G$99999,5,FALSE)</f>
        <v>BONDS REYNALDO</v>
      </c>
      <c r="M34" s="6">
        <f t="shared" si="1"/>
        <v>2.7650462965539191E-2</v>
      </c>
      <c r="N34" s="7">
        <f t="shared" si="20"/>
        <v>39.816666670376435</v>
      </c>
      <c r="O34" s="7"/>
      <c r="P34" s="7"/>
      <c r="Q34" s="23"/>
      <c r="R34" s="23"/>
      <c r="S34" s="35">
        <f t="shared" si="18"/>
        <v>1</v>
      </c>
      <c r="T34" s="50" t="str">
        <f t="shared" si="2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05:53:58-700',mode:absolute,to:'2016-12-21 08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4" s="52" t="str">
        <f t="shared" si="4"/>
        <v>N</v>
      </c>
      <c r="X34" s="177">
        <f t="shared" si="21"/>
        <v>1</v>
      </c>
      <c r="Y34" s="67">
        <f t="shared" si="6"/>
        <v>23.296700000000001</v>
      </c>
      <c r="Z34" s="67">
        <f t="shared" si="7"/>
        <v>1.6500000000000001E-2</v>
      </c>
      <c r="AA34" s="67">
        <f t="shared" si="8"/>
        <v>23.280200000000001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9"/>
        <v>0122-21</v>
      </c>
      <c r="AE34" s="91" t="str">
        <f t="shared" si="10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34" s="88" t="str">
        <f t="shared" si="11"/>
        <v>"C:\Program Files (x86)\AstroGrep\AstroGrep.exe" /spath="%USERPROFILE%\AppData\Local\Temp\OnboardLogs" /stypes="app*4004*20161221*" /stext=" 14:.+((SYSTEM_STATE.+slice.+state.+changed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92" t="str">
        <f t="shared" si="15"/>
        <v>"%USERPROFILE%\Documents\GitHub\eaglep3\Utilities\RefineRTDCRunTimes.py" --tripid 122-21 --locoid 4004 --swversion DE.1.0.8.0 --startMP 204:232967 --initTime 2016-12-21T06:53:58 --startdatetime 2016-12-21T07:11:15 --delay 1 --endMP 204:165 --enddatetime 2016-12-21T07:51:04 --enforcementcount 0 &gt;&gt;C:\Users\stu\Documents\GitHub\eaglep3-reporting\EC\2016-12-21-refined-times.txt</v>
      </c>
      <c r="AI34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{"issue":{"subject":"","project_id":79,"tracker_id":40,"status_id":1,"priority_id":2,"assigned_to_id":23,"start_date":"2016-12-21","description":"","custom_fields":[{"id":1,"name":"Subdivision","value":"EC"},{"id":4,"name":"Milepost","value":"0.0165"},{"id":17,"name":"Train ID","value":"122-21"},{"id":16,"name":"Locomotive ID","value":"4004"},{"id":130,"name":"Impact","value":""},{"id":150,"name":"Time of Event (Mountain Time)","value":"07:51:04"},{"id":151,"name":"Denver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429</v>
      </c>
      <c r="B35" s="7">
        <v>4020</v>
      </c>
      <c r="C35" s="22" t="s">
        <v>205</v>
      </c>
      <c r="D35" s="22" t="s">
        <v>685</v>
      </c>
      <c r="E35" s="13">
        <v>42725.289664351854</v>
      </c>
      <c r="F35" s="13">
        <v>42725.290277777778</v>
      </c>
      <c r="G35" s="7">
        <v>0</v>
      </c>
      <c r="H35" s="22" t="s">
        <v>404</v>
      </c>
      <c r="I35" s="13">
        <v>42725.2971875</v>
      </c>
      <c r="J35" s="7">
        <v>0</v>
      </c>
      <c r="K35" s="109" t="str">
        <f t="shared" si="0"/>
        <v>4019/4020</v>
      </c>
      <c r="L35" s="22" t="str">
        <f>VLOOKUP(A35,'Trips&amp;Operators'!$C$1:$G$99999,5,FALSE)</f>
        <v>COOLAHAN JOHN</v>
      </c>
      <c r="M35" s="6">
        <f t="shared" si="1"/>
        <v>6.9097222221898846E-3</v>
      </c>
      <c r="N35" s="7"/>
      <c r="O35" s="7"/>
      <c r="P35" s="7">
        <f>24*60*SUM($M35:$M36)</f>
        <v>25.25000000372529</v>
      </c>
      <c r="Q35" s="23"/>
      <c r="R35" s="23" t="s">
        <v>424</v>
      </c>
      <c r="S35" s="35">
        <f>SUM(U35:U36)/IF(AG35="EC",12,1)</f>
        <v>0.5</v>
      </c>
      <c r="T35" s="50" t="str">
        <f t="shared" si="2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05:57:07-700',mode:absolute,to:'2016-12-21 08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5" s="52" t="str">
        <f t="shared" si="4"/>
        <v>Y</v>
      </c>
      <c r="X35" s="177">
        <f t="shared" si="21"/>
        <v>1</v>
      </c>
      <c r="Y35" s="67">
        <f t="shared" si="6"/>
        <v>15.4429</v>
      </c>
      <c r="Z35" s="67">
        <f t="shared" si="7"/>
        <v>23.328700000000001</v>
      </c>
      <c r="AA35" s="67">
        <f t="shared" si="8"/>
        <v>7.8858000000000015</v>
      </c>
      <c r="AB35" s="64" t="str">
        <f>VLOOKUP(A35,Enforcements!$C$7:$K$19,8,0)</f>
        <v>Bulletin (2)</v>
      </c>
      <c r="AC35" s="60" t="str">
        <f>VLOOKUP(A35,Enforcements!$C$7:$E$19,3,0)</f>
        <v>GRADE CROSSING</v>
      </c>
      <c r="AD35" s="61" t="str">
        <f t="shared" si="9"/>
        <v>0123-21</v>
      </c>
      <c r="AE35" s="91" t="str">
        <f t="shared" si="10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35" s="88" t="str">
        <f t="shared" si="11"/>
        <v>"C:\Program Files (x86)\AstroGrep\AstroGrep.exe" /spath="%USERPROFILE%\AppData\Local\Temp\OnboardLogs" /stypes="app*4020*20161221*"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92" t="str">
        <f t="shared" si="15"/>
        <v>"%USERPROFILE%\Documents\GitHub\eaglep3\Utilities\RefineRTDCRunTimes.py" --tripid 123-21 --locoid 4020 --swversion DE.1.0.8.0 --startMP 204:154429 --initTime 2016-12-21T06:57:07 --startdatetime 2016-12-21T06:58:00 --delay 0 --endMP 204:233287 --enddatetime 2016-12-21T07:07:57 --enforcementcount 0 &gt;&gt;C:\Users\stu\Documents\GitHub\eaglep3-reporting\EC\2016-12-21-refined-times.txt</v>
      </c>
      <c r="AI35" s="119" t="str">
        <f t="shared" si="16"/>
        <v>echo {"issue":{"subject":"Wi-MAX data drop","project_id":79,"tracker_id":40,"status_id":1,"priority_id":2,"assigned_to_id":23,"start_date":"2016-12-21","description":"","custom_fields":[{"id":1,"name":"Subdivision","value":"EC"},{"id":4,"name":"Milepost","value":"23.3287"},{"id":17,"name":"Train ID","value":"123-21"},{"id":16,"name":"Locomotive ID","value":"4020"},{"id":130,"name":"Impact","value":""},{"id":150,"name":"Time of Event (Mountain Time)","value":"07:07:57"},{"id":151,"name":"Denver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429</v>
      </c>
      <c r="B36" s="7">
        <v>4020</v>
      </c>
      <c r="C36" s="22" t="s">
        <v>205</v>
      </c>
      <c r="D36" s="22" t="s">
        <v>347</v>
      </c>
      <c r="E36" s="13">
        <v>42725.268425925926</v>
      </c>
      <c r="F36" s="13">
        <v>42725.269629629627</v>
      </c>
      <c r="G36" s="7">
        <v>1</v>
      </c>
      <c r="H36" s="22" t="s">
        <v>686</v>
      </c>
      <c r="I36" s="13">
        <v>42725.28025462963</v>
      </c>
      <c r="J36" s="7">
        <v>2</v>
      </c>
      <c r="K36" s="109" t="str">
        <f t="shared" si="0"/>
        <v>4019/4020</v>
      </c>
      <c r="L36" s="22" t="str">
        <f>VLOOKUP(A36,'Trips&amp;Operators'!$C$1:$G$99999,5,FALSE)</f>
        <v>COOLAHAN JOHN</v>
      </c>
      <c r="M36" s="6">
        <f t="shared" si="1"/>
        <v>1.0625000002619345E-2</v>
      </c>
      <c r="N36" s="7"/>
      <c r="O36" s="7"/>
      <c r="P36" s="7"/>
      <c r="Q36" s="23"/>
      <c r="R36" s="23"/>
      <c r="S36" s="35"/>
      <c r="T36" s="50" t="str">
        <f t="shared" si="2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6</v>
      </c>
      <c r="V3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05:26:32-700',mode:absolute,to:'2016-12-21 07:43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6" s="52" t="str">
        <f t="shared" si="4"/>
        <v>Y</v>
      </c>
      <c r="X36" s="177">
        <f t="shared" si="21"/>
        <v>0</v>
      </c>
      <c r="Y36" s="67">
        <f t="shared" si="6"/>
        <v>4.3299999999999998E-2</v>
      </c>
      <c r="Z36" s="67">
        <f t="shared" si="7"/>
        <v>5.6980000000000004</v>
      </c>
      <c r="AA36" s="67">
        <f t="shared" si="8"/>
        <v>5.6547000000000001</v>
      </c>
      <c r="AB36" s="64" t="str">
        <f>VLOOKUP(A36,Enforcements!$C$7:$K$19,8,0)</f>
        <v>Bulletin (2)</v>
      </c>
      <c r="AC36" s="60" t="str">
        <f>VLOOKUP(A36,Enforcements!$C$7:$E$19,3,0)</f>
        <v>GRADE CROSSING</v>
      </c>
      <c r="AD36" s="61" t="str">
        <f t="shared" si="9"/>
        <v>0123-21</v>
      </c>
      <c r="AE36" s="91" t="str">
        <f t="shared" si="10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36" s="88" t="str">
        <f t="shared" si="11"/>
        <v>"C:\Program Files (x86)\AstroGrep\AstroGrep.exe" /spath="%USERPROFILE%\AppData\Local\Temp\OnboardLogs" /stypes="app*4020*20161221*" /stext=" 13:.+((SYSTEM_STATE.+slice.+state.+changed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92" t="str">
        <f t="shared" si="15"/>
        <v>"%USERPROFILE%\Documents\GitHub\eaglep3\Utilities\RefineRTDCRunTimes.py" --tripid 123-21 --locoid 4020 --swversion DE.1.0.8.0 --startMP 204:433 --initTime 2016-12-21T06:26:32 --startdatetime 2016-12-21T06:28:16 --delay 1 --endMP 204:56980 --enddatetime 2016-12-21T06:43:34 --enforcementcount 2 &gt;&gt;C:\Users\stu\Documents\GitHub\eaglep3-reporting\EC\2016-12-21-refined-times.txt</v>
      </c>
      <c r="AI36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{"issue":{"subject":"","project_id":79,"tracker_id":40,"status_id":1,"priority_id":2,"assigned_to_id":23,"start_date":"2016-12-21","description":"","custom_fields":[{"id":1,"name":"Subdivision","value":"EC"},{"id":4,"name":"Milepost","value":"5.698"},{"id":17,"name":"Train ID","value":"123-21"},{"id":16,"name":"Locomotive ID","value":"4020"},{"id":130,"name":"Impact","value":""},{"id":150,"name":"Time of Event (Mountain Time)","value":"06:43:34"},{"id":151,"name":"Denver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503</v>
      </c>
      <c r="B37" s="7">
        <v>4019</v>
      </c>
      <c r="C37" s="22" t="s">
        <v>205</v>
      </c>
      <c r="D37" s="22" t="s">
        <v>687</v>
      </c>
      <c r="E37" s="13">
        <v>42725.306122685186</v>
      </c>
      <c r="F37" s="13">
        <v>42725.31</v>
      </c>
      <c r="G37" s="7">
        <v>1</v>
      </c>
      <c r="H37" s="22" t="s">
        <v>677</v>
      </c>
      <c r="I37" s="13">
        <v>42725.336736111109</v>
      </c>
      <c r="J37" s="7">
        <v>0</v>
      </c>
      <c r="K37" s="109" t="str">
        <f t="shared" si="0"/>
        <v>4019/4020</v>
      </c>
      <c r="L37" s="22" t="str">
        <f>VLOOKUP(A37,'Trips&amp;Operators'!$C$1:$G$99999,5,FALSE)</f>
        <v>COOLAHAN JOHN</v>
      </c>
      <c r="M37" s="6">
        <f t="shared" si="1"/>
        <v>2.6736111110949423E-2</v>
      </c>
      <c r="N37" s="7">
        <f t="shared" ref="N37:N53" si="22">24*60*SUM($M37:$M37)</f>
        <v>38.499999999767169</v>
      </c>
      <c r="O37" s="7"/>
      <c r="P37" s="7"/>
      <c r="Q37" s="23"/>
      <c r="R37" s="23"/>
      <c r="S37" s="35">
        <f t="shared" ref="S37:S53" si="23">SUM(U37:U37)/IF(AG37="EC",12,1)</f>
        <v>1</v>
      </c>
      <c r="T37" s="50" t="str">
        <f t="shared" si="2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06:20:49-700',mode:absolute,to:'2016-12-21 09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7" s="52" t="str">
        <f t="shared" si="4"/>
        <v>N</v>
      </c>
      <c r="X37" s="177">
        <f t="shared" si="21"/>
        <v>1</v>
      </c>
      <c r="Y37" s="67">
        <f t="shared" si="6"/>
        <v>23.296600000000002</v>
      </c>
      <c r="Z37" s="67">
        <f t="shared" si="7"/>
        <v>1.32E-2</v>
      </c>
      <c r="AA37" s="67">
        <f t="shared" si="8"/>
        <v>23.2834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9"/>
        <v>0124-21</v>
      </c>
      <c r="AE37" s="91" t="str">
        <f t="shared" si="10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37" s="88" t="str">
        <f t="shared" si="11"/>
        <v>"C:\Program Files (x86)\AstroGrep\AstroGrep.exe" /spath="%USERPROFILE%\AppData\Local\Temp\OnboardLogs" /stypes="app*4019*20161221*"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92" t="str">
        <f t="shared" si="15"/>
        <v>"%USERPROFILE%\Documents\GitHub\eaglep3\Utilities\RefineRTDCRunTimes.py" --tripid 124-21 --locoid 4019 --swversion DE.1.0.8.0 --startMP 204:232966 --initTime 2016-12-21T07:20:49 --startdatetime 2016-12-21T07:26:24 --delay 1 --endMP 204:132 --enddatetime 2016-12-21T08:04:54 --enforcementcount 0 &gt;&gt;C:\Users\stu\Documents\GitHub\eaglep3-reporting\EC\2016-12-21-refined-times.txt</v>
      </c>
      <c r="AI37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{"issue":{"subject":"","project_id":79,"tracker_id":40,"status_id":1,"priority_id":2,"assigned_to_id":23,"start_date":"2016-12-21","description":"","custom_fields":[{"id":1,"name":"Subdivision","value":"EC"},{"id":4,"name":"Milepost","value":"0.0132"},{"id":17,"name":"Train ID","value":"124-21"},{"id":16,"name":"Locomotive ID","value":"4019"},{"id":130,"name":"Impact","value":""},{"id":150,"name":"Time of Event (Mountain Time)","value":"08:04:54"},{"id":151,"name":"Denver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498</v>
      </c>
      <c r="B38" s="7">
        <v>4016</v>
      </c>
      <c r="C38" s="22" t="s">
        <v>205</v>
      </c>
      <c r="D38" s="22" t="s">
        <v>228</v>
      </c>
      <c r="E38" s="13">
        <v>42725.279363425929</v>
      </c>
      <c r="F38" s="13">
        <v>42725.281944444447</v>
      </c>
      <c r="G38" s="7">
        <v>1</v>
      </c>
      <c r="H38" s="22" t="s">
        <v>303</v>
      </c>
      <c r="I38" s="13">
        <v>42725.306562500002</v>
      </c>
      <c r="J38" s="7">
        <v>0</v>
      </c>
      <c r="K38" s="109" t="str">
        <f t="shared" si="0"/>
        <v>4015/4016</v>
      </c>
      <c r="L38" s="22" t="str">
        <f>VLOOKUP(A38,'Trips&amp;Operators'!$C$1:$G$99999,5,FALSE)</f>
        <v>BEAM ROSS</v>
      </c>
      <c r="M38" s="6">
        <f t="shared" si="1"/>
        <v>2.4618055555038154E-2</v>
      </c>
      <c r="N38" s="7">
        <f t="shared" si="22"/>
        <v>35.449999999254942</v>
      </c>
      <c r="O38" s="7"/>
      <c r="P38" s="7"/>
      <c r="Q38" s="23"/>
      <c r="R38" s="23"/>
      <c r="S38" s="35">
        <f t="shared" si="23"/>
        <v>1</v>
      </c>
      <c r="T38" s="50" t="str">
        <f t="shared" si="2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05:42:17-700',mode:absolute,to:'2016-12-21 08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8" s="52" t="str">
        <f t="shared" si="4"/>
        <v>N</v>
      </c>
      <c r="X38" s="177">
        <f t="shared" si="21"/>
        <v>1</v>
      </c>
      <c r="Y38" s="67">
        <f t="shared" si="6"/>
        <v>4.5499999999999999E-2</v>
      </c>
      <c r="Z38" s="67">
        <f t="shared" si="7"/>
        <v>23.329499999999999</v>
      </c>
      <c r="AA38" s="67">
        <f t="shared" si="8"/>
        <v>23.283999999999999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9"/>
        <v>0125-21</v>
      </c>
      <c r="AE38" s="91" t="str">
        <f t="shared" si="10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38" s="88" t="str">
        <f t="shared" si="11"/>
        <v>"C:\Program Files (x86)\AstroGrep\AstroGrep.exe" /spath="%USERPROFILE%\AppData\Local\Temp\OnboardLogs" /stypes="app*4016*20161221*"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92" t="str">
        <f t="shared" si="15"/>
        <v>"%USERPROFILE%\Documents\GitHub\eaglep3\Utilities\RefineRTDCRunTimes.py" --tripid 125-21 --locoid 4016 --swversion DE.1.0.8.0 --startMP 204:455 --initTime 2016-12-21T06:42:17 --startdatetime 2016-12-21T06:46:00 --delay 1 --endMP 204:233295 --enddatetime 2016-12-21T07:21:27 --enforcementcount 0 &gt;&gt;C:\Users\stu\Documents\GitHub\eaglep3-reporting\EC\2016-12-21-refined-times.txt</v>
      </c>
      <c r="AI38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{"issue":{"subject":"","project_id":79,"tracker_id":40,"status_id":1,"priority_id":2,"assigned_to_id":23,"start_date":"2016-12-21","description":"","custom_fields":[{"id":1,"name":"Subdivision","value":"EC"},{"id":4,"name":"Milepost","value":"23.3295"},{"id":17,"name":"Train ID","value":"125-21"},{"id":16,"name":"Locomotive ID","value":"4016"},{"id":130,"name":"Impact","value":""},{"id":150,"name":"Time of Event (Mountain Time)","value":"07:21:27"},{"id":151,"name":"Denver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505</v>
      </c>
      <c r="B39" s="7">
        <v>4015</v>
      </c>
      <c r="C39" s="22" t="s">
        <v>205</v>
      </c>
      <c r="D39" s="22" t="s">
        <v>267</v>
      </c>
      <c r="E39" s="13">
        <v>42725.314212962963</v>
      </c>
      <c r="F39" s="13">
        <v>42725.320370370369</v>
      </c>
      <c r="G39" s="7">
        <v>1</v>
      </c>
      <c r="H39" s="22" t="s">
        <v>245</v>
      </c>
      <c r="I39" s="13">
        <v>42725.349861111114</v>
      </c>
      <c r="J39" s="7">
        <v>0</v>
      </c>
      <c r="K39" s="109" t="str">
        <f t="shared" si="0"/>
        <v>4015/4016</v>
      </c>
      <c r="L39" s="22" t="str">
        <f>VLOOKUP(A39,'Trips&amp;Operators'!$C$1:$G$99999,5,FALSE)</f>
        <v>BEAM ROSS</v>
      </c>
      <c r="M39" s="6">
        <f t="shared" si="1"/>
        <v>2.9490740744222421E-2</v>
      </c>
      <c r="N39" s="7">
        <f t="shared" si="22"/>
        <v>42.466666671680287</v>
      </c>
      <c r="O39" s="7"/>
      <c r="P39" s="7"/>
      <c r="Q39" s="23"/>
      <c r="R39" s="23"/>
      <c r="S39" s="35">
        <f t="shared" si="23"/>
        <v>1</v>
      </c>
      <c r="T39" s="50" t="str">
        <f t="shared" si="2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06:32:28-700',mode:absolute,to:'2016-12-21 09:23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9" s="52" t="str">
        <f t="shared" si="4"/>
        <v>N</v>
      </c>
      <c r="X39" s="177">
        <f t="shared" si="21"/>
        <v>1</v>
      </c>
      <c r="Y39" s="67">
        <f t="shared" si="6"/>
        <v>23.297699999999999</v>
      </c>
      <c r="Z39" s="67">
        <f t="shared" si="7"/>
        <v>1.6299999999999999E-2</v>
      </c>
      <c r="AA39" s="67">
        <f t="shared" si="8"/>
        <v>23.281399999999998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9"/>
        <v>0126-21</v>
      </c>
      <c r="AE39" s="91" t="str">
        <f t="shared" si="10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39" s="88" t="str">
        <f t="shared" si="11"/>
        <v>"C:\Program Files (x86)\AstroGrep\AstroGrep.exe" /spath="%USERPROFILE%\AppData\Local\Temp\OnboardLogs" /stypes="app*4015*20161221*"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92" t="str">
        <f t="shared" si="15"/>
        <v>"%USERPROFILE%\Documents\GitHub\eaglep3\Utilities\RefineRTDCRunTimes.py" --tripid 126-21 --locoid 4015 --swversion DE.1.0.8.0 --startMP 204:232977 --initTime 2016-12-21T07:32:28 --startdatetime 2016-12-21T07:41:20 --delay 1 --endMP 204:163 --enddatetime 2016-12-21T08:23:48 --enforcementcount 0 &gt;&gt;C:\Users\stu\Documents\GitHub\eaglep3-reporting\EC\2016-12-21-refined-times.txt</v>
      </c>
      <c r="AI39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{"issue":{"subject":"","project_id":79,"tracker_id":40,"status_id":1,"priority_id":2,"assigned_to_id":23,"start_date":"2016-12-21","description":"","custom_fields":[{"id":1,"name":"Subdivision","value":"EC"},{"id":4,"name":"Milepost","value":"0.0163"},{"id":17,"name":"Train ID","value":"126-21"},{"id":16,"name":"Locomotive ID","value":"4015"},{"id":130,"name":"Impact","value":""},{"id":150,"name":"Time of Event (Mountain Time)","value":"08:23:48"},{"id":151,"name":"Denver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499</v>
      </c>
      <c r="B40" s="7">
        <v>4014</v>
      </c>
      <c r="C40" s="22" t="s">
        <v>205</v>
      </c>
      <c r="D40" s="22" t="s">
        <v>194</v>
      </c>
      <c r="E40" s="13">
        <v>42725.284363425926</v>
      </c>
      <c r="F40" s="13">
        <v>42725.291979166665</v>
      </c>
      <c r="G40" s="7">
        <v>1</v>
      </c>
      <c r="H40" s="22" t="s">
        <v>379</v>
      </c>
      <c r="I40" s="13">
        <v>42725.317048611112</v>
      </c>
      <c r="J40" s="7">
        <v>0</v>
      </c>
      <c r="K40" s="109" t="str">
        <f t="shared" si="0"/>
        <v>4013/4014</v>
      </c>
      <c r="L40" s="22" t="str">
        <f>VLOOKUP(A40,'Trips&amp;Operators'!$C$1:$G$99999,5,FALSE)</f>
        <v>ISHMAEL JOSEPH</v>
      </c>
      <c r="M40" s="6">
        <f t="shared" si="1"/>
        <v>2.5069444447581191E-2</v>
      </c>
      <c r="N40" s="7">
        <f t="shared" si="22"/>
        <v>36.100000004516914</v>
      </c>
      <c r="O40" s="7"/>
      <c r="P40" s="7"/>
      <c r="Q40" s="23"/>
      <c r="R40" s="23"/>
      <c r="S40" s="35">
        <f t="shared" si="23"/>
        <v>1</v>
      </c>
      <c r="T40" s="50" t="str">
        <f t="shared" si="2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05:49:29-700',mode:absolute,to:'2016-12-21 08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0" s="52" t="str">
        <f t="shared" si="4"/>
        <v>N</v>
      </c>
      <c r="X40" s="177">
        <f t="shared" si="21"/>
        <v>1</v>
      </c>
      <c r="Y40" s="67">
        <f t="shared" si="6"/>
        <v>4.5100000000000001E-2</v>
      </c>
      <c r="Z40" s="67">
        <f t="shared" si="7"/>
        <v>23.331199999999999</v>
      </c>
      <c r="AA40" s="67">
        <f t="shared" si="8"/>
        <v>23.286099999999998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9"/>
        <v>0127-21</v>
      </c>
      <c r="AE40" s="91" t="str">
        <f t="shared" si="10"/>
        <v>aws s3 cp s3://rtdc.mdm.uploadarchive.raw/RTDC4014/ "%USERPROFILE%\AppData\Local\Temp\OnboardLogs"\RTDC4014\2016-12-21 --exclude "*" --recursive --include "*20161221*" &amp; "%USERPROFILE%\Documents\GitHub\mrs-test-scripts\Headless Mode &amp; Sideloading\WalkAndUnGZ.bat" "%USERPROFILE%\AppData\Local\Temp\OnboardLogs"\RTDC4014\2016-12-21 &amp; 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</v>
      </c>
      <c r="AF40" s="88" t="str">
        <f t="shared" si="11"/>
        <v>"C:\Program Files (x86)\AstroGrep\AstroGrep.exe" /spath="%USERPROFILE%\AppData\Local\Temp\OnboardLogs" /stypes="app*4014*20161221*"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92" t="str">
        <f t="shared" si="15"/>
        <v>"%USERPROFILE%\Documents\GitHub\eaglep3\Utilities\RefineRTDCRunTimes.py" --tripid 127-21 --locoid 4014 --swversion DE.1.0.8.0 --startMP 204:451 --initTime 2016-12-21T06:49:29 --startdatetime 2016-12-21T07:00:27 --delay 1 --endMP 204:233312 --enddatetime 2016-12-21T07:36:33 --enforcementcount 0 &gt;&gt;C:\Users\stu\Documents\GitHub\eaglep3-reporting\EC\2016-12-21-refined-times.txt</v>
      </c>
      <c r="AI40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{"issue":{"subject":"","project_id":79,"tracker_id":40,"status_id":1,"priority_id":2,"assigned_to_id":23,"start_date":"2016-12-21","description":"","custom_fields":[{"id":1,"name":"Subdivision","value":"EC"},{"id":4,"name":"Milepost","value":"23.3312"},{"id":17,"name":"Train ID","value":"127-21"},{"id":16,"name":"Locomotive ID","value":"4014"},{"id":130,"name":"Impact","value":""},{"id":150,"name":"Time of Event (Mountain Time)","value":"07:36:33"},{"id":151,"name":"Denver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509</v>
      </c>
      <c r="B41" s="7">
        <v>4013</v>
      </c>
      <c r="C41" s="22" t="s">
        <v>205</v>
      </c>
      <c r="D41" s="22" t="s">
        <v>688</v>
      </c>
      <c r="E41" s="13">
        <v>42725.325138888889</v>
      </c>
      <c r="F41" s="13">
        <v>42725.33079861111</v>
      </c>
      <c r="G41" s="7">
        <v>1</v>
      </c>
      <c r="H41" s="22" t="s">
        <v>689</v>
      </c>
      <c r="I41" s="13">
        <v>42725.358368055553</v>
      </c>
      <c r="J41" s="7">
        <v>0</v>
      </c>
      <c r="K41" s="109" t="str">
        <f t="shared" si="0"/>
        <v>4013/4014</v>
      </c>
      <c r="L41" s="22" t="str">
        <f>VLOOKUP(A41,'Trips&amp;Operators'!$C$1:$G$99999,5,FALSE)</f>
        <v>ISHMAEL JOSEPH</v>
      </c>
      <c r="M41" s="6">
        <f t="shared" si="1"/>
        <v>2.7569444442633539E-2</v>
      </c>
      <c r="N41" s="7">
        <f t="shared" si="22"/>
        <v>39.699999997392297</v>
      </c>
      <c r="O41" s="7"/>
      <c r="P41" s="7"/>
      <c r="Q41" s="23"/>
      <c r="R41" s="23"/>
      <c r="S41" s="35">
        <f t="shared" si="23"/>
        <v>1</v>
      </c>
      <c r="T41" s="50" t="str">
        <f t="shared" si="2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06:48:12-700',mode:absolute,to:'2016-12-21 09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1" s="52" t="str">
        <f t="shared" si="4"/>
        <v>N</v>
      </c>
      <c r="X41" s="177">
        <f t="shared" si="21"/>
        <v>1</v>
      </c>
      <c r="Y41" s="67">
        <f t="shared" si="6"/>
        <v>23.299800000000001</v>
      </c>
      <c r="Z41" s="67">
        <f t="shared" si="7"/>
        <v>8.9899999999999994E-2</v>
      </c>
      <c r="AA41" s="67">
        <f t="shared" si="8"/>
        <v>23.209900000000001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9"/>
        <v>0128-21</v>
      </c>
      <c r="AE41" s="91" t="str">
        <f t="shared" si="10"/>
        <v>aws s3 cp s3://rtdc.mdm.uploadarchive.raw/RTDC4013/ "%USERPROFILE%\AppData\Local\Temp\OnboardLogs"\RTDC4013\2016-12-21 --exclude "*" --recursive --include "*20161221*" &amp; "%USERPROFILE%\Documents\GitHub\mrs-test-scripts\Headless Mode &amp; Sideloading\WalkAndUnGZ.bat" "%USERPROFILE%\AppData\Local\Temp\OnboardLogs"\RTDC4013\2016-12-21 &amp; aws s3 cp s3://rtdc.mdm.uploadarchive.raw/RTDC4013/ "%USERPROFILE%\AppData\Local\Temp\OnboardLogs"\RTDC4013\2016-12-22 --exclude "*" --recursive --include "*20161222*" &amp; "%USERPROFILE%\Documents\GitHub\mrs-test-scripts\Headless Mode &amp; Sideloading\WalkAndUnGZ.bat" "%USERPROFILE%\AppData\Local\Temp\OnboardLogs"\RTDC4013\2016-12-22</v>
      </c>
      <c r="AF41" s="88" t="str">
        <f t="shared" si="11"/>
        <v>"C:\Program Files (x86)\AstroGrep\AstroGrep.exe" /spath="%USERPROFILE%\AppData\Local\Temp\OnboardLogs" /stypes="app*4013*20161221*"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92" t="str">
        <f t="shared" si="15"/>
        <v>"%USERPROFILE%\Documents\GitHub\eaglep3\Utilities\RefineRTDCRunTimes.py" --tripid 128-21 --locoid 4013 --swversion DE.1.0.8.0 --startMP 204:232998 --initTime 2016-12-21T07:48:12 --startdatetime 2016-12-21T07:56:21 --delay 1 --endMP 204:899 --enddatetime 2016-12-21T08:36:03 --enforcementcount 0 &gt;&gt;C:\Users\stu\Documents\GitHub\eaglep3-reporting\EC\2016-12-21-refined-times.txt</v>
      </c>
      <c r="AI41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{"issue":{"subject":"","project_id":79,"tracker_id":40,"status_id":1,"priority_id":2,"assigned_to_id":23,"start_date":"2016-12-21","description":"","custom_fields":[{"id":1,"name":"Subdivision","value":"EC"},{"id":4,"name":"Milepost","value":"0.0899"},{"id":17,"name":"Train ID","value":"128-21"},{"id":16,"name":"Locomotive ID","value":"4013"},{"id":130,"name":"Impact","value":""},{"id":150,"name":"Time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502</v>
      </c>
      <c r="B42" s="7">
        <v>4042</v>
      </c>
      <c r="C42" s="22" t="s">
        <v>205</v>
      </c>
      <c r="D42" s="22" t="s">
        <v>270</v>
      </c>
      <c r="E42" s="13">
        <v>42725.299120370371</v>
      </c>
      <c r="F42" s="13">
        <v>42725.302395833336</v>
      </c>
      <c r="G42" s="7">
        <v>3</v>
      </c>
      <c r="H42" s="22" t="s">
        <v>303</v>
      </c>
      <c r="I42" s="13">
        <v>42725.327939814815</v>
      </c>
      <c r="J42" s="7">
        <v>0</v>
      </c>
      <c r="K42" s="109" t="str">
        <f t="shared" si="0"/>
        <v>4041/4042</v>
      </c>
      <c r="L42" s="22" t="str">
        <f>VLOOKUP(A42,'Trips&amp;Operators'!$C$1:$G$99999,5,FALSE)</f>
        <v>STARKS ANGELINA</v>
      </c>
      <c r="M42" s="6">
        <f t="shared" si="1"/>
        <v>2.5543981479131617E-2</v>
      </c>
      <c r="N42" s="7">
        <f t="shared" si="22"/>
        <v>36.783333329949528</v>
      </c>
      <c r="O42" s="7"/>
      <c r="P42" s="7"/>
      <c r="Q42" s="23"/>
      <c r="R42" s="23"/>
      <c r="S42" s="35">
        <f t="shared" si="23"/>
        <v>1</v>
      </c>
      <c r="T42" s="50" t="str">
        <f t="shared" si="2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06:10:44-700',mode:absolute,to:'2016-12-21 08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2" s="52" t="str">
        <f t="shared" si="4"/>
        <v>N</v>
      </c>
      <c r="X42" s="177">
        <f t="shared" si="21"/>
        <v>1</v>
      </c>
      <c r="Y42" s="67">
        <f t="shared" si="6"/>
        <v>4.6199999999999998E-2</v>
      </c>
      <c r="Z42" s="67">
        <f t="shared" si="7"/>
        <v>23.329499999999999</v>
      </c>
      <c r="AA42" s="67">
        <f t="shared" si="8"/>
        <v>23.283300000000001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9"/>
        <v>0129-21</v>
      </c>
      <c r="AE42" s="91" t="str">
        <f t="shared" si="10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42" s="88" t="str">
        <f t="shared" si="11"/>
        <v>"C:\Program Files (x86)\AstroGrep\AstroGrep.exe" /spath="%USERPROFILE%\AppData\Local\Temp\OnboardLogs" /stypes="app*4042*20161221*"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92" t="str">
        <f t="shared" si="15"/>
        <v>"%USERPROFILE%\Documents\GitHub\eaglep3\Utilities\RefineRTDCRunTimes.py" --tripid 129-21 --locoid 4042 --swversion DE.1.0.8.0 --startMP 204:462 --initTime 2016-12-21T07:10:44 --startdatetime 2016-12-21T07:15:27 --delay 3 --endMP 204:233295 --enddatetime 2016-12-21T07:52:14 --enforcementcount 0 &gt;&gt;C:\Users\stu\Documents\GitHub\eaglep3-reporting\EC\2016-12-21-refined-times.txt</v>
      </c>
      <c r="AI42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{"issue":{"subject":"","project_id":79,"tracker_id":40,"status_id":1,"priority_id":2,"assigned_to_id":23,"start_date":"2016-12-21","description":"","custom_fields":[{"id":1,"name":"Subdivision","value":"EC"},{"id":4,"name":"Milepost","value":"23.3295"},{"id":17,"name":"Train ID","value":"129-21"},{"id":16,"name":"Locomotive ID","value":"4042"},{"id":130,"name":"Impact","value":""},{"id":150,"name":"Time of Event (Mountain Time)","value":"07:52:14"},{"id":151,"name":"Denver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433</v>
      </c>
      <c r="B43" s="7">
        <v>4041</v>
      </c>
      <c r="C43" s="22" t="s">
        <v>205</v>
      </c>
      <c r="D43" s="22" t="s">
        <v>352</v>
      </c>
      <c r="E43" s="13">
        <v>42725.338854166665</v>
      </c>
      <c r="F43" s="13">
        <v>42725.341192129628</v>
      </c>
      <c r="G43" s="7">
        <v>1</v>
      </c>
      <c r="H43" s="22" t="s">
        <v>235</v>
      </c>
      <c r="I43" s="13">
        <v>42725.369803240741</v>
      </c>
      <c r="J43" s="7">
        <v>0</v>
      </c>
      <c r="K43" s="109" t="str">
        <f t="shared" si="0"/>
        <v>4041/4042</v>
      </c>
      <c r="L43" s="22" t="str">
        <f>VLOOKUP(A43,'Trips&amp;Operators'!$C$1:$G$99999,5,FALSE)</f>
        <v>STARKS ANGELINA</v>
      </c>
      <c r="M43" s="6">
        <f t="shared" si="1"/>
        <v>2.8611111112695653E-2</v>
      </c>
      <c r="N43" s="7">
        <f t="shared" si="22"/>
        <v>41.20000000228174</v>
      </c>
      <c r="O43" s="7"/>
      <c r="P43" s="7"/>
      <c r="Q43" s="23"/>
      <c r="R43" s="23"/>
      <c r="S43" s="35">
        <f t="shared" si="23"/>
        <v>1</v>
      </c>
      <c r="T43" s="50" t="str">
        <f t="shared" si="2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07:07:57-700',mode:absolute,to:'2016-12-21 09:52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3" s="52" t="str">
        <f t="shared" si="4"/>
        <v>N</v>
      </c>
      <c r="X43" s="177">
        <f t="shared" si="21"/>
        <v>1</v>
      </c>
      <c r="Y43" s="67">
        <f t="shared" si="6"/>
        <v>23.298400000000001</v>
      </c>
      <c r="Z43" s="67">
        <f t="shared" si="7"/>
        <v>1.4500000000000001E-2</v>
      </c>
      <c r="AA43" s="67">
        <f t="shared" si="8"/>
        <v>23.283899999999999</v>
      </c>
      <c r="AB43" s="64" t="str">
        <f>VLOOKUP(A43,Enforcements!$C$7:$K$19,8,0)</f>
        <v>Bulletin (2)</v>
      </c>
      <c r="AC43" s="60" t="str">
        <f>VLOOKUP(A43,Enforcements!$C$7:$E$19,3,0)</f>
        <v>GRADE CROSSING</v>
      </c>
      <c r="AD43" s="61" t="str">
        <f t="shared" si="9"/>
        <v>0130-21</v>
      </c>
      <c r="AE43" s="91" t="str">
        <f t="shared" si="10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43" s="88" t="str">
        <f t="shared" si="11"/>
        <v>"C:\Program Files (x86)\AstroGrep\AstroGrep.exe" /spath="%USERPROFILE%\AppData\Local\Temp\OnboardLogs" /stypes="app*4041*20161221*"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92" t="str">
        <f t="shared" si="15"/>
        <v>"%USERPROFILE%\Documents\GitHub\eaglep3\Utilities\RefineRTDCRunTimes.py" --tripid 130-21 --locoid 4041 --swversion DE.1.0.8.0 --startMP 204:232984 --initTime 2016-12-21T08:07:57 --startdatetime 2016-12-21T08:11:19 --delay 1 --endMP 204:145 --enddatetime 2016-12-21T08:52:31 --enforcementcount 0 &gt;&gt;C:\Users\stu\Documents\GitHub\eaglep3-reporting\EC\2016-12-21-refined-times.txt</v>
      </c>
      <c r="AI43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{"issue":{"subject":"","project_id":79,"tracker_id":40,"status_id":1,"priority_id":2,"assigned_to_id":23,"start_date":"2016-12-21","description":"","custom_fields":[{"id":1,"name":"Subdivision","value":"EC"},{"id":4,"name":"Milepost","value":"0.0145"},{"id":17,"name":"Train ID","value":"130-21"},{"id":16,"name":"Locomotive ID","value":"4041"},{"id":130,"name":"Impact","value":""},{"id":150,"name":"Time of Event (Mountain Time)","value":"08:52:31"},{"id":151,"name":"Denver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504</v>
      </c>
      <c r="B44" s="7">
        <v>4044</v>
      </c>
      <c r="C44" s="22" t="s">
        <v>205</v>
      </c>
      <c r="D44" s="22" t="s">
        <v>194</v>
      </c>
      <c r="E44" s="13">
        <v>42725.30841435185</v>
      </c>
      <c r="F44" s="13">
        <v>42725.312951388885</v>
      </c>
      <c r="G44" s="7">
        <v>1</v>
      </c>
      <c r="H44" s="22" t="s">
        <v>690</v>
      </c>
      <c r="I44" s="13">
        <v>42725.337083333332</v>
      </c>
      <c r="J44" s="7">
        <v>0</v>
      </c>
      <c r="K44" s="109" t="str">
        <f t="shared" si="0"/>
        <v>4043/4044</v>
      </c>
      <c r="L44" s="22" t="str">
        <f>VLOOKUP(A44,'Trips&amp;Operators'!$C$1:$G$99999,5,FALSE)</f>
        <v>MAGEE KENYA</v>
      </c>
      <c r="M44" s="6">
        <f t="shared" si="1"/>
        <v>2.4131944446708076E-2</v>
      </c>
      <c r="N44" s="7">
        <f t="shared" si="22"/>
        <v>34.750000003259629</v>
      </c>
      <c r="O44" s="7"/>
      <c r="P44" s="7"/>
      <c r="Q44" s="23"/>
      <c r="R44" s="23"/>
      <c r="S44" s="35">
        <f t="shared" si="23"/>
        <v>1</v>
      </c>
      <c r="T44" s="50" t="str">
        <f t="shared" si="2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06:24:07-700',mode:absolute,to:'2016-12-21 09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4" s="52" t="str">
        <f t="shared" si="4"/>
        <v>N</v>
      </c>
      <c r="X44" s="177">
        <f t="shared" si="21"/>
        <v>1</v>
      </c>
      <c r="Y44" s="67">
        <f t="shared" si="6"/>
        <v>4.5100000000000001E-2</v>
      </c>
      <c r="Z44" s="67">
        <f t="shared" si="7"/>
        <v>23.330400000000001</v>
      </c>
      <c r="AA44" s="67">
        <f t="shared" si="8"/>
        <v>23.285299999999999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9"/>
        <v>0131-21</v>
      </c>
      <c r="AE44" s="91" t="str">
        <f t="shared" si="10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44" s="88" t="str">
        <f t="shared" si="11"/>
        <v>"C:\Program Files (x86)\AstroGrep\AstroGrep.exe" /spath="%USERPROFILE%\AppData\Local\Temp\OnboardLogs" /stypes="app*4044*20161221*"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92" t="str">
        <f t="shared" si="15"/>
        <v>"%USERPROFILE%\Documents\GitHub\eaglep3\Utilities\RefineRTDCRunTimes.py" --tripid 131-21 --locoid 4044 --swversion DE.1.0.8.0 --startMP 204:451 --initTime 2016-12-21T07:24:07 --startdatetime 2016-12-21T07:30:39 --delay 1 --endMP 204:233304 --enddatetime 2016-12-21T08:05:24 --enforcementcount 0 &gt;&gt;C:\Users\stu\Documents\GitHub\eaglep3-reporting\EC\2016-12-21-refined-times.txt</v>
      </c>
      <c r="AI44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{"issue":{"subject":"","project_id":79,"tracker_id":40,"status_id":1,"priority_id":2,"assigned_to_id":23,"start_date":"2016-12-21","description":"","custom_fields":[{"id":1,"name":"Subdivision","value":"EC"},{"id":4,"name":"Milepost","value":"23.3304"},{"id":17,"name":"Train ID","value":"131-21"},{"id":16,"name":"Locomotive ID","value":"4044"},{"id":130,"name":"Impact","value":""},{"id":150,"name":"Time of Event (Mountain Time)","value":"08:05:24"},{"id":151,"name":"Denver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435</v>
      </c>
      <c r="B45" s="7">
        <v>4043</v>
      </c>
      <c r="C45" s="22" t="s">
        <v>205</v>
      </c>
      <c r="D45" s="22" t="s">
        <v>284</v>
      </c>
      <c r="E45" s="13">
        <v>42725.344039351854</v>
      </c>
      <c r="F45" s="13">
        <v>42725.351620370369</v>
      </c>
      <c r="G45" s="7">
        <v>0</v>
      </c>
      <c r="H45" s="22" t="s">
        <v>191</v>
      </c>
      <c r="I45" s="13">
        <v>42725.379143518519</v>
      </c>
      <c r="J45" s="7">
        <v>0</v>
      </c>
      <c r="K45" s="109" t="str">
        <f t="shared" ref="K45:K76" si="24">IF(ISEVEN(B45),(B45-1)&amp;"/"&amp;B45,B45&amp;"/"&amp;(B45+1))</f>
        <v>4043/4044</v>
      </c>
      <c r="L45" s="22" t="str">
        <f>VLOOKUP(A45,'Trips&amp;Operators'!$C$1:$G$99999,5,FALSE)</f>
        <v>MAGEE KENYA</v>
      </c>
      <c r="M45" s="6">
        <f t="shared" ref="M45:M76" si="25">I45-F45</f>
        <v>2.7523148150066845E-2</v>
      </c>
      <c r="N45" s="7">
        <f t="shared" si="22"/>
        <v>39.633333336096257</v>
      </c>
      <c r="O45" s="7"/>
      <c r="P45" s="7"/>
      <c r="Q45" s="23"/>
      <c r="R45" s="23"/>
      <c r="S45" s="35">
        <f t="shared" si="23"/>
        <v>1</v>
      </c>
      <c r="T45" s="50" t="str">
        <f t="shared" ref="T45:T76" si="26">IF(ISEVEN(LEFT(AD45,4)),"Southbound","NorthBound")</f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07:15:25-700',mode:absolute,to:'2016-12-21 10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5" s="52" t="str">
        <f t="shared" ref="W45:W76" si="27">IF(AA45&lt;IF(AG45="EC",23,5.65),"Y","N")</f>
        <v>N</v>
      </c>
      <c r="X45" s="177">
        <f t="shared" si="21"/>
        <v>1</v>
      </c>
      <c r="Y45" s="67">
        <f t="shared" ref="Y45:Y76" si="28">RIGHT(D45,LEN(D45)-4)/10000</f>
        <v>23.3</v>
      </c>
      <c r="Z45" s="67">
        <f t="shared" ref="Z45:Z76" si="29">RIGHT(H45,LEN(H45)-4)/10000</f>
        <v>1.49E-2</v>
      </c>
      <c r="AA45" s="67">
        <f t="shared" ref="AA45:AA76" si="30">ABS(Z45-Y45)</f>
        <v>23.2851</v>
      </c>
      <c r="AB45" s="64" t="str">
        <f>VLOOKUP(A45,Enforcements!$C$7:$K$19,8,0)</f>
        <v>Speed (6)</v>
      </c>
      <c r="AC45" s="60" t="str">
        <f>VLOOKUP(A45,Enforcements!$C$7:$E$19,3,0)</f>
        <v>PERMANENT SPEED RESTRICTION</v>
      </c>
      <c r="AD45" s="61" t="str">
        <f t="shared" ref="AD45:AD76" si="31">IF(LEN(A45)=6,"0"&amp;A45,A45)</f>
        <v>0132-21</v>
      </c>
      <c r="AE45" s="91" t="str">
        <f t="shared" si="10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45" s="88" t="str">
        <f t="shared" si="11"/>
        <v>"C:\Program Files (x86)\AstroGrep\AstroGrep.exe" /spath="%USERPROFILE%\AppData\Local\Temp\OnboardLogs" /stypes="app*4043*20161221*" /stext=" 16:.+((SYSTEM_STATE.+slice.+state.+changed )|(ment ac)|(multiple cpu faults)|(system.+state.+changed )|(\[timeout)|(PRM\|1\|D)|(kpr)|(kdp)|(\|lc)|(penalty))" /e /r /s</v>
      </c>
      <c r="AG45" s="1" t="str">
        <f t="shared" ref="AG45:AG76" si="32">IFERROR(IF(VALUE(LEFT(AD45,2))&lt;=2,"EC",IF(OR(VALUE(LEFT(AD45,2))=8,VALUE(LEFT(AD45,2))=18),"NW","Other")),"Other")</f>
        <v>EC</v>
      </c>
      <c r="AH45" s="92" t="str">
        <f t="shared" si="15"/>
        <v>"%USERPROFILE%\Documents\GitHub\eaglep3\Utilities\RefineRTDCRunTimes.py" --tripid 132-21 --locoid 4043 --swversion DE.1.0.8.0 --startMP 204:233000 --initTime 2016-12-21T08:15:25 --startdatetime 2016-12-21T08:26:20 --delay 0 --endMP 204:149 --enddatetime 2016-12-21T09:05:58 --enforcementcount 0 &gt;&gt;C:\Users\stu\Documents\GitHub\eaglep3-reporting\EC\2016-12-21-refined-times.txt</v>
      </c>
      <c r="AI45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{"issue":{"subject":"","project_id":79,"tracker_id":40,"status_id":1,"priority_id":2,"assigned_to_id":23,"start_date":"2016-12-21","description":"","custom_fields":[{"id":1,"name":"Subdivision","value":"EC"},{"id":4,"name":"Milepost","value":"0.0149"},{"id":17,"name":"Train ID","value":"132-21"},{"id":16,"name":"Locomotive ID","value":"4043"},{"id":130,"name":"Impact","value":""},{"id":150,"name":"Time of Event (Mountain Time)","value":"09:05:58"},{"id":151,"name":"Denver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507</v>
      </c>
      <c r="B46" s="7">
        <v>4027</v>
      </c>
      <c r="C46" s="22" t="s">
        <v>205</v>
      </c>
      <c r="D46" s="22" t="s">
        <v>270</v>
      </c>
      <c r="E46" s="13">
        <v>42725.318842592591</v>
      </c>
      <c r="F46" s="13">
        <v>42725.323136574072</v>
      </c>
      <c r="G46" s="7">
        <v>1</v>
      </c>
      <c r="H46" s="22" t="s">
        <v>691</v>
      </c>
      <c r="I46" s="13">
        <v>42725.347349537034</v>
      </c>
      <c r="J46" s="7">
        <v>0</v>
      </c>
      <c r="K46" s="109" t="str">
        <f t="shared" si="24"/>
        <v>4027/4028</v>
      </c>
      <c r="L46" s="22" t="str">
        <f>VLOOKUP(A46,'Trips&amp;Operators'!$C$1:$G$99999,5,FALSE)</f>
        <v>GEBRETEKLE DAGNEW</v>
      </c>
      <c r="M46" s="6">
        <f t="shared" si="25"/>
        <v>2.421296296233777E-2</v>
      </c>
      <c r="N46" s="7">
        <f t="shared" si="22"/>
        <v>34.866666665766388</v>
      </c>
      <c r="O46" s="7"/>
      <c r="P46" s="7"/>
      <c r="Q46" s="23"/>
      <c r="R46" s="23"/>
      <c r="S46" s="35">
        <f t="shared" si="23"/>
        <v>1</v>
      </c>
      <c r="T46" s="50" t="str">
        <f t="shared" si="26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06:39:08-700',mode:absolute,to:'2016-12-21 09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6" s="52" t="str">
        <f t="shared" si="27"/>
        <v>N</v>
      </c>
      <c r="X46" s="177">
        <f t="shared" si="21"/>
        <v>1</v>
      </c>
      <c r="Y46" s="67">
        <f t="shared" si="28"/>
        <v>4.6199999999999998E-2</v>
      </c>
      <c r="Z46" s="67">
        <f t="shared" si="29"/>
        <v>23.330300000000001</v>
      </c>
      <c r="AA46" s="67">
        <f t="shared" si="30"/>
        <v>23.284100000000002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31"/>
        <v>0133-21</v>
      </c>
      <c r="AE46" s="91" t="str">
        <f t="shared" si="10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46" s="88" t="str">
        <f t="shared" si="11"/>
        <v>"C:\Program Files (x86)\AstroGrep\AstroGrep.exe" /spath="%USERPROFILE%\AppData\Local\Temp\OnboardLogs" /stypes="app*4027*20161221*" /stext=" 15:.+((SYSTEM_STATE.+slice.+state.+changed )|(ment ac)|(multiple cpu faults)|(system.+state.+changed )|(\[timeout)|(PRM\|1\|D)|(kpr)|(kdp)|(\|lc)|(penalty))" /e /r /s</v>
      </c>
      <c r="AG46" s="1" t="str">
        <f t="shared" si="32"/>
        <v>EC</v>
      </c>
      <c r="AH46" s="92" t="str">
        <f t="shared" si="15"/>
        <v>"%USERPROFILE%\Documents\GitHub\eaglep3\Utilities\RefineRTDCRunTimes.py" --tripid 133-21 --locoid 4027 --swversion DE.1.0.8.0 --startMP 204:462 --initTime 2016-12-21T07:39:08 --startdatetime 2016-12-21T07:45:19 --delay 1 --endMP 204:233303 --enddatetime 2016-12-21T08:20:11 --enforcementcount 0 &gt;&gt;C:\Users\stu\Documents\GitHub\eaglep3-reporting\EC\2016-12-21-refined-times.txt</v>
      </c>
      <c r="AI46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{"issue":{"subject":"","project_id":79,"tracker_id":40,"status_id":1,"priority_id":2,"assigned_to_id":23,"start_date":"2016-12-21","description":"","custom_fields":[{"id":1,"name":"Subdivision","value":"EC"},{"id":4,"name":"Milepost","value":"23.3303"},{"id":17,"name":"Train ID","value":"133-21"},{"id":16,"name":"Locomotive ID","value":"4027"},{"id":130,"name":"Impact","value":""},{"id":150,"name":"Time of Event (Mountain Time)","value":"08:20:11"},{"id":151,"name":"Denver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515</v>
      </c>
      <c r="B47" s="7">
        <v>4028</v>
      </c>
      <c r="C47" s="22" t="s">
        <v>205</v>
      </c>
      <c r="D47" s="22" t="s">
        <v>692</v>
      </c>
      <c r="E47" s="13">
        <v>42725.357534722221</v>
      </c>
      <c r="F47" s="13">
        <v>42725.361990740741</v>
      </c>
      <c r="G47" s="7">
        <v>1</v>
      </c>
      <c r="H47" s="22" t="s">
        <v>263</v>
      </c>
      <c r="I47" s="13">
        <v>42725.388969907406</v>
      </c>
      <c r="J47" s="7">
        <v>0</v>
      </c>
      <c r="K47" s="109" t="str">
        <f t="shared" si="24"/>
        <v>4027/4028</v>
      </c>
      <c r="L47" s="22" t="str">
        <f>VLOOKUP(A47,'Trips&amp;Operators'!$C$1:$G$99999,5,FALSE)</f>
        <v>GEBRETEKLE DAGNEW</v>
      </c>
      <c r="M47" s="6">
        <f t="shared" si="25"/>
        <v>2.6979166665114462E-2</v>
      </c>
      <c r="N47" s="7">
        <f t="shared" si="22"/>
        <v>38.849999997764826</v>
      </c>
      <c r="O47" s="7"/>
      <c r="P47" s="7"/>
      <c r="Q47" s="23"/>
      <c r="R47" s="23"/>
      <c r="S47" s="35">
        <f t="shared" si="23"/>
        <v>1</v>
      </c>
      <c r="T47" s="50" t="str">
        <f t="shared" si="26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07:34:51-700',mode:absolute,to:'2016-12-21 10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7" s="52" t="str">
        <f t="shared" si="27"/>
        <v>N</v>
      </c>
      <c r="X47" s="177">
        <f t="shared" si="21"/>
        <v>1</v>
      </c>
      <c r="Y47" s="67">
        <f t="shared" si="28"/>
        <v>23.299199999999999</v>
      </c>
      <c r="Z47" s="67">
        <f t="shared" si="29"/>
        <v>1.3899999999999999E-2</v>
      </c>
      <c r="AA47" s="67">
        <f t="shared" si="30"/>
        <v>23.285299999999999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31"/>
        <v>0134-21</v>
      </c>
      <c r="AE47" s="91" t="str">
        <f t="shared" si="10"/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47" s="88" t="str">
        <f t="shared" si="11"/>
        <v>"C:\Program Files (x86)\AstroGrep\AstroGrep.exe" /spath="%USERPROFILE%\AppData\Local\Temp\OnboardLogs" /stypes="app*4028*20161221*" /stext=" 16:.+((SYSTEM_STATE.+slice.+state.+changed )|(ment ac)|(multiple cpu faults)|(system.+state.+changed )|(\[timeout)|(PRM\|1\|D)|(kpr)|(kdp)|(\|lc)|(penalty))" /e /r /s</v>
      </c>
      <c r="AG47" s="1" t="str">
        <f t="shared" si="32"/>
        <v>EC</v>
      </c>
      <c r="AH47" s="92" t="str">
        <f t="shared" si="15"/>
        <v>"%USERPROFILE%\Documents\GitHub\eaglep3\Utilities\RefineRTDCRunTimes.py" --tripid 134-21 --locoid 4028 --swversion DE.1.0.8.0 --startMP 204:232992 --initTime 2016-12-21T08:34:51 --startdatetime 2016-12-21T08:41:16 --delay 1 --endMP 204:139 --enddatetime 2016-12-21T09:20:07 --enforcementcount 0 &gt;&gt;C:\Users\stu\Documents\GitHub\eaglep3-reporting\EC\2016-12-21-refined-times.txt</v>
      </c>
      <c r="AI47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{"issue":{"subject":"","project_id":79,"tracker_id":40,"status_id":1,"priority_id":2,"assigned_to_id":23,"start_date":"2016-12-21","description":"","custom_fields":[{"id":1,"name":"Subdivision","value":"EC"},{"id":4,"name":"Milepost","value":"0.0139"},{"id":17,"name":"Train ID","value":"134-21"},{"id":16,"name":"Locomotive ID","value":"4028"},{"id":130,"name":"Impact","value":""},{"id":150,"name":"Time of Event (Mountain Time)","value":"09:20:07"},{"id":151,"name":"Denver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510</v>
      </c>
      <c r="B48" s="7">
        <v>4003</v>
      </c>
      <c r="C48" s="22" t="s">
        <v>205</v>
      </c>
      <c r="D48" s="22" t="s">
        <v>194</v>
      </c>
      <c r="E48" s="13">
        <v>42725.328668981485</v>
      </c>
      <c r="F48" s="13">
        <v>42725.333483796298</v>
      </c>
      <c r="G48" s="7">
        <v>1</v>
      </c>
      <c r="H48" s="22" t="s">
        <v>693</v>
      </c>
      <c r="I48" s="13">
        <v>42725.358229166668</v>
      </c>
      <c r="J48" s="7">
        <v>0</v>
      </c>
      <c r="K48" s="109" t="str">
        <f t="shared" si="24"/>
        <v>4003/4004</v>
      </c>
      <c r="L48" s="22" t="str">
        <f>VLOOKUP(A48,'Trips&amp;Operators'!$C$1:$G$99999,5,FALSE)</f>
        <v>BONDS REYNALDO</v>
      </c>
      <c r="M48" s="6">
        <f t="shared" si="25"/>
        <v>2.47453703705105E-2</v>
      </c>
      <c r="N48" s="7">
        <f t="shared" si="22"/>
        <v>35.63333333353512</v>
      </c>
      <c r="O48" s="7"/>
      <c r="P48" s="7"/>
      <c r="Q48" s="23"/>
      <c r="R48" s="23"/>
      <c r="S48" s="35">
        <f t="shared" si="23"/>
        <v>1</v>
      </c>
      <c r="T48" s="50" t="str">
        <f t="shared" si="26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06:53:17-700',mode:absolute,to:'2016-12-21 09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8" s="52" t="str">
        <f t="shared" si="27"/>
        <v>N</v>
      </c>
      <c r="X48" s="177">
        <f t="shared" si="21"/>
        <v>1</v>
      </c>
      <c r="Y48" s="67">
        <f t="shared" si="28"/>
        <v>4.5100000000000001E-2</v>
      </c>
      <c r="Z48" s="67">
        <f t="shared" si="29"/>
        <v>23.328099999999999</v>
      </c>
      <c r="AA48" s="67">
        <f t="shared" si="30"/>
        <v>23.282999999999998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31"/>
        <v>0135-21</v>
      </c>
      <c r="AE48" s="91" t="str">
        <f t="shared" si="10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48" s="88" t="str">
        <f t="shared" si="11"/>
        <v>"C:\Program Files (x86)\AstroGrep\AstroGrep.exe" /spath="%USERPROFILE%\AppData\Local\Temp\OnboardLogs" /stypes="app*4003*20161221*" /stext=" 15:.+((SYSTEM_STATE.+slice.+state.+changed )|(ment ac)|(multiple cpu faults)|(system.+state.+changed )|(\[timeout)|(PRM\|1\|D)|(kpr)|(kdp)|(\|lc)|(penalty))" /e /r /s</v>
      </c>
      <c r="AG48" s="1" t="str">
        <f t="shared" si="32"/>
        <v>EC</v>
      </c>
      <c r="AH48" s="92" t="str">
        <f t="shared" si="15"/>
        <v>"%USERPROFILE%\Documents\GitHub\eaglep3\Utilities\RefineRTDCRunTimes.py" --tripid 135-21 --locoid 4003 --swversion DE.1.0.8.0 --startMP 204:451 --initTime 2016-12-21T07:53:17 --startdatetime 2016-12-21T08:00:13 --delay 1 --endMP 204:233281 --enddatetime 2016-12-21T08:35:51 --enforcementcount 0 &gt;&gt;C:\Users\stu\Documents\GitHub\eaglep3-reporting\EC\2016-12-21-refined-times.txt</v>
      </c>
      <c r="AI48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{"issue":{"subject":"","project_id":79,"tracker_id":40,"status_id":1,"priority_id":2,"assigned_to_id":23,"start_date":"2016-12-21","description":"","custom_fields":[{"id":1,"name":"Subdivision","value":"EC"},{"id":4,"name":"Milepost","value":"23.3281"},{"id":17,"name":"Train ID","value":"135-21"},{"id":16,"name":"Locomotive ID","value":"4003"},{"id":130,"name":"Impact","value":""},{"id":150,"name":"Time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518</v>
      </c>
      <c r="B49" s="7">
        <v>4004</v>
      </c>
      <c r="C49" s="22" t="s">
        <v>205</v>
      </c>
      <c r="D49" s="22" t="s">
        <v>694</v>
      </c>
      <c r="E49" s="13">
        <v>42725.36246527778</v>
      </c>
      <c r="F49" s="13">
        <v>42725.372430555559</v>
      </c>
      <c r="G49" s="7">
        <v>1</v>
      </c>
      <c r="H49" s="22" t="s">
        <v>278</v>
      </c>
      <c r="I49" s="13">
        <v>42725.400243055556</v>
      </c>
      <c r="J49" s="7">
        <v>0</v>
      </c>
      <c r="K49" s="109" t="str">
        <f t="shared" si="24"/>
        <v>4003/4004</v>
      </c>
      <c r="L49" s="22" t="str">
        <f>VLOOKUP(A49,'Trips&amp;Operators'!$C$1:$G$99999,5,FALSE)</f>
        <v>BONDS REYNALDO</v>
      </c>
      <c r="M49" s="6">
        <f t="shared" si="25"/>
        <v>2.7812499996798579E-2</v>
      </c>
      <c r="N49" s="7">
        <f t="shared" si="22"/>
        <v>40.049999995389953</v>
      </c>
      <c r="O49" s="7"/>
      <c r="P49" s="7"/>
      <c r="Q49" s="23"/>
      <c r="R49" s="23"/>
      <c r="S49" s="35">
        <f t="shared" si="23"/>
        <v>1</v>
      </c>
      <c r="T49" s="50" t="str">
        <f t="shared" si="26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07:41:57-700',mode:absolute,to:'2016-12-21 10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9" s="52" t="str">
        <f t="shared" si="27"/>
        <v>N</v>
      </c>
      <c r="X49" s="177">
        <f t="shared" si="21"/>
        <v>1</v>
      </c>
      <c r="Y49" s="67">
        <f t="shared" si="28"/>
        <v>23.300599999999999</v>
      </c>
      <c r="Z49" s="67">
        <f t="shared" si="29"/>
        <v>1.38E-2</v>
      </c>
      <c r="AA49" s="67">
        <f t="shared" si="30"/>
        <v>23.286799999999999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31"/>
        <v>0136-21</v>
      </c>
      <c r="AE49" s="91" t="str">
        <f t="shared" si="10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49" s="88" t="str">
        <f t="shared" si="11"/>
        <v>"C:\Program Files (x86)\AstroGrep\AstroGrep.exe" /spath="%USERPROFILE%\AppData\Local\Temp\OnboardLogs" /stypes="app*4004*20161221*" /stext=" 16:.+((SYSTEM_STATE.+slice.+state.+changed )|(ment ac)|(multiple cpu faults)|(system.+state.+changed )|(\[timeout)|(PRM\|1\|D)|(kpr)|(kdp)|(\|lc)|(penalty))" /e /r /s</v>
      </c>
      <c r="AG49" s="1" t="str">
        <f t="shared" si="32"/>
        <v>EC</v>
      </c>
      <c r="AH49" s="92" t="str">
        <f t="shared" si="15"/>
        <v>"%USERPROFILE%\Documents\GitHub\eaglep3\Utilities\RefineRTDCRunTimes.py" --tripid 136-21 --locoid 4004 --swversion DE.1.0.8.0 --startMP 204:233006 --initTime 2016-12-21T08:41:57 --startdatetime 2016-12-21T08:56:18 --delay 1 --endMP 204:138 --enddatetime 2016-12-21T09:36:21 --enforcementcount 0 &gt;&gt;C:\Users\stu\Documents\GitHub\eaglep3-reporting\EC\2016-12-21-refined-times.txt</v>
      </c>
      <c r="AI49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{"issue":{"subject":"","project_id":79,"tracker_id":40,"status_id":1,"priority_id":2,"assigned_to_id":23,"start_date":"2016-12-21","description":"","custom_fields":[{"id":1,"name":"Subdivision","value":"EC"},{"id":4,"name":"Milepost","value":"0.0138"},{"id":17,"name":"Train ID","value":"136-21"},{"id":16,"name":"Locomotive ID","value":"4004"},{"id":130,"name":"Impact","value":""},{"id":150,"name":"Time of Event (Mountain Time)","value":"09:36:21"},{"id":151,"name":"Denver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512</v>
      </c>
      <c r="B50" s="7">
        <v>4020</v>
      </c>
      <c r="C50" s="22" t="s">
        <v>205</v>
      </c>
      <c r="D50" s="22" t="s">
        <v>695</v>
      </c>
      <c r="E50" s="13">
        <v>42725.338738425926</v>
      </c>
      <c r="F50" s="13">
        <v>42725.344027777777</v>
      </c>
      <c r="G50" s="7">
        <v>2</v>
      </c>
      <c r="H50" s="22" t="s">
        <v>696</v>
      </c>
      <c r="I50" s="13">
        <v>42725.368356481478</v>
      </c>
      <c r="J50" s="7">
        <v>0</v>
      </c>
      <c r="K50" s="109" t="str">
        <f t="shared" si="24"/>
        <v>4019/4020</v>
      </c>
      <c r="L50" s="22" t="str">
        <f>VLOOKUP(A50,'Trips&amp;Operators'!$C$1:$G$99999,5,FALSE)</f>
        <v>COOLAHAN JOHN</v>
      </c>
      <c r="M50" s="6">
        <f t="shared" si="25"/>
        <v>2.4328703701030463E-2</v>
      </c>
      <c r="N50" s="7">
        <f t="shared" si="22"/>
        <v>35.033333329483867</v>
      </c>
      <c r="O50" s="7"/>
      <c r="P50" s="7"/>
      <c r="Q50" s="23"/>
      <c r="R50" s="23"/>
      <c r="S50" s="35">
        <f t="shared" si="23"/>
        <v>1</v>
      </c>
      <c r="T50" s="50" t="str">
        <f t="shared" si="26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07:07:47-700',mode:absolute,to:'2016-12-21 09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0" s="52" t="str">
        <f t="shared" si="27"/>
        <v>N</v>
      </c>
      <c r="X50" s="177">
        <f t="shared" si="21"/>
        <v>1</v>
      </c>
      <c r="Y50" s="67">
        <f t="shared" si="28"/>
        <v>4.4600000000000001E-2</v>
      </c>
      <c r="Z50" s="67">
        <f t="shared" si="29"/>
        <v>23.3322</v>
      </c>
      <c r="AA50" s="67">
        <f t="shared" si="30"/>
        <v>23.287600000000001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31"/>
        <v>0137-21</v>
      </c>
      <c r="AE50" s="91" t="str">
        <f t="shared" si="10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50" s="88" t="str">
        <f t="shared" si="11"/>
        <v>"C:\Program Files (x86)\AstroGrep\AstroGrep.exe" /spath="%USERPROFILE%\AppData\Local\Temp\OnboardLogs" /stypes="app*4020*20161221*" /stext=" 15:.+((SYSTEM_STATE.+slice.+state.+changed )|(ment ac)|(multiple cpu faults)|(system.+state.+changed )|(\[timeout)|(PRM\|1\|D)|(kpr)|(kdp)|(\|lc)|(penalty))" /e /r /s</v>
      </c>
      <c r="AG50" s="1" t="str">
        <f t="shared" si="32"/>
        <v>EC</v>
      </c>
      <c r="AH50" s="92" t="str">
        <f t="shared" si="15"/>
        <v>"%USERPROFILE%\Documents\GitHub\eaglep3\Utilities\RefineRTDCRunTimes.py" --tripid 137-21 --locoid 4020 --swversion DE.1.0.8.0 --startMP 204:446 --initTime 2016-12-21T08:07:47 --startdatetime 2016-12-21T08:15:24 --delay 2 --endMP 204:233322 --enddatetime 2016-12-21T08:50:26 --enforcementcount 0 &gt;&gt;C:\Users\stu\Documents\GitHub\eaglep3-reporting\EC\2016-12-21-refined-times.txt</v>
      </c>
      <c r="AI50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{"issue":{"subject":"","project_id":79,"tracker_id":40,"status_id":1,"priority_id":2,"assigned_to_id":23,"start_date":"2016-12-21","description":"","custom_fields":[{"id":1,"name":"Subdivision","value":"EC"},{"id":4,"name":"Milepost","value":"23.3322"},{"id":17,"name":"Train ID","value":"137-21"},{"id":16,"name":"Locomotive ID","value":"4020"},{"id":130,"name":"Impact","value":""},{"id":150,"name":"Time of Event (Mountain Time)","value":"08:50:26"},{"id":151,"name":"Denver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521</v>
      </c>
      <c r="B51" s="7">
        <v>4019</v>
      </c>
      <c r="C51" s="22" t="s">
        <v>205</v>
      </c>
      <c r="D51" s="22" t="s">
        <v>258</v>
      </c>
      <c r="E51" s="13">
        <v>42725.377824074072</v>
      </c>
      <c r="F51" s="13">
        <v>42725.382893518516</v>
      </c>
      <c r="G51" s="7">
        <v>1</v>
      </c>
      <c r="H51" s="22" t="s">
        <v>388</v>
      </c>
      <c r="I51" s="13">
        <v>42725.409548611111</v>
      </c>
      <c r="J51" s="7">
        <v>0</v>
      </c>
      <c r="K51" s="109" t="str">
        <f t="shared" si="24"/>
        <v>4019/4020</v>
      </c>
      <c r="L51" s="22" t="str">
        <f>VLOOKUP(A51,'Trips&amp;Operators'!$C$1:$G$99999,5,FALSE)</f>
        <v>COOLAHAN JOHN</v>
      </c>
      <c r="M51" s="6">
        <f t="shared" si="25"/>
        <v>2.6655092595319729E-2</v>
      </c>
      <c r="N51" s="7">
        <f t="shared" si="22"/>
        <v>38.38333333726041</v>
      </c>
      <c r="O51" s="7"/>
      <c r="P51" s="7"/>
      <c r="Q51" s="23"/>
      <c r="R51" s="23"/>
      <c r="S51" s="35">
        <f t="shared" si="23"/>
        <v>1</v>
      </c>
      <c r="T51" s="50" t="str">
        <f t="shared" si="26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08:04:04-700',mode:absolute,to:'2016-12-21 10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1" s="52" t="str">
        <f t="shared" si="27"/>
        <v>N</v>
      </c>
      <c r="X51" s="177">
        <f t="shared" si="21"/>
        <v>1</v>
      </c>
      <c r="Y51" s="67">
        <f t="shared" si="28"/>
        <v>23.299399999999999</v>
      </c>
      <c r="Z51" s="67">
        <f t="shared" si="29"/>
        <v>1.52E-2</v>
      </c>
      <c r="AA51" s="67">
        <f t="shared" si="30"/>
        <v>23.284199999999998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31"/>
        <v>0138-21</v>
      </c>
      <c r="AE51" s="91" t="str">
        <f t="shared" si="10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51" s="88" t="str">
        <f t="shared" si="11"/>
        <v>"C:\Program Files (x86)\AstroGrep\AstroGrep.exe" /spath="%USERPROFILE%\AppData\Local\Temp\OnboardLogs" /stypes="app*4019*20161221*" /stext=" 16:.+((SYSTEM_STATE.+slice.+state.+changed )|(ment ac)|(multiple cpu faults)|(system.+state.+changed )|(\[timeout)|(PRM\|1\|D)|(kpr)|(kdp)|(\|lc)|(penalty))" /e /r /s</v>
      </c>
      <c r="AG51" s="1" t="str">
        <f t="shared" si="32"/>
        <v>EC</v>
      </c>
      <c r="AH51" s="92" t="str">
        <f t="shared" si="15"/>
        <v>"%USERPROFILE%\Documents\GitHub\eaglep3\Utilities\RefineRTDCRunTimes.py" --tripid 138-21 --locoid 4019 --swversion DE.1.0.8.0 --startMP 204:232994 --initTime 2016-12-21T09:04:04 --startdatetime 2016-12-21T09:11:22 --delay 1 --endMP 204:152 --enddatetime 2016-12-21T09:49:45 --enforcementcount 0 &gt;&gt;C:\Users\stu\Documents\GitHub\eaglep3-reporting\EC\2016-12-21-refined-times.txt</v>
      </c>
      <c r="AI51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{"issue":{"subject":"","project_id":79,"tracker_id":40,"status_id":1,"priority_id":2,"assigned_to_id":23,"start_date":"2016-12-21","description":"","custom_fields":[{"id":1,"name":"Subdivision","value":"EC"},{"id":4,"name":"Milepost","value":"0.0152"},{"id":17,"name":"Train ID","value":"138-21"},{"id":16,"name":"Locomotive ID","value":"4019"},{"id":130,"name":"Impact","value":""},{"id":150,"name":"Time of Event (Mountain Time)","value":"09:49:45"},{"id":151,"name":"Denver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434</v>
      </c>
      <c r="B52" s="7">
        <v>4016</v>
      </c>
      <c r="C52" s="22" t="s">
        <v>205</v>
      </c>
      <c r="D52" s="22" t="s">
        <v>243</v>
      </c>
      <c r="E52" s="13">
        <v>42725.351550925923</v>
      </c>
      <c r="F52" s="13">
        <v>42725.354618055557</v>
      </c>
      <c r="G52" s="7">
        <v>1</v>
      </c>
      <c r="H52" s="22" t="s">
        <v>385</v>
      </c>
      <c r="I52" s="13">
        <v>42725.380254629628</v>
      </c>
      <c r="J52" s="7">
        <v>0</v>
      </c>
      <c r="K52" s="109" t="str">
        <f t="shared" si="24"/>
        <v>4015/4016</v>
      </c>
      <c r="L52" s="22" t="str">
        <f>VLOOKUP(A52,'Trips&amp;Operators'!$C$1:$G$99999,5,FALSE)</f>
        <v>BEAM ROSS</v>
      </c>
      <c r="M52" s="6">
        <f t="shared" si="25"/>
        <v>2.5636574071540963E-2</v>
      </c>
      <c r="N52" s="7">
        <f t="shared" si="22"/>
        <v>36.916666663018987</v>
      </c>
      <c r="O52" s="7"/>
      <c r="P52" s="7"/>
      <c r="Q52" s="23"/>
      <c r="R52" s="23"/>
      <c r="S52" s="35">
        <f t="shared" si="23"/>
        <v>1</v>
      </c>
      <c r="T52" s="50" t="str">
        <f t="shared" si="26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07:26:14-700',mode:absolute,to:'2016-12-21 10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2" s="52" t="str">
        <f t="shared" si="27"/>
        <v>N</v>
      </c>
      <c r="X52" s="177">
        <f t="shared" si="21"/>
        <v>1</v>
      </c>
      <c r="Y52" s="67">
        <f t="shared" si="28"/>
        <v>4.58E-2</v>
      </c>
      <c r="Z52" s="67">
        <f t="shared" si="29"/>
        <v>23.33</v>
      </c>
      <c r="AA52" s="67">
        <f t="shared" si="30"/>
        <v>23.284199999999998</v>
      </c>
      <c r="AB52" s="64" t="str">
        <f>VLOOKUP(A52,Enforcements!$C$7:$K$19,8,0)</f>
        <v>Bulletin (2)</v>
      </c>
      <c r="AC52" s="60" t="str">
        <f>VLOOKUP(A52,Enforcements!$C$7:$E$19,3,0)</f>
        <v>GRADE CROSSING</v>
      </c>
      <c r="AD52" s="61" t="str">
        <f t="shared" si="31"/>
        <v>0139-21</v>
      </c>
      <c r="AE52" s="91" t="str">
        <f t="shared" si="10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52" s="88" t="str">
        <f t="shared" si="11"/>
        <v>"C:\Program Files (x86)\AstroGrep\AstroGrep.exe" /spath="%USERPROFILE%\AppData\Local\Temp\OnboardLogs" /stypes="app*4016*20161221*" /stext=" 16:.+((SYSTEM_STATE.+slice.+state.+changed )|(ment ac)|(multiple cpu faults)|(system.+state.+changed )|(\[timeout)|(PRM\|1\|D)|(kpr)|(kdp)|(\|lc)|(penalty))" /e /r /s</v>
      </c>
      <c r="AG52" s="1" t="str">
        <f t="shared" si="32"/>
        <v>EC</v>
      </c>
      <c r="AH52" s="92" t="str">
        <f t="shared" si="15"/>
        <v>"%USERPROFILE%\Documents\GitHub\eaglep3\Utilities\RefineRTDCRunTimes.py" --tripid 139-21 --locoid 4016 --swversion DE.1.0.8.0 --startMP 204:458 --initTime 2016-12-21T08:26:14 --startdatetime 2016-12-21T08:30:39 --delay 1 --endMP 204:233300 --enddatetime 2016-12-21T09:07:34 --enforcementcount 0 &gt;&gt;C:\Users\stu\Documents\GitHub\eaglep3-reporting\EC\2016-12-21-refined-times.txt</v>
      </c>
      <c r="AI52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{"issue":{"subject":"","project_id":79,"tracker_id":40,"status_id":1,"priority_id":2,"assigned_to_id":23,"start_date":"2016-12-21","description":"","custom_fields":[{"id":1,"name":"Subdivision","value":"EC"},{"id":4,"name":"Milepost","value":"23.33"},{"id":17,"name":"Train ID","value":"139-21"},{"id":16,"name":"Locomotive ID","value":"4016"},{"id":130,"name":"Impact","value":""},{"id":150,"name":"Time of Event (Mountain Time)","value":"09:07:34"},{"id":151,"name":"Denver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523</v>
      </c>
      <c r="B53" s="7">
        <v>4015</v>
      </c>
      <c r="C53" s="22" t="s">
        <v>205</v>
      </c>
      <c r="D53" s="22" t="s">
        <v>346</v>
      </c>
      <c r="E53" s="13">
        <v>42725.389120370368</v>
      </c>
      <c r="F53" s="13">
        <v>42725.39334490741</v>
      </c>
      <c r="G53" s="7">
        <v>1</v>
      </c>
      <c r="H53" s="22" t="s">
        <v>235</v>
      </c>
      <c r="I53" s="13">
        <v>42725.422476851854</v>
      </c>
      <c r="J53" s="7">
        <v>0</v>
      </c>
      <c r="K53" s="109" t="str">
        <f t="shared" si="24"/>
        <v>4015/4016</v>
      </c>
      <c r="L53" s="22" t="str">
        <f>VLOOKUP(A53,'Trips&amp;Operators'!$C$1:$G$99999,5,FALSE)</f>
        <v>BEAM ROSS</v>
      </c>
      <c r="M53" s="6">
        <f t="shared" si="25"/>
        <v>2.9131944444088731E-2</v>
      </c>
      <c r="N53" s="7">
        <f t="shared" si="22"/>
        <v>41.949999999487773</v>
      </c>
      <c r="O53" s="7"/>
      <c r="P53" s="7"/>
      <c r="Q53" s="23"/>
      <c r="R53" s="23"/>
      <c r="S53" s="35">
        <f t="shared" si="23"/>
        <v>1</v>
      </c>
      <c r="T53" s="50" t="str">
        <f t="shared" si="26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08:20:20-700',mode:absolute,to:'2016-12-21 11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3" s="52" t="str">
        <f t="shared" si="27"/>
        <v>N</v>
      </c>
      <c r="X53" s="177">
        <f t="shared" si="21"/>
        <v>1</v>
      </c>
      <c r="Y53" s="67">
        <f t="shared" si="28"/>
        <v>23.298100000000002</v>
      </c>
      <c r="Z53" s="67">
        <f t="shared" si="29"/>
        <v>1.4500000000000001E-2</v>
      </c>
      <c r="AA53" s="67">
        <f t="shared" si="30"/>
        <v>23.2836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31"/>
        <v>0140-21</v>
      </c>
      <c r="AE53" s="91" t="str">
        <f t="shared" si="10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53" s="88" t="str">
        <f t="shared" si="11"/>
        <v>"C:\Program Files (x86)\AstroGrep\AstroGrep.exe" /spath="%USERPROFILE%\AppData\Local\Temp\OnboardLogs" /stypes="app*4015*20161221*" /stext=" 17:.+((SYSTEM_STATE.+slice.+state.+changed )|(ment ac)|(multiple cpu faults)|(system.+state.+changed )|(\[timeout)|(PRM\|1\|D)|(kpr)|(kdp)|(\|lc)|(penalty))" /e /r /s</v>
      </c>
      <c r="AG53" s="1" t="str">
        <f t="shared" si="32"/>
        <v>EC</v>
      </c>
      <c r="AH53" s="92" t="str">
        <f t="shared" si="15"/>
        <v>"%USERPROFILE%\Documents\GitHub\eaglep3\Utilities\RefineRTDCRunTimes.py" --tripid 140-21 --locoid 4015 --swversion DE.1.0.8.0 --startMP 204:232981 --initTime 2016-12-21T09:20:20 --startdatetime 2016-12-21T09:26:25 --delay 1 --endMP 204:145 --enddatetime 2016-12-21T10:08:22 --enforcementcount 0 &gt;&gt;C:\Users\stu\Documents\GitHub\eaglep3-reporting\EC\2016-12-21-refined-times.txt</v>
      </c>
      <c r="AI53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{"issue":{"subject":"","project_id":79,"tracker_id":40,"status_id":1,"priority_id":2,"assigned_to_id":23,"start_date":"2016-12-21","description":"","custom_fields":[{"id":1,"name":"Subdivision","value":"EC"},{"id":4,"name":"Milepost","value":"0.0145"},{"id":17,"name":"Train ID","value":"140-21"},{"id":16,"name":"Locomotive ID","value":"4015"},{"id":130,"name":"Impact","value":""},{"id":150,"name":"Time of Event (Mountain Time)","value":"10:08:22"},{"id":151,"name":"Denver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517</v>
      </c>
      <c r="B54" s="7">
        <v>4009</v>
      </c>
      <c r="C54" s="22" t="s">
        <v>205</v>
      </c>
      <c r="D54" s="22" t="s">
        <v>697</v>
      </c>
      <c r="E54" s="13">
        <v>42725.373692129629</v>
      </c>
      <c r="F54" s="13">
        <v>42725.374282407407</v>
      </c>
      <c r="G54" s="7">
        <v>0</v>
      </c>
      <c r="H54" s="22" t="s">
        <v>303</v>
      </c>
      <c r="I54" s="13">
        <v>42725.397407407407</v>
      </c>
      <c r="J54" s="7">
        <v>0</v>
      </c>
      <c r="K54" s="109" t="str">
        <f t="shared" si="24"/>
        <v>4009/4010</v>
      </c>
      <c r="L54" s="22" t="str">
        <f>VLOOKUP(A54,'Trips&amp;Operators'!$C$1:$G$99999,5,FALSE)</f>
        <v>ISHMAEL JOSEPH</v>
      </c>
      <c r="M54" s="6">
        <f t="shared" si="25"/>
        <v>2.3124999999708962E-2</v>
      </c>
      <c r="N54" s="7"/>
      <c r="O54" s="7"/>
      <c r="P54" s="7">
        <f>24*60*SUM($M54:$M55)</f>
        <v>35.166666662553325</v>
      </c>
      <c r="Q54" s="23"/>
      <c r="R54" s="23" t="s">
        <v>423</v>
      </c>
      <c r="S54" s="35">
        <f>SUM(U54:U55)/IF(AG54="EC",12,1)</f>
        <v>1</v>
      </c>
      <c r="T54" s="50" t="str">
        <f t="shared" si="26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07:58:07-700',mode:absolute,to:'2016-12-21 10:32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4" s="52" t="str">
        <f t="shared" si="27"/>
        <v>Y</v>
      </c>
      <c r="X54" s="177">
        <f t="shared" si="21"/>
        <v>1</v>
      </c>
      <c r="Y54" s="67">
        <f t="shared" si="28"/>
        <v>1.913</v>
      </c>
      <c r="Z54" s="67">
        <f t="shared" si="29"/>
        <v>23.329499999999999</v>
      </c>
      <c r="AA54" s="67">
        <f t="shared" si="30"/>
        <v>21.416499999999999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31"/>
        <v>0141-21</v>
      </c>
      <c r="AE54" s="91" t="str">
        <f t="shared" si="10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54" s="88" t="str">
        <f t="shared" si="11"/>
        <v>"C:\Program Files (x86)\AstroGrep\AstroGrep.exe" /spath="%USERPROFILE%\AppData\Local\Temp\OnboardLogs" /stypes="app*4009*20161221*" /stext=" 16:.+((SYSTEM_STATE.+slice.+state.+changed )|(ment ac)|(multiple cpu faults)|(system.+state.+changed )|(\[timeout)|(PRM\|1\|D)|(kpr)|(kdp)|(\|lc)|(penalty))" /e /r /s</v>
      </c>
      <c r="AG54" s="1" t="str">
        <f t="shared" si="32"/>
        <v>EC</v>
      </c>
      <c r="AH54" s="92" t="str">
        <f t="shared" si="15"/>
        <v>"%USERPROFILE%\Documents\GitHub\eaglep3\Utilities\RefineRTDCRunTimes.py" --tripid 141-21 --locoid 4009 --swversion DE.1.0.8.0 --startMP 204:19130 --initTime 2016-12-21T08:58:07 --startdatetime 2016-12-21T08:58:58 --delay 0 --endMP 204:233295 --enddatetime 2016-12-21T09:32:16 --enforcementcount 0 &gt;&gt;C:\Users\stu\Documents\GitHub\eaglep3-reporting\EC\2016-12-21-refined-times.txt</v>
      </c>
      <c r="AI54" s="119" t="str">
        <f t="shared" si="16"/>
        <v>echo {"issue":{"subject":"Onboard in-route failure","project_id":79,"tracker_id":40,"status_id":1,"priority_id":2,"assigned_to_id":23,"start_date":"2016-12-21","description":"","custom_fields":[{"id":1,"name":"Subdivision","value":"EC"},{"id":4,"name":"Milepost","value":"23.3295"},{"id":17,"name":"Train ID","value":"141-21"},{"id":16,"name":"Locomotive ID","value":"4009"},{"id":130,"name":"Impact","value":""},{"id":150,"name":"Time of Event (Mountain Time)","value":"09:32:16"},{"id":151,"name":"Denver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517</v>
      </c>
      <c r="B55" s="7">
        <v>4009</v>
      </c>
      <c r="C55" s="22" t="s">
        <v>205</v>
      </c>
      <c r="D55" s="22" t="s">
        <v>301</v>
      </c>
      <c r="E55" s="13">
        <v>42725.360879629632</v>
      </c>
      <c r="F55" s="13">
        <v>42725.36246527778</v>
      </c>
      <c r="G55" s="7">
        <v>2</v>
      </c>
      <c r="H55" s="22" t="s">
        <v>301</v>
      </c>
      <c r="I55" s="13">
        <v>42725.363761574074</v>
      </c>
      <c r="J55" s="7">
        <v>0</v>
      </c>
      <c r="K55" s="109" t="str">
        <f t="shared" si="24"/>
        <v>4009/4010</v>
      </c>
      <c r="L55" s="22" t="str">
        <f>VLOOKUP(A55,'Trips&amp;Operators'!$C$1:$G$99999,5,FALSE)</f>
        <v>ISHMAEL JOSEPH</v>
      </c>
      <c r="M55" s="6">
        <f t="shared" si="25"/>
        <v>1.2962962937308475E-3</v>
      </c>
      <c r="N55" s="7"/>
      <c r="O55" s="7"/>
      <c r="P55" s="7"/>
      <c r="Q55" s="23"/>
      <c r="R55" s="23"/>
      <c r="S55" s="35"/>
      <c r="T55" s="50" t="str">
        <f t="shared" si="26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07:39:40-700',mode:absolute,to:'2016-12-21 09:43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27"/>
        <v>Y</v>
      </c>
      <c r="X55" s="177">
        <f t="shared" si="21"/>
        <v>0</v>
      </c>
      <c r="Y55" s="67">
        <f t="shared" si="28"/>
        <v>4.6899999999999997E-2</v>
      </c>
      <c r="Z55" s="67">
        <f t="shared" si="29"/>
        <v>4.6899999999999997E-2</v>
      </c>
      <c r="AA55" s="67">
        <f t="shared" si="30"/>
        <v>0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31"/>
        <v>0141-21</v>
      </c>
      <c r="AE55" s="91" t="str">
        <f t="shared" si="10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55" s="88" t="str">
        <f t="shared" si="11"/>
        <v>"C:\Program Files (x86)\AstroGrep\AstroGrep.exe" /spath="%USERPROFILE%\AppData\Local\Temp\OnboardLogs" /stypes="app*4009*20161221*" /stext=" 15:.+((SYSTEM_STATE.+slice.+state.+changed )|(ment ac)|(multiple cpu faults)|(system.+state.+changed )|(\[timeout)|(PRM\|1\|D)|(kpr)|(kdp)|(\|lc)|(penalty))" /e /r /s</v>
      </c>
      <c r="AG55" s="1" t="str">
        <f t="shared" si="32"/>
        <v>EC</v>
      </c>
      <c r="AH55" s="92" t="str">
        <f t="shared" si="15"/>
        <v>"%USERPROFILE%\Documents\GitHub\eaglep3\Utilities\RefineRTDCRunTimes.py" --tripid 141-21 --locoid 4009 --swversion DE.1.0.8.0 --startMP 204:469 --initTime 2016-12-21T08:39:40 --startdatetime 2016-12-21T08:41:57 --delay 2 --endMP 204:469 --enddatetime 2016-12-21T08:43:49 --enforcementcount 0 &gt;&gt;C:\Users\stu\Documents\GitHub\eaglep3-reporting\EC\2016-12-21-refined-times.txt</v>
      </c>
      <c r="AI55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{"issue":{"subject":"","project_id":79,"tracker_id":40,"status_id":1,"priority_id":2,"assigned_to_id":23,"start_date":"2016-12-21","description":"","custom_fields":[{"id":1,"name":"Subdivision","value":"EC"},{"id":4,"name":"Milepost","value":"0.0469"},{"id":17,"name":"Train ID","value":"141-21"},{"id":16,"name":"Locomotive ID","value":"4009"},{"id":130,"name":"Impact","value":""},{"id":150,"name":"Time of Event (Mountain Time)","value":"08:43:49"},{"id":151,"name":"Denver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517</v>
      </c>
      <c r="B56" s="7">
        <v>4009</v>
      </c>
      <c r="C56" s="22" t="s">
        <v>205</v>
      </c>
      <c r="D56" s="22" t="s">
        <v>301</v>
      </c>
      <c r="E56" s="13">
        <v>42725.360879629632</v>
      </c>
      <c r="F56" s="13">
        <v>42725.363761574074</v>
      </c>
      <c r="G56" s="7">
        <v>4</v>
      </c>
      <c r="H56" s="22" t="s">
        <v>301</v>
      </c>
      <c r="I56" s="13">
        <v>42725.363761574074</v>
      </c>
      <c r="J56" s="7">
        <v>0</v>
      </c>
      <c r="K56" s="109" t="str">
        <f t="shared" si="24"/>
        <v>4009/4010</v>
      </c>
      <c r="L56" s="22" t="str">
        <f>VLOOKUP(A56,'Trips&amp;Operators'!$C$1:$G$99999,5,FALSE)</f>
        <v>ISHMAEL JOSEPH</v>
      </c>
      <c r="M56" s="6">
        <f t="shared" si="25"/>
        <v>0</v>
      </c>
      <c r="N56" s="7"/>
      <c r="O56" s="7"/>
      <c r="P56" s="7"/>
      <c r="Q56" s="23"/>
      <c r="R56" s="23"/>
      <c r="S56" s="35"/>
      <c r="T56" s="50" t="str">
        <f t="shared" si="26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0</v>
      </c>
      <c r="V5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07:39:40-700',mode:absolute,to:'2016-12-21 09:43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6" s="52" t="str">
        <f t="shared" si="27"/>
        <v>Y</v>
      </c>
      <c r="X56" s="177">
        <f t="shared" si="21"/>
        <v>0</v>
      </c>
      <c r="Y56" s="67">
        <f t="shared" si="28"/>
        <v>4.6899999999999997E-2</v>
      </c>
      <c r="Z56" s="67">
        <f t="shared" si="29"/>
        <v>4.6899999999999997E-2</v>
      </c>
      <c r="AA56" s="67">
        <f t="shared" si="30"/>
        <v>0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31"/>
        <v>0141-21</v>
      </c>
      <c r="AE56" s="91" t="str">
        <f t="shared" si="10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56" s="88" t="str">
        <f t="shared" si="11"/>
        <v>"C:\Program Files (x86)\AstroGrep\AstroGrep.exe" /spath="%USERPROFILE%\AppData\Local\Temp\OnboardLogs" /stypes="app*4009*20161221*" /stext=" 15:.+((SYSTEM_STATE.+slice.+state.+changed )|(ment ac)|(multiple cpu faults)|(system.+state.+changed )|(\[timeout)|(PRM\|1\|D)|(kpr)|(kdp)|(\|lc)|(penalty))" /e /r /s</v>
      </c>
      <c r="AG56" s="1" t="str">
        <f t="shared" si="32"/>
        <v>EC</v>
      </c>
      <c r="AH56" s="92" t="str">
        <f t="shared" si="15"/>
        <v>"%USERPROFILE%\Documents\GitHub\eaglep3\Utilities\RefineRTDCRunTimes.py" --tripid 141-21 --locoid 4009 --swversion DE.1.0.8.0 --startMP 204:469 --initTime 2016-12-21T08:39:40 --startdatetime 2016-12-21T08:43:49 --delay 4 --endMP 204:469 --enddatetime 2016-12-21T08:43:49 --enforcementcount 0 &gt;&gt;C:\Users\stu\Documents\GitHub\eaglep3-reporting\EC\2016-12-21-refined-times.txt</v>
      </c>
      <c r="AI56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{"issue":{"subject":"","project_id":79,"tracker_id":40,"status_id":1,"priority_id":2,"assigned_to_id":23,"start_date":"2016-12-21","description":"","custom_fields":[{"id":1,"name":"Subdivision","value":"EC"},{"id":4,"name":"Milepost","value":"0.0469"},{"id":17,"name":"Train ID","value":"141-21"},{"id":16,"name":"Locomotive ID","value":"4009"},{"id":130,"name":"Impact","value":""},{"id":150,"name":"Time of Event (Mountain Time)","value":"08:43:49"},{"id":151,"name":"Denver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527</v>
      </c>
      <c r="B57" s="7">
        <v>4010</v>
      </c>
      <c r="C57" s="22" t="s">
        <v>205</v>
      </c>
      <c r="D57" s="22" t="s">
        <v>402</v>
      </c>
      <c r="E57" s="13">
        <v>42725.399016203701</v>
      </c>
      <c r="F57" s="13">
        <v>42725.403703703705</v>
      </c>
      <c r="G57" s="7">
        <v>1</v>
      </c>
      <c r="H57" s="22" t="s">
        <v>278</v>
      </c>
      <c r="I57" s="13">
        <v>42725.434386574074</v>
      </c>
      <c r="J57" s="7">
        <v>0</v>
      </c>
      <c r="K57" s="109" t="str">
        <f t="shared" si="24"/>
        <v>4009/4010</v>
      </c>
      <c r="L57" s="22" t="str">
        <f>VLOOKUP(A57,'Trips&amp;Operators'!$C$1:$G$99999,5,FALSE)</f>
        <v>ISHMAEL JOSEPH</v>
      </c>
      <c r="M57" s="6">
        <f t="shared" si="25"/>
        <v>3.068287036876427E-2</v>
      </c>
      <c r="N57" s="7">
        <f t="shared" ref="N57:N88" si="33">24*60*SUM($M57:$M57)</f>
        <v>44.183333331020549</v>
      </c>
      <c r="O57" s="7"/>
      <c r="P57" s="7"/>
      <c r="Q57" s="23"/>
      <c r="R57" s="23"/>
      <c r="S57" s="35">
        <f t="shared" ref="S57:S88" si="34">SUM(U57:U57)/IF(AG57="EC",12,1)</f>
        <v>1</v>
      </c>
      <c r="T57" s="50" t="str">
        <f t="shared" si="26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08:34:35-700',mode:absolute,to:'2016-12-21 11:25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7" s="52" t="str">
        <f t="shared" si="27"/>
        <v>N</v>
      </c>
      <c r="X57" s="177">
        <f t="shared" si="21"/>
        <v>1</v>
      </c>
      <c r="Y57" s="67">
        <f t="shared" si="28"/>
        <v>23.298200000000001</v>
      </c>
      <c r="Z57" s="67">
        <f t="shared" si="29"/>
        <v>1.38E-2</v>
      </c>
      <c r="AA57" s="67">
        <f t="shared" si="30"/>
        <v>23.284400000000002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31"/>
        <v>0142-21</v>
      </c>
      <c r="AE57" s="91" t="str">
        <f t="shared" si="10"/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AF57" s="88" t="str">
        <f t="shared" si="11"/>
        <v>"C:\Program Files (x86)\AstroGrep\AstroGrep.exe" /spath="%USERPROFILE%\AppData\Local\Temp\OnboardLogs" /stypes="app*4010*20161221*" /stext=" 17:.+((SYSTEM_STATE.+slice.+state.+changed )|(ment ac)|(multiple cpu faults)|(system.+state.+changed )|(\[timeout)|(PRM\|1\|D)|(kpr)|(kdp)|(\|lc)|(penalty))" /e /r /s</v>
      </c>
      <c r="AG57" s="1" t="str">
        <f t="shared" si="32"/>
        <v>EC</v>
      </c>
      <c r="AH57" s="92" t="str">
        <f t="shared" si="15"/>
        <v>"%USERPROFILE%\Documents\GitHub\eaglep3\Utilities\RefineRTDCRunTimes.py" --tripid 142-21 --locoid 4010 --swversion DE.1.0.8.0 --startMP 204:232982 --initTime 2016-12-21T09:34:35 --startdatetime 2016-12-21T09:41:20 --delay 1 --endMP 204:138 --enddatetime 2016-12-21T10:25:31 --enforcementcount 0 &gt;&gt;C:\Users\stu\Documents\GitHub\eaglep3-reporting\EC\2016-12-21-refined-times.txt</v>
      </c>
      <c r="AI57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{"issue":{"subject":"","project_id":79,"tracker_id":40,"status_id":1,"priority_id":2,"assigned_to_id":23,"start_date":"2016-12-21","description":"","custom_fields":[{"id":1,"name":"Subdivision","value":"EC"},{"id":4,"name":"Milepost","value":"0.0138"},{"id":17,"name":"Train ID","value":"142-21"},{"id":16,"name":"Locomotive ID","value":"4010"},{"id":130,"name":"Impact","value":""},{"id":150,"name":"Time of Event (Mountain Time)","value":"10:25:31"},{"id":151,"name":"Denver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519</v>
      </c>
      <c r="B58" s="7">
        <v>4042</v>
      </c>
      <c r="C58" s="22" t="s">
        <v>205</v>
      </c>
      <c r="D58" s="22" t="s">
        <v>228</v>
      </c>
      <c r="E58" s="13">
        <v>42725.372974537036</v>
      </c>
      <c r="F58" s="13">
        <v>42725.375925925924</v>
      </c>
      <c r="G58" s="7">
        <v>2</v>
      </c>
      <c r="H58" s="22" t="s">
        <v>288</v>
      </c>
      <c r="I58" s="13">
        <v>42725.407997685186</v>
      </c>
      <c r="J58" s="7">
        <v>0</v>
      </c>
      <c r="K58" s="109" t="str">
        <f t="shared" si="24"/>
        <v>4041/4042</v>
      </c>
      <c r="L58" s="22" t="str">
        <f>VLOOKUP(A58,'Trips&amp;Operators'!$C$1:$G$99999,5,FALSE)</f>
        <v>DAVIDSON DAVID</v>
      </c>
      <c r="M58" s="6">
        <f t="shared" si="25"/>
        <v>3.2071759262180422E-2</v>
      </c>
      <c r="N58" s="7">
        <f t="shared" si="33"/>
        <v>46.183333337539807</v>
      </c>
      <c r="O58" s="7"/>
      <c r="P58" s="7"/>
      <c r="Q58" s="23"/>
      <c r="R58" s="23"/>
      <c r="S58" s="35">
        <f t="shared" si="34"/>
        <v>1</v>
      </c>
      <c r="T58" s="50" t="str">
        <f t="shared" si="26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07:57:05-700',mode:absolute,to:'2016-12-21 10:47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8" s="52" t="str">
        <f t="shared" si="27"/>
        <v>N</v>
      </c>
      <c r="X58" s="177">
        <f t="shared" si="21"/>
        <v>1</v>
      </c>
      <c r="Y58" s="67">
        <f t="shared" si="28"/>
        <v>4.5499999999999999E-2</v>
      </c>
      <c r="Z58" s="67">
        <f t="shared" si="29"/>
        <v>23.329799999999999</v>
      </c>
      <c r="AA58" s="67">
        <f t="shared" si="30"/>
        <v>23.284299999999998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31"/>
        <v>0143-21</v>
      </c>
      <c r="AE58" s="91" t="str">
        <f t="shared" si="10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58" s="88" t="str">
        <f t="shared" si="11"/>
        <v>"C:\Program Files (x86)\AstroGrep\AstroGrep.exe" /spath="%USERPROFILE%\AppData\Local\Temp\OnboardLogs" /stypes="app*4042*20161221*" /stext=" 16:.+((SYSTEM_STATE.+slice.+state.+changed )|(ment ac)|(multiple cpu faults)|(system.+state.+changed )|(\[timeout)|(PRM\|1\|D)|(kpr)|(kdp)|(\|lc)|(penalty))" /e /r /s</v>
      </c>
      <c r="AG58" s="1" t="str">
        <f t="shared" si="32"/>
        <v>EC</v>
      </c>
      <c r="AH58" s="92" t="str">
        <f t="shared" si="15"/>
        <v>"%USERPROFILE%\Documents\GitHub\eaglep3\Utilities\RefineRTDCRunTimes.py" --tripid 143-21 --locoid 4042 --swversion DE.1.0.8.0 --startMP 204:455 --initTime 2016-12-21T08:57:05 --startdatetime 2016-12-21T09:01:20 --delay 2 --endMP 204:233298 --enddatetime 2016-12-21T09:47:31 --enforcementcount 0 &gt;&gt;C:\Users\stu\Documents\GitHub\eaglep3-reporting\EC\2016-12-21-refined-times.txt</v>
      </c>
      <c r="AI58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{"issue":{"subject":"","project_id":79,"tracker_id":40,"status_id":1,"priority_id":2,"assigned_to_id":23,"start_date":"2016-12-21","description":"","custom_fields":[{"id":1,"name":"Subdivision","value":"EC"},{"id":4,"name":"Milepost","value":"23.3298"},{"id":17,"name":"Train ID","value":"143-21"},{"id":16,"name":"Locomotive ID","value":"4042"},{"id":130,"name":"Impact","value":""},{"id":150,"name":"Time of Event (Mountain Time)","value":"09:47:31"},{"id":151,"name":"Denver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529</v>
      </c>
      <c r="B59" s="7">
        <v>4041</v>
      </c>
      <c r="C59" s="22" t="s">
        <v>205</v>
      </c>
      <c r="D59" s="22" t="s">
        <v>698</v>
      </c>
      <c r="E59" s="13">
        <v>42725.41097222222</v>
      </c>
      <c r="F59" s="13">
        <v>42725.414270833331</v>
      </c>
      <c r="G59" s="7">
        <v>1</v>
      </c>
      <c r="H59" s="22" t="s">
        <v>388</v>
      </c>
      <c r="I59" s="13">
        <v>42725.443391203706</v>
      </c>
      <c r="J59" s="7">
        <v>0</v>
      </c>
      <c r="K59" s="109" t="str">
        <f t="shared" si="24"/>
        <v>4041/4042</v>
      </c>
      <c r="L59" s="22" t="str">
        <f>VLOOKUP(A59,'Trips&amp;Operators'!$C$1:$G$99999,5,FALSE)</f>
        <v>DAVIDSON DAVID</v>
      </c>
      <c r="M59" s="6">
        <f t="shared" si="25"/>
        <v>2.9120370374585036E-2</v>
      </c>
      <c r="N59" s="7">
        <f t="shared" si="33"/>
        <v>41.933333339402452</v>
      </c>
      <c r="O59" s="7"/>
      <c r="P59" s="7"/>
      <c r="Q59" s="23"/>
      <c r="R59" s="23"/>
      <c r="S59" s="35">
        <f t="shared" si="34"/>
        <v>1</v>
      </c>
      <c r="T59" s="50" t="str">
        <f t="shared" si="26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08:51:48-700',mode:absolute,to:'2016-12-21 11:38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9" s="52" t="str">
        <f t="shared" si="27"/>
        <v>N</v>
      </c>
      <c r="X59" s="177">
        <f t="shared" si="21"/>
        <v>1</v>
      </c>
      <c r="Y59" s="67">
        <f t="shared" si="28"/>
        <v>23.2987</v>
      </c>
      <c r="Z59" s="67">
        <f t="shared" si="29"/>
        <v>1.52E-2</v>
      </c>
      <c r="AA59" s="67">
        <f t="shared" si="30"/>
        <v>23.2835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31"/>
        <v>0144-21</v>
      </c>
      <c r="AE59" s="91" t="str">
        <f t="shared" si="10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59" s="88" t="str">
        <f t="shared" si="11"/>
        <v>"C:\Program Files (x86)\AstroGrep\AstroGrep.exe" /spath="%USERPROFILE%\AppData\Local\Temp\OnboardLogs" /stypes="app*4041*20161221*" /stext=" 17:.+((SYSTEM_STATE.+slice.+state.+changed )|(ment ac)|(multiple cpu faults)|(system.+state.+changed )|(\[timeout)|(PRM\|1\|D)|(kpr)|(kdp)|(\|lc)|(penalty))" /e /r /s</v>
      </c>
      <c r="AG59" s="1" t="str">
        <f t="shared" si="32"/>
        <v>EC</v>
      </c>
      <c r="AH59" s="92" t="str">
        <f t="shared" si="15"/>
        <v>"%USERPROFILE%\Documents\GitHub\eaglep3\Utilities\RefineRTDCRunTimes.py" --tripid 144-21 --locoid 4041 --swversion DE.1.0.8.0 --startMP 204:232987 --initTime 2016-12-21T09:51:48 --startdatetime 2016-12-21T09:56:33 --delay 1 --endMP 204:152 --enddatetime 2016-12-21T10:38:29 --enforcementcount 0 &gt;&gt;C:\Users\stu\Documents\GitHub\eaglep3-reporting\EC\2016-12-21-refined-times.txt</v>
      </c>
      <c r="AI59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{"issue":{"subject":"","project_id":79,"tracker_id":40,"status_id":1,"priority_id":2,"assigned_to_id":23,"start_date":"2016-12-21","description":"","custom_fields":[{"id":1,"name":"Subdivision","value":"EC"},{"id":4,"name":"Milepost","value":"0.0152"},{"id":17,"name":"Train ID","value":"144-21"},{"id":16,"name":"Locomotive ID","value":"4041"},{"id":130,"name":"Impact","value":""},{"id":150,"name":"Time of Event (Mountain Time)","value":"10:38:29"},{"id":151,"name":"Denver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522</v>
      </c>
      <c r="B60" s="7">
        <v>4044</v>
      </c>
      <c r="C60" s="22" t="s">
        <v>205</v>
      </c>
      <c r="D60" s="22" t="s">
        <v>257</v>
      </c>
      <c r="E60" s="13">
        <v>42725.381712962961</v>
      </c>
      <c r="F60" s="13">
        <v>42725.385706018518</v>
      </c>
      <c r="G60" s="7">
        <v>1</v>
      </c>
      <c r="H60" s="22" t="s">
        <v>303</v>
      </c>
      <c r="I60" s="13">
        <v>42725.411412037036</v>
      </c>
      <c r="J60" s="7">
        <v>0</v>
      </c>
      <c r="K60" s="109" t="str">
        <f t="shared" si="24"/>
        <v>4043/4044</v>
      </c>
      <c r="L60" s="22" t="str">
        <f>VLOOKUP(A60,'Trips&amp;Operators'!$C$1:$G$99999,5,FALSE)</f>
        <v>MAGEE KENYA</v>
      </c>
      <c r="M60" s="6">
        <f t="shared" si="25"/>
        <v>2.5706018517666962E-2</v>
      </c>
      <c r="N60" s="7">
        <f t="shared" si="33"/>
        <v>37.016666665440425</v>
      </c>
      <c r="O60" s="7"/>
      <c r="P60" s="7"/>
      <c r="Q60" s="23"/>
      <c r="R60" s="23"/>
      <c r="S60" s="35">
        <f t="shared" si="34"/>
        <v>1</v>
      </c>
      <c r="T60" s="50" t="str">
        <f t="shared" si="26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08:09:40-700',mode:absolute,to:'2016-12-21 10:52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0" s="52" t="str">
        <f t="shared" si="27"/>
        <v>N</v>
      </c>
      <c r="X60" s="177">
        <f t="shared" si="21"/>
        <v>1</v>
      </c>
      <c r="Y60" s="67">
        <f t="shared" si="28"/>
        <v>4.6399999999999997E-2</v>
      </c>
      <c r="Z60" s="67">
        <f t="shared" si="29"/>
        <v>23.329499999999999</v>
      </c>
      <c r="AA60" s="67">
        <f t="shared" si="30"/>
        <v>23.283100000000001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31"/>
        <v>0145-21</v>
      </c>
      <c r="AE60" s="91" t="str">
        <f t="shared" si="10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60" s="88" t="str">
        <f t="shared" si="11"/>
        <v>"C:\Program Files (x86)\AstroGrep\AstroGrep.exe" /spath="%USERPROFILE%\AppData\Local\Temp\OnboardLogs" /stypes="app*4044*20161221*" /stext=" 16:.+((SYSTEM_STATE.+slice.+state.+changed )|(ment ac)|(multiple cpu faults)|(system.+state.+changed )|(\[timeout)|(PRM\|1\|D)|(kpr)|(kdp)|(\|lc)|(penalty))" /e /r /s</v>
      </c>
      <c r="AG60" s="1" t="str">
        <f t="shared" si="32"/>
        <v>EC</v>
      </c>
      <c r="AH60" s="92" t="str">
        <f t="shared" si="15"/>
        <v>"%USERPROFILE%\Documents\GitHub\eaglep3\Utilities\RefineRTDCRunTimes.py" --tripid 145-21 --locoid 4044 --swversion DE.1.0.8.0 --startMP 204:464 --initTime 2016-12-21T09:09:40 --startdatetime 2016-12-21T09:15:25 --delay 1 --endMP 204:233295 --enddatetime 2016-12-21T09:52:26 --enforcementcount 0 &gt;&gt;C:\Users\stu\Documents\GitHub\eaglep3-reporting\EC\2016-12-21-refined-times.txt</v>
      </c>
      <c r="AI60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{"issue":{"subject":"","project_id":79,"tracker_id":40,"status_id":1,"priority_id":2,"assigned_to_id":23,"start_date":"2016-12-21","description":"","custom_fields":[{"id":1,"name":"Subdivision","value":"EC"},{"id":4,"name":"Milepost","value":"23.3295"},{"id":17,"name":"Train ID","value":"145-21"},{"id":16,"name":"Locomotive ID","value":"4044"},{"id":130,"name":"Impact","value":""},{"id":150,"name":"Time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531</v>
      </c>
      <c r="B61" s="7">
        <v>4043</v>
      </c>
      <c r="C61" s="22" t="s">
        <v>205</v>
      </c>
      <c r="D61" s="22" t="s">
        <v>692</v>
      </c>
      <c r="E61" s="13">
        <v>42725.415543981479</v>
      </c>
      <c r="F61" s="13">
        <v>42725.42454861111</v>
      </c>
      <c r="G61" s="7">
        <v>5</v>
      </c>
      <c r="H61" s="22" t="s">
        <v>699</v>
      </c>
      <c r="I61" s="13">
        <v>42725.451585648145</v>
      </c>
      <c r="J61" s="7">
        <v>0</v>
      </c>
      <c r="K61" s="109" t="str">
        <f t="shared" si="24"/>
        <v>4043/4044</v>
      </c>
      <c r="L61" s="22" t="str">
        <f>VLOOKUP(A61,'Trips&amp;Operators'!$C$1:$G$99999,5,FALSE)</f>
        <v>MAGEE KENYA</v>
      </c>
      <c r="M61" s="6">
        <f t="shared" si="25"/>
        <v>2.7037037034460809E-2</v>
      </c>
      <c r="N61" s="7">
        <f t="shared" si="33"/>
        <v>38.933333329623565</v>
      </c>
      <c r="O61" s="7"/>
      <c r="P61" s="7"/>
      <c r="Q61" s="23"/>
      <c r="R61" s="23"/>
      <c r="S61" s="35">
        <f t="shared" si="34"/>
        <v>1</v>
      </c>
      <c r="T61" s="50" t="str">
        <f t="shared" si="26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08:58:23-700',mode:absolute,to:'2016-12-21 11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1" s="52" t="str">
        <f t="shared" si="27"/>
        <v>N</v>
      </c>
      <c r="X61" s="177">
        <f t="shared" si="21"/>
        <v>1</v>
      </c>
      <c r="Y61" s="67">
        <f t="shared" si="28"/>
        <v>23.299199999999999</v>
      </c>
      <c r="Z61" s="67">
        <f t="shared" si="29"/>
        <v>1.23E-2</v>
      </c>
      <c r="AA61" s="67">
        <f t="shared" si="30"/>
        <v>23.286899999999999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31"/>
        <v>0146-21</v>
      </c>
      <c r="AE61" s="91" t="str">
        <f t="shared" si="10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61" s="88" t="str">
        <f t="shared" si="11"/>
        <v>"C:\Program Files (x86)\AstroGrep\AstroGrep.exe" /spath="%USERPROFILE%\AppData\Local\Temp\OnboardLogs" /stypes="app*4043*20161221*" /stext=" 17:.+((SYSTEM_STATE.+slice.+state.+changed )|(ment ac)|(multiple cpu faults)|(system.+state.+changed )|(\[timeout)|(PRM\|1\|D)|(kpr)|(kdp)|(\|lc)|(penalty))" /e /r /s</v>
      </c>
      <c r="AG61" s="1" t="str">
        <f t="shared" si="32"/>
        <v>EC</v>
      </c>
      <c r="AH61" s="92" t="str">
        <f t="shared" si="15"/>
        <v>"%USERPROFILE%\Documents\GitHub\eaglep3\Utilities\RefineRTDCRunTimes.py" --tripid 146-21 --locoid 4043 --swversion DE.1.0.8.0 --startMP 204:232992 --initTime 2016-12-21T09:58:23 --startdatetime 2016-12-21T10:11:21 --delay 5 --endMP 204:123 --enddatetime 2016-12-21T10:50:17 --enforcementcount 0 &gt;&gt;C:\Users\stu\Documents\GitHub\eaglep3-reporting\EC\2016-12-21-refined-times.txt</v>
      </c>
      <c r="AI61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{"issue":{"subject":"","project_id":79,"tracker_id":40,"status_id":1,"priority_id":2,"assigned_to_id":23,"start_date":"2016-12-21","description":"","custom_fields":[{"id":1,"name":"Subdivision","value":"EC"},{"id":4,"name":"Milepost","value":"0.0123"},{"id":17,"name":"Train ID","value":"146-21"},{"id":16,"name":"Locomotive ID","value":"4043"},{"id":130,"name":"Impact","value":""},{"id":150,"name":"Time of Event (Mountain Time)","value":"10:50:17"},{"id":151,"name":"Denver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437</v>
      </c>
      <c r="B62" s="7">
        <v>4027</v>
      </c>
      <c r="C62" s="22" t="s">
        <v>205</v>
      </c>
      <c r="D62" s="22" t="s">
        <v>243</v>
      </c>
      <c r="E62" s="13">
        <v>42725.392523148148</v>
      </c>
      <c r="F62" s="13">
        <v>42725.396087962959</v>
      </c>
      <c r="G62" s="7">
        <v>5</v>
      </c>
      <c r="H62" s="22" t="s">
        <v>396</v>
      </c>
      <c r="I62" s="13">
        <v>42725.421400462961</v>
      </c>
      <c r="J62" s="7">
        <v>0</v>
      </c>
      <c r="K62" s="109" t="str">
        <f t="shared" si="24"/>
        <v>4027/4028</v>
      </c>
      <c r="L62" s="22" t="str">
        <f>VLOOKUP(A62,'Trips&amp;Operators'!$C$1:$G$99999,5,FALSE)</f>
        <v>GEBRETEKLE DAGNEW</v>
      </c>
      <c r="M62" s="6">
        <f t="shared" si="25"/>
        <v>2.531250000174623E-2</v>
      </c>
      <c r="N62" s="7">
        <f t="shared" si="33"/>
        <v>36.450000002514571</v>
      </c>
      <c r="O62" s="7"/>
      <c r="P62" s="7"/>
      <c r="Q62" s="23"/>
      <c r="R62" s="23"/>
      <c r="S62" s="35">
        <f t="shared" si="34"/>
        <v>1</v>
      </c>
      <c r="T62" s="50" t="str">
        <f t="shared" si="26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08:25:14-700',mode:absolute,to:'2016-12-21 11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2" s="52" t="str">
        <f t="shared" si="27"/>
        <v>N</v>
      </c>
      <c r="X62" s="177">
        <f t="shared" si="21"/>
        <v>1</v>
      </c>
      <c r="Y62" s="67">
        <f t="shared" si="28"/>
        <v>4.58E-2</v>
      </c>
      <c r="Z62" s="67">
        <f t="shared" si="29"/>
        <v>23.330200000000001</v>
      </c>
      <c r="AA62" s="67">
        <f t="shared" si="30"/>
        <v>23.284400000000002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31"/>
        <v>0147-21</v>
      </c>
      <c r="AE62" s="91" t="str">
        <f t="shared" si="10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62" s="88" t="str">
        <f t="shared" si="11"/>
        <v>"C:\Program Files (x86)\AstroGrep\AstroGrep.exe" /spath="%USERPROFILE%\AppData\Local\Temp\OnboardLogs" /stypes="app*4027*20161221*" /stext=" 17:.+((SYSTEM_STATE.+slice.+state.+changed )|(ment ac)|(multiple cpu faults)|(system.+state.+changed )|(\[timeout)|(PRM\|1\|D)|(kpr)|(kdp)|(\|lc)|(penalty))" /e /r /s</v>
      </c>
      <c r="AG62" s="1" t="str">
        <f t="shared" si="32"/>
        <v>EC</v>
      </c>
      <c r="AH62" s="92" t="str">
        <f t="shared" si="15"/>
        <v>"%USERPROFILE%\Documents\GitHub\eaglep3\Utilities\RefineRTDCRunTimes.py" --tripid 147-21 --locoid 4027 --swversion DE.1.0.8.0 --startMP 204:458 --initTime 2016-12-21T09:25:14 --startdatetime 2016-12-21T09:30:22 --delay 5 --endMP 204:233302 --enddatetime 2016-12-21T10:06:49 --enforcementcount 0 &gt;&gt;C:\Users\stu\Documents\GitHub\eaglep3-reporting\EC\2016-12-21-refined-times.txt</v>
      </c>
      <c r="AI62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{"issue":{"subject":"","project_id":79,"tracker_id":40,"status_id":1,"priority_id":2,"assigned_to_id":23,"start_date":"2016-12-21","description":"","custom_fields":[{"id":1,"name":"Subdivision","value":"EC"},{"id":4,"name":"Milepost","value":"23.3302"},{"id":17,"name":"Train ID","value":"147-21"},{"id":16,"name":"Locomotive ID","value":"4027"},{"id":130,"name":"Impact","value":""},{"id":150,"name":"Time of Event (Mountain Time)","value":"10:06:49"},{"id":151,"name":"Denver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533</v>
      </c>
      <c r="B63" s="7">
        <v>4028</v>
      </c>
      <c r="C63" s="22" t="s">
        <v>205</v>
      </c>
      <c r="D63" s="22" t="s">
        <v>698</v>
      </c>
      <c r="E63" s="13">
        <v>42725.429398148146</v>
      </c>
      <c r="F63" s="13">
        <v>42725.434918981482</v>
      </c>
      <c r="G63" s="7">
        <v>1</v>
      </c>
      <c r="H63" s="22" t="s">
        <v>224</v>
      </c>
      <c r="I63" s="13">
        <v>42725.461446759262</v>
      </c>
      <c r="J63" s="7">
        <v>0</v>
      </c>
      <c r="K63" s="109" t="str">
        <f t="shared" si="24"/>
        <v>4027/4028</v>
      </c>
      <c r="L63" s="22" t="str">
        <f>VLOOKUP(A63,'Trips&amp;Operators'!$C$1:$G$99999,5,FALSE)</f>
        <v>GEBRETEKLE DAGNEW</v>
      </c>
      <c r="M63" s="6">
        <f t="shared" si="25"/>
        <v>2.6527777779847383E-2</v>
      </c>
      <c r="N63" s="7">
        <f t="shared" si="33"/>
        <v>38.200000002980232</v>
      </c>
      <c r="O63" s="7"/>
      <c r="P63" s="7"/>
      <c r="Q63" s="23"/>
      <c r="R63" s="23"/>
      <c r="S63" s="35">
        <f t="shared" si="34"/>
        <v>1</v>
      </c>
      <c r="T63" s="50" t="str">
        <f t="shared" si="26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09:18:20-700',mode:absolute,to:'2016-12-21 12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3" s="52" t="str">
        <f t="shared" si="27"/>
        <v>N</v>
      </c>
      <c r="X63" s="177">
        <f t="shared" ref="X63:X94" si="35">VALUE(LEFT(AD63,4))-VALUE(LEFT(AD62,4))</f>
        <v>1</v>
      </c>
      <c r="Y63" s="67">
        <f t="shared" si="28"/>
        <v>23.2987</v>
      </c>
      <c r="Z63" s="67">
        <f t="shared" si="29"/>
        <v>1.54E-2</v>
      </c>
      <c r="AA63" s="67">
        <f t="shared" si="30"/>
        <v>23.283300000000001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31"/>
        <v>0148-21</v>
      </c>
      <c r="AE63" s="91" t="str">
        <f t="shared" si="10"/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63" s="88" t="str">
        <f t="shared" si="11"/>
        <v>"C:\Program Files (x86)\AstroGrep\AstroGrep.exe" /spath="%USERPROFILE%\AppData\Local\Temp\OnboardLogs" /stypes="app*4028*20161221*" /stext=" 18:.+((SYSTEM_STATE.+slice.+state.+changed )|(ment ac)|(multiple cpu faults)|(system.+state.+changed )|(\[timeout)|(PRM\|1\|D)|(kpr)|(kdp)|(\|lc)|(penalty))" /e /r /s</v>
      </c>
      <c r="AG63" s="1" t="str">
        <f t="shared" si="32"/>
        <v>EC</v>
      </c>
      <c r="AH63" s="92" t="str">
        <f t="shared" si="15"/>
        <v>"%USERPROFILE%\Documents\GitHub\eaglep3\Utilities\RefineRTDCRunTimes.py" --tripid 148-21 --locoid 4028 --swversion DE.1.0.8.0 --startMP 204:232987 --initTime 2016-12-21T10:18:20 --startdatetime 2016-12-21T10:26:17 --delay 1 --endMP 204:154 --enddatetime 2016-12-21T11:04:29 --enforcementcount 0 &gt;&gt;C:\Users\stu\Documents\GitHub\eaglep3-reporting\EC\2016-12-21-refined-times.txt</v>
      </c>
      <c r="AI63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{"issue":{"subject":"","project_id":79,"tracker_id":40,"status_id":1,"priority_id":2,"assigned_to_id":23,"start_date":"2016-12-21","description":"","custom_fields":[{"id":1,"name":"Subdivision","value":"EC"},{"id":4,"name":"Milepost","value":"0.0154"},{"id":17,"name":"Train ID","value":"148-21"},{"id":16,"name":"Locomotive ID","value":"4028"},{"id":130,"name":"Impact","value":""},{"id":150,"name":"Time of Event (Mountain Time)","value":"11:04:29"},{"id":151,"name":"Denver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528</v>
      </c>
      <c r="B64" s="7">
        <v>4003</v>
      </c>
      <c r="C64" s="22" t="s">
        <v>205</v>
      </c>
      <c r="D64" s="22" t="s">
        <v>243</v>
      </c>
      <c r="E64" s="13">
        <v>42725.401967592596</v>
      </c>
      <c r="F64" s="13">
        <v>42725.406412037039</v>
      </c>
      <c r="G64" s="7">
        <v>1</v>
      </c>
      <c r="H64" s="22" t="s">
        <v>357</v>
      </c>
      <c r="I64" s="13">
        <v>42725.431064814817</v>
      </c>
      <c r="J64" s="7">
        <v>0</v>
      </c>
      <c r="K64" s="109" t="str">
        <f t="shared" si="24"/>
        <v>4003/4004</v>
      </c>
      <c r="L64" s="22" t="str">
        <f>VLOOKUP(A64,'Trips&amp;Operators'!$C$1:$G$99999,5,FALSE)</f>
        <v>BONDS REYNALDO</v>
      </c>
      <c r="M64" s="6">
        <f t="shared" si="25"/>
        <v>2.4652777778101154E-2</v>
      </c>
      <c r="N64" s="7">
        <f t="shared" si="33"/>
        <v>35.500000000465661</v>
      </c>
      <c r="O64" s="7"/>
      <c r="P64" s="7"/>
      <c r="Q64" s="23"/>
      <c r="R64" s="23"/>
      <c r="S64" s="35">
        <f t="shared" si="34"/>
        <v>1</v>
      </c>
      <c r="T64" s="50" t="str">
        <f t="shared" si="26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08:38:50-700',mode:absolute,to:'2016-12-21 11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4" s="52" t="str">
        <f t="shared" si="27"/>
        <v>N</v>
      </c>
      <c r="X64" s="177">
        <f t="shared" si="35"/>
        <v>1</v>
      </c>
      <c r="Y64" s="67">
        <f t="shared" si="28"/>
        <v>4.58E-2</v>
      </c>
      <c r="Z64" s="67">
        <f t="shared" si="29"/>
        <v>23.329699999999999</v>
      </c>
      <c r="AA64" s="67">
        <f t="shared" si="30"/>
        <v>23.283899999999999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31"/>
        <v>0149-21</v>
      </c>
      <c r="AE64" s="91" t="str">
        <f t="shared" si="10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64" s="88" t="str">
        <f t="shared" si="11"/>
        <v>"C:\Program Files (x86)\AstroGrep\AstroGrep.exe" /spath="%USERPROFILE%\AppData\Local\Temp\OnboardLogs" /stypes="app*4003*20161221*" /stext=" 17:.+((SYSTEM_STATE.+slice.+state.+changed )|(ment ac)|(multiple cpu faults)|(system.+state.+changed )|(\[timeout)|(PRM\|1\|D)|(kpr)|(kdp)|(\|lc)|(penalty))" /e /r /s</v>
      </c>
      <c r="AG64" s="1" t="str">
        <f t="shared" si="32"/>
        <v>EC</v>
      </c>
      <c r="AH64" s="92" t="str">
        <f t="shared" si="15"/>
        <v>"%USERPROFILE%\Documents\GitHub\eaglep3\Utilities\RefineRTDCRunTimes.py" --tripid 149-21 --locoid 4003 --swversion DE.1.0.8.0 --startMP 204:458 --initTime 2016-12-21T09:38:50 --startdatetime 2016-12-21T09:45:14 --delay 1 --endMP 204:233297 --enddatetime 2016-12-21T10:20:44 --enforcementcount 0 &gt;&gt;C:\Users\stu\Documents\GitHub\eaglep3-reporting\EC\2016-12-21-refined-times.txt</v>
      </c>
      <c r="AI64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{"issue":{"subject":"","project_id":79,"tracker_id":40,"status_id":1,"priority_id":2,"assigned_to_id":23,"start_date":"2016-12-21","description":"","custom_fields":[{"id":1,"name":"Subdivision","value":"EC"},{"id":4,"name":"Milepost","value":"23.3297"},{"id":17,"name":"Train ID","value":"149-21"},{"id":16,"name":"Locomotive ID","value":"4003"},{"id":130,"name":"Impact","value":""},{"id":150,"name":"Time of Event (Mountain Time)","value":"10:20:44"},{"id":151,"name":"Denver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534</v>
      </c>
      <c r="B65" s="7">
        <v>4004</v>
      </c>
      <c r="C65" s="22" t="s">
        <v>205</v>
      </c>
      <c r="D65" s="22" t="s">
        <v>352</v>
      </c>
      <c r="E65" s="13">
        <v>42725.432800925926</v>
      </c>
      <c r="F65" s="13">
        <v>42725.445474537039</v>
      </c>
      <c r="G65" s="7">
        <v>1</v>
      </c>
      <c r="H65" s="22" t="s">
        <v>269</v>
      </c>
      <c r="I65" s="13">
        <v>42725.472997685189</v>
      </c>
      <c r="J65" s="7">
        <v>0</v>
      </c>
      <c r="K65" s="109" t="str">
        <f t="shared" si="24"/>
        <v>4003/4004</v>
      </c>
      <c r="L65" s="22" t="str">
        <f>VLOOKUP(A65,'Trips&amp;Operators'!$C$1:$G$99999,5,FALSE)</f>
        <v>BONDS REYNALDO</v>
      </c>
      <c r="M65" s="6">
        <f t="shared" si="25"/>
        <v>2.7523148150066845E-2</v>
      </c>
      <c r="N65" s="7">
        <f t="shared" si="33"/>
        <v>39.633333336096257</v>
      </c>
      <c r="O65" s="7"/>
      <c r="P65" s="7"/>
      <c r="Q65" s="23"/>
      <c r="R65" s="23"/>
      <c r="S65" s="35">
        <f t="shared" si="34"/>
        <v>1</v>
      </c>
      <c r="T65" s="50" t="str">
        <f t="shared" si="26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09:23:14-700',mode:absolute,to:'2016-12-21 12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5" s="52" t="str">
        <f t="shared" si="27"/>
        <v>N</v>
      </c>
      <c r="X65" s="177">
        <f t="shared" si="35"/>
        <v>1</v>
      </c>
      <c r="Y65" s="67">
        <f t="shared" si="28"/>
        <v>23.298400000000001</v>
      </c>
      <c r="Z65" s="67">
        <f t="shared" si="29"/>
        <v>1.6E-2</v>
      </c>
      <c r="AA65" s="67">
        <f t="shared" si="30"/>
        <v>23.282400000000003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31"/>
        <v>0150-21</v>
      </c>
      <c r="AE65" s="91" t="str">
        <f t="shared" si="10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65" s="88" t="str">
        <f t="shared" si="11"/>
        <v>"C:\Program Files (x86)\AstroGrep\AstroGrep.exe" /spath="%USERPROFILE%\AppData\Local\Temp\OnboardLogs" /stypes="app*4004*20161221*" /stext=" 18:.+((SYSTEM_STATE.+slice.+state.+changed )|(ment ac)|(multiple cpu faults)|(system.+state.+changed )|(\[timeout)|(PRM\|1\|D)|(kpr)|(kdp)|(\|lc)|(penalty))" /e /r /s</v>
      </c>
      <c r="AG65" s="1" t="str">
        <f t="shared" si="32"/>
        <v>EC</v>
      </c>
      <c r="AH65" s="92" t="str">
        <f t="shared" si="15"/>
        <v>"%USERPROFILE%\Documents\GitHub\eaglep3\Utilities\RefineRTDCRunTimes.py" --tripid 150-21 --locoid 4004 --swversion DE.1.0.8.0 --startMP 204:232984 --initTime 2016-12-21T10:23:14 --startdatetime 2016-12-21T10:41:29 --delay 1 --endMP 204:160 --enddatetime 2016-12-21T11:21:07 --enforcementcount 0 &gt;&gt;C:\Users\stu\Documents\GitHub\eaglep3-reporting\EC\2016-12-21-refined-times.txt</v>
      </c>
      <c r="AI65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{"issue":{"subject":"","project_id":79,"tracker_id":40,"status_id":1,"priority_id":2,"assigned_to_id":23,"start_date":"2016-12-21","description":"","custom_fields":[{"id":1,"name":"Subdivision","value":"EC"},{"id":4,"name":"Milepost","value":"0.016"},{"id":17,"name":"Train ID","value":"150-21"},{"id":16,"name":"Locomotive ID","value":"4004"},{"id":130,"name":"Impact","value":""},{"id":150,"name":"Time of Event (Mountain Time)","value":"11:21:07"},{"id":151,"name":"Denver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530</v>
      </c>
      <c r="B66" s="7">
        <v>4020</v>
      </c>
      <c r="C66" s="22" t="s">
        <v>205</v>
      </c>
      <c r="D66" s="22" t="s">
        <v>279</v>
      </c>
      <c r="E66" s="13">
        <v>42725.412106481483</v>
      </c>
      <c r="F66" s="13">
        <v>42725.417141203703</v>
      </c>
      <c r="G66" s="7">
        <v>1</v>
      </c>
      <c r="H66" s="22" t="s">
        <v>396</v>
      </c>
      <c r="I66" s="13">
        <v>42725.44159722222</v>
      </c>
      <c r="J66" s="7">
        <v>0</v>
      </c>
      <c r="K66" s="109" t="str">
        <f t="shared" si="24"/>
        <v>4019/4020</v>
      </c>
      <c r="L66" s="22" t="str">
        <f>VLOOKUP(A66,'Trips&amp;Operators'!$C$1:$G$99999,5,FALSE)</f>
        <v>COOLAHAN JOHN</v>
      </c>
      <c r="M66" s="6">
        <f t="shared" si="25"/>
        <v>2.4456018516502809E-2</v>
      </c>
      <c r="N66" s="7">
        <f t="shared" si="33"/>
        <v>35.216666663764045</v>
      </c>
      <c r="O66" s="7"/>
      <c r="P66" s="7"/>
      <c r="Q66" s="23"/>
      <c r="R66" s="23"/>
      <c r="S66" s="35">
        <f t="shared" si="34"/>
        <v>1</v>
      </c>
      <c r="T66" s="50" t="str">
        <f t="shared" si="26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08:53:26-700',mode:absolute,to:'2016-12-21 11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6" s="52" t="str">
        <f t="shared" si="27"/>
        <v>N</v>
      </c>
      <c r="X66" s="177">
        <f t="shared" si="35"/>
        <v>1</v>
      </c>
      <c r="Y66" s="67">
        <f t="shared" si="28"/>
        <v>4.4400000000000002E-2</v>
      </c>
      <c r="Z66" s="67">
        <f t="shared" si="29"/>
        <v>23.330200000000001</v>
      </c>
      <c r="AA66" s="67">
        <f t="shared" si="30"/>
        <v>23.285800000000002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31"/>
        <v>0151-21</v>
      </c>
      <c r="AE66" s="91" t="str">
        <f t="shared" si="10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66" s="88" t="str">
        <f t="shared" si="11"/>
        <v>"C:\Program Files (x86)\AstroGrep\AstroGrep.exe" /spath="%USERPROFILE%\AppData\Local\Temp\OnboardLogs" /stypes="app*4020*20161221*" /stext=" 17:.+((SYSTEM_STATE.+slice.+state.+changed )|(ment ac)|(multiple cpu faults)|(system.+state.+changed )|(\[timeout)|(PRM\|1\|D)|(kpr)|(kdp)|(\|lc)|(penalty))" /e /r /s</v>
      </c>
      <c r="AG66" s="1" t="str">
        <f t="shared" si="32"/>
        <v>EC</v>
      </c>
      <c r="AH66" s="92" t="str">
        <f t="shared" si="15"/>
        <v>"%USERPROFILE%\Documents\GitHub\eaglep3\Utilities\RefineRTDCRunTimes.py" --tripid 151-21 --locoid 4020 --swversion DE.1.0.8.0 --startMP 204:444 --initTime 2016-12-21T09:53:26 --startdatetime 2016-12-21T10:00:41 --delay 1 --endMP 204:233302 --enddatetime 2016-12-21T10:35:54 --enforcementcount 0 &gt;&gt;C:\Users\stu\Documents\GitHub\eaglep3-reporting\EC\2016-12-21-refined-times.txt</v>
      </c>
      <c r="AI66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{"issue":{"subject":"","project_id":79,"tracker_id":40,"status_id":1,"priority_id":2,"assigned_to_id":23,"start_date":"2016-12-21","description":"","custom_fields":[{"id":1,"name":"Subdivision","value":"EC"},{"id":4,"name":"Milepost","value":"23.3302"},{"id":17,"name":"Train ID","value":"151-21"},{"id":16,"name":"Locomotive ID","value":"4020"},{"id":130,"name":"Impact","value":""},{"id":150,"name":"Time of Event (Mountain Time)","value":"10:35:54"},{"id":151,"name":"Denver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537</v>
      </c>
      <c r="B67" s="7">
        <v>4019</v>
      </c>
      <c r="C67" s="22" t="s">
        <v>205</v>
      </c>
      <c r="D67" s="22" t="s">
        <v>258</v>
      </c>
      <c r="E67" s="13">
        <v>42725.45212962963</v>
      </c>
      <c r="F67" s="13">
        <v>42725.456018518518</v>
      </c>
      <c r="G67" s="7">
        <v>1</v>
      </c>
      <c r="H67" s="22" t="s">
        <v>700</v>
      </c>
      <c r="I67" s="13">
        <v>42725.483472222222</v>
      </c>
      <c r="J67" s="7">
        <v>0</v>
      </c>
      <c r="K67" s="109" t="str">
        <f t="shared" si="24"/>
        <v>4019/4020</v>
      </c>
      <c r="L67" s="22" t="str">
        <f>VLOOKUP(A67,'Trips&amp;Operators'!$C$1:$G$99999,5,FALSE)</f>
        <v>COOLAHAN JOHN</v>
      </c>
      <c r="M67" s="6">
        <f t="shared" si="25"/>
        <v>2.7453703703940846E-2</v>
      </c>
      <c r="N67" s="7">
        <f t="shared" si="33"/>
        <v>39.533333333674818</v>
      </c>
      <c r="O67" s="7"/>
      <c r="P67" s="7"/>
      <c r="Q67" s="23"/>
      <c r="R67" s="23"/>
      <c r="S67" s="35">
        <f t="shared" si="34"/>
        <v>1</v>
      </c>
      <c r="T67" s="50" t="str">
        <f t="shared" si="26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09:51:04-700',mode:absolute,to:'2016-12-21 12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7" s="52" t="str">
        <f t="shared" si="27"/>
        <v>N</v>
      </c>
      <c r="X67" s="177">
        <f t="shared" si="35"/>
        <v>1</v>
      </c>
      <c r="Y67" s="67">
        <f t="shared" si="28"/>
        <v>23.299399999999999</v>
      </c>
      <c r="Z67" s="67">
        <f t="shared" si="29"/>
        <v>1.41E-2</v>
      </c>
      <c r="AA67" s="67">
        <f t="shared" si="30"/>
        <v>23.285299999999999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31"/>
        <v>0152-21</v>
      </c>
      <c r="AE67" s="91" t="str">
        <f t="shared" si="10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67" s="88" t="str">
        <f t="shared" si="11"/>
        <v>"C:\Program Files (x86)\AstroGrep\AstroGrep.exe" /spath="%USERPROFILE%\AppData\Local\Temp\OnboardLogs" /stypes="app*4019*20161221*" /stext=" 18:.+((SYSTEM_STATE.+slice.+state.+changed )|(ment ac)|(multiple cpu faults)|(system.+state.+changed )|(\[timeout)|(PRM\|1\|D)|(kpr)|(kdp)|(\|lc)|(penalty))" /e /r /s</v>
      </c>
      <c r="AG67" s="1" t="str">
        <f t="shared" si="32"/>
        <v>EC</v>
      </c>
      <c r="AH67" s="92" t="str">
        <f t="shared" si="15"/>
        <v>"%USERPROFILE%\Documents\GitHub\eaglep3\Utilities\RefineRTDCRunTimes.py" --tripid 152-21 --locoid 4019 --swversion DE.1.0.8.0 --startMP 204:232994 --initTime 2016-12-21T10:51:04 --startdatetime 2016-12-21T10:56:40 --delay 1 --endMP 204:141 --enddatetime 2016-12-21T11:36:12 --enforcementcount 0 &gt;&gt;C:\Users\stu\Documents\GitHub\eaglep3-reporting\EC\2016-12-21-refined-times.txt</v>
      </c>
      <c r="AI67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{"issue":{"subject":"","project_id":79,"tracker_id":40,"status_id":1,"priority_id":2,"assigned_to_id":23,"start_date":"2016-12-21","description":"","custom_fields":[{"id":1,"name":"Subdivision","value":"EC"},{"id":4,"name":"Milepost","value":"0.0141"},{"id":17,"name":"Train ID","value":"152-21"},{"id":16,"name":"Locomotive ID","value":"4019"},{"id":130,"name":"Impact","value":""},{"id":150,"name":"Time of Event (Mountain Time)","value":"11:36:12"},{"id":151,"name":"Denver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532</v>
      </c>
      <c r="B68" s="7">
        <v>4016</v>
      </c>
      <c r="C68" s="22" t="s">
        <v>205</v>
      </c>
      <c r="D68" s="22" t="s">
        <v>286</v>
      </c>
      <c r="E68" s="13">
        <v>42725.424039351848</v>
      </c>
      <c r="F68" s="13">
        <v>42725.427268518521</v>
      </c>
      <c r="G68" s="7">
        <v>1</v>
      </c>
      <c r="H68" s="22" t="s">
        <v>283</v>
      </c>
      <c r="I68" s="13">
        <v>42725.452835648146</v>
      </c>
      <c r="J68" s="7">
        <v>0</v>
      </c>
      <c r="K68" s="109" t="str">
        <f t="shared" si="24"/>
        <v>4015/4016</v>
      </c>
      <c r="L68" s="22" t="str">
        <f>VLOOKUP(A68,'Trips&amp;Operators'!$C$1:$G$99999,5,FALSE)</f>
        <v>BEAM ROSS</v>
      </c>
      <c r="M68" s="6">
        <f t="shared" si="25"/>
        <v>2.5567129625414964E-2</v>
      </c>
      <c r="N68" s="7">
        <f t="shared" si="33"/>
        <v>36.816666660597548</v>
      </c>
      <c r="O68" s="7"/>
      <c r="P68" s="7"/>
      <c r="Q68" s="23"/>
      <c r="R68" s="23"/>
      <c r="S68" s="35">
        <f t="shared" si="34"/>
        <v>1</v>
      </c>
      <c r="T68" s="50" t="str">
        <f t="shared" si="26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09:10:37-700',mode:absolute,to:'2016-12-21 11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8" s="52" t="str">
        <f t="shared" si="27"/>
        <v>N</v>
      </c>
      <c r="X68" s="177">
        <f t="shared" si="35"/>
        <v>1</v>
      </c>
      <c r="Y68" s="67">
        <f t="shared" si="28"/>
        <v>4.3999999999999997E-2</v>
      </c>
      <c r="Z68" s="67">
        <f t="shared" si="29"/>
        <v>23.328900000000001</v>
      </c>
      <c r="AA68" s="67">
        <f t="shared" si="30"/>
        <v>23.2849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31"/>
        <v>0153-21</v>
      </c>
      <c r="AE68" s="91" t="str">
        <f t="shared" si="10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68" s="88" t="str">
        <f t="shared" si="11"/>
        <v>"C:\Program Files (x86)\AstroGrep\AstroGrep.exe" /spath="%USERPROFILE%\AppData\Local\Temp\OnboardLogs" /stypes="app*4016*20161221*" /stext=" 17:.+((SYSTEM_STATE.+slice.+state.+changed )|(ment ac)|(multiple cpu faults)|(system.+state.+changed )|(\[timeout)|(PRM\|1\|D)|(kpr)|(kdp)|(\|lc)|(penalty))" /e /r /s</v>
      </c>
      <c r="AG68" s="1" t="str">
        <f t="shared" si="32"/>
        <v>EC</v>
      </c>
      <c r="AH68" s="92" t="str">
        <f t="shared" si="15"/>
        <v>"%USERPROFILE%\Documents\GitHub\eaglep3\Utilities\RefineRTDCRunTimes.py" --tripid 153-21 --locoid 4016 --swversion DE.1.0.8.0 --startMP 204:440 --initTime 2016-12-21T10:10:37 --startdatetime 2016-12-21T10:15:16 --delay 1 --endMP 204:233289 --enddatetime 2016-12-21T10:52:05 --enforcementcount 0 &gt;&gt;C:\Users\stu\Documents\GitHub\eaglep3-reporting\EC\2016-12-21-refined-times.txt</v>
      </c>
      <c r="AI68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{"issue":{"subject":"","project_id":79,"tracker_id":40,"status_id":1,"priority_id":2,"assigned_to_id":23,"start_date":"2016-12-21","description":"","custom_fields":[{"id":1,"name":"Subdivision","value":"EC"},{"id":4,"name":"Milepost","value":"23.3289"},{"id":17,"name":"Train ID","value":"153-21"},{"id":16,"name":"Locomotive ID","value":"4016"},{"id":130,"name":"Impact","value":""},{"id":150,"name":"Time of Event (Mountain Time)","value":"10:52:05"},{"id":151,"name":"Denver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539</v>
      </c>
      <c r="B69" s="7">
        <v>4015</v>
      </c>
      <c r="C69" s="22" t="s">
        <v>205</v>
      </c>
      <c r="D69" s="22" t="s">
        <v>399</v>
      </c>
      <c r="E69" s="13">
        <v>42725.458310185182</v>
      </c>
      <c r="F69" s="13">
        <v>42725.466435185182</v>
      </c>
      <c r="G69" s="7">
        <v>1</v>
      </c>
      <c r="H69" s="22" t="s">
        <v>245</v>
      </c>
      <c r="I69" s="13">
        <v>42725.49596064815</v>
      </c>
      <c r="J69" s="7">
        <v>0</v>
      </c>
      <c r="K69" s="109" t="str">
        <f t="shared" si="24"/>
        <v>4015/4016</v>
      </c>
      <c r="L69" s="22" t="str">
        <f>VLOOKUP(A69,'Trips&amp;Operators'!$C$1:$G$99999,5,FALSE)</f>
        <v>BEAM ROSS</v>
      </c>
      <c r="M69" s="6">
        <f t="shared" si="25"/>
        <v>2.9525462967285421E-2</v>
      </c>
      <c r="N69" s="7">
        <f t="shared" si="33"/>
        <v>42.516666672891006</v>
      </c>
      <c r="O69" s="7"/>
      <c r="P69" s="7"/>
      <c r="Q69" s="23"/>
      <c r="R69" s="23"/>
      <c r="S69" s="35">
        <f t="shared" si="34"/>
        <v>1</v>
      </c>
      <c r="T69" s="50" t="str">
        <f t="shared" si="26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09:59:58-700',mode:absolute,to:'2016-12-21 12:54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9" s="52" t="str">
        <f t="shared" si="27"/>
        <v>N</v>
      </c>
      <c r="X69" s="177">
        <f t="shared" si="35"/>
        <v>1</v>
      </c>
      <c r="Y69" s="67">
        <f t="shared" si="28"/>
        <v>23.297999999999998</v>
      </c>
      <c r="Z69" s="67">
        <f t="shared" si="29"/>
        <v>1.6299999999999999E-2</v>
      </c>
      <c r="AA69" s="67">
        <f t="shared" si="30"/>
        <v>23.281699999999997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31"/>
        <v>0154-21</v>
      </c>
      <c r="AE69" s="91" t="str">
        <f t="shared" si="10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69" s="88" t="str">
        <f t="shared" si="11"/>
        <v>"C:\Program Files (x86)\AstroGrep\AstroGrep.exe" /spath="%USERPROFILE%\AppData\Local\Temp\OnboardLogs" /stypes="app*4015*20161221*" /stext=" 18:.+((SYSTEM_STATE.+slice.+state.+changed )|(ment ac)|(multiple cpu faults)|(system.+state.+changed )|(\[timeout)|(PRM\|1\|D)|(kpr)|(kdp)|(\|lc)|(penalty))" /e /r /s</v>
      </c>
      <c r="AG69" s="1" t="str">
        <f t="shared" si="32"/>
        <v>EC</v>
      </c>
      <c r="AH69" s="92" t="str">
        <f t="shared" si="15"/>
        <v>"%USERPROFILE%\Documents\GitHub\eaglep3\Utilities\RefineRTDCRunTimes.py" --tripid 154-21 --locoid 4015 --swversion DE.1.0.8.0 --startMP 204:232980 --initTime 2016-12-21T10:59:58 --startdatetime 2016-12-21T11:11:40 --delay 1 --endMP 204:163 --enddatetime 2016-12-21T11:54:11 --enforcementcount 0 &gt;&gt;C:\Users\stu\Documents\GitHub\eaglep3-reporting\EC\2016-12-21-refined-times.txt</v>
      </c>
      <c r="AI69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{"issue":{"subject":"","project_id":79,"tracker_id":40,"status_id":1,"priority_id":2,"assigned_to_id":23,"start_date":"2016-12-21","description":"","custom_fields":[{"id":1,"name":"Subdivision","value":"EC"},{"id":4,"name":"Milepost","value":"0.0163"},{"id":17,"name":"Train ID","value":"154-21"},{"id":16,"name":"Locomotive ID","value":"4015"},{"id":130,"name":"Impact","value":""},{"id":150,"name":"Time of Event (Mountain Time)","value":"11:54:11"},{"id":151,"name":"Denver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439</v>
      </c>
      <c r="B70" s="7">
        <v>4009</v>
      </c>
      <c r="C70" s="22" t="s">
        <v>205</v>
      </c>
      <c r="D70" s="22" t="s">
        <v>243</v>
      </c>
      <c r="E70" s="13">
        <v>42725.43644675926</v>
      </c>
      <c r="F70" s="13">
        <v>42725.438483796293</v>
      </c>
      <c r="G70" s="7">
        <v>1</v>
      </c>
      <c r="H70" s="22" t="s">
        <v>385</v>
      </c>
      <c r="I70" s="13">
        <v>42725.463541666664</v>
      </c>
      <c r="J70" s="7">
        <v>0</v>
      </c>
      <c r="K70" s="109" t="str">
        <f t="shared" si="24"/>
        <v>4009/4010</v>
      </c>
      <c r="L70" s="22" t="str">
        <f>VLOOKUP(A70,'Trips&amp;Operators'!$C$1:$G$99999,5,FALSE)</f>
        <v>SIMMONS SHYHESHA</v>
      </c>
      <c r="M70" s="6">
        <f t="shared" si="25"/>
        <v>2.5057870370801538E-2</v>
      </c>
      <c r="N70" s="7">
        <f t="shared" si="33"/>
        <v>36.083333333954215</v>
      </c>
      <c r="O70" s="7"/>
      <c r="P70" s="7"/>
      <c r="Q70" s="23"/>
      <c r="R70" s="23"/>
      <c r="S70" s="35">
        <f t="shared" si="34"/>
        <v>1</v>
      </c>
      <c r="T70" s="50" t="str">
        <f t="shared" si="26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09:28:29-700',mode:absolute,to:'2016-12-21 12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0" s="52" t="str">
        <f t="shared" si="27"/>
        <v>N</v>
      </c>
      <c r="X70" s="177">
        <f t="shared" si="35"/>
        <v>1</v>
      </c>
      <c r="Y70" s="67">
        <f t="shared" si="28"/>
        <v>4.58E-2</v>
      </c>
      <c r="Z70" s="67">
        <f t="shared" si="29"/>
        <v>23.33</v>
      </c>
      <c r="AA70" s="67">
        <f t="shared" si="30"/>
        <v>23.284199999999998</v>
      </c>
      <c r="AB70" s="64" t="str">
        <f>VLOOKUP(A70,Enforcements!$C$7:$K$19,8,0)</f>
        <v>Speed (6)</v>
      </c>
      <c r="AC70" s="60" t="str">
        <f>VLOOKUP(A70,Enforcements!$C$7:$E$19,3,0)</f>
        <v>PERMANENT SPEED RESTRICTION</v>
      </c>
      <c r="AD70" s="61" t="str">
        <f t="shared" si="31"/>
        <v>0155-21</v>
      </c>
      <c r="AE70" s="91" t="str">
        <f t="shared" si="10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70" s="88" t="str">
        <f t="shared" si="11"/>
        <v>"C:\Program Files (x86)\AstroGrep\AstroGrep.exe" /spath="%USERPROFILE%\AppData\Local\Temp\OnboardLogs" /stypes="app*4009*20161221*" /stext=" 18:.+((SYSTEM_STATE.+slice.+state.+changed )|(ment ac)|(multiple cpu faults)|(system.+state.+changed )|(\[timeout)|(PRM\|1\|D)|(kpr)|(kdp)|(\|lc)|(penalty))" /e /r /s</v>
      </c>
      <c r="AG70" s="1" t="str">
        <f t="shared" si="32"/>
        <v>EC</v>
      </c>
      <c r="AH70" s="92" t="str">
        <f t="shared" si="15"/>
        <v>"%USERPROFILE%\Documents\GitHub\eaglep3\Utilities\RefineRTDCRunTimes.py" --tripid 155-21 --locoid 4009 --swversion DE.1.0.8.0 --startMP 204:458 --initTime 2016-12-21T10:28:29 --startdatetime 2016-12-21T10:31:25 --delay 1 --endMP 204:233300 --enddatetime 2016-12-21T11:07:30 --enforcementcount 0 &gt;&gt;C:\Users\stu\Documents\GitHub\eaglep3-reporting\EC\2016-12-21-refined-times.txt</v>
      </c>
      <c r="AI70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{"issue":{"subject":"","project_id":79,"tracker_id":40,"status_id":1,"priority_id":2,"assigned_to_id":23,"start_date":"2016-12-21","description":"","custom_fields":[{"id":1,"name":"Subdivision","value":"EC"},{"id":4,"name":"Milepost","value":"23.33"},{"id":17,"name":"Train ID","value":"155-21"},{"id":16,"name":"Locomotive ID","value":"4009"},{"id":130,"name":"Impact","value":""},{"id":150,"name":"Time of Event (Mountain Time)","value":"11:07:30"},{"id":151,"name":"Denver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541</v>
      </c>
      <c r="B71" s="7">
        <v>4010</v>
      </c>
      <c r="C71" s="22" t="s">
        <v>205</v>
      </c>
      <c r="D71" s="22" t="s">
        <v>403</v>
      </c>
      <c r="E71" s="13">
        <v>42725.465127314812</v>
      </c>
      <c r="F71" s="13">
        <v>42725.476736111108</v>
      </c>
      <c r="G71" s="7">
        <v>1</v>
      </c>
      <c r="H71" s="22" t="s">
        <v>263</v>
      </c>
      <c r="I71" s="13">
        <v>42725.504803240743</v>
      </c>
      <c r="J71" s="7">
        <v>0</v>
      </c>
      <c r="K71" s="109" t="str">
        <f t="shared" si="24"/>
        <v>4009/4010</v>
      </c>
      <c r="L71" s="22" t="str">
        <f>VLOOKUP(A71,'Trips&amp;Operators'!$C$1:$G$99999,5,FALSE)</f>
        <v>SIMMONS SHYHESHA</v>
      </c>
      <c r="M71" s="6">
        <f t="shared" si="25"/>
        <v>2.8067129635019228E-2</v>
      </c>
      <c r="N71" s="7">
        <f t="shared" si="33"/>
        <v>40.416666674427688</v>
      </c>
      <c r="O71" s="7"/>
      <c r="P71" s="7"/>
      <c r="Q71" s="23"/>
      <c r="R71" s="23"/>
      <c r="S71" s="35">
        <f t="shared" si="34"/>
        <v>1</v>
      </c>
      <c r="T71" s="50" t="str">
        <f t="shared" si="26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10:09:47-700',mode:absolute,to:'2016-12-21 13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1" s="52" t="str">
        <f t="shared" si="27"/>
        <v>N</v>
      </c>
      <c r="X71" s="177">
        <f t="shared" si="35"/>
        <v>1</v>
      </c>
      <c r="Y71" s="67">
        <f t="shared" si="28"/>
        <v>23.297000000000001</v>
      </c>
      <c r="Z71" s="67">
        <f t="shared" si="29"/>
        <v>1.3899999999999999E-2</v>
      </c>
      <c r="AA71" s="67">
        <f t="shared" si="30"/>
        <v>23.283100000000001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31"/>
        <v>0156-21</v>
      </c>
      <c r="AE71" s="91" t="str">
        <f t="shared" si="10"/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AF71" s="88" t="str">
        <f t="shared" si="11"/>
        <v>"C:\Program Files (x86)\AstroGrep\AstroGrep.exe" /spath="%USERPROFILE%\AppData\Local\Temp\OnboardLogs" /stypes="app*4010*20161221*" /stext=" 19:.+((SYSTEM_STATE.+slice.+state.+changed )|(ment ac)|(multiple cpu faults)|(system.+state.+changed )|(\[timeout)|(PRM\|1\|D)|(kpr)|(kdp)|(\|lc)|(penalty))" /e /r /s</v>
      </c>
      <c r="AG71" s="1" t="str">
        <f t="shared" si="32"/>
        <v>EC</v>
      </c>
      <c r="AH71" s="92" t="str">
        <f t="shared" si="15"/>
        <v>"%USERPROFILE%\Documents\GitHub\eaglep3\Utilities\RefineRTDCRunTimes.py" --tripid 156-21 --locoid 4010 --swversion DE.1.0.8.0 --startMP 204:232970 --initTime 2016-12-21T11:09:47 --startdatetime 2016-12-21T11:26:30 --delay 1 --endMP 204:139 --enddatetime 2016-12-21T12:06:55 --enforcementcount 0 &gt;&gt;C:\Users\stu\Documents\GitHub\eaglep3-reporting\EC\2016-12-21-refined-times.txt</v>
      </c>
      <c r="AI71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{"issue":{"subject":"","project_id":79,"tracker_id":40,"status_id":1,"priority_id":2,"assigned_to_id":23,"start_date":"2016-12-21","description":"","custom_fields":[{"id":1,"name":"Subdivision","value":"EC"},{"id":4,"name":"Milepost","value":"0.0139"},{"id":17,"name":"Train ID","value":"156-21"},{"id":16,"name":"Locomotive ID","value":"4010"},{"id":130,"name":"Impact","value":""},{"id":150,"name":"Time of Event (Mountain Time)","value":"12:06:55"},{"id":151,"name":"Denver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536</v>
      </c>
      <c r="B72" s="7">
        <v>4042</v>
      </c>
      <c r="C72" s="22" t="s">
        <v>205</v>
      </c>
      <c r="D72" s="22" t="s">
        <v>300</v>
      </c>
      <c r="E72" s="13">
        <v>42725.44630787037</v>
      </c>
      <c r="F72" s="13">
        <v>42725.448275462964</v>
      </c>
      <c r="G72" s="7">
        <v>1</v>
      </c>
      <c r="H72" s="22" t="s">
        <v>701</v>
      </c>
      <c r="I72" s="13">
        <v>42725.473263888889</v>
      </c>
      <c r="J72" s="7">
        <v>0</v>
      </c>
      <c r="K72" s="109" t="str">
        <f t="shared" si="24"/>
        <v>4041/4042</v>
      </c>
      <c r="L72" s="22" t="str">
        <f>VLOOKUP(A72,'Trips&amp;Operators'!$C$1:$G$99999,5,FALSE)</f>
        <v>STARKS ANGELINA</v>
      </c>
      <c r="M72" s="6">
        <f t="shared" si="25"/>
        <v>2.4988425924675539E-2</v>
      </c>
      <c r="N72" s="7">
        <f t="shared" si="33"/>
        <v>35.983333331532776</v>
      </c>
      <c r="O72" s="7"/>
      <c r="P72" s="7"/>
      <c r="Q72" s="23"/>
      <c r="R72" s="23"/>
      <c r="S72" s="35">
        <f t="shared" si="34"/>
        <v>1</v>
      </c>
      <c r="T72" s="50" t="str">
        <f t="shared" si="26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09:42:41-700',mode:absolute,to:'2016-12-21 12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2" s="52" t="str">
        <f t="shared" si="27"/>
        <v>N</v>
      </c>
      <c r="X72" s="177">
        <f t="shared" si="35"/>
        <v>1</v>
      </c>
      <c r="Y72" s="67">
        <f t="shared" si="28"/>
        <v>4.4900000000000002E-2</v>
      </c>
      <c r="Z72" s="67">
        <f t="shared" si="29"/>
        <v>23.3307</v>
      </c>
      <c r="AA72" s="67">
        <f t="shared" si="30"/>
        <v>23.285800000000002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31"/>
        <v>0157-21</v>
      </c>
      <c r="AE72" s="91" t="str">
        <f t="shared" si="10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72" s="88" t="str">
        <f t="shared" si="11"/>
        <v>"C:\Program Files (x86)\AstroGrep\AstroGrep.exe" /spath="%USERPROFILE%\AppData\Local\Temp\OnboardLogs" /stypes="app*4042*20161221*" /stext=" 18:.+((SYSTEM_STATE.+slice.+state.+changed )|(ment ac)|(multiple cpu faults)|(system.+state.+changed )|(\[timeout)|(PRM\|1\|D)|(kpr)|(kdp)|(\|lc)|(penalty))" /e /r /s</v>
      </c>
      <c r="AG72" s="1" t="str">
        <f t="shared" si="32"/>
        <v>EC</v>
      </c>
      <c r="AH72" s="92" t="str">
        <f t="shared" si="15"/>
        <v>"%USERPROFILE%\Documents\GitHub\eaglep3\Utilities\RefineRTDCRunTimes.py" --tripid 157-21 --locoid 4042 --swversion DE.1.0.8.0 --startMP 204:449 --initTime 2016-12-21T10:42:41 --startdatetime 2016-12-21T10:45:31 --delay 1 --endMP 204:233307 --enddatetime 2016-12-21T11:21:30 --enforcementcount 0 &gt;&gt;C:\Users\stu\Documents\GitHub\eaglep3-reporting\EC\2016-12-21-refined-times.txt</v>
      </c>
      <c r="AI72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{"issue":{"subject":"","project_id":79,"tracker_id":40,"status_id":1,"priority_id":2,"assigned_to_id":23,"start_date":"2016-12-21","description":"","custom_fields":[{"id":1,"name":"Subdivision","value":"EC"},{"id":4,"name":"Milepost","value":"23.3307"},{"id":17,"name":"Train ID","value":"157-21"},{"id":16,"name":"Locomotive ID","value":"4042"},{"id":130,"name":"Impact","value":""},{"id":150,"name":"Time of Event (Mountain Time)","value":"11:21:30"},{"id":151,"name":"Denver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543</v>
      </c>
      <c r="B73" s="7">
        <v>4041</v>
      </c>
      <c r="C73" s="22" t="s">
        <v>205</v>
      </c>
      <c r="D73" s="22" t="s">
        <v>307</v>
      </c>
      <c r="E73" s="13">
        <v>42725.484629629631</v>
      </c>
      <c r="F73" s="13">
        <v>42725.487002314818</v>
      </c>
      <c r="G73" s="7">
        <v>1</v>
      </c>
      <c r="H73" s="22" t="s">
        <v>211</v>
      </c>
      <c r="I73" s="13">
        <v>42725.51635416667</v>
      </c>
      <c r="J73" s="7">
        <v>0</v>
      </c>
      <c r="K73" s="109" t="str">
        <f t="shared" si="24"/>
        <v>4041/4042</v>
      </c>
      <c r="L73" s="22" t="str">
        <f>VLOOKUP(A73,'Trips&amp;Operators'!$C$1:$G$99999,5,FALSE)</f>
        <v>STARKS ANGELINA</v>
      </c>
      <c r="M73" s="6">
        <f t="shared" si="25"/>
        <v>2.9351851851970423E-2</v>
      </c>
      <c r="N73" s="7">
        <f t="shared" si="33"/>
        <v>42.266666666837409</v>
      </c>
      <c r="O73" s="7"/>
      <c r="P73" s="7"/>
      <c r="Q73" s="23"/>
      <c r="R73" s="23"/>
      <c r="S73" s="35">
        <f t="shared" si="34"/>
        <v>1</v>
      </c>
      <c r="T73" s="50" t="str">
        <f t="shared" si="26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10:37:52-700',mode:absolute,to:'2016-12-21 13:23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3" s="52" t="str">
        <f t="shared" si="27"/>
        <v>N</v>
      </c>
      <c r="X73" s="177">
        <f t="shared" si="35"/>
        <v>1</v>
      </c>
      <c r="Y73" s="67">
        <f t="shared" si="28"/>
        <v>23.297799999999999</v>
      </c>
      <c r="Z73" s="67">
        <f t="shared" si="29"/>
        <v>1.4999999999999999E-2</v>
      </c>
      <c r="AA73" s="67">
        <f t="shared" si="30"/>
        <v>23.282799999999998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31"/>
        <v>0158-21</v>
      </c>
      <c r="AE73" s="91" t="str">
        <f t="shared" si="10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73" s="88" t="str">
        <f t="shared" si="11"/>
        <v>"C:\Program Files (x86)\AstroGrep\AstroGrep.exe" /spath="%USERPROFILE%\AppData\Local\Temp\OnboardLogs" /stypes="app*4041*20161221*" /stext=" 19:.+((SYSTEM_STATE.+slice.+state.+changed )|(ment ac)|(multiple cpu faults)|(system.+state.+changed )|(\[timeout)|(PRM\|1\|D)|(kpr)|(kdp)|(\|lc)|(penalty))" /e /r /s</v>
      </c>
      <c r="AG73" s="1" t="str">
        <f t="shared" si="32"/>
        <v>EC</v>
      </c>
      <c r="AH73" s="92" t="str">
        <f t="shared" si="15"/>
        <v>"%USERPROFILE%\Documents\GitHub\eaglep3\Utilities\RefineRTDCRunTimes.py" --tripid 158-21 --locoid 4041 --swversion DE.1.0.8.0 --startMP 204:232978 --initTime 2016-12-21T11:37:52 --startdatetime 2016-12-21T11:41:17 --delay 1 --endMP 204:150 --enddatetime 2016-12-21T12:23:33 --enforcementcount 0 &gt;&gt;C:\Users\stu\Documents\GitHub\eaglep3-reporting\EC\2016-12-21-refined-times.txt</v>
      </c>
      <c r="AI73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{"issue":{"subject":"","project_id":79,"tracker_id":40,"status_id":1,"priority_id":2,"assigned_to_id":23,"start_date":"2016-12-21","description":"","custom_fields":[{"id":1,"name":"Subdivision","value":"EC"},{"id":4,"name":"Milepost","value":"0.015"},{"id":17,"name":"Train ID","value":"158-21"},{"id":16,"name":"Locomotive ID","value":"4041"},{"id":130,"name":"Impact","value":""},{"id":150,"name":"Time of Event (Mountain Time)","value":"12:23:33"},{"id":151,"name":"Denver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538</v>
      </c>
      <c r="B74" s="7">
        <v>4044</v>
      </c>
      <c r="C74" s="22" t="s">
        <v>205</v>
      </c>
      <c r="D74" s="22" t="s">
        <v>193</v>
      </c>
      <c r="E74" s="13">
        <v>42725.453541666669</v>
      </c>
      <c r="F74" s="13">
        <v>42725.458553240744</v>
      </c>
      <c r="G74" s="7">
        <v>1</v>
      </c>
      <c r="H74" s="22" t="s">
        <v>385</v>
      </c>
      <c r="I74" s="13">
        <v>42725.485810185186</v>
      </c>
      <c r="J74" s="7">
        <v>0</v>
      </c>
      <c r="K74" s="109" t="str">
        <f t="shared" si="24"/>
        <v>4043/4044</v>
      </c>
      <c r="L74" s="22" t="str">
        <f>VLOOKUP(A74,'Trips&amp;Operators'!$C$1:$G$99999,5,FALSE)</f>
        <v>CLARK KATHLEEN</v>
      </c>
      <c r="M74" s="6">
        <f t="shared" si="25"/>
        <v>2.7256944442342501E-2</v>
      </c>
      <c r="N74" s="7">
        <f t="shared" si="33"/>
        <v>39.249999996973202</v>
      </c>
      <c r="O74" s="7"/>
      <c r="P74" s="7"/>
      <c r="Q74" s="23"/>
      <c r="R74" s="23"/>
      <c r="S74" s="35">
        <f t="shared" si="34"/>
        <v>1</v>
      </c>
      <c r="T74" s="50" t="str">
        <f t="shared" si="26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09:53:06-700',mode:absolute,to:'2016-12-21 12:39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4" s="52" t="str">
        <f t="shared" si="27"/>
        <v>N</v>
      </c>
      <c r="X74" s="177">
        <f t="shared" si="35"/>
        <v>1</v>
      </c>
      <c r="Y74" s="67">
        <f t="shared" si="28"/>
        <v>4.4699999999999997E-2</v>
      </c>
      <c r="Z74" s="67">
        <f t="shared" si="29"/>
        <v>23.33</v>
      </c>
      <c r="AA74" s="67">
        <f t="shared" si="30"/>
        <v>23.285299999999999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31"/>
        <v>0159-21</v>
      </c>
      <c r="AE74" s="91" t="str">
        <f t="shared" si="10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74" s="88" t="str">
        <f t="shared" si="11"/>
        <v>"C:\Program Files (x86)\AstroGrep\AstroGrep.exe" /spath="%USERPROFILE%\AppData\Local\Temp\OnboardLogs" /stypes="app*4044*20161221*" /stext=" 18:.+((SYSTEM_STATE.+slice.+state.+changed )|(ment ac)|(multiple cpu faults)|(system.+state.+changed )|(\[timeout)|(PRM\|1\|D)|(kpr)|(kdp)|(\|lc)|(penalty))" /e /r /s</v>
      </c>
      <c r="AG74" s="1" t="str">
        <f t="shared" si="32"/>
        <v>EC</v>
      </c>
      <c r="AH74" s="92" t="str">
        <f t="shared" si="15"/>
        <v>"%USERPROFILE%\Documents\GitHub\eaglep3\Utilities\RefineRTDCRunTimes.py" --tripid 159-21 --locoid 4044 --swversion DE.1.0.8.0 --startMP 204:447 --initTime 2016-12-21T10:53:06 --startdatetime 2016-12-21T11:00:19 --delay 1 --endMP 204:233300 --enddatetime 2016-12-21T11:39:34 --enforcementcount 0 &gt;&gt;C:\Users\stu\Documents\GitHub\eaglep3-reporting\EC\2016-12-21-refined-times.txt</v>
      </c>
      <c r="AI74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{"issue":{"subject":"","project_id":79,"tracker_id":40,"status_id":1,"priority_id":2,"assigned_to_id":23,"start_date":"2016-12-21","description":"","custom_fields":[{"id":1,"name":"Subdivision","value":"EC"},{"id":4,"name":"Milepost","value":"23.33"},{"id":17,"name":"Train ID","value":"159-21"},{"id":16,"name":"Locomotive ID","value":"4044"},{"id":130,"name":"Impact","value":""},{"id":150,"name":"Time of Event (Mountain Time)","value":"11:39:34"},{"id":151,"name":"Denver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548</v>
      </c>
      <c r="B75" s="7">
        <v>4043</v>
      </c>
      <c r="C75" s="22" t="s">
        <v>205</v>
      </c>
      <c r="D75" s="22" t="s">
        <v>702</v>
      </c>
      <c r="E75" s="13">
        <v>42725.4924537037</v>
      </c>
      <c r="F75" s="13">
        <v>42725.497488425928</v>
      </c>
      <c r="G75" s="7">
        <v>1</v>
      </c>
      <c r="H75" s="22" t="s">
        <v>245</v>
      </c>
      <c r="I75" s="13">
        <v>42725.526550925926</v>
      </c>
      <c r="J75" s="7">
        <v>0</v>
      </c>
      <c r="K75" s="109" t="str">
        <f t="shared" si="24"/>
        <v>4043/4044</v>
      </c>
      <c r="L75" s="22" t="str">
        <f>VLOOKUP(A75,'Trips&amp;Operators'!$C$1:$G$99999,5,FALSE)</f>
        <v>CLARK KATHLEEN</v>
      </c>
      <c r="M75" s="6">
        <f t="shared" si="25"/>
        <v>2.9062499997962732E-2</v>
      </c>
      <c r="N75" s="7">
        <f t="shared" si="33"/>
        <v>41.849999997066334</v>
      </c>
      <c r="O75" s="7"/>
      <c r="P75" s="7"/>
      <c r="Q75" s="23"/>
      <c r="R75" s="23"/>
      <c r="S75" s="35">
        <f t="shared" si="34"/>
        <v>1</v>
      </c>
      <c r="T75" s="50" t="str">
        <f t="shared" si="26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10:49:08-700',mode:absolute,to:'2016-12-21 13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5" s="52" t="str">
        <f t="shared" si="27"/>
        <v>N</v>
      </c>
      <c r="X75" s="177">
        <f t="shared" si="35"/>
        <v>1</v>
      </c>
      <c r="Y75" s="67">
        <f t="shared" si="28"/>
        <v>23.2974</v>
      </c>
      <c r="Z75" s="67">
        <f t="shared" si="29"/>
        <v>1.6299999999999999E-2</v>
      </c>
      <c r="AA75" s="67">
        <f t="shared" si="30"/>
        <v>23.281099999999999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31"/>
        <v>0160-21</v>
      </c>
      <c r="AE75" s="91" t="str">
        <f t="shared" si="10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75" s="88" t="str">
        <f t="shared" si="11"/>
        <v>"C:\Program Files (x86)\AstroGrep\AstroGrep.exe" /spath="%USERPROFILE%\AppData\Local\Temp\OnboardLogs" /stypes="app*4043*20161221*" /stext=" 19:.+((SYSTEM_STATE.+slice.+state.+changed )|(ment ac)|(multiple cpu faults)|(system.+state.+changed )|(\[timeout)|(PRM\|1\|D)|(kpr)|(kdp)|(\|lc)|(penalty))" /e /r /s</v>
      </c>
      <c r="AG75" s="1" t="str">
        <f t="shared" si="32"/>
        <v>EC</v>
      </c>
      <c r="AH75" s="92" t="str">
        <f t="shared" si="15"/>
        <v>"%USERPROFILE%\Documents\GitHub\eaglep3\Utilities\RefineRTDCRunTimes.py" --tripid 160-21 --locoid 4043 --swversion DE.1.0.8.0 --startMP 204:232974 --initTime 2016-12-21T11:49:08 --startdatetime 2016-12-21T11:56:23 --delay 1 --endMP 204:163 --enddatetime 2016-12-21T12:38:14 --enforcementcount 0 &gt;&gt;C:\Users\stu\Documents\GitHub\eaglep3-reporting\EC\2016-12-21-refined-times.txt</v>
      </c>
      <c r="AI75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{"issue":{"subject":"","project_id":79,"tracker_id":40,"status_id":1,"priority_id":2,"assigned_to_id":23,"start_date":"2016-12-21","description":"","custom_fields":[{"id":1,"name":"Subdivision","value":"EC"},{"id":4,"name":"Milepost","value":"0.0163"},{"id":17,"name":"Train ID","value":"160-21"},{"id":16,"name":"Locomotive ID","value":"4043"},{"id":130,"name":"Impact","value":""},{"id":150,"name":"Time of Event (Mountain Time)","value":"12:38:14"},{"id":151,"name":"Denver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440</v>
      </c>
      <c r="B76" s="7">
        <v>4027</v>
      </c>
      <c r="C76" s="22" t="s">
        <v>205</v>
      </c>
      <c r="D76" s="22" t="s">
        <v>193</v>
      </c>
      <c r="E76" s="13">
        <v>42725.464583333334</v>
      </c>
      <c r="F76" s="13">
        <v>42725.469675925924</v>
      </c>
      <c r="G76" s="7">
        <v>1</v>
      </c>
      <c r="H76" s="22" t="s">
        <v>382</v>
      </c>
      <c r="I76" s="13">
        <v>42725.496076388888</v>
      </c>
      <c r="J76" s="7">
        <v>0</v>
      </c>
      <c r="K76" s="109" t="str">
        <f t="shared" si="24"/>
        <v>4027/4028</v>
      </c>
      <c r="L76" s="22" t="str">
        <f>VLOOKUP(A76,'Trips&amp;Operators'!$C$1:$G$99999,5,FALSE)</f>
        <v>DAVIS MICHAEL</v>
      </c>
      <c r="M76" s="6">
        <f t="shared" si="25"/>
        <v>2.6400462964375038E-2</v>
      </c>
      <c r="N76" s="7">
        <f t="shared" si="33"/>
        <v>38.016666668700054</v>
      </c>
      <c r="O76" s="7"/>
      <c r="P76" s="7"/>
      <c r="Q76" s="23"/>
      <c r="R76" s="23"/>
      <c r="S76" s="35">
        <f t="shared" si="34"/>
        <v>1</v>
      </c>
      <c r="T76" s="50" t="str">
        <f t="shared" si="26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https://search-rtdc-monitor-bjffxe2xuh6vdkpspy63sjmuny.us-east-1.es.amazonaws.com/_plugin/kibana/#/discover/Steve-Slow-Train-Analysis-(2080s-and-2083s)?_g=(refreshInterval:(display:Off,section:0,value:0),time:(from:'2016-12-21 10:09:00-700',mode:absolute,to:'2016-12-21 12:54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6" s="52" t="str">
        <f t="shared" si="27"/>
        <v>N</v>
      </c>
      <c r="X76" s="177">
        <f t="shared" si="35"/>
        <v>1</v>
      </c>
      <c r="Y76" s="67">
        <f t="shared" si="28"/>
        <v>4.4699999999999997E-2</v>
      </c>
      <c r="Z76" s="67">
        <f t="shared" si="29"/>
        <v>23.328800000000001</v>
      </c>
      <c r="AA76" s="67">
        <f t="shared" si="30"/>
        <v>23.284100000000002</v>
      </c>
      <c r="AB76" s="64" t="str">
        <f>VLOOKUP(A76,Enforcements!$C$7:$K$19,8,0)</f>
        <v>Speed (6)</v>
      </c>
      <c r="AC76" s="60" t="str">
        <f>VLOOKUP(A76,Enforcements!$C$7:$E$19,3,0)</f>
        <v>PERMANENT SPEED RESTRICTION</v>
      </c>
      <c r="AD76" s="61" t="str">
        <f t="shared" si="31"/>
        <v>0161-21</v>
      </c>
      <c r="AE76" s="91" t="str">
        <f t="shared" si="10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76" s="88" t="str">
        <f t="shared" si="11"/>
        <v>"C:\Program Files (x86)\AstroGrep\AstroGrep.exe" /spath="%USERPROFILE%\AppData\Local\Temp\OnboardLogs" /stypes="app*4027*20161221*" /stext=" 18:.+((SYSTEM_STATE.+slice.+state.+changed )|(ment ac)|(multiple cpu faults)|(system.+state.+changed )|(\[timeout)|(PRM\|1\|D)|(kpr)|(kdp)|(\|lc)|(penalty))" /e /r /s</v>
      </c>
      <c r="AG76" s="1" t="str">
        <f t="shared" si="32"/>
        <v>EC</v>
      </c>
      <c r="AH76" s="92" t="str">
        <f t="shared" si="15"/>
        <v>"%USERPROFILE%\Documents\GitHub\eaglep3\Utilities\RefineRTDCRunTimes.py" --tripid 161-21 --locoid 4027 --swversion DE.1.0.8.0 --startMP 204:447 --initTime 2016-12-21T11:09:00 --startdatetime 2016-12-21T11:16:20 --delay 1 --endMP 204:233288 --enddatetime 2016-12-21T11:54:21 --enforcementcount 0 &gt;&gt;C:\Users\stu\Documents\GitHub\eaglep3-reporting\EC\2016-12-21-refined-times.txt</v>
      </c>
      <c r="AI76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{"issue":{"subject":"","project_id":79,"tracker_id":40,"status_id":1,"priority_id":2,"assigned_to_id":23,"start_date":"2016-12-21","description":"","custom_fields":[{"id":1,"name":"Subdivision","value":"EC"},{"id":4,"name":"Milepost","value":"23.3288"},{"id":17,"name":"Train ID","value":"161-21"},{"id":16,"name":"Locomotive ID","value":"4027"},{"id":130,"name":"Impact","value":""},{"id":150,"name":"Time of Event (Mountain Time)","value":"11:54:21"},{"id":151,"name":"Denver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441</v>
      </c>
      <c r="B77" s="7">
        <v>4028</v>
      </c>
      <c r="C77" s="22" t="s">
        <v>205</v>
      </c>
      <c r="D77" s="22" t="s">
        <v>392</v>
      </c>
      <c r="E77" s="13">
        <v>42725.50445601852</v>
      </c>
      <c r="F77" s="13">
        <v>42725.509074074071</v>
      </c>
      <c r="G77" s="7">
        <v>2</v>
      </c>
      <c r="H77" s="22" t="s">
        <v>263</v>
      </c>
      <c r="I77" s="13">
        <v>42725.538645833331</v>
      </c>
      <c r="J77" s="7">
        <v>0</v>
      </c>
      <c r="K77" s="109" t="str">
        <f t="shared" ref="K77:K108" si="36">IF(ISEVEN(B77),(B77-1)&amp;"/"&amp;B77,B77&amp;"/"&amp;(B77+1))</f>
        <v>4027/4028</v>
      </c>
      <c r="L77" s="22" t="str">
        <f>VLOOKUP(A77,'Trips&amp;Operators'!$C$1:$G$99999,5,FALSE)</f>
        <v>DAVIS MICHAEL</v>
      </c>
      <c r="M77" s="6">
        <f t="shared" ref="M77:M108" si="37">I77-F77</f>
        <v>2.9571759259852115E-2</v>
      </c>
      <c r="N77" s="7">
        <f t="shared" si="33"/>
        <v>42.583333334187046</v>
      </c>
      <c r="O77" s="7"/>
      <c r="P77" s="7"/>
      <c r="Q77" s="23"/>
      <c r="R77" s="23"/>
      <c r="S77" s="35">
        <f t="shared" si="34"/>
        <v>1</v>
      </c>
      <c r="T77" s="50" t="str">
        <f t="shared" ref="T77:T108" si="38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9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https://search-rtdc-monitor-bjffxe2xuh6vdkpspy63sjmuny.us-east-1.es.amazonaws.com/_plugin/kibana/#/discover/Steve-Slow-Train-Analysis-(2080s-and-2083s)?_g=(refreshInterval:(display:Off,section:0,value:0),time:(from:'2016-12-21 11:06:25-700',mode:absolute,to:'2016-12-21 13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7" s="52" t="str">
        <f t="shared" ref="W77:W108" si="40">IF(AA77&lt;IF(AG77="EC",23,5.65),"Y","N")</f>
        <v>N</v>
      </c>
      <c r="X77" s="177">
        <f t="shared" si="35"/>
        <v>1</v>
      </c>
      <c r="Y77" s="67">
        <f t="shared" ref="Y77:Y108" si="41">RIGHT(D77,LEN(D77)-4)/10000</f>
        <v>23.297499999999999</v>
      </c>
      <c r="Z77" s="67">
        <f t="shared" ref="Z77:Z108" si="42">RIGHT(H77,LEN(H77)-4)/10000</f>
        <v>1.3899999999999999E-2</v>
      </c>
      <c r="AA77" s="67">
        <f t="shared" ref="AA77:AA108" si="43">ABS(Z77-Y77)</f>
        <v>23.2836</v>
      </c>
      <c r="AB77" s="64" t="str">
        <f>VLOOKUP(A77,Enforcements!$C$7:$K$19,8,0)</f>
        <v>Speed (6)</v>
      </c>
      <c r="AC77" s="60" t="str">
        <f>VLOOKUP(A77,Enforcements!$C$7:$E$19,3,0)</f>
        <v>PERMANENT SPEED RESTRICTION</v>
      </c>
      <c r="AD77" s="61" t="str">
        <f t="shared" ref="AD77:AD108" si="44">IF(LEN(A77)=6,"0"&amp;A77,A77)</f>
        <v>0162-21</v>
      </c>
      <c r="AE77" s="91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77" s="88" t="str">
        <f t="shared" ref="AF77:AF140" si="4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/stypes="app*4028*20161221*" /stext=" 19:.+((SYSTEM_STATE.+slice.+state.+changed )|(ment ac)|(multiple cpu faults)|(system.+state.+changed )|(\[timeout)|(PRM\|1\|D)|(kpr)|(kdp)|(\|lc)|(penalty))"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92" t="str">
        <f t="shared" si="15"/>
        <v>"%USERPROFILE%\Documents\GitHub\eaglep3\Utilities\RefineRTDCRunTimes.py" --tripid 162-21 --locoid 4028 --swversion DE.1.0.8.0 --startMP 204:232975 --initTime 2016-12-21T12:06:25 --startdatetime 2016-12-21T12:13:04 --delay 2 --endMP 204:139 --enddatetime 2016-12-21T12:55:39 --enforcementcount 0 &gt;&gt;C:\Users\stu\Documents\GitHub\eaglep3-reporting\EC\2016-12-21-refined-times.txt</v>
      </c>
      <c r="AI77" s="119" t="str">
        <f t="shared" si="16"/>
        <v>echo {"issue":{"subject":"","project_id":79,"tracker_id":40,"status_id":1,"priority_id":2,"assigned_to_id":23,"start_date":"2016-12-21","description":"","custom_fields":[{"id":1,"name":"Subdivision","value":"EC"},{"id":4,"name":"Milepost","value":"0.0139"},{"id":17,"name":"Train ID","value":"162-21"},{"id":16,"name":"Locomotive ID","value":"4028"},{"id":130,"name":"Impact","value":""},{"id":150,"name":"Time of Event (Mountain Time)","value":"12:55:39"},{"id":151,"name":"Denver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542</v>
      </c>
      <c r="B78" s="7">
        <v>4003</v>
      </c>
      <c r="C78" s="22" t="s">
        <v>205</v>
      </c>
      <c r="D78" s="22" t="s">
        <v>231</v>
      </c>
      <c r="E78" s="13">
        <v>42725.47550925926</v>
      </c>
      <c r="F78" s="13">
        <v>42725.479710648149</v>
      </c>
      <c r="G78" s="7">
        <v>2</v>
      </c>
      <c r="H78" s="22" t="s">
        <v>703</v>
      </c>
      <c r="I78" s="13">
        <v>42725.504976851851</v>
      </c>
      <c r="J78" s="7">
        <v>0</v>
      </c>
      <c r="K78" s="109" t="str">
        <f t="shared" si="36"/>
        <v>4003/4004</v>
      </c>
      <c r="L78" s="22" t="str">
        <f>VLOOKUP(A78,'Trips&amp;Operators'!$C$1:$G$99999,5,FALSE)</f>
        <v>COMELLA JUSTIN</v>
      </c>
      <c r="M78" s="6">
        <f t="shared" si="37"/>
        <v>2.5266203701903578E-2</v>
      </c>
      <c r="N78" s="7">
        <f t="shared" si="33"/>
        <v>36.383333330741152</v>
      </c>
      <c r="O78" s="7"/>
      <c r="P78" s="7"/>
      <c r="Q78" s="23"/>
      <c r="R78" s="23"/>
      <c r="S78" s="35">
        <f t="shared" si="34"/>
        <v>1</v>
      </c>
      <c r="T78" s="50" t="str">
        <f t="shared" si="38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10:24:44-700',mode:absolute,to:'2016-12-21 13:07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8" s="52" t="str">
        <f t="shared" si="40"/>
        <v>N</v>
      </c>
      <c r="X78" s="177">
        <f t="shared" si="35"/>
        <v>1</v>
      </c>
      <c r="Y78" s="67">
        <f t="shared" si="41"/>
        <v>4.7100000000000003E-2</v>
      </c>
      <c r="Z78" s="67">
        <f t="shared" si="42"/>
        <v>23.331399999999999</v>
      </c>
      <c r="AA78" s="67">
        <f t="shared" si="43"/>
        <v>23.284299999999998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44"/>
        <v>0163-21</v>
      </c>
      <c r="AE78" s="91" t="str">
        <f t="shared" si="45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78" s="88" t="str">
        <f t="shared" si="46"/>
        <v>"C:\Program Files (x86)\AstroGrep\AstroGrep.exe" /spath="%USERPROFILE%\AppData\Local\Temp\OnboardLogs" /stypes="app*4003*20161221*" /stext=" 19:.+((SYSTEM_STATE.+slice.+state.+changed )|(ment ac)|(multiple cpu faults)|(system.+state.+changed )|(\[timeout)|(PRM\|1\|D)|(kpr)|(kdp)|(\|lc)|(penalty))" /e /r /s</v>
      </c>
      <c r="AG78" s="1" t="str">
        <f t="shared" si="47"/>
        <v>EC</v>
      </c>
      <c r="AH78" s="92" t="str">
        <f t="shared" ref="AH78:AH139" si="4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163-21 --locoid 4003 --swversion DE.1.0.8.0 --startMP 204:471 --initTime 2016-12-21T11:24:44 --startdatetime 2016-12-21T11:30:47 --delay 2 --endMP 204:233314 --enddatetime 2016-12-21T12:07:10 --enforcementcount 0 &gt;&gt;C:\Users\stu\Documents\GitHub\eaglep3-reporting\EC\2016-12-21-refined-times.txt</v>
      </c>
      <c r="AI78" s="119" t="str">
        <f t="shared" ref="AI78:AI139" si="4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{"issue":{"subject":"","project_id":79,"tracker_id":40,"status_id":1,"priority_id":2,"assigned_to_id":23,"start_date":"2016-12-21","description":"","custom_fields":[{"id":1,"name":"Subdivision","value":"EC"},{"id":4,"name":"Milepost","value":"23.3314"},{"id":17,"name":"Train ID","value":"163-21"},{"id":16,"name":"Locomotive ID","value":"4003"},{"id":130,"name":"Impact","value":""},{"id":150,"name":"Time of Event (Mountain Time)","value":"12:07:10"},{"id":151,"name":"Denver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552</v>
      </c>
      <c r="B79" s="7">
        <v>4004</v>
      </c>
      <c r="C79" s="22" t="s">
        <v>205</v>
      </c>
      <c r="D79" s="22" t="s">
        <v>273</v>
      </c>
      <c r="E79" s="13">
        <v>42725.511840277781</v>
      </c>
      <c r="F79" s="13">
        <v>42725.518368055556</v>
      </c>
      <c r="G79" s="7">
        <v>1</v>
      </c>
      <c r="H79" s="22" t="s">
        <v>211</v>
      </c>
      <c r="I79" s="13">
        <v>42725.545497685183</v>
      </c>
      <c r="J79" s="7">
        <v>0</v>
      </c>
      <c r="K79" s="109" t="str">
        <f t="shared" si="36"/>
        <v>4003/4004</v>
      </c>
      <c r="L79" s="22" t="str">
        <f>VLOOKUP(A79,'Trips&amp;Operators'!$C$1:$G$99999,5,FALSE)</f>
        <v>COMELLA JUSTIN</v>
      </c>
      <c r="M79" s="6">
        <f t="shared" si="37"/>
        <v>2.7129629626870155E-2</v>
      </c>
      <c r="N79" s="7">
        <f t="shared" si="33"/>
        <v>39.066666662693024</v>
      </c>
      <c r="O79" s="7"/>
      <c r="P79" s="7"/>
      <c r="Q79" s="23"/>
      <c r="R79" s="23"/>
      <c r="S79" s="35">
        <f t="shared" si="34"/>
        <v>1</v>
      </c>
      <c r="T79" s="50" t="str">
        <f t="shared" si="38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11:17:03-700',mode:absolute,to:'2016-12-21 14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9" s="52" t="str">
        <f t="shared" si="40"/>
        <v>N</v>
      </c>
      <c r="X79" s="177">
        <f t="shared" si="35"/>
        <v>1</v>
      </c>
      <c r="Y79" s="67">
        <f t="shared" si="41"/>
        <v>23.298500000000001</v>
      </c>
      <c r="Z79" s="67">
        <f t="shared" si="42"/>
        <v>1.4999999999999999E-2</v>
      </c>
      <c r="AA79" s="67">
        <f t="shared" si="43"/>
        <v>23.2835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44"/>
        <v>0164-21</v>
      </c>
      <c r="AE79" s="91" t="str">
        <f t="shared" si="45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79" s="88" t="str">
        <f t="shared" si="46"/>
        <v>"C:\Program Files (x86)\AstroGrep\AstroGrep.exe" /spath="%USERPROFILE%\AppData\Local\Temp\OnboardLogs" /stypes="app*4004*20161221*" /stext=" 20:.+((SYSTEM_STATE.+slice.+state.+changed )|(ment ac)|(multiple cpu faults)|(system.+state.+changed )|(\[timeout)|(PRM\|1\|D)|(kpr)|(kdp)|(\|lc)|(penalty))" /e /r /s</v>
      </c>
      <c r="AG79" s="1" t="str">
        <f t="shared" si="47"/>
        <v>EC</v>
      </c>
      <c r="AH79" s="92" t="str">
        <f t="shared" si="48"/>
        <v>"%USERPROFILE%\Documents\GitHub\eaglep3\Utilities\RefineRTDCRunTimes.py" --tripid 164-21 --locoid 4004 --swversion DE.1.0.8.0 --startMP 204:232985 --initTime 2016-12-21T12:17:03 --startdatetime 2016-12-21T12:26:27 --delay 1 --endMP 204:150 --enddatetime 2016-12-21T13:05:31 --enforcementcount 0 &gt;&gt;C:\Users\stu\Documents\GitHub\eaglep3-reporting\EC\2016-12-21-refined-times.txt</v>
      </c>
      <c r="AI79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{"issue":{"subject":"","project_id":79,"tracker_id":40,"status_id":1,"priority_id":2,"assigned_to_id":23,"start_date":"2016-12-21","description":"","custom_fields":[{"id":1,"name":"Subdivision","value":"EC"},{"id":4,"name":"Milepost","value":"0.015"},{"id":17,"name":"Train ID","value":"164-21"},{"id":16,"name":"Locomotive ID","value":"4004"},{"id":130,"name":"Impact","value":""},{"id":150,"name":"Time of Event (Mountain Time)","value":"13:05:31"},{"id":151,"name":"Denver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545</v>
      </c>
      <c r="B80" s="7">
        <v>4020</v>
      </c>
      <c r="C80" s="22" t="s">
        <v>205</v>
      </c>
      <c r="D80" s="22" t="s">
        <v>193</v>
      </c>
      <c r="E80" s="13">
        <v>42725.485613425924</v>
      </c>
      <c r="F80" s="13">
        <v>42725.489814814813</v>
      </c>
      <c r="G80" s="7">
        <v>1</v>
      </c>
      <c r="H80" s="22" t="s">
        <v>704</v>
      </c>
      <c r="I80" s="13">
        <v>42725.51390046296</v>
      </c>
      <c r="J80" s="7">
        <v>0</v>
      </c>
      <c r="K80" s="109" t="str">
        <f t="shared" si="36"/>
        <v>4019/4020</v>
      </c>
      <c r="L80" s="22" t="str">
        <f>VLOOKUP(A80,'Trips&amp;Operators'!$C$1:$G$99999,5,FALSE)</f>
        <v>HELVIE ADAM</v>
      </c>
      <c r="M80" s="6">
        <f t="shared" si="37"/>
        <v>2.4085648146865424E-2</v>
      </c>
      <c r="N80" s="7">
        <f t="shared" si="33"/>
        <v>34.68333333148621</v>
      </c>
      <c r="O80" s="7"/>
      <c r="P80" s="7"/>
      <c r="Q80" s="23"/>
      <c r="R80" s="23"/>
      <c r="S80" s="35">
        <f t="shared" si="34"/>
        <v>1</v>
      </c>
      <c r="T80" s="50" t="str">
        <f t="shared" si="38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10:39:17-700',mode:absolute,to:'2016-12-21 13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0" s="52" t="str">
        <f t="shared" si="40"/>
        <v>N</v>
      </c>
      <c r="X80" s="177">
        <f t="shared" si="35"/>
        <v>1</v>
      </c>
      <c r="Y80" s="67">
        <f t="shared" si="41"/>
        <v>4.4699999999999997E-2</v>
      </c>
      <c r="Z80" s="67">
        <f t="shared" si="42"/>
        <v>23.3276</v>
      </c>
      <c r="AA80" s="67">
        <f t="shared" si="43"/>
        <v>23.282900000000001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44"/>
        <v>0165-21</v>
      </c>
      <c r="AE80" s="91" t="str">
        <f t="shared" si="45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80" s="88" t="str">
        <f t="shared" si="46"/>
        <v>"C:\Program Files (x86)\AstroGrep\AstroGrep.exe" /spath="%USERPROFILE%\AppData\Local\Temp\OnboardLogs" /stypes="app*4020*20161221*" /stext=" 19:.+((SYSTEM_STATE.+slice.+state.+changed )|(ment ac)|(multiple cpu faults)|(system.+state.+changed )|(\[timeout)|(PRM\|1\|D)|(kpr)|(kdp)|(\|lc)|(penalty))" /e /r /s</v>
      </c>
      <c r="AG80" s="1" t="str">
        <f t="shared" si="47"/>
        <v>EC</v>
      </c>
      <c r="AH80" s="92" t="str">
        <f t="shared" si="48"/>
        <v>"%USERPROFILE%\Documents\GitHub\eaglep3\Utilities\RefineRTDCRunTimes.py" --tripid 165-21 --locoid 4020 --swversion DE.1.0.8.0 --startMP 204:447 --initTime 2016-12-21T11:39:17 --startdatetime 2016-12-21T11:45:20 --delay 1 --endMP 204:233276 --enddatetime 2016-12-21T12:20:01 --enforcementcount 0 &gt;&gt;C:\Users\stu\Documents\GitHub\eaglep3-reporting\EC\2016-12-21-refined-times.txt</v>
      </c>
      <c r="AI80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{"issue":{"subject":"","project_id":79,"tracker_id":40,"status_id":1,"priority_id":2,"assigned_to_id":23,"start_date":"2016-12-21","description":"","custom_fields":[{"id":1,"name":"Subdivision","value":"EC"},{"id":4,"name":"Milepost","value":"23.3276"},{"id":17,"name":"Train ID","value":"165-21"},{"id":16,"name":"Locomotive ID","value":"4020"},{"id":130,"name":"Impact","value":""},{"id":150,"name":"Time of Event (Mountain Time)","value":"12:20:01"},{"id":151,"name":"Denver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556</v>
      </c>
      <c r="B81" s="7">
        <v>4019</v>
      </c>
      <c r="C81" s="22" t="s">
        <v>205</v>
      </c>
      <c r="D81" s="22" t="s">
        <v>389</v>
      </c>
      <c r="E81" s="13">
        <v>42725.524050925924</v>
      </c>
      <c r="F81" s="13">
        <v>42725.528634259259</v>
      </c>
      <c r="G81" s="7">
        <v>2</v>
      </c>
      <c r="H81" s="22" t="s">
        <v>407</v>
      </c>
      <c r="I81" s="13">
        <v>42725.555543981478</v>
      </c>
      <c r="J81" s="7">
        <v>0</v>
      </c>
      <c r="K81" s="109" t="str">
        <f t="shared" si="36"/>
        <v>4019/4020</v>
      </c>
      <c r="L81" s="22" t="str">
        <f>VLOOKUP(A81,'Trips&amp;Operators'!$C$1:$G$99999,5,FALSE)</f>
        <v>HELVIE ADAM</v>
      </c>
      <c r="M81" s="6">
        <f t="shared" si="37"/>
        <v>2.6909722218988463E-2</v>
      </c>
      <c r="N81" s="7">
        <f t="shared" si="33"/>
        <v>38.749999995343387</v>
      </c>
      <c r="O81" s="7"/>
      <c r="P81" s="7"/>
      <c r="Q81" s="23"/>
      <c r="R81" s="23"/>
      <c r="S81" s="35">
        <f t="shared" si="34"/>
        <v>1</v>
      </c>
      <c r="T81" s="50" t="str">
        <f t="shared" si="38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11:34:38-700',mode:absolute,to:'2016-12-21 14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1" s="52" t="str">
        <f t="shared" si="40"/>
        <v>N</v>
      </c>
      <c r="X81" s="177">
        <f t="shared" si="35"/>
        <v>1</v>
      </c>
      <c r="Y81" s="67">
        <f t="shared" si="41"/>
        <v>23.296700000000001</v>
      </c>
      <c r="Z81" s="67">
        <f t="shared" si="42"/>
        <v>1.6500000000000001E-2</v>
      </c>
      <c r="AA81" s="67">
        <f t="shared" si="43"/>
        <v>23.280200000000001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44"/>
        <v>0166-21</v>
      </c>
      <c r="AE81" s="91" t="str">
        <f t="shared" si="45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81" s="88" t="str">
        <f t="shared" si="46"/>
        <v>"C:\Program Files (x86)\AstroGrep\AstroGrep.exe" /spath="%USERPROFILE%\AppData\Local\Temp\OnboardLogs" /stypes="app*4019*20161221*" /stext=" 20:.+((SYSTEM_STATE.+slice.+state.+changed )|(ment ac)|(multiple cpu faults)|(system.+state.+changed )|(\[timeout)|(PRM\|1\|D)|(kpr)|(kdp)|(\|lc)|(penalty))" /e /r /s</v>
      </c>
      <c r="AG81" s="1" t="str">
        <f t="shared" si="47"/>
        <v>EC</v>
      </c>
      <c r="AH81" s="92" t="str">
        <f t="shared" si="48"/>
        <v>"%USERPROFILE%\Documents\GitHub\eaglep3\Utilities\RefineRTDCRunTimes.py" --tripid 166-21 --locoid 4019 --swversion DE.1.0.8.0 --startMP 204:232967 --initTime 2016-12-21T12:34:38 --startdatetime 2016-12-21T12:41:14 --delay 2 --endMP 204:165 --enddatetime 2016-12-21T13:19:59 --enforcementcount 0 &gt;&gt;C:\Users\stu\Documents\GitHub\eaglep3-reporting\EC\2016-12-21-refined-times.txt</v>
      </c>
      <c r="AI81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{"issue":{"subject":"","project_id":79,"tracker_id":40,"status_id":1,"priority_id":2,"assigned_to_id":23,"start_date":"2016-12-21","description":"","custom_fields":[{"id":1,"name":"Subdivision","value":"EC"},{"id":4,"name":"Milepost","value":"0.0165"},{"id":17,"name":"Train ID","value":"166-21"},{"id":16,"name":"Locomotive ID","value":"4019"},{"id":130,"name":"Impact","value":""},{"id":150,"name":"Time of Event (Mountain Time)","value":"13:19:59"},{"id":151,"name":"Denver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549</v>
      </c>
      <c r="B82" s="7">
        <v>4016</v>
      </c>
      <c r="C82" s="22" t="s">
        <v>205</v>
      </c>
      <c r="D82" s="22" t="s">
        <v>243</v>
      </c>
      <c r="E82" s="13">
        <v>42725.49763888889</v>
      </c>
      <c r="F82" s="13">
        <v>42725.500185185185</v>
      </c>
      <c r="G82" s="7">
        <v>1</v>
      </c>
      <c r="H82" s="22" t="s">
        <v>387</v>
      </c>
      <c r="I82" s="13">
        <v>42725.525138888886</v>
      </c>
      <c r="J82" s="7">
        <v>0</v>
      </c>
      <c r="K82" s="109" t="str">
        <f t="shared" si="36"/>
        <v>4015/4016</v>
      </c>
      <c r="L82" s="22" t="str">
        <f>VLOOKUP(A82,'Trips&amp;Operators'!$C$1:$G$99999,5,FALSE)</f>
        <v>BARTLETT KIANDRA</v>
      </c>
      <c r="M82" s="6">
        <f t="shared" si="37"/>
        <v>2.495370370161254E-2</v>
      </c>
      <c r="N82" s="7">
        <f t="shared" si="33"/>
        <v>35.933333330322057</v>
      </c>
      <c r="O82" s="7"/>
      <c r="P82" s="7"/>
      <c r="Q82" s="23"/>
      <c r="R82" s="23"/>
      <c r="S82" s="35">
        <f t="shared" si="34"/>
        <v>1</v>
      </c>
      <c r="T82" s="50" t="str">
        <f t="shared" si="38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10:56:36-700',mode:absolute,to:'2016-12-21 13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2" s="52" t="str">
        <f t="shared" si="40"/>
        <v>N</v>
      </c>
      <c r="X82" s="177">
        <f t="shared" si="35"/>
        <v>1</v>
      </c>
      <c r="Y82" s="67">
        <f t="shared" si="41"/>
        <v>4.58E-2</v>
      </c>
      <c r="Z82" s="67">
        <f t="shared" si="42"/>
        <v>23.3325</v>
      </c>
      <c r="AA82" s="67">
        <f t="shared" si="43"/>
        <v>23.2867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44"/>
        <v>0167-21</v>
      </c>
      <c r="AE82" s="91" t="str">
        <f t="shared" si="45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82" s="88" t="str">
        <f t="shared" si="46"/>
        <v>"C:\Program Files (x86)\AstroGrep\AstroGrep.exe" /spath="%USERPROFILE%\AppData\Local\Temp\OnboardLogs" /stypes="app*4016*20161221*" /stext=" 19:.+((SYSTEM_STATE.+slice.+state.+changed )|(ment ac)|(multiple cpu faults)|(system.+state.+changed )|(\[timeout)|(PRM\|1\|D)|(kpr)|(kdp)|(\|lc)|(penalty))" /e /r /s</v>
      </c>
      <c r="AG82" s="1" t="str">
        <f t="shared" si="47"/>
        <v>EC</v>
      </c>
      <c r="AH82" s="92" t="str">
        <f t="shared" si="48"/>
        <v>"%USERPROFILE%\Documents\GitHub\eaglep3\Utilities\RefineRTDCRunTimes.py" --tripid 167-21 --locoid 4016 --swversion DE.1.0.8.0 --startMP 204:458 --initTime 2016-12-21T11:56:36 --startdatetime 2016-12-21T12:00:16 --delay 1 --endMP 204:233325 --enddatetime 2016-12-21T12:36:12 --enforcementcount 0 &gt;&gt;C:\Users\stu\Documents\GitHub\eaglep3-reporting\EC\2016-12-21-refined-times.txt</v>
      </c>
      <c r="AI82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{"issue":{"subject":"","project_id":79,"tracker_id":40,"status_id":1,"priority_id":2,"assigned_to_id":23,"start_date":"2016-12-21","description":"","custom_fields":[{"id":1,"name":"Subdivision","value":"EC"},{"id":4,"name":"Milepost","value":"23.3325"},{"id":17,"name":"Train ID","value":"167-21"},{"id":16,"name":"Locomotive ID","value":"4016"},{"id":130,"name":"Impact","value":""},{"id":150,"name":"Time of Event (Mountain Time)","value":"12:36:12"},{"id":151,"name":"Denver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558</v>
      </c>
      <c r="B83" s="7">
        <v>4015</v>
      </c>
      <c r="C83" s="22" t="s">
        <v>205</v>
      </c>
      <c r="D83" s="22" t="s">
        <v>705</v>
      </c>
      <c r="E83" s="13">
        <v>42725.527291666665</v>
      </c>
      <c r="F83" s="13">
        <v>42725.539189814815</v>
      </c>
      <c r="G83" s="7">
        <v>1</v>
      </c>
      <c r="H83" s="22" t="s">
        <v>269</v>
      </c>
      <c r="I83" s="13">
        <v>42725.565729166665</v>
      </c>
      <c r="J83" s="7">
        <v>0</v>
      </c>
      <c r="K83" s="109" t="str">
        <f t="shared" si="36"/>
        <v>4015/4016</v>
      </c>
      <c r="L83" s="22" t="str">
        <f>VLOOKUP(A83,'Trips&amp;Operators'!$C$1:$G$99999,5,FALSE)</f>
        <v>BARTLETT KIANDRA</v>
      </c>
      <c r="M83" s="6">
        <f t="shared" si="37"/>
        <v>2.6539351849351078E-2</v>
      </c>
      <c r="N83" s="7">
        <f t="shared" si="33"/>
        <v>38.216666663065553</v>
      </c>
      <c r="O83" s="7"/>
      <c r="P83" s="7"/>
      <c r="Q83" s="23"/>
      <c r="R83" s="23"/>
      <c r="S83" s="35">
        <f t="shared" si="34"/>
        <v>1</v>
      </c>
      <c r="T83" s="50" t="str">
        <f t="shared" si="38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11:39:18-700',mode:absolute,to:'2016-12-21 14:34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3" s="52" t="str">
        <f t="shared" si="40"/>
        <v>N</v>
      </c>
      <c r="X83" s="177">
        <f t="shared" si="35"/>
        <v>1</v>
      </c>
      <c r="Y83" s="67">
        <f t="shared" si="41"/>
        <v>23.302299999999999</v>
      </c>
      <c r="Z83" s="67">
        <f t="shared" si="42"/>
        <v>1.6E-2</v>
      </c>
      <c r="AA83" s="67">
        <f t="shared" si="43"/>
        <v>23.286300000000001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44"/>
        <v>0168-21</v>
      </c>
      <c r="AE83" s="91" t="str">
        <f t="shared" si="45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83" s="88" t="str">
        <f t="shared" si="46"/>
        <v>"C:\Program Files (x86)\AstroGrep\AstroGrep.exe" /spath="%USERPROFILE%\AppData\Local\Temp\OnboardLogs" /stypes="app*4015*20161221*" /stext=" 20:.+((SYSTEM_STATE.+slice.+state.+changed )|(ment ac)|(multiple cpu faults)|(system.+state.+changed )|(\[timeout)|(PRM\|1\|D)|(kpr)|(kdp)|(\|lc)|(penalty))" /e /r /s</v>
      </c>
      <c r="AG83" s="1" t="str">
        <f t="shared" si="47"/>
        <v>EC</v>
      </c>
      <c r="AH83" s="92" t="str">
        <f t="shared" si="48"/>
        <v>"%USERPROFILE%\Documents\GitHub\eaglep3\Utilities\RefineRTDCRunTimes.py" --tripid 168-21 --locoid 4015 --swversion DE.1.0.8.0 --startMP 204:233023 --initTime 2016-12-21T12:39:18 --startdatetime 2016-12-21T12:56:26 --delay 1 --endMP 204:160 --enddatetime 2016-12-21T13:34:39 --enforcementcount 0 &gt;&gt;C:\Users\stu\Documents\GitHub\eaglep3-reporting\EC\2016-12-21-refined-times.txt</v>
      </c>
      <c r="AI83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{"issue":{"subject":"","project_id":79,"tracker_id":40,"status_id":1,"priority_id":2,"assigned_to_id":23,"start_date":"2016-12-21","description":"","custom_fields":[{"id":1,"name":"Subdivision","value":"EC"},{"id":4,"name":"Milepost","value":"0.016"},{"id":17,"name":"Train ID","value":"168-21"},{"id":16,"name":"Locomotive ID","value":"4015"},{"id":130,"name":"Impact","value":""},{"id":150,"name":"Time of Event (Mountain Time)","value":"13:34:39"},{"id":151,"name":"Denver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550</v>
      </c>
      <c r="B84" s="7">
        <v>4009</v>
      </c>
      <c r="C84" s="22" t="s">
        <v>205</v>
      </c>
      <c r="D84" s="22" t="s">
        <v>243</v>
      </c>
      <c r="E84" s="13">
        <v>42725.506863425922</v>
      </c>
      <c r="F84" s="13">
        <v>42725.510983796295</v>
      </c>
      <c r="G84" s="7">
        <v>3</v>
      </c>
      <c r="H84" s="22" t="s">
        <v>706</v>
      </c>
      <c r="I84" s="13">
        <v>42725.53496527778</v>
      </c>
      <c r="J84" s="7">
        <v>0</v>
      </c>
      <c r="K84" s="109" t="str">
        <f t="shared" si="36"/>
        <v>4009/4010</v>
      </c>
      <c r="L84" s="22" t="str">
        <f>VLOOKUP(A84,'Trips&amp;Operators'!$C$1:$G$99999,5,FALSE)</f>
        <v>LEVIN SCOTT</v>
      </c>
      <c r="M84" s="6">
        <f t="shared" si="37"/>
        <v>2.3981481484952383E-2</v>
      </c>
      <c r="N84" s="7">
        <f t="shared" si="33"/>
        <v>34.533333338331431</v>
      </c>
      <c r="O84" s="7"/>
      <c r="P84" s="7"/>
      <c r="Q84" s="23"/>
      <c r="R84" s="23"/>
      <c r="S84" s="35">
        <f t="shared" si="34"/>
        <v>1</v>
      </c>
      <c r="T84" s="50" t="str">
        <f t="shared" si="38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11:09:53-700',mode:absolute,to:'2016-12-21 13:50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4" s="52" t="str">
        <f t="shared" si="40"/>
        <v>N</v>
      </c>
      <c r="X84" s="177">
        <f t="shared" si="35"/>
        <v>1</v>
      </c>
      <c r="Y84" s="67">
        <f t="shared" si="41"/>
        <v>4.58E-2</v>
      </c>
      <c r="Z84" s="67">
        <f t="shared" si="42"/>
        <v>23.334099999999999</v>
      </c>
      <c r="AA84" s="67">
        <f t="shared" si="43"/>
        <v>23.2883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44"/>
        <v>0169-21</v>
      </c>
      <c r="AE84" s="91" t="str">
        <f t="shared" si="45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84" s="88" t="str">
        <f t="shared" si="46"/>
        <v>"C:\Program Files (x86)\AstroGrep\AstroGrep.exe" /spath="%USERPROFILE%\AppData\Local\Temp\OnboardLogs" /stypes="app*4009*20161221*" /stext=" 19:.+((SYSTEM_STATE.+slice.+state.+changed )|(ment ac)|(multiple cpu faults)|(system.+state.+changed )|(\[timeout)|(PRM\|1\|D)|(kpr)|(kdp)|(\|lc)|(penalty))" /e /r /s</v>
      </c>
      <c r="AG84" s="1" t="str">
        <f t="shared" si="47"/>
        <v>EC</v>
      </c>
      <c r="AH84" s="92" t="str">
        <f t="shared" si="48"/>
        <v>"%USERPROFILE%\Documents\GitHub\eaglep3\Utilities\RefineRTDCRunTimes.py" --tripid 169-21 --locoid 4009 --swversion DE.1.0.8.0 --startMP 204:458 --initTime 2016-12-21T12:09:53 --startdatetime 2016-12-21T12:15:49 --delay 3 --endMP 204:233341 --enddatetime 2016-12-21T12:50:21 --enforcementcount 0 &gt;&gt;C:\Users\stu\Documents\GitHub\eaglep3-reporting\EC\2016-12-21-refined-times.txt</v>
      </c>
      <c r="AI84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{"issue":{"subject":"","project_id":79,"tracker_id":40,"status_id":1,"priority_id":2,"assigned_to_id":23,"start_date":"2016-12-21","description":"","custom_fields":[{"id":1,"name":"Subdivision","value":"EC"},{"id":4,"name":"Milepost","value":"23.3341"},{"id":17,"name":"Train ID","value":"169-21"},{"id":16,"name":"Locomotive ID","value":"4009"},{"id":130,"name":"Impact","value":""},{"id":150,"name":"Time of Event (Mountain Time)","value":"12:50:21"},{"id":151,"name":"Denver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561</v>
      </c>
      <c r="B85" s="7">
        <v>4010</v>
      </c>
      <c r="C85" s="22" t="s">
        <v>205</v>
      </c>
      <c r="D85" s="22" t="s">
        <v>401</v>
      </c>
      <c r="E85" s="13">
        <v>42725.544687499998</v>
      </c>
      <c r="F85" s="13">
        <v>42725.549502314818</v>
      </c>
      <c r="G85" s="7">
        <v>1</v>
      </c>
      <c r="H85" s="22" t="s">
        <v>358</v>
      </c>
      <c r="I85" s="13">
        <v>42725.576273148145</v>
      </c>
      <c r="J85" s="7">
        <v>0</v>
      </c>
      <c r="K85" s="109" t="str">
        <f t="shared" si="36"/>
        <v>4009/4010</v>
      </c>
      <c r="L85" s="22" t="str">
        <f>VLOOKUP(A85,'Trips&amp;Operators'!$C$1:$G$99999,5,FALSE)</f>
        <v>LEVIN SCOTT</v>
      </c>
      <c r="M85" s="6">
        <f t="shared" si="37"/>
        <v>2.6770833326736465E-2</v>
      </c>
      <c r="N85" s="7">
        <f t="shared" si="33"/>
        <v>38.54999999050051</v>
      </c>
      <c r="O85" s="7"/>
      <c r="P85" s="7"/>
      <c r="Q85" s="23"/>
      <c r="R85" s="23"/>
      <c r="S85" s="35">
        <f t="shared" si="34"/>
        <v>1</v>
      </c>
      <c r="T85" s="50" t="str">
        <f t="shared" si="38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12:04:21-700',mode:absolute,to:'2016-12-21 14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5" s="52" t="str">
        <f t="shared" si="40"/>
        <v>N</v>
      </c>
      <c r="X85" s="177">
        <f t="shared" si="35"/>
        <v>1</v>
      </c>
      <c r="Y85" s="67">
        <f t="shared" si="41"/>
        <v>23.3034</v>
      </c>
      <c r="Z85" s="67">
        <f t="shared" si="42"/>
        <v>1.2999999999999999E-2</v>
      </c>
      <c r="AA85" s="67">
        <f t="shared" si="43"/>
        <v>23.290399999999998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44"/>
        <v>0170-21</v>
      </c>
      <c r="AE85" s="91" t="str">
        <f t="shared" si="45"/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AF85" s="88" t="str">
        <f t="shared" si="46"/>
        <v>"C:\Program Files (x86)\AstroGrep\AstroGrep.exe" /spath="%USERPROFILE%\AppData\Local\Temp\OnboardLogs" /stypes="app*4010*20161221*" /stext=" 20:.+((SYSTEM_STATE.+slice.+state.+changed )|(ment ac)|(multiple cpu faults)|(system.+state.+changed )|(\[timeout)|(PRM\|1\|D)|(kpr)|(kdp)|(\|lc)|(penalty))" /e /r /s</v>
      </c>
      <c r="AG85" s="1" t="str">
        <f t="shared" si="47"/>
        <v>EC</v>
      </c>
      <c r="AH85" s="92" t="str">
        <f t="shared" si="48"/>
        <v>"%USERPROFILE%\Documents\GitHub\eaglep3\Utilities\RefineRTDCRunTimes.py" --tripid 170-21 --locoid 4010 --swversion DE.1.0.8.0 --startMP 204:233034 --initTime 2016-12-21T13:04:21 --startdatetime 2016-12-21T13:11:17 --delay 1 --endMP 204:130 --enddatetime 2016-12-21T13:49:50 --enforcementcount 0 &gt;&gt;C:\Users\stu\Documents\GitHub\eaglep3-reporting\EC\2016-12-21-refined-times.txt</v>
      </c>
      <c r="AI85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{"issue":{"subject":"","project_id":79,"tracker_id":40,"status_id":1,"priority_id":2,"assigned_to_id":23,"start_date":"2016-12-21","description":"","custom_fields":[{"id":1,"name":"Subdivision","value":"EC"},{"id":4,"name":"Milepost","value":"0.013"},{"id":17,"name":"Train ID","value":"170-21"},{"id":16,"name":"Locomotive ID","value":"4010"},{"id":130,"name":"Impact","value":""},{"id":150,"name":"Time of Event (Mountain Time)","value":"13:49:50"},{"id":151,"name":"Denver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553</v>
      </c>
      <c r="B86" s="7">
        <v>4042</v>
      </c>
      <c r="C86" s="22" t="s">
        <v>205</v>
      </c>
      <c r="D86" s="22" t="s">
        <v>194</v>
      </c>
      <c r="E86" s="13">
        <v>42725.51871527778</v>
      </c>
      <c r="F86" s="13">
        <v>42725.521006944444</v>
      </c>
      <c r="G86" s="7">
        <v>1</v>
      </c>
      <c r="H86" s="22" t="s">
        <v>396</v>
      </c>
      <c r="I86" s="13">
        <v>42725.546585648146</v>
      </c>
      <c r="J86" s="7">
        <v>0</v>
      </c>
      <c r="K86" s="109" t="str">
        <f t="shared" si="36"/>
        <v>4041/4042</v>
      </c>
      <c r="L86" s="22" t="str">
        <f>VLOOKUP(A86,'Trips&amp;Operators'!$C$1:$G$99999,5,FALSE)</f>
        <v>BRANNON JEFFREY</v>
      </c>
      <c r="M86" s="6">
        <f t="shared" si="37"/>
        <v>2.5578703702194616E-2</v>
      </c>
      <c r="N86" s="7">
        <f t="shared" si="33"/>
        <v>36.833333331160247</v>
      </c>
      <c r="O86" s="7"/>
      <c r="P86" s="7"/>
      <c r="Q86" s="23"/>
      <c r="R86" s="23"/>
      <c r="S86" s="35">
        <f t="shared" si="34"/>
        <v>1</v>
      </c>
      <c r="T86" s="50" t="str">
        <f t="shared" si="38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11:26:57-700',mode:absolute,to:'2016-12-21 14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6" s="52" t="str">
        <f t="shared" si="40"/>
        <v>N</v>
      </c>
      <c r="X86" s="177">
        <f t="shared" si="35"/>
        <v>1</v>
      </c>
      <c r="Y86" s="67">
        <f t="shared" si="41"/>
        <v>4.5100000000000001E-2</v>
      </c>
      <c r="Z86" s="67">
        <f t="shared" si="42"/>
        <v>23.330200000000001</v>
      </c>
      <c r="AA86" s="67">
        <f t="shared" si="43"/>
        <v>23.2851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44"/>
        <v>0171-21</v>
      </c>
      <c r="AE86" s="91" t="str">
        <f t="shared" si="45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86" s="88" t="str">
        <f t="shared" si="46"/>
        <v>"C:\Program Files (x86)\AstroGrep\AstroGrep.exe" /spath="%USERPROFILE%\AppData\Local\Temp\OnboardLogs" /stypes="app*4042*20161221*" /stext=" 20:.+((SYSTEM_STATE.+slice.+state.+changed )|(ment ac)|(multiple cpu faults)|(system.+state.+changed )|(\[timeout)|(PRM\|1\|D)|(kpr)|(kdp)|(\|lc)|(penalty))" /e /r /s</v>
      </c>
      <c r="AG86" s="1" t="str">
        <f t="shared" si="47"/>
        <v>EC</v>
      </c>
      <c r="AH86" s="92" t="str">
        <f t="shared" si="48"/>
        <v>"%USERPROFILE%\Documents\GitHub\eaglep3\Utilities\RefineRTDCRunTimes.py" --tripid 171-21 --locoid 4042 --swversion DE.1.0.8.0 --startMP 204:451 --initTime 2016-12-21T12:26:57 --startdatetime 2016-12-21T12:30:15 --delay 1 --endMP 204:233302 --enddatetime 2016-12-21T13:07:05 --enforcementcount 0 &gt;&gt;C:\Users\stu\Documents\GitHub\eaglep3-reporting\EC\2016-12-21-refined-times.txt</v>
      </c>
      <c r="AI86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{"issue":{"subject":"","project_id":79,"tracker_id":40,"status_id":1,"priority_id":2,"assigned_to_id":23,"start_date":"2016-12-21","description":"","custom_fields":[{"id":1,"name":"Subdivision","value":"EC"},{"id":4,"name":"Milepost","value":"23.3302"},{"id":17,"name":"Train ID","value":"171-21"},{"id":16,"name":"Locomotive ID","value":"4042"},{"id":130,"name":"Impact","value":""},{"id":150,"name":"Time of Event (Mountain Time)","value":"13:07:05"},{"id":151,"name":"Denver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566</v>
      </c>
      <c r="B87" s="7">
        <v>4041</v>
      </c>
      <c r="C87" s="22" t="s">
        <v>205</v>
      </c>
      <c r="D87" s="22" t="s">
        <v>702</v>
      </c>
      <c r="E87" s="13">
        <v>42725.557430555556</v>
      </c>
      <c r="F87" s="13">
        <v>42725.559884259259</v>
      </c>
      <c r="G87" s="7">
        <v>1</v>
      </c>
      <c r="H87" s="22" t="s">
        <v>191</v>
      </c>
      <c r="I87" s="13">
        <v>42725.587754629632</v>
      </c>
      <c r="J87" s="7">
        <v>0</v>
      </c>
      <c r="K87" s="109" t="str">
        <f t="shared" si="36"/>
        <v>4041/4042</v>
      </c>
      <c r="L87" s="22" t="str">
        <f>VLOOKUP(A87,'Trips&amp;Operators'!$C$1:$G$99999,5,FALSE)</f>
        <v>BRANNON JEFFREY</v>
      </c>
      <c r="M87" s="6">
        <f t="shared" si="37"/>
        <v>2.7870370373420883E-2</v>
      </c>
      <c r="N87" s="7">
        <f t="shared" si="33"/>
        <v>40.133333337726071</v>
      </c>
      <c r="O87" s="7"/>
      <c r="P87" s="7"/>
      <c r="Q87" s="23"/>
      <c r="R87" s="23"/>
      <c r="S87" s="35">
        <f t="shared" si="34"/>
        <v>1</v>
      </c>
      <c r="T87" s="50" t="str">
        <f t="shared" si="38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12:22:42-700',mode:absolute,to:'2016-12-21 15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7" s="52" t="str">
        <f t="shared" si="40"/>
        <v>N</v>
      </c>
      <c r="X87" s="177">
        <f t="shared" si="35"/>
        <v>1</v>
      </c>
      <c r="Y87" s="67">
        <f t="shared" si="41"/>
        <v>23.2974</v>
      </c>
      <c r="Z87" s="67">
        <f t="shared" si="42"/>
        <v>1.49E-2</v>
      </c>
      <c r="AA87" s="67">
        <f t="shared" si="43"/>
        <v>23.282499999999999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44"/>
        <v>0172-21</v>
      </c>
      <c r="AE87" s="91" t="str">
        <f t="shared" si="45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87" s="88" t="str">
        <f t="shared" si="46"/>
        <v>"C:\Program Files (x86)\AstroGrep\AstroGrep.exe" /spath="%USERPROFILE%\AppData\Local\Temp\OnboardLogs" /stypes="app*4041*20161221*" /stext=" 21:.+((SYSTEM_STATE.+slice.+state.+changed )|(ment ac)|(multiple cpu faults)|(system.+state.+changed )|(\[timeout)|(PRM\|1\|D)|(kpr)|(kdp)|(\|lc)|(penalty))" /e /r /s</v>
      </c>
      <c r="AG87" s="1" t="str">
        <f t="shared" si="47"/>
        <v>EC</v>
      </c>
      <c r="AH87" s="92" t="str">
        <f t="shared" si="48"/>
        <v>"%USERPROFILE%\Documents\GitHub\eaglep3\Utilities\RefineRTDCRunTimes.py" --tripid 172-21 --locoid 4041 --swversion DE.1.0.8.0 --startMP 204:232974 --initTime 2016-12-21T13:22:42 --startdatetime 2016-12-21T13:26:14 --delay 1 --endMP 204:149 --enddatetime 2016-12-21T14:06:22 --enforcementcount 0 &gt;&gt;C:\Users\stu\Documents\GitHub\eaglep3-reporting\EC\2016-12-21-refined-times.txt</v>
      </c>
      <c r="AI87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{"issue":{"subject":"","project_id":79,"tracker_id":40,"status_id":1,"priority_id":2,"assigned_to_id":23,"start_date":"2016-12-21","description":"","custom_fields":[{"id":1,"name":"Subdivision","value":"EC"},{"id":4,"name":"Milepost","value":"0.0149"},{"id":17,"name":"Train ID","value":"172-21"},{"id":16,"name":"Locomotive ID","value":"4041"},{"id":130,"name":"Impact","value":""},{"id":150,"name":"Time of Event (Mountain Time)","value":"14:06:22"},{"id":151,"name":"Denver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559</v>
      </c>
      <c r="B88" s="7">
        <v>4044</v>
      </c>
      <c r="C88" s="22" t="s">
        <v>205</v>
      </c>
      <c r="D88" s="22" t="s">
        <v>230</v>
      </c>
      <c r="E88" s="13">
        <v>42725.528831018521</v>
      </c>
      <c r="F88" s="13">
        <v>42725.531435185185</v>
      </c>
      <c r="G88" s="7">
        <v>3</v>
      </c>
      <c r="H88" s="22" t="s">
        <v>707</v>
      </c>
      <c r="I88" s="13">
        <v>42725.557800925926</v>
      </c>
      <c r="J88" s="7">
        <v>0</v>
      </c>
      <c r="K88" s="109" t="str">
        <f t="shared" si="36"/>
        <v>4043/4044</v>
      </c>
      <c r="L88" s="22" t="str">
        <f>VLOOKUP(A88,'Trips&amp;Operators'!$C$1:$G$99999,5,FALSE)</f>
        <v>CLARK KATHLEEN</v>
      </c>
      <c r="M88" s="6">
        <f t="shared" si="37"/>
        <v>2.6365740741312038E-2</v>
      </c>
      <c r="N88" s="7">
        <f t="shared" si="33"/>
        <v>37.966666667489335</v>
      </c>
      <c r="O88" s="7"/>
      <c r="P88" s="7"/>
      <c r="Q88" s="23"/>
      <c r="R88" s="23"/>
      <c r="S88" s="35">
        <f t="shared" si="34"/>
        <v>1</v>
      </c>
      <c r="T88" s="50" t="str">
        <f t="shared" si="38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11:41:31-700',mode:absolute,to:'2016-12-21 14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8" s="52" t="str">
        <f t="shared" si="40"/>
        <v>N</v>
      </c>
      <c r="X88" s="177">
        <f t="shared" si="35"/>
        <v>1</v>
      </c>
      <c r="Y88" s="67">
        <f t="shared" si="41"/>
        <v>4.5999999999999999E-2</v>
      </c>
      <c r="Z88" s="67">
        <f t="shared" si="42"/>
        <v>23.328199999999999</v>
      </c>
      <c r="AA88" s="67">
        <f t="shared" si="43"/>
        <v>23.2822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44"/>
        <v>0173-21</v>
      </c>
      <c r="AE88" s="91" t="str">
        <f t="shared" si="45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88" s="88" t="str">
        <f t="shared" si="46"/>
        <v>"C:\Program Files (x86)\AstroGrep\AstroGrep.exe" /spath="%USERPROFILE%\AppData\Local\Temp\OnboardLogs" /stypes="app*4044*20161221*" /stext=" 20:.+((SYSTEM_STATE.+slice.+state.+changed )|(ment ac)|(multiple cpu faults)|(system.+state.+changed )|(\[timeout)|(PRM\|1\|D)|(kpr)|(kdp)|(\|lc)|(penalty))" /e /r /s</v>
      </c>
      <c r="AG88" s="1" t="str">
        <f t="shared" si="47"/>
        <v>EC</v>
      </c>
      <c r="AH88" s="92" t="str">
        <f t="shared" si="48"/>
        <v>"%USERPROFILE%\Documents\GitHub\eaglep3\Utilities\RefineRTDCRunTimes.py" --tripid 173-21 --locoid 4044 --swversion DE.1.0.8.0 --startMP 204:460 --initTime 2016-12-21T12:41:31 --startdatetime 2016-12-21T12:45:16 --delay 3 --endMP 204:233282 --enddatetime 2016-12-21T13:23:14 --enforcementcount 0 &gt;&gt;C:\Users\stu\Documents\GitHub\eaglep3-reporting\EC\2016-12-21-refined-times.txt</v>
      </c>
      <c r="AI88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{"issue":{"subject":"","project_id":79,"tracker_id":40,"status_id":1,"priority_id":2,"assigned_to_id":23,"start_date":"2016-12-21","description":"","custom_fields":[{"id":1,"name":"Subdivision","value":"EC"},{"id":4,"name":"Milepost","value":"23.3282"},{"id":17,"name":"Train ID","value":"173-21"},{"id":16,"name":"Locomotive ID","value":"4044"},{"id":130,"name":"Impact","value":""},{"id":150,"name":"Time of Event (Mountain Time)","value":"13:23:14"},{"id":151,"name":"Denver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568</v>
      </c>
      <c r="B89" s="7">
        <v>4043</v>
      </c>
      <c r="C89" s="22" t="s">
        <v>205</v>
      </c>
      <c r="D89" s="22" t="s">
        <v>307</v>
      </c>
      <c r="E89" s="13">
        <v>42725.565925925926</v>
      </c>
      <c r="F89" s="13">
        <v>42725.570300925923</v>
      </c>
      <c r="G89" s="7">
        <v>1</v>
      </c>
      <c r="H89" s="22" t="s">
        <v>353</v>
      </c>
      <c r="I89" s="13">
        <v>42725.599502314813</v>
      </c>
      <c r="J89" s="7">
        <v>0</v>
      </c>
      <c r="K89" s="109" t="str">
        <f t="shared" si="36"/>
        <v>4043/4044</v>
      </c>
      <c r="L89" s="22" t="str">
        <f>VLOOKUP(A89,'Trips&amp;Operators'!$C$1:$G$99999,5,FALSE)</f>
        <v>CLARK KATHLEEN</v>
      </c>
      <c r="M89" s="6">
        <f t="shared" si="37"/>
        <v>2.920138889021473E-2</v>
      </c>
      <c r="N89" s="7">
        <f t="shared" ref="N89:N120" si="50">24*60*SUM($M89:$M89)</f>
        <v>42.050000001909211</v>
      </c>
      <c r="O89" s="7"/>
      <c r="P89" s="7"/>
      <c r="Q89" s="23"/>
      <c r="R89" s="23"/>
      <c r="S89" s="35">
        <f t="shared" ref="S89:S120" si="51">SUM(U89:U89)/IF(AG89="EC",12,1)</f>
        <v>1</v>
      </c>
      <c r="T89" s="50" t="str">
        <f t="shared" si="38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12:34:56-700',mode:absolute,to:'2016-12-21 15:23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9" s="52" t="str">
        <f t="shared" si="40"/>
        <v>N</v>
      </c>
      <c r="X89" s="177">
        <f t="shared" si="35"/>
        <v>1</v>
      </c>
      <c r="Y89" s="67">
        <f t="shared" si="41"/>
        <v>23.297799999999999</v>
      </c>
      <c r="Z89" s="67">
        <f t="shared" si="42"/>
        <v>1.7000000000000001E-2</v>
      </c>
      <c r="AA89" s="67">
        <f t="shared" si="43"/>
        <v>23.280799999999999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44"/>
        <v>0174-21</v>
      </c>
      <c r="AE89" s="91" t="str">
        <f t="shared" si="45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89" s="88" t="str">
        <f t="shared" si="46"/>
        <v>"C:\Program Files (x86)\AstroGrep\AstroGrep.exe" /spath="%USERPROFILE%\AppData\Local\Temp\OnboardLogs" /stypes="app*4043*20161221*" /stext=" 21:.+((SYSTEM_STATE.+slice.+state.+changed )|(ment ac)|(multiple cpu faults)|(system.+state.+changed )|(\[timeout)|(PRM\|1\|D)|(kpr)|(kdp)|(\|lc)|(penalty))" /e /r /s</v>
      </c>
      <c r="AG89" s="1" t="str">
        <f t="shared" si="47"/>
        <v>EC</v>
      </c>
      <c r="AH89" s="92" t="str">
        <f t="shared" si="48"/>
        <v>"%USERPROFILE%\Documents\GitHub\eaglep3\Utilities\RefineRTDCRunTimes.py" --tripid 174-21 --locoid 4043 --swversion DE.1.0.8.0 --startMP 204:232978 --initTime 2016-12-21T13:34:56 --startdatetime 2016-12-21T13:41:14 --delay 1 --endMP 204:170 --enddatetime 2016-12-21T14:23:17 --enforcementcount 0 &gt;&gt;C:\Users\stu\Documents\GitHub\eaglep3-reporting\EC\2016-12-21-refined-times.txt</v>
      </c>
      <c r="AI89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{"issue":{"subject":"","project_id":79,"tracker_id":40,"status_id":1,"priority_id":2,"assigned_to_id":23,"start_date":"2016-12-21","description":"","custom_fields":[{"id":1,"name":"Subdivision","value":"EC"},{"id":4,"name":"Milepost","value":"0.017"},{"id":17,"name":"Train ID","value":"174-21"},{"id":16,"name":"Locomotive ID","value":"4043"},{"id":130,"name":"Impact","value":""},{"id":150,"name":"Time of Event (Mountain Time)","value":"14:23:17"},{"id":151,"name":"Denver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560</v>
      </c>
      <c r="B90" s="7">
        <v>4027</v>
      </c>
      <c r="C90" s="22" t="s">
        <v>205</v>
      </c>
      <c r="D90" s="22" t="s">
        <v>228</v>
      </c>
      <c r="E90" s="13">
        <v>42725.540266203701</v>
      </c>
      <c r="F90" s="13">
        <v>42725.542395833334</v>
      </c>
      <c r="G90" s="7">
        <v>1</v>
      </c>
      <c r="H90" s="22" t="s">
        <v>381</v>
      </c>
      <c r="I90" s="13">
        <v>42725.567662037036</v>
      </c>
      <c r="J90" s="7">
        <v>0</v>
      </c>
      <c r="K90" s="109" t="str">
        <f t="shared" si="36"/>
        <v>4027/4028</v>
      </c>
      <c r="L90" s="22" t="str">
        <f>VLOOKUP(A90,'Trips&amp;Operators'!$C$1:$G$99999,5,FALSE)</f>
        <v>DAVIS MICHAEL</v>
      </c>
      <c r="M90" s="6">
        <f t="shared" si="37"/>
        <v>2.5266203701903578E-2</v>
      </c>
      <c r="N90" s="7">
        <f t="shared" si="50"/>
        <v>36.383333330741152</v>
      </c>
      <c r="O90" s="7"/>
      <c r="P90" s="7"/>
      <c r="Q90" s="23"/>
      <c r="R90" s="23"/>
      <c r="S90" s="35">
        <f t="shared" si="51"/>
        <v>1</v>
      </c>
      <c r="T90" s="50" t="str">
        <f t="shared" si="38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11:57:59-700',mode:absolute,to:'2016-12-21 14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0" s="52" t="str">
        <f t="shared" si="40"/>
        <v>N</v>
      </c>
      <c r="X90" s="177">
        <f t="shared" si="35"/>
        <v>1</v>
      </c>
      <c r="Y90" s="67">
        <f t="shared" si="41"/>
        <v>4.5499999999999999E-2</v>
      </c>
      <c r="Z90" s="67">
        <f t="shared" si="42"/>
        <v>23.3293</v>
      </c>
      <c r="AA90" s="67">
        <f t="shared" si="43"/>
        <v>23.283799999999999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44"/>
        <v>0175-21</v>
      </c>
      <c r="AE90" s="91" t="str">
        <f t="shared" si="45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90" s="88" t="str">
        <f t="shared" si="46"/>
        <v>"C:\Program Files (x86)\AstroGrep\AstroGrep.exe" /spath="%USERPROFILE%\AppData\Local\Temp\OnboardLogs" /stypes="app*4027*20161221*" /stext=" 20:.+((SYSTEM_STATE.+slice.+state.+changed )|(ment ac)|(multiple cpu faults)|(system.+state.+changed )|(\[timeout)|(PRM\|1\|D)|(kpr)|(kdp)|(\|lc)|(penalty))" /e /r /s</v>
      </c>
      <c r="AG90" s="1" t="str">
        <f t="shared" si="47"/>
        <v>EC</v>
      </c>
      <c r="AH90" s="92" t="str">
        <f t="shared" si="48"/>
        <v>"%USERPROFILE%\Documents\GitHub\eaglep3\Utilities\RefineRTDCRunTimes.py" --tripid 175-21 --locoid 4027 --swversion DE.1.0.8.0 --startMP 204:455 --initTime 2016-12-21T12:57:59 --startdatetime 2016-12-21T13:01:03 --delay 1 --endMP 204:233293 --enddatetime 2016-12-21T13:37:26 --enforcementcount 0 &gt;&gt;C:\Users\stu\Documents\GitHub\eaglep3-reporting\EC\2016-12-21-refined-times.txt</v>
      </c>
      <c r="AI90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{"issue":{"subject":"","project_id":79,"tracker_id":40,"status_id":1,"priority_id":2,"assigned_to_id":23,"start_date":"2016-12-21","description":"","custom_fields":[{"id":1,"name":"Subdivision","value":"EC"},{"id":4,"name":"Milepost","value":"23.3293"},{"id":17,"name":"Train ID","value":"175-21"},{"id":16,"name":"Locomotive ID","value":"4027"},{"id":130,"name":"Impact","value":""},{"id":150,"name":"Time of Event (Mountain Time)","value":"13:37:26"},{"id":151,"name":"Denver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570</v>
      </c>
      <c r="B91" s="7">
        <v>4028</v>
      </c>
      <c r="C91" s="22" t="s">
        <v>205</v>
      </c>
      <c r="D91" s="22" t="s">
        <v>687</v>
      </c>
      <c r="E91" s="13">
        <v>42725.57545138889</v>
      </c>
      <c r="F91" s="13">
        <v>42725.581030092595</v>
      </c>
      <c r="G91" s="7">
        <v>1</v>
      </c>
      <c r="H91" s="22" t="s">
        <v>191</v>
      </c>
      <c r="I91" s="13">
        <v>42725.608668981484</v>
      </c>
      <c r="J91" s="7">
        <v>0</v>
      </c>
      <c r="K91" s="109" t="str">
        <f t="shared" si="36"/>
        <v>4027/4028</v>
      </c>
      <c r="L91" s="22" t="str">
        <f>VLOOKUP(A91,'Trips&amp;Operators'!$C$1:$G$99999,5,FALSE)</f>
        <v>DAVIS MICHAEL</v>
      </c>
      <c r="M91" s="6">
        <f t="shared" si="37"/>
        <v>2.7638888888759539E-2</v>
      </c>
      <c r="N91" s="7">
        <f t="shared" si="50"/>
        <v>39.799999999813735</v>
      </c>
      <c r="O91" s="7"/>
      <c r="P91" s="7"/>
      <c r="Q91" s="23"/>
      <c r="R91" s="23"/>
      <c r="S91" s="35">
        <f t="shared" si="51"/>
        <v>1</v>
      </c>
      <c r="T91" s="50" t="str">
        <f t="shared" si="38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12:48:39-700',mode:absolute,to:'2016-12-21 15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1" s="52" t="str">
        <f t="shared" si="40"/>
        <v>N</v>
      </c>
      <c r="X91" s="177">
        <f t="shared" si="35"/>
        <v>1</v>
      </c>
      <c r="Y91" s="67">
        <f t="shared" si="41"/>
        <v>23.296600000000002</v>
      </c>
      <c r="Z91" s="67">
        <f t="shared" si="42"/>
        <v>1.49E-2</v>
      </c>
      <c r="AA91" s="67">
        <f t="shared" si="43"/>
        <v>23.281700000000001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44"/>
        <v>0176-21</v>
      </c>
      <c r="AE91" s="91" t="str">
        <f t="shared" si="45"/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91" s="88" t="str">
        <f t="shared" si="46"/>
        <v>"C:\Program Files (x86)\AstroGrep\AstroGrep.exe" /spath="%USERPROFILE%\AppData\Local\Temp\OnboardLogs" /stypes="app*4028*20161221*" /stext=" 21:.+((SYSTEM_STATE.+slice.+state.+changed )|(ment ac)|(multiple cpu faults)|(system.+state.+changed )|(\[timeout)|(PRM\|1\|D)|(kpr)|(kdp)|(\|lc)|(penalty))" /e /r /s</v>
      </c>
      <c r="AG91" s="1" t="str">
        <f t="shared" si="47"/>
        <v>EC</v>
      </c>
      <c r="AH91" s="92" t="str">
        <f t="shared" si="48"/>
        <v>"%USERPROFILE%\Documents\GitHub\eaglep3\Utilities\RefineRTDCRunTimes.py" --tripid 176-21 --locoid 4028 --swversion DE.1.0.8.0 --startMP 204:232966 --initTime 2016-12-21T13:48:39 --startdatetime 2016-12-21T13:56:41 --delay 1 --endMP 204:149 --enddatetime 2016-12-21T14:36:29 --enforcementcount 0 &gt;&gt;C:\Users\stu\Documents\GitHub\eaglep3-reporting\EC\2016-12-21-refined-times.txt</v>
      </c>
      <c r="AI91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{"issue":{"subject":"","project_id":79,"tracker_id":40,"status_id":1,"priority_id":2,"assigned_to_id":23,"start_date":"2016-12-21","description":"","custom_fields":[{"id":1,"name":"Subdivision","value":"EC"},{"id":4,"name":"Milepost","value":"0.0149"},{"id":17,"name":"Train ID","value":"176-21"},{"id":16,"name":"Locomotive ID","value":"4028"},{"id":130,"name":"Impact","value":""},{"id":150,"name":"Time of Event (Mountain Time)","value":"14:36:29"},{"id":151,"name":"Denver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562</v>
      </c>
      <c r="B92" s="7">
        <v>4003</v>
      </c>
      <c r="C92" s="22" t="s">
        <v>205</v>
      </c>
      <c r="D92" s="22" t="s">
        <v>302</v>
      </c>
      <c r="E92" s="13">
        <v>42725.547152777777</v>
      </c>
      <c r="F92" s="13">
        <v>42725.552708333336</v>
      </c>
      <c r="G92" s="7">
        <v>1</v>
      </c>
      <c r="H92" s="22" t="s">
        <v>708</v>
      </c>
      <c r="I92" s="13">
        <v>42725.578217592592</v>
      </c>
      <c r="J92" s="7">
        <v>0</v>
      </c>
      <c r="K92" s="109" t="str">
        <f t="shared" si="36"/>
        <v>4003/4004</v>
      </c>
      <c r="L92" s="22" t="str">
        <f>VLOOKUP(A92,'Trips&amp;Operators'!$C$1:$G$99999,5,FALSE)</f>
        <v>COMELLA JUSTIN</v>
      </c>
      <c r="M92" s="6">
        <f t="shared" si="37"/>
        <v>2.5509259256068617E-2</v>
      </c>
      <c r="N92" s="7">
        <f t="shared" si="50"/>
        <v>36.733333328738809</v>
      </c>
      <c r="O92" s="7"/>
      <c r="P92" s="7"/>
      <c r="Q92" s="23"/>
      <c r="R92" s="23"/>
      <c r="S92" s="35">
        <f t="shared" si="51"/>
        <v>1</v>
      </c>
      <c r="T92" s="50" t="str">
        <f t="shared" si="38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12:07:54-700',mode:absolute,to:'2016-12-21 14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2" s="52" t="str">
        <f t="shared" si="40"/>
        <v>N</v>
      </c>
      <c r="X92" s="177">
        <f t="shared" si="35"/>
        <v>1</v>
      </c>
      <c r="Y92" s="67">
        <f t="shared" si="41"/>
        <v>4.4200000000000003E-2</v>
      </c>
      <c r="Z92" s="67">
        <f t="shared" si="42"/>
        <v>23.327200000000001</v>
      </c>
      <c r="AA92" s="67">
        <f t="shared" si="43"/>
        <v>23.283000000000001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44"/>
        <v>0177-21</v>
      </c>
      <c r="AE92" s="91" t="str">
        <f t="shared" si="45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92" s="88" t="str">
        <f t="shared" si="46"/>
        <v>"C:\Program Files (x86)\AstroGrep\AstroGrep.exe" /spath="%USERPROFILE%\AppData\Local\Temp\OnboardLogs" /stypes="app*4003*20161221*" /stext=" 20:.+((SYSTEM_STATE.+slice.+state.+changed )|(ment ac)|(multiple cpu faults)|(system.+state.+changed )|(\[timeout)|(PRM\|1\|D)|(kpr)|(kdp)|(\|lc)|(penalty))" /e /r /s</v>
      </c>
      <c r="AG92" s="1" t="str">
        <f t="shared" si="47"/>
        <v>EC</v>
      </c>
      <c r="AH92" s="92" t="str">
        <f t="shared" si="48"/>
        <v>"%USERPROFILE%\Documents\GitHub\eaglep3\Utilities\RefineRTDCRunTimes.py" --tripid 177-21 --locoid 4003 --swversion DE.1.0.8.0 --startMP 204:442 --initTime 2016-12-21T13:07:54 --startdatetime 2016-12-21T13:15:54 --delay 1 --endMP 204:233272 --enddatetime 2016-12-21T13:52:38 --enforcementcount 0 &gt;&gt;C:\Users\stu\Documents\GitHub\eaglep3-reporting\EC\2016-12-21-refined-times.txt</v>
      </c>
      <c r="AI92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{"issue":{"subject":"","project_id":79,"tracker_id":40,"status_id":1,"priority_id":2,"assigned_to_id":23,"start_date":"2016-12-21","description":"","custom_fields":[{"id":1,"name":"Subdivision","value":"EC"},{"id":4,"name":"Milepost","value":"23.3272"},{"id":17,"name":"Train ID","value":"177-21"},{"id":16,"name":"Locomotive ID","value":"4003"},{"id":130,"name":"Impact","value":""},{"id":150,"name":"Time of Event (Mountain Time)","value":"13:52:38"},{"id":151,"name":"Denver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572</v>
      </c>
      <c r="B93" s="7">
        <v>4004</v>
      </c>
      <c r="C93" s="22" t="s">
        <v>205</v>
      </c>
      <c r="D93" s="22" t="s">
        <v>709</v>
      </c>
      <c r="E93" s="13">
        <v>42725.586655092593</v>
      </c>
      <c r="F93" s="13">
        <v>42725.591481481482</v>
      </c>
      <c r="G93" s="7">
        <v>1</v>
      </c>
      <c r="H93" s="22" t="s">
        <v>211</v>
      </c>
      <c r="I93" s="13">
        <v>42725.619212962964</v>
      </c>
      <c r="J93" s="7">
        <v>0</v>
      </c>
      <c r="K93" s="109" t="str">
        <f t="shared" si="36"/>
        <v>4003/4004</v>
      </c>
      <c r="L93" s="22" t="str">
        <f>VLOOKUP(A93,'Trips&amp;Operators'!$C$1:$G$99999,5,FALSE)</f>
        <v>COMELLA JUSTIN</v>
      </c>
      <c r="M93" s="6">
        <f t="shared" si="37"/>
        <v>2.7731481481168885E-2</v>
      </c>
      <c r="N93" s="7">
        <f t="shared" si="50"/>
        <v>39.933333332883194</v>
      </c>
      <c r="O93" s="7"/>
      <c r="P93" s="7"/>
      <c r="Q93" s="23"/>
      <c r="R93" s="23"/>
      <c r="S93" s="35">
        <f t="shared" si="51"/>
        <v>1</v>
      </c>
      <c r="T93" s="50" t="str">
        <f t="shared" si="38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13:04:47-700',mode:absolute,to:'2016-12-21 15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3" s="52" t="str">
        <f t="shared" si="40"/>
        <v>N</v>
      </c>
      <c r="X93" s="177">
        <f t="shared" si="35"/>
        <v>1</v>
      </c>
      <c r="Y93" s="67">
        <f t="shared" si="41"/>
        <v>23.294599999999999</v>
      </c>
      <c r="Z93" s="67">
        <f t="shared" si="42"/>
        <v>1.4999999999999999E-2</v>
      </c>
      <c r="AA93" s="67">
        <f t="shared" si="43"/>
        <v>23.279599999999999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44"/>
        <v>0178-21</v>
      </c>
      <c r="AE93" s="91" t="str">
        <f t="shared" si="45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93" s="88" t="str">
        <f t="shared" si="46"/>
        <v>"C:\Program Files (x86)\AstroGrep\AstroGrep.exe" /spath="%USERPROFILE%\AppData\Local\Temp\OnboardLogs" /stypes="app*4004*20161221*" /stext=" 21:.+((SYSTEM_STATE.+slice.+state.+changed )|(ment ac)|(multiple cpu faults)|(system.+state.+changed )|(\[timeout)|(PRM\|1\|D)|(kpr)|(kdp)|(\|lc)|(penalty))" /e /r /s</v>
      </c>
      <c r="AG93" s="1" t="str">
        <f t="shared" si="47"/>
        <v>EC</v>
      </c>
      <c r="AH93" s="92" t="str">
        <f t="shared" si="48"/>
        <v>"%USERPROFILE%\Documents\GitHub\eaglep3\Utilities\RefineRTDCRunTimes.py" --tripid 178-21 --locoid 4004 --swversion DE.1.0.8.0 --startMP 204:232946 --initTime 2016-12-21T14:04:47 --startdatetime 2016-12-21T14:11:44 --delay 1 --endMP 204:150 --enddatetime 2016-12-21T14:51:40 --enforcementcount 0 &gt;&gt;C:\Users\stu\Documents\GitHub\eaglep3-reporting\EC\2016-12-21-refined-times.txt</v>
      </c>
      <c r="AI93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{"issue":{"subject":"","project_id":79,"tracker_id":40,"status_id":1,"priority_id":2,"assigned_to_id":23,"start_date":"2016-12-21","description":"","custom_fields":[{"id":1,"name":"Subdivision","value":"EC"},{"id":4,"name":"Milepost","value":"0.015"},{"id":17,"name":"Train ID","value":"178-21"},{"id":16,"name":"Locomotive ID","value":"4004"},{"id":130,"name":"Impact","value":""},{"id":150,"name":"Time of Event (Mountain Time)","value":"14:51:40"},{"id":151,"name":"Denver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567</v>
      </c>
      <c r="B94" s="7">
        <v>4020</v>
      </c>
      <c r="C94" s="22" t="s">
        <v>205</v>
      </c>
      <c r="D94" s="22" t="s">
        <v>193</v>
      </c>
      <c r="E94" s="13">
        <v>42725.559872685182</v>
      </c>
      <c r="F94" s="13">
        <v>42725.562858796293</v>
      </c>
      <c r="G94" s="7">
        <v>1</v>
      </c>
      <c r="H94" s="22" t="s">
        <v>288</v>
      </c>
      <c r="I94" s="13">
        <v>42725.58699074074</v>
      </c>
      <c r="J94" s="7">
        <v>0</v>
      </c>
      <c r="K94" s="109" t="str">
        <f t="shared" si="36"/>
        <v>4019/4020</v>
      </c>
      <c r="L94" s="22" t="str">
        <f>VLOOKUP(A94,'Trips&amp;Operators'!$C$1:$G$99999,5,FALSE)</f>
        <v>HELVIE ADAM</v>
      </c>
      <c r="M94" s="6">
        <f t="shared" si="37"/>
        <v>2.4131944446708076E-2</v>
      </c>
      <c r="N94" s="7">
        <f t="shared" si="50"/>
        <v>34.750000003259629</v>
      </c>
      <c r="O94" s="7"/>
      <c r="P94" s="7"/>
      <c r="Q94" s="23"/>
      <c r="R94" s="23"/>
      <c r="S94" s="35">
        <f t="shared" si="51"/>
        <v>1</v>
      </c>
      <c r="T94" s="50" t="str">
        <f t="shared" si="38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12:26:13-700',mode:absolute,to:'2016-12-21 15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4" s="52" t="str">
        <f t="shared" si="40"/>
        <v>N</v>
      </c>
      <c r="X94" s="177">
        <f t="shared" si="35"/>
        <v>1</v>
      </c>
      <c r="Y94" s="67">
        <f t="shared" si="41"/>
        <v>4.4699999999999997E-2</v>
      </c>
      <c r="Z94" s="67">
        <f t="shared" si="42"/>
        <v>23.329799999999999</v>
      </c>
      <c r="AA94" s="67">
        <f t="shared" si="43"/>
        <v>23.2851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44"/>
        <v>0179-21</v>
      </c>
      <c r="AE94" s="91" t="str">
        <f t="shared" si="45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94" s="88" t="str">
        <f t="shared" si="46"/>
        <v>"C:\Program Files (x86)\AstroGrep\AstroGrep.exe" /spath="%USERPROFILE%\AppData\Local\Temp\OnboardLogs" /stypes="app*4020*20161221*" /stext=" 21:.+((SYSTEM_STATE.+slice.+state.+changed )|(ment ac)|(multiple cpu faults)|(system.+state.+changed )|(\[timeout)|(PRM\|1\|D)|(kpr)|(kdp)|(\|lc)|(penalty))" /e /r /s</v>
      </c>
      <c r="AG94" s="1" t="str">
        <f t="shared" si="47"/>
        <v>EC</v>
      </c>
      <c r="AH94" s="92" t="str">
        <f t="shared" si="48"/>
        <v>"%USERPROFILE%\Documents\GitHub\eaglep3\Utilities\RefineRTDCRunTimes.py" --tripid 179-21 --locoid 4020 --swversion DE.1.0.8.0 --startMP 204:447 --initTime 2016-12-21T13:26:13 --startdatetime 2016-12-21T13:30:31 --delay 1 --endMP 204:233298 --enddatetime 2016-12-21T14:05:16 --enforcementcount 0 &gt;&gt;C:\Users\stu\Documents\GitHub\eaglep3-reporting\EC\2016-12-21-refined-times.txt</v>
      </c>
      <c r="AI94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{"issue":{"subject":"","project_id":79,"tracker_id":40,"status_id":1,"priority_id":2,"assigned_to_id":23,"start_date":"2016-12-21","description":"","custom_fields":[{"id":1,"name":"Subdivision","value":"EC"},{"id":4,"name":"Milepost","value":"23.3298"},{"id":17,"name":"Train ID","value":"179-21"},{"id":16,"name":"Locomotive ID","value":"4020"},{"id":130,"name":"Impact","value":""},{"id":150,"name":"Time of Event (Mountain Time)","value":"14:05:16"},{"id":151,"name":"Denver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575</v>
      </c>
      <c r="B95" s="7">
        <v>4019</v>
      </c>
      <c r="C95" s="22" t="s">
        <v>205</v>
      </c>
      <c r="D95" s="22" t="s">
        <v>273</v>
      </c>
      <c r="E95" s="13">
        <v>42725.598425925928</v>
      </c>
      <c r="F95" s="13">
        <v>42725.601631944446</v>
      </c>
      <c r="G95" s="7">
        <v>1</v>
      </c>
      <c r="H95" s="22" t="s">
        <v>211</v>
      </c>
      <c r="I95" s="13">
        <v>42725.628101851849</v>
      </c>
      <c r="J95" s="7">
        <v>0</v>
      </c>
      <c r="K95" s="109" t="str">
        <f t="shared" si="36"/>
        <v>4019/4020</v>
      </c>
      <c r="L95" s="22" t="str">
        <f>VLOOKUP(A95,'Trips&amp;Operators'!$C$1:$G$99999,5,FALSE)</f>
        <v>HELVIE ADAM</v>
      </c>
      <c r="M95" s="6">
        <f t="shared" si="37"/>
        <v>2.6469907403225079E-2</v>
      </c>
      <c r="N95" s="7">
        <f t="shared" si="50"/>
        <v>38.116666660644114</v>
      </c>
      <c r="O95" s="7"/>
      <c r="P95" s="7"/>
      <c r="Q95" s="23"/>
      <c r="R95" s="23"/>
      <c r="S95" s="35">
        <f t="shared" si="51"/>
        <v>1</v>
      </c>
      <c r="T95" s="50" t="str">
        <f t="shared" si="38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13:21:44-700',mode:absolute,to:'2016-12-21 16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5" s="52" t="str">
        <f t="shared" si="40"/>
        <v>N</v>
      </c>
      <c r="X95" s="177">
        <f t="shared" ref="X95:X126" si="52">VALUE(LEFT(AD95,4))-VALUE(LEFT(AD94,4))</f>
        <v>1</v>
      </c>
      <c r="Y95" s="67">
        <f t="shared" si="41"/>
        <v>23.298500000000001</v>
      </c>
      <c r="Z95" s="67">
        <f t="shared" si="42"/>
        <v>1.4999999999999999E-2</v>
      </c>
      <c r="AA95" s="67">
        <f t="shared" si="43"/>
        <v>23.2835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44"/>
        <v>0180-21</v>
      </c>
      <c r="AE95" s="91" t="str">
        <f t="shared" si="45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95" s="88" t="str">
        <f t="shared" si="46"/>
        <v>"C:\Program Files (x86)\AstroGrep\AstroGrep.exe" /spath="%USERPROFILE%\AppData\Local\Temp\OnboardLogs" /stypes="app*4019*20161221*" /stext=" 22:.+((SYSTEM_STATE.+slice.+state.+changed )|(ment ac)|(multiple cpu faults)|(system.+state.+changed )|(\[timeout)|(PRM\|1\|D)|(kpr)|(kdp)|(\|lc)|(penalty))" /e /r /s</v>
      </c>
      <c r="AG95" s="1" t="str">
        <f t="shared" si="47"/>
        <v>EC</v>
      </c>
      <c r="AH95" s="92" t="str">
        <f t="shared" si="48"/>
        <v>"%USERPROFILE%\Documents\GitHub\eaglep3\Utilities\RefineRTDCRunTimes.py" --tripid 180-21 --locoid 4019 --swversion DE.1.0.8.0 --startMP 204:232985 --initTime 2016-12-21T14:21:44 --startdatetime 2016-12-21T14:26:21 --delay 1 --endMP 204:150 --enddatetime 2016-12-21T15:04:28 --enforcementcount 0 &gt;&gt;C:\Users\stu\Documents\GitHub\eaglep3-reporting\EC\2016-12-21-refined-times.txt</v>
      </c>
      <c r="AI95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{"issue":{"subject":"","project_id":79,"tracker_id":40,"status_id":1,"priority_id":2,"assigned_to_id":23,"start_date":"2016-12-21","description":"","custom_fields":[{"id":1,"name":"Subdivision","value":"EC"},{"id":4,"name":"Milepost","value":"0.015"},{"id":17,"name":"Train ID","value":"180-21"},{"id":16,"name":"Locomotive ID","value":"4019"},{"id":130,"name":"Impact","value":""},{"id":150,"name":"Time of Event (Mountain Time)","value":"15:04:28"},{"id":151,"name":"Denver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442</v>
      </c>
      <c r="B96" s="7">
        <v>4016</v>
      </c>
      <c r="C96" s="22" t="s">
        <v>205</v>
      </c>
      <c r="D96" s="22" t="s">
        <v>228</v>
      </c>
      <c r="E96" s="13">
        <v>42725.567523148151</v>
      </c>
      <c r="F96" s="13">
        <v>42725.573125000003</v>
      </c>
      <c r="G96" s="7">
        <v>1</v>
      </c>
      <c r="H96" s="22" t="s">
        <v>703</v>
      </c>
      <c r="I96" s="13">
        <v>42725.598113425927</v>
      </c>
      <c r="J96" s="7">
        <v>0</v>
      </c>
      <c r="K96" s="109" t="str">
        <f t="shared" si="36"/>
        <v>4015/4016</v>
      </c>
      <c r="L96" s="22" t="str">
        <f>VLOOKUP(A96,'Trips&amp;Operators'!$C$1:$G$99999,5,FALSE)</f>
        <v>BARTLETT KIANDRA</v>
      </c>
      <c r="M96" s="6">
        <f t="shared" si="37"/>
        <v>2.4988425924675539E-2</v>
      </c>
      <c r="N96" s="7">
        <f t="shared" si="50"/>
        <v>35.983333331532776</v>
      </c>
      <c r="O96" s="7"/>
      <c r="P96" s="7"/>
      <c r="Q96" s="23"/>
      <c r="R96" s="23"/>
      <c r="S96" s="35">
        <f t="shared" si="51"/>
        <v>1</v>
      </c>
      <c r="T96" s="50" t="str">
        <f t="shared" si="38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12:37:14-700',mode:absolute,to:'2016-12-21 15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6" s="52" t="str">
        <f t="shared" si="40"/>
        <v>N</v>
      </c>
      <c r="X96" s="177">
        <f t="shared" si="52"/>
        <v>1</v>
      </c>
      <c r="Y96" s="67">
        <f t="shared" si="41"/>
        <v>4.5499999999999999E-2</v>
      </c>
      <c r="Z96" s="67">
        <f t="shared" si="42"/>
        <v>23.331399999999999</v>
      </c>
      <c r="AA96" s="67">
        <f t="shared" si="43"/>
        <v>23.285899999999998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44"/>
        <v>0181-21</v>
      </c>
      <c r="AE96" s="91" t="str">
        <f t="shared" si="45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96" s="88" t="str">
        <f t="shared" si="46"/>
        <v>"C:\Program Files (x86)\AstroGrep\AstroGrep.exe" /spath="%USERPROFILE%\AppData\Local\Temp\OnboardLogs" /stypes="app*4016*20161221*" /stext=" 21:.+((SYSTEM_STATE.+slice.+state.+changed )|(ment ac)|(multiple cpu faults)|(system.+state.+changed )|(\[timeout)|(PRM\|1\|D)|(kpr)|(kdp)|(\|lc)|(penalty))" /e /r /s</v>
      </c>
      <c r="AG96" s="1" t="str">
        <f t="shared" si="47"/>
        <v>EC</v>
      </c>
      <c r="AH96" s="92" t="str">
        <f t="shared" si="48"/>
        <v>"%USERPROFILE%\Documents\GitHub\eaglep3\Utilities\RefineRTDCRunTimes.py" --tripid 181-21 --locoid 4016 --swversion DE.1.0.8.0 --startMP 204:455 --initTime 2016-12-21T13:37:14 --startdatetime 2016-12-21T13:45:18 --delay 1 --endMP 204:233314 --enddatetime 2016-12-21T14:21:17 --enforcementcount 0 &gt;&gt;C:\Users\stu\Documents\GitHub\eaglep3-reporting\EC\2016-12-21-refined-times.txt</v>
      </c>
      <c r="AI96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{"issue":{"subject":"","project_id":79,"tracker_id":40,"status_id":1,"priority_id":2,"assigned_to_id":23,"start_date":"2016-12-21","description":"","custom_fields":[{"id":1,"name":"Subdivision","value":"EC"},{"id":4,"name":"Milepost","value":"23.3314"},{"id":17,"name":"Train ID","value":"181-21"},{"id":16,"name":"Locomotive ID","value":"4016"},{"id":130,"name":"Impact","value":""},{"id":150,"name":"Time of Event (Mountain Time)","value":"14:21:17"},{"id":151,"name":"Denver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577</v>
      </c>
      <c r="B97" s="7">
        <v>4015</v>
      </c>
      <c r="C97" s="22" t="s">
        <v>205</v>
      </c>
      <c r="D97" s="22" t="s">
        <v>285</v>
      </c>
      <c r="E97" s="13">
        <v>42725.600358796299</v>
      </c>
      <c r="F97" s="13">
        <v>42725.612141203703</v>
      </c>
      <c r="G97" s="7">
        <v>1</v>
      </c>
      <c r="H97" s="22" t="s">
        <v>262</v>
      </c>
      <c r="I97" s="13">
        <v>42725.638460648152</v>
      </c>
      <c r="J97" s="7">
        <v>0</v>
      </c>
      <c r="K97" s="109" t="str">
        <f t="shared" si="36"/>
        <v>4015/4016</v>
      </c>
      <c r="L97" s="22" t="str">
        <f>VLOOKUP(A97,'Trips&amp;Operators'!$C$1:$G$99999,5,FALSE)</f>
        <v>BARTLETT KIANDRA</v>
      </c>
      <c r="M97" s="6">
        <f t="shared" si="37"/>
        <v>2.6319444448745344E-2</v>
      </c>
      <c r="N97" s="7">
        <f t="shared" si="50"/>
        <v>37.900000006193295</v>
      </c>
      <c r="O97" s="7"/>
      <c r="P97" s="7"/>
      <c r="Q97" s="23"/>
      <c r="R97" s="23"/>
      <c r="S97" s="35">
        <f t="shared" si="51"/>
        <v>1</v>
      </c>
      <c r="T97" s="50" t="str">
        <f t="shared" si="38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13:24:31-700',mode:absolute,to:'2016-12-21 16:19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7" s="52" t="str">
        <f t="shared" si="40"/>
        <v>N</v>
      </c>
      <c r="X97" s="177">
        <f t="shared" si="52"/>
        <v>1</v>
      </c>
      <c r="Y97" s="67">
        <f t="shared" si="41"/>
        <v>23.2986</v>
      </c>
      <c r="Z97" s="67">
        <f t="shared" si="42"/>
        <v>1.47E-2</v>
      </c>
      <c r="AA97" s="67">
        <f t="shared" si="43"/>
        <v>23.283899999999999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44"/>
        <v>0182-21</v>
      </c>
      <c r="AE97" s="91" t="str">
        <f t="shared" si="45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97" s="88" t="str">
        <f t="shared" si="46"/>
        <v>"C:\Program Files (x86)\AstroGrep\AstroGrep.exe" /spath="%USERPROFILE%\AppData\Local\Temp\OnboardLogs" /stypes="app*4015*20161221*" /stext=" 22:.+((SYSTEM_STATE.+slice.+state.+changed )|(ment ac)|(multiple cpu faults)|(system.+state.+changed )|(\[timeout)|(PRM\|1\|D)|(kpr)|(kdp)|(\|lc)|(penalty))" /e /r /s</v>
      </c>
      <c r="AG97" s="1" t="str">
        <f t="shared" si="47"/>
        <v>EC</v>
      </c>
      <c r="AH97" s="92" t="str">
        <f t="shared" si="48"/>
        <v>"%USERPROFILE%\Documents\GitHub\eaglep3\Utilities\RefineRTDCRunTimes.py" --tripid 182-21 --locoid 4015 --swversion DE.1.0.8.0 --startMP 204:232986 --initTime 2016-12-21T14:24:31 --startdatetime 2016-12-21T14:41:29 --delay 1 --endMP 204:147 --enddatetime 2016-12-21T15:19:23 --enforcementcount 0 &gt;&gt;C:\Users\stu\Documents\GitHub\eaglep3-reporting\EC\2016-12-21-refined-times.txt</v>
      </c>
      <c r="AI97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{"issue":{"subject":"","project_id":79,"tracker_id":40,"status_id":1,"priority_id":2,"assigned_to_id":23,"start_date":"2016-12-21","description":"","custom_fields":[{"id":1,"name":"Subdivision","value":"EC"},{"id":4,"name":"Milepost","value":"0.0147"},{"id":17,"name":"Train ID","value":"182-21"},{"id":16,"name":"Locomotive ID","value":"4015"},{"id":130,"name":"Impact","value":""},{"id":150,"name":"Time of Event (Mountain Time)","value":"15:19:23"},{"id":151,"name":"Denver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571</v>
      </c>
      <c r="B98" s="7">
        <v>4009</v>
      </c>
      <c r="C98" s="22" t="s">
        <v>205</v>
      </c>
      <c r="D98" s="22" t="s">
        <v>194</v>
      </c>
      <c r="E98" s="13">
        <v>42725.579004629632</v>
      </c>
      <c r="F98" s="13">
        <v>42725.583611111113</v>
      </c>
      <c r="G98" s="7">
        <v>1</v>
      </c>
      <c r="H98" s="22" t="s">
        <v>710</v>
      </c>
      <c r="I98" s="13">
        <v>42725.607916666668</v>
      </c>
      <c r="J98" s="7">
        <v>0</v>
      </c>
      <c r="K98" s="109" t="str">
        <f t="shared" si="36"/>
        <v>4009/4010</v>
      </c>
      <c r="L98" s="22" t="str">
        <f>VLOOKUP(A98,'Trips&amp;Operators'!$C$1:$G$99999,5,FALSE)</f>
        <v>LEVIN SCOTT</v>
      </c>
      <c r="M98" s="6">
        <f t="shared" si="37"/>
        <v>2.4305555554747116E-2</v>
      </c>
      <c r="N98" s="7">
        <f t="shared" si="50"/>
        <v>34.999999998835847</v>
      </c>
      <c r="O98" s="7"/>
      <c r="P98" s="7"/>
      <c r="Q98" s="23"/>
      <c r="R98" s="23"/>
      <c r="S98" s="35">
        <f t="shared" si="51"/>
        <v>1</v>
      </c>
      <c r="T98" s="50" t="str">
        <f t="shared" si="38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12:53:46-700',mode:absolute,to:'2016-12-21 15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8" s="52" t="str">
        <f t="shared" si="40"/>
        <v>N</v>
      </c>
      <c r="X98" s="177">
        <f t="shared" si="52"/>
        <v>1</v>
      </c>
      <c r="Y98" s="67">
        <f t="shared" si="41"/>
        <v>4.5100000000000001E-2</v>
      </c>
      <c r="Z98" s="67">
        <f t="shared" si="42"/>
        <v>23.334599999999998</v>
      </c>
      <c r="AA98" s="67">
        <f t="shared" si="43"/>
        <v>23.289499999999997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44"/>
        <v>0183-21</v>
      </c>
      <c r="AE98" s="91" t="str">
        <f t="shared" si="45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98" s="88" t="str">
        <f t="shared" si="46"/>
        <v>"C:\Program Files (x86)\AstroGrep\AstroGrep.exe" /spath="%USERPROFILE%\AppData\Local\Temp\OnboardLogs" /stypes="app*4009*20161221*" /stext=" 21:.+((SYSTEM_STATE.+slice.+state.+changed )|(ment ac)|(multiple cpu faults)|(system.+state.+changed )|(\[timeout)|(PRM\|1\|D)|(kpr)|(kdp)|(\|lc)|(penalty))" /e /r /s</v>
      </c>
      <c r="AG98" s="1" t="str">
        <f t="shared" si="47"/>
        <v>EC</v>
      </c>
      <c r="AH98" s="92" t="str">
        <f t="shared" si="48"/>
        <v>"%USERPROFILE%\Documents\GitHub\eaglep3\Utilities\RefineRTDCRunTimes.py" --tripid 183-21 --locoid 4009 --swversion DE.1.0.8.0 --startMP 204:451 --initTime 2016-12-21T13:53:46 --startdatetime 2016-12-21T14:00:24 --delay 1 --endMP 204:233346 --enddatetime 2016-12-21T14:35:24 --enforcementcount 0 &gt;&gt;C:\Users\stu\Documents\GitHub\eaglep3-reporting\EC\2016-12-21-refined-times.txt</v>
      </c>
      <c r="AI98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{"issue":{"subject":"","project_id":79,"tracker_id":40,"status_id":1,"priority_id":2,"assigned_to_id":23,"start_date":"2016-12-21","description":"","custom_fields":[{"id":1,"name":"Subdivision","value":"EC"},{"id":4,"name":"Milepost","value":"23.3346"},{"id":17,"name":"Train ID","value":"183-21"},{"id":16,"name":"Locomotive ID","value":"4009"},{"id":130,"name":"Impact","value":""},{"id":150,"name":"Time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579</v>
      </c>
      <c r="B99" s="7">
        <v>4010</v>
      </c>
      <c r="C99" s="22" t="s">
        <v>205</v>
      </c>
      <c r="D99" s="22" t="s">
        <v>711</v>
      </c>
      <c r="E99" s="13">
        <v>42725.618993055556</v>
      </c>
      <c r="F99" s="13">
        <v>42725.622569444444</v>
      </c>
      <c r="G99" s="7">
        <v>1</v>
      </c>
      <c r="H99" s="22" t="s">
        <v>263</v>
      </c>
      <c r="I99" s="13">
        <v>42725.648831018516</v>
      </c>
      <c r="J99" s="7">
        <v>0</v>
      </c>
      <c r="K99" s="109" t="str">
        <f t="shared" si="36"/>
        <v>4009/4010</v>
      </c>
      <c r="L99" s="22" t="str">
        <f>VLOOKUP(A99,'Trips&amp;Operators'!$C$1:$G$99999,5,FALSE)</f>
        <v>LEVIN SCOTT</v>
      </c>
      <c r="M99" s="6">
        <f t="shared" si="37"/>
        <v>2.626157407212304E-2</v>
      </c>
      <c r="N99" s="7">
        <f t="shared" si="50"/>
        <v>37.816666663857177</v>
      </c>
      <c r="O99" s="7"/>
      <c r="P99" s="7"/>
      <c r="Q99" s="23"/>
      <c r="R99" s="23"/>
      <c r="S99" s="35">
        <f t="shared" si="51"/>
        <v>1</v>
      </c>
      <c r="T99" s="50" t="str">
        <f t="shared" si="38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13:51:21-700',mode:absolute,to:'2016-12-21 16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9" s="52" t="str">
        <f t="shared" si="40"/>
        <v>N</v>
      </c>
      <c r="X99" s="177">
        <f t="shared" si="52"/>
        <v>1</v>
      </c>
      <c r="Y99" s="67">
        <f t="shared" si="41"/>
        <v>23.302700000000002</v>
      </c>
      <c r="Z99" s="67">
        <f t="shared" si="42"/>
        <v>1.3899999999999999E-2</v>
      </c>
      <c r="AA99" s="67">
        <f t="shared" si="43"/>
        <v>23.288800000000002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44"/>
        <v>0184-21</v>
      </c>
      <c r="AE99" s="91" t="str">
        <f t="shared" si="45"/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AF99" s="88" t="str">
        <f t="shared" si="46"/>
        <v>"C:\Program Files (x86)\AstroGrep\AstroGrep.exe" /spath="%USERPROFILE%\AppData\Local\Temp\OnboardLogs" /stypes="app*4010*20161221*" /stext=" 22:.+((SYSTEM_STATE.+slice.+state.+changed )|(ment ac)|(multiple cpu faults)|(system.+state.+changed )|(\[timeout)|(PRM\|1\|D)|(kpr)|(kdp)|(\|lc)|(penalty))" /e /r /s</v>
      </c>
      <c r="AG99" s="1" t="str">
        <f t="shared" si="47"/>
        <v>EC</v>
      </c>
      <c r="AH99" s="92" t="str">
        <f t="shared" si="48"/>
        <v>"%USERPROFILE%\Documents\GitHub\eaglep3\Utilities\RefineRTDCRunTimes.py" --tripid 184-21 --locoid 4010 --swversion DE.1.0.8.0 --startMP 204:233027 --initTime 2016-12-21T14:51:21 --startdatetime 2016-12-21T14:56:30 --delay 1 --endMP 204:139 --enddatetime 2016-12-21T15:34:19 --enforcementcount 0 &gt;&gt;C:\Users\stu\Documents\GitHub\eaglep3-reporting\EC\2016-12-21-refined-times.txt</v>
      </c>
      <c r="AI99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{"issue":{"subject":"","project_id":79,"tracker_id":40,"status_id":1,"priority_id":2,"assigned_to_id":23,"start_date":"2016-12-21","description":"","custom_fields":[{"id":1,"name":"Subdivision","value":"EC"},{"id":4,"name":"Milepost","value":"0.0139"},{"id":17,"name":"Train ID","value":"184-21"},{"id":16,"name":"Locomotive ID","value":"4010"},{"id":130,"name":"Impact","value":""},{"id":150,"name":"Time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573</v>
      </c>
      <c r="B100" s="7">
        <v>4042</v>
      </c>
      <c r="C100" s="22" t="s">
        <v>205</v>
      </c>
      <c r="D100" s="22" t="s">
        <v>695</v>
      </c>
      <c r="E100" s="13">
        <v>42725.589513888888</v>
      </c>
      <c r="F100" s="13">
        <v>42725.593923611108</v>
      </c>
      <c r="G100" s="7">
        <v>1</v>
      </c>
      <c r="H100" s="22" t="s">
        <v>701</v>
      </c>
      <c r="I100" s="13">
        <v>42725.618680555555</v>
      </c>
      <c r="J100" s="7">
        <v>0</v>
      </c>
      <c r="K100" s="109" t="str">
        <f t="shared" si="36"/>
        <v>4041/4042</v>
      </c>
      <c r="L100" s="22" t="str">
        <f>VLOOKUP(A100,'Trips&amp;Operators'!$C$1:$G$99999,5,FALSE)</f>
        <v>BRANNON JEFFREY</v>
      </c>
      <c r="M100" s="6">
        <f t="shared" si="37"/>
        <v>2.4756944447290152E-2</v>
      </c>
      <c r="N100" s="7">
        <f t="shared" si="50"/>
        <v>35.650000004097819</v>
      </c>
      <c r="O100" s="7"/>
      <c r="P100" s="7"/>
      <c r="Q100" s="23"/>
      <c r="R100" s="23"/>
      <c r="S100" s="35">
        <f t="shared" si="51"/>
        <v>1</v>
      </c>
      <c r="T100" s="50" t="str">
        <f t="shared" si="38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13:08:54-700',mode:absolute,to:'2016-12-21 15:50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0" s="52" t="str">
        <f t="shared" si="40"/>
        <v>N</v>
      </c>
      <c r="X100" s="177">
        <f t="shared" si="52"/>
        <v>1</v>
      </c>
      <c r="Y100" s="67">
        <f t="shared" si="41"/>
        <v>4.4600000000000001E-2</v>
      </c>
      <c r="Z100" s="67">
        <f t="shared" si="42"/>
        <v>23.3307</v>
      </c>
      <c r="AA100" s="67">
        <f t="shared" si="43"/>
        <v>23.286100000000001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44"/>
        <v>0185-21</v>
      </c>
      <c r="AE100" s="91" t="str">
        <f t="shared" si="45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100" s="88" t="str">
        <f t="shared" si="46"/>
        <v>"C:\Program Files (x86)\AstroGrep\AstroGrep.exe" /spath="%USERPROFILE%\AppData\Local\Temp\OnboardLogs" /stypes="app*4042*20161221*" /stext=" 21:.+((SYSTEM_STATE.+slice.+state.+changed )|(ment ac)|(multiple cpu faults)|(system.+state.+changed )|(\[timeout)|(PRM\|1\|D)|(kpr)|(kdp)|(\|lc)|(penalty))" /e /r /s</v>
      </c>
      <c r="AG100" s="1" t="str">
        <f t="shared" si="47"/>
        <v>EC</v>
      </c>
      <c r="AH100" s="92" t="str">
        <f t="shared" si="48"/>
        <v>"%USERPROFILE%\Documents\GitHub\eaglep3\Utilities\RefineRTDCRunTimes.py" --tripid 185-21 --locoid 4042 --swversion DE.1.0.8.0 --startMP 204:446 --initTime 2016-12-21T14:08:54 --startdatetime 2016-12-21T14:15:15 --delay 1 --endMP 204:233307 --enddatetime 2016-12-21T14:50:54 --enforcementcount 0 &gt;&gt;C:\Users\stu\Documents\GitHub\eaglep3-reporting\EC\2016-12-21-refined-times.txt</v>
      </c>
      <c r="AI100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{"issue":{"subject":"","project_id":79,"tracker_id":40,"status_id":1,"priority_id":2,"assigned_to_id":23,"start_date":"2016-12-21","description":"","custom_fields":[{"id":1,"name":"Subdivision","value":"EC"},{"id":4,"name":"Milepost","value":"23.3307"},{"id":17,"name":"Train ID","value":"185-21"},{"id":16,"name":"Locomotive ID","value":"4042"},{"id":130,"name":"Impact","value":""},{"id":150,"name":"Time of Event (Mountain Time)","value":"14:50:54"},{"id":151,"name":"Denver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444</v>
      </c>
      <c r="B101" s="7">
        <v>4041</v>
      </c>
      <c r="C101" s="22" t="s">
        <v>205</v>
      </c>
      <c r="D101" s="22" t="s">
        <v>712</v>
      </c>
      <c r="E101" s="13">
        <v>42725.623784722222</v>
      </c>
      <c r="F101" s="13">
        <v>42725.632800925923</v>
      </c>
      <c r="G101" s="7">
        <v>1</v>
      </c>
      <c r="H101" s="22" t="s">
        <v>683</v>
      </c>
      <c r="I101" s="13">
        <v>42725.660891203705</v>
      </c>
      <c r="J101" s="7">
        <v>0</v>
      </c>
      <c r="K101" s="109" t="str">
        <f t="shared" si="36"/>
        <v>4041/4042</v>
      </c>
      <c r="L101" s="22" t="str">
        <f>VLOOKUP(A101,'Trips&amp;Operators'!$C$1:$G$99999,5,FALSE)</f>
        <v>BRANNON JEFFREY</v>
      </c>
      <c r="M101" s="6">
        <f t="shared" si="37"/>
        <v>2.8090277781302575E-2</v>
      </c>
      <c r="N101" s="7">
        <f t="shared" si="50"/>
        <v>40.450000005075708</v>
      </c>
      <c r="O101" s="7"/>
      <c r="P101" s="7"/>
      <c r="Q101" s="23"/>
      <c r="R101" s="23"/>
      <c r="S101" s="35">
        <f t="shared" si="51"/>
        <v>1</v>
      </c>
      <c r="T101" s="50" t="str">
        <f t="shared" si="38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13:58:15-700',mode:absolute,to:'2016-12-21 16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1" s="52" t="str">
        <f t="shared" si="40"/>
        <v>N</v>
      </c>
      <c r="X101" s="177">
        <f t="shared" si="52"/>
        <v>1</v>
      </c>
      <c r="Y101" s="67">
        <f t="shared" si="41"/>
        <v>23.2988</v>
      </c>
      <c r="Z101" s="67">
        <f t="shared" si="42"/>
        <v>1.5800000000000002E-2</v>
      </c>
      <c r="AA101" s="67">
        <f t="shared" si="43"/>
        <v>23.283000000000001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44"/>
        <v>0186-21</v>
      </c>
      <c r="AE101" s="91" t="str">
        <f t="shared" si="45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101" s="88" t="str">
        <f t="shared" si="46"/>
        <v>"C:\Program Files (x86)\AstroGrep\AstroGrep.exe" /spath="%USERPROFILE%\AppData\Local\Temp\OnboardLogs" /stypes="app*4041*20161221*" /stext=" 22:.+((SYSTEM_STATE.+slice.+state.+changed )|(ment ac)|(multiple cpu faults)|(system.+state.+changed )|(\[timeout)|(PRM\|1\|D)|(kpr)|(kdp)|(\|lc)|(penalty))" /e /r /s</v>
      </c>
      <c r="AG101" s="1" t="str">
        <f t="shared" si="47"/>
        <v>EC</v>
      </c>
      <c r="AH101" s="92" t="str">
        <f t="shared" si="48"/>
        <v>"%USERPROFILE%\Documents\GitHub\eaglep3\Utilities\RefineRTDCRunTimes.py" --tripid 186-21 --locoid 4041 --swversion DE.1.0.8.0 --startMP 204:232988 --initTime 2016-12-21T14:58:15 --startdatetime 2016-12-21T15:11:14 --delay 1 --endMP 204:158 --enddatetime 2016-12-21T15:51:41 --enforcementcount 0 &gt;&gt;C:\Users\stu\Documents\GitHub\eaglep3-reporting\EC\2016-12-21-refined-times.txt</v>
      </c>
      <c r="AI101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{"issue":{"subject":"","project_id":79,"tracker_id":40,"status_id":1,"priority_id":2,"assigned_to_id":23,"start_date":"2016-12-21","description":"","custom_fields":[{"id":1,"name":"Subdivision","value":"EC"},{"id":4,"name":"Milepost","value":"0.0158"},{"id":17,"name":"Train ID","value":"186-21"},{"id":16,"name":"Locomotive ID","value":"4041"},{"id":130,"name":"Impact","value":""},{"id":150,"name":"Time of Event (Mountain Time)","value":"15:51:41"},{"id":151,"name":"Denver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576</v>
      </c>
      <c r="B102" s="7">
        <v>4044</v>
      </c>
      <c r="C102" s="22" t="s">
        <v>205</v>
      </c>
      <c r="D102" s="22" t="s">
        <v>280</v>
      </c>
      <c r="E102" s="13">
        <v>42725.600405092591</v>
      </c>
      <c r="F102" s="13">
        <v>42725.604351851849</v>
      </c>
      <c r="G102" s="7">
        <v>1</v>
      </c>
      <c r="H102" s="22" t="s">
        <v>708</v>
      </c>
      <c r="I102" s="13">
        <v>42725.630474537036</v>
      </c>
      <c r="J102" s="7">
        <v>0</v>
      </c>
      <c r="K102" s="109" t="str">
        <f t="shared" si="36"/>
        <v>4043/4044</v>
      </c>
      <c r="L102" s="22" t="str">
        <f>VLOOKUP(A102,'Trips&amp;Operators'!$C$1:$G$99999,5,FALSE)</f>
        <v>CLARK KATHLEEN</v>
      </c>
      <c r="M102" s="6">
        <f t="shared" si="37"/>
        <v>2.6122685187146999E-2</v>
      </c>
      <c r="N102" s="7">
        <f t="shared" si="50"/>
        <v>37.616666669491678</v>
      </c>
      <c r="O102" s="7"/>
      <c r="P102" s="7"/>
      <c r="Q102" s="23"/>
      <c r="R102" s="23"/>
      <c r="S102" s="35">
        <f t="shared" si="51"/>
        <v>1</v>
      </c>
      <c r="T102" s="50" t="str">
        <f t="shared" si="38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13:24:35-700',mode:absolute,to:'2016-12-21 16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2" s="52" t="str">
        <f t="shared" si="40"/>
        <v>N</v>
      </c>
      <c r="X102" s="177">
        <f t="shared" si="52"/>
        <v>1</v>
      </c>
      <c r="Y102" s="67">
        <f t="shared" si="41"/>
        <v>4.7699999999999999E-2</v>
      </c>
      <c r="Z102" s="67">
        <f t="shared" si="42"/>
        <v>23.327200000000001</v>
      </c>
      <c r="AA102" s="67">
        <f t="shared" si="43"/>
        <v>23.279500000000002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44"/>
        <v>0187-21</v>
      </c>
      <c r="AE102" s="91" t="str">
        <f t="shared" si="45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102" s="88" t="str">
        <f t="shared" si="46"/>
        <v>"C:\Program Files (x86)\AstroGrep\AstroGrep.exe" /spath="%USERPROFILE%\AppData\Local\Temp\OnboardLogs" /stypes="app*4044*20161221*" /stext=" 22:.+((SYSTEM_STATE.+slice.+state.+changed )|(ment ac)|(multiple cpu faults)|(system.+state.+changed )|(\[timeout)|(PRM\|1\|D)|(kpr)|(kdp)|(\|lc)|(penalty))" /e /r /s</v>
      </c>
      <c r="AG102" s="1" t="str">
        <f t="shared" si="47"/>
        <v>EC</v>
      </c>
      <c r="AH102" s="92" t="str">
        <f t="shared" si="48"/>
        <v>"%USERPROFILE%\Documents\GitHub\eaglep3\Utilities\RefineRTDCRunTimes.py" --tripid 187-21 --locoid 4044 --swversion DE.1.0.8.0 --startMP 204:477 --initTime 2016-12-21T14:24:35 --startdatetime 2016-12-21T14:30:16 --delay 1 --endMP 204:233272 --enddatetime 2016-12-21T15:07:53 --enforcementcount 0 &gt;&gt;C:\Users\stu\Documents\GitHub\eaglep3-reporting\EC\2016-12-21-refined-times.txt</v>
      </c>
      <c r="AI102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{"issue":{"subject":"","project_id":79,"tracker_id":40,"status_id":1,"priority_id":2,"assigned_to_id":23,"start_date":"2016-12-21","description":"","custom_fields":[{"id":1,"name":"Subdivision","value":"EC"},{"id":4,"name":"Milepost","value":"23.3272"},{"id":17,"name":"Train ID","value":"187-21"},{"id":16,"name":"Locomotive ID","value":"4044"},{"id":130,"name":"Impact","value":""},{"id":150,"name":"Time of Event (Mountain Time)","value":"15:07:53"},{"id":151,"name":"Denver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583</v>
      </c>
      <c r="B103" s="7">
        <v>4043</v>
      </c>
      <c r="C103" s="22" t="s">
        <v>205</v>
      </c>
      <c r="D103" s="22" t="s">
        <v>306</v>
      </c>
      <c r="E103" s="13">
        <v>42725.63890046296</v>
      </c>
      <c r="F103" s="13">
        <v>42725.643206018518</v>
      </c>
      <c r="G103" s="7">
        <v>0</v>
      </c>
      <c r="H103" s="22" t="s">
        <v>351</v>
      </c>
      <c r="I103" s="13">
        <v>42725.671712962961</v>
      </c>
      <c r="J103" s="7">
        <v>0</v>
      </c>
      <c r="K103" s="109" t="str">
        <f t="shared" si="36"/>
        <v>4043/4044</v>
      </c>
      <c r="L103" s="22" t="str">
        <f>VLOOKUP(A103,'Trips&amp;Operators'!$C$1:$G$99999,5,FALSE)</f>
        <v>CLARK KATHLEEN</v>
      </c>
      <c r="M103" s="6">
        <f t="shared" si="37"/>
        <v>2.8506944443506654E-2</v>
      </c>
      <c r="N103" s="7">
        <f t="shared" si="50"/>
        <v>41.049999998649582</v>
      </c>
      <c r="O103" s="7"/>
      <c r="P103" s="7"/>
      <c r="Q103" s="23"/>
      <c r="R103" s="23"/>
      <c r="S103" s="35">
        <f t="shared" si="51"/>
        <v>1</v>
      </c>
      <c r="T103" s="50" t="str">
        <f t="shared" si="38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14:20:01-700',mode:absolute,to:'2016-12-21 17:07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3" s="52" t="str">
        <f t="shared" si="40"/>
        <v>N</v>
      </c>
      <c r="X103" s="177">
        <f t="shared" si="52"/>
        <v>1</v>
      </c>
      <c r="Y103" s="67">
        <f t="shared" si="41"/>
        <v>23.2972</v>
      </c>
      <c r="Z103" s="67">
        <f t="shared" si="42"/>
        <v>1.72E-2</v>
      </c>
      <c r="AA103" s="67">
        <f t="shared" si="43"/>
        <v>23.28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44"/>
        <v>0188-21</v>
      </c>
      <c r="AE103" s="91" t="str">
        <f t="shared" si="45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103" s="88" t="str">
        <f t="shared" si="46"/>
        <v>"C:\Program Files (x86)\AstroGrep\AstroGrep.exe" /spath="%USERPROFILE%\AppData\Local\Temp\OnboardLogs" /stypes="app*4043*20161221*" /stext=" 23:.+((SYSTEM_STATE.+slice.+state.+changed )|(ment ac)|(multiple cpu faults)|(system.+state.+changed )|(\[timeout)|(PRM\|1\|D)|(kpr)|(kdp)|(\|lc)|(penalty))" /e /r /s</v>
      </c>
      <c r="AG103" s="1" t="str">
        <f t="shared" si="47"/>
        <v>EC</v>
      </c>
      <c r="AH103" s="92" t="str">
        <f t="shared" si="48"/>
        <v>"%USERPROFILE%\Documents\GitHub\eaglep3\Utilities\RefineRTDCRunTimes.py" --tripid 188-21 --locoid 4043 --swversion DE.1.0.8.0 --startMP 204:232972 --initTime 2016-12-21T15:20:01 --startdatetime 2016-12-21T15:26:13 --delay 0 --endMP 204:172 --enddatetime 2016-12-21T16:07:16 --enforcementcount 0 &gt;&gt;C:\Users\stu\Documents\GitHub\eaglep3-reporting\EC\2016-12-21-refined-times.txt</v>
      </c>
      <c r="AI103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{"issue":{"subject":"","project_id":79,"tracker_id":40,"status_id":1,"priority_id":2,"assigned_to_id":23,"start_date":"2016-12-21","description":"","custom_fields":[{"id":1,"name":"Subdivision","value":"EC"},{"id":4,"name":"Milepost","value":"0.0172"},{"id":17,"name":"Train ID","value":"188-21"},{"id":16,"name":"Locomotive ID","value":"4043"},{"id":130,"name":"Impact","value":""},{"id":150,"name":"Time of Event (Mountain Time)","value":"16:07:16"},{"id":151,"name":"Denver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578</v>
      </c>
      <c r="B104" s="7">
        <v>4027</v>
      </c>
      <c r="C104" s="22" t="s">
        <v>205</v>
      </c>
      <c r="D104" s="22" t="s">
        <v>228</v>
      </c>
      <c r="E104" s="13">
        <v>42725.610879629632</v>
      </c>
      <c r="F104" s="13">
        <v>42725.615127314813</v>
      </c>
      <c r="G104" s="7">
        <v>1</v>
      </c>
      <c r="H104" s="22" t="s">
        <v>355</v>
      </c>
      <c r="I104" s="13">
        <v>42725.640439814815</v>
      </c>
      <c r="J104" s="7">
        <v>0</v>
      </c>
      <c r="K104" s="109" t="str">
        <f t="shared" si="36"/>
        <v>4027/4028</v>
      </c>
      <c r="L104" s="22" t="str">
        <f>VLOOKUP(A104,'Trips&amp;Operators'!$C$1:$G$99999,5,FALSE)</f>
        <v>DAVIS MICHAEL</v>
      </c>
      <c r="M104" s="6">
        <f t="shared" si="37"/>
        <v>2.531250000174623E-2</v>
      </c>
      <c r="N104" s="7">
        <f t="shared" si="50"/>
        <v>36.450000002514571</v>
      </c>
      <c r="O104" s="7"/>
      <c r="P104" s="7"/>
      <c r="Q104" s="23"/>
      <c r="R104" s="23"/>
      <c r="S104" s="35">
        <f t="shared" si="51"/>
        <v>1</v>
      </c>
      <c r="T104" s="50" t="str">
        <f t="shared" si="38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13:39:40-700',mode:absolute,to:'2016-12-21 16:22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4" s="52" t="str">
        <f t="shared" si="40"/>
        <v>N</v>
      </c>
      <c r="X104" s="177">
        <f t="shared" si="52"/>
        <v>1</v>
      </c>
      <c r="Y104" s="67">
        <f t="shared" si="41"/>
        <v>4.5499999999999999E-2</v>
      </c>
      <c r="Z104" s="67">
        <f t="shared" si="42"/>
        <v>23.330100000000002</v>
      </c>
      <c r="AA104" s="67">
        <f t="shared" si="43"/>
        <v>23.284600000000001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44"/>
        <v>0189-21</v>
      </c>
      <c r="AE104" s="91" t="str">
        <f t="shared" si="45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104" s="88" t="str">
        <f t="shared" si="46"/>
        <v>"C:\Program Files (x86)\AstroGrep\AstroGrep.exe" /spath="%USERPROFILE%\AppData\Local\Temp\OnboardLogs" /stypes="app*4027*20161221*" /stext=" 22:.+((SYSTEM_STATE.+slice.+state.+changed )|(ment ac)|(multiple cpu faults)|(system.+state.+changed )|(\[timeout)|(PRM\|1\|D)|(kpr)|(kdp)|(\|lc)|(penalty))" /e /r /s</v>
      </c>
      <c r="AG104" s="1" t="str">
        <f t="shared" si="47"/>
        <v>EC</v>
      </c>
      <c r="AH104" s="92" t="str">
        <f t="shared" si="48"/>
        <v>"%USERPROFILE%\Documents\GitHub\eaglep3\Utilities\RefineRTDCRunTimes.py" --tripid 189-21 --locoid 4027 --swversion DE.1.0.8.0 --startMP 204:455 --initTime 2016-12-21T14:39:40 --startdatetime 2016-12-21T14:45:47 --delay 1 --endMP 204:233301 --enddatetime 2016-12-21T15:22:14 --enforcementcount 0 &gt;&gt;C:\Users\stu\Documents\GitHub\eaglep3-reporting\EC\2016-12-21-refined-times.txt</v>
      </c>
      <c r="AI104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{"issue":{"subject":"","project_id":79,"tracker_id":40,"status_id":1,"priority_id":2,"assigned_to_id":23,"start_date":"2016-12-21","description":"","custom_fields":[{"id":1,"name":"Subdivision","value":"EC"},{"id":4,"name":"Milepost","value":"23.3301"},{"id":17,"name":"Train ID","value":"189-21"},{"id":16,"name":"Locomotive ID","value":"4027"},{"id":130,"name":"Impact","value":""},{"id":150,"name":"Time of Event (Mountain Time)","value":"15:22:14"},{"id":151,"name":"Denver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587</v>
      </c>
      <c r="B105" s="7">
        <v>4028</v>
      </c>
      <c r="C105" s="22" t="s">
        <v>205</v>
      </c>
      <c r="D105" s="22" t="s">
        <v>392</v>
      </c>
      <c r="E105" s="13">
        <v>42725.648622685185</v>
      </c>
      <c r="F105" s="13">
        <v>42725.653969907406</v>
      </c>
      <c r="G105" s="7">
        <v>1</v>
      </c>
      <c r="H105" s="22" t="s">
        <v>278</v>
      </c>
      <c r="I105" s="13">
        <v>42725.682905092595</v>
      </c>
      <c r="J105" s="7">
        <v>0</v>
      </c>
      <c r="K105" s="109" t="str">
        <f t="shared" si="36"/>
        <v>4027/4028</v>
      </c>
      <c r="L105" s="22" t="str">
        <f>VLOOKUP(A105,'Trips&amp;Operators'!$C$1:$G$99999,5,FALSE)</f>
        <v>DAVIS MICHAEL</v>
      </c>
      <c r="M105" s="6">
        <f t="shared" si="37"/>
        <v>2.8935185189766344E-2</v>
      </c>
      <c r="N105" s="7">
        <f t="shared" si="50"/>
        <v>41.666666673263535</v>
      </c>
      <c r="O105" s="7"/>
      <c r="P105" s="7"/>
      <c r="Q105" s="23"/>
      <c r="R105" s="23"/>
      <c r="S105" s="35">
        <f t="shared" si="51"/>
        <v>1</v>
      </c>
      <c r="T105" s="50" t="str">
        <f t="shared" si="38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14:34:01-700',mode:absolute,to:'2016-12-21 17:23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5" s="52" t="str">
        <f t="shared" si="40"/>
        <v>N</v>
      </c>
      <c r="X105" s="177">
        <f t="shared" si="52"/>
        <v>1</v>
      </c>
      <c r="Y105" s="67">
        <f t="shared" si="41"/>
        <v>23.297499999999999</v>
      </c>
      <c r="Z105" s="67">
        <f t="shared" si="42"/>
        <v>1.38E-2</v>
      </c>
      <c r="AA105" s="67">
        <f t="shared" si="43"/>
        <v>23.2837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44"/>
        <v>0190-21</v>
      </c>
      <c r="AE105" s="91" t="str">
        <f t="shared" si="45"/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105" s="88" t="str">
        <f t="shared" si="46"/>
        <v>"C:\Program Files (x86)\AstroGrep\AstroGrep.exe" /spath="%USERPROFILE%\AppData\Local\Temp\OnboardLogs" /stypes="app*4028*20161221*" /stext=" 23:.+((SYSTEM_STATE.+slice.+state.+changed )|(ment ac)|(multiple cpu faults)|(system.+state.+changed )|(\[timeout)|(PRM\|1\|D)|(kpr)|(kdp)|(\|lc)|(penalty))" /e /r /s</v>
      </c>
      <c r="AG105" s="1" t="str">
        <f t="shared" si="47"/>
        <v>EC</v>
      </c>
      <c r="AH105" s="92" t="str">
        <f t="shared" si="48"/>
        <v>"%USERPROFILE%\Documents\GitHub\eaglep3\Utilities\RefineRTDCRunTimes.py" --tripid 190-21 --locoid 4028 --swversion DE.1.0.8.0 --startMP 204:232975 --initTime 2016-12-21T15:34:01 --startdatetime 2016-12-21T15:41:43 --delay 1 --endMP 204:138 --enddatetime 2016-12-21T16:23:23 --enforcementcount 0 &gt;&gt;C:\Users\stu\Documents\GitHub\eaglep3-reporting\EC\2016-12-21-refined-times.txt</v>
      </c>
      <c r="AI105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{"issue":{"subject":"","project_id":79,"tracker_id":40,"status_id":1,"priority_id":2,"assigned_to_id":23,"start_date":"2016-12-21","description":"","custom_fields":[{"id":1,"name":"Subdivision","value":"EC"},{"id":4,"name":"Milepost","value":"0.0138"},{"id":17,"name":"Train ID","value":"190-21"},{"id":16,"name":"Locomotive ID","value":"4028"},{"id":130,"name":"Impact","value":""},{"id":150,"name":"Time of Event (Mountain Time)","value":"16:23:23"},{"id":151,"name":"Denver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580</v>
      </c>
      <c r="B106" s="7">
        <v>4003</v>
      </c>
      <c r="C106" s="22" t="s">
        <v>205</v>
      </c>
      <c r="D106" s="22" t="s">
        <v>231</v>
      </c>
      <c r="E106" s="13">
        <v>42725.621145833335</v>
      </c>
      <c r="F106" s="13">
        <v>42725.625254629631</v>
      </c>
      <c r="G106" s="7">
        <v>1</v>
      </c>
      <c r="H106" s="22" t="s">
        <v>303</v>
      </c>
      <c r="I106" s="13">
        <v>42725.650335648148</v>
      </c>
      <c r="J106" s="7">
        <v>0</v>
      </c>
      <c r="K106" s="109" t="str">
        <f t="shared" si="36"/>
        <v>4003/4004</v>
      </c>
      <c r="L106" s="22" t="str">
        <f>VLOOKUP(A106,'Trips&amp;Operators'!$C$1:$G$99999,5,FALSE)</f>
        <v>COMELLA JUSTIN</v>
      </c>
      <c r="M106" s="6">
        <f t="shared" si="37"/>
        <v>2.5081018517084885E-2</v>
      </c>
      <c r="N106" s="7">
        <f t="shared" si="50"/>
        <v>36.116666664602235</v>
      </c>
      <c r="O106" s="7"/>
      <c r="P106" s="7"/>
      <c r="Q106" s="23"/>
      <c r="R106" s="23"/>
      <c r="S106" s="35">
        <f t="shared" si="51"/>
        <v>1</v>
      </c>
      <c r="T106" s="50" t="str">
        <f t="shared" si="38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13:54:27-700',mode:absolute,to:'2016-12-21 16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6" s="52" t="str">
        <f t="shared" si="40"/>
        <v>N</v>
      </c>
      <c r="X106" s="177">
        <f t="shared" si="52"/>
        <v>1</v>
      </c>
      <c r="Y106" s="67">
        <f t="shared" si="41"/>
        <v>4.7100000000000003E-2</v>
      </c>
      <c r="Z106" s="67">
        <f t="shared" si="42"/>
        <v>23.329499999999999</v>
      </c>
      <c r="AA106" s="67">
        <f t="shared" si="43"/>
        <v>23.282399999999999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44"/>
        <v>0191-21</v>
      </c>
      <c r="AE106" s="91" t="str">
        <f t="shared" si="45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106" s="88" t="str">
        <f t="shared" si="46"/>
        <v>"C:\Program Files (x86)\AstroGrep\AstroGrep.exe" /spath="%USERPROFILE%\AppData\Local\Temp\OnboardLogs" /stypes="app*4003*20161221*" /stext=" 22:.+((SYSTEM_STATE.+slice.+state.+changed )|(ment ac)|(multiple cpu faults)|(system.+state.+changed )|(\[timeout)|(PRM\|1\|D)|(kpr)|(kdp)|(\|lc)|(penalty))" /e /r /s</v>
      </c>
      <c r="AG106" s="1" t="str">
        <f t="shared" si="47"/>
        <v>EC</v>
      </c>
      <c r="AH106" s="92" t="str">
        <f t="shared" si="48"/>
        <v>"%USERPROFILE%\Documents\GitHub\eaglep3\Utilities\RefineRTDCRunTimes.py" --tripid 191-21 --locoid 4003 --swversion DE.1.0.8.0 --startMP 204:471 --initTime 2016-12-21T14:54:27 --startdatetime 2016-12-21T15:00:22 --delay 1 --endMP 204:233295 --enddatetime 2016-12-21T15:36:29 --enforcementcount 0 &gt;&gt;C:\Users\stu\Documents\GitHub\eaglep3-reporting\EC\2016-12-21-refined-times.txt</v>
      </c>
      <c r="AI106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{"issue":{"subject":"","project_id":79,"tracker_id":40,"status_id":1,"priority_id":2,"assigned_to_id":23,"start_date":"2016-12-21","description":"","custom_fields":[{"id":1,"name":"Subdivision","value":"EC"},{"id":4,"name":"Milepost","value":"23.3295"},{"id":17,"name":"Train ID","value":"191-21"},{"id":16,"name":"Locomotive ID","value":"4003"},{"id":130,"name":"Impact","value":""},{"id":150,"name":"Time of Event (Mountain Time)","value":"15:36:29"},{"id":151,"name":"Denver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590</v>
      </c>
      <c r="B107" s="7">
        <v>4004</v>
      </c>
      <c r="C107" s="22" t="s">
        <v>205</v>
      </c>
      <c r="D107" s="22" t="s">
        <v>400</v>
      </c>
      <c r="E107" s="13">
        <v>42725.655185185184</v>
      </c>
      <c r="F107" s="13">
        <v>42725.664074074077</v>
      </c>
      <c r="G107" s="7">
        <v>1</v>
      </c>
      <c r="H107" s="22" t="s">
        <v>351</v>
      </c>
      <c r="I107" s="13">
        <v>42725.691446759258</v>
      </c>
      <c r="J107" s="7">
        <v>0</v>
      </c>
      <c r="K107" s="109" t="str">
        <f t="shared" si="36"/>
        <v>4003/4004</v>
      </c>
      <c r="L107" s="22" t="str">
        <f>VLOOKUP(A107,'Trips&amp;Operators'!$C$1:$G$99999,5,FALSE)</f>
        <v>COMELLA JUSTIN</v>
      </c>
      <c r="M107" s="6">
        <f t="shared" si="37"/>
        <v>2.7372685181035195E-2</v>
      </c>
      <c r="N107" s="7">
        <f t="shared" si="50"/>
        <v>39.41666666069068</v>
      </c>
      <c r="O107" s="7"/>
      <c r="P107" s="7"/>
      <c r="Q107" s="23"/>
      <c r="R107" s="23"/>
      <c r="S107" s="35">
        <f t="shared" si="51"/>
        <v>1</v>
      </c>
      <c r="T107" s="50" t="str">
        <f t="shared" si="38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14:43:28-700',mode:absolute,to:'2016-12-21 17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7" s="52" t="str">
        <f t="shared" si="40"/>
        <v>N</v>
      </c>
      <c r="X107" s="177">
        <f t="shared" si="52"/>
        <v>1</v>
      </c>
      <c r="Y107" s="67">
        <f t="shared" si="41"/>
        <v>23.298300000000001</v>
      </c>
      <c r="Z107" s="67">
        <f t="shared" si="42"/>
        <v>1.72E-2</v>
      </c>
      <c r="AA107" s="67">
        <f t="shared" si="43"/>
        <v>23.281100000000002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44"/>
        <v>0192-21</v>
      </c>
      <c r="AE107" s="91" t="str">
        <f t="shared" si="45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107" s="88" t="str">
        <f t="shared" si="46"/>
        <v>"C:\Program Files (x86)\AstroGrep\AstroGrep.exe" /spath="%USERPROFILE%\AppData\Local\Temp\OnboardLogs" /stypes="app*4004*20161221*" /stext=" 23:.+((SYSTEM_STATE.+slice.+state.+changed )|(ment ac)|(multiple cpu faults)|(system.+state.+changed )|(\[timeout)|(PRM\|1\|D)|(kpr)|(kdp)|(\|lc)|(penalty))" /e /r /s</v>
      </c>
      <c r="AG107" s="1" t="str">
        <f t="shared" si="47"/>
        <v>EC</v>
      </c>
      <c r="AH107" s="92" t="str">
        <f t="shared" si="48"/>
        <v>"%USERPROFILE%\Documents\GitHub\eaglep3\Utilities\RefineRTDCRunTimes.py" --tripid 192-21 --locoid 4004 --swversion DE.1.0.8.0 --startMP 204:232983 --initTime 2016-12-21T15:43:28 --startdatetime 2016-12-21T15:56:16 --delay 1 --endMP 204:172 --enddatetime 2016-12-21T16:35:41 --enforcementcount 0 &gt;&gt;C:\Users\stu\Documents\GitHub\eaglep3-reporting\EC\2016-12-21-refined-times.txt</v>
      </c>
      <c r="AI107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{"issue":{"subject":"","project_id":79,"tracker_id":40,"status_id":1,"priority_id":2,"assigned_to_id":23,"start_date":"2016-12-21","description":"","custom_fields":[{"id":1,"name":"Subdivision","value":"EC"},{"id":4,"name":"Milepost","value":"0.0172"},{"id":17,"name":"Train ID","value":"192-21"},{"id":16,"name":"Locomotive ID","value":"4004"},{"id":130,"name":"Impact","value":""},{"id":150,"name":"Time of Event (Mountain Time)","value":"16:35:41"},{"id":151,"name":"Denver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581</v>
      </c>
      <c r="B108" s="7">
        <v>4020</v>
      </c>
      <c r="C108" s="22" t="s">
        <v>205</v>
      </c>
      <c r="D108" s="22" t="s">
        <v>300</v>
      </c>
      <c r="E108" s="13">
        <v>42725.633657407408</v>
      </c>
      <c r="F108" s="13">
        <v>42725.635960648149</v>
      </c>
      <c r="G108" s="7">
        <v>1</v>
      </c>
      <c r="H108" s="22" t="s">
        <v>355</v>
      </c>
      <c r="I108" s="13">
        <v>42725.659826388888</v>
      </c>
      <c r="J108" s="7">
        <v>0</v>
      </c>
      <c r="K108" s="109" t="str">
        <f t="shared" si="36"/>
        <v>4019/4020</v>
      </c>
      <c r="L108" s="22" t="str">
        <f>VLOOKUP(A108,'Trips&amp;Operators'!$C$1:$G$99999,5,FALSE)</f>
        <v>HELVIE ADAM</v>
      </c>
      <c r="M108" s="6">
        <f t="shared" si="37"/>
        <v>2.3865740738983732E-2</v>
      </c>
      <c r="N108" s="7">
        <f t="shared" si="50"/>
        <v>34.366666664136574</v>
      </c>
      <c r="O108" s="7"/>
      <c r="P108" s="7"/>
      <c r="Q108" s="23"/>
      <c r="R108" s="23"/>
      <c r="S108" s="35">
        <f t="shared" si="51"/>
        <v>1</v>
      </c>
      <c r="T108" s="50" t="str">
        <f t="shared" si="38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14:12:28-700',mode:absolute,to:'2016-12-21 16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8" s="52" t="str">
        <f t="shared" si="40"/>
        <v>N</v>
      </c>
      <c r="X108" s="177">
        <f t="shared" si="52"/>
        <v>1</v>
      </c>
      <c r="Y108" s="67">
        <f t="shared" si="41"/>
        <v>4.4900000000000002E-2</v>
      </c>
      <c r="Z108" s="67">
        <f t="shared" si="42"/>
        <v>23.330100000000002</v>
      </c>
      <c r="AA108" s="67">
        <f t="shared" si="43"/>
        <v>23.285200000000003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44"/>
        <v>0193-21</v>
      </c>
      <c r="AE108" s="91" t="str">
        <f t="shared" si="45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108" s="88" t="str">
        <f t="shared" si="46"/>
        <v>"C:\Program Files (x86)\AstroGrep\AstroGrep.exe" /spath="%USERPROFILE%\AppData\Local\Temp\OnboardLogs" /stypes="app*4020*20161221*" /stext=" 22:.+((SYSTEM_STATE.+slice.+state.+changed )|(ment ac)|(multiple cpu faults)|(system.+state.+changed )|(\[timeout)|(PRM\|1\|D)|(kpr)|(kdp)|(\|lc)|(penalty))" /e /r /s</v>
      </c>
      <c r="AG108" s="1" t="str">
        <f t="shared" si="47"/>
        <v>EC</v>
      </c>
      <c r="AH108" s="92" t="str">
        <f t="shared" si="48"/>
        <v>"%USERPROFILE%\Documents\GitHub\eaglep3\Utilities\RefineRTDCRunTimes.py" --tripid 193-21 --locoid 4020 --swversion DE.1.0.8.0 --startMP 204:449 --initTime 2016-12-21T15:12:28 --startdatetime 2016-12-21T15:15:47 --delay 1 --endMP 204:233301 --enddatetime 2016-12-21T15:50:09 --enforcementcount 0 &gt;&gt;C:\Users\stu\Documents\GitHub\eaglep3-reporting\EC\2016-12-21-refined-times.txt</v>
      </c>
      <c r="AI108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{"issue":{"subject":"","project_id":79,"tracker_id":40,"status_id":1,"priority_id":2,"assigned_to_id":23,"start_date":"2016-12-21","description":"","custom_fields":[{"id":1,"name":"Subdivision","value":"EC"},{"id":4,"name":"Milepost","value":"23.3301"},{"id":17,"name":"Train ID","value":"193-21"},{"id":16,"name":"Locomotive ID","value":"4020"},{"id":130,"name":"Impact","value":""},{"id":150,"name":"Time of Event (Mountain Time)","value":"15:50:09"},{"id":151,"name":"Denver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592</v>
      </c>
      <c r="B109" s="7">
        <v>4019</v>
      </c>
      <c r="C109" s="22" t="s">
        <v>205</v>
      </c>
      <c r="D109" s="22" t="s">
        <v>397</v>
      </c>
      <c r="E109" s="13">
        <v>42725.670613425929</v>
      </c>
      <c r="F109" s="13">
        <v>42725.674467592595</v>
      </c>
      <c r="G109" s="7">
        <v>1</v>
      </c>
      <c r="H109" s="22" t="s">
        <v>262</v>
      </c>
      <c r="I109" s="13">
        <v>42725.700960648152</v>
      </c>
      <c r="J109" s="7">
        <v>0</v>
      </c>
      <c r="K109" s="109" t="str">
        <f t="shared" ref="K109:K140" si="53">IF(ISEVEN(B109),(B109-1)&amp;"/"&amp;B109,B109&amp;"/"&amp;(B109+1))</f>
        <v>4019/4020</v>
      </c>
      <c r="L109" s="22" t="str">
        <f>VLOOKUP(A109,'Trips&amp;Operators'!$C$1:$G$99999,5,FALSE)</f>
        <v>HELVIE ADAM</v>
      </c>
      <c r="M109" s="6">
        <f t="shared" ref="M109:M140" si="54">I109-F109</f>
        <v>2.6493055556784384E-2</v>
      </c>
      <c r="N109" s="7">
        <f t="shared" si="50"/>
        <v>38.150000001769513</v>
      </c>
      <c r="O109" s="7"/>
      <c r="P109" s="7"/>
      <c r="Q109" s="23"/>
      <c r="R109" s="23"/>
      <c r="S109" s="35">
        <f t="shared" si="51"/>
        <v>1</v>
      </c>
      <c r="T109" s="50" t="str">
        <f t="shared" ref="T109:T140" si="55">IF(ISEVEN(LEFT(AD109,4)),"Southbound","NorthBound")</f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15:05:41-700',mode:absolute,to:'2016-12-21 17:49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9" s="52" t="str">
        <f t="shared" ref="W109:W140" si="56">IF(AA109&lt;IF(AG109="EC",23,5.65),"Y","N")</f>
        <v>N</v>
      </c>
      <c r="X109" s="177">
        <f t="shared" si="52"/>
        <v>1</v>
      </c>
      <c r="Y109" s="67">
        <f t="shared" ref="Y109:Y126" si="57">RIGHT(D109,LEN(D109)-4)/10000</f>
        <v>23.296900000000001</v>
      </c>
      <c r="Z109" s="67">
        <f t="shared" ref="Z109:Z140" si="58">RIGHT(H109,LEN(H109)-4)/10000</f>
        <v>1.47E-2</v>
      </c>
      <c r="AA109" s="67">
        <f t="shared" ref="AA109:AA140" si="59">ABS(Z109-Y109)</f>
        <v>23.2822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ref="AD109:AD140" si="60">IF(LEN(A109)=6,"0"&amp;A109,A109)</f>
        <v>0194-21</v>
      </c>
      <c r="AE109" s="91" t="str">
        <f t="shared" si="45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109" s="88" t="str">
        <f t="shared" si="46"/>
        <v>"C:\Program Files (x86)\AstroGrep\AstroGrep.exe" /spath="%USERPROFILE%\AppData\Local\Temp\OnboardLogs" /stypes="app*4019*20161221*" /stext=" 23:.+((SYSTEM_STATE.+slice.+state.+changed )|(ment ac)|(multiple cpu faults)|(system.+state.+changed )|(\[timeout)|(PRM\|1\|D)|(kpr)|(kdp)|(\|lc)|(penalty))" /e /r /s</v>
      </c>
      <c r="AG109" s="1" t="str">
        <f t="shared" ref="AG109:AG140" si="61">IFERROR(IF(VALUE(LEFT(AD109,2))&lt;=2,"EC",IF(OR(VALUE(LEFT(AD109,2))=8,VALUE(LEFT(AD109,2))=18),"NW","Other")),"Other")</f>
        <v>EC</v>
      </c>
      <c r="AH109" s="92" t="str">
        <f t="shared" si="48"/>
        <v>"%USERPROFILE%\Documents\GitHub\eaglep3\Utilities\RefineRTDCRunTimes.py" --tripid 194-21 --locoid 4019 --swversion DE.1.0.8.0 --startMP 204:232969 --initTime 2016-12-21T16:05:41 --startdatetime 2016-12-21T16:11:14 --delay 1 --endMP 204:147 --enddatetime 2016-12-21T16:49:23 --enforcementcount 0 &gt;&gt;C:\Users\stu\Documents\GitHub\eaglep3-reporting\EC\2016-12-21-refined-times.txt</v>
      </c>
      <c r="AI109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{"issue":{"subject":"","project_id":79,"tracker_id":40,"status_id":1,"priority_id":2,"assigned_to_id":23,"start_date":"2016-12-21","description":"","custom_fields":[{"id":1,"name":"Subdivision","value":"EC"},{"id":4,"name":"Milepost","value":"0.0147"},{"id":17,"name":"Train ID","value":"194-21"},{"id":16,"name":"Locomotive ID","value":"4019"},{"id":130,"name":"Impact","value":""},{"id":150,"name":"Time of Event (Mountain Time)","value":"16:49:23"},{"id":151,"name":"Denver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584</v>
      </c>
      <c r="B110" s="7">
        <v>4016</v>
      </c>
      <c r="C110" s="22" t="s">
        <v>205</v>
      </c>
      <c r="D110" s="22" t="s">
        <v>695</v>
      </c>
      <c r="E110" s="13">
        <v>42725.640949074077</v>
      </c>
      <c r="F110" s="13">
        <v>42725.646122685182</v>
      </c>
      <c r="G110" s="7">
        <v>1</v>
      </c>
      <c r="H110" s="22" t="s">
        <v>713</v>
      </c>
      <c r="I110" s="13">
        <v>42725.671331018515</v>
      </c>
      <c r="J110" s="7">
        <v>0</v>
      </c>
      <c r="K110" s="109" t="str">
        <f t="shared" si="53"/>
        <v>4015/4016</v>
      </c>
      <c r="L110" s="22" t="str">
        <f>VLOOKUP(A110,'Trips&amp;Operators'!$C$1:$G$99999,5,FALSE)</f>
        <v>BARTLETT KIANDRA</v>
      </c>
      <c r="M110" s="6">
        <f t="shared" si="54"/>
        <v>2.5208333332557231E-2</v>
      </c>
      <c r="N110" s="7">
        <f t="shared" si="50"/>
        <v>36.299999998882413</v>
      </c>
      <c r="O110" s="7"/>
      <c r="P110" s="7"/>
      <c r="Q110" s="23"/>
      <c r="R110" s="23"/>
      <c r="S110" s="35">
        <f t="shared" si="51"/>
        <v>1</v>
      </c>
      <c r="T110" s="50" t="str">
        <f t="shared" si="55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14:22:58-700',mode:absolute,to:'2016-12-21 17:06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0" s="52" t="str">
        <f t="shared" si="56"/>
        <v>N</v>
      </c>
      <c r="X110" s="177">
        <f t="shared" si="52"/>
        <v>1</v>
      </c>
      <c r="Y110" s="67">
        <f t="shared" si="57"/>
        <v>4.4600000000000001E-2</v>
      </c>
      <c r="Z110" s="67">
        <f t="shared" si="58"/>
        <v>23.336600000000001</v>
      </c>
      <c r="AA110" s="67">
        <f t="shared" si="59"/>
        <v>23.292000000000002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60"/>
        <v>0195-21</v>
      </c>
      <c r="AE110" s="91" t="str">
        <f t="shared" si="45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110" s="88" t="str">
        <f t="shared" si="46"/>
        <v>"C:\Program Files (x86)\AstroGrep\AstroGrep.exe" /spath="%USERPROFILE%\AppData\Local\Temp\OnboardLogs" /stypes="app*4016*20161221*" /stext=" 23:.+((SYSTEM_STATE.+slice.+state.+changed )|(ment ac)|(multiple cpu faults)|(system.+state.+changed )|(\[timeout)|(PRM\|1\|D)|(kpr)|(kdp)|(\|lc)|(penalty))" /e /r /s</v>
      </c>
      <c r="AG110" s="1" t="str">
        <f t="shared" si="61"/>
        <v>EC</v>
      </c>
      <c r="AH110" s="92" t="str">
        <f t="shared" si="48"/>
        <v>"%USERPROFILE%\Documents\GitHub\eaglep3\Utilities\RefineRTDCRunTimes.py" --tripid 195-21 --locoid 4016 --swversion DE.1.0.8.0 --startMP 204:446 --initTime 2016-12-21T15:22:58 --startdatetime 2016-12-21T15:30:25 --delay 1 --endMP 204:233366 --enddatetime 2016-12-21T16:06:43 --enforcementcount 0 &gt;&gt;C:\Users\stu\Documents\GitHub\eaglep3-reporting\EC\2016-12-21-refined-times.txt</v>
      </c>
      <c r="AI110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{"issue":{"subject":"","project_id":79,"tracker_id":40,"status_id":1,"priority_id":2,"assigned_to_id":23,"start_date":"2016-12-21","description":"","custom_fields":[{"id":1,"name":"Subdivision","value":"EC"},{"id":4,"name":"Milepost","value":"23.3366"},{"id":17,"name":"Train ID","value":"195-21"},{"id":16,"name":"Locomotive ID","value":"4016"},{"id":130,"name":"Impact","value":""},{"id":150,"name":"Time of Event (Mountain Time)","value":"16:06:43"},{"id":151,"name":"Denver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593</v>
      </c>
      <c r="B111" s="7">
        <v>4015</v>
      </c>
      <c r="C111" s="22" t="s">
        <v>205</v>
      </c>
      <c r="D111" s="22" t="s">
        <v>714</v>
      </c>
      <c r="E111" s="13">
        <v>42725.673541666663</v>
      </c>
      <c r="F111" s="13">
        <v>42725.684895833336</v>
      </c>
      <c r="G111" s="7">
        <v>1</v>
      </c>
      <c r="H111" s="22" t="s">
        <v>407</v>
      </c>
      <c r="I111" s="13">
        <v>42725.712245370371</v>
      </c>
      <c r="J111" s="7">
        <v>0</v>
      </c>
      <c r="K111" s="109" t="str">
        <f t="shared" si="53"/>
        <v>4015/4016</v>
      </c>
      <c r="L111" s="22" t="str">
        <f>VLOOKUP(A111,'Trips&amp;Operators'!$C$1:$G$99999,5,FALSE)</f>
        <v>BARTLETT KIANDRA</v>
      </c>
      <c r="M111" s="6">
        <f t="shared" si="54"/>
        <v>2.7349537034751847E-2</v>
      </c>
      <c r="N111" s="7">
        <f t="shared" si="50"/>
        <v>39.38333333004266</v>
      </c>
      <c r="O111" s="7"/>
      <c r="P111" s="7"/>
      <c r="Q111" s="23"/>
      <c r="R111" s="23"/>
      <c r="S111" s="35">
        <f t="shared" si="51"/>
        <v>1</v>
      </c>
      <c r="T111" s="50" t="str">
        <f t="shared" si="55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15:09:54-700',mode:absolute,to:'2016-12-21 18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1" s="52" t="str">
        <f t="shared" si="56"/>
        <v>N</v>
      </c>
      <c r="X111" s="177">
        <f t="shared" si="52"/>
        <v>1</v>
      </c>
      <c r="Y111" s="67">
        <f t="shared" si="57"/>
        <v>23.303999999999998</v>
      </c>
      <c r="Z111" s="67">
        <f t="shared" si="58"/>
        <v>1.6500000000000001E-2</v>
      </c>
      <c r="AA111" s="67">
        <f t="shared" si="59"/>
        <v>23.287499999999998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60"/>
        <v>0196-21</v>
      </c>
      <c r="AE111" s="91" t="str">
        <f t="shared" si="45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111" s="88" t="str">
        <f t="shared" si="46"/>
        <v>"C:\Program Files (x86)\AstroGrep\AstroGrep.exe" /spath="%USERPROFILE%\AppData\Local\Temp\OnboardLogs" /stypes="app*4015*20161222*" /stext=" 00:.+((SYSTEM_STATE.+slice.+state.+changed )|(ment ac)|(multiple cpu faults)|(system.+state.+changed )|(\[timeout)|(PRM\|1\|D)|(kpr)|(kdp)|(\|lc)|(penalty))" /e /r /s</v>
      </c>
      <c r="AG111" s="1" t="str">
        <f t="shared" si="61"/>
        <v>EC</v>
      </c>
      <c r="AH111" s="92" t="str">
        <f t="shared" si="48"/>
        <v>"%USERPROFILE%\Documents\GitHub\eaglep3\Utilities\RefineRTDCRunTimes.py" --tripid 196-21 --locoid 4015 --swversion DE.1.0.8.0 --startMP 204:233040 --initTime 2016-12-21T16:09:54 --startdatetime 2016-12-21T16:26:15 --delay 1 --endMP 204:165 --enddatetime 2016-12-21T17:05:38 --enforcementcount 0 &gt;&gt;C:\Users\stu\Documents\GitHub\eaglep3-reporting\EC\2016-12-21-refined-times.txt</v>
      </c>
      <c r="AI111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{"issue":{"subject":"","project_id":79,"tracker_id":40,"status_id":1,"priority_id":2,"assigned_to_id":23,"start_date":"2016-12-21","description":"","custom_fields":[{"id":1,"name":"Subdivision","value":"EC"},{"id":4,"name":"Milepost","value":"0.0165"},{"id":17,"name":"Train ID","value":"196-21"},{"id":16,"name":"Locomotive ID","value":"4015"},{"id":130,"name":"Impact","value":""},{"id":150,"name":"Time of Event (Mountain Time)","value":"17:05:38"},{"id":151,"name":"Denver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589</v>
      </c>
      <c r="B112" s="7">
        <v>4009</v>
      </c>
      <c r="C112" s="22" t="s">
        <v>205</v>
      </c>
      <c r="D112" s="22" t="s">
        <v>286</v>
      </c>
      <c r="E112" s="13">
        <v>42725.652939814812</v>
      </c>
      <c r="F112" s="13">
        <v>42725.656724537039</v>
      </c>
      <c r="G112" s="7">
        <v>1</v>
      </c>
      <c r="H112" s="22" t="s">
        <v>715</v>
      </c>
      <c r="I112" s="13">
        <v>42725.680763888886</v>
      </c>
      <c r="J112" s="7">
        <v>0</v>
      </c>
      <c r="K112" s="109" t="str">
        <f t="shared" si="53"/>
        <v>4009/4010</v>
      </c>
      <c r="L112" s="22" t="str">
        <f>VLOOKUP(A112,'Trips&amp;Operators'!$C$1:$G$99999,5,FALSE)</f>
        <v>LEVIN SCOTT</v>
      </c>
      <c r="M112" s="6">
        <f t="shared" si="54"/>
        <v>2.4039351847022772E-2</v>
      </c>
      <c r="N112" s="7">
        <f t="shared" si="50"/>
        <v>34.616666659712791</v>
      </c>
      <c r="O112" s="7"/>
      <c r="P112" s="7"/>
      <c r="Q112" s="23"/>
      <c r="R112" s="23"/>
      <c r="S112" s="35">
        <f t="shared" si="51"/>
        <v>1</v>
      </c>
      <c r="T112" s="50" t="str">
        <f t="shared" si="55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14:40:14-700',mode:absolute,to:'2016-12-21 17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2" s="52" t="str">
        <f t="shared" si="56"/>
        <v>N</v>
      </c>
      <c r="X112" s="177">
        <f t="shared" si="52"/>
        <v>1</v>
      </c>
      <c r="Y112" s="67">
        <f t="shared" si="57"/>
        <v>4.3999999999999997E-2</v>
      </c>
      <c r="Z112" s="67">
        <f t="shared" si="58"/>
        <v>23.335100000000001</v>
      </c>
      <c r="AA112" s="67">
        <f t="shared" si="59"/>
        <v>23.2911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60"/>
        <v>0197-21</v>
      </c>
      <c r="AE112" s="91" t="str">
        <f t="shared" si="45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112" s="88" t="str">
        <f t="shared" si="46"/>
        <v>"C:\Program Files (x86)\AstroGrep\AstroGrep.exe" /spath="%USERPROFILE%\AppData\Local\Temp\OnboardLogs" /stypes="app*4009*20161221*" /stext=" 23:.+((SYSTEM_STATE.+slice.+state.+changed )|(ment ac)|(multiple cpu faults)|(system.+state.+changed )|(\[timeout)|(PRM\|1\|D)|(kpr)|(kdp)|(\|lc)|(penalty))" /e /r /s</v>
      </c>
      <c r="AG112" s="1" t="str">
        <f t="shared" si="61"/>
        <v>EC</v>
      </c>
      <c r="AH112" s="92" t="str">
        <f t="shared" si="48"/>
        <v>"%USERPROFILE%\Documents\GitHub\eaglep3\Utilities\RefineRTDCRunTimes.py" --tripid 197-21 --locoid 4009 --swversion DE.1.0.8.0 --startMP 204:440 --initTime 2016-12-21T15:40:14 --startdatetime 2016-12-21T15:45:41 --delay 1 --endMP 204:233351 --enddatetime 2016-12-21T16:20:18 --enforcementcount 0 &gt;&gt;C:\Users\stu\Documents\GitHub\eaglep3-reporting\EC\2016-12-21-refined-times.txt</v>
      </c>
      <c r="AI112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{"issue":{"subject":"","project_id":79,"tracker_id":40,"status_id":1,"priority_id":2,"assigned_to_id":23,"start_date":"2016-12-21","description":"","custom_fields":[{"id":1,"name":"Subdivision","value":"EC"},{"id":4,"name":"Milepost","value":"23.3351"},{"id":17,"name":"Train ID","value":"197-21"},{"id":16,"name":"Locomotive ID","value":"4009"},{"id":130,"name":"Impact","value":""},{"id":150,"name":"Time of Event (Mountain Time)","value":"16:20:18"},{"id":151,"name":"Denver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598</v>
      </c>
      <c r="B113" s="7">
        <v>4010</v>
      </c>
      <c r="C113" s="22" t="s">
        <v>205</v>
      </c>
      <c r="D113" s="22" t="s">
        <v>401</v>
      </c>
      <c r="E113" s="13">
        <v>42725.692199074074</v>
      </c>
      <c r="F113" s="13">
        <v>42725.695555555554</v>
      </c>
      <c r="G113" s="7">
        <v>1</v>
      </c>
      <c r="H113" s="22" t="s">
        <v>262</v>
      </c>
      <c r="I113" s="13">
        <v>42725.72351851852</v>
      </c>
      <c r="J113" s="7">
        <v>0</v>
      </c>
      <c r="K113" s="109" t="str">
        <f t="shared" si="53"/>
        <v>4009/4010</v>
      </c>
      <c r="L113" s="22" t="str">
        <f>VLOOKUP(A113,'Trips&amp;Operators'!$C$1:$G$99999,5,FALSE)</f>
        <v>LEVIN SCOTT</v>
      </c>
      <c r="M113" s="6">
        <f t="shared" si="54"/>
        <v>2.7962962965830229E-2</v>
      </c>
      <c r="N113" s="7">
        <f t="shared" si="50"/>
        <v>40.26666667079553</v>
      </c>
      <c r="O113" s="7"/>
      <c r="P113" s="7"/>
      <c r="Q113" s="23"/>
      <c r="R113" s="23"/>
      <c r="S113" s="35">
        <f t="shared" si="51"/>
        <v>1</v>
      </c>
      <c r="T113" s="50" t="str">
        <f t="shared" si="55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15:36:46-700',mode:absolute,to:'2016-12-21 18:21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3" s="52" t="str">
        <f t="shared" si="56"/>
        <v>N</v>
      </c>
      <c r="X113" s="177">
        <f t="shared" si="52"/>
        <v>1</v>
      </c>
      <c r="Y113" s="67">
        <f t="shared" si="57"/>
        <v>23.3034</v>
      </c>
      <c r="Z113" s="67">
        <f t="shared" si="58"/>
        <v>1.47E-2</v>
      </c>
      <c r="AA113" s="67">
        <f t="shared" si="59"/>
        <v>23.288699999999999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60"/>
        <v>0198-21</v>
      </c>
      <c r="AE113" s="91" t="str">
        <f t="shared" si="45"/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AF113" s="88" t="str">
        <f t="shared" si="46"/>
        <v>"C:\Program Files (x86)\AstroGrep\AstroGrep.exe" /spath="%USERPROFILE%\AppData\Local\Temp\OnboardLogs" /stypes="app*4010*20161222*" /stext=" 00:.+((SYSTEM_STATE.+slice.+state.+changed )|(ment ac)|(multiple cpu faults)|(system.+state.+changed )|(\[timeout)|(PRM\|1\|D)|(kpr)|(kdp)|(\|lc)|(penalty))" /e /r /s</v>
      </c>
      <c r="AG113" s="1" t="str">
        <f t="shared" si="61"/>
        <v>EC</v>
      </c>
      <c r="AH113" s="92" t="str">
        <f t="shared" si="48"/>
        <v>"%USERPROFILE%\Documents\GitHub\eaglep3\Utilities\RefineRTDCRunTimes.py" --tripid 198-21 --locoid 4010 --swversion DE.1.0.8.0 --startMP 204:233034 --initTime 2016-12-21T16:36:46 --startdatetime 2016-12-21T16:41:36 --delay 1 --endMP 204:147 --enddatetime 2016-12-21T17:21:52 --enforcementcount 0 &gt;&gt;C:\Users\stu\Documents\GitHub\eaglep3-reporting\EC\2016-12-21-refined-times.txt</v>
      </c>
      <c r="AI113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{"issue":{"subject":"","project_id":79,"tracker_id":40,"status_id":1,"priority_id":2,"assigned_to_id":23,"start_date":"2016-12-21","description":"","custom_fields":[{"id":1,"name":"Subdivision","value":"EC"},{"id":4,"name":"Milepost","value":"0.0147"},{"id":17,"name":"Train ID","value":"198-21"},{"id":16,"name":"Locomotive ID","value":"4010"},{"id":130,"name":"Impact","value":""},{"id":150,"name":"Time of Event (Mountain Time)","value":"17:21:52"},{"id":151,"name":"Denver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591</v>
      </c>
      <c r="B114" s="7">
        <v>4042</v>
      </c>
      <c r="C114" s="22" t="s">
        <v>205</v>
      </c>
      <c r="D114" s="22" t="s">
        <v>270</v>
      </c>
      <c r="E114" s="13">
        <v>42725.662916666668</v>
      </c>
      <c r="F114" s="13">
        <v>42725.666944444441</v>
      </c>
      <c r="G114" s="7">
        <v>1</v>
      </c>
      <c r="H114" s="22" t="s">
        <v>716</v>
      </c>
      <c r="I114" s="13">
        <v>42725.691562499997</v>
      </c>
      <c r="J114" s="7">
        <v>0</v>
      </c>
      <c r="K114" s="109" t="str">
        <f t="shared" si="53"/>
        <v>4041/4042</v>
      </c>
      <c r="L114" s="22" t="str">
        <f>VLOOKUP(A114,'Trips&amp;Operators'!$C$1:$G$99999,5,FALSE)</f>
        <v>BRANNON JEFFREY</v>
      </c>
      <c r="M114" s="6">
        <f t="shared" si="54"/>
        <v>2.4618055555038154E-2</v>
      </c>
      <c r="N114" s="7">
        <f t="shared" si="50"/>
        <v>35.449999999254942</v>
      </c>
      <c r="O114" s="7"/>
      <c r="P114" s="7"/>
      <c r="Q114" s="23"/>
      <c r="R114" s="23"/>
      <c r="S114" s="35">
        <f t="shared" si="51"/>
        <v>1</v>
      </c>
      <c r="T114" s="50" t="str">
        <f t="shared" si="55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14:54:36-700',mode:absolute,to:'2016-12-21 17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4" s="52" t="str">
        <f t="shared" si="56"/>
        <v>N</v>
      </c>
      <c r="X114" s="177">
        <f t="shared" si="52"/>
        <v>1</v>
      </c>
      <c r="Y114" s="67">
        <f t="shared" si="57"/>
        <v>4.6199999999999998E-2</v>
      </c>
      <c r="Z114" s="67">
        <f t="shared" si="58"/>
        <v>23.3306</v>
      </c>
      <c r="AA114" s="67">
        <f t="shared" si="59"/>
        <v>23.284400000000002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60"/>
        <v>0199-21</v>
      </c>
      <c r="AE114" s="91" t="str">
        <f t="shared" si="45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114" s="88" t="str">
        <f t="shared" si="46"/>
        <v>"C:\Program Files (x86)\AstroGrep\AstroGrep.exe" /spath="%USERPROFILE%\AppData\Local\Temp\OnboardLogs" /stypes="app*4042*20161221*" /stext=" 23:.+((SYSTEM_STATE.+slice.+state.+changed )|(ment ac)|(multiple cpu faults)|(system.+state.+changed )|(\[timeout)|(PRM\|1\|D)|(kpr)|(kdp)|(\|lc)|(penalty))" /e /r /s</v>
      </c>
      <c r="AG114" s="1" t="str">
        <f t="shared" si="61"/>
        <v>EC</v>
      </c>
      <c r="AH114" s="92" t="str">
        <f t="shared" si="48"/>
        <v>"%USERPROFILE%\Documents\GitHub\eaglep3\Utilities\RefineRTDCRunTimes.py" --tripid 199-21 --locoid 4042 --swversion DE.1.0.8.0 --startMP 204:462 --initTime 2016-12-21T15:54:36 --startdatetime 2016-12-21T16:00:24 --delay 1 --endMP 204:233306 --enddatetime 2016-12-21T16:35:51 --enforcementcount 0 &gt;&gt;C:\Users\stu\Documents\GitHub\eaglep3-reporting\EC\2016-12-21-refined-times.txt</v>
      </c>
      <c r="AI114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{"issue":{"subject":"","project_id":79,"tracker_id":40,"status_id":1,"priority_id":2,"assigned_to_id":23,"start_date":"2016-12-21","description":"","custom_fields":[{"id":1,"name":"Subdivision","value":"EC"},{"id":4,"name":"Milepost","value":"23.3306"},{"id":17,"name":"Train ID","value":"199-21"},{"id":16,"name":"Locomotive ID","value":"4042"},{"id":130,"name":"Impact","value":""},{"id":150,"name":"Time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601</v>
      </c>
      <c r="B115" s="7">
        <v>4041</v>
      </c>
      <c r="C115" s="22" t="s">
        <v>205</v>
      </c>
      <c r="D115" s="22" t="s">
        <v>717</v>
      </c>
      <c r="E115" s="13">
        <v>42725.700439814813</v>
      </c>
      <c r="F115" s="13">
        <v>42725.705740740741</v>
      </c>
      <c r="G115" s="7">
        <v>1</v>
      </c>
      <c r="H115" s="22" t="s">
        <v>388</v>
      </c>
      <c r="I115" s="13">
        <v>42725.733900462961</v>
      </c>
      <c r="J115" s="7">
        <v>0</v>
      </c>
      <c r="K115" s="109" t="str">
        <f t="shared" si="53"/>
        <v>4041/4042</v>
      </c>
      <c r="L115" s="22" t="str">
        <f>VLOOKUP(A115,'Trips&amp;Operators'!$C$1:$G$99999,5,FALSE)</f>
        <v>BRANNON JEFFREY</v>
      </c>
      <c r="M115" s="6">
        <f t="shared" si="54"/>
        <v>2.8159722220152617E-2</v>
      </c>
      <c r="N115" s="7">
        <f t="shared" si="50"/>
        <v>40.549999997019768</v>
      </c>
      <c r="O115" s="7"/>
      <c r="P115" s="7"/>
      <c r="Q115" s="23"/>
      <c r="R115" s="23"/>
      <c r="S115" s="35">
        <f t="shared" si="51"/>
        <v>1</v>
      </c>
      <c r="T115" s="50" t="str">
        <f t="shared" si="55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15:48:38-700',mode:absolute,to:'2016-12-21 18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5" s="52" t="str">
        <f t="shared" si="56"/>
        <v>N</v>
      </c>
      <c r="X115" s="177">
        <f t="shared" si="52"/>
        <v>1</v>
      </c>
      <c r="Y115" s="67">
        <f t="shared" si="57"/>
        <v>23.299600000000002</v>
      </c>
      <c r="Z115" s="67">
        <f t="shared" si="58"/>
        <v>1.52E-2</v>
      </c>
      <c r="AA115" s="67">
        <f t="shared" si="59"/>
        <v>23.284400000000002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60"/>
        <v>0200-21</v>
      </c>
      <c r="AE115" s="91" t="str">
        <f t="shared" si="45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115" s="88" t="str">
        <f t="shared" si="46"/>
        <v>"C:\Program Files (x86)\AstroGrep\AstroGrep.exe" /spath="%USERPROFILE%\AppData\Local\Temp\OnboardLogs" /stypes="app*4041*20161222*" /stext=" 00:.+((SYSTEM_STATE.+slice.+state.+changed )|(ment ac)|(multiple cpu faults)|(system.+state.+changed )|(\[timeout)|(PRM\|1\|D)|(kpr)|(kdp)|(\|lc)|(penalty))" /e /r /s</v>
      </c>
      <c r="AG115" s="1" t="str">
        <f t="shared" si="61"/>
        <v>EC</v>
      </c>
      <c r="AH115" s="92" t="str">
        <f t="shared" si="48"/>
        <v>"%USERPROFILE%\Documents\GitHub\eaglep3\Utilities\RefineRTDCRunTimes.py" --tripid 200-21 --locoid 4041 --swversion DE.1.0.8.0 --startMP 204:232996 --initTime 2016-12-21T16:48:38 --startdatetime 2016-12-21T16:56:16 --delay 1 --endMP 204:152 --enddatetime 2016-12-21T17:36:49 --enforcementcount 0 &gt;&gt;C:\Users\stu\Documents\GitHub\eaglep3-reporting\EC\2016-12-21-refined-times.txt</v>
      </c>
      <c r="AI115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{"issue":{"subject":"","project_id":79,"tracker_id":40,"status_id":1,"priority_id":2,"assigned_to_id":23,"start_date":"2016-12-21","description":"","custom_fields":[{"id":1,"name":"Subdivision","value":"EC"},{"id":4,"name":"Milepost","value":"0.0152"},{"id":17,"name":"Train ID","value":"200-21"},{"id":16,"name":"Locomotive ID","value":"4041"},{"id":130,"name":"Impact","value":""},{"id":150,"name":"Time of Event (Mountain Time)","value":"17:36:49"},{"id":151,"name":"Denver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595</v>
      </c>
      <c r="B116" s="7">
        <v>4044</v>
      </c>
      <c r="C116" s="22" t="s">
        <v>205</v>
      </c>
      <c r="D116" s="22" t="s">
        <v>280</v>
      </c>
      <c r="E116" s="13">
        <v>42725.674687500003</v>
      </c>
      <c r="F116" s="13">
        <v>42725.677256944444</v>
      </c>
      <c r="G116" s="7">
        <v>1</v>
      </c>
      <c r="H116" s="22" t="s">
        <v>303</v>
      </c>
      <c r="I116" s="13">
        <v>42725.704918981479</v>
      </c>
      <c r="J116" s="7">
        <v>0</v>
      </c>
      <c r="K116" s="109" t="str">
        <f t="shared" si="53"/>
        <v>4043/4044</v>
      </c>
      <c r="L116" s="22" t="str">
        <f>VLOOKUP(A116,'Trips&amp;Operators'!$C$1:$G$99999,5,FALSE)</f>
        <v>CLARK KATHLEEN</v>
      </c>
      <c r="M116" s="6">
        <f t="shared" si="54"/>
        <v>2.7662037035042886E-2</v>
      </c>
      <c r="N116" s="7">
        <f t="shared" si="50"/>
        <v>39.833333330461755</v>
      </c>
      <c r="O116" s="7"/>
      <c r="P116" s="7"/>
      <c r="Q116" s="23"/>
      <c r="R116" s="23"/>
      <c r="S116" s="35">
        <f t="shared" si="51"/>
        <v>1</v>
      </c>
      <c r="T116" s="50" t="str">
        <f t="shared" si="55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15:11:33-700',mode:absolute,to:'2016-12-21 17:55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6" s="52" t="str">
        <f t="shared" si="56"/>
        <v>N</v>
      </c>
      <c r="X116" s="177">
        <f t="shared" si="52"/>
        <v>1</v>
      </c>
      <c r="Y116" s="67">
        <f t="shared" si="57"/>
        <v>4.7699999999999999E-2</v>
      </c>
      <c r="Z116" s="67">
        <f t="shared" si="58"/>
        <v>23.329499999999999</v>
      </c>
      <c r="AA116" s="67">
        <f t="shared" si="59"/>
        <v>23.2818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60"/>
        <v>0201-21</v>
      </c>
      <c r="AE116" s="91" t="str">
        <f t="shared" si="45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116" s="88" t="str">
        <f t="shared" si="46"/>
        <v>"C:\Program Files (x86)\AstroGrep\AstroGrep.exe" /spath="%USERPROFILE%\AppData\Local\Temp\OnboardLogs" /stypes="app*4044*20161221*" /stext=" 23:.+((SYSTEM_STATE.+slice.+state.+changed )|(ment ac)|(multiple cpu faults)|(system.+state.+changed )|(\[timeout)|(PRM\|1\|D)|(kpr)|(kdp)|(\|lc)|(penalty))" /e /r /s</v>
      </c>
      <c r="AG116" s="1" t="str">
        <f t="shared" si="61"/>
        <v>EC</v>
      </c>
      <c r="AH116" s="92" t="str">
        <f t="shared" si="48"/>
        <v>"%USERPROFILE%\Documents\GitHub\eaglep3\Utilities\RefineRTDCRunTimes.py" --tripid 201-21 --locoid 4044 --swversion DE.1.0.8.0 --startMP 204:477 --initTime 2016-12-21T16:11:33 --startdatetime 2016-12-21T16:15:15 --delay 1 --endMP 204:233295 --enddatetime 2016-12-21T16:55:05 --enforcementcount 0 &gt;&gt;C:\Users\stu\Documents\GitHub\eaglep3-reporting\EC\2016-12-21-refined-times.txt</v>
      </c>
      <c r="AI116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{"issue":{"subject":"","project_id":79,"tracker_id":40,"status_id":1,"priority_id":2,"assigned_to_id":23,"start_date":"2016-12-21","description":"","custom_fields":[{"id":1,"name":"Subdivision","value":"EC"},{"id":4,"name":"Milepost","value":"23.3295"},{"id":17,"name":"Train ID","value":"201-21"},{"id":16,"name":"Locomotive ID","value":"4044"},{"id":130,"name":"Impact","value":""},{"id":150,"name":"Time of Event (Mountain Time)","value":"16:55:05"},{"id":151,"name":"Denver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604</v>
      </c>
      <c r="B117" s="7">
        <v>4043</v>
      </c>
      <c r="C117" s="22" t="s">
        <v>205</v>
      </c>
      <c r="D117" s="22" t="s">
        <v>391</v>
      </c>
      <c r="E117" s="13">
        <v>42725.710023148145</v>
      </c>
      <c r="F117" s="13">
        <v>42725.716145833336</v>
      </c>
      <c r="G117" s="7">
        <v>1</v>
      </c>
      <c r="H117" s="22" t="s">
        <v>394</v>
      </c>
      <c r="I117" s="13">
        <v>42725.745150462964</v>
      </c>
      <c r="J117" s="7">
        <v>0</v>
      </c>
      <c r="K117" s="109" t="str">
        <f t="shared" si="53"/>
        <v>4043/4044</v>
      </c>
      <c r="L117" s="22" t="str">
        <f>VLOOKUP(A117,'Trips&amp;Operators'!$C$1:$G$99999,5,FALSE)</f>
        <v>CLARK KATHLEEN</v>
      </c>
      <c r="M117" s="6">
        <f t="shared" si="54"/>
        <v>2.9004629628616385E-2</v>
      </c>
      <c r="N117" s="7">
        <f t="shared" si="50"/>
        <v>41.766666665207595</v>
      </c>
      <c r="O117" s="7"/>
      <c r="P117" s="7"/>
      <c r="Q117" s="23"/>
      <c r="R117" s="23"/>
      <c r="S117" s="35">
        <f t="shared" si="51"/>
        <v>1</v>
      </c>
      <c r="T117" s="50" t="str">
        <f t="shared" si="55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16:02:26-700',mode:absolute,to:'2016-12-21 18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7" s="52" t="str">
        <f t="shared" si="56"/>
        <v>N</v>
      </c>
      <c r="X117" s="177">
        <f t="shared" si="52"/>
        <v>1</v>
      </c>
      <c r="Y117" s="67">
        <f t="shared" si="57"/>
        <v>23.295500000000001</v>
      </c>
      <c r="Z117" s="67">
        <f t="shared" si="58"/>
        <v>1.67E-2</v>
      </c>
      <c r="AA117" s="67">
        <f t="shared" si="59"/>
        <v>23.2788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60"/>
        <v>0202-21</v>
      </c>
      <c r="AE117" s="91" t="str">
        <f t="shared" si="45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117" s="88" t="str">
        <f t="shared" si="46"/>
        <v>"C:\Program Files (x86)\AstroGrep\AstroGrep.exe" /spath="%USERPROFILE%\AppData\Local\Temp\OnboardLogs" /stypes="app*4043*20161222*" /stext=" 00:.+((SYSTEM_STATE.+slice.+state.+changed )|(ment ac)|(multiple cpu faults)|(system.+state.+changed )|(\[timeout)|(PRM\|1\|D)|(kpr)|(kdp)|(\|lc)|(penalty))" /e /r /s</v>
      </c>
      <c r="AG117" s="1" t="str">
        <f t="shared" si="61"/>
        <v>EC</v>
      </c>
      <c r="AH117" s="92" t="str">
        <f t="shared" si="48"/>
        <v>"%USERPROFILE%\Documents\GitHub\eaglep3\Utilities\RefineRTDCRunTimes.py" --tripid 202-21 --locoid 4043 --swversion DE.1.0.8.0 --startMP 204:232955 --initTime 2016-12-21T17:02:26 --startdatetime 2016-12-21T17:11:15 --delay 1 --endMP 204:167 --enddatetime 2016-12-21T17:53:01 --enforcementcount 0 &gt;&gt;C:\Users\stu\Documents\GitHub\eaglep3-reporting\EC\2016-12-21-refined-times.txt</v>
      </c>
      <c r="AI117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{"issue":{"subject":"","project_id":79,"tracker_id":40,"status_id":1,"priority_id":2,"assigned_to_id":23,"start_date":"2016-12-21","description":"","custom_fields":[{"id":1,"name":"Subdivision","value":"EC"},{"id":4,"name":"Milepost","value":"0.0167"},{"id":17,"name":"Train ID","value":"202-21"},{"id":16,"name":"Locomotive ID","value":"4043"},{"id":130,"name":"Impact","value":""},{"id":150,"name":"Time of Event (Mountain Time)","value":"17:53:01"},{"id":151,"name":"Denver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597</v>
      </c>
      <c r="B118" s="7">
        <v>4027</v>
      </c>
      <c r="C118" s="22" t="s">
        <v>205</v>
      </c>
      <c r="D118" s="22" t="s">
        <v>386</v>
      </c>
      <c r="E118" s="13">
        <v>42725.685381944444</v>
      </c>
      <c r="F118" s="13">
        <v>42725.687847222223</v>
      </c>
      <c r="G118" s="7">
        <v>1</v>
      </c>
      <c r="H118" s="22" t="s">
        <v>381</v>
      </c>
      <c r="I118" s="13">
        <v>42725.715127314812</v>
      </c>
      <c r="J118" s="7">
        <v>0</v>
      </c>
      <c r="K118" s="109" t="str">
        <f t="shared" si="53"/>
        <v>4027/4028</v>
      </c>
      <c r="L118" s="22" t="str">
        <f>VLOOKUP(A118,'Trips&amp;Operators'!$C$1:$G$99999,5,FALSE)</f>
        <v>DAVIS MICHAEL</v>
      </c>
      <c r="M118" s="6">
        <f t="shared" si="54"/>
        <v>2.7280092588625848E-2</v>
      </c>
      <c r="N118" s="7">
        <f t="shared" si="50"/>
        <v>39.283333327621222</v>
      </c>
      <c r="O118" s="7"/>
      <c r="P118" s="7"/>
      <c r="Q118" s="23"/>
      <c r="R118" s="23"/>
      <c r="S118" s="35">
        <f t="shared" si="51"/>
        <v>1</v>
      </c>
      <c r="T118" s="50" t="str">
        <f t="shared" si="55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15:26:57-700',mode:absolute,to:'2016-12-21 18:09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8" s="52" t="str">
        <f t="shared" si="56"/>
        <v>N</v>
      </c>
      <c r="X118" s="177">
        <f t="shared" si="52"/>
        <v>1</v>
      </c>
      <c r="Y118" s="67">
        <f t="shared" si="57"/>
        <v>4.3799999999999999E-2</v>
      </c>
      <c r="Z118" s="67">
        <f t="shared" si="58"/>
        <v>23.3293</v>
      </c>
      <c r="AA118" s="67">
        <f t="shared" si="59"/>
        <v>23.285499999999999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60"/>
        <v>0203-21</v>
      </c>
      <c r="AE118" s="91" t="str">
        <f t="shared" si="45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118" s="88" t="str">
        <f t="shared" si="46"/>
        <v>"C:\Program Files (x86)\AstroGrep\AstroGrep.exe" /spath="%USERPROFILE%\AppData\Local\Temp\OnboardLogs" /stypes="app*4027*20161222*" /stext=" 00:.+((SYSTEM_STATE.+slice.+state.+changed )|(ment ac)|(multiple cpu faults)|(system.+state.+changed )|(\[timeout)|(PRM\|1\|D)|(kpr)|(kdp)|(\|lc)|(penalty))" /e /r /s</v>
      </c>
      <c r="AG118" s="1" t="str">
        <f t="shared" si="61"/>
        <v>EC</v>
      </c>
      <c r="AH118" s="92" t="str">
        <f t="shared" si="48"/>
        <v>"%USERPROFILE%\Documents\GitHub\eaglep3\Utilities\RefineRTDCRunTimes.py" --tripid 203-21 --locoid 4027 --swversion DE.1.0.8.0 --startMP 204:438 --initTime 2016-12-21T16:26:57 --startdatetime 2016-12-21T16:30:30 --delay 1 --endMP 204:233293 --enddatetime 2016-12-21T17:09:47 --enforcementcount 0 &gt;&gt;C:\Users\stu\Documents\GitHub\eaglep3-reporting\EC\2016-12-21-refined-times.txt</v>
      </c>
      <c r="AI118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{"issue":{"subject":"","project_id":79,"tracker_id":40,"status_id":1,"priority_id":2,"assigned_to_id":23,"start_date":"2016-12-21","description":"","custom_fields":[{"id":1,"name":"Subdivision","value":"EC"},{"id":4,"name":"Milepost","value":"23.3293"},{"id":17,"name":"Train ID","value":"203-21"},{"id":16,"name":"Locomotive ID","value":"4027"},{"id":130,"name":"Impact","value":""},{"id":150,"name":"Time of Event (Mountain Time)","value":"17:09:47"},{"id":151,"name":"Denver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610</v>
      </c>
      <c r="B119" s="7">
        <v>4028</v>
      </c>
      <c r="C119" s="22" t="s">
        <v>205</v>
      </c>
      <c r="D119" s="22" t="s">
        <v>398</v>
      </c>
      <c r="E119" s="13">
        <v>42725.723113425927</v>
      </c>
      <c r="F119" s="13">
        <v>42725.727210648147</v>
      </c>
      <c r="G119" s="7">
        <v>1</v>
      </c>
      <c r="H119" s="22" t="s">
        <v>268</v>
      </c>
      <c r="I119" s="13">
        <v>42725.757280092592</v>
      </c>
      <c r="J119" s="7">
        <v>0</v>
      </c>
      <c r="K119" s="109" t="str">
        <f t="shared" si="53"/>
        <v>4027/4028</v>
      </c>
      <c r="L119" s="22" t="str">
        <f>VLOOKUP(A119,'Trips&amp;Operators'!$C$1:$G$99999,5,FALSE)</f>
        <v>DAVIS MICHAEL</v>
      </c>
      <c r="M119" s="6">
        <f t="shared" si="54"/>
        <v>3.0069444444961846E-2</v>
      </c>
      <c r="N119" s="7">
        <f t="shared" si="50"/>
        <v>43.300000000745058</v>
      </c>
      <c r="O119" s="7"/>
      <c r="P119" s="7"/>
      <c r="Q119" s="23"/>
      <c r="R119" s="23"/>
      <c r="S119" s="35">
        <f t="shared" si="51"/>
        <v>1</v>
      </c>
      <c r="T119" s="50" t="str">
        <f t="shared" si="55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16:21:17-700',mode:absolute,to:'2016-12-21 19:10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9" s="52" t="str">
        <f t="shared" si="56"/>
        <v>N</v>
      </c>
      <c r="X119" s="177">
        <f t="shared" si="52"/>
        <v>1</v>
      </c>
      <c r="Y119" s="67">
        <f t="shared" si="57"/>
        <v>23.297899999999998</v>
      </c>
      <c r="Z119" s="67">
        <f t="shared" si="58"/>
        <v>1.61E-2</v>
      </c>
      <c r="AA119" s="67">
        <f t="shared" si="59"/>
        <v>23.281799999999997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60"/>
        <v>0204-21</v>
      </c>
      <c r="AE119" s="91" t="str">
        <f t="shared" si="45"/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119" s="88" t="str">
        <f t="shared" si="46"/>
        <v>"C:\Program Files (x86)\AstroGrep\AstroGrep.exe" /spath="%USERPROFILE%\AppData\Local\Temp\OnboardLogs" /stypes="app*4028*20161222*" /stext=" 01:.+((SYSTEM_STATE.+slice.+state.+changed )|(ment ac)|(multiple cpu faults)|(system.+state.+changed )|(\[timeout)|(PRM\|1\|D)|(kpr)|(kdp)|(\|lc)|(penalty))" /e /r /s</v>
      </c>
      <c r="AG119" s="1" t="str">
        <f t="shared" si="61"/>
        <v>EC</v>
      </c>
      <c r="AH119" s="92" t="str">
        <f t="shared" si="48"/>
        <v>"%USERPROFILE%\Documents\GitHub\eaglep3\Utilities\RefineRTDCRunTimes.py" --tripid 204-21 --locoid 4028 --swversion DE.1.0.8.0 --startMP 204:232979 --initTime 2016-12-21T17:21:17 --startdatetime 2016-12-21T17:27:11 --delay 1 --endMP 204:161 --enddatetime 2016-12-21T18:10:29 --enforcementcount 0 &gt;&gt;C:\Users\stu\Documents\GitHub\eaglep3-reporting\EC\2016-12-21-refined-times.txt</v>
      </c>
      <c r="AI119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{"issue":{"subject":"","project_id":79,"tracker_id":40,"status_id":1,"priority_id":2,"assigned_to_id":23,"start_date":"2016-12-21","description":"","custom_fields":[{"id":1,"name":"Subdivision","value":"EC"},{"id":4,"name":"Milepost","value":"0.0161"},{"id":17,"name":"Train ID","value":"204-21"},{"id":16,"name":"Locomotive ID","value":"4028"},{"id":130,"name":"Impact","value":""},{"id":150,"name":"Time of Event (Mountain Time)","value":"18:10:29"},{"id":151,"name":"Denver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600</v>
      </c>
      <c r="B120" s="7">
        <v>4003</v>
      </c>
      <c r="C120" s="22" t="s">
        <v>205</v>
      </c>
      <c r="D120" s="22" t="s">
        <v>270</v>
      </c>
      <c r="E120" s="13">
        <v>42725.693553240744</v>
      </c>
      <c r="F120" s="13">
        <v>42725.698414351849</v>
      </c>
      <c r="G120" s="7">
        <v>1</v>
      </c>
      <c r="H120" s="22" t="s">
        <v>355</v>
      </c>
      <c r="I120" s="13">
        <v>42725.723414351851</v>
      </c>
      <c r="J120" s="7">
        <v>0</v>
      </c>
      <c r="K120" s="109" t="str">
        <f t="shared" si="53"/>
        <v>4003/4004</v>
      </c>
      <c r="L120" s="22" t="str">
        <f>VLOOKUP(A120,'Trips&amp;Operators'!$C$1:$G$99999,5,FALSE)</f>
        <v>COMELLA JUSTIN</v>
      </c>
      <c r="M120" s="6">
        <f t="shared" si="54"/>
        <v>2.5000000001455192E-2</v>
      </c>
      <c r="N120" s="7">
        <f t="shared" si="50"/>
        <v>36.000000002095476</v>
      </c>
      <c r="O120" s="7"/>
      <c r="P120" s="7"/>
      <c r="Q120" s="23"/>
      <c r="R120" s="23"/>
      <c r="S120" s="35">
        <f t="shared" si="51"/>
        <v>1</v>
      </c>
      <c r="T120" s="50" t="str">
        <f t="shared" si="55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15:38:43-700',mode:absolute,to:'2016-12-21 18:21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0" s="52" t="str">
        <f t="shared" si="56"/>
        <v>N</v>
      </c>
      <c r="X120" s="177">
        <f t="shared" si="52"/>
        <v>1</v>
      </c>
      <c r="Y120" s="67">
        <f t="shared" si="57"/>
        <v>4.6199999999999998E-2</v>
      </c>
      <c r="Z120" s="67">
        <f t="shared" si="58"/>
        <v>23.330100000000002</v>
      </c>
      <c r="AA120" s="67">
        <f t="shared" si="59"/>
        <v>23.283900000000003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60"/>
        <v>0205-21</v>
      </c>
      <c r="AE120" s="91" t="str">
        <f t="shared" si="45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120" s="88" t="str">
        <f t="shared" si="46"/>
        <v>"C:\Program Files (x86)\AstroGrep\AstroGrep.exe" /spath="%USERPROFILE%\AppData\Local\Temp\OnboardLogs" /stypes="app*4003*20161222*" /stext=" 00:.+((SYSTEM_STATE.+slice.+state.+changed )|(ment ac)|(multiple cpu faults)|(system.+state.+changed )|(\[timeout)|(PRM\|1\|D)|(kpr)|(kdp)|(\|lc)|(penalty))" /e /r /s</v>
      </c>
      <c r="AG120" s="1" t="str">
        <f t="shared" si="61"/>
        <v>EC</v>
      </c>
      <c r="AH120" s="92" t="str">
        <f t="shared" si="48"/>
        <v>"%USERPROFILE%\Documents\GitHub\eaglep3\Utilities\RefineRTDCRunTimes.py" --tripid 205-21 --locoid 4003 --swversion DE.1.0.8.0 --startMP 204:462 --initTime 2016-12-21T16:38:43 --startdatetime 2016-12-21T16:45:43 --delay 1 --endMP 204:233301 --enddatetime 2016-12-21T17:21:43 --enforcementcount 0 &gt;&gt;C:\Users\stu\Documents\GitHub\eaglep3-reporting\EC\2016-12-21-refined-times.txt</v>
      </c>
      <c r="AI120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{"issue":{"subject":"","project_id":79,"tracker_id":40,"status_id":1,"priority_id":2,"assigned_to_id":23,"start_date":"2016-12-21","description":"","custom_fields":[{"id":1,"name":"Subdivision","value":"EC"},{"id":4,"name":"Milepost","value":"23.3301"},{"id":17,"name":"Train ID","value":"205-21"},{"id":16,"name":"Locomotive ID","value":"4003"},{"id":130,"name":"Impact","value":""},{"id":150,"name":"Time of Event (Mountain Time)","value":"17:21:43"},{"id":151,"name":"Denver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612</v>
      </c>
      <c r="B121" s="7">
        <v>4004</v>
      </c>
      <c r="C121" s="22" t="s">
        <v>205</v>
      </c>
      <c r="D121" s="22" t="s">
        <v>285</v>
      </c>
      <c r="E121" s="13">
        <v>42725.728437500002</v>
      </c>
      <c r="F121" s="13">
        <v>42725.737037037034</v>
      </c>
      <c r="G121" s="7">
        <v>1</v>
      </c>
      <c r="H121" s="22" t="s">
        <v>211</v>
      </c>
      <c r="I121" s="13">
        <v>42725.7653125</v>
      </c>
      <c r="J121" s="7">
        <v>0</v>
      </c>
      <c r="K121" s="109" t="str">
        <f t="shared" si="53"/>
        <v>4003/4004</v>
      </c>
      <c r="L121" s="22" t="str">
        <f>VLOOKUP(A121,'Trips&amp;Operators'!$C$1:$G$99999,5,FALSE)</f>
        <v>COMELLA JUSTIN</v>
      </c>
      <c r="M121" s="6">
        <f t="shared" si="54"/>
        <v>2.8275462966121268E-2</v>
      </c>
      <c r="N121" s="7">
        <f t="shared" ref="N121:N147" si="62">24*60*SUM($M121:$M121)</f>
        <v>40.716666671214625</v>
      </c>
      <c r="O121" s="7"/>
      <c r="P121" s="7"/>
      <c r="Q121" s="23"/>
      <c r="R121" s="23"/>
      <c r="S121" s="35">
        <f t="shared" ref="S121:S147" si="63">SUM(U121:U121)/IF(AG121="EC",12,1)</f>
        <v>1</v>
      </c>
      <c r="T121" s="50" t="str">
        <f t="shared" si="55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16:28:57-700',mode:absolute,to:'2016-12-21 19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1" s="52" t="str">
        <f t="shared" si="56"/>
        <v>N</v>
      </c>
      <c r="X121" s="177">
        <f t="shared" si="52"/>
        <v>1</v>
      </c>
      <c r="Y121" s="67">
        <f t="shared" si="57"/>
        <v>23.2986</v>
      </c>
      <c r="Z121" s="67">
        <f t="shared" si="58"/>
        <v>1.4999999999999999E-2</v>
      </c>
      <c r="AA121" s="67">
        <f t="shared" si="59"/>
        <v>23.2836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60"/>
        <v>0206-21</v>
      </c>
      <c r="AE121" s="91" t="str">
        <f t="shared" si="45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121" s="88" t="str">
        <f t="shared" si="46"/>
        <v>"C:\Program Files (x86)\AstroGrep\AstroGrep.exe" /spath="%USERPROFILE%\AppData\Local\Temp\OnboardLogs" /stypes="app*4004*20161222*" /stext=" 01:.+((SYSTEM_STATE.+slice.+state.+changed )|(ment ac)|(multiple cpu faults)|(system.+state.+changed )|(\[timeout)|(PRM\|1\|D)|(kpr)|(kdp)|(\|lc)|(penalty))" /e /r /s</v>
      </c>
      <c r="AG121" s="1" t="str">
        <f t="shared" si="61"/>
        <v>EC</v>
      </c>
      <c r="AH121" s="92" t="str">
        <f t="shared" si="48"/>
        <v>"%USERPROFILE%\Documents\GitHub\eaglep3\Utilities\RefineRTDCRunTimes.py" --tripid 206-21 --locoid 4004 --swversion DE.1.0.8.0 --startMP 204:232986 --initTime 2016-12-21T17:28:57 --startdatetime 2016-12-21T17:41:20 --delay 1 --endMP 204:150 --enddatetime 2016-12-21T18:22:03 --enforcementcount 0 &gt;&gt;C:\Users\stu\Documents\GitHub\eaglep3-reporting\EC\2016-12-21-refined-times.txt</v>
      </c>
      <c r="AI121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{"issue":{"subject":"","project_id":79,"tracker_id":40,"status_id":1,"priority_id":2,"assigned_to_id":23,"start_date":"2016-12-21","description":"","custom_fields":[{"id":1,"name":"Subdivision","value":"EC"},{"id":4,"name":"Milepost","value":"0.015"},{"id":17,"name":"Train ID","value":"206-21"},{"id":16,"name":"Locomotive ID","value":"4004"},{"id":130,"name":"Impact","value":""},{"id":150,"name":"Time of Event (Mountain Time)","value":"18:22:03"},{"id":151,"name":"Denver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603</v>
      </c>
      <c r="B122" s="7">
        <v>4020</v>
      </c>
      <c r="C122" s="22" t="s">
        <v>205</v>
      </c>
      <c r="D122" s="22" t="s">
        <v>405</v>
      </c>
      <c r="E122" s="13">
        <v>42725.705462962964</v>
      </c>
      <c r="F122" s="13">
        <v>42725.70853009259</v>
      </c>
      <c r="G122" s="7">
        <v>1</v>
      </c>
      <c r="H122" s="22" t="s">
        <v>357</v>
      </c>
      <c r="I122" s="13">
        <v>42725.733043981483</v>
      </c>
      <c r="J122" s="7">
        <v>0</v>
      </c>
      <c r="K122" s="109" t="str">
        <f t="shared" si="53"/>
        <v>4019/4020</v>
      </c>
      <c r="L122" s="22" t="str">
        <f>VLOOKUP(A122,'Trips&amp;Operators'!$C$1:$G$99999,5,FALSE)</f>
        <v>HELVIE ADAM</v>
      </c>
      <c r="M122" s="6">
        <f t="shared" si="54"/>
        <v>2.4513888893125113E-2</v>
      </c>
      <c r="N122" s="7">
        <f t="shared" si="62"/>
        <v>35.300000006100163</v>
      </c>
      <c r="O122" s="7"/>
      <c r="P122" s="7"/>
      <c r="Q122" s="23"/>
      <c r="R122" s="23"/>
      <c r="S122" s="35">
        <f t="shared" si="63"/>
        <v>1</v>
      </c>
      <c r="T122" s="50" t="str">
        <f t="shared" si="55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15:55:52-700',mode:absolute,to:'2016-12-21 18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2" s="52" t="str">
        <f t="shared" si="56"/>
        <v>N</v>
      </c>
      <c r="X122" s="177">
        <f t="shared" si="52"/>
        <v>1</v>
      </c>
      <c r="Y122" s="67">
        <f t="shared" si="57"/>
        <v>4.6600000000000003E-2</v>
      </c>
      <c r="Z122" s="67">
        <f t="shared" si="58"/>
        <v>23.329699999999999</v>
      </c>
      <c r="AA122" s="67">
        <f t="shared" si="59"/>
        <v>23.283099999999997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60"/>
        <v>0207-21</v>
      </c>
      <c r="AE122" s="91" t="str">
        <f t="shared" si="45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122" s="88" t="str">
        <f t="shared" si="46"/>
        <v>"C:\Program Files (x86)\AstroGrep\AstroGrep.exe" /spath="%USERPROFILE%\AppData\Local\Temp\OnboardLogs" /stypes="app*4020*20161222*" /stext=" 00:.+((SYSTEM_STATE.+slice.+state.+changed )|(ment ac)|(multiple cpu faults)|(system.+state.+changed )|(\[timeout)|(PRM\|1\|D)|(kpr)|(kdp)|(\|lc)|(penalty))" /e /r /s</v>
      </c>
      <c r="AG122" s="1" t="str">
        <f t="shared" si="61"/>
        <v>EC</v>
      </c>
      <c r="AH122" s="92" t="str">
        <f t="shared" si="48"/>
        <v>"%USERPROFILE%\Documents\GitHub\eaglep3\Utilities\RefineRTDCRunTimes.py" --tripid 207-21 --locoid 4020 --swversion DE.1.0.8.0 --startMP 204:466 --initTime 2016-12-21T16:55:52 --startdatetime 2016-12-21T17:00:17 --delay 1 --endMP 204:233297 --enddatetime 2016-12-21T17:35:35 --enforcementcount 0 &gt;&gt;C:\Users\stu\Documents\GitHub\eaglep3-reporting\EC\2016-12-21-refined-times.txt</v>
      </c>
      <c r="AI122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{"issue":{"subject":"","project_id":79,"tracker_id":40,"status_id":1,"priority_id":2,"assigned_to_id":23,"start_date":"2016-12-21","description":"","custom_fields":[{"id":1,"name":"Subdivision","value":"EC"},{"id":4,"name":"Milepost","value":"23.3297"},{"id":17,"name":"Train ID","value":"207-21"},{"id":16,"name":"Locomotive ID","value":"4020"},{"id":130,"name":"Impact","value":""},{"id":150,"name":"Time of Event (Mountain Time)","value":"17:35:35"},{"id":151,"name":"Denver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619</v>
      </c>
      <c r="B123" s="7">
        <v>4019</v>
      </c>
      <c r="C123" s="22" t="s">
        <v>205</v>
      </c>
      <c r="D123" s="22" t="s">
        <v>398</v>
      </c>
      <c r="E123" s="13">
        <v>42725.744166666664</v>
      </c>
      <c r="F123" s="13">
        <v>42725.74759259259</v>
      </c>
      <c r="G123" s="7">
        <v>1</v>
      </c>
      <c r="H123" s="22" t="s">
        <v>211</v>
      </c>
      <c r="I123" s="13">
        <v>42725.773668981485</v>
      </c>
      <c r="J123" s="7">
        <v>0</v>
      </c>
      <c r="K123" s="109" t="str">
        <f t="shared" si="53"/>
        <v>4019/4020</v>
      </c>
      <c r="L123" s="22" t="str">
        <f>VLOOKUP(A123,'Trips&amp;Operators'!$C$1:$G$99999,5,FALSE)</f>
        <v>HELVIE ADAM</v>
      </c>
      <c r="M123" s="6">
        <f t="shared" si="54"/>
        <v>2.6076388894580305E-2</v>
      </c>
      <c r="N123" s="7">
        <f t="shared" si="62"/>
        <v>37.550000008195639</v>
      </c>
      <c r="O123" s="7"/>
      <c r="P123" s="7"/>
      <c r="Q123" s="23"/>
      <c r="R123" s="23"/>
      <c r="S123" s="35">
        <f t="shared" si="63"/>
        <v>1</v>
      </c>
      <c r="T123" s="50" t="str">
        <f t="shared" si="55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16:51:36-700',mode:absolute,to:'2016-12-21 19:34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3" s="52" t="str">
        <f t="shared" si="56"/>
        <v>N</v>
      </c>
      <c r="X123" s="177">
        <f t="shared" si="52"/>
        <v>1</v>
      </c>
      <c r="Y123" s="67">
        <f t="shared" si="57"/>
        <v>23.297899999999998</v>
      </c>
      <c r="Z123" s="67">
        <f t="shared" si="58"/>
        <v>1.4999999999999999E-2</v>
      </c>
      <c r="AA123" s="67">
        <f t="shared" si="59"/>
        <v>23.282899999999998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60"/>
        <v>0208-21</v>
      </c>
      <c r="AE123" s="91" t="str">
        <f t="shared" si="45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123" s="88" t="str">
        <f t="shared" si="46"/>
        <v>"C:\Program Files (x86)\AstroGrep\AstroGrep.exe" /spath="%USERPROFILE%\AppData\Local\Temp\OnboardLogs" /stypes="app*4019*20161222*" /stext=" 01:.+((SYSTEM_STATE.+slice.+state.+changed )|(ment ac)|(multiple cpu faults)|(system.+state.+changed )|(\[timeout)|(PRM\|1\|D)|(kpr)|(kdp)|(\|lc)|(penalty))" /e /r /s</v>
      </c>
      <c r="AG123" s="1" t="str">
        <f t="shared" si="61"/>
        <v>EC</v>
      </c>
      <c r="AH123" s="92" t="str">
        <f t="shared" si="48"/>
        <v>"%USERPROFILE%\Documents\GitHub\eaglep3\Utilities\RefineRTDCRunTimes.py" --tripid 208-21 --locoid 4019 --swversion DE.1.0.8.0 --startMP 204:232979 --initTime 2016-12-21T17:51:36 --startdatetime 2016-12-21T17:56:32 --delay 1 --endMP 204:150 --enddatetime 2016-12-21T18:34:05 --enforcementcount 0 &gt;&gt;C:\Users\stu\Documents\GitHub\eaglep3-reporting\EC\2016-12-21-refined-times.txt</v>
      </c>
      <c r="AI123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{"issue":{"subject":"","project_id":79,"tracker_id":40,"status_id":1,"priority_id":2,"assigned_to_id":23,"start_date":"2016-12-21","description":"","custom_fields":[{"id":1,"name":"Subdivision","value":"EC"},{"id":4,"name":"Milepost","value":"0.015"},{"id":17,"name":"Train ID","value":"208-21"},{"id":16,"name":"Locomotive ID","value":"4019"},{"id":130,"name":"Impact","value":""},{"id":150,"name":"Time of Event (Mountain Time)","value":"18:34:05"},{"id":151,"name":"Denver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445</v>
      </c>
      <c r="B124" s="7">
        <v>4016</v>
      </c>
      <c r="C124" s="22" t="s">
        <v>205</v>
      </c>
      <c r="D124" s="22" t="s">
        <v>266</v>
      </c>
      <c r="E124" s="13">
        <v>42725.715555555558</v>
      </c>
      <c r="F124" s="13">
        <v>42725.719340277778</v>
      </c>
      <c r="G124" s="7">
        <v>2</v>
      </c>
      <c r="H124" s="22" t="s">
        <v>390</v>
      </c>
      <c r="I124" s="13">
        <v>42725.743356481478</v>
      </c>
      <c r="J124" s="7">
        <v>0</v>
      </c>
      <c r="K124" s="109" t="str">
        <f t="shared" si="53"/>
        <v>4015/4016</v>
      </c>
      <c r="L124" s="22" t="str">
        <f>VLOOKUP(A124,'Trips&amp;Operators'!$C$1:$G$99999,5,FALSE)</f>
        <v>HILLS DUSTIN</v>
      </c>
      <c r="M124" s="6">
        <f t="shared" si="54"/>
        <v>2.4016203700739425E-2</v>
      </c>
      <c r="N124" s="7">
        <f t="shared" si="62"/>
        <v>34.583333329064772</v>
      </c>
      <c r="O124" s="7"/>
      <c r="P124" s="7"/>
      <c r="Q124" s="23"/>
      <c r="R124" s="23"/>
      <c r="S124" s="35">
        <f t="shared" si="63"/>
        <v>1</v>
      </c>
      <c r="T124" s="50" t="str">
        <f t="shared" si="55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16:10:24-700',mode:absolute,to:'2016-12-21 18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4" s="52" t="str">
        <f t="shared" si="56"/>
        <v>N</v>
      </c>
      <c r="X124" s="177">
        <f t="shared" si="52"/>
        <v>1</v>
      </c>
      <c r="Y124" s="67">
        <f t="shared" si="57"/>
        <v>4.6699999999999998E-2</v>
      </c>
      <c r="Z124" s="67">
        <f t="shared" si="58"/>
        <v>23.3337</v>
      </c>
      <c r="AA124" s="67">
        <f t="shared" si="59"/>
        <v>23.286999999999999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60"/>
        <v>0209-21</v>
      </c>
      <c r="AE124" s="91" t="str">
        <f t="shared" si="45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124" s="88" t="str">
        <f t="shared" si="46"/>
        <v>"C:\Program Files (x86)\AstroGrep\AstroGrep.exe" /spath="%USERPROFILE%\AppData\Local\Temp\OnboardLogs" /stypes="app*4016*20161222*" /stext=" 00:.+((SYSTEM_STATE.+slice.+state.+changed )|(ment ac)|(multiple cpu faults)|(system.+state.+changed )|(\[timeout)|(PRM\|1\|D)|(kpr)|(kdp)|(\|lc)|(penalty))" /e /r /s</v>
      </c>
      <c r="AG124" s="1" t="str">
        <f t="shared" si="61"/>
        <v>EC</v>
      </c>
      <c r="AH124" s="92" t="str">
        <f t="shared" si="48"/>
        <v>"%USERPROFILE%\Documents\GitHub\eaglep3\Utilities\RefineRTDCRunTimes.py" --tripid 209-21 --locoid 4016 --swversion DE.1.0.8.0 --startMP 204:467 --initTime 2016-12-21T17:10:24 --startdatetime 2016-12-21T17:15:51 --delay 2 --endMP 204:233337 --enddatetime 2016-12-21T17:50:26 --enforcementcount 0 &gt;&gt;C:\Users\stu\Documents\GitHub\eaglep3-reporting\EC\2016-12-21-refined-times.txt</v>
      </c>
      <c r="AI124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{"issue":{"subject":"","project_id":79,"tracker_id":40,"status_id":1,"priority_id":2,"assigned_to_id":23,"start_date":"2016-12-21","description":"","custom_fields":[{"id":1,"name":"Subdivision","value":"EC"},{"id":4,"name":"Milepost","value":"23.3337"},{"id":17,"name":"Train ID","value":"209-21"},{"id":16,"name":"Locomotive ID","value":"4016"},{"id":130,"name":"Impact","value":""},{"id":150,"name":"Time of Event (Mountain Time)","value":"17:50:26"},{"id":151,"name":"Denver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446</v>
      </c>
      <c r="B125" s="7">
        <v>4015</v>
      </c>
      <c r="C125" s="22" t="s">
        <v>205</v>
      </c>
      <c r="D125" s="22" t="s">
        <v>408</v>
      </c>
      <c r="E125" s="13">
        <v>42725.746377314812</v>
      </c>
      <c r="F125" s="13">
        <v>42725.757835648146</v>
      </c>
      <c r="G125" s="7">
        <v>2</v>
      </c>
      <c r="H125" s="22" t="s">
        <v>718</v>
      </c>
      <c r="I125" s="13">
        <v>42725.783807870372</v>
      </c>
      <c r="J125" s="7">
        <v>0</v>
      </c>
      <c r="K125" s="109" t="str">
        <f t="shared" si="53"/>
        <v>4015/4016</v>
      </c>
      <c r="L125" s="22" t="str">
        <f>VLOOKUP(A125,'Trips&amp;Operators'!$C$1:$G$99999,5,FALSE)</f>
        <v>HILLS DUSTIN</v>
      </c>
      <c r="M125" s="6">
        <f t="shared" si="54"/>
        <v>2.5972222225391306E-2</v>
      </c>
      <c r="N125" s="7">
        <f t="shared" si="62"/>
        <v>37.400000004563481</v>
      </c>
      <c r="O125" s="7"/>
      <c r="P125" s="7"/>
      <c r="Q125" s="23"/>
      <c r="R125" s="23"/>
      <c r="S125" s="35">
        <f t="shared" si="63"/>
        <v>1</v>
      </c>
      <c r="T125" s="50" t="str">
        <f t="shared" si="55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16:54:47-700',mode:absolute,to:'2016-12-21 19:48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5" s="52" t="str">
        <f t="shared" si="56"/>
        <v>N</v>
      </c>
      <c r="X125" s="177">
        <f t="shared" si="52"/>
        <v>1</v>
      </c>
      <c r="Y125" s="67">
        <f t="shared" si="57"/>
        <v>23.300899999999999</v>
      </c>
      <c r="Z125" s="67">
        <f t="shared" si="58"/>
        <v>2.12E-2</v>
      </c>
      <c r="AA125" s="67">
        <f t="shared" si="59"/>
        <v>23.279699999999998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60"/>
        <v>0210-21</v>
      </c>
      <c r="AE125" s="91" t="str">
        <f t="shared" si="45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125" s="88" t="str">
        <f t="shared" si="46"/>
        <v>"C:\Program Files (x86)\AstroGrep\AstroGrep.exe" /spath="%USERPROFILE%\AppData\Local\Temp\OnboardLogs" /stypes="app*4015*20161222*" /stext=" 01:.+((SYSTEM_STATE.+slice.+state.+changed )|(ment ac)|(multiple cpu faults)|(system.+state.+changed )|(\[timeout)|(PRM\|1\|D)|(kpr)|(kdp)|(\|lc)|(penalty))" /e /r /s</v>
      </c>
      <c r="AG125" s="1" t="str">
        <f t="shared" si="61"/>
        <v>EC</v>
      </c>
      <c r="AH125" s="92" t="str">
        <f t="shared" si="48"/>
        <v>"%USERPROFILE%\Documents\GitHub\eaglep3\Utilities\RefineRTDCRunTimes.py" --tripid 210-21 --locoid 4015 --swversion DE.1.0.8.0 --startMP 204:233009 --initTime 2016-12-21T17:54:47 --startdatetime 2016-12-21T18:11:17 --delay 2 --endMP 204:212 --enddatetime 2016-12-21T18:48:41 --enforcementcount 0 &gt;&gt;C:\Users\stu\Documents\GitHub\eaglep3-reporting\EC\2016-12-21-refined-times.txt</v>
      </c>
      <c r="AI125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{"issue":{"subject":"","project_id":79,"tracker_id":40,"status_id":1,"priority_id":2,"assigned_to_id":23,"start_date":"2016-12-21","description":"","custom_fields":[{"id":1,"name":"Subdivision","value":"EC"},{"id":4,"name":"Milepost","value":"0.0212"},{"id":17,"name":"Train ID","value":"210-21"},{"id":16,"name":"Locomotive ID","value":"4015"},{"id":130,"name":"Impact","value":""},{"id":150,"name":"Time of Event (Mountain Time)","value":"18:48:41"},{"id":151,"name":"Denver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611</v>
      </c>
      <c r="B126" s="7">
        <v>4009</v>
      </c>
      <c r="C126" s="22" t="s">
        <v>205</v>
      </c>
      <c r="D126" s="22" t="s">
        <v>300</v>
      </c>
      <c r="E126" s="13">
        <v>42725.725104166668</v>
      </c>
      <c r="F126" s="13">
        <v>42725.729398148149</v>
      </c>
      <c r="G126" s="7">
        <v>1</v>
      </c>
      <c r="H126" s="22" t="s">
        <v>719</v>
      </c>
      <c r="I126" s="13">
        <v>42725.754560185182</v>
      </c>
      <c r="J126" s="7">
        <v>0</v>
      </c>
      <c r="K126" s="109" t="str">
        <f t="shared" si="53"/>
        <v>4009/4010</v>
      </c>
      <c r="L126" s="22" t="str">
        <f>VLOOKUP(A126,'Trips&amp;Operators'!$C$1:$G$99999,5,FALSE)</f>
        <v>BARTLETT KIANDRA</v>
      </c>
      <c r="M126" s="6">
        <f t="shared" si="54"/>
        <v>2.5162037032714579E-2</v>
      </c>
      <c r="N126" s="7">
        <f t="shared" si="62"/>
        <v>36.233333327108994</v>
      </c>
      <c r="O126" s="7"/>
      <c r="P126" s="7"/>
      <c r="Q126" s="23"/>
      <c r="R126" s="23"/>
      <c r="S126" s="35">
        <f t="shared" si="63"/>
        <v>1</v>
      </c>
      <c r="T126" s="50" t="str">
        <f t="shared" si="55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16:24:09-700',mode:absolute,to:'2016-12-21 19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6" s="52" t="str">
        <f t="shared" si="56"/>
        <v>N</v>
      </c>
      <c r="X126" s="177">
        <f t="shared" si="52"/>
        <v>1</v>
      </c>
      <c r="Y126" s="67">
        <f t="shared" si="57"/>
        <v>4.4900000000000002E-2</v>
      </c>
      <c r="Z126" s="67">
        <f t="shared" si="58"/>
        <v>23.3338</v>
      </c>
      <c r="AA126" s="67">
        <f t="shared" si="59"/>
        <v>23.288900000000002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60"/>
        <v>0211-21</v>
      </c>
      <c r="AE126" s="91" t="str">
        <f t="shared" si="45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126" s="88" t="str">
        <f t="shared" si="46"/>
        <v>"C:\Program Files (x86)\AstroGrep\AstroGrep.exe" /spath="%USERPROFILE%\AppData\Local\Temp\OnboardLogs" /stypes="app*4009*20161222*" /stext=" 01:.+((SYSTEM_STATE.+slice.+state.+changed )|(ment ac)|(multiple cpu faults)|(system.+state.+changed )|(\[timeout)|(PRM\|1\|D)|(kpr)|(kdp)|(\|lc)|(penalty))" /e /r /s</v>
      </c>
      <c r="AG126" s="1" t="str">
        <f t="shared" si="61"/>
        <v>EC</v>
      </c>
      <c r="AH126" s="92" t="str">
        <f t="shared" si="48"/>
        <v>"%USERPROFILE%\Documents\GitHub\eaglep3\Utilities\RefineRTDCRunTimes.py" --tripid 211-21 --locoid 4009 --swversion DE.1.0.8.0 --startMP 204:449 --initTime 2016-12-21T17:24:09 --startdatetime 2016-12-21T17:30:20 --delay 1 --endMP 204:233338 --enddatetime 2016-12-21T18:06:34 --enforcementcount 0 &gt;&gt;C:\Users\stu\Documents\GitHub\eaglep3-reporting\EC\2016-12-21-refined-times.txt</v>
      </c>
      <c r="AI126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{"issue":{"subject":"","project_id":79,"tracker_id":40,"status_id":1,"priority_id":2,"assigned_to_id":23,"start_date":"2016-12-21","description":"","custom_fields":[{"id":1,"name":"Subdivision","value":"EC"},{"id":4,"name":"Milepost","value":"23.3338"},{"id":17,"name":"Train ID","value":"211-21"},{"id":16,"name":"Locomotive ID","value":"4009"},{"id":130,"name":"Impact","value":""},{"id":150,"name":"Time of Event (Mountain Time)","value":"18:06:34"},{"id":151,"name":"Denver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623</v>
      </c>
      <c r="B127" s="7">
        <v>4010</v>
      </c>
      <c r="C127" s="22" t="s">
        <v>205</v>
      </c>
      <c r="D127" s="22" t="s">
        <v>711</v>
      </c>
      <c r="E127" s="13">
        <v>42725.756562499999</v>
      </c>
      <c r="F127" s="13">
        <v>42725.76829861111</v>
      </c>
      <c r="G127" s="7">
        <v>1</v>
      </c>
      <c r="H127" s="22" t="s">
        <v>720</v>
      </c>
      <c r="I127" s="13">
        <v>42725.795335648145</v>
      </c>
      <c r="J127" s="7">
        <v>0</v>
      </c>
      <c r="K127" s="109" t="str">
        <f t="shared" si="53"/>
        <v>4009/4010</v>
      </c>
      <c r="L127" s="22" t="str">
        <f>VLOOKUP(A127,'Trips&amp;Operators'!$C$1:$G$99999,5,FALSE)</f>
        <v>BARTLETT KIANDRA</v>
      </c>
      <c r="M127" s="6">
        <f t="shared" si="54"/>
        <v>2.7037037034460809E-2</v>
      </c>
      <c r="N127" s="7">
        <f t="shared" si="62"/>
        <v>38.933333329623565</v>
      </c>
      <c r="O127" s="7"/>
      <c r="P127" s="7"/>
      <c r="Q127" s="23"/>
      <c r="R127" s="23"/>
      <c r="S127" s="35">
        <f t="shared" si="63"/>
        <v>1</v>
      </c>
      <c r="T127" s="50" t="str">
        <f t="shared" si="55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17:09:27-700',mode:absolute,to:'2016-12-21 20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7" s="52" t="str">
        <f t="shared" si="56"/>
        <v>N</v>
      </c>
      <c r="X127" s="177">
        <f t="shared" ref="X127:X135" si="64">VALUE(LEFT(AD127,4))-VALUE(LEFT(AD126,4))</f>
        <v>1</v>
      </c>
      <c r="Y127" s="67">
        <f t="shared" ref="Y127:Y135" si="65">RIGHT(D127,LEN(D127)-4)/10000</f>
        <v>23.302700000000002</v>
      </c>
      <c r="Z127" s="67">
        <f t="shared" si="58"/>
        <v>1.83E-2</v>
      </c>
      <c r="AA127" s="67">
        <f t="shared" si="59"/>
        <v>23.284400000000002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60"/>
        <v>0212-21</v>
      </c>
      <c r="AE127" s="91" t="str">
        <f t="shared" si="45"/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AF127" s="88" t="str">
        <f t="shared" si="46"/>
        <v>"C:\Program Files (x86)\AstroGrep\AstroGrep.exe" /spath="%USERPROFILE%\AppData\Local\Temp\OnboardLogs" /stypes="app*4010*20161222*" /stext=" 02:.+((SYSTEM_STATE.+slice.+state.+changed )|(ment ac)|(multiple cpu faults)|(system.+state.+changed )|(\[timeout)|(PRM\|1\|D)|(kpr)|(kdp)|(\|lc)|(penalty))" /e /r /s</v>
      </c>
      <c r="AG127" s="1" t="str">
        <f t="shared" si="61"/>
        <v>EC</v>
      </c>
      <c r="AH127" s="92" t="str">
        <f t="shared" si="48"/>
        <v>"%USERPROFILE%\Documents\GitHub\eaglep3\Utilities\RefineRTDCRunTimes.py" --tripid 212-21 --locoid 4010 --swversion DE.1.0.8.0 --startMP 204:233027 --initTime 2016-12-21T18:09:27 --startdatetime 2016-12-21T18:26:21 --delay 1 --endMP 204:183 --enddatetime 2016-12-21T19:05:17 --enforcementcount 0 &gt;&gt;C:\Users\stu\Documents\GitHub\eaglep3-reporting\EC\2016-12-21-refined-times.txt</v>
      </c>
      <c r="AI127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{"issue":{"subject":"","project_id":79,"tracker_id":40,"status_id":1,"priority_id":2,"assigned_to_id":23,"start_date":"2016-12-21","description":"","custom_fields":[{"id":1,"name":"Subdivision","value":"EC"},{"id":4,"name":"Milepost","value":"0.0183"},{"id":17,"name":"Train ID","value":"212-21"},{"id":16,"name":"Locomotive ID","value":"4010"},{"id":130,"name":"Impact","value":""},{"id":150,"name":"Time of Event (Mountain Time)","value":"19:05:17"},{"id":151,"name":"Denver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614</v>
      </c>
      <c r="B128" s="7">
        <v>4042</v>
      </c>
      <c r="C128" s="22" t="s">
        <v>205</v>
      </c>
      <c r="D128" s="22" t="s">
        <v>302</v>
      </c>
      <c r="E128" s="13">
        <v>42725.736678240741</v>
      </c>
      <c r="F128" s="13">
        <v>42725.738796296297</v>
      </c>
      <c r="G128" s="7">
        <v>1</v>
      </c>
      <c r="H128" s="22" t="s">
        <v>715</v>
      </c>
      <c r="I128" s="13">
        <v>42725.77175925926</v>
      </c>
      <c r="J128" s="7">
        <v>0</v>
      </c>
      <c r="K128" s="109" t="str">
        <f t="shared" si="53"/>
        <v>4041/4042</v>
      </c>
      <c r="L128" s="22" t="str">
        <f>VLOOKUP(A128,'Trips&amp;Operators'!$C$1:$G$99999,5,FALSE)</f>
        <v>YANG JAN</v>
      </c>
      <c r="M128" s="6">
        <f t="shared" si="54"/>
        <v>3.2962962963210884E-2</v>
      </c>
      <c r="N128" s="7">
        <f t="shared" si="62"/>
        <v>47.466666667023674</v>
      </c>
      <c r="O128" s="7"/>
      <c r="P128" s="7"/>
      <c r="Q128" s="23"/>
      <c r="R128" s="23" t="s">
        <v>846</v>
      </c>
      <c r="S128" s="35">
        <f t="shared" si="63"/>
        <v>1</v>
      </c>
      <c r="T128" s="50" t="str">
        <f t="shared" si="55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16:40:49-700',mode:absolute,to:'2016-12-21 19:31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8" s="52" t="str">
        <f t="shared" si="56"/>
        <v>N</v>
      </c>
      <c r="X128" s="177">
        <f t="shared" si="64"/>
        <v>1</v>
      </c>
      <c r="Y128" s="67">
        <f t="shared" si="65"/>
        <v>4.4200000000000003E-2</v>
      </c>
      <c r="Z128" s="67">
        <f t="shared" si="58"/>
        <v>23.335100000000001</v>
      </c>
      <c r="AA128" s="67">
        <f t="shared" si="59"/>
        <v>23.290900000000001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60"/>
        <v>0213-21</v>
      </c>
      <c r="AE128" s="91" t="str">
        <f t="shared" si="45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128" s="88" t="str">
        <f t="shared" si="46"/>
        <v>"C:\Program Files (x86)\AstroGrep\AstroGrep.exe" /spath="%USERPROFILE%\AppData\Local\Temp\OnboardLogs" /stypes="app*4042*20161222*" /stext=" 01:.+((SYSTEM_STATE.+slice.+state.+changed )|(ment ac)|(multiple cpu faults)|(system.+state.+changed )|(\[timeout)|(PRM\|1\|D)|(kpr)|(kdp)|(\|lc)|(penalty))" /e /r /s</v>
      </c>
      <c r="AG128" s="1" t="str">
        <f t="shared" si="61"/>
        <v>EC</v>
      </c>
      <c r="AH128" s="92" t="str">
        <f t="shared" si="48"/>
        <v>"%USERPROFILE%\Documents\GitHub\eaglep3\Utilities\RefineRTDCRunTimes.py" --tripid 213-21 --locoid 4042 --swversion DE.1.0.8.0 --startMP 204:442 --initTime 2016-12-21T17:40:49 --startdatetime 2016-12-21T17:43:52 --delay 1 --endMP 204:233351 --enddatetime 2016-12-21T18:31:20 --enforcementcount 0 &gt;&gt;C:\Users\stu\Documents\GitHub\eaglep3-reporting\EC\2016-12-21-refined-times.txt</v>
      </c>
      <c r="AI128" s="119" t="str">
        <f t="shared" si="49"/>
        <v>echo {"issue":{"subject":"Onboard in-route failure delayed departure","project_id":79,"tracker_id":40,"status_id":1,"priority_id":2,"assigned_to_id":23,"start_date":"2016-12-21","description":"","custom_fields":[{"id":1,"name":"Subdivision","value":"EC"},{"id":4,"name":"Milepost","value":"23.3351"},{"id":17,"name":"Train ID","value":"213-21"},{"id":16,"name":"Locomotive ID","value":"4042"},{"id":130,"name":"Impact","value":""},{"id":150,"name":"Time of Event (Mountain Time)","value":"18:31:20"},{"id":151,"name":"Denver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632</v>
      </c>
      <c r="B129" s="7">
        <v>4041</v>
      </c>
      <c r="C129" s="22" t="s">
        <v>205</v>
      </c>
      <c r="D129" s="22" t="s">
        <v>721</v>
      </c>
      <c r="E129" s="13">
        <v>42725.77484953704</v>
      </c>
      <c r="F129" s="13">
        <v>42725.77920138889</v>
      </c>
      <c r="G129" s="7">
        <v>2</v>
      </c>
      <c r="H129" s="22" t="s">
        <v>278</v>
      </c>
      <c r="I129" s="13">
        <v>42725.808298611111</v>
      </c>
      <c r="J129" s="7">
        <v>0</v>
      </c>
      <c r="K129" s="109" t="str">
        <f t="shared" si="53"/>
        <v>4041/4042</v>
      </c>
      <c r="L129" s="22" t="str">
        <f>VLOOKUP(A129,'Trips&amp;Operators'!$C$1:$G$99999,5,FALSE)</f>
        <v>YANG JAN</v>
      </c>
      <c r="M129" s="6">
        <f t="shared" si="54"/>
        <v>2.9097222221025731E-2</v>
      </c>
      <c r="N129" s="7">
        <f t="shared" si="62"/>
        <v>41.899999998277053</v>
      </c>
      <c r="O129" s="7"/>
      <c r="P129" s="7"/>
      <c r="Q129" s="23"/>
      <c r="R129" s="23"/>
      <c r="S129" s="35">
        <f t="shared" si="63"/>
        <v>1</v>
      </c>
      <c r="T129" s="50" t="str">
        <f t="shared" si="55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17:35:47-700',mode:absolute,to:'2016-12-21 20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9" s="52" t="str">
        <f t="shared" si="56"/>
        <v>N</v>
      </c>
      <c r="X129" s="177">
        <f t="shared" si="64"/>
        <v>1</v>
      </c>
      <c r="Y129" s="67">
        <f t="shared" si="65"/>
        <v>23.3062</v>
      </c>
      <c r="Z129" s="67">
        <f t="shared" si="58"/>
        <v>1.38E-2</v>
      </c>
      <c r="AA129" s="67">
        <f t="shared" si="59"/>
        <v>23.292400000000001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60"/>
        <v>0214-21</v>
      </c>
      <c r="AE129" s="91" t="str">
        <f t="shared" si="45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129" s="88" t="str">
        <f t="shared" si="46"/>
        <v>"C:\Program Files (x86)\AstroGrep\AstroGrep.exe" /spath="%USERPROFILE%\AppData\Local\Temp\OnboardLogs" /stypes="app*4041*20161222*" /stext=" 02:.+((SYSTEM_STATE.+slice.+state.+changed )|(ment ac)|(multiple cpu faults)|(system.+state.+changed )|(\[timeout)|(PRM\|1\|D)|(kpr)|(kdp)|(\|lc)|(penalty))" /e /r /s</v>
      </c>
      <c r="AG129" s="1" t="str">
        <f t="shared" si="61"/>
        <v>EC</v>
      </c>
      <c r="AH129" s="92" t="str">
        <f t="shared" si="48"/>
        <v>"%USERPROFILE%\Documents\GitHub\eaglep3\Utilities\RefineRTDCRunTimes.py" --tripid 214-21 --locoid 4041 --swversion DE.1.0.8.0 --startMP 204:233062 --initTime 2016-12-21T18:35:47 --startdatetime 2016-12-21T18:42:03 --delay 2 --endMP 204:138 --enddatetime 2016-12-21T19:23:57 --enforcementcount 0 &gt;&gt;C:\Users\stu\Documents\GitHub\eaglep3-reporting\EC\2016-12-21-refined-times.txt</v>
      </c>
      <c r="AI129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{"issue":{"subject":"","project_id":79,"tracker_id":40,"status_id":1,"priority_id":2,"assigned_to_id":23,"start_date":"2016-12-21","description":"","custom_fields":[{"id":1,"name":"Subdivision","value":"EC"},{"id":4,"name":"Milepost","value":"0.0138"},{"id":17,"name":"Train ID","value":"214-21"},{"id":16,"name":"Locomotive ID","value":"4041"},{"id":130,"name":"Impact","value":""},{"id":150,"name":"Time of Event (Mountain Time)","value":"19:23:57"},{"id":151,"name":"Denver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620</v>
      </c>
      <c r="B130" s="7">
        <v>4044</v>
      </c>
      <c r="C130" s="22" t="s">
        <v>205</v>
      </c>
      <c r="D130" s="22" t="s">
        <v>684</v>
      </c>
      <c r="E130" s="13">
        <v>42725.74695601852</v>
      </c>
      <c r="F130" s="13">
        <v>42725.750162037039</v>
      </c>
      <c r="G130" s="7">
        <v>1</v>
      </c>
      <c r="H130" s="22" t="s">
        <v>379</v>
      </c>
      <c r="I130" s="13">
        <v>42725.775601851848</v>
      </c>
      <c r="J130" s="7">
        <v>0</v>
      </c>
      <c r="K130" s="109" t="str">
        <f t="shared" si="53"/>
        <v>4043/4044</v>
      </c>
      <c r="L130" s="22" t="str">
        <f>VLOOKUP(A130,'Trips&amp;Operators'!$C$1:$G$99999,5,FALSE)</f>
        <v>BRANNON JEFFREY</v>
      </c>
      <c r="M130" s="6">
        <f t="shared" si="54"/>
        <v>2.5439814809942618E-2</v>
      </c>
      <c r="N130" s="7">
        <f t="shared" si="62"/>
        <v>36.63333332631737</v>
      </c>
      <c r="O130" s="7"/>
      <c r="P130" s="7"/>
      <c r="Q130" s="23"/>
      <c r="R130" s="23"/>
      <c r="S130" s="35">
        <f t="shared" si="63"/>
        <v>1</v>
      </c>
      <c r="T130" s="50" t="str">
        <f t="shared" si="55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16:55:37-700',mode:absolute,to:'2016-12-21 19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0" s="52" t="str">
        <f t="shared" si="56"/>
        <v>N</v>
      </c>
      <c r="X130" s="177">
        <f t="shared" si="64"/>
        <v>1</v>
      </c>
      <c r="Y130" s="67">
        <f t="shared" si="65"/>
        <v>4.7500000000000001E-2</v>
      </c>
      <c r="Z130" s="67">
        <f t="shared" si="58"/>
        <v>23.331199999999999</v>
      </c>
      <c r="AA130" s="67">
        <f t="shared" si="59"/>
        <v>23.2837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60"/>
        <v>0215-21</v>
      </c>
      <c r="AE130" s="91" t="str">
        <f t="shared" si="45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130" s="88" t="str">
        <f t="shared" si="46"/>
        <v>"C:\Program Files (x86)\AstroGrep\AstroGrep.exe" /spath="%USERPROFILE%\AppData\Local\Temp\OnboardLogs" /stypes="app*4044*20161222*" /stext=" 01:.+((SYSTEM_STATE.+slice.+state.+changed )|(ment ac)|(multiple cpu faults)|(system.+state.+changed )|(\[timeout)|(PRM\|1\|D)|(kpr)|(kdp)|(\|lc)|(penalty))" /e /r /s</v>
      </c>
      <c r="AG130" s="1" t="str">
        <f t="shared" si="61"/>
        <v>EC</v>
      </c>
      <c r="AH130" s="92" t="str">
        <f t="shared" si="48"/>
        <v>"%USERPROFILE%\Documents\GitHub\eaglep3\Utilities\RefineRTDCRunTimes.py" --tripid 215-21 --locoid 4044 --swversion DE.1.0.8.0 --startMP 204:475 --initTime 2016-12-21T17:55:37 --startdatetime 2016-12-21T18:00:14 --delay 1 --endMP 204:233312 --enddatetime 2016-12-21T18:36:52 --enforcementcount 0 &gt;&gt;C:\Users\stu\Documents\GitHub\eaglep3-reporting\EC\2016-12-21-refined-times.txt</v>
      </c>
      <c r="AI130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{"issue":{"subject":"","project_id":79,"tracker_id":40,"status_id":1,"priority_id":2,"assigned_to_id":23,"start_date":"2016-12-21","description":"","custom_fields":[{"id":1,"name":"Subdivision","value":"EC"},{"id":4,"name":"Milepost","value":"23.3312"},{"id":17,"name":"Train ID","value":"215-21"},{"id":16,"name":"Locomotive ID","value":"4044"},{"id":130,"name":"Impact","value":""},{"id":150,"name":"Time of Event (Mountain Time)","value":"18:36:52"},{"id":151,"name":"Denver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634</v>
      </c>
      <c r="B131" s="7">
        <v>4043</v>
      </c>
      <c r="C131" s="22" t="s">
        <v>205</v>
      </c>
      <c r="D131" s="22" t="s">
        <v>384</v>
      </c>
      <c r="E131" s="13">
        <v>42725.780185185184</v>
      </c>
      <c r="F131" s="13">
        <v>42725.789039351854</v>
      </c>
      <c r="G131" s="7">
        <v>1</v>
      </c>
      <c r="H131" s="22" t="s">
        <v>224</v>
      </c>
      <c r="I131" s="13">
        <v>42725.817303240743</v>
      </c>
      <c r="J131" s="7">
        <v>0</v>
      </c>
      <c r="K131" s="109" t="str">
        <f t="shared" si="53"/>
        <v>4043/4044</v>
      </c>
      <c r="L131" s="22" t="str">
        <f>VLOOKUP(A131,'Trips&amp;Operators'!$C$1:$G$99999,5,FALSE)</f>
        <v>BRANNON JEFFREY</v>
      </c>
      <c r="M131" s="6">
        <f t="shared" si="54"/>
        <v>2.8263888889341615E-2</v>
      </c>
      <c r="N131" s="7">
        <f t="shared" si="62"/>
        <v>40.700000000651926</v>
      </c>
      <c r="O131" s="7"/>
      <c r="P131" s="7"/>
      <c r="Q131" s="23"/>
      <c r="R131" s="23"/>
      <c r="S131" s="35">
        <f t="shared" si="63"/>
        <v>1</v>
      </c>
      <c r="T131" s="50" t="str">
        <f t="shared" si="55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17:43:28-700',mode:absolute,to:'2016-12-21 20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1" s="52" t="str">
        <f t="shared" si="56"/>
        <v>N</v>
      </c>
      <c r="X131" s="177">
        <f t="shared" si="64"/>
        <v>1</v>
      </c>
      <c r="Y131" s="67">
        <f t="shared" si="65"/>
        <v>23.299099999999999</v>
      </c>
      <c r="Z131" s="67">
        <f t="shared" si="58"/>
        <v>1.54E-2</v>
      </c>
      <c r="AA131" s="67">
        <f t="shared" si="59"/>
        <v>23.2837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60"/>
        <v>0216-21</v>
      </c>
      <c r="AE131" s="91" t="str">
        <f t="shared" si="45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131" s="88" t="str">
        <f t="shared" si="46"/>
        <v>"C:\Program Files (x86)\AstroGrep\AstroGrep.exe" /spath="%USERPROFILE%\AppData\Local\Temp\OnboardLogs" /stypes="app*4043*20161222*" /stext=" 02:.+((SYSTEM_STATE.+slice.+state.+changed )|(ment ac)|(multiple cpu faults)|(system.+state.+changed )|(\[timeout)|(PRM\|1\|D)|(kpr)|(kdp)|(\|lc)|(penalty))" /e /r /s</v>
      </c>
      <c r="AG131" s="1" t="str">
        <f t="shared" si="61"/>
        <v>EC</v>
      </c>
      <c r="AH131" s="92" t="str">
        <f t="shared" si="48"/>
        <v>"%USERPROFILE%\Documents\GitHub\eaglep3\Utilities\RefineRTDCRunTimes.py" --tripid 216-21 --locoid 4043 --swversion DE.1.0.8.0 --startMP 204:232991 --initTime 2016-12-21T18:43:28 --startdatetime 2016-12-21T18:56:13 --delay 1 --endMP 204:154 --enddatetime 2016-12-21T19:36:55 --enforcementcount 0 &gt;&gt;C:\Users\stu\Documents\GitHub\eaglep3-reporting\EC\2016-12-21-refined-times.txt</v>
      </c>
      <c r="AI131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{"issue":{"subject":"","project_id":79,"tracker_id":40,"status_id":1,"priority_id":2,"assigned_to_id":23,"start_date":"2016-12-21","description":"","custom_fields":[{"id":1,"name":"Subdivision","value":"EC"},{"id":4,"name":"Milepost","value":"0.0154"},{"id":17,"name":"Train ID","value":"216-21"},{"id":16,"name":"Locomotive ID","value":"4043"},{"id":130,"name":"Impact","value":""},{"id":150,"name":"Time of Event (Mountain Time)","value":"19:36:55"},{"id":151,"name":"Denver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625</v>
      </c>
      <c r="B132" s="7">
        <v>4027</v>
      </c>
      <c r="C132" s="22" t="s">
        <v>205</v>
      </c>
      <c r="D132" s="22" t="s">
        <v>354</v>
      </c>
      <c r="E132" s="13">
        <v>42725.759293981479</v>
      </c>
      <c r="F132" s="13">
        <v>42725.76152777778</v>
      </c>
      <c r="G132" s="7">
        <v>1</v>
      </c>
      <c r="H132" s="22" t="s">
        <v>701</v>
      </c>
      <c r="I132" s="13">
        <v>42725.786932870367</v>
      </c>
      <c r="J132" s="7">
        <v>0</v>
      </c>
      <c r="K132" s="109" t="str">
        <f t="shared" si="53"/>
        <v>4027/4028</v>
      </c>
      <c r="L132" s="22" t="str">
        <f>VLOOKUP(A132,'Trips&amp;Operators'!$C$1:$G$99999,5,FALSE)</f>
        <v>BROWN JACOB</v>
      </c>
      <c r="M132" s="6">
        <f t="shared" si="54"/>
        <v>2.5405092586879618E-2</v>
      </c>
      <c r="N132" s="7">
        <f t="shared" si="62"/>
        <v>36.583333325106651</v>
      </c>
      <c r="O132" s="7"/>
      <c r="P132" s="7"/>
      <c r="Q132" s="23"/>
      <c r="R132" s="23"/>
      <c r="S132" s="35">
        <f t="shared" si="63"/>
        <v>1</v>
      </c>
      <c r="T132" s="50" t="str">
        <f t="shared" si="55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17:13:23-700',mode:absolute,to:'2016-12-21 19:53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2" s="52" t="str">
        <f t="shared" si="56"/>
        <v>N</v>
      </c>
      <c r="X132" s="177">
        <f t="shared" si="64"/>
        <v>1</v>
      </c>
      <c r="Y132" s="67">
        <f t="shared" si="65"/>
        <v>4.7300000000000002E-2</v>
      </c>
      <c r="Z132" s="67">
        <f t="shared" si="58"/>
        <v>23.3307</v>
      </c>
      <c r="AA132" s="67">
        <f t="shared" si="59"/>
        <v>23.2834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60"/>
        <v>0217-21</v>
      </c>
      <c r="AE132" s="91" t="str">
        <f t="shared" si="45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132" s="88" t="str">
        <f t="shared" si="46"/>
        <v>"C:\Program Files (x86)\AstroGrep\AstroGrep.exe" /spath="%USERPROFILE%\AppData\Local\Temp\OnboardLogs" /stypes="app*4027*20161222*" /stext=" 01:.+((SYSTEM_STATE.+slice.+state.+changed )|(ment ac)|(multiple cpu faults)|(system.+state.+changed )|(\[timeout)|(PRM\|1\|D)|(kpr)|(kdp)|(\|lc)|(penalty))" /e /r /s</v>
      </c>
      <c r="AG132" s="1" t="str">
        <f t="shared" si="61"/>
        <v>EC</v>
      </c>
      <c r="AH132" s="92" t="str">
        <f t="shared" si="48"/>
        <v>"%USERPROFILE%\Documents\GitHub\eaglep3\Utilities\RefineRTDCRunTimes.py" --tripid 217-21 --locoid 4027 --swversion DE.1.0.8.0 --startMP 204:473 --initTime 2016-12-21T18:13:23 --startdatetime 2016-12-21T18:16:36 --delay 1 --endMP 204:233307 --enddatetime 2016-12-21T18:53:11 --enforcementcount 0 &gt;&gt;C:\Users\stu\Documents\GitHub\eaglep3-reporting\EC\2016-12-21-refined-times.txt</v>
      </c>
      <c r="AI132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{"issue":{"subject":"","project_id":79,"tracker_id":40,"status_id":1,"priority_id":2,"assigned_to_id":23,"start_date":"2016-12-21","description":"","custom_fields":[{"id":1,"name":"Subdivision","value":"EC"},{"id":4,"name":"Milepost","value":"23.3307"},{"id":17,"name":"Train ID","value":"217-21"},{"id":16,"name":"Locomotive ID","value":"4027"},{"id":130,"name":"Impact","value":""},{"id":150,"name":"Time of Event (Mountain Time)","value":"18:53:11"},{"id":151,"name":"Denver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636</v>
      </c>
      <c r="B133" s="7">
        <v>4028</v>
      </c>
      <c r="C133" s="22" t="s">
        <v>205</v>
      </c>
      <c r="D133" s="22" t="s">
        <v>305</v>
      </c>
      <c r="E133" s="13">
        <v>42725.793344907404</v>
      </c>
      <c r="F133" s="13">
        <v>42725.799537037034</v>
      </c>
      <c r="G133" s="7">
        <v>1</v>
      </c>
      <c r="H133" s="22" t="s">
        <v>224</v>
      </c>
      <c r="I133" s="13">
        <v>42725.826909722222</v>
      </c>
      <c r="J133" s="7">
        <v>0</v>
      </c>
      <c r="K133" s="109" t="str">
        <f t="shared" si="53"/>
        <v>4027/4028</v>
      </c>
      <c r="L133" s="22" t="str">
        <f>VLOOKUP(A133,'Trips&amp;Operators'!$C$1:$G$99999,5,FALSE)</f>
        <v>BROWN JACOB</v>
      </c>
      <c r="M133" s="6">
        <f t="shared" si="54"/>
        <v>2.7372685188311152E-2</v>
      </c>
      <c r="N133" s="7">
        <f t="shared" si="62"/>
        <v>39.416666671168059</v>
      </c>
      <c r="O133" s="7"/>
      <c r="P133" s="7"/>
      <c r="Q133" s="23"/>
      <c r="R133" s="23"/>
      <c r="S133" s="35">
        <f t="shared" si="63"/>
        <v>1</v>
      </c>
      <c r="T133" s="50" t="str">
        <f t="shared" si="55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18:02:25-700',mode:absolute,to:'2016-12-21 20:50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3" s="52" t="str">
        <f t="shared" si="56"/>
        <v>N</v>
      </c>
      <c r="X133" s="177">
        <f t="shared" si="64"/>
        <v>1</v>
      </c>
      <c r="Y133" s="67">
        <f t="shared" si="65"/>
        <v>23.2973</v>
      </c>
      <c r="Z133" s="67">
        <f t="shared" si="58"/>
        <v>1.54E-2</v>
      </c>
      <c r="AA133" s="67">
        <f t="shared" si="59"/>
        <v>23.2819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60"/>
        <v>0218-21</v>
      </c>
      <c r="AE133" s="91" t="str">
        <f t="shared" si="45"/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133" s="88" t="str">
        <f t="shared" si="46"/>
        <v>"C:\Program Files (x86)\AstroGrep\AstroGrep.exe" /spath="%USERPROFILE%\AppData\Local\Temp\OnboardLogs" /stypes="app*4028*20161222*" /stext=" 02:.+((SYSTEM_STATE.+slice.+state.+changed )|(ment ac)|(multiple cpu faults)|(system.+state.+changed )|(\[timeout)|(PRM\|1\|D)|(kpr)|(kdp)|(\|lc)|(penalty))" /e /r /s</v>
      </c>
      <c r="AG133" s="1" t="str">
        <f t="shared" si="61"/>
        <v>EC</v>
      </c>
      <c r="AH133" s="92" t="str">
        <f t="shared" si="48"/>
        <v>"%USERPROFILE%\Documents\GitHub\eaglep3\Utilities\RefineRTDCRunTimes.py" --tripid 218-21 --locoid 4028 --swversion DE.1.0.8.0 --startMP 204:232973 --initTime 2016-12-21T19:02:25 --startdatetime 2016-12-21T19:11:20 --delay 1 --endMP 204:154 --enddatetime 2016-12-21T19:50:45 --enforcementcount 0 &gt;&gt;C:\Users\stu\Documents\GitHub\eaglep3-reporting\EC\2016-12-21-refined-times.txt</v>
      </c>
      <c r="AI133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{"issue":{"subject":"","project_id":79,"tracker_id":40,"status_id":1,"priority_id":2,"assigned_to_id":23,"start_date":"2016-12-21","description":"","custom_fields":[{"id":1,"name":"Subdivision","value":"EC"},{"id":4,"name":"Milepost","value":"0.0154"},{"id":17,"name":"Train ID","value":"218-21"},{"id":16,"name":"Locomotive ID","value":"4028"},{"id":130,"name":"Impact","value":""},{"id":150,"name":"Time of Event (Mountain Time)","value":"19:50:45"},{"id":151,"name":"Denver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627</v>
      </c>
      <c r="B134" s="7">
        <v>4003</v>
      </c>
      <c r="C134" s="22" t="s">
        <v>205</v>
      </c>
      <c r="D134" s="22" t="s">
        <v>256</v>
      </c>
      <c r="E134" s="13">
        <v>42725.768333333333</v>
      </c>
      <c r="F134" s="13">
        <v>42725.771365740744</v>
      </c>
      <c r="G134" s="7">
        <v>1</v>
      </c>
      <c r="H134" s="22" t="s">
        <v>357</v>
      </c>
      <c r="I134" s="13">
        <v>42725.797708333332</v>
      </c>
      <c r="J134" s="7">
        <v>0</v>
      </c>
      <c r="K134" s="109" t="str">
        <f t="shared" si="53"/>
        <v>4003/4004</v>
      </c>
      <c r="L134" s="22" t="str">
        <f>VLOOKUP(A134,'Trips&amp;Operators'!$C$1:$G$99999,5,FALSE)</f>
        <v>NELSON ARIANE</v>
      </c>
      <c r="M134" s="6">
        <f t="shared" si="54"/>
        <v>2.6342592587752733E-2</v>
      </c>
      <c r="N134" s="7">
        <f t="shared" si="62"/>
        <v>37.933333326363936</v>
      </c>
      <c r="O134" s="7"/>
      <c r="P134" s="7"/>
      <c r="Q134" s="23"/>
      <c r="R134" s="23"/>
      <c r="S134" s="35">
        <f t="shared" si="63"/>
        <v>1</v>
      </c>
      <c r="T134" s="50" t="str">
        <f t="shared" si="55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17:26:24-700',mode:absolute,to:'2016-12-21 20:08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4" s="52" t="str">
        <f t="shared" si="56"/>
        <v>N</v>
      </c>
      <c r="X134" s="177">
        <f t="shared" si="64"/>
        <v>1</v>
      </c>
      <c r="Y134" s="67">
        <f t="shared" si="65"/>
        <v>4.53E-2</v>
      </c>
      <c r="Z134" s="67">
        <f t="shared" si="58"/>
        <v>23.329699999999999</v>
      </c>
      <c r="AA134" s="67">
        <f t="shared" si="59"/>
        <v>23.284399999999998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60"/>
        <v>0219-21</v>
      </c>
      <c r="AE134" s="91" t="str">
        <f t="shared" si="45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134" s="88" t="str">
        <f t="shared" si="46"/>
        <v>"C:\Program Files (x86)\AstroGrep\AstroGrep.exe" /spath="%USERPROFILE%\AppData\Local\Temp\OnboardLogs" /stypes="app*4003*20161222*" /stext=" 02:.+((SYSTEM_STATE.+slice.+state.+changed )|(ment ac)|(multiple cpu faults)|(system.+state.+changed )|(\[timeout)|(PRM\|1\|D)|(kpr)|(kdp)|(\|lc)|(penalty))" /e /r /s</v>
      </c>
      <c r="AG134" s="1" t="str">
        <f t="shared" si="61"/>
        <v>EC</v>
      </c>
      <c r="AH134" s="92" t="str">
        <f t="shared" si="48"/>
        <v>"%USERPROFILE%\Documents\GitHub\eaglep3\Utilities\RefineRTDCRunTimes.py" --tripid 219-21 --locoid 4003 --swversion DE.1.0.8.0 --startMP 204:453 --initTime 2016-12-21T18:26:24 --startdatetime 2016-12-21T18:30:46 --delay 1 --endMP 204:233297 --enddatetime 2016-12-21T19:08:42 --enforcementcount 0 &gt;&gt;C:\Users\stu\Documents\GitHub\eaglep3-reporting\EC\2016-12-21-refined-times.txt</v>
      </c>
      <c r="AI134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{"issue":{"subject":"","project_id":79,"tracker_id":40,"status_id":1,"priority_id":2,"assigned_to_id":23,"start_date":"2016-12-21","description":"","custom_fields":[{"id":1,"name":"Subdivision","value":"EC"},{"id":4,"name":"Milepost","value":"23.3297"},{"id":17,"name":"Train ID","value":"219-21"},{"id":16,"name":"Locomotive ID","value":"4003"},{"id":130,"name":"Impact","value":""},{"id":150,"name":"Time of Event (Mountain Time)","value":"19:08:42"},{"id":151,"name":"Denver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449</v>
      </c>
      <c r="B135" s="7">
        <v>4004</v>
      </c>
      <c r="C135" s="22" t="s">
        <v>205</v>
      </c>
      <c r="D135" s="22" t="s">
        <v>681</v>
      </c>
      <c r="E135" s="13">
        <v>42725.808252314811</v>
      </c>
      <c r="F135" s="13">
        <v>42725.810208333336</v>
      </c>
      <c r="G135" s="7">
        <v>2</v>
      </c>
      <c r="H135" s="22" t="s">
        <v>388</v>
      </c>
      <c r="I135" s="13">
        <v>42725.838576388887</v>
      </c>
      <c r="J135" s="7">
        <v>0</v>
      </c>
      <c r="K135" s="109" t="str">
        <f t="shared" si="53"/>
        <v>4003/4004</v>
      </c>
      <c r="L135" s="22" t="str">
        <f>VLOOKUP(A135,'Trips&amp;Operators'!$C$1:$G$99999,5,FALSE)</f>
        <v>NELSON ARIANE</v>
      </c>
      <c r="M135" s="6">
        <f t="shared" si="54"/>
        <v>2.8368055551254656E-2</v>
      </c>
      <c r="N135" s="7">
        <f t="shared" si="62"/>
        <v>40.849999993806705</v>
      </c>
      <c r="O135" s="7"/>
      <c r="P135" s="7"/>
      <c r="Q135" s="23"/>
      <c r="R135" s="23"/>
      <c r="S135" s="35">
        <f t="shared" si="63"/>
        <v>1</v>
      </c>
      <c r="T135" s="50" t="str">
        <f t="shared" si="55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18:23:53-700',mode:absolute,to:'2016-12-21 21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5" s="52" t="str">
        <f t="shared" si="56"/>
        <v>N</v>
      </c>
      <c r="X135" s="177">
        <f t="shared" si="64"/>
        <v>1</v>
      </c>
      <c r="Y135" s="67">
        <f t="shared" si="65"/>
        <v>23.2989</v>
      </c>
      <c r="Z135" s="67">
        <f t="shared" si="58"/>
        <v>1.52E-2</v>
      </c>
      <c r="AA135" s="67">
        <f t="shared" si="59"/>
        <v>23.2837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60"/>
        <v>0220-21</v>
      </c>
      <c r="AE135" s="91" t="str">
        <f t="shared" si="45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135" s="88" t="str">
        <f t="shared" si="46"/>
        <v>"C:\Program Files (x86)\AstroGrep\AstroGrep.exe" /spath="%USERPROFILE%\AppData\Local\Temp\OnboardLogs" /stypes="app*4004*20161222*" /stext=" 03:.+((SYSTEM_STATE.+slice.+state.+changed )|(ment ac)|(multiple cpu faults)|(system.+state.+changed )|(\[timeout)|(PRM\|1\|D)|(kpr)|(kdp)|(\|lc)|(penalty))" /e /r /s</v>
      </c>
      <c r="AG135" s="1" t="str">
        <f t="shared" si="61"/>
        <v>EC</v>
      </c>
      <c r="AH135" s="92" t="str">
        <f t="shared" si="48"/>
        <v>"%USERPROFILE%\Documents\GitHub\eaglep3\Utilities\RefineRTDCRunTimes.py" --tripid 220-21 --locoid 4004 --swversion DE.1.0.8.0 --startMP 204:232989 --initTime 2016-12-21T19:23:53 --startdatetime 2016-12-21T19:26:42 --delay 2 --endMP 204:152 --enddatetime 2016-12-21T20:07:33 --enforcementcount 0 &gt;&gt;C:\Users\stu\Documents\GitHub\eaglep3-reporting\EC\2016-12-21-refined-times.txt</v>
      </c>
      <c r="AI135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{"issue":{"subject":"","project_id":79,"tracker_id":40,"status_id":1,"priority_id":2,"assigned_to_id":23,"start_date":"2016-12-21","description":"","custom_fields":[{"id":1,"name":"Subdivision","value":"EC"},{"id":4,"name":"Milepost","value":"0.0152"},{"id":17,"name":"Train ID","value":"220-21"},{"id":16,"name":"Locomotive ID","value":"4004"},{"id":130,"name":"Impact","value":""},{"id":150,"name":"Time of Event (Mountain Time)","value":"20:07:33"},{"id":151,"name":"Denver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448</v>
      </c>
      <c r="B136" s="7">
        <v>4016</v>
      </c>
      <c r="C136" s="22" t="s">
        <v>205</v>
      </c>
      <c r="D136" s="22" t="s">
        <v>722</v>
      </c>
      <c r="E136" s="13">
        <v>42725.786597222221</v>
      </c>
      <c r="F136" s="13">
        <v>42725.79184027778</v>
      </c>
      <c r="G136" s="7">
        <v>1</v>
      </c>
      <c r="H136" s="22" t="s">
        <v>723</v>
      </c>
      <c r="I136" s="13">
        <v>42725.816238425927</v>
      </c>
      <c r="J136" s="7">
        <v>0</v>
      </c>
      <c r="K136" s="109" t="str">
        <f t="shared" si="53"/>
        <v>4015/4016</v>
      </c>
      <c r="L136" s="22" t="str">
        <f>VLOOKUP(A136,'Trips&amp;Operators'!$C$1:$G$99999,5,FALSE)</f>
        <v>HILLS DUSTIN</v>
      </c>
      <c r="M136" s="6">
        <f t="shared" si="54"/>
        <v>2.4398148147156462E-2</v>
      </c>
      <c r="N136" s="7">
        <f t="shared" si="62"/>
        <v>35.133333331905305</v>
      </c>
      <c r="O136" s="7"/>
      <c r="P136" s="7"/>
      <c r="Q136" s="23"/>
      <c r="R136" s="23"/>
      <c r="S136" s="35">
        <f t="shared" si="63"/>
        <v>1</v>
      </c>
      <c r="T136" s="50" t="str">
        <f t="shared" si="55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17:52:42-700',mode:absolute,to:'2016-12-21 20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6" s="52" t="str">
        <f t="shared" si="56"/>
        <v>N</v>
      </c>
      <c r="X136" s="177">
        <f t="shared" ref="X136:X142" si="66">VALUE(LEFT(AD136,4))-VALUE(LEFT(AD135,4))</f>
        <v>1</v>
      </c>
      <c r="Y136" s="67">
        <f t="shared" ref="Y136:Y153" si="67">RIGHT(D136,LEN(D136)-4)/10000</f>
        <v>5.0599999999999999E-2</v>
      </c>
      <c r="Z136" s="67">
        <f t="shared" si="58"/>
        <v>23.340199999999999</v>
      </c>
      <c r="AA136" s="67">
        <f t="shared" si="59"/>
        <v>23.2896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60"/>
        <v>0221-21</v>
      </c>
      <c r="AE136" s="91" t="str">
        <f t="shared" si="45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136" s="88" t="str">
        <f t="shared" si="46"/>
        <v>"C:\Program Files (x86)\AstroGrep\AstroGrep.exe" /spath="%USERPROFILE%\AppData\Local\Temp\OnboardLogs" /stypes="app*4016*20161222*" /stext=" 02:.+((SYSTEM_STATE.+slice.+state.+changed )|(ment ac)|(multiple cpu faults)|(system.+state.+changed )|(\[timeout)|(PRM\|1\|D)|(kpr)|(kdp)|(\|lc)|(penalty))" /e /r /s</v>
      </c>
      <c r="AG136" s="1" t="str">
        <f t="shared" si="61"/>
        <v>EC</v>
      </c>
      <c r="AH136" s="92" t="str">
        <f t="shared" si="48"/>
        <v>"%USERPROFILE%\Documents\GitHub\eaglep3\Utilities\RefineRTDCRunTimes.py" --tripid 221-21 --locoid 4016 --swversion DE.1.0.8.0 --startMP 204:506 --initTime 2016-12-21T18:52:42 --startdatetime 2016-12-21T19:00:15 --delay 1 --endMP 204:233402 --enddatetime 2016-12-21T19:35:23 --enforcementcount 0 &gt;&gt;C:\Users\stu\Documents\GitHub\eaglep3-reporting\EC\2016-12-21-refined-times.txt</v>
      </c>
      <c r="AI136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{"issue":{"subject":"","project_id":79,"tracker_id":40,"status_id":1,"priority_id":2,"assigned_to_id":23,"start_date":"2016-12-21","description":"","custom_fields":[{"id":1,"name":"Subdivision","value":"EC"},{"id":4,"name":"Milepost","value":"23.3402"},{"id":17,"name":"Train ID","value":"221-21"},{"id":16,"name":"Locomotive ID","value":"4016"},{"id":130,"name":"Impact","value":""},{"id":150,"name":"Time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640</v>
      </c>
      <c r="B137" s="7">
        <v>4015</v>
      </c>
      <c r="C137" s="22" t="s">
        <v>205</v>
      </c>
      <c r="D137" s="22" t="s">
        <v>724</v>
      </c>
      <c r="E137" s="13">
        <v>42725.817442129628</v>
      </c>
      <c r="F137" s="13">
        <v>42725.830914351849</v>
      </c>
      <c r="G137" s="7">
        <v>1</v>
      </c>
      <c r="H137" s="22" t="s">
        <v>725</v>
      </c>
      <c r="I137" s="13">
        <v>42725.858067129629</v>
      </c>
      <c r="J137" s="7">
        <v>0</v>
      </c>
      <c r="K137" s="109" t="str">
        <f t="shared" si="53"/>
        <v>4015/4016</v>
      </c>
      <c r="L137" s="22" t="str">
        <f>VLOOKUP(A137,'Trips&amp;Operators'!$C$1:$G$99999,5,FALSE)</f>
        <v>HILLS DUSTIN</v>
      </c>
      <c r="M137" s="6">
        <f t="shared" si="54"/>
        <v>2.715277778042946E-2</v>
      </c>
      <c r="N137" s="7">
        <f t="shared" si="62"/>
        <v>39.100000003818423</v>
      </c>
      <c r="O137" s="7"/>
      <c r="P137" s="7"/>
      <c r="Q137" s="23"/>
      <c r="R137" s="23"/>
      <c r="S137" s="35">
        <f t="shared" si="63"/>
        <v>1</v>
      </c>
      <c r="T137" s="50" t="str">
        <f t="shared" si="55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18:37:07-700',mode:absolute,to:'2016-12-21 21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7" s="52" t="str">
        <f t="shared" si="56"/>
        <v>N</v>
      </c>
      <c r="X137" s="177">
        <f t="shared" si="66"/>
        <v>1</v>
      </c>
      <c r="Y137" s="67">
        <f t="shared" si="67"/>
        <v>23.307400000000001</v>
      </c>
      <c r="Z137" s="67">
        <f t="shared" si="58"/>
        <v>1.01E-2</v>
      </c>
      <c r="AA137" s="67">
        <f t="shared" si="59"/>
        <v>23.2973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60"/>
        <v>0222-21</v>
      </c>
      <c r="AE137" s="91" t="str">
        <f t="shared" si="45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137" s="88" t="str">
        <f t="shared" si="46"/>
        <v>"C:\Program Files (x86)\AstroGrep\AstroGrep.exe" /spath="%USERPROFILE%\AppData\Local\Temp\OnboardLogs" /stypes="app*4015*20161222*" /stext=" 03:.+((SYSTEM_STATE.+slice.+state.+changed )|(ment ac)|(multiple cpu faults)|(system.+state.+changed )|(\[timeout)|(PRM\|1\|D)|(kpr)|(kdp)|(\|lc)|(penalty))" /e /r /s</v>
      </c>
      <c r="AG137" s="1" t="str">
        <f t="shared" si="61"/>
        <v>EC</v>
      </c>
      <c r="AH137" s="92" t="str">
        <f t="shared" si="48"/>
        <v>"%USERPROFILE%\Documents\GitHub\eaglep3\Utilities\RefineRTDCRunTimes.py" --tripid 222-21 --locoid 4015 --swversion DE.1.0.8.0 --startMP 204:233074 --initTime 2016-12-21T19:37:07 --startdatetime 2016-12-21T19:56:31 --delay 1 --endMP 204:101 --enddatetime 2016-12-21T20:35:37 --enforcementcount 0 &gt;&gt;C:\Users\stu\Documents\GitHub\eaglep3-reporting\EC\2016-12-21-refined-times.txt</v>
      </c>
      <c r="AI137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{"issue":{"subject":"","project_id":79,"tracker_id":40,"status_id":1,"priority_id":2,"assigned_to_id":23,"start_date":"2016-12-21","description":"","custom_fields":[{"id":1,"name":"Subdivision","value":"EC"},{"id":4,"name":"Milepost","value":"0.0101"},{"id":17,"name":"Train ID","value":"222-21"},{"id":16,"name":"Locomotive ID","value":"4015"},{"id":130,"name":"Impact","value":""},{"id":150,"name":"Time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639</v>
      </c>
      <c r="B138" s="7">
        <v>4042</v>
      </c>
      <c r="C138" s="22" t="s">
        <v>205</v>
      </c>
      <c r="D138" s="22" t="s">
        <v>301</v>
      </c>
      <c r="E138" s="13">
        <v>42725.809791666667</v>
      </c>
      <c r="F138" s="13">
        <v>42725.812858796293</v>
      </c>
      <c r="G138" s="7">
        <v>1</v>
      </c>
      <c r="H138" s="22" t="s">
        <v>726</v>
      </c>
      <c r="I138" s="13">
        <v>42725.839675925927</v>
      </c>
      <c r="J138" s="7">
        <v>0</v>
      </c>
      <c r="K138" s="109" t="str">
        <f t="shared" si="53"/>
        <v>4041/4042</v>
      </c>
      <c r="L138" s="22" t="str">
        <f>VLOOKUP(A138,'Trips&amp;Operators'!$C$1:$G$99999,5,FALSE)</f>
        <v>YANG JAN</v>
      </c>
      <c r="M138" s="6">
        <f t="shared" si="54"/>
        <v>2.6817129633855075E-2</v>
      </c>
      <c r="N138" s="7">
        <f t="shared" si="62"/>
        <v>38.616666672751307</v>
      </c>
      <c r="O138" s="7"/>
      <c r="P138" s="7"/>
      <c r="Q138" s="23"/>
      <c r="R138" s="23"/>
      <c r="S138" s="35">
        <f t="shared" si="63"/>
        <v>1</v>
      </c>
      <c r="T138" s="50" t="str">
        <f t="shared" si="55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18:26:06-700',mode:absolute,to:'2016-12-21 21:09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8" s="52" t="str">
        <f t="shared" si="56"/>
        <v>N</v>
      </c>
      <c r="X138" s="177">
        <f t="shared" si="66"/>
        <v>1</v>
      </c>
      <c r="Y138" s="67">
        <f t="shared" si="67"/>
        <v>4.6899999999999997E-2</v>
      </c>
      <c r="Z138" s="67">
        <f t="shared" si="58"/>
        <v>23.332899999999999</v>
      </c>
      <c r="AA138" s="67">
        <f t="shared" si="59"/>
        <v>23.285999999999998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60"/>
        <v>0223-21</v>
      </c>
      <c r="AE138" s="91" t="str">
        <f t="shared" si="45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138" s="88" t="str">
        <f t="shared" si="46"/>
        <v>"C:\Program Files (x86)\AstroGrep\AstroGrep.exe" /spath="%USERPROFILE%\AppData\Local\Temp\OnboardLogs" /stypes="app*4042*20161222*" /stext=" 03:.+((SYSTEM_STATE.+slice.+state.+changed )|(ment ac)|(multiple cpu faults)|(system.+state.+changed )|(\[timeout)|(PRM\|1\|D)|(kpr)|(kdp)|(\|lc)|(penalty))" /e /r /s</v>
      </c>
      <c r="AG138" s="1" t="str">
        <f t="shared" si="61"/>
        <v>EC</v>
      </c>
      <c r="AH138" s="92" t="str">
        <f t="shared" si="48"/>
        <v>"%USERPROFILE%\Documents\GitHub\eaglep3\Utilities\RefineRTDCRunTimes.py" --tripid 223-21 --locoid 4042 --swversion DE.1.0.8.0 --startMP 204:469 --initTime 2016-12-21T19:26:06 --startdatetime 2016-12-21T19:30:31 --delay 1 --endMP 204:233329 --enddatetime 2016-12-21T20:09:08 --enforcementcount 0 &gt;&gt;C:\Users\stu\Documents\GitHub\eaglep3-reporting\EC\2016-12-21-refined-times.txt</v>
      </c>
      <c r="AI138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{"issue":{"subject":"","project_id":79,"tracker_id":40,"status_id":1,"priority_id":2,"assigned_to_id":23,"start_date":"2016-12-21","description":"","custom_fields":[{"id":1,"name":"Subdivision","value":"EC"},{"id":4,"name":"Milepost","value":"23.3329"},{"id":17,"name":"Train ID","value":"223-21"},{"id":16,"name":"Locomotive ID","value":"4042"},{"id":130,"name":"Impact","value":""},{"id":150,"name":"Time of Event (Mountain Time)","value":"20:09:08"},{"id":151,"name":"Denver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450</v>
      </c>
      <c r="B139" s="7">
        <v>4041</v>
      </c>
      <c r="C139" s="22" t="s">
        <v>205</v>
      </c>
      <c r="D139" s="22" t="s">
        <v>395</v>
      </c>
      <c r="E139" s="13">
        <v>42725.847662037035</v>
      </c>
      <c r="F139" s="13">
        <v>42725.851851851854</v>
      </c>
      <c r="G139" s="7">
        <v>1</v>
      </c>
      <c r="H139" s="22" t="s">
        <v>727</v>
      </c>
      <c r="I139" s="13">
        <v>42725.880671296298</v>
      </c>
      <c r="J139" s="7">
        <v>0</v>
      </c>
      <c r="K139" s="109" t="str">
        <f t="shared" si="53"/>
        <v>4041/4042</v>
      </c>
      <c r="L139" s="22" t="str">
        <f>VLOOKUP(A139,'Trips&amp;Operators'!$C$1:$G$99999,5,FALSE)</f>
        <v>YANG JAN</v>
      </c>
      <c r="M139" s="6">
        <f t="shared" si="54"/>
        <v>2.8819444443797693E-2</v>
      </c>
      <c r="N139" s="7">
        <f t="shared" si="62"/>
        <v>41.499999999068677</v>
      </c>
      <c r="O139" s="7"/>
      <c r="P139" s="7"/>
      <c r="Q139" s="23"/>
      <c r="R139" s="23"/>
      <c r="S139" s="35">
        <f t="shared" si="63"/>
        <v>1</v>
      </c>
      <c r="T139" s="50" t="str">
        <f t="shared" si="55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19:20:38-700',mode:absolute,to:'2016-12-21 22:08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9" s="52" t="str">
        <f t="shared" si="56"/>
        <v>N</v>
      </c>
      <c r="X139" s="177">
        <f t="shared" si="66"/>
        <v>1</v>
      </c>
      <c r="Y139" s="67">
        <f t="shared" si="67"/>
        <v>23.3002</v>
      </c>
      <c r="Z139" s="67">
        <f t="shared" si="58"/>
        <v>1.8499999999999999E-2</v>
      </c>
      <c r="AA139" s="67">
        <f t="shared" si="59"/>
        <v>23.281700000000001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60"/>
        <v>0224-21</v>
      </c>
      <c r="AE139" s="91" t="str">
        <f t="shared" si="45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139" s="88" t="str">
        <f t="shared" si="46"/>
        <v>"C:\Program Files (x86)\AstroGrep\AstroGrep.exe" /spath="%USERPROFILE%\AppData\Local\Temp\OnboardLogs" /stypes="app*4041*20161222*" /stext=" 04:.+((SYSTEM_STATE.+slice.+state.+changed )|(ment ac)|(multiple cpu faults)|(system.+state.+changed )|(\[timeout)|(PRM\|1\|D)|(kpr)|(kdp)|(\|lc)|(penalty))" /e /r /s</v>
      </c>
      <c r="AG139" s="1" t="str">
        <f t="shared" si="61"/>
        <v>EC</v>
      </c>
      <c r="AH139" s="92" t="str">
        <f t="shared" si="48"/>
        <v>"%USERPROFILE%\Documents\GitHub\eaglep3\Utilities\RefineRTDCRunTimes.py" --tripid 224-21 --locoid 4041 --swversion DE.1.0.8.0 --startMP 204:233002 --initTime 2016-12-21T20:20:38 --startdatetime 2016-12-21T20:26:40 --delay 1 --endMP 204:185 --enddatetime 2016-12-21T21:08:10 --enforcementcount 0 &gt;&gt;C:\Users\stu\Documents\GitHub\eaglep3-reporting\EC\2016-12-21-refined-times.txt</v>
      </c>
      <c r="AI139" s="119" t="str">
        <f t="shared" si="49"/>
        <v>echo {"issue":{"subject":"","project_id":79,"tracker_id":40,"status_id":1,"priority_id":2,"assigned_to_id":23,"start_date":"2016-12-21","description":"","custom_fields":[{"id":1,"name":"Subdivision","value":"EC"},{"id":4,"name":"Milepost","value":"0.0185"},{"id":17,"name":"Train ID","value":"224-21"},{"id":16,"name":"Locomotive ID","value":"4041"},{"id":130,"name":"Impact","value":""},{"id":150,"name":"Time of Event (Mountain Time)","value":"21:08:10"},{"id":151,"name":"Denver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643</v>
      </c>
      <c r="B140" s="7">
        <v>4027</v>
      </c>
      <c r="C140" s="22" t="s">
        <v>205</v>
      </c>
      <c r="D140" s="22" t="s">
        <v>728</v>
      </c>
      <c r="E140" s="13">
        <v>42725.829837962963</v>
      </c>
      <c r="F140" s="13">
        <v>42725.833657407406</v>
      </c>
      <c r="G140" s="7">
        <v>1</v>
      </c>
      <c r="H140" s="22" t="s">
        <v>673</v>
      </c>
      <c r="I140" s="13">
        <v>42725.858981481484</v>
      </c>
      <c r="J140" s="7">
        <v>0</v>
      </c>
      <c r="K140" s="109" t="str">
        <f t="shared" si="53"/>
        <v>4027/4028</v>
      </c>
      <c r="L140" s="22" t="str">
        <f>VLOOKUP(A140,'Trips&amp;Operators'!$C$1:$G$99999,5,FALSE)</f>
        <v>BROWN JACOB</v>
      </c>
      <c r="M140" s="6">
        <f t="shared" si="54"/>
        <v>2.5324074078525882E-2</v>
      </c>
      <c r="N140" s="7">
        <f t="shared" si="62"/>
        <v>36.46666667307727</v>
      </c>
      <c r="O140" s="7"/>
      <c r="P140" s="7"/>
      <c r="Q140" s="23"/>
      <c r="R140" s="23"/>
      <c r="S140" s="35">
        <f t="shared" si="63"/>
        <v>1</v>
      </c>
      <c r="T140" s="50" t="str">
        <f t="shared" si="55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https://search-rtdc-monitor-bjffxe2xuh6vdkpspy63sjmuny.us-east-1.es.amazonaws.com/_plugin/kibana/#/discover/Steve-Slow-Train-Analysis-(2080s-and-2083s)?_g=(refreshInterval:(display:Off,section:0,value:0),time:(from:'2016-12-21 18:54:58-700',mode:absolute,to:'2016-12-21 21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0" s="52" t="str">
        <f t="shared" si="56"/>
        <v>N</v>
      </c>
      <c r="X140" s="177">
        <f t="shared" si="66"/>
        <v>1</v>
      </c>
      <c r="Y140" s="67">
        <f t="shared" si="67"/>
        <v>4.2599999999999999E-2</v>
      </c>
      <c r="Z140" s="67">
        <f t="shared" si="58"/>
        <v>23.331900000000001</v>
      </c>
      <c r="AA140" s="67">
        <f t="shared" si="59"/>
        <v>23.289300000000001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60"/>
        <v>0225-21</v>
      </c>
      <c r="AE140" s="91" t="str">
        <f t="shared" si="45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140" s="88" t="str">
        <f t="shared" si="46"/>
        <v>"C:\Program Files (x86)\AstroGrep\AstroGrep.exe" /spath="%USERPROFILE%\AppData\Local\Temp\OnboardLogs" /stypes="app*4027*20161222*" /stext=" 03:.+((SYSTEM_STATE.+slice.+state.+changed )|(ment ac)|(multiple cpu faults)|(system.+state.+changed )|(\[timeout)|(PRM\|1\|D)|(kpr)|(kdp)|(\|lc)|(penalty))" /e /r /s</v>
      </c>
      <c r="AG140" s="1" t="str">
        <f t="shared" si="61"/>
        <v>EC</v>
      </c>
      <c r="AH140" s="92" t="str">
        <f t="shared" ref="AH140:AH208" si="6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225-21 --locoid 4027 --swversion DE.1.0.8.0 --startMP 204:426 --initTime 2016-12-21T19:54:58 --startdatetime 2016-12-21T20:00:28 --delay 1 --endMP 204:233319 --enddatetime 2016-12-21T20:36:56 --enforcementcount 0 &gt;&gt;C:\Users\stu\Documents\GitHub\eaglep3-reporting\EC\2016-12-21-refined-times.txt</v>
      </c>
      <c r="AI140" s="119" t="str">
        <f t="shared" ref="AI140:AI208" si="6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{"issue":{"subject":"","project_id":79,"tracker_id":40,"status_id":1,"priority_id":2,"assigned_to_id":23,"start_date":"2016-12-21","description":"","custom_fields":[{"id":1,"name":"Subdivision","value":"EC"},{"id":4,"name":"Milepost","value":"23.3319"},{"id":17,"name":"Train ID","value":"225-21"},{"id":16,"name":"Locomotive ID","value":"4027"},{"id":130,"name":"Impact","value":""},{"id":150,"name":"Time of Event (Mountain Time)","value":"20:36:56"},{"id":151,"name":"Denver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648</v>
      </c>
      <c r="B141" s="7">
        <v>4028</v>
      </c>
      <c r="C141" s="22" t="s">
        <v>205</v>
      </c>
      <c r="D141" s="22" t="s">
        <v>729</v>
      </c>
      <c r="E141" s="13">
        <v>42725.865925925929</v>
      </c>
      <c r="F141" s="13">
        <v>42725.872546296298</v>
      </c>
      <c r="G141" s="7">
        <v>1</v>
      </c>
      <c r="H141" s="22" t="s">
        <v>191</v>
      </c>
      <c r="I141" s="13">
        <v>42725.90079861111</v>
      </c>
      <c r="J141" s="7">
        <v>0</v>
      </c>
      <c r="K141" s="109" t="str">
        <f t="shared" ref="K141:K153" si="70">IF(ISEVEN(B141),(B141-1)&amp;"/"&amp;B141,B141&amp;"/"&amp;(B141+1))</f>
        <v>4027/4028</v>
      </c>
      <c r="L141" s="22" t="str">
        <f>VLOOKUP(A141,'Trips&amp;Operators'!$C$1:$G$99999,5,FALSE)</f>
        <v>BROWN JACOB</v>
      </c>
      <c r="M141" s="6">
        <f t="shared" ref="M141:M153" si="71">I141-F141</f>
        <v>2.8252314812561963E-2</v>
      </c>
      <c r="N141" s="7">
        <f t="shared" si="62"/>
        <v>40.683333330089226</v>
      </c>
      <c r="O141" s="7"/>
      <c r="P141" s="7"/>
      <c r="Q141" s="23"/>
      <c r="R141" s="23"/>
      <c r="S141" s="35">
        <f t="shared" si="63"/>
        <v>1</v>
      </c>
      <c r="T141" s="50" t="str">
        <f t="shared" ref="T141:T153" si="72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73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https://search-rtdc-monitor-bjffxe2xuh6vdkpspy63sjmuny.us-east-1.es.amazonaws.com/_plugin/kibana/#/discover/Steve-Slow-Train-Analysis-(2080s-and-2083s)?_g=(refreshInterval:(display:Off,section:0,value:0),time:(from:'2016-12-21 19:46:56-700',mode:absolute,to:'2016-12-21 22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1" s="52" t="str">
        <f t="shared" ref="W141:W153" si="74">IF(AA141&lt;IF(AG141="EC",23,5.65),"Y","N")</f>
        <v>N</v>
      </c>
      <c r="X141" s="177">
        <f t="shared" si="66"/>
        <v>1</v>
      </c>
      <c r="Y141" s="67">
        <f t="shared" si="67"/>
        <v>23.301100000000002</v>
      </c>
      <c r="Z141" s="67">
        <f t="shared" ref="Z141:Z153" si="75">RIGHT(H141,LEN(H141)-4)/10000</f>
        <v>1.49E-2</v>
      </c>
      <c r="AA141" s="67">
        <f t="shared" ref="AA141:AA172" si="76">ABS(Z141-Y141)</f>
        <v>23.286200000000001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153" si="77">IF(LEN(A141)=6,"0"&amp;A141,A141)</f>
        <v>0226-21</v>
      </c>
      <c r="AE141" s="91" t="str">
        <f t="shared" ref="AE141:AE204" si="7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141" s="88" t="str">
        <f t="shared" ref="AF141:AF204" si="7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/stypes="app*4028*20161222*" /stext=" 04:.+((SYSTEM_STATE.+slice.+state.+changed )|(ment ac)|(multiple cpu faults)|(system.+state.+changed )|(\[timeout)|(PRM\|1\|D)|(kpr)|(kdp)|(\|lc)|(penalty))" /e /r /s</v>
      </c>
      <c r="AG141" s="1" t="str">
        <f t="shared" ref="AG141:AG153" si="80">IFERROR(IF(VALUE(LEFT(AD141,2))&lt;=2,"EC",IF(OR(VALUE(LEFT(AD141,2))=8,VALUE(LEFT(AD141,2))=18),"NW","Other")),"Other")</f>
        <v>EC</v>
      </c>
      <c r="AH141" s="92" t="str">
        <f t="shared" si="68"/>
        <v>"%USERPROFILE%\Documents\GitHub\eaglep3\Utilities\RefineRTDCRunTimes.py" --tripid 226-21 --locoid 4028 --swversion DE.1.0.8.0 --startMP 204:233011 --initTime 2016-12-21T20:46:56 --startdatetime 2016-12-21T20:56:28 --delay 1 --endMP 204:149 --enddatetime 2016-12-21T21:37:09 --enforcementcount 0 &gt;&gt;C:\Users\stu\Documents\GitHub\eaglep3-reporting\EC\2016-12-21-refined-times.txt</v>
      </c>
      <c r="AI141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{"issue":{"subject":"","project_id":79,"tracker_id":40,"status_id":1,"priority_id":2,"assigned_to_id":23,"start_date":"2016-12-21","description":"","custom_fields":[{"id":1,"name":"Subdivision","value":"EC"},{"id":4,"name":"Milepost","value":"0.0149"},{"id":17,"name":"Train ID","value":"226-21"},{"id":16,"name":"Locomotive ID","value":"4028"},{"id":130,"name":"Impact","value":""},{"id":150,"name":"Time of Event (Mountain Time)","value":"21:37:09"},{"id":151,"name":"Denver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645</v>
      </c>
      <c r="B142" s="7">
        <v>4003</v>
      </c>
      <c r="C142" s="22" t="s">
        <v>205</v>
      </c>
      <c r="D142" s="22" t="s">
        <v>406</v>
      </c>
      <c r="E142" s="13">
        <v>42725.849768518521</v>
      </c>
      <c r="F142" s="13">
        <v>42725.854305555556</v>
      </c>
      <c r="G142" s="7">
        <v>1</v>
      </c>
      <c r="H142" s="22" t="s">
        <v>356</v>
      </c>
      <c r="I142" s="13">
        <v>42725.880925925929</v>
      </c>
      <c r="J142" s="7">
        <v>0</v>
      </c>
      <c r="K142" s="109" t="str">
        <f t="shared" si="70"/>
        <v>4003/4004</v>
      </c>
      <c r="L142" s="22" t="str">
        <f>VLOOKUP(A142,'Trips&amp;Operators'!$C$1:$G$99999,5,FALSE)</f>
        <v>NELSON ARIANE</v>
      </c>
      <c r="M142" s="6">
        <f t="shared" si="71"/>
        <v>2.662037037225673E-2</v>
      </c>
      <c r="N142" s="7">
        <f t="shared" si="62"/>
        <v>38.333333336049691</v>
      </c>
      <c r="O142" s="7"/>
      <c r="P142" s="7"/>
      <c r="Q142" s="23"/>
      <c r="R142" s="23"/>
      <c r="S142" s="35">
        <f t="shared" si="63"/>
        <v>1</v>
      </c>
      <c r="T142" s="50" t="str">
        <f t="shared" si="72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19:23:40-700',mode:absolute,to:'2016-12-21 22:08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2" s="52" t="str">
        <f t="shared" si="74"/>
        <v>N</v>
      </c>
      <c r="X142" s="177">
        <f t="shared" si="66"/>
        <v>1</v>
      </c>
      <c r="Y142" s="67">
        <f t="shared" si="67"/>
        <v>4.9099999999999998E-2</v>
      </c>
      <c r="Z142" s="67">
        <f t="shared" si="75"/>
        <v>23.328499999999998</v>
      </c>
      <c r="AA142" s="67">
        <f t="shared" si="76"/>
        <v>23.279399999999999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77"/>
        <v>0227-21</v>
      </c>
      <c r="AE142" s="91" t="str">
        <f t="shared" si="78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142" s="88" t="str">
        <f t="shared" si="79"/>
        <v>"C:\Program Files (x86)\AstroGrep\AstroGrep.exe" /spath="%USERPROFILE%\AppData\Local\Temp\OnboardLogs" /stypes="app*4003*20161222*" /stext=" 04:.+((SYSTEM_STATE.+slice.+state.+changed )|(ment ac)|(multiple cpu faults)|(system.+state.+changed )|(\[timeout)|(PRM\|1\|D)|(kpr)|(kdp)|(\|lc)|(penalty))" /e /r /s</v>
      </c>
      <c r="AG142" s="1" t="str">
        <f t="shared" si="80"/>
        <v>EC</v>
      </c>
      <c r="AH142" s="92" t="str">
        <f t="shared" si="68"/>
        <v>"%USERPROFILE%\Documents\GitHub\eaglep3\Utilities\RefineRTDCRunTimes.py" --tripid 227-21 --locoid 4003 --swversion DE.1.0.8.0 --startMP 204:491 --initTime 2016-12-21T20:23:40 --startdatetime 2016-12-21T20:30:12 --delay 1 --endMP 204:233285 --enddatetime 2016-12-21T21:08:32 --enforcementcount 0 &gt;&gt;C:\Users\stu\Documents\GitHub\eaglep3-reporting\EC\2016-12-21-refined-times.txt</v>
      </c>
      <c r="AI142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{"issue":{"subject":"","project_id":79,"tracker_id":40,"status_id":1,"priority_id":2,"assigned_to_id":23,"start_date":"2016-12-21","description":"","custom_fields":[{"id":1,"name":"Subdivision","value":"EC"},{"id":4,"name":"Milepost","value":"23.3285"},{"id":17,"name":"Train ID","value":"227-21"},{"id":16,"name":"Locomotive ID","value":"4003"},{"id":130,"name":"Impact","value":""},{"id":150,"name":"Time of Event (Mountain Time)","value":"21:08:32"},{"id":151,"name":"Denver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452</v>
      </c>
      <c r="B143" s="7">
        <v>4004</v>
      </c>
      <c r="C143" s="22" t="s">
        <v>205</v>
      </c>
      <c r="D143" s="22" t="s">
        <v>398</v>
      </c>
      <c r="E143" s="13">
        <v>42725.890439814815</v>
      </c>
      <c r="F143" s="13">
        <v>42725.893506944441</v>
      </c>
      <c r="G143" s="7">
        <v>1</v>
      </c>
      <c r="H143" s="22" t="s">
        <v>394</v>
      </c>
      <c r="I143" s="13">
        <v>42725.923263888886</v>
      </c>
      <c r="J143" s="7">
        <v>0</v>
      </c>
      <c r="K143" s="109" t="str">
        <f t="shared" si="70"/>
        <v>4003/4004</v>
      </c>
      <c r="L143" s="22" t="str">
        <f>VLOOKUP(A143,'Trips&amp;Operators'!$C$1:$G$99999,5,FALSE)</f>
        <v>NELSON ARIANE</v>
      </c>
      <c r="M143" s="6">
        <f t="shared" si="71"/>
        <v>2.9756944444670808E-2</v>
      </c>
      <c r="N143" s="7">
        <f t="shared" si="62"/>
        <v>42.850000000325963</v>
      </c>
      <c r="O143" s="7"/>
      <c r="P143" s="7"/>
      <c r="Q143" s="23"/>
      <c r="R143" s="23"/>
      <c r="S143" s="35">
        <f t="shared" si="63"/>
        <v>1</v>
      </c>
      <c r="T143" s="50" t="str">
        <f t="shared" si="72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20:22:14-700',mode:absolute,to:'2016-12-21 23:09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3" s="52" t="str">
        <f t="shared" si="74"/>
        <v>N</v>
      </c>
      <c r="X143" s="177">
        <f t="shared" ref="X143:X147" si="81">VALUE(LEFT(AD143,4))-VALUE(LEFT(AD142,4))</f>
        <v>1</v>
      </c>
      <c r="Y143" s="67">
        <f t="shared" si="67"/>
        <v>23.297899999999998</v>
      </c>
      <c r="Z143" s="67">
        <f t="shared" si="75"/>
        <v>1.67E-2</v>
      </c>
      <c r="AA143" s="67">
        <f t="shared" si="76"/>
        <v>23.281199999999998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77"/>
        <v>0228-21</v>
      </c>
      <c r="AE143" s="91" t="str">
        <f t="shared" si="78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143" s="88" t="str">
        <f t="shared" si="79"/>
        <v>"C:\Program Files (x86)\AstroGrep\AstroGrep.exe" /spath="%USERPROFILE%\AppData\Local\Temp\OnboardLogs" /stypes="app*4004*20161222*" /stext=" 05:.+((SYSTEM_STATE.+slice.+state.+changed )|(ment ac)|(multiple cpu faults)|(system.+state.+changed )|(\[timeout)|(PRM\|1\|D)|(kpr)|(kdp)|(\|lc)|(penalty))" /e /r /s</v>
      </c>
      <c r="AG143" s="1" t="str">
        <f t="shared" si="80"/>
        <v>EC</v>
      </c>
      <c r="AH143" s="92" t="str">
        <f t="shared" si="68"/>
        <v>"%USERPROFILE%\Documents\GitHub\eaglep3\Utilities\RefineRTDCRunTimes.py" --tripid 228-21 --locoid 4004 --swversion DE.1.0.8.0 --startMP 204:232979 --initTime 2016-12-21T21:22:14 --startdatetime 2016-12-21T21:26:39 --delay 1 --endMP 204:167 --enddatetime 2016-12-21T22:09:30 --enforcementcount 0 &gt;&gt;C:\Users\stu\Documents\GitHub\eaglep3-reporting\EC\2016-12-21-refined-times.txt</v>
      </c>
      <c r="AI143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{"issue":{"subject":"","project_id":79,"tracker_id":40,"status_id":1,"priority_id":2,"assigned_to_id":23,"start_date":"2016-12-21","description":"","custom_fields":[{"id":1,"name":"Subdivision","value":"EC"},{"id":4,"name":"Milepost","value":"0.0167"},{"id":17,"name":"Train ID","value":"228-21"},{"id":16,"name":"Locomotive ID","value":"4004"},{"id":130,"name":"Impact","value":""},{"id":150,"name":"Time of Event (Mountain Time)","value":"22:09:30"},{"id":151,"name":"Denver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646</v>
      </c>
      <c r="B144" s="7">
        <v>4016</v>
      </c>
      <c r="C144" s="22" t="s">
        <v>205</v>
      </c>
      <c r="D144" s="22" t="s">
        <v>730</v>
      </c>
      <c r="E144" s="13">
        <v>42725.861967592595</v>
      </c>
      <c r="F144" s="13">
        <v>42725.8753125</v>
      </c>
      <c r="G144" s="7">
        <v>1</v>
      </c>
      <c r="H144" s="22" t="s">
        <v>731</v>
      </c>
      <c r="I144" s="13">
        <v>42725.899629629632</v>
      </c>
      <c r="J144" s="7">
        <v>0</v>
      </c>
      <c r="K144" s="109" t="str">
        <f t="shared" si="70"/>
        <v>4015/4016</v>
      </c>
      <c r="L144" s="22" t="str">
        <f>VLOOKUP(A144,'Trips&amp;Operators'!$C$1:$G$99999,5,FALSE)</f>
        <v>HILLS DUSTIN</v>
      </c>
      <c r="M144" s="6">
        <f t="shared" si="71"/>
        <v>2.4317129631526768E-2</v>
      </c>
      <c r="N144" s="7">
        <f t="shared" si="62"/>
        <v>35.016666669398546</v>
      </c>
      <c r="O144" s="7"/>
      <c r="P144" s="7"/>
      <c r="Q144" s="23"/>
      <c r="R144" s="23"/>
      <c r="S144" s="35">
        <f t="shared" si="63"/>
        <v>1</v>
      </c>
      <c r="T144" s="50" t="str">
        <f t="shared" si="72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19:41:14-700',mode:absolute,to:'2016-12-21 22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4" s="52" t="str">
        <f t="shared" si="74"/>
        <v>N</v>
      </c>
      <c r="X144" s="177">
        <f t="shared" si="81"/>
        <v>1</v>
      </c>
      <c r="Y144" s="67">
        <f t="shared" si="67"/>
        <v>4.2000000000000003E-2</v>
      </c>
      <c r="Z144" s="67">
        <f t="shared" si="75"/>
        <v>23.337</v>
      </c>
      <c r="AA144" s="67">
        <f t="shared" si="76"/>
        <v>23.294999999999998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77"/>
        <v>0229-21</v>
      </c>
      <c r="AE144" s="91" t="str">
        <f t="shared" si="78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144" s="88" t="str">
        <f t="shared" si="79"/>
        <v>"C:\Program Files (x86)\AstroGrep\AstroGrep.exe" /spath="%USERPROFILE%\AppData\Local\Temp\OnboardLogs" /stypes="app*4016*20161222*" /stext=" 04:.+((SYSTEM_STATE.+slice.+state.+changed )|(ment ac)|(multiple cpu faults)|(system.+state.+changed )|(\[timeout)|(PRM\|1\|D)|(kpr)|(kdp)|(\|lc)|(penalty))" /e /r /s</v>
      </c>
      <c r="AG144" s="1" t="str">
        <f t="shared" si="80"/>
        <v>EC</v>
      </c>
      <c r="AH144" s="92" t="str">
        <f t="shared" si="68"/>
        <v>"%USERPROFILE%\Documents\GitHub\eaglep3\Utilities\RefineRTDCRunTimes.py" --tripid 229-21 --locoid 4016 --swversion DE.1.0.8.0 --startMP 204:420 --initTime 2016-12-21T20:41:14 --startdatetime 2016-12-21T21:00:27 --delay 1 --endMP 204:233370 --enddatetime 2016-12-21T21:35:28 --enforcementcount 0 &gt;&gt;C:\Users\stu\Documents\GitHub\eaglep3-reporting\EC\2016-12-21-refined-times.txt</v>
      </c>
      <c r="AI144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{"issue":{"subject":"","project_id":79,"tracker_id":40,"status_id":1,"priority_id":2,"assigned_to_id":23,"start_date":"2016-12-21","description":"","custom_fields":[{"id":1,"name":"Subdivision","value":"EC"},{"id":4,"name":"Milepost","value":"23.337"},{"id":17,"name":"Train ID","value":"229-21"},{"id":16,"name":"Locomotive ID","value":"4016"},{"id":130,"name":"Impact","value":""},{"id":150,"name":"Time of Event (Mountain Time)","value":"21:35:28"},{"id":151,"name":"Denver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651</v>
      </c>
      <c r="B145" s="7">
        <v>4015</v>
      </c>
      <c r="C145" s="22" t="s">
        <v>205</v>
      </c>
      <c r="D145" s="22" t="s">
        <v>732</v>
      </c>
      <c r="E145" s="13">
        <v>42725.90184027778</v>
      </c>
      <c r="F145" s="13">
        <v>42725.914120370369</v>
      </c>
      <c r="G145" s="7">
        <v>1</v>
      </c>
      <c r="H145" s="22" t="s">
        <v>733</v>
      </c>
      <c r="I145" s="13">
        <v>42725.941192129627</v>
      </c>
      <c r="J145" s="7">
        <v>0</v>
      </c>
      <c r="K145" s="109" t="str">
        <f t="shared" si="70"/>
        <v>4015/4016</v>
      </c>
      <c r="L145" s="22" t="str">
        <f>VLOOKUP(A145,'Trips&amp;Operators'!$C$1:$G$99999,5,FALSE)</f>
        <v>HILLS DUSTIN</v>
      </c>
      <c r="M145" s="6">
        <f t="shared" si="71"/>
        <v>2.7071759257523809E-2</v>
      </c>
      <c r="N145" s="7">
        <f t="shared" si="62"/>
        <v>38.983333330834284</v>
      </c>
      <c r="O145" s="7"/>
      <c r="P145" s="7"/>
      <c r="Q145" s="23"/>
      <c r="R145" s="23"/>
      <c r="S145" s="35">
        <f t="shared" si="63"/>
        <v>1</v>
      </c>
      <c r="T145" s="50" t="str">
        <f t="shared" si="72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20:38:39-700',mode:absolute,to:'2016-12-21 23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5" s="52" t="str">
        <f t="shared" si="74"/>
        <v>N</v>
      </c>
      <c r="X145" s="177">
        <f t="shared" si="81"/>
        <v>1</v>
      </c>
      <c r="Y145" s="67">
        <f t="shared" si="67"/>
        <v>23.3047</v>
      </c>
      <c r="Z145" s="67">
        <f t="shared" si="75"/>
        <v>9.5999999999999992E-3</v>
      </c>
      <c r="AA145" s="67">
        <f t="shared" si="76"/>
        <v>23.295100000000001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77"/>
        <v>0230-21</v>
      </c>
      <c r="AE145" s="91" t="str">
        <f t="shared" si="78"/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AF145" s="88" t="str">
        <f t="shared" si="79"/>
        <v>"C:\Program Files (x86)\AstroGrep\AstroGrep.exe" /spath="%USERPROFILE%\AppData\Local\Temp\OnboardLogs" /stypes="app*4015*20161222*" /stext=" 05:.+((SYSTEM_STATE.+slice.+state.+changed )|(ment ac)|(multiple cpu faults)|(system.+state.+changed )|(\[timeout)|(PRM\|1\|D)|(kpr)|(kdp)|(\|lc)|(penalty))" /e /r /s</v>
      </c>
      <c r="AG145" s="1" t="str">
        <f t="shared" si="80"/>
        <v>EC</v>
      </c>
      <c r="AH145" s="92" t="str">
        <f t="shared" si="68"/>
        <v>"%USERPROFILE%\Documents\GitHub\eaglep3\Utilities\RefineRTDCRunTimes.py" --tripid 230-21 --locoid 4015 --swversion DE.1.0.8.0 --startMP 204:233047 --initTime 2016-12-21T21:38:39 --startdatetime 2016-12-21T21:56:20 --delay 1 --endMP 204:96 --enddatetime 2016-12-21T22:35:19 --enforcementcount 0 &gt;&gt;C:\Users\stu\Documents\GitHub\eaglep3-reporting\EC\2016-12-21-refined-times.txt</v>
      </c>
      <c r="AI145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{"issue":{"subject":"","project_id":79,"tracker_id":40,"status_id":1,"priority_id":2,"assigned_to_id":23,"start_date":"2016-12-21","description":"","custom_fields":[{"id":1,"name":"Subdivision","value":"EC"},{"id":4,"name":"Milepost","value":"0.0096"},{"id":17,"name":"Train ID","value":"230-21"},{"id":16,"name":"Locomotive ID","value":"4015"},{"id":130,"name":"Impact","value":""},{"id":150,"name":"Time of Event (Mountain Time)","value":"22:35:19"},{"id":151,"name":"Denver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650</v>
      </c>
      <c r="B146" s="7">
        <v>4042</v>
      </c>
      <c r="C146" s="22" t="s">
        <v>205</v>
      </c>
      <c r="D146" s="22" t="s">
        <v>280</v>
      </c>
      <c r="E146" s="13">
        <v>42725.889432870368</v>
      </c>
      <c r="F146" s="13">
        <v>42725.896203703705</v>
      </c>
      <c r="G146" s="7">
        <v>1</v>
      </c>
      <c r="H146" s="22" t="s">
        <v>381</v>
      </c>
      <c r="I146" s="13">
        <v>42725.922060185185</v>
      </c>
      <c r="J146" s="7">
        <v>0</v>
      </c>
      <c r="K146" s="109" t="str">
        <f t="shared" si="70"/>
        <v>4041/4042</v>
      </c>
      <c r="L146" s="22" t="str">
        <f>VLOOKUP(A146,'Trips&amp;Operators'!$C$1:$G$99999,5,FALSE)</f>
        <v>YANG JAN</v>
      </c>
      <c r="M146" s="6">
        <f t="shared" si="71"/>
        <v>2.5856481479422655E-2</v>
      </c>
      <c r="N146" s="7">
        <f t="shared" si="62"/>
        <v>37.233333330368623</v>
      </c>
      <c r="O146" s="7"/>
      <c r="P146" s="7"/>
      <c r="Q146" s="23"/>
      <c r="R146" s="23"/>
      <c r="S146" s="35">
        <f t="shared" si="63"/>
        <v>1</v>
      </c>
      <c r="T146" s="50" t="str">
        <f t="shared" si="72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20:20:47-700',mode:absolute,to:'2016-12-21 23:07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6" s="52" t="str">
        <f t="shared" si="74"/>
        <v>N</v>
      </c>
      <c r="X146" s="177">
        <f t="shared" si="81"/>
        <v>1</v>
      </c>
      <c r="Y146" s="67">
        <f t="shared" si="67"/>
        <v>4.7699999999999999E-2</v>
      </c>
      <c r="Z146" s="67">
        <f t="shared" si="75"/>
        <v>23.3293</v>
      </c>
      <c r="AA146" s="67">
        <f t="shared" si="76"/>
        <v>23.281600000000001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77"/>
        <v>0231-21</v>
      </c>
      <c r="AE146" s="91" t="str">
        <f t="shared" si="78"/>
        <v>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 &amp; 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</v>
      </c>
      <c r="AF146" s="88" t="str">
        <f t="shared" si="79"/>
        <v>"C:\Program Files (x86)\AstroGrep\AstroGrep.exe" /spath="%USERPROFILE%\AppData\Local\Temp\OnboardLogs" /stypes="app*4042*20161222*" /stext=" 05:.+((SYSTEM_STATE.+slice.+state.+changed )|(ment ac)|(multiple cpu faults)|(system.+state.+changed )|(\[timeout)|(PRM\|1\|D)|(kpr)|(kdp)|(\|lc)|(penalty))" /e /r /s</v>
      </c>
      <c r="AG146" s="1" t="str">
        <f t="shared" si="80"/>
        <v>EC</v>
      </c>
      <c r="AH146" s="92" t="str">
        <f t="shared" si="68"/>
        <v>"%USERPROFILE%\Documents\GitHub\eaglep3\Utilities\RefineRTDCRunTimes.py" --tripid 231-21 --locoid 4042 --swversion DE.1.0.8.0 --startMP 204:477 --initTime 2016-12-21T21:20:47 --startdatetime 2016-12-21T21:30:32 --delay 1 --endMP 204:233293 --enddatetime 2016-12-21T22:07:46 --enforcementcount 0 &gt;&gt;C:\Users\stu\Documents\GitHub\eaglep3-reporting\EC\2016-12-21-refined-times.txt</v>
      </c>
      <c r="AI146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{"issue":{"subject":"","project_id":79,"tracker_id":40,"status_id":1,"priority_id":2,"assigned_to_id":23,"start_date":"2016-12-21","description":"","custom_fields":[{"id":1,"name":"Subdivision","value":"EC"},{"id":4,"name":"Milepost","value":"23.3293"},{"id":17,"name":"Train ID","value":"231-21"},{"id":16,"name":"Locomotive ID","value":"4042"},{"id":130,"name":"Impact","value":""},{"id":150,"name":"Time of Event (Mountain Time)","value":"22:07:46"},{"id":151,"name":"Denver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652</v>
      </c>
      <c r="B147" s="7">
        <v>4041</v>
      </c>
      <c r="C147" s="22" t="s">
        <v>205</v>
      </c>
      <c r="D147" s="22" t="s">
        <v>271</v>
      </c>
      <c r="E147" s="13">
        <v>42725.927199074074</v>
      </c>
      <c r="F147" s="13">
        <v>42725.935046296298</v>
      </c>
      <c r="G147" s="7">
        <v>1</v>
      </c>
      <c r="H147" s="22" t="s">
        <v>734</v>
      </c>
      <c r="I147" s="13">
        <v>42725.966921296298</v>
      </c>
      <c r="J147" s="7">
        <v>0</v>
      </c>
      <c r="K147" s="109" t="str">
        <f t="shared" si="70"/>
        <v>4041/4042</v>
      </c>
      <c r="L147" s="22" t="str">
        <f>VLOOKUP(A147,'Trips&amp;Operators'!$C$1:$G$99999,5,FALSE)</f>
        <v>YANG JAN</v>
      </c>
      <c r="M147" s="6">
        <f t="shared" si="71"/>
        <v>3.1875000000582077E-2</v>
      </c>
      <c r="N147" s="7">
        <f t="shared" si="62"/>
        <v>45.90000000083819</v>
      </c>
      <c r="O147" s="7"/>
      <c r="P147" s="7"/>
      <c r="Q147" s="23"/>
      <c r="R147" s="23"/>
      <c r="S147" s="35">
        <f t="shared" si="63"/>
        <v>1</v>
      </c>
      <c r="T147" s="50" t="str">
        <f t="shared" si="72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21:15:10-700',mode:absolute,to:'2016-12-22 00:12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7" s="52" t="str">
        <f t="shared" si="74"/>
        <v>N</v>
      </c>
      <c r="X147" s="177">
        <f t="shared" si="81"/>
        <v>1</v>
      </c>
      <c r="Y147" s="67">
        <f t="shared" si="67"/>
        <v>23.299299999999999</v>
      </c>
      <c r="Z147" s="67">
        <f t="shared" si="75"/>
        <v>3.44E-2</v>
      </c>
      <c r="AA147" s="67">
        <f t="shared" si="76"/>
        <v>23.264899999999997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77"/>
        <v>0232-21</v>
      </c>
      <c r="AE147" s="91" t="str">
        <f t="shared" si="78"/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AF147" s="88" t="str">
        <f t="shared" si="79"/>
        <v>"C:\Program Files (x86)\AstroGrep\AstroGrep.exe" /spath="%USERPROFILE%\AppData\Local\Temp\OnboardLogs" /stypes="app*4041*20161222*" /stext=" 06:.+((SYSTEM_STATE.+slice.+state.+changed )|(ment ac)|(multiple cpu faults)|(system.+state.+changed )|(\[timeout)|(PRM\|1\|D)|(kpr)|(kdp)|(\|lc)|(penalty))" /e /r /s</v>
      </c>
      <c r="AG147" s="1" t="str">
        <f t="shared" si="80"/>
        <v>EC</v>
      </c>
      <c r="AH147" s="92" t="str">
        <f t="shared" si="68"/>
        <v>"%USERPROFILE%\Documents\GitHub\eaglep3\Utilities\RefineRTDCRunTimes.py" --tripid 232-21 --locoid 4041 --swversion DE.1.0.8.0 --startMP 204:232993 --initTime 2016-12-21T22:15:10 --startdatetime 2016-12-21T22:26:28 --delay 1 --endMP 204:344 --enddatetime 2016-12-21T23:12:22 --enforcementcount 0 &gt;&gt;C:\Users\stu\Documents\GitHub\eaglep3-reporting\EC\2016-12-21-refined-times.txt</v>
      </c>
      <c r="AI147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{"issue":{"subject":"","project_id":79,"tracker_id":40,"status_id":1,"priority_id":2,"assigned_to_id":23,"start_date":"2016-12-21","description":"","custom_fields":[{"id":1,"name":"Subdivision","value":"EC"},{"id":4,"name":"Milepost","value":"0.0344"},{"id":17,"name":"Train ID","value":"232-21"},{"id":16,"name":"Locomotive ID","value":"4041"},{"id":130,"name":"Impact","value":""},{"id":150,"name":"Time of Event (Mountain Time)","value":"23:12:22"},{"id":151,"name":"Denver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453</v>
      </c>
      <c r="B148" s="7">
        <v>4027</v>
      </c>
      <c r="C148" s="22" t="s">
        <v>205</v>
      </c>
      <c r="D148" s="22" t="s">
        <v>735</v>
      </c>
      <c r="E148" s="13">
        <v>42725.926122685189</v>
      </c>
      <c r="F148" s="13">
        <v>42725.926782407405</v>
      </c>
      <c r="G148" s="7">
        <v>0</v>
      </c>
      <c r="H148" s="22" t="s">
        <v>379</v>
      </c>
      <c r="I148" s="13">
        <v>42725.946226851855</v>
      </c>
      <c r="J148" s="7">
        <v>1</v>
      </c>
      <c r="K148" s="109" t="str">
        <f t="shared" si="70"/>
        <v>4027/4028</v>
      </c>
      <c r="L148" s="22" t="str">
        <f>VLOOKUP(A148,'Trips&amp;Operators'!$C$1:$G$99999,5,FALSE)</f>
        <v>BROWN JACOB</v>
      </c>
      <c r="M148" s="6">
        <f t="shared" si="71"/>
        <v>1.9444444449618459E-2</v>
      </c>
      <c r="N148" s="7"/>
      <c r="O148" s="7"/>
      <c r="P148" s="7">
        <f>24*60*SUM($M148:$M149)</f>
        <v>31.066666678525507</v>
      </c>
      <c r="Q148" s="23"/>
      <c r="R148" s="23" t="s">
        <v>847</v>
      </c>
      <c r="S148" s="35">
        <f>SUM(U148:U149)/IF(AG148="EC",12,1)</f>
        <v>0.75</v>
      </c>
      <c r="T148" s="50" t="str">
        <f t="shared" si="72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9</v>
      </c>
      <c r="V14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21:13:37-700',mode:absolute,to:'2016-12-21 23:42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8" s="52" t="str">
        <f t="shared" si="74"/>
        <v>Y</v>
      </c>
      <c r="X148" s="177">
        <f t="shared" ref="X148:X153" si="82">VALUE(LEFT(AD148,4))-VALUE(LEFT(AD147,4))</f>
        <v>1</v>
      </c>
      <c r="Y148" s="67">
        <f t="shared" si="67"/>
        <v>3.7187999999999999</v>
      </c>
      <c r="Z148" s="67">
        <f t="shared" si="75"/>
        <v>23.331199999999999</v>
      </c>
      <c r="AA148" s="67">
        <f t="shared" si="76"/>
        <v>19.612400000000001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77"/>
        <v>0233-21</v>
      </c>
      <c r="AE148" s="91" t="str">
        <f t="shared" si="78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148" s="88" t="str">
        <f t="shared" si="79"/>
        <v>"C:\Program Files (x86)\AstroGrep\AstroGrep.exe" /spath="%USERPROFILE%\AppData\Local\Temp\OnboardLogs" /stypes="app*4027*20161222*" /stext=" 05:.+((SYSTEM_STATE.+slice.+state.+changed )|(ment ac)|(multiple cpu faults)|(system.+state.+changed )|(\[timeout)|(PRM\|1\|D)|(kpr)|(kdp)|(\|lc)|(penalty))" /e /r /s</v>
      </c>
      <c r="AG148" s="1" t="str">
        <f t="shared" si="80"/>
        <v>EC</v>
      </c>
      <c r="AH148" s="92" t="str">
        <f t="shared" si="68"/>
        <v>"%USERPROFILE%\Documents\GitHub\eaglep3\Utilities\RefineRTDCRunTimes.py" --tripid 233-21 --locoid 4027 --swversion DE.1.0.8.0 --startMP 204:37188 --initTime 2016-12-21T22:13:37 --startdatetime 2016-12-21T22:14:34 --delay 0 --endMP 204:233312 --enddatetime 2016-12-21T22:42:34 --enforcementcount 1 &gt;&gt;C:\Users\stu\Documents\GitHub\eaglep3-reporting\EC\2016-12-21-refined-times.txt</v>
      </c>
      <c r="AI148" s="119" t="str">
        <f t="shared" si="69"/>
        <v>echo {"issue":{"subject":"DUS SW 9 reverse (train was on Main 1)","project_id":79,"tracker_id":40,"status_id":1,"priority_id":2,"assigned_to_id":23,"start_date":"2016-12-21","description":"","custom_fields":[{"id":1,"name":"Subdivision","value":"EC"},{"id":4,"name":"Milepost","value":"23.3312"},{"id":17,"name":"Train ID","value":"233-21"},{"id":16,"name":"Locomotive ID","value":"4027"},{"id":130,"name":"Impact","value":""},{"id":150,"name":"Time of Event (Mountain Time)","value":"22:42:34"},{"id":151,"name":"Denver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453</v>
      </c>
      <c r="B149" s="7">
        <v>4027</v>
      </c>
      <c r="C149" s="22" t="s">
        <v>205</v>
      </c>
      <c r="D149" s="22" t="s">
        <v>347</v>
      </c>
      <c r="E149" s="13">
        <v>42725.913969907408</v>
      </c>
      <c r="F149" s="13">
        <v>42725.914988425924</v>
      </c>
      <c r="G149" s="7">
        <v>1</v>
      </c>
      <c r="H149" s="22" t="s">
        <v>736</v>
      </c>
      <c r="I149" s="13">
        <v>42725.917118055557</v>
      </c>
      <c r="J149" s="7">
        <v>0</v>
      </c>
      <c r="K149" s="109" t="str">
        <f t="shared" si="70"/>
        <v>4027/4028</v>
      </c>
      <c r="L149" s="22" t="str">
        <f>VLOOKUP(A149,'Trips&amp;Operators'!$C$1:$G$99999,5,FALSE)</f>
        <v>BROWN JACOB</v>
      </c>
      <c r="M149" s="6">
        <f t="shared" si="71"/>
        <v>2.1296296326909214E-3</v>
      </c>
      <c r="N149" s="7"/>
      <c r="O149" s="7"/>
      <c r="P149" s="7"/>
      <c r="Q149" s="23"/>
      <c r="R149" s="23"/>
      <c r="S149" s="35"/>
      <c r="T149" s="50" t="str">
        <f t="shared" si="72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0</v>
      </c>
      <c r="V14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20:56:07-700',mode:absolute,to:'2016-12-21 23:00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9" s="52" t="str">
        <f t="shared" si="74"/>
        <v>Y</v>
      </c>
      <c r="X149" s="177">
        <f t="shared" si="82"/>
        <v>0</v>
      </c>
      <c r="Y149" s="67">
        <f t="shared" si="67"/>
        <v>4.3299999999999998E-2</v>
      </c>
      <c r="Z149" s="67">
        <f t="shared" si="75"/>
        <v>0.1023</v>
      </c>
      <c r="AA149" s="67">
        <f t="shared" si="76"/>
        <v>5.9000000000000004E-2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77"/>
        <v>0233-21</v>
      </c>
      <c r="AE149" s="91" t="str">
        <f t="shared" si="78"/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AF149" s="88" t="str">
        <f t="shared" si="79"/>
        <v>"C:\Program Files (x86)\AstroGrep\AstroGrep.exe" /spath="%USERPROFILE%\AppData\Local\Temp\OnboardLogs" /stypes="app*4027*20161222*" /stext=" 05:.+((SYSTEM_STATE.+slice.+state.+changed )|(ment ac)|(multiple cpu faults)|(system.+state.+changed )|(\[timeout)|(PRM\|1\|D)|(kpr)|(kdp)|(\|lc)|(penalty))" /e /r /s</v>
      </c>
      <c r="AG149" s="1" t="str">
        <f t="shared" si="80"/>
        <v>EC</v>
      </c>
      <c r="AH149" s="92" t="str">
        <f t="shared" si="68"/>
        <v>"%USERPROFILE%\Documents\GitHub\eaglep3\Utilities\RefineRTDCRunTimes.py" --tripid 233-21 --locoid 4027 --swversion DE.1.0.8.0 --startMP 204:433 --initTime 2016-12-21T21:56:07 --startdatetime 2016-12-21T21:57:35 --delay 1 --endMP 204:1023 --enddatetime 2016-12-21T22:00:39 --enforcementcount 0 &gt;&gt;C:\Users\stu\Documents\GitHub\eaglep3-reporting\EC\2016-12-21-refined-times.txt</v>
      </c>
      <c r="AI149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{"issue":{"subject":"","project_id":79,"tracker_id":40,"status_id":1,"priority_id":2,"assigned_to_id":23,"start_date":"2016-12-21","description":"","custom_fields":[{"id":1,"name":"Subdivision","value":"EC"},{"id":4,"name":"Milepost","value":"0.1023"},{"id":17,"name":"Train ID","value":"233-21"},{"id":16,"name":"Locomotive ID","value":"4027"},{"id":130,"name":"Impact","value":""},{"id":150,"name":"Time of Event (Mountain Time)","value":"22:00:39"},{"id":151,"name":"Denver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455</v>
      </c>
      <c r="B150" s="7">
        <v>4028</v>
      </c>
      <c r="C150" s="22" t="s">
        <v>205</v>
      </c>
      <c r="D150" s="22" t="s">
        <v>688</v>
      </c>
      <c r="E150" s="13">
        <v>42725.950671296298</v>
      </c>
      <c r="F150" s="13">
        <v>42725.955729166664</v>
      </c>
      <c r="G150" s="7">
        <v>1</v>
      </c>
      <c r="H150" s="22" t="s">
        <v>737</v>
      </c>
      <c r="I150" s="13">
        <v>42725.981608796297</v>
      </c>
      <c r="J150" s="7">
        <v>0</v>
      </c>
      <c r="K150" s="109" t="str">
        <f t="shared" si="70"/>
        <v>4027/4028</v>
      </c>
      <c r="L150" s="22" t="str">
        <f>VLOOKUP(A150,'Trips&amp;Operators'!$C$1:$G$99999,5,FALSE)</f>
        <v>BROWN JACOB</v>
      </c>
      <c r="M150" s="6">
        <f t="shared" si="71"/>
        <v>2.587962963298196E-2</v>
      </c>
      <c r="N150" s="7"/>
      <c r="O150" s="7"/>
      <c r="P150" s="7">
        <f>24*60*SUM($M150:$M150)</f>
        <v>37.266666671494022</v>
      </c>
      <c r="Q150" s="23"/>
      <c r="R150" s="23" t="s">
        <v>848</v>
      </c>
      <c r="S150" s="35">
        <f>SUM(U150:U150)/IF(AG150="EC",12,1)</f>
        <v>0.91666666666666663</v>
      </c>
      <c r="T150" s="50" t="str">
        <f t="shared" si="72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11</v>
      </c>
      <c r="V15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21:48:58-700',mode:absolute,to:'2016-12-22 00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0" s="52" t="str">
        <f t="shared" si="74"/>
        <v>Y</v>
      </c>
      <c r="X150" s="177">
        <f t="shared" si="82"/>
        <v>1</v>
      </c>
      <c r="Y150" s="67">
        <f t="shared" si="67"/>
        <v>23.299800000000001</v>
      </c>
      <c r="Z150" s="67">
        <f t="shared" si="75"/>
        <v>2.7324999999999999</v>
      </c>
      <c r="AA150" s="67">
        <f t="shared" si="76"/>
        <v>20.567300000000003</v>
      </c>
      <c r="AB150" s="64" t="str">
        <f>VLOOKUP(A150,Enforcements!$C$7:$K$19,8,0)</f>
        <v>Bulletin (2)</v>
      </c>
      <c r="AC150" s="60" t="str">
        <f>VLOOKUP(A150,Enforcements!$C$7:$E$19,3,0)</f>
        <v>GRADE CROSSING</v>
      </c>
      <c r="AD150" s="61" t="str">
        <f t="shared" si="77"/>
        <v>0234-21</v>
      </c>
      <c r="AE150" s="91" t="str">
        <f t="shared" si="78"/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AF150" s="88" t="str">
        <f t="shared" si="79"/>
        <v>"C:\Program Files (x86)\AstroGrep\AstroGrep.exe" /spath="%USERPROFILE%\AppData\Local\Temp\OnboardLogs" /stypes="app*4028*20161222*" /stext=" 06:.+((SYSTEM_STATE.+slice.+state.+changed )|(ment ac)|(multiple cpu faults)|(system.+state.+changed )|(\[timeout)|(PRM\|1\|D)|(kpr)|(kdp)|(\|lc)|(penalty))" /e /r /s</v>
      </c>
      <c r="AG150" s="1" t="str">
        <f t="shared" si="80"/>
        <v>EC</v>
      </c>
      <c r="AH150" s="92" t="str">
        <f t="shared" si="68"/>
        <v>"%USERPROFILE%\Documents\GitHub\eaglep3\Utilities\RefineRTDCRunTimes.py" --tripid 234-21 --locoid 4028 --swversion DE.1.0.8.0 --startMP 204:232998 --initTime 2016-12-21T22:48:58 --startdatetime 2016-12-21T22:56:15 --delay 1 --endMP 204:27325 --enddatetime 2016-12-21T23:33:31 --enforcementcount 0 &gt;&gt;C:\Users\stu\Documents\GitHub\eaglep3-reporting\EC\2016-12-21-refined-times.txt</v>
      </c>
      <c r="AI150" s="119" t="str">
        <f t="shared" si="69"/>
        <v>echo {"issue":{"subject":"Early cut out to support Chambers XING work","project_id":79,"tracker_id":40,"status_id":1,"priority_id":2,"assigned_to_id":23,"start_date":"2016-12-21","description":"","custom_fields":[{"id":1,"name":"Subdivision","value":"EC"},{"id":4,"name":"Milepost","value":"2.7325"},{"id":17,"name":"Train ID","value":"234-21"},{"id":16,"name":"Locomotive ID","value":"4028"},{"id":130,"name":"Impact","value":""},{"id":150,"name":"Time of Event (Mountain Time)","value":"23:33:31"},{"id":151,"name":"Denver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454</v>
      </c>
      <c r="B151" s="7">
        <v>4003</v>
      </c>
      <c r="C151" s="22" t="s">
        <v>205</v>
      </c>
      <c r="D151" s="22" t="s">
        <v>228</v>
      </c>
      <c r="E151" s="13">
        <v>42725.931180555555</v>
      </c>
      <c r="F151" s="13">
        <v>42725.937777777777</v>
      </c>
      <c r="G151" s="7">
        <v>1</v>
      </c>
      <c r="H151" s="22" t="s">
        <v>690</v>
      </c>
      <c r="I151" s="13">
        <v>42725.965694444443</v>
      </c>
      <c r="J151" s="7">
        <v>0</v>
      </c>
      <c r="K151" s="109" t="str">
        <f t="shared" si="70"/>
        <v>4003/4004</v>
      </c>
      <c r="L151" s="22" t="str">
        <f>VLOOKUP(A151,'Trips&amp;Operators'!$C$1:$G$99999,5,FALSE)</f>
        <v>NELSON ARIANE</v>
      </c>
      <c r="M151" s="6">
        <f t="shared" si="71"/>
        <v>2.7916666665987577E-2</v>
      </c>
      <c r="N151" s="7">
        <f>24*60*SUM($M151:$M151)</f>
        <v>40.199999999022111</v>
      </c>
      <c r="O151" s="7"/>
      <c r="P151" s="7"/>
      <c r="Q151" s="23"/>
      <c r="R151" s="23"/>
      <c r="S151" s="35">
        <f>SUM(U151:U151)/IF(AG151="EC",12,1)</f>
        <v>1</v>
      </c>
      <c r="T151" s="50" t="str">
        <f t="shared" si="72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21:20:54-700',mode:absolute,to:'2016-12-22 00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1" s="52" t="str">
        <f t="shared" si="74"/>
        <v>N</v>
      </c>
      <c r="X151" s="177">
        <f t="shared" si="82"/>
        <v>1</v>
      </c>
      <c r="Y151" s="67">
        <f t="shared" si="67"/>
        <v>4.5499999999999999E-2</v>
      </c>
      <c r="Z151" s="67">
        <f t="shared" si="75"/>
        <v>23.330400000000001</v>
      </c>
      <c r="AA151" s="67">
        <f t="shared" si="76"/>
        <v>23.2849</v>
      </c>
      <c r="AB151" s="64" t="str">
        <f>VLOOKUP(A151,Enforcements!$C$7:$K$19,8,0)</f>
        <v>Speed (6)</v>
      </c>
      <c r="AC151" s="60" t="str">
        <f>VLOOKUP(A151,Enforcements!$C$7:$E$19,3,0)</f>
        <v>PERMANENT SPEED RESTRICTION</v>
      </c>
      <c r="AD151" s="61" t="str">
        <f t="shared" si="77"/>
        <v>0235-21</v>
      </c>
      <c r="AE151" s="91" t="str">
        <f t="shared" si="78"/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AF151" s="88" t="str">
        <f t="shared" si="79"/>
        <v>"C:\Program Files (x86)\AstroGrep\AstroGrep.exe" /spath="%USERPROFILE%\AppData\Local\Temp\OnboardLogs" /stypes="app*4003*20161222*" /stext=" 06:.+((SYSTEM_STATE.+slice.+state.+changed )|(ment ac)|(multiple cpu faults)|(system.+state.+changed )|(\[timeout)|(PRM\|1\|D)|(kpr)|(kdp)|(\|lc)|(penalty))" /e /r /s</v>
      </c>
      <c r="AG151" s="1" t="str">
        <f t="shared" si="80"/>
        <v>EC</v>
      </c>
      <c r="AH151" s="92" t="str">
        <f t="shared" si="68"/>
        <v>"%USERPROFILE%\Documents\GitHub\eaglep3\Utilities\RefineRTDCRunTimes.py" --tripid 235-21 --locoid 4003 --swversion DE.1.0.8.0 --startMP 204:455 --initTime 2016-12-21T22:20:54 --startdatetime 2016-12-21T22:30:24 --delay 1 --endMP 204:233304 --enddatetime 2016-12-21T23:10:36 --enforcementcount 0 &gt;&gt;C:\Users\stu\Documents\GitHub\eaglep3-reporting\EC\2016-12-21-refined-times.txt</v>
      </c>
      <c r="AI151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{"issue":{"subject":"","project_id":79,"tracker_id":40,"status_id":1,"priority_id":2,"assigned_to_id":23,"start_date":"2016-12-21","description":"","custom_fields":[{"id":1,"name":"Subdivision","value":"EC"},{"id":4,"name":"Milepost","value":"23.3304"},{"id":17,"name":"Train ID","value":"235-21"},{"id":16,"name":"Locomotive ID","value":"4003"},{"id":130,"name":"Impact","value":""},{"id":150,"name":"Time of Event (Mountain Time)","value":"23:10:36"},{"id":151,"name":"Denver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849</v>
      </c>
      <c r="B152" s="7"/>
      <c r="C152" s="22" t="s">
        <v>205</v>
      </c>
      <c r="D152" s="22" t="s">
        <v>228</v>
      </c>
      <c r="E152" s="13">
        <v>42725.931180555555</v>
      </c>
      <c r="F152" s="13"/>
      <c r="G152" s="7">
        <v>1</v>
      </c>
      <c r="H152" s="22" t="s">
        <v>690</v>
      </c>
      <c r="I152" s="13"/>
      <c r="J152" s="7">
        <v>0</v>
      </c>
      <c r="K152" s="109" t="str">
        <f t="shared" si="70"/>
        <v>-1/</v>
      </c>
      <c r="L152" s="22" t="e">
        <f>VLOOKUP(A152,'Trips&amp;Operators'!$C$1:$G$99999,5,FALSE)</f>
        <v>#N/A</v>
      </c>
      <c r="M152" s="6">
        <f t="shared" si="71"/>
        <v>0</v>
      </c>
      <c r="N152" s="7"/>
      <c r="O152" s="7"/>
      <c r="P152" s="7">
        <v>1</v>
      </c>
      <c r="Q152" s="23"/>
      <c r="R152" s="23" t="s">
        <v>850</v>
      </c>
      <c r="S152" s="35">
        <f>SUM(U152:U152)/IF(AG152="EC",12,1)</f>
        <v>0</v>
      </c>
      <c r="T152" s="50" t="str">
        <f t="shared" si="72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21:20:54-700',mode:absolute,to:'1900-01-00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2" s="52" t="str">
        <f t="shared" si="74"/>
        <v>N</v>
      </c>
      <c r="X152" s="177">
        <f t="shared" si="82"/>
        <v>1</v>
      </c>
      <c r="Y152" s="67">
        <f t="shared" si="67"/>
        <v>4.5499999999999999E-2</v>
      </c>
      <c r="Z152" s="67">
        <f t="shared" si="75"/>
        <v>23.330400000000001</v>
      </c>
      <c r="AA152" s="67">
        <f t="shared" si="76"/>
        <v>23.2849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77"/>
        <v>0236-21</v>
      </c>
      <c r="AE152" s="91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2" s="88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2" s="1" t="str">
        <f t="shared" si="80"/>
        <v>EC</v>
      </c>
      <c r="AH152" s="92" t="str">
        <f t="shared" ref="AH152" si="83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236-21 --locoid  --swversion DE.1.0.8.0 --startMP 204:455 --initTime 2016-12-21T22:20:54 --startdatetime 1900-01-00T00:00:00 --delay 1 --endMP 204:233304 --enddatetime 1900-01-00T00:00:00 --enforcementcount 0 &gt;&gt;C:\Users\stu\Documents\GitHub\eaglep3-reporting\EC\2016-12-21-refined-times.txt</v>
      </c>
      <c r="AI152" s="119" t="str">
        <f t="shared" ref="AI152" si="84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{"issue":{"subject":"Ran ATC to support EC Subdiv 81 cutover","project_id":79,"tracker_id":40,"status_id":1,"priority_id":2,"assigned_to_id":23,"start_date":"1900-01-00","description":"","custom_fields":[{"id":1,"name":"Subdivision","value":"EC"},{"id":4,"name":"Milepost","value":"23.3304"},{"id":17,"name":"Train ID","value":"236-21"},{"id":16,"name":"Locomotive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654</v>
      </c>
      <c r="B153" s="7">
        <v>4016</v>
      </c>
      <c r="C153" s="22" t="s">
        <v>205</v>
      </c>
      <c r="D153" s="22" t="s">
        <v>738</v>
      </c>
      <c r="E153" s="13">
        <v>42725.942557870374</v>
      </c>
      <c r="F153" s="13">
        <v>42725.958518518521</v>
      </c>
      <c r="G153" s="7">
        <v>1</v>
      </c>
      <c r="H153" s="22" t="s">
        <v>723</v>
      </c>
      <c r="I153" s="13">
        <v>42725.983518518522</v>
      </c>
      <c r="J153" s="7">
        <v>0</v>
      </c>
      <c r="K153" s="109" t="str">
        <f t="shared" si="70"/>
        <v>4015/4016</v>
      </c>
      <c r="L153" s="22" t="str">
        <f>VLOOKUP(A153,'Trips&amp;Operators'!$C$1:$G$99999,5,FALSE)</f>
        <v>HILLS DUSTIN</v>
      </c>
      <c r="M153" s="6">
        <f t="shared" si="71"/>
        <v>2.5000000001455192E-2</v>
      </c>
      <c r="N153" s="7">
        <f>24*60*SUM($M153:$M153)</f>
        <v>36.000000002095476</v>
      </c>
      <c r="O153" s="7"/>
      <c r="P153" s="7"/>
      <c r="Q153" s="23"/>
      <c r="R153" s="23"/>
      <c r="S153" s="35">
        <f>SUM(U153:U153)/IF(AG153="EC",12,1)</f>
        <v>1</v>
      </c>
      <c r="T153" s="50" t="str">
        <f t="shared" si="72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21:37:17-700',mode:absolute,to:'2016-12-22 00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74"/>
        <v>N</v>
      </c>
      <c r="X153" s="177">
        <f t="shared" si="82"/>
        <v>1</v>
      </c>
      <c r="Y153" s="67">
        <f t="shared" si="67"/>
        <v>4.0399999999999998E-2</v>
      </c>
      <c r="Z153" s="67">
        <f t="shared" si="75"/>
        <v>23.340199999999999</v>
      </c>
      <c r="AA153" s="67">
        <f t="shared" si="76"/>
        <v>23.299799999999998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77"/>
        <v>0237-21</v>
      </c>
      <c r="AE153" s="91" t="str">
        <f t="shared" si="78"/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AF153" s="88" t="str">
        <f t="shared" si="79"/>
        <v>"C:\Program Files (x86)\AstroGrep\AstroGrep.exe" /spath="%USERPROFILE%\AppData\Local\Temp\OnboardLogs" /stypes="app*4016*20161222*" /stext=" 06:.+((SYSTEM_STATE.+slice.+state.+changed )|(ment ac)|(multiple cpu faults)|(system.+state.+changed )|(\[timeout)|(PRM\|1\|D)|(kpr)|(kdp)|(\|lc)|(penalty))" /e /r /s</v>
      </c>
      <c r="AG153" s="1" t="str">
        <f t="shared" si="80"/>
        <v>EC</v>
      </c>
      <c r="AH153" s="92" t="str">
        <f t="shared" si="68"/>
        <v>"%USERPROFILE%\Documents\GitHub\eaglep3\Utilities\RefineRTDCRunTimes.py" --tripid 237-21 --locoid 4016 --swversion DE.1.0.8.0 --startMP 204:404 --initTime 2016-12-21T22:37:17 --startdatetime 2016-12-21T23:00:16 --delay 1 --endMP 204:233402 --enddatetime 2016-12-21T23:36:16 --enforcementcount 0 &gt;&gt;C:\Users\stu\Documents\GitHub\eaglep3-reporting\EC\2016-12-21-refined-times.txt</v>
      </c>
      <c r="AI153" s="119" t="str">
        <f t="shared" si="69"/>
        <v>echo {"issue":{"subject":"","project_id":79,"tracker_id":40,"status_id":1,"priority_id":2,"assigned_to_id":23,"start_date":"2016-12-21","description":"","custom_fields":[{"id":1,"name":"Subdivision","value":"EC"},{"id":4,"name":"Milepost","value":"23.3402"},{"id":17,"name":"Train ID","value":"237-21"},{"id":16,"name":"Locomotive ID","value":"4016"},{"id":130,"name":"Impact","value":""},{"id":150,"name":"Time of Event (Mountain Time)","value":"23:36:16"},{"id":151,"name":"Denver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851</v>
      </c>
      <c r="B154" s="7"/>
      <c r="C154" s="22" t="s">
        <v>205</v>
      </c>
      <c r="D154" s="22" t="s">
        <v>738</v>
      </c>
      <c r="E154" s="13">
        <v>42725.942557870374</v>
      </c>
      <c r="F154" s="13"/>
      <c r="G154" s="7"/>
      <c r="H154" s="22"/>
      <c r="I154" s="13"/>
      <c r="J154" s="7">
        <v>0</v>
      </c>
      <c r="K154" s="109" t="str">
        <f t="shared" ref="K154:K159" si="85">IF(ISEVEN(B154),(B154-1)&amp;"/"&amp;B154,B154&amp;"/"&amp;(B154+1))</f>
        <v>-1/</v>
      </c>
      <c r="L154" s="22" t="e">
        <f>VLOOKUP(A154,'Trips&amp;Operators'!$C$1:$G$99999,5,FALSE)</f>
        <v>#N/A</v>
      </c>
      <c r="M154" s="6">
        <f t="shared" ref="M154:M159" si="86">I154-F154</f>
        <v>0</v>
      </c>
      <c r="N154" s="7">
        <f t="shared" ref="N154:N159" si="87">24*60*SUM($M154:$M154)</f>
        <v>0</v>
      </c>
      <c r="O154" s="7"/>
      <c r="P154" s="7">
        <v>1</v>
      </c>
      <c r="Q154" s="23"/>
      <c r="R154" s="23" t="s">
        <v>850</v>
      </c>
      <c r="S154" s="35">
        <f t="shared" ref="S154:S159" si="88">SUM(U154:U154)/IF(AG154="EC",12,1)</f>
        <v>0</v>
      </c>
      <c r="T154" s="50" t="str">
        <f t="shared" ref="T154:T159" si="89">IF(ISEVEN(LEFT(AD154,4)),"Southbound","NorthBound")</f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21:37:17-700',mode:absolute,to:'1900-01-00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4" s="52" t="e">
        <f t="shared" ref="W154:W159" si="90">IF(AA154&lt;IF(AG154="EC",23,5.65),"Y","N")</f>
        <v>#VALUE!</v>
      </c>
      <c r="X154" s="177">
        <f t="shared" ref="X154:X167" si="91">VALUE(LEFT(AD154,4))-VALUE(LEFT(AD153,4))</f>
        <v>1</v>
      </c>
      <c r="Y154" s="67">
        <f t="shared" ref="Y154:Y159" si="92">RIGHT(D154,LEN(D154)-4)/10000</f>
        <v>4.0399999999999998E-2</v>
      </c>
      <c r="Z154" s="67" t="e">
        <f t="shared" ref="Z154:Z159" si="93">RIGHT(H154,LEN(H154)-4)/10000</f>
        <v>#VALUE!</v>
      </c>
      <c r="AA154" s="67" t="e">
        <f t="shared" ref="AA154:AA159" si="94">ABS(Z154-Y154)</f>
        <v>#VALUE!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ref="AD154:AD159" si="95">IF(LEN(A154)=6,"0"&amp;A154,A154)</f>
        <v>0238-21</v>
      </c>
      <c r="AE154" s="91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4" s="88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4" s="1" t="str">
        <f t="shared" ref="AG154:AG159" si="96">IFERROR(IF(VALUE(LEFT(AD154,2))&lt;=2,"EC",IF(OR(VALUE(LEFT(AD154,2))=8,VALUE(LEFT(AD154,2))=18),"NW","Other")),"Other")</f>
        <v>EC</v>
      </c>
      <c r="AH154" s="92" t="str">
        <f t="shared" ref="AH154:AH159" si="97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238-21 --locoid  --swversion DE.1.0.8.0 --startMP 204:404 --initTime 2016-12-21T22:37:17 --startdatetime 1900-01-00T00:00:00 --delay  --endMP  --enddatetime 1900-01-00T00:00:00 --enforcementcount 0 &gt;&gt;C:\Users\stu\Documents\GitHub\eaglep3-reporting\EC\2016-12-21-refined-times.txt</v>
      </c>
      <c r="AI154" s="119" t="e">
        <f t="shared" ref="AI154:AI159" si="98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#VALUE!</v>
      </c>
      <c r="AJ154" s="53"/>
      <c r="AK154" s="53"/>
      <c r="AL154" s="53"/>
    </row>
    <row r="155" spans="1:91" s="21" customFormat="1" x14ac:dyDescent="0.25">
      <c r="A155" s="37" t="s">
        <v>852</v>
      </c>
      <c r="B155" s="7"/>
      <c r="C155" s="22" t="s">
        <v>205</v>
      </c>
      <c r="D155" s="22" t="s">
        <v>738</v>
      </c>
      <c r="E155" s="13">
        <v>42725.942557870374</v>
      </c>
      <c r="F155" s="13"/>
      <c r="G155" s="7"/>
      <c r="H155" s="22"/>
      <c r="I155" s="13"/>
      <c r="J155" s="7">
        <v>0</v>
      </c>
      <c r="K155" s="109" t="str">
        <f t="shared" si="85"/>
        <v>-1/</v>
      </c>
      <c r="L155" s="22" t="e">
        <f>VLOOKUP(A155,'Trips&amp;Operators'!$C$1:$G$99999,5,FALSE)</f>
        <v>#N/A</v>
      </c>
      <c r="M155" s="6">
        <f t="shared" si="86"/>
        <v>0</v>
      </c>
      <c r="N155" s="7">
        <f t="shared" si="87"/>
        <v>0</v>
      </c>
      <c r="O155" s="7"/>
      <c r="P155" s="7">
        <v>1</v>
      </c>
      <c r="Q155" s="23"/>
      <c r="R155" s="23" t="s">
        <v>850</v>
      </c>
      <c r="S155" s="35">
        <f t="shared" si="88"/>
        <v>0</v>
      </c>
      <c r="T155" s="50" t="str">
        <f t="shared" si="89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21:37:17-700',mode:absolute,to:'1900-01-00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5" s="52" t="e">
        <f t="shared" si="90"/>
        <v>#VALUE!</v>
      </c>
      <c r="X155" s="177">
        <f t="shared" si="91"/>
        <v>1</v>
      </c>
      <c r="Y155" s="67">
        <f t="shared" si="92"/>
        <v>4.0399999999999998E-2</v>
      </c>
      <c r="Z155" s="67" t="e">
        <f t="shared" si="93"/>
        <v>#VALUE!</v>
      </c>
      <c r="AA155" s="67" t="e">
        <f t="shared" si="94"/>
        <v>#VALUE!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95"/>
        <v>0239-21</v>
      </c>
      <c r="AE155" s="91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5" s="88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5" s="1" t="str">
        <f t="shared" si="96"/>
        <v>EC</v>
      </c>
      <c r="AH155" s="92" t="str">
        <f t="shared" si="97"/>
        <v>"%USERPROFILE%\Documents\GitHub\eaglep3\Utilities\RefineRTDCRunTimes.py" --tripid 239-21 --locoid  --swversion DE.1.0.8.0 --startMP 204:404 --initTime 2016-12-21T22:37:17 --startdatetime 1900-01-00T00:00:00 --delay  --endMP  --enddatetime 1900-01-00T00:00:00 --enforcementcount 0 &gt;&gt;C:\Users\stu\Documents\GitHub\eaglep3-reporting\EC\2016-12-21-refined-times.txt</v>
      </c>
      <c r="AI155" s="119" t="e">
        <f t="shared" si="98"/>
        <v>#VALUE!</v>
      </c>
      <c r="AJ155" s="53"/>
      <c r="AK155" s="53"/>
      <c r="AL155" s="53"/>
    </row>
    <row r="156" spans="1:91" s="21" customFormat="1" x14ac:dyDescent="0.25">
      <c r="A156" s="37" t="s">
        <v>853</v>
      </c>
      <c r="B156" s="7"/>
      <c r="C156" s="22" t="s">
        <v>205</v>
      </c>
      <c r="D156" s="22" t="s">
        <v>738</v>
      </c>
      <c r="E156" s="13">
        <v>42725.942557870374</v>
      </c>
      <c r="F156" s="13"/>
      <c r="G156" s="7"/>
      <c r="H156" s="22"/>
      <c r="I156" s="13"/>
      <c r="J156" s="7">
        <v>0</v>
      </c>
      <c r="K156" s="109" t="str">
        <f t="shared" si="85"/>
        <v>-1/</v>
      </c>
      <c r="L156" s="22" t="e">
        <f>VLOOKUP(A156,'Trips&amp;Operators'!$C$1:$G$99999,5,FALSE)</f>
        <v>#N/A</v>
      </c>
      <c r="M156" s="6">
        <f t="shared" si="86"/>
        <v>0</v>
      </c>
      <c r="N156" s="7">
        <f t="shared" si="87"/>
        <v>0</v>
      </c>
      <c r="O156" s="7"/>
      <c r="P156" s="7">
        <v>1</v>
      </c>
      <c r="Q156" s="23"/>
      <c r="R156" s="23" t="s">
        <v>850</v>
      </c>
      <c r="S156" s="35">
        <f t="shared" si="88"/>
        <v>0</v>
      </c>
      <c r="T156" s="50" t="str">
        <f t="shared" si="89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21:37:17-700',mode:absolute,to:'1900-01-00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6" s="52" t="e">
        <f t="shared" si="90"/>
        <v>#VALUE!</v>
      </c>
      <c r="X156" s="177">
        <f t="shared" si="91"/>
        <v>2</v>
      </c>
      <c r="Y156" s="67">
        <f t="shared" si="92"/>
        <v>4.0399999999999998E-2</v>
      </c>
      <c r="Z156" s="67" t="e">
        <f t="shared" si="93"/>
        <v>#VALUE!</v>
      </c>
      <c r="AA156" s="67" t="e">
        <f t="shared" si="94"/>
        <v>#VALUE!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95"/>
        <v>0241-21</v>
      </c>
      <c r="AE156" s="91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6" s="88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6" s="1" t="str">
        <f t="shared" si="96"/>
        <v>EC</v>
      </c>
      <c r="AH156" s="92" t="str">
        <f t="shared" si="97"/>
        <v>"%USERPROFILE%\Documents\GitHub\eaglep3\Utilities\RefineRTDCRunTimes.py" --tripid 241-21 --locoid  --swversion DE.1.0.8.0 --startMP 204:404 --initTime 2016-12-21T22:37:17 --startdatetime 1900-01-00T00:00:00 --delay  --endMP  --enddatetime 1900-01-00T00:00:00 --enforcementcount 0 &gt;&gt;C:\Users\stu\Documents\GitHub\eaglep3-reporting\EC\2016-12-21-refined-times.txt</v>
      </c>
      <c r="AI156" s="119" t="e">
        <f t="shared" si="98"/>
        <v>#VALUE!</v>
      </c>
      <c r="AJ156" s="53"/>
      <c r="AK156" s="53"/>
      <c r="AL156" s="53"/>
    </row>
    <row r="157" spans="1:91" s="21" customFormat="1" x14ac:dyDescent="0.25">
      <c r="A157" s="37" t="s">
        <v>854</v>
      </c>
      <c r="B157" s="7"/>
      <c r="C157" s="22" t="s">
        <v>205</v>
      </c>
      <c r="D157" s="22" t="s">
        <v>738</v>
      </c>
      <c r="E157" s="13">
        <v>42725.942557870374</v>
      </c>
      <c r="F157" s="13"/>
      <c r="G157" s="7"/>
      <c r="H157" s="22"/>
      <c r="I157" s="13"/>
      <c r="J157" s="7">
        <v>0</v>
      </c>
      <c r="K157" s="109" t="str">
        <f t="shared" si="85"/>
        <v>-1/</v>
      </c>
      <c r="L157" s="22" t="e">
        <f>VLOOKUP(A157,'Trips&amp;Operators'!$C$1:$G$99999,5,FALSE)</f>
        <v>#N/A</v>
      </c>
      <c r="M157" s="6">
        <f t="shared" si="86"/>
        <v>0</v>
      </c>
      <c r="N157" s="7">
        <f t="shared" si="87"/>
        <v>0</v>
      </c>
      <c r="O157" s="7"/>
      <c r="P157" s="7">
        <v>1</v>
      </c>
      <c r="Q157" s="23"/>
      <c r="R157" s="23" t="s">
        <v>850</v>
      </c>
      <c r="S157" s="35">
        <f t="shared" si="88"/>
        <v>0</v>
      </c>
      <c r="T157" s="50" t="str">
        <f t="shared" si="89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21:37:17-700',mode:absolute,to:'1900-01-00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7" s="52" t="e">
        <f t="shared" si="90"/>
        <v>#VALUE!</v>
      </c>
      <c r="X157" s="177">
        <f t="shared" si="91"/>
        <v>1</v>
      </c>
      <c r="Y157" s="67">
        <f t="shared" si="92"/>
        <v>4.0399999999999998E-2</v>
      </c>
      <c r="Z157" s="67" t="e">
        <f t="shared" si="93"/>
        <v>#VALUE!</v>
      </c>
      <c r="AA157" s="67" t="e">
        <f t="shared" si="94"/>
        <v>#VALUE!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95"/>
        <v>0242-21</v>
      </c>
      <c r="AE157" s="91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7" s="88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7" s="1" t="str">
        <f t="shared" si="96"/>
        <v>EC</v>
      </c>
      <c r="AH157" s="92" t="str">
        <f t="shared" si="97"/>
        <v>"%USERPROFILE%\Documents\GitHub\eaglep3\Utilities\RefineRTDCRunTimes.py" --tripid 242-21 --locoid  --swversion DE.1.0.8.0 --startMP 204:404 --initTime 2016-12-21T22:37:17 --startdatetime 1900-01-00T00:00:00 --delay  --endMP  --enddatetime 1900-01-00T00:00:00 --enforcementcount 0 &gt;&gt;C:\Users\stu\Documents\GitHub\eaglep3-reporting\EC\2016-12-21-refined-times.txt</v>
      </c>
      <c r="AI157" s="119" t="e">
        <f t="shared" si="98"/>
        <v>#VALUE!</v>
      </c>
      <c r="AJ157" s="53"/>
      <c r="AK157" s="53"/>
      <c r="AL157" s="53"/>
    </row>
    <row r="158" spans="1:91" s="21" customFormat="1" x14ac:dyDescent="0.25">
      <c r="A158" s="37" t="s">
        <v>855</v>
      </c>
      <c r="B158" s="7"/>
      <c r="C158" s="22" t="s">
        <v>205</v>
      </c>
      <c r="D158" s="22" t="s">
        <v>738</v>
      </c>
      <c r="E158" s="13">
        <v>42725.942557870374</v>
      </c>
      <c r="F158" s="13"/>
      <c r="G158" s="7"/>
      <c r="H158" s="22"/>
      <c r="I158" s="13"/>
      <c r="J158" s="7">
        <v>0</v>
      </c>
      <c r="K158" s="109" t="str">
        <f t="shared" si="85"/>
        <v>-1/</v>
      </c>
      <c r="L158" s="22" t="e">
        <f>VLOOKUP(A158,'Trips&amp;Operators'!$C$1:$G$99999,5,FALSE)</f>
        <v>#N/A</v>
      </c>
      <c r="M158" s="6">
        <f t="shared" si="86"/>
        <v>0</v>
      </c>
      <c r="N158" s="7">
        <f t="shared" si="87"/>
        <v>0</v>
      </c>
      <c r="O158" s="7"/>
      <c r="P158" s="7">
        <v>1</v>
      </c>
      <c r="Q158" s="23"/>
      <c r="R158" s="23" t="s">
        <v>850</v>
      </c>
      <c r="S158" s="35">
        <f t="shared" si="88"/>
        <v>0</v>
      </c>
      <c r="T158" s="50" t="str">
        <f t="shared" si="89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21:37:17-700',mode:absolute,to:'1900-01-00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8" s="52" t="e">
        <f t="shared" si="90"/>
        <v>#VALUE!</v>
      </c>
      <c r="X158" s="177">
        <f t="shared" si="91"/>
        <v>1</v>
      </c>
      <c r="Y158" s="67">
        <f t="shared" si="92"/>
        <v>4.0399999999999998E-2</v>
      </c>
      <c r="Z158" s="67" t="e">
        <f t="shared" si="93"/>
        <v>#VALUE!</v>
      </c>
      <c r="AA158" s="67" t="e">
        <f t="shared" si="94"/>
        <v>#VALUE!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95"/>
        <v>0243-21</v>
      </c>
      <c r="AE158" s="91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8" s="88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8" s="1" t="str">
        <f t="shared" si="96"/>
        <v>EC</v>
      </c>
      <c r="AH158" s="92" t="str">
        <f t="shared" si="97"/>
        <v>"%USERPROFILE%\Documents\GitHub\eaglep3\Utilities\RefineRTDCRunTimes.py" --tripid 243-21 --locoid  --swversion DE.1.0.8.0 --startMP 204:404 --initTime 2016-12-21T22:37:17 --startdatetime 1900-01-00T00:00:00 --delay  --endMP  --enddatetime 1900-01-00T00:00:00 --enforcementcount 0 &gt;&gt;C:\Users\stu\Documents\GitHub\eaglep3-reporting\EC\2016-12-21-refined-times.txt</v>
      </c>
      <c r="AI158" s="119" t="e">
        <f t="shared" si="98"/>
        <v>#VALUE!</v>
      </c>
      <c r="AJ158" s="53"/>
      <c r="AK158" s="53"/>
      <c r="AL158" s="53"/>
    </row>
    <row r="159" spans="1:91" s="21" customFormat="1" x14ac:dyDescent="0.25">
      <c r="A159" s="37" t="s">
        <v>856</v>
      </c>
      <c r="B159" s="7"/>
      <c r="C159" s="22" t="s">
        <v>205</v>
      </c>
      <c r="D159" s="22" t="s">
        <v>738</v>
      </c>
      <c r="E159" s="13">
        <v>42725.942557870374</v>
      </c>
      <c r="F159" s="13"/>
      <c r="G159" s="7"/>
      <c r="H159" s="22"/>
      <c r="I159" s="13"/>
      <c r="J159" s="7">
        <v>0</v>
      </c>
      <c r="K159" s="109" t="str">
        <f t="shared" si="85"/>
        <v>-1/</v>
      </c>
      <c r="L159" s="22" t="e">
        <f>VLOOKUP(A159,'Trips&amp;Operators'!$C$1:$G$99999,5,FALSE)</f>
        <v>#N/A</v>
      </c>
      <c r="M159" s="6">
        <f t="shared" si="86"/>
        <v>0</v>
      </c>
      <c r="N159" s="7">
        <f t="shared" si="87"/>
        <v>0</v>
      </c>
      <c r="O159" s="7"/>
      <c r="P159" s="7">
        <v>1</v>
      </c>
      <c r="Q159" s="23"/>
      <c r="R159" s="23" t="s">
        <v>850</v>
      </c>
      <c r="S159" s="35">
        <f t="shared" si="88"/>
        <v>0</v>
      </c>
      <c r="T159" s="50" t="str">
        <f t="shared" si="89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21:37:17-700',mode:absolute,to:'1900-01-00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9" s="52" t="e">
        <f t="shared" si="90"/>
        <v>#VALUE!</v>
      </c>
      <c r="X159" s="177">
        <f t="shared" si="91"/>
        <v>1</v>
      </c>
      <c r="Y159" s="67">
        <f t="shared" si="92"/>
        <v>4.0399999999999998E-2</v>
      </c>
      <c r="Z159" s="67" t="e">
        <f t="shared" si="93"/>
        <v>#VALUE!</v>
      </c>
      <c r="AA159" s="67" t="e">
        <f t="shared" si="94"/>
        <v>#VALUE!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95"/>
        <v>0244-21</v>
      </c>
      <c r="AE159" s="91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9" s="88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9" s="1" t="str">
        <f t="shared" si="96"/>
        <v>EC</v>
      </c>
      <c r="AH159" s="92" t="str">
        <f t="shared" si="97"/>
        <v>"%USERPROFILE%\Documents\GitHub\eaglep3\Utilities\RefineRTDCRunTimes.py" --tripid 244-21 --locoid  --swversion DE.1.0.8.0 --startMP 204:404 --initTime 2016-12-21T22:37:17 --startdatetime 1900-01-00T00:00:00 --delay  --endMP  --enddatetime 1900-01-00T00:00:00 --enforcementcount 0 &gt;&gt;C:\Users\stu\Documents\GitHub\eaglep3-reporting\EC\2016-12-21-refined-times.txt</v>
      </c>
      <c r="AI159" s="119" t="e">
        <f t="shared" si="98"/>
        <v>#VALUE!</v>
      </c>
      <c r="AJ159" s="53"/>
      <c r="AK159" s="53"/>
      <c r="AL159" s="53"/>
    </row>
    <row r="160" spans="1:91" s="21" customFormat="1" x14ac:dyDescent="0.25">
      <c r="A160" s="37" t="s">
        <v>485</v>
      </c>
      <c r="B160" s="7">
        <v>4017</v>
      </c>
      <c r="C160" s="22" t="s">
        <v>205</v>
      </c>
      <c r="D160" s="22" t="s">
        <v>419</v>
      </c>
      <c r="E160" s="13">
        <v>42725.213252314818</v>
      </c>
      <c r="F160" s="13">
        <v>42725.214791666665</v>
      </c>
      <c r="G160" s="7">
        <v>1</v>
      </c>
      <c r="H160" s="22" t="s">
        <v>772</v>
      </c>
      <c r="I160" s="13">
        <v>42725.225370370368</v>
      </c>
      <c r="J160" s="7">
        <v>0</v>
      </c>
      <c r="K160" s="109" t="str">
        <f t="shared" ref="K160:K191" si="99">IF(ISEVEN(B160),(B160-1)&amp;"/"&amp;B160,B160&amp;"/"&amp;(B160+1))</f>
        <v>4017/4018</v>
      </c>
      <c r="L160" s="22" t="str">
        <f>VLOOKUP(A160,'Trips&amp;Operators'!$C$1:$G$99999,5,FALSE)</f>
        <v>SIMMONS SHYHESHA</v>
      </c>
      <c r="M160" s="6">
        <f t="shared" ref="M160:M191" si="100">I160-F160</f>
        <v>1.0578703702776693E-2</v>
      </c>
      <c r="N160" s="7">
        <f t="shared" ref="N160:N191" si="101">24*60*SUM($M160:$M160)</f>
        <v>15.233333331998438</v>
      </c>
      <c r="O160" s="7"/>
      <c r="P160" s="7"/>
      <c r="Q160" s="23"/>
      <c r="R160" s="23"/>
      <c r="S160" s="35">
        <f t="shared" ref="S160:S191" si="102">SUM(U160:U160)/IF(AG160="EC",12,1)</f>
        <v>1</v>
      </c>
      <c r="T160" s="50" t="str">
        <f t="shared" ref="T160:T191" si="103">IF(ISEVEN(LEFT(AD160,4)),"Southbound","NorthBound")</f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04:07:05-700',mode:absolute,to:'2016-12-21 06:24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0" s="52" t="str">
        <f t="shared" ref="W160:W191" si="104">IF(AA160&lt;IF(AG160="EC",23,5.65),"Y","N")</f>
        <v>N</v>
      </c>
      <c r="X160" s="177">
        <f t="shared" si="91"/>
        <v>556</v>
      </c>
      <c r="Y160" s="67">
        <f t="shared" ref="Y160:Y191" si="105">RIGHT(D160,LEN(D160)-4)/10000</f>
        <v>5.8604000000000003</v>
      </c>
      <c r="Z160" s="67">
        <f t="shared" ref="Z160:Z191" si="106">RIGHT(H160,LEN(H160)-4)/10000</f>
        <v>7.1499999999999994E-2</v>
      </c>
      <c r="AA160" s="67">
        <f t="shared" ref="AA160:AA191" si="107">ABS(Z160-Y160)</f>
        <v>5.7888999999999999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ref="AD160:AD191" si="108">IF(LEN(A160)=6,"0"&amp;A160,A160)</f>
        <v>0800-21</v>
      </c>
      <c r="AE160" s="91" t="str">
        <f t="shared" si="78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60" s="88" t="str">
        <f t="shared" si="79"/>
        <v>"C:\Program Files (x86)\AstroGrep\AstroGrep.exe" /spath="%USERPROFILE%\AppData\Local\Temp\OnboardLogs" /stypes="app*4017*20161221*" /stext=" 12:.+((SYSTEM_STATE.+slice.+state.+changed )|(ment ac)|(multiple cpu faults)|(system.+state.+changed )|(\[timeout)|(PRM\|1\|D)|(kpr)|(kdp)|(\|lc)|(penalty))" /e /r /s</v>
      </c>
      <c r="AG160" s="1" t="str">
        <f t="shared" ref="AG160:AG191" si="109">IFERROR(IF(VALUE(LEFT(AD160,2))&lt;=2,"EC",IF(OR(VALUE(LEFT(AD160,2))=8,VALUE(LEFT(AD160,2))=18),"NW","Other")),"Other")</f>
        <v>NW</v>
      </c>
      <c r="AH160" s="92" t="str">
        <f t="shared" si="68"/>
        <v>"%USERPROFILE%\Documents\GitHub\eaglep3\Utilities\RefineRTDCRunTimes.py" --tripid 800-21 --locoid 4017 --swversion DE.1.0.8.0 --startMP 300:58604 --initTime 2016-12-21T05:07:05 --startdatetime 2016-12-21T05:09:18 --delay 1 --endMP 204:715 --enddatetime 2016-12-21T05:24:32 --enforcementcount 0 &gt;&gt;C:\Users\stu\Documents\GitHub\eaglep3-reporting\EC\2016-12-21-refined-times.txt</v>
      </c>
      <c r="AI160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{"issue":{"subject":"","project_id":79,"tracker_id":40,"status_id":1,"priority_id":2,"assigned_to_id":23,"start_date":"2016-12-21","description":"","custom_fields":[{"id":1,"name":"Subdivision","value":"NW"},{"id":4,"name":"Milepost","value":"0.0715"},{"id":17,"name":"Train ID","value":"800-21"},{"id":16,"name":"Locomotive ID","value":"4017"},{"id":130,"name":"Impact","value":""},{"id":150,"name":"Time of Event (Mountain Time)","value":"05:24:32"},{"id":151,"name":"Denver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490</v>
      </c>
      <c r="B161" s="7">
        <v>4018</v>
      </c>
      <c r="C161" s="22" t="s">
        <v>205</v>
      </c>
      <c r="D161" s="22" t="s">
        <v>349</v>
      </c>
      <c r="E161" s="13">
        <v>42725.242002314815</v>
      </c>
      <c r="F161" s="13">
        <v>42725.244212962964</v>
      </c>
      <c r="G161" s="7">
        <v>3</v>
      </c>
      <c r="H161" s="22" t="s">
        <v>314</v>
      </c>
      <c r="I161" s="13">
        <v>42725.254027777781</v>
      </c>
      <c r="J161" s="7">
        <v>0</v>
      </c>
      <c r="K161" s="109" t="str">
        <f t="shared" si="99"/>
        <v>4017/4018</v>
      </c>
      <c r="L161" s="22" t="str">
        <f>VLOOKUP(A161,'Trips&amp;Operators'!$C$1:$G$99999,5,FALSE)</f>
        <v>SIMMONS SHYHESHA</v>
      </c>
      <c r="M161" s="6">
        <f t="shared" si="100"/>
        <v>9.8148148172185756E-3</v>
      </c>
      <c r="N161" s="7">
        <f t="shared" si="101"/>
        <v>14.133333336794749</v>
      </c>
      <c r="O161" s="7"/>
      <c r="P161" s="7"/>
      <c r="Q161" s="23"/>
      <c r="R161" s="23"/>
      <c r="S161" s="35">
        <f t="shared" si="102"/>
        <v>1</v>
      </c>
      <c r="T161" s="50" t="str">
        <f t="shared" si="103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04:48:29-700',mode:absolute,to:'2016-12-21 07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1" s="52" t="str">
        <f t="shared" si="104"/>
        <v>N</v>
      </c>
      <c r="X161" s="177">
        <f t="shared" si="91"/>
        <v>1</v>
      </c>
      <c r="Y161" s="67">
        <f t="shared" si="105"/>
        <v>0.1018</v>
      </c>
      <c r="Z161" s="67">
        <f t="shared" si="106"/>
        <v>5.8920000000000003</v>
      </c>
      <c r="AA161" s="67">
        <f t="shared" si="107"/>
        <v>5.7902000000000005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108"/>
        <v>0801-21</v>
      </c>
      <c r="AE161" s="91" t="str">
        <f t="shared" si="78"/>
        <v>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 &amp; 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</v>
      </c>
      <c r="AF161" s="88" t="str">
        <f t="shared" si="79"/>
        <v>"C:\Program Files (x86)\AstroGrep\AstroGrep.exe" /spath="%USERPROFILE%\AppData\Local\Temp\OnboardLogs" /stypes="app*4018*20161221*" /stext=" 13:.+((SYSTEM_STATE.+slice.+state.+changed )|(ment ac)|(multiple cpu faults)|(system.+state.+changed )|(\[timeout)|(PRM\|1\|D)|(kpr)|(kdp)|(\|lc)|(penalty))" /e /r /s</v>
      </c>
      <c r="AG161" s="1" t="str">
        <f t="shared" si="109"/>
        <v>NW</v>
      </c>
      <c r="AH161" s="92" t="str">
        <f t="shared" si="68"/>
        <v>"%USERPROFILE%\Documents\GitHub\eaglep3\Utilities\RefineRTDCRunTimes.py" --tripid 801-21 --locoid 4018 --swversion DE.1.0.8.0 --startMP 204:1018 --initTime 2016-12-21T05:48:29 --startdatetime 2016-12-21T05:51:40 --delay 3 --endMP 300:58920 --enddatetime 2016-12-21T06:05:48 --enforcementcount 0 &gt;&gt;C:\Users\stu\Documents\GitHub\eaglep3-reporting\EC\2016-12-21-refined-times.txt</v>
      </c>
      <c r="AI161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{"issue":{"subject":"","project_id":79,"tracker_id":40,"status_id":1,"priority_id":2,"assigned_to_id":23,"start_date":"2016-12-21","description":"","custom_fields":[{"id":1,"name":"Subdivision","value":"NW"},{"id":4,"name":"Milepost","value":"5.892"},{"id":17,"name":"Train ID","value":"801-21"},{"id":16,"name":"Locomotive ID","value":"4018"},{"id":130,"name":"Impact","value":""},{"id":150,"name":"Time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493</v>
      </c>
      <c r="B162" s="7">
        <v>4017</v>
      </c>
      <c r="C162" s="22" t="s">
        <v>205</v>
      </c>
      <c r="D162" s="22" t="s">
        <v>416</v>
      </c>
      <c r="E162" s="13">
        <v>42725.257453703707</v>
      </c>
      <c r="F162" s="13">
        <v>42725.258483796293</v>
      </c>
      <c r="G162" s="7">
        <v>1</v>
      </c>
      <c r="H162" s="22" t="s">
        <v>348</v>
      </c>
      <c r="I162" s="13">
        <v>42725.270636574074</v>
      </c>
      <c r="J162" s="7">
        <v>0</v>
      </c>
      <c r="K162" s="109" t="str">
        <f t="shared" si="99"/>
        <v>4017/4018</v>
      </c>
      <c r="L162" s="22" t="str">
        <f>VLOOKUP(A162,'Trips&amp;Operators'!$C$1:$G$99999,5,FALSE)</f>
        <v>SIMMONS SHYHESHA</v>
      </c>
      <c r="M162" s="6">
        <f t="shared" si="100"/>
        <v>1.2152777781011537E-2</v>
      </c>
      <c r="N162" s="7">
        <f t="shared" si="101"/>
        <v>17.500000004656613</v>
      </c>
      <c r="O162" s="7"/>
      <c r="P162" s="7"/>
      <c r="Q162" s="23"/>
      <c r="R162" s="23"/>
      <c r="S162" s="35">
        <f t="shared" si="102"/>
        <v>1</v>
      </c>
      <c r="T162" s="50" t="str">
        <f t="shared" si="103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05:10:44-700',mode:absolute,to:'2016-12-21 07:29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2" s="52" t="str">
        <f t="shared" si="104"/>
        <v>N</v>
      </c>
      <c r="X162" s="177">
        <f t="shared" si="91"/>
        <v>1</v>
      </c>
      <c r="Y162" s="67">
        <f t="shared" si="105"/>
        <v>5.8608000000000002</v>
      </c>
      <c r="Z162" s="67">
        <f t="shared" si="106"/>
        <v>7.4499999999999997E-2</v>
      </c>
      <c r="AA162" s="67">
        <f t="shared" si="107"/>
        <v>5.7863000000000007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108"/>
        <v>0802-21</v>
      </c>
      <c r="AE162" s="91" t="str">
        <f t="shared" si="78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62" s="88" t="str">
        <f t="shared" si="79"/>
        <v>"C:\Program Files (x86)\AstroGrep\AstroGrep.exe" /spath="%USERPROFILE%\AppData\Local\Temp\OnboardLogs" /stypes="app*4017*20161221*" /stext=" 13:.+((SYSTEM_STATE.+slice.+state.+changed )|(ment ac)|(multiple cpu faults)|(system.+state.+changed )|(\[timeout)|(PRM\|1\|D)|(kpr)|(kdp)|(\|lc)|(penalty))" /e /r /s</v>
      </c>
      <c r="AG162" s="1" t="str">
        <f t="shared" si="109"/>
        <v>NW</v>
      </c>
      <c r="AH162" s="92" t="str">
        <f t="shared" si="68"/>
        <v>"%USERPROFILE%\Documents\GitHub\eaglep3\Utilities\RefineRTDCRunTimes.py" --tripid 802-21 --locoid 4017 --swversion DE.1.0.8.0 --startMP 300:58608 --initTime 2016-12-21T06:10:44 --startdatetime 2016-12-21T06:12:13 --delay 1 --endMP 204:745 --enddatetime 2016-12-21T06:29:43 --enforcementcount 0 &gt;&gt;C:\Users\stu\Documents\GitHub\eaglep3-reporting\EC\2016-12-21-refined-times.txt</v>
      </c>
      <c r="AI162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{"issue":{"subject":"","project_id":79,"tracker_id":40,"status_id":1,"priority_id":2,"assigned_to_id":23,"start_date":"2016-12-21","description":"","custom_fields":[{"id":1,"name":"Subdivision","value":"NW"},{"id":4,"name":"Milepost","value":"0.0745"},{"id":17,"name":"Train ID","value":"802-21"},{"id":16,"name":"Locomotive ID","value":"4017"},{"id":130,"name":"Impact","value":""},{"id":150,"name":"Time of Event (Mountain Time)","value":"06:29:43"},{"id":151,"name":"Denver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428</v>
      </c>
      <c r="B163" s="7">
        <v>4046</v>
      </c>
      <c r="C163" s="22" t="s">
        <v>205</v>
      </c>
      <c r="D163" s="22" t="s">
        <v>773</v>
      </c>
      <c r="E163" s="13">
        <v>42725.264722222222</v>
      </c>
      <c r="F163" s="13">
        <v>42725.266527777778</v>
      </c>
      <c r="G163" s="7">
        <v>1</v>
      </c>
      <c r="H163" s="22" t="s">
        <v>774</v>
      </c>
      <c r="I163" s="13">
        <v>42725.276967592596</v>
      </c>
      <c r="J163" s="7">
        <v>0</v>
      </c>
      <c r="K163" s="109" t="str">
        <f t="shared" si="99"/>
        <v>4045/4046</v>
      </c>
      <c r="L163" s="22" t="str">
        <f>VLOOKUP(A163,'Trips&amp;Operators'!$C$1:$G$99999,5,FALSE)</f>
        <v>DUNCAN SHEILA</v>
      </c>
      <c r="M163" s="6">
        <f t="shared" si="100"/>
        <v>1.0439814817800652E-2</v>
      </c>
      <c r="N163" s="7">
        <f t="shared" si="101"/>
        <v>15.033333337632939</v>
      </c>
      <c r="O163" s="7"/>
      <c r="P163" s="7"/>
      <c r="Q163" s="23"/>
      <c r="R163" s="23"/>
      <c r="S163" s="35">
        <f t="shared" si="102"/>
        <v>1</v>
      </c>
      <c r="T163" s="50" t="str">
        <f t="shared" si="103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05:21:12-700',mode:absolute,to:'2016-12-21 07:38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3" s="52" t="str">
        <f t="shared" si="104"/>
        <v>N</v>
      </c>
      <c r="X163" s="177">
        <f t="shared" si="91"/>
        <v>1</v>
      </c>
      <c r="Y163" s="67">
        <f t="shared" si="105"/>
        <v>9.6199999999999994E-2</v>
      </c>
      <c r="Z163" s="67">
        <f t="shared" si="106"/>
        <v>5.8910999999999998</v>
      </c>
      <c r="AA163" s="67">
        <f t="shared" si="107"/>
        <v>5.7949000000000002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108"/>
        <v>0803-21</v>
      </c>
      <c r="AE163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63" s="88" t="str">
        <f t="shared" si="79"/>
        <v>"C:\Program Files (x86)\AstroGrep\AstroGrep.exe" /spath="%USERPROFILE%\AppData\Local\Temp\OnboardLogs" /stypes="app*4046*20161221*" /stext=" 13:.+((SYSTEM_STATE.+slice.+state.+changed )|(ment ac)|(multiple cpu faults)|(system.+state.+changed )|(\[timeout)|(PRM\|1\|D)|(kpr)|(kdp)|(\|lc)|(penalty))" /e /r /s</v>
      </c>
      <c r="AG163" s="1" t="str">
        <f t="shared" si="109"/>
        <v>NW</v>
      </c>
      <c r="AH163" s="92" t="str">
        <f t="shared" si="68"/>
        <v>"%USERPROFILE%\Documents\GitHub\eaglep3\Utilities\RefineRTDCRunTimes.py" --tripid 803-21 --locoid 4046 --swversion DE.1.0.8.0 --startMP 204:962 --initTime 2016-12-21T06:21:12 --startdatetime 2016-12-21T06:23:48 --delay 1 --endMP 300:58911 --enddatetime 2016-12-21T06:38:50 --enforcementcount 0 &gt;&gt;C:\Users\stu\Documents\GitHub\eaglep3-reporting\EC\2016-12-21-refined-times.txt</v>
      </c>
      <c r="AI163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{"issue":{"subject":"","project_id":79,"tracker_id":40,"status_id":1,"priority_id":2,"assigned_to_id":23,"start_date":"2016-12-21","description":"","custom_fields":[{"id":1,"name":"Subdivision","value":"NW"},{"id":4,"name":"Milepost","value":"5.8911"},{"id":17,"name":"Train ID","value":"803-21"},{"id":16,"name":"Locomotive ID","value":"4046"},{"id":130,"name":"Impact","value":""},{"id":150,"name":"Time of Event (Mountain Time)","value":"06:38:50"},{"id":151,"name":"Denver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497</v>
      </c>
      <c r="B164" s="7">
        <v>4045</v>
      </c>
      <c r="C164" s="22" t="s">
        <v>205</v>
      </c>
      <c r="D164" s="22" t="s">
        <v>775</v>
      </c>
      <c r="E164" s="13">
        <v>42725.278784722221</v>
      </c>
      <c r="F164" s="13">
        <v>42725.280347222222</v>
      </c>
      <c r="G164" s="7">
        <v>1</v>
      </c>
      <c r="H164" s="22" t="s">
        <v>776</v>
      </c>
      <c r="I164" s="13">
        <v>42725.289375</v>
      </c>
      <c r="J164" s="7">
        <v>0</v>
      </c>
      <c r="K164" s="109" t="str">
        <f t="shared" si="99"/>
        <v>4045/4046</v>
      </c>
      <c r="L164" s="22" t="str">
        <f>VLOOKUP(A164,'Trips&amp;Operators'!$C$1:$G$99999,5,FALSE)</f>
        <v>DUNCAN SHEILA</v>
      </c>
      <c r="M164" s="6">
        <f t="shared" si="100"/>
        <v>9.0277777781011537E-3</v>
      </c>
      <c r="N164" s="7">
        <f t="shared" si="101"/>
        <v>13.000000000465661</v>
      </c>
      <c r="O164" s="7"/>
      <c r="P164" s="7"/>
      <c r="Q164" s="23"/>
      <c r="R164" s="23"/>
      <c r="S164" s="35">
        <f t="shared" si="102"/>
        <v>1</v>
      </c>
      <c r="T164" s="50" t="str">
        <f t="shared" si="103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05:41:27-700',mode:absolute,to:'2016-12-21 07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4" s="52" t="str">
        <f t="shared" si="104"/>
        <v>N</v>
      </c>
      <c r="X164" s="177">
        <f t="shared" si="91"/>
        <v>1</v>
      </c>
      <c r="Y164" s="67">
        <f t="shared" si="105"/>
        <v>5.8582999999999998</v>
      </c>
      <c r="Z164" s="67">
        <f t="shared" si="106"/>
        <v>6.8400000000000002E-2</v>
      </c>
      <c r="AA164" s="67">
        <f t="shared" si="107"/>
        <v>5.7899000000000003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108"/>
        <v>0804-21</v>
      </c>
      <c r="AE164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64" s="88" t="str">
        <f t="shared" si="79"/>
        <v>"C:\Program Files (x86)\AstroGrep\AstroGrep.exe" /spath="%USERPROFILE%\AppData\Local\Temp\OnboardLogs" /stypes="app*4045*20161221*" /stext=" 13:.+((SYSTEM_STATE.+slice.+state.+changed )|(ment ac)|(multiple cpu faults)|(system.+state.+changed )|(\[timeout)|(PRM\|1\|D)|(kpr)|(kdp)|(\|lc)|(penalty))" /e /r /s</v>
      </c>
      <c r="AG164" s="1" t="str">
        <f t="shared" si="109"/>
        <v>NW</v>
      </c>
      <c r="AH164" s="92" t="str">
        <f t="shared" si="68"/>
        <v>"%USERPROFILE%\Documents\GitHub\eaglep3\Utilities\RefineRTDCRunTimes.py" --tripid 804-21 --locoid 4045 --swversion DE.1.0.8.0 --startMP 300:58583 --initTime 2016-12-21T06:41:27 --startdatetime 2016-12-21T06:43:42 --delay 1 --endMP 204:684 --enddatetime 2016-12-21T06:56:42 --enforcementcount 0 &gt;&gt;C:\Users\stu\Documents\GitHub\eaglep3-reporting\EC\2016-12-21-refined-times.txt</v>
      </c>
      <c r="AI164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{"issue":{"subject":"","project_id":79,"tracker_id":40,"status_id":1,"priority_id":2,"assigned_to_id":23,"start_date":"2016-12-21","description":"","custom_fields":[{"id":1,"name":"Subdivision","value":"NW"},{"id":4,"name":"Milepost","value":"0.0684"},{"id":17,"name":"Train ID","value":"804-21"},{"id":16,"name":"Locomotive ID","value":"4045"},{"id":130,"name":"Impact","value":""},{"id":150,"name":"Time of Event (Mountain Time)","value":"06:56:42"},{"id":151,"name":"Denver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496</v>
      </c>
      <c r="B165" s="7">
        <v>4018</v>
      </c>
      <c r="C165" s="22" t="s">
        <v>205</v>
      </c>
      <c r="D165" s="22" t="s">
        <v>414</v>
      </c>
      <c r="E165" s="13">
        <v>42725.273333333331</v>
      </c>
      <c r="F165" s="13">
        <v>42725.285636574074</v>
      </c>
      <c r="G165" s="7">
        <v>10</v>
      </c>
      <c r="H165" s="22" t="s">
        <v>309</v>
      </c>
      <c r="I165" s="13">
        <v>42725.295104166667</v>
      </c>
      <c r="J165" s="7">
        <v>0</v>
      </c>
      <c r="K165" s="109" t="str">
        <f t="shared" si="99"/>
        <v>4017/4018</v>
      </c>
      <c r="L165" s="22" t="str">
        <f>VLOOKUP(A165,'Trips&amp;Operators'!$C$1:$G$99999,5,FALSE)</f>
        <v>SIMMONS SHYHESHA</v>
      </c>
      <c r="M165" s="6">
        <f t="shared" si="100"/>
        <v>9.4675925938645378E-3</v>
      </c>
      <c r="N165" s="7">
        <f t="shared" si="101"/>
        <v>13.633333335164934</v>
      </c>
      <c r="O165" s="7"/>
      <c r="P165" s="7"/>
      <c r="Q165" s="23"/>
      <c r="R165" s="23"/>
      <c r="S165" s="35">
        <f t="shared" si="102"/>
        <v>1</v>
      </c>
      <c r="T165" s="50" t="str">
        <f t="shared" si="103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05:33:36-700',mode:absolute,to:'2016-12-21 08:04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5" s="52" t="str">
        <f t="shared" si="104"/>
        <v>N</v>
      </c>
      <c r="X165" s="177">
        <f t="shared" si="91"/>
        <v>1</v>
      </c>
      <c r="Y165" s="67">
        <f t="shared" si="105"/>
        <v>0.10340000000000001</v>
      </c>
      <c r="Z165" s="67">
        <f t="shared" si="106"/>
        <v>5.8924000000000003</v>
      </c>
      <c r="AA165" s="67">
        <f t="shared" si="107"/>
        <v>5.7890000000000006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108"/>
        <v>0805-21</v>
      </c>
      <c r="AE165" s="91" t="str">
        <f t="shared" si="78"/>
        <v>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 &amp; 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</v>
      </c>
      <c r="AF165" s="88" t="str">
        <f t="shared" si="79"/>
        <v>"C:\Program Files (x86)\AstroGrep\AstroGrep.exe" /spath="%USERPROFILE%\AppData\Local\Temp\OnboardLogs" /stypes="app*4018*20161221*" /stext=" 14:.+((SYSTEM_STATE.+slice.+state.+changed )|(ment ac)|(multiple cpu faults)|(system.+state.+changed )|(\[timeout)|(PRM\|1\|D)|(kpr)|(kdp)|(\|lc)|(penalty))" /e /r /s</v>
      </c>
      <c r="AG165" s="1" t="str">
        <f t="shared" si="109"/>
        <v>NW</v>
      </c>
      <c r="AH165" s="92" t="str">
        <f t="shared" si="68"/>
        <v>"%USERPROFILE%\Documents\GitHub\eaglep3\Utilities\RefineRTDCRunTimes.py" --tripid 805-21 --locoid 4018 --swversion DE.1.0.8.0 --startMP 204:1034 --initTime 2016-12-21T06:33:36 --startdatetime 2016-12-21T06:51:19 --delay 10 --endMP 300:58924 --enddatetime 2016-12-21T07:04:57 --enforcementcount 0 &gt;&gt;C:\Users\stu\Documents\GitHub\eaglep3-reporting\EC\2016-12-21-refined-times.txt</v>
      </c>
      <c r="AI165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{"issue":{"subject":"","project_id":79,"tracker_id":40,"status_id":1,"priority_id":2,"assigned_to_id":23,"start_date":"2016-12-21","description":"","custom_fields":[{"id":1,"name":"Subdivision","value":"NW"},{"id":4,"name":"Milepost","value":"5.8924"},{"id":17,"name":"Train ID","value":"805-21"},{"id":16,"name":"Locomotive ID","value":"4018"},{"id":130,"name":"Impact","value":""},{"id":150,"name":"Time of Event (Mountain Time)","value":"07:04:57"},{"id":151,"name":"Denver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501</v>
      </c>
      <c r="B166" s="7">
        <v>4017</v>
      </c>
      <c r="C166" s="22" t="s">
        <v>205</v>
      </c>
      <c r="D166" s="22" t="s">
        <v>415</v>
      </c>
      <c r="E166" s="13">
        <v>42725.296331018515</v>
      </c>
      <c r="F166" s="13">
        <v>42725.299189814818</v>
      </c>
      <c r="G166" s="7">
        <v>1</v>
      </c>
      <c r="H166" s="22" t="s">
        <v>777</v>
      </c>
      <c r="I166" s="13">
        <v>42725.309560185182</v>
      </c>
      <c r="J166" s="7">
        <v>0</v>
      </c>
      <c r="K166" s="109" t="str">
        <f t="shared" si="99"/>
        <v>4017/4018</v>
      </c>
      <c r="L166" s="22" t="str">
        <f>VLOOKUP(A166,'Trips&amp;Operators'!$C$1:$G$99999,5,FALSE)</f>
        <v>SIMMONS SHYHESHA</v>
      </c>
      <c r="M166" s="6">
        <f t="shared" si="100"/>
        <v>1.0370370364398696E-2</v>
      </c>
      <c r="N166" s="7">
        <f t="shared" si="101"/>
        <v>14.933333324734122</v>
      </c>
      <c r="O166" s="7"/>
      <c r="P166" s="7"/>
      <c r="Q166" s="23"/>
      <c r="R166" s="23"/>
      <c r="S166" s="35">
        <f t="shared" si="102"/>
        <v>1</v>
      </c>
      <c r="T166" s="50" t="str">
        <f t="shared" si="103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06:06:43-700',mode:absolute,to:'2016-12-21 08:25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6" s="52" t="str">
        <f t="shared" si="104"/>
        <v>N</v>
      </c>
      <c r="X166" s="177">
        <f t="shared" si="91"/>
        <v>1</v>
      </c>
      <c r="Y166" s="67">
        <f t="shared" si="105"/>
        <v>5.8609</v>
      </c>
      <c r="Z166" s="67">
        <f t="shared" si="106"/>
        <v>7.7600000000000002E-2</v>
      </c>
      <c r="AA166" s="67">
        <f t="shared" si="107"/>
        <v>5.7832999999999997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108"/>
        <v>0806-21</v>
      </c>
      <c r="AE166" s="91" t="str">
        <f t="shared" si="78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66" s="88" t="str">
        <f t="shared" si="79"/>
        <v>"C:\Program Files (x86)\AstroGrep\AstroGrep.exe" /spath="%USERPROFILE%\AppData\Local\Temp\OnboardLogs" /stypes="app*4017*20161221*" /stext=" 14:.+((SYSTEM_STATE.+slice.+state.+changed )|(ment ac)|(multiple cpu faults)|(system.+state.+changed )|(\[timeout)|(PRM\|1\|D)|(kpr)|(kdp)|(\|lc)|(penalty))" /e /r /s</v>
      </c>
      <c r="AG166" s="1" t="str">
        <f t="shared" si="109"/>
        <v>NW</v>
      </c>
      <c r="AH166" s="92" t="str">
        <f t="shared" si="68"/>
        <v>"%USERPROFILE%\Documents\GitHub\eaglep3\Utilities\RefineRTDCRunTimes.py" --tripid 806-21 --locoid 4017 --swversion DE.1.0.8.0 --startMP 300:58609 --initTime 2016-12-21T07:06:43 --startdatetime 2016-12-21T07:10:50 --delay 1 --endMP 204:776 --enddatetime 2016-12-21T07:25:46 --enforcementcount 0 &gt;&gt;C:\Users\stu\Documents\GitHub\eaglep3-reporting\EC\2016-12-21-refined-times.txt</v>
      </c>
      <c r="AI166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{"issue":{"subject":"","project_id":79,"tracker_id":40,"status_id":1,"priority_id":2,"assigned_to_id":23,"start_date":"2016-12-21","description":"","custom_fields":[{"id":1,"name":"Subdivision","value":"NW"},{"id":4,"name":"Milepost","value":"0.0776"},{"id":17,"name":"Train ID","value":"806-21"},{"id":16,"name":"Locomotive ID","value":"4017"},{"id":130,"name":"Impact","value":""},{"id":150,"name":"Time of Event (Mountain Time)","value":"07:25:46"},{"id":151,"name":"Denver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432</v>
      </c>
      <c r="B167" s="7">
        <v>4046</v>
      </c>
      <c r="C167" s="22" t="s">
        <v>205</v>
      </c>
      <c r="D167" s="22" t="s">
        <v>778</v>
      </c>
      <c r="E167" s="13">
        <v>42725.304143518515</v>
      </c>
      <c r="F167" s="13">
        <v>42725.306516203702</v>
      </c>
      <c r="G167" s="7">
        <v>1</v>
      </c>
      <c r="H167" s="22" t="s">
        <v>289</v>
      </c>
      <c r="I167" s="13">
        <v>42725.316400462965</v>
      </c>
      <c r="J167" s="7">
        <v>0</v>
      </c>
      <c r="K167" s="109" t="str">
        <f t="shared" si="99"/>
        <v>4045/4046</v>
      </c>
      <c r="L167" s="22" t="str">
        <f>VLOOKUP(A167,'Trips&amp;Operators'!$C$1:$G$99999,5,FALSE)</f>
        <v>DUNCAN SHEILA</v>
      </c>
      <c r="M167" s="6">
        <f t="shared" si="100"/>
        <v>9.8842592633445747E-3</v>
      </c>
      <c r="N167" s="7">
        <f t="shared" si="101"/>
        <v>14.233333339216188</v>
      </c>
      <c r="O167" s="7"/>
      <c r="P167" s="7"/>
      <c r="Q167" s="23"/>
      <c r="R167" s="23"/>
      <c r="S167" s="35">
        <f t="shared" si="102"/>
        <v>1</v>
      </c>
      <c r="T167" s="50" t="str">
        <f t="shared" si="103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06:17:58-700',mode:absolute,to:'2016-12-21 08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7" s="52" t="str">
        <f t="shared" si="104"/>
        <v>N</v>
      </c>
      <c r="X167" s="177">
        <f t="shared" si="91"/>
        <v>1</v>
      </c>
      <c r="Y167" s="67">
        <f t="shared" si="105"/>
        <v>9.64E-2</v>
      </c>
      <c r="Z167" s="67">
        <f t="shared" si="106"/>
        <v>5.8933</v>
      </c>
      <c r="AA167" s="67">
        <f t="shared" si="107"/>
        <v>5.7968999999999999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108"/>
        <v>0807-21</v>
      </c>
      <c r="AE167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67" s="88" t="str">
        <f t="shared" si="79"/>
        <v>"C:\Program Files (x86)\AstroGrep\AstroGrep.exe" /spath="%USERPROFILE%\AppData\Local\Temp\OnboardLogs" /stypes="app*4046*20161221*" /stext=" 14:.+((SYSTEM_STATE.+slice.+state.+changed )|(ment ac)|(multiple cpu faults)|(system.+state.+changed )|(\[timeout)|(PRM\|1\|D)|(kpr)|(kdp)|(\|lc)|(penalty))" /e /r /s</v>
      </c>
      <c r="AG167" s="1" t="str">
        <f t="shared" si="109"/>
        <v>NW</v>
      </c>
      <c r="AH167" s="92" t="str">
        <f t="shared" si="68"/>
        <v>"%USERPROFILE%\Documents\GitHub\eaglep3\Utilities\RefineRTDCRunTimes.py" --tripid 807-21 --locoid 4046 --swversion DE.1.0.8.0 --startMP 204:964 --initTime 2016-12-21T07:17:58 --startdatetime 2016-12-21T07:21:23 --delay 1 --endMP 300:58933 --enddatetime 2016-12-21T07:35:37 --enforcementcount 0 &gt;&gt;C:\Users\stu\Documents\GitHub\eaglep3-reporting\EC\2016-12-21-refined-times.txt</v>
      </c>
      <c r="AI167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{"issue":{"subject":"","project_id":79,"tracker_id":40,"status_id":1,"priority_id":2,"assigned_to_id":23,"start_date":"2016-12-21","description":"","custom_fields":[{"id":1,"name":"Subdivision","value":"NW"},{"id":4,"name":"Milepost","value":"5.8933"},{"id":17,"name":"Train ID","value":"807-21"},{"id":16,"name":"Locomotive ID","value":"4046"},{"id":130,"name":"Impact","value":""},{"id":150,"name":"Time of Event (Mountain Time)","value":"07:35:37"},{"id":151,"name":"Denver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506</v>
      </c>
      <c r="B168" s="7">
        <v>4045</v>
      </c>
      <c r="C168" s="22" t="s">
        <v>205</v>
      </c>
      <c r="D168" s="22" t="s">
        <v>310</v>
      </c>
      <c r="E168" s="13">
        <v>42725.317708333336</v>
      </c>
      <c r="F168" s="13">
        <v>42725.319918981484</v>
      </c>
      <c r="G168" s="7">
        <v>1</v>
      </c>
      <c r="H168" s="22" t="s">
        <v>779</v>
      </c>
      <c r="I168" s="13">
        <v>42725.330717592595</v>
      </c>
      <c r="J168" s="7">
        <v>0</v>
      </c>
      <c r="K168" s="109" t="str">
        <f t="shared" si="99"/>
        <v>4045/4046</v>
      </c>
      <c r="L168" s="22" t="str">
        <f>VLOOKUP(A168,'Trips&amp;Operators'!$C$1:$G$99999,5,FALSE)</f>
        <v>DUNCAN SHEILA</v>
      </c>
      <c r="M168" s="6">
        <f t="shared" si="100"/>
        <v>1.0798611110658385E-2</v>
      </c>
      <c r="N168" s="7">
        <f t="shared" si="101"/>
        <v>15.549999999348074</v>
      </c>
      <c r="O168" s="7"/>
      <c r="P168" s="7"/>
      <c r="Q168" s="23"/>
      <c r="R168" s="23"/>
      <c r="S168" s="35">
        <f t="shared" si="102"/>
        <v>1</v>
      </c>
      <c r="T168" s="50" t="str">
        <f t="shared" si="103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06:37:30-700',mode:absolute,to:'2016-12-21 08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8" s="52" t="str">
        <f t="shared" si="104"/>
        <v>N</v>
      </c>
      <c r="X168" s="177">
        <f t="shared" ref="X168:X199" si="110">VALUE(LEFT(AD168,4))-VALUE(LEFT(AD167,4))</f>
        <v>1</v>
      </c>
      <c r="Y168" s="67">
        <f t="shared" si="105"/>
        <v>5.8619000000000003</v>
      </c>
      <c r="Z168" s="67">
        <f t="shared" si="106"/>
        <v>7.22E-2</v>
      </c>
      <c r="AA168" s="67">
        <f t="shared" si="107"/>
        <v>5.7897000000000007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108"/>
        <v>0808-21</v>
      </c>
      <c r="AE168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68" s="88" t="str">
        <f t="shared" si="79"/>
        <v>"C:\Program Files (x86)\AstroGrep\AstroGrep.exe" /spath="%USERPROFILE%\AppData\Local\Temp\OnboardLogs" /stypes="app*4045*20161221*" /stext=" 14:.+((SYSTEM_STATE.+slice.+state.+changed )|(ment ac)|(multiple cpu faults)|(system.+state.+changed )|(\[timeout)|(PRM\|1\|D)|(kpr)|(kdp)|(\|lc)|(penalty))" /e /r /s</v>
      </c>
      <c r="AG168" s="1" t="str">
        <f t="shared" si="109"/>
        <v>NW</v>
      </c>
      <c r="AH168" s="92" t="str">
        <f t="shared" si="68"/>
        <v>"%USERPROFILE%\Documents\GitHub\eaglep3\Utilities\RefineRTDCRunTimes.py" --tripid 808-21 --locoid 4045 --swversion DE.1.0.8.0 --startMP 300:58619 --initTime 2016-12-21T07:37:30 --startdatetime 2016-12-21T07:40:41 --delay 1 --endMP 204:722 --enddatetime 2016-12-21T07:56:14 --enforcementcount 0 &gt;&gt;C:\Users\stu\Documents\GitHub\eaglep3-reporting\EC\2016-12-21-refined-times.txt</v>
      </c>
      <c r="AI168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{"issue":{"subject":"","project_id":79,"tracker_id":40,"status_id":1,"priority_id":2,"assigned_to_id":23,"start_date":"2016-12-21","description":"","custom_fields":[{"id":1,"name":"Subdivision","value":"NW"},{"id":4,"name":"Milepost","value":"0.0722"},{"id":17,"name":"Train ID","value":"808-21"},{"id":16,"name":"Locomotive ID","value":"4045"},{"id":130,"name":"Impact","value":""},{"id":150,"name":"Time of Event (Mountain Time)","value":"07:56:14"},{"id":151,"name":"Denver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508</v>
      </c>
      <c r="B169" s="7">
        <v>4018</v>
      </c>
      <c r="C169" s="22" t="s">
        <v>205</v>
      </c>
      <c r="D169" s="22" t="s">
        <v>780</v>
      </c>
      <c r="E169" s="13">
        <v>42725.323842592596</v>
      </c>
      <c r="F169" s="13">
        <v>42725.327384259261</v>
      </c>
      <c r="G169" s="7">
        <v>0</v>
      </c>
      <c r="H169" s="22" t="s">
        <v>781</v>
      </c>
      <c r="I169" s="13">
        <v>42725.335659722223</v>
      </c>
      <c r="J169" s="7">
        <v>0</v>
      </c>
      <c r="K169" s="109" t="str">
        <f t="shared" si="99"/>
        <v>4017/4018</v>
      </c>
      <c r="L169" s="22" t="str">
        <f>VLOOKUP(A169,'Trips&amp;Operators'!$C$1:$G$99999,5,FALSE)</f>
        <v>SIMMONS SHYHESHA</v>
      </c>
      <c r="M169" s="6">
        <f t="shared" si="100"/>
        <v>8.2754629620467313E-3</v>
      </c>
      <c r="N169" s="7">
        <f t="shared" si="101"/>
        <v>11.916666665347293</v>
      </c>
      <c r="O169" s="7"/>
      <c r="P169" s="7"/>
      <c r="Q169" s="23"/>
      <c r="R169" s="23"/>
      <c r="S169" s="35">
        <f t="shared" si="102"/>
        <v>1</v>
      </c>
      <c r="T169" s="50" t="str">
        <f t="shared" si="103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06:46:20-700',mode:absolute,to:'2016-12-21 09:03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9" s="52" t="str">
        <f t="shared" si="104"/>
        <v>N</v>
      </c>
      <c r="X169" s="177">
        <f t="shared" si="110"/>
        <v>1</v>
      </c>
      <c r="Y169" s="67">
        <f t="shared" si="105"/>
        <v>0.1051</v>
      </c>
      <c r="Z169" s="67">
        <f t="shared" si="106"/>
        <v>5.8083999999999998</v>
      </c>
      <c r="AA169" s="67">
        <f t="shared" si="107"/>
        <v>5.7032999999999996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108"/>
        <v>0809-21</v>
      </c>
      <c r="AE169" s="91" t="str">
        <f t="shared" si="78"/>
        <v>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 &amp; 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</v>
      </c>
      <c r="AF169" s="88" t="str">
        <f t="shared" si="79"/>
        <v>"C:\Program Files (x86)\AstroGrep\AstroGrep.exe" /spath="%USERPROFILE%\AppData\Local\Temp\OnboardLogs" /stypes="app*4018*20161221*" /stext=" 15:.+((SYSTEM_STATE.+slice.+state.+changed )|(ment ac)|(multiple cpu faults)|(system.+state.+changed )|(\[timeout)|(PRM\|1\|D)|(kpr)|(kdp)|(\|lc)|(penalty))" /e /r /s</v>
      </c>
      <c r="AG169" s="1" t="str">
        <f t="shared" si="109"/>
        <v>NW</v>
      </c>
      <c r="AH169" s="92" t="str">
        <f t="shared" si="68"/>
        <v>"%USERPROFILE%\Documents\GitHub\eaglep3\Utilities\RefineRTDCRunTimes.py" --tripid 809-21 --locoid 4018 --swversion DE.1.0.8.0 --startMP 204:1051 --initTime 2016-12-21T07:46:20 --startdatetime 2016-12-21T07:51:26 --delay 0 --endMP 300:58084 --enddatetime 2016-12-21T08:03:21 --enforcementcount 0 &gt;&gt;C:\Users\stu\Documents\GitHub\eaglep3-reporting\EC\2016-12-21-refined-times.txt</v>
      </c>
      <c r="AI169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{"issue":{"subject":"","project_id":79,"tracker_id":40,"status_id":1,"priority_id":2,"assigned_to_id":23,"start_date":"2016-12-21","description":"","custom_fields":[{"id":1,"name":"Subdivision","value":"NW"},{"id":4,"name":"Milepost","value":"5.8084"},{"id":17,"name":"Train ID","value":"809-21"},{"id":16,"name":"Locomotive ID","value":"4018"},{"id":130,"name":"Impact","value":""},{"id":150,"name":"Time of Event (Mountain Time)","value":"08:03:21"},{"id":151,"name":"Denver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511</v>
      </c>
      <c r="B170" s="7">
        <v>4017</v>
      </c>
      <c r="C170" s="22" t="s">
        <v>205</v>
      </c>
      <c r="D170" s="22" t="s">
        <v>782</v>
      </c>
      <c r="E170" s="13">
        <v>42725.338194444441</v>
      </c>
      <c r="F170" s="13">
        <v>42725.340648148151</v>
      </c>
      <c r="G170" s="7">
        <v>1</v>
      </c>
      <c r="H170" s="22" t="s">
        <v>783</v>
      </c>
      <c r="I170" s="13">
        <v>42725.351504629631</v>
      </c>
      <c r="J170" s="7">
        <v>0</v>
      </c>
      <c r="K170" s="109" t="str">
        <f t="shared" si="99"/>
        <v>4017/4018</v>
      </c>
      <c r="L170" s="22" t="str">
        <f>VLOOKUP(A170,'Trips&amp;Operators'!$C$1:$G$99999,5,FALSE)</f>
        <v>SIMMONS SHYHESHA</v>
      </c>
      <c r="M170" s="6">
        <f t="shared" si="100"/>
        <v>1.0856481480004732E-2</v>
      </c>
      <c r="N170" s="7">
        <f t="shared" si="101"/>
        <v>15.633333331206813</v>
      </c>
      <c r="O170" s="7"/>
      <c r="P170" s="7"/>
      <c r="Q170" s="23"/>
      <c r="R170" s="23"/>
      <c r="S170" s="35">
        <f t="shared" si="102"/>
        <v>1</v>
      </c>
      <c r="T170" s="50" t="str">
        <f t="shared" si="103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07:07:00-700',mode:absolute,to:'2016-12-21 09:26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0" s="52" t="str">
        <f t="shared" si="104"/>
        <v>N</v>
      </c>
      <c r="X170" s="177">
        <f t="shared" si="110"/>
        <v>1</v>
      </c>
      <c r="Y170" s="67">
        <f t="shared" si="105"/>
        <v>5.8593999999999999</v>
      </c>
      <c r="Z170" s="67">
        <f t="shared" si="106"/>
        <v>9.3600000000000003E-2</v>
      </c>
      <c r="AA170" s="67">
        <f t="shared" si="107"/>
        <v>5.7657999999999996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108"/>
        <v>0810-21</v>
      </c>
      <c r="AE170" s="91" t="str">
        <f t="shared" si="78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70" s="88" t="str">
        <f t="shared" si="79"/>
        <v>"C:\Program Files (x86)\AstroGrep\AstroGrep.exe" /spath="%USERPROFILE%\AppData\Local\Temp\OnboardLogs" /stypes="app*4017*20161221*" /stext=" 15:.+((SYSTEM_STATE.+slice.+state.+changed )|(ment ac)|(multiple cpu faults)|(system.+state.+changed )|(\[timeout)|(PRM\|1\|D)|(kpr)|(kdp)|(\|lc)|(penalty))" /e /r /s</v>
      </c>
      <c r="AG170" s="1" t="str">
        <f t="shared" si="109"/>
        <v>NW</v>
      </c>
      <c r="AH170" s="92" t="str">
        <f t="shared" si="68"/>
        <v>"%USERPROFILE%\Documents\GitHub\eaglep3\Utilities\RefineRTDCRunTimes.py" --tripid 810-21 --locoid 4017 --swversion DE.1.0.8.0 --startMP 300:58594 --initTime 2016-12-21T08:07:00 --startdatetime 2016-12-21T08:10:32 --delay 1 --endMP 204:936 --enddatetime 2016-12-21T08:26:10 --enforcementcount 0 &gt;&gt;C:\Users\stu\Documents\GitHub\eaglep3-reporting\EC\2016-12-21-refined-times.txt</v>
      </c>
      <c r="AI170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{"issue":{"subject":"","project_id":79,"tracker_id":40,"status_id":1,"priority_id":2,"assigned_to_id":23,"start_date":"2016-12-21","description":"","custom_fields":[{"id":1,"name":"Subdivision","value":"NW"},{"id":4,"name":"Milepost","value":"0.0936"},{"id":17,"name":"Train ID","value":"810-21"},{"id":16,"name":"Locomotive ID","value":"4017"},{"id":130,"name":"Impact","value":""},{"id":150,"name":"Time of Event (Mountain Time)","value":"08:26:10"},{"id":151,"name":"Denver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513</v>
      </c>
      <c r="B171" s="7">
        <v>4046</v>
      </c>
      <c r="C171" s="22" t="s">
        <v>205</v>
      </c>
      <c r="D171" s="22" t="s">
        <v>784</v>
      </c>
      <c r="E171" s="13">
        <v>42725.346921296295</v>
      </c>
      <c r="F171" s="13">
        <v>42725.348703703705</v>
      </c>
      <c r="G171" s="7">
        <v>1</v>
      </c>
      <c r="H171" s="22" t="s">
        <v>309</v>
      </c>
      <c r="I171" s="13">
        <v>42725.358275462961</v>
      </c>
      <c r="J171" s="7">
        <v>0</v>
      </c>
      <c r="K171" s="109" t="str">
        <f t="shared" si="99"/>
        <v>4045/4046</v>
      </c>
      <c r="L171" s="22" t="str">
        <f>VLOOKUP(A171,'Trips&amp;Operators'!$C$1:$G$99999,5,FALSE)</f>
        <v>DUNCAN SHEILA</v>
      </c>
      <c r="M171" s="6">
        <f t="shared" si="100"/>
        <v>9.5717592557775788E-3</v>
      </c>
      <c r="N171" s="7">
        <f t="shared" si="101"/>
        <v>13.783333328319713</v>
      </c>
      <c r="O171" s="7"/>
      <c r="P171" s="7"/>
      <c r="Q171" s="23"/>
      <c r="R171" s="23"/>
      <c r="S171" s="35">
        <f t="shared" si="102"/>
        <v>1</v>
      </c>
      <c r="T171" s="50" t="str">
        <f t="shared" si="103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07:19:34-700',mode:absolute,to:'2016-12-21 09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1" s="52" t="str">
        <f t="shared" si="104"/>
        <v>N</v>
      </c>
      <c r="X171" s="177">
        <f t="shared" si="110"/>
        <v>1</v>
      </c>
      <c r="Y171" s="67">
        <f t="shared" si="105"/>
        <v>9.7600000000000006E-2</v>
      </c>
      <c r="Z171" s="67">
        <f t="shared" si="106"/>
        <v>5.8924000000000003</v>
      </c>
      <c r="AA171" s="67">
        <f t="shared" si="107"/>
        <v>5.7948000000000004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108"/>
        <v>0811-21</v>
      </c>
      <c r="AE171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71" s="88" t="str">
        <f t="shared" si="79"/>
        <v>"C:\Program Files (x86)\AstroGrep\AstroGrep.exe" /spath="%USERPROFILE%\AppData\Local\Temp\OnboardLogs" /stypes="app*4046*20161221*" /stext=" 15:.+((SYSTEM_STATE.+slice.+state.+changed )|(ment ac)|(multiple cpu faults)|(system.+state.+changed )|(\[timeout)|(PRM\|1\|D)|(kpr)|(kdp)|(\|lc)|(penalty))" /e /r /s</v>
      </c>
      <c r="AG171" s="1" t="str">
        <f t="shared" si="109"/>
        <v>NW</v>
      </c>
      <c r="AH171" s="92" t="str">
        <f t="shared" si="68"/>
        <v>"%USERPROFILE%\Documents\GitHub\eaglep3\Utilities\RefineRTDCRunTimes.py" --tripid 811-21 --locoid 4046 --swversion DE.1.0.8.0 --startMP 204:976 --initTime 2016-12-21T08:19:34 --startdatetime 2016-12-21T08:22:08 --delay 1 --endMP 300:58924 --enddatetime 2016-12-21T08:35:55 --enforcementcount 0 &gt;&gt;C:\Users\stu\Documents\GitHub\eaglep3-reporting\EC\2016-12-21-refined-times.txt</v>
      </c>
      <c r="AI171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{"issue":{"subject":"","project_id":79,"tracker_id":40,"status_id":1,"priority_id":2,"assigned_to_id":23,"start_date":"2016-12-21","description":"","custom_fields":[{"id":1,"name":"Subdivision","value":"NW"},{"id":4,"name":"Milepost","value":"5.8924"},{"id":17,"name":"Train ID","value":"811-21"},{"id":16,"name":"Locomotive ID","value":"4046"},{"id":130,"name":"Impact","value":""},{"id":150,"name":"Time of Event (Mountain Time)","value":"08:35:55"},{"id":151,"name":"Denver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516</v>
      </c>
      <c r="B172" s="7">
        <v>4045</v>
      </c>
      <c r="C172" s="22" t="s">
        <v>205</v>
      </c>
      <c r="D172" s="22" t="s">
        <v>785</v>
      </c>
      <c r="E172" s="13">
        <v>42725.359618055554</v>
      </c>
      <c r="F172" s="13">
        <v>42725.361712962964</v>
      </c>
      <c r="G172" s="7">
        <v>1</v>
      </c>
      <c r="H172" s="22" t="s">
        <v>786</v>
      </c>
      <c r="I172" s="13">
        <v>42725.371689814812</v>
      </c>
      <c r="J172" s="7">
        <v>0</v>
      </c>
      <c r="K172" s="109" t="str">
        <f t="shared" si="99"/>
        <v>4045/4046</v>
      </c>
      <c r="L172" s="22" t="str">
        <f>VLOOKUP(A172,'Trips&amp;Operators'!$C$1:$G$99999,5,FALSE)</f>
        <v>DUNCAN SHEILA</v>
      </c>
      <c r="M172" s="6">
        <f t="shared" si="100"/>
        <v>9.9768518484779634E-3</v>
      </c>
      <c r="N172" s="7">
        <f t="shared" si="101"/>
        <v>14.366666661808267</v>
      </c>
      <c r="O172" s="7"/>
      <c r="P172" s="7"/>
      <c r="Q172" s="23"/>
      <c r="R172" s="23"/>
      <c r="S172" s="35">
        <f t="shared" si="102"/>
        <v>1</v>
      </c>
      <c r="T172" s="50" t="str">
        <f t="shared" si="103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07:37:51-700',mode:absolute,to:'2016-12-21 09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2" s="52" t="str">
        <f t="shared" si="104"/>
        <v>N</v>
      </c>
      <c r="X172" s="177">
        <f t="shared" si="110"/>
        <v>1</v>
      </c>
      <c r="Y172" s="67">
        <f t="shared" si="105"/>
        <v>5.8605999999999998</v>
      </c>
      <c r="Z172" s="67">
        <f t="shared" si="106"/>
        <v>6.59E-2</v>
      </c>
      <c r="AA172" s="67">
        <f t="shared" si="107"/>
        <v>5.7946999999999997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108"/>
        <v>0812-21</v>
      </c>
      <c r="AE172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72" s="88" t="str">
        <f t="shared" si="79"/>
        <v>"C:\Program Files (x86)\AstroGrep\AstroGrep.exe" /spath="%USERPROFILE%\AppData\Local\Temp\OnboardLogs" /stypes="app*4045*20161221*" /stext=" 15:.+((SYSTEM_STATE.+slice.+state.+changed )|(ment ac)|(multiple cpu faults)|(system.+state.+changed )|(\[timeout)|(PRM\|1\|D)|(kpr)|(kdp)|(\|lc)|(penalty))" /e /r /s</v>
      </c>
      <c r="AG172" s="1" t="str">
        <f t="shared" si="109"/>
        <v>NW</v>
      </c>
      <c r="AH172" s="92" t="str">
        <f t="shared" si="68"/>
        <v>"%USERPROFILE%\Documents\GitHub\eaglep3\Utilities\RefineRTDCRunTimes.py" --tripid 812-21 --locoid 4045 --swversion DE.1.0.8.0 --startMP 300:58606 --initTime 2016-12-21T08:37:51 --startdatetime 2016-12-21T08:40:52 --delay 1 --endMP 204:659 --enddatetime 2016-12-21T08:55:14 --enforcementcount 0 &gt;&gt;C:\Users\stu\Documents\GitHub\eaglep3-reporting\EC\2016-12-21-refined-times.txt</v>
      </c>
      <c r="AI172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{"issue":{"subject":"","project_id":79,"tracker_id":40,"status_id":1,"priority_id":2,"assigned_to_id":23,"start_date":"2016-12-21","description":"","custom_fields":[{"id":1,"name":"Subdivision","value":"NW"},{"id":4,"name":"Milepost","value":"0.0659"},{"id":17,"name":"Train ID","value":"812-21"},{"id":16,"name":"Locomotive ID","value":"4045"},{"id":130,"name":"Impact","value":""},{"id":150,"name":"Time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520</v>
      </c>
      <c r="B173" s="7">
        <v>4046</v>
      </c>
      <c r="C173" s="22" t="s">
        <v>205</v>
      </c>
      <c r="D173" s="22" t="s">
        <v>787</v>
      </c>
      <c r="E173" s="13">
        <v>42725.375856481478</v>
      </c>
      <c r="F173" s="13">
        <v>42725.389918981484</v>
      </c>
      <c r="G173" s="7">
        <v>1</v>
      </c>
      <c r="H173" s="22" t="s">
        <v>313</v>
      </c>
      <c r="I173" s="13">
        <v>42725.39980324074</v>
      </c>
      <c r="J173" s="7">
        <v>0</v>
      </c>
      <c r="K173" s="109" t="str">
        <f t="shared" si="99"/>
        <v>4045/4046</v>
      </c>
      <c r="L173" s="22" t="str">
        <f>VLOOKUP(A173,'Trips&amp;Operators'!$C$1:$G$99999,5,FALSE)</f>
        <v>DUNCAN SHEILA</v>
      </c>
      <c r="M173" s="6">
        <f t="shared" si="100"/>
        <v>9.8842592560686171E-3</v>
      </c>
      <c r="N173" s="7">
        <f t="shared" si="101"/>
        <v>14.233333328738809</v>
      </c>
      <c r="O173" s="7"/>
      <c r="P173" s="7"/>
      <c r="Q173" s="23"/>
      <c r="R173" s="23"/>
      <c r="S173" s="35">
        <f t="shared" si="102"/>
        <v>1</v>
      </c>
      <c r="T173" s="50" t="str">
        <f t="shared" si="103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08:01:14-700',mode:absolute,to:'2016-12-21 10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3" s="52" t="str">
        <f t="shared" si="104"/>
        <v>N</v>
      </c>
      <c r="X173" s="177">
        <f t="shared" si="110"/>
        <v>1</v>
      </c>
      <c r="Y173" s="67">
        <f t="shared" si="105"/>
        <v>9.5799999999999996E-2</v>
      </c>
      <c r="Z173" s="67">
        <f t="shared" si="106"/>
        <v>5.8925999999999998</v>
      </c>
      <c r="AA173" s="67">
        <f t="shared" si="107"/>
        <v>5.7968000000000002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108"/>
        <v>0813-21</v>
      </c>
      <c r="AE173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73" s="88" t="str">
        <f t="shared" si="79"/>
        <v>"C:\Program Files (x86)\AstroGrep\AstroGrep.exe" /spath="%USERPROFILE%\AppData\Local\Temp\OnboardLogs" /stypes="app*4046*20161221*" /stext=" 16:.+((SYSTEM_STATE.+slice.+state.+changed )|(ment ac)|(multiple cpu faults)|(system.+state.+changed )|(\[timeout)|(PRM\|1\|D)|(kpr)|(kdp)|(\|lc)|(penalty))" /e /r /s</v>
      </c>
      <c r="AG173" s="1" t="str">
        <f t="shared" si="109"/>
        <v>NW</v>
      </c>
      <c r="AH173" s="92" t="str">
        <f t="shared" si="68"/>
        <v>"%USERPROFILE%\Documents\GitHub\eaglep3\Utilities\RefineRTDCRunTimes.py" --tripid 813-21 --locoid 4046 --swversion DE.1.0.8.0 --startMP 204:958 --initTime 2016-12-21T09:01:14 --startdatetime 2016-12-21T09:21:29 --delay 1 --endMP 300:58926 --enddatetime 2016-12-21T09:35:43 --enforcementcount 0 &gt;&gt;C:\Users\stu\Documents\GitHub\eaglep3-reporting\EC\2016-12-21-refined-times.txt</v>
      </c>
      <c r="AI173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{"issue":{"subject":"","project_id":79,"tracker_id":40,"status_id":1,"priority_id":2,"assigned_to_id":23,"start_date":"2016-12-21","description":"","custom_fields":[{"id":1,"name":"Subdivision","value":"NW"},{"id":4,"name":"Milepost","value":"5.8926"},{"id":17,"name":"Train ID","value":"813-21"},{"id":16,"name":"Locomotive ID","value":"4046"},{"id":130,"name":"Impact","value":""},{"id":150,"name":"Time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436</v>
      </c>
      <c r="B174" s="7">
        <v>4045</v>
      </c>
      <c r="C174" s="22" t="s">
        <v>205</v>
      </c>
      <c r="D174" s="22" t="s">
        <v>292</v>
      </c>
      <c r="E174" s="13">
        <v>42725.400902777779</v>
      </c>
      <c r="F174" s="13">
        <v>42725.40283564815</v>
      </c>
      <c r="G174" s="7">
        <v>1</v>
      </c>
      <c r="H174" s="22" t="s">
        <v>311</v>
      </c>
      <c r="I174" s="13">
        <v>42725.413634259261</v>
      </c>
      <c r="J174" s="7">
        <v>0</v>
      </c>
      <c r="K174" s="109" t="str">
        <f t="shared" si="99"/>
        <v>4045/4046</v>
      </c>
      <c r="L174" s="22" t="str">
        <f>VLOOKUP(A174,'Trips&amp;Operators'!$C$1:$G$99999,5,FALSE)</f>
        <v>DUNCAN SHEILA</v>
      </c>
      <c r="M174" s="6">
        <f t="shared" si="100"/>
        <v>1.0798611110658385E-2</v>
      </c>
      <c r="N174" s="7">
        <f t="shared" si="101"/>
        <v>15.549999999348074</v>
      </c>
      <c r="O174" s="7"/>
      <c r="P174" s="7"/>
      <c r="Q174" s="23"/>
      <c r="R174" s="23"/>
      <c r="S174" s="35">
        <f t="shared" si="102"/>
        <v>1</v>
      </c>
      <c r="T174" s="50" t="str">
        <f t="shared" si="103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08:37:18-700',mode:absolute,to:'2016-12-21 10:55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4" s="52" t="str">
        <f t="shared" si="104"/>
        <v>N</v>
      </c>
      <c r="X174" s="177">
        <f t="shared" si="110"/>
        <v>1</v>
      </c>
      <c r="Y174" s="67">
        <f t="shared" si="105"/>
        <v>5.8615000000000004</v>
      </c>
      <c r="Z174" s="67">
        <f t="shared" si="106"/>
        <v>6.6799999999999998E-2</v>
      </c>
      <c r="AA174" s="67">
        <f t="shared" si="107"/>
        <v>5.7947000000000006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108"/>
        <v>0814-21</v>
      </c>
      <c r="AE174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74" s="88" t="str">
        <f t="shared" si="79"/>
        <v>"C:\Program Files (x86)\AstroGrep\AstroGrep.exe" /spath="%USERPROFILE%\AppData\Local\Temp\OnboardLogs" /stypes="app*4045*20161221*" /stext=" 16:.+((SYSTEM_STATE.+slice.+state.+changed )|(ment ac)|(multiple cpu faults)|(system.+state.+changed )|(\[timeout)|(PRM\|1\|D)|(kpr)|(kdp)|(\|lc)|(penalty))" /e /r /s</v>
      </c>
      <c r="AG174" s="1" t="str">
        <f t="shared" si="109"/>
        <v>NW</v>
      </c>
      <c r="AH174" s="92" t="str">
        <f t="shared" si="68"/>
        <v>"%USERPROFILE%\Documents\GitHub\eaglep3\Utilities\RefineRTDCRunTimes.py" --tripid 814-21 --locoid 4045 --swversion DE.1.0.8.0 --startMP 300:58615 --initTime 2016-12-21T09:37:18 --startdatetime 2016-12-21T09:40:05 --delay 1 --endMP 204:668 --enddatetime 2016-12-21T09:55:38 --enforcementcount 0 &gt;&gt;C:\Users\stu\Documents\GitHub\eaglep3-reporting\EC\2016-12-21-refined-times.txt</v>
      </c>
      <c r="AI174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{"issue":{"subject":"","project_id":79,"tracker_id":40,"status_id":1,"priority_id":2,"assigned_to_id":23,"start_date":"2016-12-21","description":"","custom_fields":[{"id":1,"name":"Subdivision","value":"NW"},{"id":4,"name":"Milepost","value":"0.0668"},{"id":17,"name":"Train ID","value":"814-21"},{"id":16,"name":"Locomotive ID","value":"4045"},{"id":130,"name":"Impact","value":""},{"id":150,"name":"Time of Event (Mountain Time)","value":"09:55:38"},{"id":151,"name":"Denver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438</v>
      </c>
      <c r="B175" s="7">
        <v>4046</v>
      </c>
      <c r="C175" s="22" t="s">
        <v>205</v>
      </c>
      <c r="D175" s="22" t="s">
        <v>788</v>
      </c>
      <c r="E175" s="13">
        <v>42725.427858796298</v>
      </c>
      <c r="F175" s="13">
        <v>42725.431574074071</v>
      </c>
      <c r="G175" s="7">
        <v>1</v>
      </c>
      <c r="H175" s="22" t="s">
        <v>422</v>
      </c>
      <c r="I175" s="13">
        <v>42725.441481481481</v>
      </c>
      <c r="J175" s="7">
        <v>0</v>
      </c>
      <c r="K175" s="109" t="str">
        <f t="shared" si="99"/>
        <v>4045/4046</v>
      </c>
      <c r="L175" s="22" t="str">
        <f>VLOOKUP(A175,'Trips&amp;Operators'!$C$1:$G$99999,5,FALSE)</f>
        <v>DUNCAN SHEILA</v>
      </c>
      <c r="M175" s="6">
        <f t="shared" si="100"/>
        <v>9.9074074096279219E-3</v>
      </c>
      <c r="N175" s="7">
        <f t="shared" si="101"/>
        <v>14.266666669864208</v>
      </c>
      <c r="O175" s="7"/>
      <c r="P175" s="7"/>
      <c r="Q175" s="23"/>
      <c r="R175" s="23"/>
      <c r="S175" s="35">
        <f t="shared" si="102"/>
        <v>1</v>
      </c>
      <c r="T175" s="50" t="str">
        <f t="shared" si="103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09:16:07-700',mode:absolute,to:'2016-12-21 11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5" s="52" t="str">
        <f t="shared" si="104"/>
        <v>N</v>
      </c>
      <c r="X175" s="177">
        <f t="shared" si="110"/>
        <v>1</v>
      </c>
      <c r="Y175" s="67">
        <f t="shared" si="105"/>
        <v>9.6500000000000002E-2</v>
      </c>
      <c r="Z175" s="67">
        <f t="shared" si="106"/>
        <v>5.8916000000000004</v>
      </c>
      <c r="AA175" s="67">
        <f t="shared" si="107"/>
        <v>5.7951000000000006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108"/>
        <v>0815-21</v>
      </c>
      <c r="AE175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75" s="88" t="str">
        <f t="shared" si="79"/>
        <v>"C:\Program Files (x86)\AstroGrep\AstroGrep.exe" /spath="%USERPROFILE%\AppData\Local\Temp\OnboardLogs" /stypes="app*4046*20161221*" /stext=" 17:.+((SYSTEM_STATE.+slice.+state.+changed )|(ment ac)|(multiple cpu faults)|(system.+state.+changed )|(\[timeout)|(PRM\|1\|D)|(kpr)|(kdp)|(\|lc)|(penalty))" /e /r /s</v>
      </c>
      <c r="AG175" s="1" t="str">
        <f t="shared" si="109"/>
        <v>NW</v>
      </c>
      <c r="AH175" s="92" t="str">
        <f t="shared" si="68"/>
        <v>"%USERPROFILE%\Documents\GitHub\eaglep3\Utilities\RefineRTDCRunTimes.py" --tripid 815-21 --locoid 4046 --swversion DE.1.0.8.0 --startMP 204:965 --initTime 2016-12-21T10:16:07 --startdatetime 2016-12-21T10:21:28 --delay 1 --endMP 300:58916 --enddatetime 2016-12-21T10:35:44 --enforcementcount 0 &gt;&gt;C:\Users\stu\Documents\GitHub\eaglep3-reporting\EC\2016-12-21-refined-times.txt</v>
      </c>
      <c r="AI175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{"issue":{"subject":"","project_id":79,"tracker_id":40,"status_id":1,"priority_id":2,"assigned_to_id":23,"start_date":"2016-12-21","description":"","custom_fields":[{"id":1,"name":"Subdivision","value":"NW"},{"id":4,"name":"Milepost","value":"5.8916"},{"id":17,"name":"Train ID","value":"815-21"},{"id":16,"name":"Locomotive ID","value":"4046"},{"id":130,"name":"Impact","value":""},{"id":150,"name":"Time of Event (Mountain Time)","value":"10:35:44"},{"id":151,"name":"Denver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535</v>
      </c>
      <c r="B176" s="7">
        <v>4045</v>
      </c>
      <c r="C176" s="22" t="s">
        <v>205</v>
      </c>
      <c r="D176" s="22" t="s">
        <v>416</v>
      </c>
      <c r="E176" s="13">
        <v>42725.443124999998</v>
      </c>
      <c r="F176" s="13">
        <v>42725.445243055554</v>
      </c>
      <c r="G176" s="7">
        <v>2</v>
      </c>
      <c r="H176" s="22" t="s">
        <v>421</v>
      </c>
      <c r="I176" s="13">
        <v>42725.455891203703</v>
      </c>
      <c r="J176" s="7">
        <v>0</v>
      </c>
      <c r="K176" s="109" t="str">
        <f t="shared" si="99"/>
        <v>4045/4046</v>
      </c>
      <c r="L176" s="22" t="str">
        <f>VLOOKUP(A176,'Trips&amp;Operators'!$C$1:$G$99999,5,FALSE)</f>
        <v>DUNCAN SHEILA</v>
      </c>
      <c r="M176" s="6">
        <f t="shared" si="100"/>
        <v>1.0648148148902692E-2</v>
      </c>
      <c r="N176" s="7">
        <f t="shared" si="101"/>
        <v>15.333333334419876</v>
      </c>
      <c r="O176" s="7"/>
      <c r="P176" s="7"/>
      <c r="Q176" s="23"/>
      <c r="R176" s="23"/>
      <c r="S176" s="35">
        <f t="shared" si="102"/>
        <v>1</v>
      </c>
      <c r="T176" s="50" t="str">
        <f t="shared" si="103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09:38:06-700',mode:absolute,to:'2016-12-21 11:56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6" s="52" t="str">
        <f t="shared" si="104"/>
        <v>N</v>
      </c>
      <c r="X176" s="177">
        <f t="shared" si="110"/>
        <v>1</v>
      </c>
      <c r="Y176" s="67">
        <f t="shared" si="105"/>
        <v>5.8608000000000002</v>
      </c>
      <c r="Z176" s="67">
        <f t="shared" si="106"/>
        <v>6.9199999999999998E-2</v>
      </c>
      <c r="AA176" s="67">
        <f t="shared" si="107"/>
        <v>5.7915999999999999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108"/>
        <v>0816-21</v>
      </c>
      <c r="AE176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76" s="88" t="str">
        <f t="shared" si="79"/>
        <v>"C:\Program Files (x86)\AstroGrep\AstroGrep.exe" /spath="%USERPROFILE%\AppData\Local\Temp\OnboardLogs" /stypes="app*4045*20161221*" /stext=" 17:.+((SYSTEM_STATE.+slice.+state.+changed )|(ment ac)|(multiple cpu faults)|(system.+state.+changed )|(\[timeout)|(PRM\|1\|D)|(kpr)|(kdp)|(\|lc)|(penalty))" /e /r /s</v>
      </c>
      <c r="AG176" s="1" t="str">
        <f t="shared" si="109"/>
        <v>NW</v>
      </c>
      <c r="AH176" s="92" t="str">
        <f t="shared" si="68"/>
        <v>"%USERPROFILE%\Documents\GitHub\eaglep3\Utilities\RefineRTDCRunTimes.py" --tripid 816-21 --locoid 4045 --swversion DE.1.0.8.0 --startMP 300:58608 --initTime 2016-12-21T10:38:06 --startdatetime 2016-12-21T10:41:09 --delay 2 --endMP 204:692 --enddatetime 2016-12-21T10:56:29 --enforcementcount 0 &gt;&gt;C:\Users\stu\Documents\GitHub\eaglep3-reporting\EC\2016-12-21-refined-times.txt</v>
      </c>
      <c r="AI176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{"issue":{"subject":"","project_id":79,"tracker_id":40,"status_id":1,"priority_id":2,"assigned_to_id":23,"start_date":"2016-12-21","description":"","custom_fields":[{"id":1,"name":"Subdivision","value":"NW"},{"id":4,"name":"Milepost","value":"0.0692"},{"id":17,"name":"Train ID","value":"816-21"},{"id":16,"name":"Locomotive ID","value":"4045"},{"id":130,"name":"Impact","value":""},{"id":150,"name":"Time of Event (Mountain Time)","value":"10:56:29"},{"id":151,"name":"Denver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540</v>
      </c>
      <c r="B177" s="7">
        <v>4046</v>
      </c>
      <c r="C177" s="22" t="s">
        <v>205</v>
      </c>
      <c r="D177" s="22" t="s">
        <v>789</v>
      </c>
      <c r="E177" s="13">
        <v>42725.459722222222</v>
      </c>
      <c r="F177" s="13">
        <v>42725.473495370374</v>
      </c>
      <c r="G177" s="7">
        <v>1</v>
      </c>
      <c r="H177" s="22" t="s">
        <v>309</v>
      </c>
      <c r="I177" s="13">
        <v>42725.48364583333</v>
      </c>
      <c r="J177" s="7">
        <v>0</v>
      </c>
      <c r="K177" s="109" t="str">
        <f t="shared" si="99"/>
        <v>4045/4046</v>
      </c>
      <c r="L177" s="22" t="str">
        <f>VLOOKUP(A177,'Trips&amp;Operators'!$C$1:$G$99999,5,FALSE)</f>
        <v>DUNCAN SHEILA</v>
      </c>
      <c r="M177" s="6">
        <f t="shared" si="100"/>
        <v>1.0150462956517003E-2</v>
      </c>
      <c r="N177" s="7">
        <f t="shared" si="101"/>
        <v>14.616666657384485</v>
      </c>
      <c r="O177" s="7"/>
      <c r="P177" s="7"/>
      <c r="Q177" s="23"/>
      <c r="R177" s="23"/>
      <c r="S177" s="35">
        <f t="shared" si="102"/>
        <v>1</v>
      </c>
      <c r="T177" s="50" t="str">
        <f t="shared" si="103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10:02:00-700',mode:absolute,to:'2016-12-21 12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7" s="52" t="str">
        <f t="shared" si="104"/>
        <v>N</v>
      </c>
      <c r="X177" s="177">
        <f t="shared" si="110"/>
        <v>1</v>
      </c>
      <c r="Y177" s="67">
        <f t="shared" si="105"/>
        <v>9.7199999999999995E-2</v>
      </c>
      <c r="Z177" s="67">
        <f t="shared" si="106"/>
        <v>5.8924000000000003</v>
      </c>
      <c r="AA177" s="67">
        <f t="shared" si="107"/>
        <v>5.7952000000000004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108"/>
        <v>0817-21</v>
      </c>
      <c r="AE177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77" s="88" t="str">
        <f t="shared" si="79"/>
        <v>"C:\Program Files (x86)\AstroGrep\AstroGrep.exe" /spath="%USERPROFILE%\AppData\Local\Temp\OnboardLogs" /stypes="app*4046*20161221*" /stext=" 18:.+((SYSTEM_STATE.+slice.+state.+changed )|(ment ac)|(multiple cpu faults)|(system.+state.+changed )|(\[timeout)|(PRM\|1\|D)|(kpr)|(kdp)|(\|lc)|(penalty))" /e /r /s</v>
      </c>
      <c r="AG177" s="1" t="str">
        <f t="shared" si="109"/>
        <v>NW</v>
      </c>
      <c r="AH177" s="92" t="str">
        <f t="shared" si="68"/>
        <v>"%USERPROFILE%\Documents\GitHub\eaglep3\Utilities\RefineRTDCRunTimes.py" --tripid 817-21 --locoid 4046 --swversion DE.1.0.8.0 --startMP 204:972 --initTime 2016-12-21T11:02:00 --startdatetime 2016-12-21T11:21:50 --delay 1 --endMP 300:58924 --enddatetime 2016-12-21T11:36:27 --enforcementcount 0 &gt;&gt;C:\Users\stu\Documents\GitHub\eaglep3-reporting\EC\2016-12-21-refined-times.txt</v>
      </c>
      <c r="AI177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{"issue":{"subject":"","project_id":79,"tracker_id":40,"status_id":1,"priority_id":2,"assigned_to_id":23,"start_date":"2016-12-21","description":"","custom_fields":[{"id":1,"name":"Subdivision","value":"NW"},{"id":4,"name":"Milepost","value":"5.8924"},{"id":17,"name":"Train ID","value":"817-21"},{"id":16,"name":"Locomotive ID","value":"4046"},{"id":130,"name":"Impact","value":""},{"id":150,"name":"Time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544</v>
      </c>
      <c r="B178" s="7">
        <v>4045</v>
      </c>
      <c r="C178" s="22" t="s">
        <v>205</v>
      </c>
      <c r="D178" s="22" t="s">
        <v>416</v>
      </c>
      <c r="E178" s="13">
        <v>42725.485324074078</v>
      </c>
      <c r="F178" s="13">
        <v>42725.486956018518</v>
      </c>
      <c r="G178" s="7">
        <v>1</v>
      </c>
      <c r="H178" s="22" t="s">
        <v>776</v>
      </c>
      <c r="I178" s="13">
        <v>42725.497187499997</v>
      </c>
      <c r="J178" s="7">
        <v>0</v>
      </c>
      <c r="K178" s="109" t="str">
        <f t="shared" si="99"/>
        <v>4045/4046</v>
      </c>
      <c r="L178" s="22" t="str">
        <f>VLOOKUP(A178,'Trips&amp;Operators'!$C$1:$G$99999,5,FALSE)</f>
        <v>DUNCAN SHEILA</v>
      </c>
      <c r="M178" s="6">
        <f t="shared" si="100"/>
        <v>1.0231481479422655E-2</v>
      </c>
      <c r="N178" s="7">
        <f t="shared" si="101"/>
        <v>14.733333330368623</v>
      </c>
      <c r="O178" s="7"/>
      <c r="P178" s="7"/>
      <c r="Q178" s="23"/>
      <c r="R178" s="23"/>
      <c r="S178" s="35">
        <f t="shared" si="102"/>
        <v>1</v>
      </c>
      <c r="T178" s="50" t="str">
        <f t="shared" si="103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10:38:52-700',mode:absolute,to:'2016-12-21 12:55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8" s="52" t="str">
        <f t="shared" si="104"/>
        <v>N</v>
      </c>
      <c r="X178" s="177">
        <f t="shared" si="110"/>
        <v>1</v>
      </c>
      <c r="Y178" s="67">
        <f t="shared" si="105"/>
        <v>5.8608000000000002</v>
      </c>
      <c r="Z178" s="67">
        <f t="shared" si="106"/>
        <v>6.8400000000000002E-2</v>
      </c>
      <c r="AA178" s="67">
        <f t="shared" si="107"/>
        <v>5.7924000000000007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108"/>
        <v>0818-21</v>
      </c>
      <c r="AE178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78" s="88" t="str">
        <f t="shared" si="79"/>
        <v>"C:\Program Files (x86)\AstroGrep\AstroGrep.exe" /spath="%USERPROFILE%\AppData\Local\Temp\OnboardLogs" /stypes="app*4045*20161221*" /stext=" 18:.+((SYSTEM_STATE.+slice.+state.+changed )|(ment ac)|(multiple cpu faults)|(system.+state.+changed )|(\[timeout)|(PRM\|1\|D)|(kpr)|(kdp)|(\|lc)|(penalty))" /e /r /s</v>
      </c>
      <c r="AG178" s="1" t="str">
        <f t="shared" si="109"/>
        <v>NW</v>
      </c>
      <c r="AH178" s="92" t="str">
        <f t="shared" si="68"/>
        <v>"%USERPROFILE%\Documents\GitHub\eaglep3\Utilities\RefineRTDCRunTimes.py" --tripid 818-21 --locoid 4045 --swversion DE.1.0.8.0 --startMP 300:58608 --initTime 2016-12-21T11:38:52 --startdatetime 2016-12-21T11:41:13 --delay 1 --endMP 204:684 --enddatetime 2016-12-21T11:55:57 --enforcementcount 0 &gt;&gt;C:\Users\stu\Documents\GitHub\eaglep3-reporting\EC\2016-12-21-refined-times.txt</v>
      </c>
      <c r="AI178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{"issue":{"subject":"","project_id":79,"tracker_id":40,"status_id":1,"priority_id":2,"assigned_to_id":23,"start_date":"2016-12-21","description":"","custom_fields":[{"id":1,"name":"Subdivision","value":"NW"},{"id":4,"name":"Milepost","value":"0.0684"},{"id":17,"name":"Train ID","value":"818-21"},{"id":16,"name":"Locomotive ID","value":"4045"},{"id":130,"name":"Impact","value":""},{"id":150,"name":"Time of Event (Mountain Time)","value":"11:55:57"},{"id":151,"name":"Denver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551</v>
      </c>
      <c r="B179" s="7">
        <v>4046</v>
      </c>
      <c r="C179" s="22" t="s">
        <v>205</v>
      </c>
      <c r="D179" s="22" t="s">
        <v>790</v>
      </c>
      <c r="E179" s="13">
        <v>42725.508784722224</v>
      </c>
      <c r="F179" s="13">
        <v>42725.515173611115</v>
      </c>
      <c r="G179" s="7">
        <v>1</v>
      </c>
      <c r="H179" s="22" t="s">
        <v>791</v>
      </c>
      <c r="I179" s="13">
        <v>42725.525462962964</v>
      </c>
      <c r="J179" s="7">
        <v>0</v>
      </c>
      <c r="K179" s="109" t="str">
        <f t="shared" si="99"/>
        <v>4045/4046</v>
      </c>
      <c r="L179" s="22" t="str">
        <f>VLOOKUP(A179,'Trips&amp;Operators'!$C$1:$G$99999,5,FALSE)</f>
        <v>DAVIDSON DAVID</v>
      </c>
      <c r="M179" s="6">
        <f t="shared" si="100"/>
        <v>1.0289351848769002E-2</v>
      </c>
      <c r="N179" s="7">
        <f t="shared" si="101"/>
        <v>14.816666662227362</v>
      </c>
      <c r="O179" s="7"/>
      <c r="P179" s="7"/>
      <c r="Q179" s="23"/>
      <c r="R179" s="23"/>
      <c r="S179" s="35">
        <f t="shared" si="102"/>
        <v>1</v>
      </c>
      <c r="T179" s="50" t="str">
        <f t="shared" si="103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11:12:39-700',mode:absolute,to:'2016-12-21 13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9" s="52" t="str">
        <f t="shared" si="104"/>
        <v>N</v>
      </c>
      <c r="X179" s="177">
        <f t="shared" si="110"/>
        <v>1</v>
      </c>
      <c r="Y179" s="67">
        <f t="shared" si="105"/>
        <v>9.9000000000000005E-2</v>
      </c>
      <c r="Z179" s="67">
        <f t="shared" si="106"/>
        <v>5.8949999999999996</v>
      </c>
      <c r="AA179" s="67">
        <f t="shared" si="107"/>
        <v>5.7959999999999994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108"/>
        <v>0819-21</v>
      </c>
      <c r="AE179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79" s="88" t="str">
        <f t="shared" si="79"/>
        <v>"C:\Program Files (x86)\AstroGrep\AstroGrep.exe" /spath="%USERPROFILE%\AppData\Local\Temp\OnboardLogs" /stypes="app*4046*20161221*" /stext=" 19:.+((SYSTEM_STATE.+slice.+state.+changed )|(ment ac)|(multiple cpu faults)|(system.+state.+changed )|(\[timeout)|(PRM\|1\|D)|(kpr)|(kdp)|(\|lc)|(penalty))" /e /r /s</v>
      </c>
      <c r="AG179" s="1" t="str">
        <f t="shared" si="109"/>
        <v>NW</v>
      </c>
      <c r="AH179" s="92" t="str">
        <f t="shared" si="68"/>
        <v>"%USERPROFILE%\Documents\GitHub\eaglep3\Utilities\RefineRTDCRunTimes.py" --tripid 819-21 --locoid 4046 --swversion DE.1.0.8.0 --startMP 204:990 --initTime 2016-12-21T12:12:39 --startdatetime 2016-12-21T12:21:51 --delay 1 --endMP 300:58950 --enddatetime 2016-12-21T12:36:40 --enforcementcount 0 &gt;&gt;C:\Users\stu\Documents\GitHub\eaglep3-reporting\EC\2016-12-21-refined-times.txt</v>
      </c>
      <c r="AI179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{"issue":{"subject":"","project_id":79,"tracker_id":40,"status_id":1,"priority_id":2,"assigned_to_id":23,"start_date":"2016-12-21","description":"","custom_fields":[{"id":1,"name":"Subdivision","value":"NW"},{"id":4,"name":"Milepost","value":"5.895"},{"id":17,"name":"Train ID","value":"819-21"},{"id":16,"name":"Locomotive ID","value":"4046"},{"id":130,"name":"Impact","value":""},{"id":150,"name":"Time of Event (Mountain Time)","value":"12:36:40"},{"id":151,"name":"Denver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557</v>
      </c>
      <c r="B180" s="7">
        <v>4045</v>
      </c>
      <c r="C180" s="22" t="s">
        <v>205</v>
      </c>
      <c r="D180" s="22" t="s">
        <v>412</v>
      </c>
      <c r="E180" s="13">
        <v>42725.526863425926</v>
      </c>
      <c r="F180" s="13">
        <v>42725.528773148151</v>
      </c>
      <c r="G180" s="7">
        <v>1</v>
      </c>
      <c r="H180" s="22" t="s">
        <v>792</v>
      </c>
      <c r="I180" s="13">
        <v>42725.539004629631</v>
      </c>
      <c r="J180" s="7">
        <v>0</v>
      </c>
      <c r="K180" s="109" t="str">
        <f t="shared" si="99"/>
        <v>4045/4046</v>
      </c>
      <c r="L180" s="22" t="str">
        <f>VLOOKUP(A180,'Trips&amp;Operators'!$C$1:$G$99999,5,FALSE)</f>
        <v>DAVIDSON DAVID</v>
      </c>
      <c r="M180" s="6">
        <f t="shared" si="100"/>
        <v>1.0231481479422655E-2</v>
      </c>
      <c r="N180" s="7">
        <f t="shared" si="101"/>
        <v>14.733333330368623</v>
      </c>
      <c r="O180" s="7"/>
      <c r="P180" s="7"/>
      <c r="Q180" s="23"/>
      <c r="R180" s="23"/>
      <c r="S180" s="35">
        <f t="shared" si="102"/>
        <v>1</v>
      </c>
      <c r="T180" s="50" t="str">
        <f t="shared" si="103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11:38:41-700',mode:absolute,to:'2016-12-21 13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0" s="52" t="str">
        <f t="shared" si="104"/>
        <v>N</v>
      </c>
      <c r="X180" s="177">
        <f t="shared" si="110"/>
        <v>1</v>
      </c>
      <c r="Y180" s="67">
        <f t="shared" si="105"/>
        <v>5.8634000000000004</v>
      </c>
      <c r="Z180" s="67">
        <f t="shared" si="106"/>
        <v>6.9900000000000004E-2</v>
      </c>
      <c r="AA180" s="67">
        <f t="shared" si="107"/>
        <v>5.7935000000000008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108"/>
        <v>0820-21</v>
      </c>
      <c r="AE180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80" s="88" t="str">
        <f t="shared" si="79"/>
        <v>"C:\Program Files (x86)\AstroGrep\AstroGrep.exe" /spath="%USERPROFILE%\AppData\Local\Temp\OnboardLogs" /stypes="app*4045*20161221*" /stext=" 19:.+((SYSTEM_STATE.+slice.+state.+changed )|(ment ac)|(multiple cpu faults)|(system.+state.+changed )|(\[timeout)|(PRM\|1\|D)|(kpr)|(kdp)|(\|lc)|(penalty))" /e /r /s</v>
      </c>
      <c r="AG180" s="1" t="str">
        <f t="shared" si="109"/>
        <v>NW</v>
      </c>
      <c r="AH180" s="92" t="str">
        <f t="shared" si="68"/>
        <v>"%USERPROFILE%\Documents\GitHub\eaglep3\Utilities\RefineRTDCRunTimes.py" --tripid 820-21 --locoid 4045 --swversion DE.1.0.8.0 --startMP 300:58634 --initTime 2016-12-21T12:38:41 --startdatetime 2016-12-21T12:41:26 --delay 1 --endMP 204:699 --enddatetime 2016-12-21T12:56:10 --enforcementcount 0 &gt;&gt;C:\Users\stu\Documents\GitHub\eaglep3-reporting\EC\2016-12-21-refined-times.txt</v>
      </c>
      <c r="AI180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{"issue":{"subject":"","project_id":79,"tracker_id":40,"status_id":1,"priority_id":2,"assigned_to_id":23,"start_date":"2016-12-21","description":"","custom_fields":[{"id":1,"name":"Subdivision","value":"NW"},{"id":4,"name":"Milepost","value":"0.0699"},{"id":17,"name":"Train ID","value":"820-21"},{"id":16,"name":"Locomotive ID","value":"4045"},{"id":130,"name":"Impact","value":""},{"id":150,"name":"Time of Event (Mountain Time)","value":"12:56:10"},{"id":151,"name":"Denver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563</v>
      </c>
      <c r="B181" s="7">
        <v>4046</v>
      </c>
      <c r="C181" s="22" t="s">
        <v>205</v>
      </c>
      <c r="D181" s="22" t="s">
        <v>778</v>
      </c>
      <c r="E181" s="13">
        <v>42725.547777777778</v>
      </c>
      <c r="F181" s="13">
        <v>42725.556469907409</v>
      </c>
      <c r="G181" s="7">
        <v>3</v>
      </c>
      <c r="H181" s="22" t="s">
        <v>793</v>
      </c>
      <c r="I181" s="13">
        <v>42725.566643518519</v>
      </c>
      <c r="J181" s="7">
        <v>0</v>
      </c>
      <c r="K181" s="109" t="str">
        <f t="shared" si="99"/>
        <v>4045/4046</v>
      </c>
      <c r="L181" s="22" t="str">
        <f>VLOOKUP(A181,'Trips&amp;Operators'!$C$1:$G$99999,5,FALSE)</f>
        <v>BRUDER RICHARD</v>
      </c>
      <c r="M181" s="6">
        <f t="shared" si="100"/>
        <v>1.0173611110076308E-2</v>
      </c>
      <c r="N181" s="7">
        <f t="shared" si="101"/>
        <v>14.649999998509884</v>
      </c>
      <c r="O181" s="7"/>
      <c r="P181" s="7"/>
      <c r="Q181" s="23"/>
      <c r="R181" s="23"/>
      <c r="S181" s="35">
        <f t="shared" si="102"/>
        <v>1</v>
      </c>
      <c r="T181" s="50" t="str">
        <f t="shared" si="103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12:08:48-700',mode:absolute,to:'2016-12-21 14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1" s="52" t="str">
        <f t="shared" si="104"/>
        <v>N</v>
      </c>
      <c r="X181" s="177">
        <f t="shared" si="110"/>
        <v>1</v>
      </c>
      <c r="Y181" s="67">
        <f t="shared" si="105"/>
        <v>9.64E-2</v>
      </c>
      <c r="Z181" s="67">
        <f t="shared" si="106"/>
        <v>5.8936999999999999</v>
      </c>
      <c r="AA181" s="67">
        <f t="shared" si="107"/>
        <v>5.7972999999999999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108"/>
        <v>0821-21</v>
      </c>
      <c r="AE181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81" s="88" t="str">
        <f t="shared" si="79"/>
        <v>"C:\Program Files (x86)\AstroGrep\AstroGrep.exe" /spath="%USERPROFILE%\AppData\Local\Temp\OnboardLogs" /stypes="app*4046*20161221*" /stext=" 20:.+((SYSTEM_STATE.+slice.+state.+changed )|(ment ac)|(multiple cpu faults)|(system.+state.+changed )|(\[timeout)|(PRM\|1\|D)|(kpr)|(kdp)|(\|lc)|(penalty))" /e /r /s</v>
      </c>
      <c r="AG181" s="1" t="str">
        <f t="shared" si="109"/>
        <v>NW</v>
      </c>
      <c r="AH181" s="92" t="str">
        <f t="shared" si="68"/>
        <v>"%USERPROFILE%\Documents\GitHub\eaglep3\Utilities\RefineRTDCRunTimes.py" --tripid 821-21 --locoid 4046 --swversion DE.1.0.8.0 --startMP 204:964 --initTime 2016-12-21T13:08:48 --startdatetime 2016-12-21T13:21:19 --delay 3 --endMP 300:58937 --enddatetime 2016-12-21T13:35:58 --enforcementcount 0 &gt;&gt;C:\Users\stu\Documents\GitHub\eaglep3-reporting\EC\2016-12-21-refined-times.txt</v>
      </c>
      <c r="AI181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{"issue":{"subject":"","project_id":79,"tracker_id":40,"status_id":1,"priority_id":2,"assigned_to_id":23,"start_date":"2016-12-21","description":"","custom_fields":[{"id":1,"name":"Subdivision","value":"NW"},{"id":4,"name":"Milepost","value":"5.8937"},{"id":17,"name":"Train ID","value":"821-21"},{"id":16,"name":"Locomotive ID","value":"4046"},{"id":130,"name":"Impact","value":""},{"id":150,"name":"Time of Event (Mountain Time)","value":"13:35:58"},{"id":151,"name":"Denver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569</v>
      </c>
      <c r="B182" s="7">
        <v>4045</v>
      </c>
      <c r="C182" s="22" t="s">
        <v>205</v>
      </c>
      <c r="D182" s="22" t="s">
        <v>794</v>
      </c>
      <c r="E182" s="13">
        <v>42725.56795138889</v>
      </c>
      <c r="F182" s="13">
        <v>42725.569872685184</v>
      </c>
      <c r="G182" s="7">
        <v>1</v>
      </c>
      <c r="H182" s="22" t="s">
        <v>792</v>
      </c>
      <c r="I182" s="13">
        <v>42725.580347222225</v>
      </c>
      <c r="J182" s="7">
        <v>0</v>
      </c>
      <c r="K182" s="109" t="str">
        <f t="shared" si="99"/>
        <v>4045/4046</v>
      </c>
      <c r="L182" s="22" t="str">
        <f>VLOOKUP(A182,'Trips&amp;Operators'!$C$1:$G$99999,5,FALSE)</f>
        <v>BRUDER RICHARD</v>
      </c>
      <c r="M182" s="6">
        <f t="shared" si="100"/>
        <v>1.0474537040863652E-2</v>
      </c>
      <c r="N182" s="7">
        <f t="shared" si="101"/>
        <v>15.083333338843659</v>
      </c>
      <c r="O182" s="7"/>
      <c r="P182" s="7"/>
      <c r="Q182" s="23"/>
      <c r="R182" s="23"/>
      <c r="S182" s="35">
        <f t="shared" si="102"/>
        <v>1</v>
      </c>
      <c r="T182" s="50" t="str">
        <f t="shared" si="103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12:37:51-700',mode:absolute,to:'2016-12-21 14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2" s="52" t="str">
        <f t="shared" si="104"/>
        <v>N</v>
      </c>
      <c r="X182" s="177">
        <f t="shared" si="110"/>
        <v>1</v>
      </c>
      <c r="Y182" s="67">
        <f t="shared" si="105"/>
        <v>5.8624000000000001</v>
      </c>
      <c r="Z182" s="67">
        <f t="shared" si="106"/>
        <v>6.9900000000000004E-2</v>
      </c>
      <c r="AA182" s="67">
        <f t="shared" si="107"/>
        <v>5.7925000000000004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108"/>
        <v>0822-21</v>
      </c>
      <c r="AE182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82" s="88" t="str">
        <f t="shared" si="79"/>
        <v>"C:\Program Files (x86)\AstroGrep\AstroGrep.exe" /spath="%USERPROFILE%\AppData\Local\Temp\OnboardLogs" /stypes="app*4045*20161221*" /stext=" 20:.+((SYSTEM_STATE.+slice.+state.+changed )|(ment ac)|(multiple cpu faults)|(system.+state.+changed )|(\[timeout)|(PRM\|1\|D)|(kpr)|(kdp)|(\|lc)|(penalty))" /e /r /s</v>
      </c>
      <c r="AG182" s="1" t="str">
        <f t="shared" si="109"/>
        <v>NW</v>
      </c>
      <c r="AH182" s="92" t="str">
        <f t="shared" si="68"/>
        <v>"%USERPROFILE%\Documents\GitHub\eaglep3\Utilities\RefineRTDCRunTimes.py" --tripid 822-21 --locoid 4045 --swversion DE.1.0.8.0 --startMP 300:58624 --initTime 2016-12-21T13:37:51 --startdatetime 2016-12-21T13:40:37 --delay 1 --endMP 204:699 --enddatetime 2016-12-21T13:55:42 --enforcementcount 0 &gt;&gt;C:\Users\stu\Documents\GitHub\eaglep3-reporting\EC\2016-12-21-refined-times.txt</v>
      </c>
      <c r="AI182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{"issue":{"subject":"","project_id":79,"tracker_id":40,"status_id":1,"priority_id":2,"assigned_to_id":23,"start_date":"2016-12-21","description":"","custom_fields":[{"id":1,"name":"Subdivision","value":"NW"},{"id":4,"name":"Milepost","value":"0.0699"},{"id":17,"name":"Train ID","value":"822-21"},{"id":16,"name":"Locomotive ID","value":"4045"},{"id":130,"name":"Impact","value":""},{"id":150,"name":"Time of Event (Mountain Time)","value":"13:55:42"},{"id":151,"name":"Denver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574</v>
      </c>
      <c r="B183" s="7">
        <v>4046</v>
      </c>
      <c r="C183" s="22" t="s">
        <v>205</v>
      </c>
      <c r="D183" s="22" t="s">
        <v>417</v>
      </c>
      <c r="E183" s="13">
        <v>42725.594259259262</v>
      </c>
      <c r="F183" s="13">
        <v>42725.598124999997</v>
      </c>
      <c r="G183" s="7">
        <v>1</v>
      </c>
      <c r="H183" s="22" t="s">
        <v>795</v>
      </c>
      <c r="I183" s="13">
        <v>42725.60832175926</v>
      </c>
      <c r="J183" s="7">
        <v>0</v>
      </c>
      <c r="K183" s="109" t="str">
        <f t="shared" si="99"/>
        <v>4045/4046</v>
      </c>
      <c r="L183" s="22" t="str">
        <f>VLOOKUP(A183,'Trips&amp;Operators'!$C$1:$G$99999,5,FALSE)</f>
        <v>BRUDER RICHARD</v>
      </c>
      <c r="M183" s="6">
        <f t="shared" si="100"/>
        <v>1.0196759263635613E-2</v>
      </c>
      <c r="N183" s="7">
        <f t="shared" si="101"/>
        <v>14.683333339635283</v>
      </c>
      <c r="O183" s="7"/>
      <c r="P183" s="7"/>
      <c r="Q183" s="23"/>
      <c r="R183" s="23"/>
      <c r="S183" s="35">
        <f t="shared" si="102"/>
        <v>1</v>
      </c>
      <c r="T183" s="50" t="str">
        <f t="shared" si="103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13:15:44-700',mode:absolute,to:'2016-12-21 15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3" s="52" t="str">
        <f t="shared" si="104"/>
        <v>N</v>
      </c>
      <c r="X183" s="177">
        <f t="shared" si="110"/>
        <v>1</v>
      </c>
      <c r="Y183" s="67">
        <f t="shared" si="105"/>
        <v>9.7100000000000006E-2</v>
      </c>
      <c r="Z183" s="67">
        <f t="shared" si="106"/>
        <v>5.8935000000000004</v>
      </c>
      <c r="AA183" s="67">
        <f t="shared" si="107"/>
        <v>5.7964000000000002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108"/>
        <v>0823-21</v>
      </c>
      <c r="AE183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83" s="88" t="str">
        <f t="shared" si="79"/>
        <v>"C:\Program Files (x86)\AstroGrep\AstroGrep.exe" /spath="%USERPROFILE%\AppData\Local\Temp\OnboardLogs" /stypes="app*4046*20161221*" /stext=" 21:.+((SYSTEM_STATE.+slice.+state.+changed )|(ment ac)|(multiple cpu faults)|(system.+state.+changed )|(\[timeout)|(PRM\|1\|D)|(kpr)|(kdp)|(\|lc)|(penalty))" /e /r /s</v>
      </c>
      <c r="AG183" s="1" t="str">
        <f t="shared" si="109"/>
        <v>NW</v>
      </c>
      <c r="AH183" s="92" t="str">
        <f t="shared" si="68"/>
        <v>"%USERPROFILE%\Documents\GitHub\eaglep3\Utilities\RefineRTDCRunTimes.py" --tripid 823-21 --locoid 4046 --swversion DE.1.0.8.0 --startMP 204:971 --initTime 2016-12-21T14:15:44 --startdatetime 2016-12-21T14:21:18 --delay 1 --endMP 300:58935 --enddatetime 2016-12-21T14:35:59 --enforcementcount 0 &gt;&gt;C:\Users\stu\Documents\GitHub\eaglep3-reporting\EC\2016-12-21-refined-times.txt</v>
      </c>
      <c r="AI183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{"issue":{"subject":"","project_id":79,"tracker_id":40,"status_id":1,"priority_id":2,"assigned_to_id":23,"start_date":"2016-12-21","description":"","custom_fields":[{"id":1,"name":"Subdivision","value":"NW"},{"id":4,"name":"Milepost","value":"5.8935"},{"id":17,"name":"Train ID","value":"823-21"},{"id":16,"name":"Locomotive ID","value":"4046"},{"id":130,"name":"Impact","value":""},{"id":150,"name":"Time of Event (Mountain Time)","value":"14:35:59"},{"id":151,"name":"Denver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443</v>
      </c>
      <c r="B184" s="7">
        <v>4045</v>
      </c>
      <c r="C184" s="22" t="s">
        <v>205</v>
      </c>
      <c r="D184" s="22" t="s">
        <v>310</v>
      </c>
      <c r="E184" s="13">
        <v>42725.609976851854</v>
      </c>
      <c r="F184" s="13">
        <v>42725.612013888887</v>
      </c>
      <c r="G184" s="7">
        <v>1</v>
      </c>
      <c r="H184" s="22" t="s">
        <v>312</v>
      </c>
      <c r="I184" s="13">
        <v>42725.622893518521</v>
      </c>
      <c r="J184" s="7">
        <v>0</v>
      </c>
      <c r="K184" s="109" t="str">
        <f t="shared" si="99"/>
        <v>4045/4046</v>
      </c>
      <c r="L184" s="22" t="str">
        <f>VLOOKUP(A184,'Trips&amp;Operators'!$C$1:$G$99999,5,FALSE)</f>
        <v>BRUDER RICHARD</v>
      </c>
      <c r="M184" s="6">
        <f t="shared" si="100"/>
        <v>1.0879629633564036E-2</v>
      </c>
      <c r="N184" s="7">
        <f t="shared" si="101"/>
        <v>15.666666672332212</v>
      </c>
      <c r="O184" s="7"/>
      <c r="P184" s="7"/>
      <c r="Q184" s="23"/>
      <c r="R184" s="23"/>
      <c r="S184" s="35">
        <f t="shared" si="102"/>
        <v>1</v>
      </c>
      <c r="T184" s="50" t="str">
        <f t="shared" si="103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13:38:22-700',mode:absolute,to:'2016-12-21 15:56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4" s="52" t="str">
        <f t="shared" si="104"/>
        <v>N</v>
      </c>
      <c r="X184" s="177">
        <f t="shared" si="110"/>
        <v>1</v>
      </c>
      <c r="Y184" s="67">
        <f t="shared" si="105"/>
        <v>5.8619000000000003</v>
      </c>
      <c r="Z184" s="67">
        <f t="shared" si="106"/>
        <v>6.7799999999999999E-2</v>
      </c>
      <c r="AA184" s="67">
        <f t="shared" si="107"/>
        <v>5.7941000000000003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108"/>
        <v>0824-21</v>
      </c>
      <c r="AE184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84" s="88" t="str">
        <f t="shared" si="79"/>
        <v>"C:\Program Files (x86)\AstroGrep\AstroGrep.exe" /spath="%USERPROFILE%\AppData\Local\Temp\OnboardLogs" /stypes="app*4045*20161221*" /stext=" 21:.+((SYSTEM_STATE.+slice.+state.+changed )|(ment ac)|(multiple cpu faults)|(system.+state.+changed )|(\[timeout)|(PRM\|1\|D)|(kpr)|(kdp)|(\|lc)|(penalty))" /e /r /s</v>
      </c>
      <c r="AG184" s="1" t="str">
        <f t="shared" si="109"/>
        <v>NW</v>
      </c>
      <c r="AH184" s="92" t="str">
        <f t="shared" si="68"/>
        <v>"%USERPROFILE%\Documents\GitHub\eaglep3\Utilities\RefineRTDCRunTimes.py" --tripid 824-21 --locoid 4045 --swversion DE.1.0.8.0 --startMP 300:58619 --initTime 2016-12-21T14:38:22 --startdatetime 2016-12-21T14:41:18 --delay 1 --endMP 204:678 --enddatetime 2016-12-21T14:56:58 --enforcementcount 0 &gt;&gt;C:\Users\stu\Documents\GitHub\eaglep3-reporting\EC\2016-12-21-refined-times.txt</v>
      </c>
      <c r="AI184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{"issue":{"subject":"","project_id":79,"tracker_id":40,"status_id":1,"priority_id":2,"assigned_to_id":23,"start_date":"2016-12-21","description":"","custom_fields":[{"id":1,"name":"Subdivision","value":"NW"},{"id":4,"name":"Milepost","value":"0.0678"},{"id":17,"name":"Train ID","value":"824-21"},{"id":16,"name":"Locomotive ID","value":"4045"},{"id":130,"name":"Impact","value":""},{"id":150,"name":"Time of Event (Mountain Time)","value":"14:56:58"},{"id":151,"name":"Denver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582</v>
      </c>
      <c r="B185" s="7">
        <v>4046</v>
      </c>
      <c r="C185" s="22" t="s">
        <v>205</v>
      </c>
      <c r="D185" s="22" t="s">
        <v>796</v>
      </c>
      <c r="E185" s="13">
        <v>42725.636481481481</v>
      </c>
      <c r="F185" s="13">
        <v>42725.639803240738</v>
      </c>
      <c r="G185" s="7">
        <v>1</v>
      </c>
      <c r="H185" s="22" t="s">
        <v>793</v>
      </c>
      <c r="I185" s="13">
        <v>42725.650254629632</v>
      </c>
      <c r="J185" s="7">
        <v>0</v>
      </c>
      <c r="K185" s="109" t="str">
        <f t="shared" si="99"/>
        <v>4045/4046</v>
      </c>
      <c r="L185" s="22" t="str">
        <f>VLOOKUP(A185,'Trips&amp;Operators'!$C$1:$G$99999,5,FALSE)</f>
        <v>BRUDER RICHARD</v>
      </c>
      <c r="M185" s="6">
        <f t="shared" si="100"/>
        <v>1.0451388894580305E-2</v>
      </c>
      <c r="N185" s="7">
        <f t="shared" si="101"/>
        <v>15.050000008195639</v>
      </c>
      <c r="O185" s="7"/>
      <c r="P185" s="7"/>
      <c r="Q185" s="23"/>
      <c r="R185" s="23"/>
      <c r="S185" s="35">
        <f t="shared" si="102"/>
        <v>1</v>
      </c>
      <c r="T185" s="50" t="str">
        <f t="shared" si="103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14:16:32-700',mode:absolute,to:'2016-12-21 16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5" s="52" t="str">
        <f t="shared" si="104"/>
        <v>N</v>
      </c>
      <c r="X185" s="177">
        <f t="shared" si="110"/>
        <v>1</v>
      </c>
      <c r="Y185" s="67">
        <f t="shared" si="105"/>
        <v>9.6699999999999994E-2</v>
      </c>
      <c r="Z185" s="67">
        <f t="shared" si="106"/>
        <v>5.8936999999999999</v>
      </c>
      <c r="AA185" s="67">
        <f t="shared" si="107"/>
        <v>5.7969999999999997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108"/>
        <v>0825-21</v>
      </c>
      <c r="AE185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85" s="88" t="str">
        <f t="shared" si="79"/>
        <v>"C:\Program Files (x86)\AstroGrep\AstroGrep.exe" /spath="%USERPROFILE%\AppData\Local\Temp\OnboardLogs" /stypes="app*4046*20161221*" /stext=" 22:.+((SYSTEM_STATE.+slice.+state.+changed )|(ment ac)|(multiple cpu faults)|(system.+state.+changed )|(\[timeout)|(PRM\|1\|D)|(kpr)|(kdp)|(\|lc)|(penalty))" /e /r /s</v>
      </c>
      <c r="AG185" s="1" t="str">
        <f t="shared" si="109"/>
        <v>NW</v>
      </c>
      <c r="AH185" s="92" t="str">
        <f t="shared" si="68"/>
        <v>"%USERPROFILE%\Documents\GitHub\eaglep3\Utilities\RefineRTDCRunTimes.py" --tripid 825-21 --locoid 4046 --swversion DE.1.0.8.0 --startMP 204:967 --initTime 2016-12-21T15:16:32 --startdatetime 2016-12-21T15:21:19 --delay 1 --endMP 300:58937 --enddatetime 2016-12-21T15:36:22 --enforcementcount 0 &gt;&gt;C:\Users\stu\Documents\GitHub\eaglep3-reporting\EC\2016-12-21-refined-times.txt</v>
      </c>
      <c r="AI185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{"issue":{"subject":"","project_id":79,"tracker_id":40,"status_id":1,"priority_id":2,"assigned_to_id":23,"start_date":"2016-12-21","description":"","custom_fields":[{"id":1,"name":"Subdivision","value":"NW"},{"id":4,"name":"Milepost","value":"5.8937"},{"id":17,"name":"Train ID","value":"825-21"},{"id":16,"name":"Locomotive ID","value":"4046"},{"id":130,"name":"Impact","value":""},{"id":150,"name":"Time of Event (Mountain Time)","value":"15:36:22"},{"id":151,"name":"Denver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588</v>
      </c>
      <c r="B186" s="7">
        <v>4045</v>
      </c>
      <c r="C186" s="22" t="s">
        <v>205</v>
      </c>
      <c r="D186" s="22" t="s">
        <v>415</v>
      </c>
      <c r="E186" s="13">
        <v>42725.651608796295</v>
      </c>
      <c r="F186" s="13">
        <v>42725.653321759259</v>
      </c>
      <c r="G186" s="7">
        <v>1</v>
      </c>
      <c r="H186" s="22" t="s">
        <v>797</v>
      </c>
      <c r="I186" s="13">
        <v>42725.664537037039</v>
      </c>
      <c r="J186" s="7">
        <v>0</v>
      </c>
      <c r="K186" s="109" t="str">
        <f t="shared" si="99"/>
        <v>4045/4046</v>
      </c>
      <c r="L186" s="22" t="str">
        <f>VLOOKUP(A186,'Trips&amp;Operators'!$C$1:$G$99999,5,FALSE)</f>
        <v>BRUDER RICHARD</v>
      </c>
      <c r="M186" s="6">
        <f t="shared" si="100"/>
        <v>1.1215277780138422E-2</v>
      </c>
      <c r="N186" s="7">
        <f t="shared" si="101"/>
        <v>16.150000003399327</v>
      </c>
      <c r="O186" s="7"/>
      <c r="P186" s="7"/>
      <c r="Q186" s="23"/>
      <c r="R186" s="23"/>
      <c r="S186" s="35">
        <f t="shared" si="102"/>
        <v>1</v>
      </c>
      <c r="T186" s="50" t="str">
        <f t="shared" si="103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14:38:19-700',mode:absolute,to:'2016-12-21 16:56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6" s="52" t="str">
        <f t="shared" si="104"/>
        <v>N</v>
      </c>
      <c r="X186" s="177">
        <f t="shared" si="110"/>
        <v>1</v>
      </c>
      <c r="Y186" s="67">
        <f t="shared" si="105"/>
        <v>5.8609</v>
      </c>
      <c r="Z186" s="67">
        <f t="shared" si="106"/>
        <v>6.9400000000000003E-2</v>
      </c>
      <c r="AA186" s="67">
        <f t="shared" si="107"/>
        <v>5.7915000000000001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108"/>
        <v>0826-21</v>
      </c>
      <c r="AE186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86" s="88" t="str">
        <f t="shared" si="79"/>
        <v>"C:\Program Files (x86)\AstroGrep\AstroGrep.exe" /spath="%USERPROFILE%\AppData\Local\Temp\OnboardLogs" /stypes="app*4045*20161221*" /stext=" 22:.+((SYSTEM_STATE.+slice.+state.+changed )|(ment ac)|(multiple cpu faults)|(system.+state.+changed )|(\[timeout)|(PRM\|1\|D)|(kpr)|(kdp)|(\|lc)|(penalty))" /e /r /s</v>
      </c>
      <c r="AG186" s="1" t="str">
        <f t="shared" si="109"/>
        <v>NW</v>
      </c>
      <c r="AH186" s="92" t="str">
        <f t="shared" si="68"/>
        <v>"%USERPROFILE%\Documents\GitHub\eaglep3\Utilities\RefineRTDCRunTimes.py" --tripid 826-21 --locoid 4045 --swversion DE.1.0.8.0 --startMP 300:58609 --initTime 2016-12-21T15:38:19 --startdatetime 2016-12-21T15:40:47 --delay 1 --endMP 204:694 --enddatetime 2016-12-21T15:56:56 --enforcementcount 0 &gt;&gt;C:\Users\stu\Documents\GitHub\eaglep3-reporting\EC\2016-12-21-refined-times.txt</v>
      </c>
      <c r="AI186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{"issue":{"subject":"","project_id":79,"tracker_id":40,"status_id":1,"priority_id":2,"assigned_to_id":23,"start_date":"2016-12-21","description":"","custom_fields":[{"id":1,"name":"Subdivision","value":"NW"},{"id":4,"name":"Milepost","value":"0.0694"},{"id":17,"name":"Train ID","value":"826-21"},{"id":16,"name":"Locomotive ID","value":"4045"},{"id":130,"name":"Impact","value":""},{"id":150,"name":"Time of Event (Mountain Time)","value":"15:56:56"},{"id":151,"name":"Denver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585</v>
      </c>
      <c r="B187" s="7">
        <v>4018</v>
      </c>
      <c r="C187" s="22" t="s">
        <v>205</v>
      </c>
      <c r="D187" s="22" t="s">
        <v>798</v>
      </c>
      <c r="E187" s="13">
        <v>42725.657534722224</v>
      </c>
      <c r="F187" s="13">
        <v>42725.660694444443</v>
      </c>
      <c r="G187" s="7">
        <v>1</v>
      </c>
      <c r="H187" s="22" t="s">
        <v>799</v>
      </c>
      <c r="I187" s="13">
        <v>42725.67287037037</v>
      </c>
      <c r="J187" s="7">
        <v>0</v>
      </c>
      <c r="K187" s="109" t="str">
        <f t="shared" si="99"/>
        <v>4017/4018</v>
      </c>
      <c r="L187" s="22" t="str">
        <f>VLOOKUP(A187,'Trips&amp;Operators'!$C$1:$G$99999,5,FALSE)</f>
        <v>CHANDLER KELVIN</v>
      </c>
      <c r="M187" s="6">
        <f t="shared" si="100"/>
        <v>1.2175925927294884E-2</v>
      </c>
      <c r="N187" s="7">
        <f t="shared" si="101"/>
        <v>17.533333335304633</v>
      </c>
      <c r="O187" s="7"/>
      <c r="P187" s="7"/>
      <c r="Q187" s="23"/>
      <c r="R187" s="23"/>
      <c r="S187" s="35">
        <f t="shared" si="102"/>
        <v>1</v>
      </c>
      <c r="T187" s="50" t="str">
        <f t="shared" si="103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14:46:51-700',mode:absolute,to:'2016-12-21 17:08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7" s="52" t="str">
        <f t="shared" si="104"/>
        <v>N</v>
      </c>
      <c r="X187" s="177">
        <f t="shared" si="110"/>
        <v>1</v>
      </c>
      <c r="Y187" s="67">
        <f t="shared" si="105"/>
        <v>9.06E-2</v>
      </c>
      <c r="Z187" s="67">
        <f t="shared" si="106"/>
        <v>5.8964999999999996</v>
      </c>
      <c r="AA187" s="67">
        <f t="shared" si="107"/>
        <v>5.8058999999999994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108"/>
        <v>0827-21</v>
      </c>
      <c r="AE187" s="91" t="str">
        <f t="shared" si="78"/>
        <v>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 &amp; 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</v>
      </c>
      <c r="AF187" s="88" t="str">
        <f t="shared" si="79"/>
        <v>"C:\Program Files (x86)\AstroGrep\AstroGrep.exe" /spath="%USERPROFILE%\AppData\Local\Temp\OnboardLogs" /stypes="app*4018*20161221*" /stext=" 23:.+((SYSTEM_STATE.+slice.+state.+changed )|(ment ac)|(multiple cpu faults)|(system.+state.+changed )|(\[timeout)|(PRM\|1\|D)|(kpr)|(kdp)|(\|lc)|(penalty))" /e /r /s</v>
      </c>
      <c r="AG187" s="1" t="str">
        <f t="shared" si="109"/>
        <v>NW</v>
      </c>
      <c r="AH187" s="92" t="str">
        <f t="shared" si="68"/>
        <v>"%USERPROFILE%\Documents\GitHub\eaglep3\Utilities\RefineRTDCRunTimes.py" --tripid 827-21 --locoid 4018 --swversion DE.1.0.8.0 --startMP 204:906 --initTime 2016-12-21T15:46:51 --startdatetime 2016-12-21T15:51:24 --delay 1 --endMP 300:58965 --enddatetime 2016-12-21T16:08:56 --enforcementcount 0 &gt;&gt;C:\Users\stu\Documents\GitHub\eaglep3-reporting\EC\2016-12-21-refined-times.txt</v>
      </c>
      <c r="AI187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{"issue":{"subject":"","project_id":79,"tracker_id":40,"status_id":1,"priority_id":2,"assigned_to_id":23,"start_date":"2016-12-21","description":"","custom_fields":[{"id":1,"name":"Subdivision","value":"NW"},{"id":4,"name":"Milepost","value":"5.8965"},{"id":17,"name":"Train ID","value":"827-21"},{"id":16,"name":"Locomotive ID","value":"4018"},{"id":130,"name":"Impact","value":""},{"id":150,"name":"Time of Event (Mountain Time)","value":"16:08:56"},{"id":151,"name":"Denver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594</v>
      </c>
      <c r="B188" s="7">
        <v>4017</v>
      </c>
      <c r="C188" s="22" t="s">
        <v>205</v>
      </c>
      <c r="D188" s="22" t="s">
        <v>800</v>
      </c>
      <c r="E188" s="13">
        <v>42725.674409722225</v>
      </c>
      <c r="F188" s="13">
        <v>42725.675671296296</v>
      </c>
      <c r="G188" s="7">
        <v>1</v>
      </c>
      <c r="H188" s="22" t="s">
        <v>801</v>
      </c>
      <c r="I188" s="13">
        <v>42725.685983796298</v>
      </c>
      <c r="J188" s="7">
        <v>0</v>
      </c>
      <c r="K188" s="109" t="str">
        <f t="shared" si="99"/>
        <v>4017/4018</v>
      </c>
      <c r="L188" s="22" t="str">
        <f>VLOOKUP(A188,'Trips&amp;Operators'!$C$1:$G$99999,5,FALSE)</f>
        <v>CHANDLER KELVIN</v>
      </c>
      <c r="M188" s="6">
        <f t="shared" si="100"/>
        <v>1.0312500002328306E-2</v>
      </c>
      <c r="N188" s="7">
        <f t="shared" si="101"/>
        <v>14.850000003352761</v>
      </c>
      <c r="O188" s="7"/>
      <c r="P188" s="7"/>
      <c r="Q188" s="23"/>
      <c r="R188" s="23"/>
      <c r="S188" s="35">
        <f t="shared" si="102"/>
        <v>1</v>
      </c>
      <c r="T188" s="50" t="str">
        <f t="shared" si="103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15:11:09-700',mode:absolute,to:'2016-12-21 17:27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8" s="52" t="str">
        <f t="shared" si="104"/>
        <v>N</v>
      </c>
      <c r="X188" s="177">
        <f t="shared" si="110"/>
        <v>1</v>
      </c>
      <c r="Y188" s="67">
        <f t="shared" si="105"/>
        <v>5.8651</v>
      </c>
      <c r="Z188" s="67">
        <f t="shared" si="106"/>
        <v>6.4899999999999999E-2</v>
      </c>
      <c r="AA188" s="67">
        <f t="shared" si="107"/>
        <v>5.8002000000000002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108"/>
        <v>0828-21</v>
      </c>
      <c r="AE188" s="91" t="str">
        <f t="shared" si="78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88" s="88" t="str">
        <f t="shared" si="79"/>
        <v>"C:\Program Files (x86)\AstroGrep\AstroGrep.exe" /spath="%USERPROFILE%\AppData\Local\Temp\OnboardLogs" /stypes="app*4017*20161221*" /stext=" 23:.+((SYSTEM_STATE.+slice.+state.+changed )|(ment ac)|(multiple cpu faults)|(system.+state.+changed )|(\[timeout)|(PRM\|1\|D)|(kpr)|(kdp)|(\|lc)|(penalty))" /e /r /s</v>
      </c>
      <c r="AG188" s="1" t="str">
        <f t="shared" si="109"/>
        <v>NW</v>
      </c>
      <c r="AH188" s="92" t="str">
        <f t="shared" si="68"/>
        <v>"%USERPROFILE%\Documents\GitHub\eaglep3\Utilities\RefineRTDCRunTimes.py" --tripid 828-21 --locoid 4017 --swversion DE.1.0.8.0 --startMP 300:58651 --initTime 2016-12-21T16:11:09 --startdatetime 2016-12-21T16:12:58 --delay 1 --endMP 204:649 --enddatetime 2016-12-21T16:27:49 --enforcementcount 0 &gt;&gt;C:\Users\stu\Documents\GitHub\eaglep3-reporting\EC\2016-12-21-refined-times.txt</v>
      </c>
      <c r="AI188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{"issue":{"subject":"","project_id":79,"tracker_id":40,"status_id":1,"priority_id":2,"assigned_to_id":23,"start_date":"2016-12-21","description":"","custom_fields":[{"id":1,"name":"Subdivision","value":"NW"},{"id":4,"name":"Milepost","value":"0.0649"},{"id":17,"name":"Train ID","value":"828-21"},{"id":16,"name":"Locomotive ID","value":"4017"},{"id":130,"name":"Impact","value":""},{"id":150,"name":"Time of Event (Mountain Time)","value":"16:27:49"},{"id":151,"name":"Denver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596</v>
      </c>
      <c r="B189" s="7">
        <v>4046</v>
      </c>
      <c r="C189" s="22" t="s">
        <v>205</v>
      </c>
      <c r="D189" s="22" t="s">
        <v>802</v>
      </c>
      <c r="E189" s="13">
        <v>42725.67765046296</v>
      </c>
      <c r="F189" s="13">
        <v>42725.681493055556</v>
      </c>
      <c r="G189" s="7">
        <v>1</v>
      </c>
      <c r="H189" s="22" t="s">
        <v>793</v>
      </c>
      <c r="I189" s="13">
        <v>42725.691921296297</v>
      </c>
      <c r="J189" s="7">
        <v>0</v>
      </c>
      <c r="K189" s="109" t="str">
        <f t="shared" si="99"/>
        <v>4045/4046</v>
      </c>
      <c r="L189" s="22" t="str">
        <f>VLOOKUP(A189,'Trips&amp;Operators'!$C$1:$G$99999,5,FALSE)</f>
        <v>BRUDER RICHARD</v>
      </c>
      <c r="M189" s="6">
        <f t="shared" si="100"/>
        <v>1.0428240741021E-2</v>
      </c>
      <c r="N189" s="7">
        <f t="shared" si="101"/>
        <v>15.01666666707024</v>
      </c>
      <c r="O189" s="7"/>
      <c r="P189" s="7"/>
      <c r="Q189" s="23"/>
      <c r="R189" s="23"/>
      <c r="S189" s="35">
        <f t="shared" si="102"/>
        <v>1</v>
      </c>
      <c r="T189" s="50" t="str">
        <f t="shared" si="103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15:15:49-700',mode:absolute,to:'2016-12-21 17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9" s="52" t="str">
        <f t="shared" si="104"/>
        <v>N</v>
      </c>
      <c r="X189" s="177">
        <f t="shared" si="110"/>
        <v>1</v>
      </c>
      <c r="Y189" s="67">
        <f t="shared" si="105"/>
        <v>9.8599999999999993E-2</v>
      </c>
      <c r="Z189" s="67">
        <f t="shared" si="106"/>
        <v>5.8936999999999999</v>
      </c>
      <c r="AA189" s="67">
        <f t="shared" si="107"/>
        <v>5.7950999999999997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108"/>
        <v>0829-21</v>
      </c>
      <c r="AE189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89" s="88" t="str">
        <f t="shared" si="79"/>
        <v>"C:\Program Files (x86)\AstroGrep\AstroGrep.exe" /spath="%USERPROFILE%\AppData\Local\Temp\OnboardLogs" /stypes="app*4046*20161221*" /stext=" 23:.+((SYSTEM_STATE.+slice.+state.+changed )|(ment ac)|(multiple cpu faults)|(system.+state.+changed )|(\[timeout)|(PRM\|1\|D)|(kpr)|(kdp)|(\|lc)|(penalty))" /e /r /s</v>
      </c>
      <c r="AG189" s="1" t="str">
        <f t="shared" si="109"/>
        <v>NW</v>
      </c>
      <c r="AH189" s="92" t="str">
        <f t="shared" si="68"/>
        <v>"%USERPROFILE%\Documents\GitHub\eaglep3\Utilities\RefineRTDCRunTimes.py" --tripid 829-21 --locoid 4046 --swversion DE.1.0.8.0 --startMP 204:986 --initTime 2016-12-21T16:15:49 --startdatetime 2016-12-21T16:21:21 --delay 1 --endMP 300:58937 --enddatetime 2016-12-21T16:36:22 --enforcementcount 0 &gt;&gt;C:\Users\stu\Documents\GitHub\eaglep3-reporting\EC\2016-12-21-refined-times.txt</v>
      </c>
      <c r="AI189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{"issue":{"subject":"","project_id":79,"tracker_id":40,"status_id":1,"priority_id":2,"assigned_to_id":23,"start_date":"2016-12-21","description":"","custom_fields":[{"id":1,"name":"Subdivision","value":"NW"},{"id":4,"name":"Milepost","value":"5.8937"},{"id":17,"name":"Train ID","value":"829-21"},{"id":16,"name":"Locomotive ID","value":"4046"},{"id":130,"name":"Impact","value":""},{"id":150,"name":"Time of Event (Mountain Time)","value":"16:36:22"},{"id":151,"name":"Denver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599</v>
      </c>
      <c r="B190" s="7">
        <v>4045</v>
      </c>
      <c r="C190" s="22" t="s">
        <v>205</v>
      </c>
      <c r="D190" s="22" t="s">
        <v>350</v>
      </c>
      <c r="E190" s="13">
        <v>42725.693437499998</v>
      </c>
      <c r="F190" s="13">
        <v>42725.695486111108</v>
      </c>
      <c r="G190" s="7">
        <v>1</v>
      </c>
      <c r="H190" s="22" t="s">
        <v>776</v>
      </c>
      <c r="I190" s="13">
        <v>42725.705462962964</v>
      </c>
      <c r="J190" s="7">
        <v>0</v>
      </c>
      <c r="K190" s="109" t="str">
        <f t="shared" si="99"/>
        <v>4045/4046</v>
      </c>
      <c r="L190" s="22" t="str">
        <f>VLOOKUP(A190,'Trips&amp;Operators'!$C$1:$G$99999,5,FALSE)</f>
        <v>BRUDER RICHARD</v>
      </c>
      <c r="M190" s="6">
        <f t="shared" si="100"/>
        <v>9.976851855753921E-3</v>
      </c>
      <c r="N190" s="7">
        <f t="shared" si="101"/>
        <v>14.366666672285646</v>
      </c>
      <c r="O190" s="7"/>
      <c r="P190" s="7"/>
      <c r="Q190" s="23"/>
      <c r="R190" s="23"/>
      <c r="S190" s="35">
        <f t="shared" si="102"/>
        <v>1</v>
      </c>
      <c r="T190" s="50" t="str">
        <f t="shared" si="103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15:38:33-700',mode:absolute,to:'2016-12-21 17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0" s="52" t="str">
        <f t="shared" si="104"/>
        <v>N</v>
      </c>
      <c r="X190" s="177">
        <f t="shared" si="110"/>
        <v>1</v>
      </c>
      <c r="Y190" s="67">
        <f t="shared" si="105"/>
        <v>5.8611000000000004</v>
      </c>
      <c r="Z190" s="67">
        <f t="shared" si="106"/>
        <v>6.8400000000000002E-2</v>
      </c>
      <c r="AA190" s="67">
        <f t="shared" si="107"/>
        <v>5.7927000000000008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108"/>
        <v>0830-21</v>
      </c>
      <c r="AE190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90" s="88" t="str">
        <f t="shared" si="79"/>
        <v>"C:\Program Files (x86)\AstroGrep\AstroGrep.exe" /spath="%USERPROFILE%\AppData\Local\Temp\OnboardLogs" /stypes="app*4045*20161221*" /stext=" 23:.+((SYSTEM_STATE.+slice.+state.+changed )|(ment ac)|(multiple cpu faults)|(system.+state.+changed )|(\[timeout)|(PRM\|1\|D)|(kpr)|(kdp)|(\|lc)|(penalty))" /e /r /s</v>
      </c>
      <c r="AG190" s="1" t="str">
        <f t="shared" si="109"/>
        <v>NW</v>
      </c>
      <c r="AH190" s="92" t="str">
        <f t="shared" si="68"/>
        <v>"%USERPROFILE%\Documents\GitHub\eaglep3\Utilities\RefineRTDCRunTimes.py" --tripid 830-21 --locoid 4045 --swversion DE.1.0.8.0 --startMP 300:58611 --initTime 2016-12-21T16:38:33 --startdatetime 2016-12-21T16:41:30 --delay 1 --endMP 204:684 --enddatetime 2016-12-21T16:55:52 --enforcementcount 0 &gt;&gt;C:\Users\stu\Documents\GitHub\eaglep3-reporting\EC\2016-12-21-refined-times.txt</v>
      </c>
      <c r="AI190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{"issue":{"subject":"","project_id":79,"tracker_id":40,"status_id":1,"priority_id":2,"assigned_to_id":23,"start_date":"2016-12-21","description":"","custom_fields":[{"id":1,"name":"Subdivision","value":"NW"},{"id":4,"name":"Milepost","value":"0.0684"},{"id":17,"name":"Train ID","value":"830-21"},{"id":16,"name":"Locomotive ID","value":"4045"},{"id":130,"name":"Impact","value":""},{"id":150,"name":"Time of Event (Mountain Time)","value":"16:55:52"},{"id":151,"name":"Denver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602</v>
      </c>
      <c r="B191" s="7">
        <v>4018</v>
      </c>
      <c r="C191" s="22" t="s">
        <v>205</v>
      </c>
      <c r="D191" s="22" t="s">
        <v>803</v>
      </c>
      <c r="E191" s="13">
        <v>42725.700983796298</v>
      </c>
      <c r="F191" s="13">
        <v>42725.702384259261</v>
      </c>
      <c r="G191" s="7">
        <v>0</v>
      </c>
      <c r="H191" s="22" t="s">
        <v>804</v>
      </c>
      <c r="I191" s="13">
        <v>42725.714004629626</v>
      </c>
      <c r="J191" s="7">
        <v>0</v>
      </c>
      <c r="K191" s="109" t="str">
        <f t="shared" si="99"/>
        <v>4017/4018</v>
      </c>
      <c r="L191" s="22" t="str">
        <f>VLOOKUP(A191,'Trips&amp;Operators'!$C$1:$G$99999,5,FALSE)</f>
        <v>CHANDLER KELVIN</v>
      </c>
      <c r="M191" s="6">
        <f t="shared" si="100"/>
        <v>1.1620370365562849E-2</v>
      </c>
      <c r="N191" s="7">
        <f t="shared" si="101"/>
        <v>16.733333326410502</v>
      </c>
      <c r="O191" s="7"/>
      <c r="P191" s="7"/>
      <c r="Q191" s="23"/>
      <c r="R191" s="23"/>
      <c r="S191" s="35">
        <f t="shared" si="102"/>
        <v>1</v>
      </c>
      <c r="T191" s="50" t="str">
        <f t="shared" si="103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15:49:25-700',mode:absolute,to:'2016-12-21 18:08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1" s="52" t="str">
        <f t="shared" si="104"/>
        <v>N</v>
      </c>
      <c r="X191" s="177">
        <f t="shared" si="110"/>
        <v>1</v>
      </c>
      <c r="Y191" s="67">
        <f t="shared" si="105"/>
        <v>9.4399999999999998E-2</v>
      </c>
      <c r="Z191" s="67">
        <f t="shared" si="106"/>
        <v>5.8945999999999996</v>
      </c>
      <c r="AA191" s="67">
        <f t="shared" si="107"/>
        <v>5.8001999999999994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108"/>
        <v>0831-21</v>
      </c>
      <c r="AE191" s="91" t="str">
        <f t="shared" si="78"/>
        <v>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 &amp; 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</v>
      </c>
      <c r="AF191" s="88" t="str">
        <f t="shared" si="79"/>
        <v>"C:\Program Files (x86)\AstroGrep\AstroGrep.exe" /spath="%USERPROFILE%\AppData\Local\Temp\OnboardLogs" /stypes="app*4018*20161222*" /stext=" 00:.+((SYSTEM_STATE.+slice.+state.+changed )|(ment ac)|(multiple cpu faults)|(system.+state.+changed )|(\[timeout)|(PRM\|1\|D)|(kpr)|(kdp)|(\|lc)|(penalty))" /e /r /s</v>
      </c>
      <c r="AG191" s="1" t="str">
        <f t="shared" si="109"/>
        <v>NW</v>
      </c>
      <c r="AH191" s="92" t="str">
        <f t="shared" si="68"/>
        <v>"%USERPROFILE%\Documents\GitHub\eaglep3\Utilities\RefineRTDCRunTimes.py" --tripid 831-21 --locoid 4018 --swversion DE.1.0.8.0 --startMP 204:944 --initTime 2016-12-21T16:49:25 --startdatetime 2016-12-21T16:51:26 --delay 0 --endMP 300:58946 --enddatetime 2016-12-21T17:08:10 --enforcementcount 0 &gt;&gt;C:\Users\stu\Documents\GitHub\eaglep3-reporting\EC\2016-12-21-refined-times.txt</v>
      </c>
      <c r="AI191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{"issue":{"subject":"","project_id":79,"tracker_id":40,"status_id":1,"priority_id":2,"assigned_to_id":23,"start_date":"2016-12-21","description":"","custom_fields":[{"id":1,"name":"Subdivision","value":"NW"},{"id":4,"name":"Milepost","value":"5.8946"},{"id":17,"name":"Train ID","value":"831-21"},{"id":16,"name":"Locomotive ID","value":"4018"},{"id":130,"name":"Impact","value":""},{"id":150,"name":"Time of Event (Mountain Time)","value":"17:08:10"},{"id":151,"name":"Denver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606</v>
      </c>
      <c r="B192" s="7">
        <v>4017</v>
      </c>
      <c r="C192" s="22" t="s">
        <v>205</v>
      </c>
      <c r="D192" s="22" t="s">
        <v>413</v>
      </c>
      <c r="E192" s="13">
        <v>42725.715486111112</v>
      </c>
      <c r="F192" s="13">
        <v>42725.716435185182</v>
      </c>
      <c r="G192" s="7">
        <v>0</v>
      </c>
      <c r="H192" s="22" t="s">
        <v>805</v>
      </c>
      <c r="I192" s="13">
        <v>42725.727430555555</v>
      </c>
      <c r="J192" s="7">
        <v>0</v>
      </c>
      <c r="K192" s="109" t="str">
        <f t="shared" ref="K192:K223" si="111">IF(ISEVEN(B192),(B192-1)&amp;"/"&amp;B192,B192&amp;"/"&amp;(B192+1))</f>
        <v>4017/4018</v>
      </c>
      <c r="L192" s="22" t="str">
        <f>VLOOKUP(A192,'Trips&amp;Operators'!$C$1:$G$99999,5,FALSE)</f>
        <v>CHANDLER KELVIN</v>
      </c>
      <c r="M192" s="6">
        <f t="shared" ref="M192:M223" si="112">I192-F192</f>
        <v>1.099537037225673E-2</v>
      </c>
      <c r="N192" s="7">
        <f t="shared" ref="N192:N223" si="113">24*60*SUM($M192:$M192)</f>
        <v>15.833333336049691</v>
      </c>
      <c r="O192" s="7"/>
      <c r="P192" s="7"/>
      <c r="Q192" s="23"/>
      <c r="R192" s="23"/>
      <c r="S192" s="35">
        <f t="shared" ref="S192:S223" si="114">SUM(U192:U192)/IF(AG192="EC",12,1)</f>
        <v>1</v>
      </c>
      <c r="T192" s="50" t="str">
        <f t="shared" ref="T192:T223" si="115">IF(ISEVEN(LEFT(AD192,4)),"Southbound","NorthBound")</f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16:10:18-700',mode:absolute,to:'2016-12-21 18:27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2" s="52" t="str">
        <f t="shared" ref="W192:W223" si="116">IF(AA192&lt;IF(AG192="EC",23,5.65),"Y","N")</f>
        <v>N</v>
      </c>
      <c r="X192" s="177">
        <f t="shared" si="110"/>
        <v>1</v>
      </c>
      <c r="Y192" s="67">
        <f t="shared" ref="Y192:Y223" si="117">RIGHT(D192,LEN(D192)-4)/10000</f>
        <v>5.8630000000000004</v>
      </c>
      <c r="Z192" s="67">
        <f t="shared" ref="Z192:Z223" si="118">RIGHT(H192,LEN(H192)-4)/10000</f>
        <v>6.2799999999999995E-2</v>
      </c>
      <c r="AA192" s="67">
        <f t="shared" ref="AA192:AA223" si="119">ABS(Z192-Y192)</f>
        <v>5.8002000000000002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ref="AD192:AD223" si="120">IF(LEN(A192)=6,"0"&amp;A192,A192)</f>
        <v>0832-21</v>
      </c>
      <c r="AE192" s="91" t="str">
        <f t="shared" si="78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92" s="88" t="str">
        <f t="shared" si="79"/>
        <v>"C:\Program Files (x86)\AstroGrep\AstroGrep.exe" /spath="%USERPROFILE%\AppData\Local\Temp\OnboardLogs" /stypes="app*4017*20161222*" /stext=" 00:.+((SYSTEM_STATE.+slice.+state.+changed )|(ment ac)|(multiple cpu faults)|(system.+state.+changed )|(\[timeout)|(PRM\|1\|D)|(kpr)|(kdp)|(\|lc)|(penalty))" /e /r /s</v>
      </c>
      <c r="AG192" s="1" t="str">
        <f t="shared" ref="AG192:AG223" si="121">IFERROR(IF(VALUE(LEFT(AD192,2))&lt;=2,"EC",IF(OR(VALUE(LEFT(AD192,2))=8,VALUE(LEFT(AD192,2))=18),"NW","Other")),"Other")</f>
        <v>NW</v>
      </c>
      <c r="AH192" s="92" t="str">
        <f t="shared" si="68"/>
        <v>"%USERPROFILE%\Documents\GitHub\eaglep3\Utilities\RefineRTDCRunTimes.py" --tripid 832-21 --locoid 4017 --swversion DE.1.0.8.0 --startMP 300:58630 --initTime 2016-12-21T17:10:18 --startdatetime 2016-12-21T17:11:40 --delay 0 --endMP 204:628 --enddatetime 2016-12-21T17:27:30 --enforcementcount 0 &gt;&gt;C:\Users\stu\Documents\GitHub\eaglep3-reporting\EC\2016-12-21-refined-times.txt</v>
      </c>
      <c r="AI192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{"issue":{"subject":"","project_id":79,"tracker_id":40,"status_id":1,"priority_id":2,"assigned_to_id":23,"start_date":"2016-12-21","description":"","custom_fields":[{"id":1,"name":"Subdivision","value":"NW"},{"id":4,"name":"Milepost","value":"0.0628"},{"id":17,"name":"Train ID","value":"832-21"},{"id":16,"name":"Locomotive ID","value":"4017"},{"id":130,"name":"Impact","value":""},{"id":150,"name":"Time of Event (Mountain Time)","value":"17:27:30"},{"id":151,"name":"Denver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609</v>
      </c>
      <c r="B193" s="7">
        <v>4046</v>
      </c>
      <c r="C193" s="22" t="s">
        <v>205</v>
      </c>
      <c r="D193" s="22" t="s">
        <v>806</v>
      </c>
      <c r="E193" s="13">
        <v>42725.719444444447</v>
      </c>
      <c r="F193" s="13">
        <v>42725.723113425927</v>
      </c>
      <c r="G193" s="7">
        <v>1</v>
      </c>
      <c r="H193" s="22" t="s">
        <v>291</v>
      </c>
      <c r="I193" s="13">
        <v>42725.733761574076</v>
      </c>
      <c r="J193" s="7">
        <v>0</v>
      </c>
      <c r="K193" s="109" t="str">
        <f t="shared" si="111"/>
        <v>4045/4046</v>
      </c>
      <c r="L193" s="22" t="str">
        <f>VLOOKUP(A193,'Trips&amp;Operators'!$C$1:$G$99999,5,FALSE)</f>
        <v>BRUDER RICHARD</v>
      </c>
      <c r="M193" s="6">
        <f t="shared" si="112"/>
        <v>1.0648148148902692E-2</v>
      </c>
      <c r="N193" s="7">
        <f t="shared" si="113"/>
        <v>15.333333334419876</v>
      </c>
      <c r="O193" s="7"/>
      <c r="P193" s="7"/>
      <c r="Q193" s="23"/>
      <c r="R193" s="23"/>
      <c r="S193" s="35">
        <f t="shared" si="114"/>
        <v>1</v>
      </c>
      <c r="T193" s="50" t="str">
        <f t="shared" si="115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16:16:00-700',mode:absolute,to:'2016-12-21 18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3" s="52" t="str">
        <f t="shared" si="116"/>
        <v>N</v>
      </c>
      <c r="X193" s="177">
        <f t="shared" si="110"/>
        <v>1</v>
      </c>
      <c r="Y193" s="67">
        <f t="shared" si="117"/>
        <v>9.8100000000000007E-2</v>
      </c>
      <c r="Z193" s="67">
        <f t="shared" si="118"/>
        <v>5.8939000000000004</v>
      </c>
      <c r="AA193" s="67">
        <f t="shared" si="119"/>
        <v>5.7958000000000007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120"/>
        <v>0833-21</v>
      </c>
      <c r="AE193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93" s="88" t="str">
        <f t="shared" si="79"/>
        <v>"C:\Program Files (x86)\AstroGrep\AstroGrep.exe" /spath="%USERPROFILE%\AppData\Local\Temp\OnboardLogs" /stypes="app*4046*20161222*" /stext=" 00:.+((SYSTEM_STATE.+slice.+state.+changed )|(ment ac)|(multiple cpu faults)|(system.+state.+changed )|(\[timeout)|(PRM\|1\|D)|(kpr)|(kdp)|(\|lc)|(penalty))" /e /r /s</v>
      </c>
      <c r="AG193" s="1" t="str">
        <f t="shared" si="121"/>
        <v>NW</v>
      </c>
      <c r="AH193" s="92" t="str">
        <f t="shared" si="68"/>
        <v>"%USERPROFILE%\Documents\GitHub\eaglep3\Utilities\RefineRTDCRunTimes.py" --tripid 833-21 --locoid 4046 --swversion DE.1.0.8.0 --startMP 204:981 --initTime 2016-12-21T17:16:00 --startdatetime 2016-12-21T17:21:17 --delay 1 --endMP 300:58939 --enddatetime 2016-12-21T17:36:37 --enforcementcount 0 &gt;&gt;C:\Users\stu\Documents\GitHub\eaglep3-reporting\EC\2016-12-21-refined-times.txt</v>
      </c>
      <c r="AI193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{"issue":{"subject":"","project_id":79,"tracker_id":40,"status_id":1,"priority_id":2,"assigned_to_id":23,"start_date":"2016-12-21","description":"","custom_fields":[{"id":1,"name":"Subdivision","value":"NW"},{"id":4,"name":"Milepost","value":"5.8939"},{"id":17,"name":"Train ID","value":"833-21"},{"id":16,"name":"Locomotive ID","value":"4046"},{"id":130,"name":"Impact","value":""},{"id":150,"name":"Time of Event (Mountain Time)","value":"17:36:37"},{"id":151,"name":"Denver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613</v>
      </c>
      <c r="B194" s="7">
        <v>4045</v>
      </c>
      <c r="C194" s="22" t="s">
        <v>205</v>
      </c>
      <c r="D194" s="22" t="s">
        <v>420</v>
      </c>
      <c r="E194" s="13">
        <v>42725.734907407408</v>
      </c>
      <c r="F194" s="13">
        <v>42725.736516203702</v>
      </c>
      <c r="G194" s="7">
        <v>1</v>
      </c>
      <c r="H194" s="22" t="s">
        <v>807</v>
      </c>
      <c r="I194" s="13">
        <v>42725.747731481482</v>
      </c>
      <c r="J194" s="7">
        <v>0</v>
      </c>
      <c r="K194" s="109" t="str">
        <f t="shared" si="111"/>
        <v>4045/4046</v>
      </c>
      <c r="L194" s="22" t="str">
        <f>VLOOKUP(A194,'Trips&amp;Operators'!$C$1:$G$99999,5,FALSE)</f>
        <v>BRUDER RICHARD</v>
      </c>
      <c r="M194" s="6">
        <f t="shared" si="112"/>
        <v>1.1215277780138422E-2</v>
      </c>
      <c r="N194" s="7">
        <f t="shared" si="113"/>
        <v>16.150000003399327</v>
      </c>
      <c r="O194" s="7"/>
      <c r="P194" s="7"/>
      <c r="Q194" s="23"/>
      <c r="R194" s="23"/>
      <c r="S194" s="35">
        <f t="shared" si="114"/>
        <v>1</v>
      </c>
      <c r="T194" s="50" t="str">
        <f t="shared" si="115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16:38:16-700',mode:absolute,to:'2016-12-21 18:56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4" s="52" t="str">
        <f t="shared" si="116"/>
        <v>N</v>
      </c>
      <c r="X194" s="177">
        <f t="shared" si="110"/>
        <v>1</v>
      </c>
      <c r="Y194" s="67">
        <f t="shared" si="117"/>
        <v>5.8620999999999999</v>
      </c>
      <c r="Z194" s="67">
        <f t="shared" si="118"/>
        <v>6.6299999999999998E-2</v>
      </c>
      <c r="AA194" s="67">
        <f t="shared" si="119"/>
        <v>5.7957999999999998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120"/>
        <v>0834-21</v>
      </c>
      <c r="AE194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94" s="88" t="str">
        <f t="shared" si="79"/>
        <v>"C:\Program Files (x86)\AstroGrep\AstroGrep.exe" /spath="%USERPROFILE%\AppData\Local\Temp\OnboardLogs" /stypes="app*4045*20161222*" /stext=" 00:.+((SYSTEM_STATE.+slice.+state.+changed )|(ment ac)|(multiple cpu faults)|(system.+state.+changed )|(\[timeout)|(PRM\|1\|D)|(kpr)|(kdp)|(\|lc)|(penalty))" /e /r /s</v>
      </c>
      <c r="AG194" s="1" t="str">
        <f t="shared" si="121"/>
        <v>NW</v>
      </c>
      <c r="AH194" s="92" t="str">
        <f t="shared" si="68"/>
        <v>"%USERPROFILE%\Documents\GitHub\eaglep3\Utilities\RefineRTDCRunTimes.py" --tripid 834-21 --locoid 4045 --swversion DE.1.0.8.0 --startMP 300:58621 --initTime 2016-12-21T17:38:16 --startdatetime 2016-12-21T17:40:35 --delay 1 --endMP 204:663 --enddatetime 2016-12-21T17:56:44 --enforcementcount 0 &gt;&gt;C:\Users\stu\Documents\GitHub\eaglep3-reporting\EC\2016-12-21-refined-times.txt</v>
      </c>
      <c r="AI194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{"issue":{"subject":"","project_id":79,"tracker_id":40,"status_id":1,"priority_id":2,"assigned_to_id":23,"start_date":"2016-12-21","description":"","custom_fields":[{"id":1,"name":"Subdivision","value":"NW"},{"id":4,"name":"Milepost","value":"0.0663"},{"id":17,"name":"Train ID","value":"834-21"},{"id":16,"name":"Locomotive ID","value":"4045"},{"id":130,"name":"Impact","value":""},{"id":150,"name":"Time of Event (Mountain Time)","value":"17:56:44"},{"id":151,"name":"Denver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615</v>
      </c>
      <c r="B195" s="7">
        <v>4018</v>
      </c>
      <c r="C195" s="22" t="s">
        <v>205</v>
      </c>
      <c r="D195" s="22" t="s">
        <v>798</v>
      </c>
      <c r="E195" s="13">
        <v>42725.742997685185</v>
      </c>
      <c r="F195" s="13">
        <v>42725.743981481479</v>
      </c>
      <c r="G195" s="7">
        <v>0</v>
      </c>
      <c r="H195" s="22" t="s">
        <v>804</v>
      </c>
      <c r="I195" s="13">
        <v>42725.755613425928</v>
      </c>
      <c r="J195" s="7">
        <v>0</v>
      </c>
      <c r="K195" s="109" t="str">
        <f t="shared" si="111"/>
        <v>4017/4018</v>
      </c>
      <c r="L195" s="22" t="str">
        <f>VLOOKUP(A195,'Trips&amp;Operators'!$C$1:$G$99999,5,FALSE)</f>
        <v>CHANDLER KELVIN</v>
      </c>
      <c r="M195" s="6">
        <f t="shared" si="112"/>
        <v>1.1631944449618459E-2</v>
      </c>
      <c r="N195" s="7">
        <f t="shared" si="113"/>
        <v>16.750000007450581</v>
      </c>
      <c r="O195" s="7"/>
      <c r="P195" s="7"/>
      <c r="Q195" s="23"/>
      <c r="R195" s="23"/>
      <c r="S195" s="35">
        <f t="shared" si="114"/>
        <v>1</v>
      </c>
      <c r="T195" s="50" t="str">
        <f t="shared" si="115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16:49:55-700',mode:absolute,to:'2016-12-21 19:08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5" s="52" t="str">
        <f t="shared" si="116"/>
        <v>N</v>
      </c>
      <c r="X195" s="177">
        <f t="shared" si="110"/>
        <v>1</v>
      </c>
      <c r="Y195" s="67">
        <f t="shared" si="117"/>
        <v>9.06E-2</v>
      </c>
      <c r="Z195" s="67">
        <f t="shared" si="118"/>
        <v>5.8945999999999996</v>
      </c>
      <c r="AA195" s="67">
        <f t="shared" si="119"/>
        <v>5.8039999999999994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120"/>
        <v>0835-21</v>
      </c>
      <c r="AE195" s="91" t="str">
        <f t="shared" si="78"/>
        <v>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 &amp; 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</v>
      </c>
      <c r="AF195" s="88" t="str">
        <f t="shared" si="79"/>
        <v>"C:\Program Files (x86)\AstroGrep\AstroGrep.exe" /spath="%USERPROFILE%\AppData\Local\Temp\OnboardLogs" /stypes="app*4018*20161222*" /stext=" 01:.+((SYSTEM_STATE.+slice.+state.+changed )|(ment ac)|(multiple cpu faults)|(system.+state.+changed )|(\[timeout)|(PRM\|1\|D)|(kpr)|(kdp)|(\|lc)|(penalty))" /e /r /s</v>
      </c>
      <c r="AG195" s="1" t="str">
        <f t="shared" si="121"/>
        <v>NW</v>
      </c>
      <c r="AH195" s="92" t="str">
        <f t="shared" si="68"/>
        <v>"%USERPROFILE%\Documents\GitHub\eaglep3\Utilities\RefineRTDCRunTimes.py" --tripid 835-21 --locoid 4018 --swversion DE.1.0.8.0 --startMP 204:906 --initTime 2016-12-21T17:49:55 --startdatetime 2016-12-21T17:51:20 --delay 0 --endMP 300:58946 --enddatetime 2016-12-21T18:08:05 --enforcementcount 0 &gt;&gt;C:\Users\stu\Documents\GitHub\eaglep3-reporting\EC\2016-12-21-refined-times.txt</v>
      </c>
      <c r="AI195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{"issue":{"subject":"","project_id":79,"tracker_id":40,"status_id":1,"priority_id":2,"assigned_to_id":23,"start_date":"2016-12-21","description":"","custom_fields":[{"id":1,"name":"Subdivision","value":"NW"},{"id":4,"name":"Milepost","value":"5.8946"},{"id":17,"name":"Train ID","value":"835-21"},{"id":16,"name":"Locomotive ID","value":"4018"},{"id":130,"name":"Impact","value":""},{"id":150,"name":"Time of Event (Mountain Time)","value":"18:08:05"},{"id":151,"name":"Denver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624</v>
      </c>
      <c r="B196" s="7">
        <v>4017</v>
      </c>
      <c r="C196" s="22" t="s">
        <v>205</v>
      </c>
      <c r="D196" s="22" t="s">
        <v>420</v>
      </c>
      <c r="E196" s="13">
        <v>42725.757164351853</v>
      </c>
      <c r="F196" s="13">
        <v>42725.758391203701</v>
      </c>
      <c r="G196" s="7">
        <v>1</v>
      </c>
      <c r="H196" s="22" t="s">
        <v>808</v>
      </c>
      <c r="I196" s="13">
        <v>42725.768900462965</v>
      </c>
      <c r="J196" s="7">
        <v>0</v>
      </c>
      <c r="K196" s="109" t="str">
        <f t="shared" si="111"/>
        <v>4017/4018</v>
      </c>
      <c r="L196" s="22" t="str">
        <f>VLOOKUP(A196,'Trips&amp;Operators'!$C$1:$G$99999,5,FALSE)</f>
        <v>CHANDLER KELVIN</v>
      </c>
      <c r="M196" s="6">
        <f t="shared" si="112"/>
        <v>1.0509259263926651E-2</v>
      </c>
      <c r="N196" s="7">
        <f t="shared" si="113"/>
        <v>15.133333340054378</v>
      </c>
      <c r="O196" s="7"/>
      <c r="P196" s="7"/>
      <c r="Q196" s="23"/>
      <c r="R196" s="23"/>
      <c r="S196" s="35">
        <f t="shared" si="114"/>
        <v>1</v>
      </c>
      <c r="T196" s="50" t="str">
        <f t="shared" si="115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17:10:19-700',mode:absolute,to:'2016-12-21 19:27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6" s="52" t="str">
        <f t="shared" si="116"/>
        <v>N</v>
      </c>
      <c r="X196" s="177">
        <f t="shared" si="110"/>
        <v>1</v>
      </c>
      <c r="Y196" s="67">
        <f t="shared" si="117"/>
        <v>5.8620999999999999</v>
      </c>
      <c r="Z196" s="67">
        <f t="shared" si="118"/>
        <v>6.2899999999999998E-2</v>
      </c>
      <c r="AA196" s="67">
        <f t="shared" si="119"/>
        <v>5.7991999999999999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120"/>
        <v>0836-21</v>
      </c>
      <c r="AE196" s="91" t="str">
        <f t="shared" si="78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96" s="88" t="str">
        <f t="shared" si="79"/>
        <v>"C:\Program Files (x86)\AstroGrep\AstroGrep.exe" /spath="%USERPROFILE%\AppData\Local\Temp\OnboardLogs" /stypes="app*4017*20161222*" /stext=" 01:.+((SYSTEM_STATE.+slice.+state.+changed )|(ment ac)|(multiple cpu faults)|(system.+state.+changed )|(\[timeout)|(PRM\|1\|D)|(kpr)|(kdp)|(\|lc)|(penalty))" /e /r /s</v>
      </c>
      <c r="AG196" s="1" t="str">
        <f t="shared" si="121"/>
        <v>NW</v>
      </c>
      <c r="AH196" s="92" t="str">
        <f t="shared" si="68"/>
        <v>"%USERPROFILE%\Documents\GitHub\eaglep3\Utilities\RefineRTDCRunTimes.py" --tripid 836-21 --locoid 4017 --swversion DE.1.0.8.0 --startMP 300:58621 --initTime 2016-12-21T18:10:19 --startdatetime 2016-12-21T18:12:05 --delay 1 --endMP 204:629 --enddatetime 2016-12-21T18:27:13 --enforcementcount 0 &gt;&gt;C:\Users\stu\Documents\GitHub\eaglep3-reporting\EC\2016-12-21-refined-times.txt</v>
      </c>
      <c r="AI196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{"issue":{"subject":"","project_id":79,"tracker_id":40,"status_id":1,"priority_id":2,"assigned_to_id":23,"start_date":"2016-12-21","description":"","custom_fields":[{"id":1,"name":"Subdivision","value":"NW"},{"id":4,"name":"Milepost","value":"0.0629"},{"id":17,"name":"Train ID","value":"836-21"},{"id":16,"name":"Locomotive ID","value":"4017"},{"id":130,"name":"Impact","value":""},{"id":150,"name":"Time of Event (Mountain Time)","value":"18:27:13"},{"id":151,"name":"Denver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626</v>
      </c>
      <c r="B197" s="7">
        <v>4046</v>
      </c>
      <c r="C197" s="22" t="s">
        <v>205</v>
      </c>
      <c r="D197" s="22" t="s">
        <v>417</v>
      </c>
      <c r="E197" s="13">
        <v>42725.760393518518</v>
      </c>
      <c r="F197" s="13">
        <v>42725.764791666668</v>
      </c>
      <c r="G197" s="7">
        <v>2</v>
      </c>
      <c r="H197" s="22" t="s">
        <v>793</v>
      </c>
      <c r="I197" s="13">
        <v>42725.775277777779</v>
      </c>
      <c r="J197" s="7">
        <v>0</v>
      </c>
      <c r="K197" s="109" t="str">
        <f t="shared" si="111"/>
        <v>4045/4046</v>
      </c>
      <c r="L197" s="22" t="str">
        <f>VLOOKUP(A197,'Trips&amp;Operators'!$C$1:$G$99999,5,FALSE)</f>
        <v>BRUDER RICHARD</v>
      </c>
      <c r="M197" s="6">
        <f t="shared" si="112"/>
        <v>1.0486111110367347E-2</v>
      </c>
      <c r="N197" s="7">
        <f t="shared" si="113"/>
        <v>15.099999998928979</v>
      </c>
      <c r="O197" s="7"/>
      <c r="P197" s="7"/>
      <c r="Q197" s="23"/>
      <c r="R197" s="23"/>
      <c r="S197" s="35">
        <f t="shared" si="114"/>
        <v>1</v>
      </c>
      <c r="T197" s="50" t="str">
        <f t="shared" si="115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17:14:58-700',mode:absolute,to:'2016-12-21 19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7" s="52" t="str">
        <f t="shared" si="116"/>
        <v>N</v>
      </c>
      <c r="X197" s="177">
        <f t="shared" si="110"/>
        <v>1</v>
      </c>
      <c r="Y197" s="67">
        <f t="shared" si="117"/>
        <v>9.7100000000000006E-2</v>
      </c>
      <c r="Z197" s="67">
        <f t="shared" si="118"/>
        <v>5.8936999999999999</v>
      </c>
      <c r="AA197" s="67">
        <f t="shared" si="119"/>
        <v>5.7965999999999998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120"/>
        <v>0837-21</v>
      </c>
      <c r="AE197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197" s="88" t="str">
        <f t="shared" si="79"/>
        <v>"C:\Program Files (x86)\AstroGrep\AstroGrep.exe" /spath="%USERPROFILE%\AppData\Local\Temp\OnboardLogs" /stypes="app*4046*20161222*" /stext=" 01:.+((SYSTEM_STATE.+slice.+state.+changed )|(ment ac)|(multiple cpu faults)|(system.+state.+changed )|(\[timeout)|(PRM\|1\|D)|(kpr)|(kdp)|(\|lc)|(penalty))" /e /r /s</v>
      </c>
      <c r="AG197" s="1" t="str">
        <f t="shared" si="121"/>
        <v>NW</v>
      </c>
      <c r="AH197" s="92" t="str">
        <f t="shared" si="68"/>
        <v>"%USERPROFILE%\Documents\GitHub\eaglep3\Utilities\RefineRTDCRunTimes.py" --tripid 837-21 --locoid 4046 --swversion DE.1.0.8.0 --startMP 204:971 --initTime 2016-12-21T18:14:58 --startdatetime 2016-12-21T18:21:18 --delay 2 --endMP 300:58937 --enddatetime 2016-12-21T18:36:24 --enforcementcount 0 &gt;&gt;C:\Users\stu\Documents\GitHub\eaglep3-reporting\EC\2016-12-21-refined-times.txt</v>
      </c>
      <c r="AI197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{"issue":{"subject":"","project_id":79,"tracker_id":40,"status_id":1,"priority_id":2,"assigned_to_id":23,"start_date":"2016-12-21","description":"","custom_fields":[{"id":1,"name":"Subdivision","value":"NW"},{"id":4,"name":"Milepost","value":"5.8937"},{"id":17,"name":"Train ID","value":"837-21"},{"id":16,"name":"Locomotive ID","value":"4046"},{"id":130,"name":"Impact","value":""},{"id":150,"name":"Time of Event (Mountain Time)","value":"18:36:24"},{"id":151,"name":"Denver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7" t="s">
        <v>633</v>
      </c>
      <c r="B198" s="7">
        <v>4045</v>
      </c>
      <c r="C198" s="22" t="s">
        <v>205</v>
      </c>
      <c r="D198" s="22" t="s">
        <v>809</v>
      </c>
      <c r="E198" s="13">
        <v>42725.776666666665</v>
      </c>
      <c r="F198" s="13">
        <v>42725.778923611113</v>
      </c>
      <c r="G198" s="7">
        <v>1</v>
      </c>
      <c r="H198" s="22" t="s">
        <v>810</v>
      </c>
      <c r="I198" s="13">
        <v>42725.790844907409</v>
      </c>
      <c r="J198" s="7">
        <v>0</v>
      </c>
      <c r="K198" s="109" t="str">
        <f t="shared" si="111"/>
        <v>4045/4046</v>
      </c>
      <c r="L198" s="22" t="str">
        <f>VLOOKUP(A198,'Trips&amp;Operators'!$C$1:$G$99999,5,FALSE)</f>
        <v>BRUDER RICHARD</v>
      </c>
      <c r="M198" s="6">
        <f t="shared" si="112"/>
        <v>1.1921296296350192E-2</v>
      </c>
      <c r="N198" s="7">
        <f t="shared" si="113"/>
        <v>17.166666666744277</v>
      </c>
      <c r="O198" s="7"/>
      <c r="P198" s="7"/>
      <c r="Q198" s="23"/>
      <c r="R198" s="23"/>
      <c r="S198" s="35">
        <f t="shared" si="114"/>
        <v>1</v>
      </c>
      <c r="T198" s="50" t="str">
        <f t="shared" si="115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17:38:24-700',mode:absolute,to:'2016-12-21 19:58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8" s="52" t="str">
        <f t="shared" si="116"/>
        <v>N</v>
      </c>
      <c r="X198" s="177">
        <f t="shared" si="110"/>
        <v>1</v>
      </c>
      <c r="Y198" s="67">
        <f t="shared" si="117"/>
        <v>5.8616999999999999</v>
      </c>
      <c r="Z198" s="67">
        <f t="shared" si="118"/>
        <v>6.7699999999999996E-2</v>
      </c>
      <c r="AA198" s="67">
        <f t="shared" si="119"/>
        <v>5.7939999999999996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120"/>
        <v>0838-21</v>
      </c>
      <c r="AE198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198" s="88" t="str">
        <f t="shared" si="79"/>
        <v>"C:\Program Files (x86)\AstroGrep\AstroGrep.exe" /spath="%USERPROFILE%\AppData\Local\Temp\OnboardLogs" /stypes="app*4045*20161222*" /stext=" 01:.+((SYSTEM_STATE.+slice.+state.+changed )|(ment ac)|(multiple cpu faults)|(system.+state.+changed )|(\[timeout)|(PRM\|1\|D)|(kpr)|(kdp)|(\|lc)|(penalty))" /e /r /s</v>
      </c>
      <c r="AG198" s="1" t="str">
        <f t="shared" si="121"/>
        <v>NW</v>
      </c>
      <c r="AH198" s="92" t="str">
        <f t="shared" si="68"/>
        <v>"%USERPROFILE%\Documents\GitHub\eaglep3\Utilities\RefineRTDCRunTimes.py" --tripid 838-21 --locoid 4045 --swversion DE.1.0.8.0 --startMP 300:58617 --initTime 2016-12-21T18:38:24 --startdatetime 2016-12-21T18:41:39 --delay 1 --endMP 204:677 --enddatetime 2016-12-21T18:58:49 --enforcementcount 0 &gt;&gt;C:\Users\stu\Documents\GitHub\eaglep3-reporting\EC\2016-12-21-refined-times.txt</v>
      </c>
      <c r="AI198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{"issue":{"subject":"","project_id":79,"tracker_id":40,"status_id":1,"priority_id":2,"assigned_to_id":23,"start_date":"2016-12-21","description":"","custom_fields":[{"id":1,"name":"Subdivision","value":"NW"},{"id":4,"name":"Milepost","value":"0.0677"},{"id":17,"name":"Train ID","value":"838-21"},{"id":16,"name":"Locomotive ID","value":"4045"},{"id":130,"name":"Impact","value":""},{"id":150,"name":"Time of Event (Mountain Time)","value":"18:58:49"},{"id":151,"name":"Denver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635</v>
      </c>
      <c r="B199" s="7">
        <v>4018</v>
      </c>
      <c r="C199" s="22" t="s">
        <v>205</v>
      </c>
      <c r="D199" s="22" t="s">
        <v>811</v>
      </c>
      <c r="E199" s="13">
        <v>42725.785138888888</v>
      </c>
      <c r="F199" s="13">
        <v>42725.78601851852</v>
      </c>
      <c r="G199" s="7">
        <v>1</v>
      </c>
      <c r="H199" s="22" t="s">
        <v>812</v>
      </c>
      <c r="I199" s="13">
        <v>42725.798078703701</v>
      </c>
      <c r="J199" s="7">
        <v>0</v>
      </c>
      <c r="K199" s="109" t="str">
        <f t="shared" si="111"/>
        <v>4017/4018</v>
      </c>
      <c r="L199" s="22" t="str">
        <f>VLOOKUP(A199,'Trips&amp;Operators'!$C$1:$G$99999,5,FALSE)</f>
        <v>CHANDLER KELVIN</v>
      </c>
      <c r="M199" s="6">
        <f t="shared" si="112"/>
        <v>1.2060185181326233E-2</v>
      </c>
      <c r="N199" s="7">
        <f t="shared" si="113"/>
        <v>17.366666661109775</v>
      </c>
      <c r="O199" s="7"/>
      <c r="P199" s="7"/>
      <c r="Q199" s="23"/>
      <c r="R199" s="23"/>
      <c r="S199" s="35">
        <f t="shared" si="114"/>
        <v>1</v>
      </c>
      <c r="T199" s="50" t="str">
        <f t="shared" si="115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17:50:36-700',mode:absolute,to:'2016-12-21 20:09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9" s="52" t="str">
        <f t="shared" si="116"/>
        <v>N</v>
      </c>
      <c r="X199" s="177">
        <f t="shared" si="110"/>
        <v>1</v>
      </c>
      <c r="Y199" s="67">
        <f t="shared" si="117"/>
        <v>9.7799999999999998E-2</v>
      </c>
      <c r="Z199" s="67">
        <f t="shared" si="118"/>
        <v>5.8943000000000003</v>
      </c>
      <c r="AA199" s="67">
        <f t="shared" si="119"/>
        <v>5.7965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120"/>
        <v>0839-21</v>
      </c>
      <c r="AE199" s="91" t="str">
        <f t="shared" si="78"/>
        <v>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 &amp; 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</v>
      </c>
      <c r="AF199" s="88" t="str">
        <f t="shared" si="79"/>
        <v>"C:\Program Files (x86)\AstroGrep\AstroGrep.exe" /spath="%USERPROFILE%\AppData\Local\Temp\OnboardLogs" /stypes="app*4018*20161222*" /stext=" 02:.+((SYSTEM_STATE.+slice.+state.+changed )|(ment ac)|(multiple cpu faults)|(system.+state.+changed )|(\[timeout)|(PRM\|1\|D)|(kpr)|(kdp)|(\|lc)|(penalty))" /e /r /s</v>
      </c>
      <c r="AG199" s="1" t="str">
        <f t="shared" si="121"/>
        <v>NW</v>
      </c>
      <c r="AH199" s="92" t="str">
        <f t="shared" si="68"/>
        <v>"%USERPROFILE%\Documents\GitHub\eaglep3\Utilities\RefineRTDCRunTimes.py" --tripid 839-21 --locoid 4018 --swversion DE.1.0.8.0 --startMP 204:978 --initTime 2016-12-21T18:50:36 --startdatetime 2016-12-21T18:51:52 --delay 1 --endMP 300:58943 --enddatetime 2016-12-21T19:09:14 --enforcementcount 0 &gt;&gt;C:\Users\stu\Documents\GitHub\eaglep3-reporting\EC\2016-12-21-refined-times.txt</v>
      </c>
      <c r="AI199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{"issue":{"subject":"","project_id":79,"tracker_id":40,"status_id":1,"priority_id":2,"assigned_to_id":23,"start_date":"2016-12-21","description":"","custom_fields":[{"id":1,"name":"Subdivision","value":"NW"},{"id":4,"name":"Milepost","value":"5.8943"},{"id":17,"name":"Train ID","value":"839-21"},{"id":16,"name":"Locomotive ID","value":"4018"},{"id":130,"name":"Impact","value":""},{"id":150,"name":"Time of Event (Mountain Time)","value":"19:09:14"},{"id":151,"name":"Denver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641</v>
      </c>
      <c r="B200" s="7">
        <v>4045</v>
      </c>
      <c r="C200" s="22" t="s">
        <v>205</v>
      </c>
      <c r="D200" s="22" t="s">
        <v>292</v>
      </c>
      <c r="E200" s="13">
        <v>42725.817939814813</v>
      </c>
      <c r="F200" s="13">
        <v>42725.819594907407</v>
      </c>
      <c r="G200" s="7">
        <v>1</v>
      </c>
      <c r="H200" s="22" t="s">
        <v>421</v>
      </c>
      <c r="I200" s="13">
        <v>42725.831967592596</v>
      </c>
      <c r="J200" s="7">
        <v>0</v>
      </c>
      <c r="K200" s="109" t="str">
        <f t="shared" si="111"/>
        <v>4045/4046</v>
      </c>
      <c r="L200" s="22" t="str">
        <f>VLOOKUP(A200,'Trips&amp;Operators'!$C$1:$G$99999,5,FALSE)</f>
        <v>BRUDER RICHARD</v>
      </c>
      <c r="M200" s="6">
        <f t="shared" si="112"/>
        <v>1.2372685188893229E-2</v>
      </c>
      <c r="N200" s="7">
        <f t="shared" si="113"/>
        <v>17.816666672006249</v>
      </c>
      <c r="O200" s="7"/>
      <c r="P200" s="7"/>
      <c r="Q200" s="23"/>
      <c r="R200" s="23"/>
      <c r="S200" s="35">
        <f t="shared" si="114"/>
        <v>1</v>
      </c>
      <c r="T200" s="50" t="str">
        <f t="shared" si="115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18:37:50-700',mode:absolute,to:'2016-12-21 20:58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0" s="52" t="str">
        <f t="shared" si="116"/>
        <v>N</v>
      </c>
      <c r="X200" s="177">
        <f t="shared" ref="X200:X235" si="122">VALUE(LEFT(AD200,4))-VALUE(LEFT(AD199,4))</f>
        <v>1</v>
      </c>
      <c r="Y200" s="67">
        <f t="shared" si="117"/>
        <v>5.8615000000000004</v>
      </c>
      <c r="Z200" s="67">
        <f t="shared" si="118"/>
        <v>6.9199999999999998E-2</v>
      </c>
      <c r="AA200" s="67">
        <f t="shared" si="119"/>
        <v>5.7923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120"/>
        <v>0840-21</v>
      </c>
      <c r="AE200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200" s="88" t="str">
        <f t="shared" si="79"/>
        <v>"C:\Program Files (x86)\AstroGrep\AstroGrep.exe" /spath="%USERPROFILE%\AppData\Local\Temp\OnboardLogs" /stypes="app*4045*20161222*" /stext=" 02:.+((SYSTEM_STATE.+slice.+state.+changed )|(ment ac)|(multiple cpu faults)|(system.+state.+changed )|(\[timeout)|(PRM\|1\|D)|(kpr)|(kdp)|(\|lc)|(penalty))" /e /r /s</v>
      </c>
      <c r="AG200" s="1" t="str">
        <f t="shared" si="121"/>
        <v>NW</v>
      </c>
      <c r="AH200" s="92" t="str">
        <f t="shared" si="68"/>
        <v>"%USERPROFILE%\Documents\GitHub\eaglep3\Utilities\RefineRTDCRunTimes.py" --tripid 840-21 --locoid 4045 --swversion DE.1.0.8.0 --startMP 300:58615 --initTime 2016-12-21T19:37:50 --startdatetime 2016-12-21T19:40:13 --delay 1 --endMP 204:692 --enddatetime 2016-12-21T19:58:02 --enforcementcount 0 &gt;&gt;C:\Users\stu\Documents\GitHub\eaglep3-reporting\EC\2016-12-21-refined-times.txt</v>
      </c>
      <c r="AI200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{"issue":{"subject":"","project_id":79,"tracker_id":40,"status_id":1,"priority_id":2,"assigned_to_id":23,"start_date":"2016-12-21","description":"","custom_fields":[{"id":1,"name":"Subdivision","value":"NW"},{"id":4,"name":"Milepost","value":"0.0692"},{"id":17,"name":"Train ID","value":"840-21"},{"id":16,"name":"Locomotive ID","value":"4045"},{"id":130,"name":"Impact","value":""},{"id":150,"name":"Time of Event (Mountain Time)","value":"19:58:02"},{"id":151,"name":"Denver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638</v>
      </c>
      <c r="B201" s="7">
        <v>4046</v>
      </c>
      <c r="C201" s="22" t="s">
        <v>205</v>
      </c>
      <c r="D201" s="22" t="s">
        <v>784</v>
      </c>
      <c r="E201" s="13">
        <v>42725.802233796298</v>
      </c>
      <c r="F201" s="13">
        <v>42725.806493055556</v>
      </c>
      <c r="G201" s="7">
        <v>1</v>
      </c>
      <c r="H201" s="22" t="s">
        <v>793</v>
      </c>
      <c r="I201" s="13">
        <v>42725.81690972222</v>
      </c>
      <c r="J201" s="7">
        <v>0</v>
      </c>
      <c r="K201" s="109" t="str">
        <f t="shared" si="111"/>
        <v>4045/4046</v>
      </c>
      <c r="L201" s="22" t="str">
        <f>VLOOKUP(A201,'Trips&amp;Operators'!$C$1:$G$99999,5,FALSE)</f>
        <v>BRUDER RICHARD</v>
      </c>
      <c r="M201" s="6">
        <f t="shared" si="112"/>
        <v>1.0416666664241347E-2</v>
      </c>
      <c r="N201" s="7">
        <f t="shared" si="113"/>
        <v>14.99999999650754</v>
      </c>
      <c r="O201" s="7"/>
      <c r="P201" s="7"/>
      <c r="Q201" s="23"/>
      <c r="R201" s="23"/>
      <c r="S201" s="35">
        <f t="shared" si="114"/>
        <v>1</v>
      </c>
      <c r="T201" s="50" t="str">
        <f t="shared" si="115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18:15:13-700',mode:absolute,to:'2016-12-21 20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1" s="52" t="str">
        <f t="shared" si="116"/>
        <v>N</v>
      </c>
      <c r="X201" s="177">
        <f t="shared" si="122"/>
        <v>1</v>
      </c>
      <c r="Y201" s="67">
        <f t="shared" si="117"/>
        <v>9.7600000000000006E-2</v>
      </c>
      <c r="Z201" s="67">
        <f t="shared" si="118"/>
        <v>5.8936999999999999</v>
      </c>
      <c r="AA201" s="67">
        <f t="shared" si="119"/>
        <v>5.7961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120"/>
        <v>0841-21</v>
      </c>
      <c r="AE201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201" s="88" t="str">
        <f t="shared" si="79"/>
        <v>"C:\Program Files (x86)\AstroGrep\AstroGrep.exe" /spath="%USERPROFILE%\AppData\Local\Temp\OnboardLogs" /stypes="app*4046*20161222*" /stext=" 02:.+((SYSTEM_STATE.+slice.+state.+changed )|(ment ac)|(multiple cpu faults)|(system.+state.+changed )|(\[timeout)|(PRM\|1\|D)|(kpr)|(kdp)|(\|lc)|(penalty))" /e /r /s</v>
      </c>
      <c r="AG201" s="1" t="str">
        <f t="shared" si="121"/>
        <v>NW</v>
      </c>
      <c r="AH201" s="92" t="str">
        <f t="shared" si="68"/>
        <v>"%USERPROFILE%\Documents\GitHub\eaglep3\Utilities\RefineRTDCRunTimes.py" --tripid 841-21 --locoid 4046 --swversion DE.1.0.8.0 --startMP 204:976 --initTime 2016-12-21T19:15:13 --startdatetime 2016-12-21T19:21:21 --delay 1 --endMP 300:58937 --enddatetime 2016-12-21T19:36:21 --enforcementcount 0 &gt;&gt;C:\Users\stu\Documents\GitHub\eaglep3-reporting\EC\2016-12-21-refined-times.txt</v>
      </c>
      <c r="AI201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{"issue":{"subject":"","project_id":79,"tracker_id":40,"status_id":1,"priority_id":2,"assigned_to_id":23,"start_date":"2016-12-21","description":"","custom_fields":[{"id":1,"name":"Subdivision","value":"NW"},{"id":4,"name":"Milepost","value":"5.8937"},{"id":17,"name":"Train ID","value":"841-21"},{"id":16,"name":"Locomotive ID","value":"4046"},{"id":130,"name":"Impact","value":""},{"id":150,"name":"Time of Event (Mountain Time)","value":"19:36:21"},{"id":151,"name":"Denver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647</v>
      </c>
      <c r="B202" s="7">
        <v>4045</v>
      </c>
      <c r="C202" s="22" t="s">
        <v>205</v>
      </c>
      <c r="D202" s="22" t="s">
        <v>794</v>
      </c>
      <c r="E202" s="13">
        <v>42725.860358796293</v>
      </c>
      <c r="F202" s="13">
        <v>42725.86204861111</v>
      </c>
      <c r="G202" s="7">
        <v>1</v>
      </c>
      <c r="H202" s="22" t="s">
        <v>813</v>
      </c>
      <c r="I202" s="13">
        <v>42725.872546296298</v>
      </c>
      <c r="J202" s="7">
        <v>0</v>
      </c>
      <c r="K202" s="109" t="str">
        <f t="shared" si="111"/>
        <v>4045/4046</v>
      </c>
      <c r="L202" s="22" t="str">
        <f>VLOOKUP(A202,'Trips&amp;Operators'!$C$1:$G$99999,5,FALSE)</f>
        <v>BRUDER RICHARD</v>
      </c>
      <c r="M202" s="6">
        <f t="shared" si="112"/>
        <v>1.0497685187146999E-2</v>
      </c>
      <c r="N202" s="7">
        <f t="shared" si="113"/>
        <v>15.116666669491678</v>
      </c>
      <c r="O202" s="7"/>
      <c r="P202" s="7"/>
      <c r="Q202" s="23"/>
      <c r="R202" s="23"/>
      <c r="S202" s="35">
        <f t="shared" si="114"/>
        <v>1</v>
      </c>
      <c r="T202" s="50" t="str">
        <f t="shared" si="115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19:38:55-700',mode:absolute,to:'2016-12-21 21:56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2" s="52" t="str">
        <f t="shared" si="116"/>
        <v>N</v>
      </c>
      <c r="X202" s="177">
        <f t="shared" si="122"/>
        <v>1</v>
      </c>
      <c r="Y202" s="67">
        <f t="shared" si="117"/>
        <v>5.8624000000000001</v>
      </c>
      <c r="Z202" s="67">
        <f t="shared" si="118"/>
        <v>6.8699999999999997E-2</v>
      </c>
      <c r="AA202" s="67">
        <f t="shared" si="119"/>
        <v>5.7937000000000003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120"/>
        <v>0842-21</v>
      </c>
      <c r="AE202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202" s="88" t="str">
        <f t="shared" si="79"/>
        <v>"C:\Program Files (x86)\AstroGrep\AstroGrep.exe" /spath="%USERPROFILE%\AppData\Local\Temp\OnboardLogs" /stypes="app*4045*20161222*" /stext=" 03:.+((SYSTEM_STATE.+slice.+state.+changed )|(ment ac)|(multiple cpu faults)|(system.+state.+changed )|(\[timeout)|(PRM\|1\|D)|(kpr)|(kdp)|(\|lc)|(penalty))" /e /r /s</v>
      </c>
      <c r="AG202" s="1" t="str">
        <f t="shared" si="121"/>
        <v>NW</v>
      </c>
      <c r="AH202" s="92" t="str">
        <f t="shared" si="68"/>
        <v>"%USERPROFILE%\Documents\GitHub\eaglep3\Utilities\RefineRTDCRunTimes.py" --tripid 842-21 --locoid 4045 --swversion DE.1.0.8.0 --startMP 300:58624 --initTime 2016-12-21T20:38:55 --startdatetime 2016-12-21T20:41:21 --delay 1 --endMP 204:687 --enddatetime 2016-12-21T20:56:28 --enforcementcount 0 &gt;&gt;C:\Users\stu\Documents\GitHub\eaglep3-reporting\EC\2016-12-21-refined-times.txt</v>
      </c>
      <c r="AI202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{"issue":{"subject":"","project_id":79,"tracker_id":40,"status_id":1,"priority_id":2,"assigned_to_id":23,"start_date":"2016-12-21","description":"","custom_fields":[{"id":1,"name":"Subdivision","value":"NW"},{"id":4,"name":"Milepost","value":"0.0687"},{"id":17,"name":"Train ID","value":"842-21"},{"id":16,"name":"Locomotive ID","value":"4045"},{"id":130,"name":"Impact","value":""},{"id":150,"name":"Time of Event (Mountain Time)","value":"20:56:28"},{"id":151,"name":"Denver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644</v>
      </c>
      <c r="B203" s="7">
        <v>4046</v>
      </c>
      <c r="C203" s="22" t="s">
        <v>205</v>
      </c>
      <c r="D203" s="22" t="s">
        <v>417</v>
      </c>
      <c r="E203" s="13">
        <v>42725.842662037037</v>
      </c>
      <c r="F203" s="13">
        <v>42725.848113425927</v>
      </c>
      <c r="G203" s="7">
        <v>1</v>
      </c>
      <c r="H203" s="22" t="s">
        <v>308</v>
      </c>
      <c r="I203" s="13">
        <v>42725.85864583333</v>
      </c>
      <c r="J203" s="7">
        <v>0</v>
      </c>
      <c r="K203" s="109" t="str">
        <f t="shared" si="111"/>
        <v>4045/4046</v>
      </c>
      <c r="L203" s="22" t="str">
        <f>VLOOKUP(A203,'Trips&amp;Operators'!$C$1:$G$99999,5,FALSE)</f>
        <v>BRUDER RICHARD</v>
      </c>
      <c r="M203" s="6">
        <f t="shared" si="112"/>
        <v>1.0532407402934041E-2</v>
      </c>
      <c r="N203" s="7">
        <f t="shared" si="113"/>
        <v>15.166666660225019</v>
      </c>
      <c r="O203" s="7"/>
      <c r="P203" s="7"/>
      <c r="Q203" s="23"/>
      <c r="R203" s="23"/>
      <c r="S203" s="35">
        <f t="shared" si="114"/>
        <v>1</v>
      </c>
      <c r="T203" s="50" t="str">
        <f t="shared" si="115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19:13:26-700',mode:absolute,to:'2016-12-21 21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3" s="52" t="str">
        <f t="shared" si="116"/>
        <v>N</v>
      </c>
      <c r="X203" s="177">
        <f t="shared" si="122"/>
        <v>1</v>
      </c>
      <c r="Y203" s="67">
        <f t="shared" si="117"/>
        <v>9.7100000000000006E-2</v>
      </c>
      <c r="Z203" s="67">
        <f t="shared" si="118"/>
        <v>5.8929</v>
      </c>
      <c r="AA203" s="67">
        <f t="shared" si="119"/>
        <v>5.7957999999999998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120"/>
        <v>0843-21</v>
      </c>
      <c r="AE203" s="91" t="str">
        <f t="shared" si="78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203" s="88" t="str">
        <f t="shared" si="79"/>
        <v>"C:\Program Files (x86)\AstroGrep\AstroGrep.exe" /spath="%USERPROFILE%\AppData\Local\Temp\OnboardLogs" /stypes="app*4046*20161222*" /stext=" 03:.+((SYSTEM_STATE.+slice.+state.+changed )|(ment ac)|(multiple cpu faults)|(system.+state.+changed )|(\[timeout)|(PRM\|1\|D)|(kpr)|(kdp)|(\|lc)|(penalty))" /e /r /s</v>
      </c>
      <c r="AG203" s="1" t="str">
        <f t="shared" si="121"/>
        <v>NW</v>
      </c>
      <c r="AH203" s="92" t="str">
        <f t="shared" si="68"/>
        <v>"%USERPROFILE%\Documents\GitHub\eaglep3\Utilities\RefineRTDCRunTimes.py" --tripid 843-21 --locoid 4046 --swversion DE.1.0.8.0 --startMP 204:971 --initTime 2016-12-21T20:13:26 --startdatetime 2016-12-21T20:21:17 --delay 1 --endMP 300:58929 --enddatetime 2016-12-21T20:36:27 --enforcementcount 0 &gt;&gt;C:\Users\stu\Documents\GitHub\eaglep3-reporting\EC\2016-12-21-refined-times.txt</v>
      </c>
      <c r="AI203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{"issue":{"subject":"","project_id":79,"tracker_id":40,"status_id":1,"priority_id":2,"assigned_to_id":23,"start_date":"2016-12-21","description":"","custom_fields":[{"id":1,"name":"Subdivision","value":"NW"},{"id":4,"name":"Milepost","value":"5.8929"},{"id":17,"name":"Train ID","value":"843-21"},{"id":16,"name":"Locomotive ID","value":"4046"},{"id":130,"name":"Impact","value":""},{"id":150,"name":"Time of Event (Mountain Time)","value":"20:36:27"},{"id":151,"name":"Denver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451</v>
      </c>
      <c r="B204" s="7">
        <v>4045</v>
      </c>
      <c r="C204" s="22" t="s">
        <v>205</v>
      </c>
      <c r="D204" s="22" t="s">
        <v>814</v>
      </c>
      <c r="E204" s="13">
        <v>42725.902997685182</v>
      </c>
      <c r="F204" s="13">
        <v>42725.904351851852</v>
      </c>
      <c r="G204" s="7">
        <v>1</v>
      </c>
      <c r="H204" s="22" t="s">
        <v>786</v>
      </c>
      <c r="I204" s="13">
        <v>42725.915625000001</v>
      </c>
      <c r="J204" s="7">
        <v>0</v>
      </c>
      <c r="K204" s="109" t="str">
        <f t="shared" si="111"/>
        <v>4045/4046</v>
      </c>
      <c r="L204" s="22" t="str">
        <f>VLOOKUP(A204,'Trips&amp;Operators'!$C$1:$G$99999,5,FALSE)</f>
        <v>CHANDLER KELVIN</v>
      </c>
      <c r="M204" s="6">
        <f t="shared" si="112"/>
        <v>1.1273148149484769E-2</v>
      </c>
      <c r="N204" s="7">
        <f t="shared" si="113"/>
        <v>16.233333335258067</v>
      </c>
      <c r="O204" s="7"/>
      <c r="P204" s="7"/>
      <c r="Q204" s="23"/>
      <c r="R204" s="23"/>
      <c r="S204" s="35">
        <f t="shared" si="114"/>
        <v>1</v>
      </c>
      <c r="T204" s="50" t="str">
        <f t="shared" si="115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https://search-rtdc-monitor-bjffxe2xuh6vdkpspy63sjmuny.us-east-1.es.amazonaws.com/_plugin/kibana/#/discover/Steve-Slow-Train-Analysis-(2080s-and-2083s)?_g=(refreshInterval:(display:Off,section:0,value:0),time:(from:'2016-12-21 20:40:19-700',mode:absolute,to:'2016-12-21 22:58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4" s="52" t="str">
        <f t="shared" si="116"/>
        <v>N</v>
      </c>
      <c r="X204" s="177">
        <f t="shared" si="122"/>
        <v>1</v>
      </c>
      <c r="Y204" s="67">
        <f t="shared" si="117"/>
        <v>5.8640999999999996</v>
      </c>
      <c r="Z204" s="67">
        <f t="shared" si="118"/>
        <v>6.59E-2</v>
      </c>
      <c r="AA204" s="67">
        <f t="shared" si="119"/>
        <v>5.7981999999999996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120"/>
        <v>0844-21</v>
      </c>
      <c r="AE204" s="91" t="str">
        <f t="shared" si="78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204" s="88" t="str">
        <f t="shared" si="79"/>
        <v>"C:\Program Files (x86)\AstroGrep\AstroGrep.exe" /spath="%USERPROFILE%\AppData\Local\Temp\OnboardLogs" /stypes="app*4045*20161222*" /stext=" 04:.+((SYSTEM_STATE.+slice.+state.+changed )|(ment ac)|(multiple cpu faults)|(system.+state.+changed )|(\[timeout)|(PRM\|1\|D)|(kpr)|(kdp)|(\|lc)|(penalty))" /e /r /s</v>
      </c>
      <c r="AG204" s="1" t="str">
        <f t="shared" si="121"/>
        <v>NW</v>
      </c>
      <c r="AH204" s="92" t="str">
        <f t="shared" si="68"/>
        <v>"%USERPROFILE%\Documents\GitHub\eaglep3\Utilities\RefineRTDCRunTimes.py" --tripid 844-21 --locoid 4045 --swversion DE.1.0.8.0 --startMP 300:58641 --initTime 2016-12-21T21:40:19 --startdatetime 2016-12-21T21:42:16 --delay 1 --endMP 204:659 --enddatetime 2016-12-21T21:58:30 --enforcementcount 0 &gt;&gt;C:\Users\stu\Documents\GitHub\eaglep3-reporting\EC\2016-12-21-refined-times.txt</v>
      </c>
      <c r="AI204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{"issue":{"subject":"","project_id":79,"tracker_id":40,"status_id":1,"priority_id":2,"assigned_to_id":23,"start_date":"2016-12-21","description":"","custom_fields":[{"id":1,"name":"Subdivision","value":"NW"},{"id":4,"name":"Milepost","value":"0.0659"},{"id":17,"name":"Train ID","value":"844-21"},{"id":16,"name":"Locomotive ID","value":"4045"},{"id":130,"name":"Impact","value":""},{"id":150,"name":"Time of Event (Mountain Time)","value":"21:58:30"},{"id":151,"name":"Denver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649</v>
      </c>
      <c r="B205" s="7">
        <v>4046</v>
      </c>
      <c r="C205" s="22" t="s">
        <v>205</v>
      </c>
      <c r="D205" s="22" t="s">
        <v>290</v>
      </c>
      <c r="E205" s="13">
        <v>42725.879803240743</v>
      </c>
      <c r="F205" s="13">
        <v>42725.889976851853</v>
      </c>
      <c r="G205" s="7">
        <v>1</v>
      </c>
      <c r="H205" s="22" t="s">
        <v>815</v>
      </c>
      <c r="I205" s="13">
        <v>42725.900879629633</v>
      </c>
      <c r="J205" s="7">
        <v>0</v>
      </c>
      <c r="K205" s="109" t="str">
        <f t="shared" si="111"/>
        <v>4045/4046</v>
      </c>
      <c r="L205" s="22" t="str">
        <f>VLOOKUP(A205,'Trips&amp;Operators'!$C$1:$G$99999,5,FALSE)</f>
        <v>CHANDLER KELVIN</v>
      </c>
      <c r="M205" s="6">
        <f t="shared" si="112"/>
        <v>1.0902777779847383E-2</v>
      </c>
      <c r="N205" s="7">
        <f t="shared" si="113"/>
        <v>15.700000002980232</v>
      </c>
      <c r="O205" s="7"/>
      <c r="P205" s="7"/>
      <c r="Q205" s="23"/>
      <c r="R205" s="23"/>
      <c r="S205" s="35">
        <f t="shared" si="114"/>
        <v>1</v>
      </c>
      <c r="T205" s="50" t="str">
        <f t="shared" si="115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5" si="123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https://search-rtdc-monitor-bjffxe2xuh6vdkpspy63sjmuny.us-east-1.es.amazonaws.com/_plugin/kibana/#/discover/Steve-Slow-Train-Analysis-(2080s-and-2083s)?_g=(refreshInterval:(display:Off,section:0,value:0),time:(from:'2016-12-21 20:06:55-700',mode:absolute,to:'2016-12-21 22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5" s="52" t="str">
        <f t="shared" si="116"/>
        <v>N</v>
      </c>
      <c r="X205" s="177">
        <f t="shared" si="122"/>
        <v>1</v>
      </c>
      <c r="Y205" s="67">
        <f t="shared" si="117"/>
        <v>9.69E-2</v>
      </c>
      <c r="Z205" s="67">
        <f t="shared" si="118"/>
        <v>5.8956</v>
      </c>
      <c r="AA205" s="67">
        <f t="shared" si="119"/>
        <v>5.7987000000000002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120"/>
        <v>0845-21</v>
      </c>
      <c r="AE205" s="91" t="str">
        <f t="shared" ref="AE205:AE235" si="12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205" s="88" t="str">
        <f t="shared" ref="AF205:AF235" si="12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/stypes="app*4046*20161222*" /stext=" 04:.+((SYSTEM_STATE.+slice.+state.+changed )|(ment ac)|(multiple cpu faults)|(system.+state.+changed )|(\[timeout)|(PRM\|1\|D)|(kpr)|(kdp)|(\|lc)|(penalty))" /e /r /s</v>
      </c>
      <c r="AG205" s="1" t="str">
        <f t="shared" si="121"/>
        <v>NW</v>
      </c>
      <c r="AH205" s="92" t="str">
        <f t="shared" si="68"/>
        <v>"%USERPROFILE%\Documents\GitHub\eaglep3\Utilities\RefineRTDCRunTimes.py" --tripid 845-21 --locoid 4046 --swversion DE.1.0.8.0 --startMP 204:969 --initTime 2016-12-21T21:06:55 --startdatetime 2016-12-21T21:21:34 --delay 1 --endMP 300:58956 --enddatetime 2016-12-21T21:37:16 --enforcementcount 0 &gt;&gt;C:\Users\stu\Documents\GitHub\eaglep3-reporting\EC\2016-12-21-refined-times.txt</v>
      </c>
      <c r="AI205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{"issue":{"subject":"","project_id":79,"tracker_id":40,"status_id":1,"priority_id":2,"assigned_to_id":23,"start_date":"2016-12-21","description":"","custom_fields":[{"id":1,"name":"Subdivision","value":"NW"},{"id":4,"name":"Milepost","value":"5.8956"},{"id":17,"name":"Train ID","value":"845-21"},{"id":16,"name":"Locomotive ID","value":"4046"},{"id":130,"name":"Impact","value":""},{"id":150,"name":"Time of Event (Mountain Time)","value":"21:37:16"},{"id":151,"name":"Denver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7" t="s">
        <v>653</v>
      </c>
      <c r="B206" s="7">
        <v>4046</v>
      </c>
      <c r="C206" s="22" t="s">
        <v>205</v>
      </c>
      <c r="D206" s="22" t="s">
        <v>816</v>
      </c>
      <c r="E206" s="13">
        <v>42725.930254629631</v>
      </c>
      <c r="F206" s="13">
        <v>42725.931527777779</v>
      </c>
      <c r="G206" s="7">
        <v>1</v>
      </c>
      <c r="H206" s="22" t="s">
        <v>817</v>
      </c>
      <c r="I206" s="13">
        <v>42725.942233796297</v>
      </c>
      <c r="J206" s="7">
        <v>0</v>
      </c>
      <c r="K206" s="109" t="str">
        <f t="shared" si="111"/>
        <v>4045/4046</v>
      </c>
      <c r="L206" s="22" t="str">
        <f>VLOOKUP(A206,'Trips&amp;Operators'!$C$1:$G$99999,5,FALSE)</f>
        <v>CHANDLER KELVIN</v>
      </c>
      <c r="M206" s="6">
        <f t="shared" si="112"/>
        <v>1.0706018518249039E-2</v>
      </c>
      <c r="N206" s="7">
        <f t="shared" si="113"/>
        <v>15.416666666278616</v>
      </c>
      <c r="O206" s="7"/>
      <c r="P206" s="7"/>
      <c r="Q206" s="23"/>
      <c r="R206" s="23"/>
      <c r="S206" s="35">
        <f t="shared" si="114"/>
        <v>1</v>
      </c>
      <c r="T206" s="50" t="str">
        <f t="shared" si="115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21:19:34-700',mode:absolute,to:'2016-12-21 23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6" s="52" t="str">
        <f t="shared" si="116"/>
        <v>N</v>
      </c>
      <c r="X206" s="177">
        <f t="shared" si="122"/>
        <v>2</v>
      </c>
      <c r="Y206" s="67">
        <f t="shared" si="117"/>
        <v>9.5699999999999993E-2</v>
      </c>
      <c r="Z206" s="67">
        <f t="shared" si="118"/>
        <v>5.8963000000000001</v>
      </c>
      <c r="AA206" s="67">
        <f t="shared" si="119"/>
        <v>5.8006000000000002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120"/>
        <v>0847-21</v>
      </c>
      <c r="AE206" s="91" t="str">
        <f t="shared" si="124"/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AF206" s="88" t="str">
        <f t="shared" si="125"/>
        <v>"C:\Program Files (x86)\AstroGrep\AstroGrep.exe" /spath="%USERPROFILE%\AppData\Local\Temp\OnboardLogs" /stypes="app*4046*20161222*" /stext=" 05:.+((SYSTEM_STATE.+slice.+state.+changed )|(ment ac)|(multiple cpu faults)|(system.+state.+changed )|(\[timeout)|(PRM\|1\|D)|(kpr)|(kdp)|(\|lc)|(penalty))" /e /r /s</v>
      </c>
      <c r="AG206" s="1" t="str">
        <f t="shared" si="121"/>
        <v>NW</v>
      </c>
      <c r="AH206" s="92" t="str">
        <f t="shared" si="68"/>
        <v>"%USERPROFILE%\Documents\GitHub\eaglep3\Utilities\RefineRTDCRunTimes.py" --tripid 847-21 --locoid 4046 --swversion DE.1.0.8.0 --startMP 204:957 --initTime 2016-12-21T22:19:34 --startdatetime 2016-12-21T22:21:24 --delay 1 --endMP 300:58963 --enddatetime 2016-12-21T22:36:49 --enforcementcount 0 &gt;&gt;C:\Users\stu\Documents\GitHub\eaglep3-reporting\EC\2016-12-21-refined-times.txt</v>
      </c>
      <c r="AI206" s="119" t="str">
        <f t="shared" si="69"/>
        <v>echo {"issue":{"subject":"","project_id":79,"tracker_id":40,"status_id":1,"priority_id":2,"assigned_to_id":23,"start_date":"2016-12-21","description":"","custom_fields":[{"id":1,"name":"Subdivision","value":"NW"},{"id":4,"name":"Milepost","value":"5.8963"},{"id":17,"name":"Train ID","value":"847-21"},{"id":16,"name":"Locomotive ID","value":"4046"},{"id":130,"name":"Impact","value":""},{"id":150,"name":"Time of Event (Mountain Time)","value":"22:36:49"},{"id":151,"name":"Denver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s="21" customFormat="1" x14ac:dyDescent="0.25">
      <c r="A207" s="37" t="s">
        <v>461</v>
      </c>
      <c r="B207" s="7">
        <v>4039</v>
      </c>
      <c r="C207" s="22" t="s">
        <v>205</v>
      </c>
      <c r="D207" s="22" t="s">
        <v>739</v>
      </c>
      <c r="E207" s="13">
        <v>42725.111678240741</v>
      </c>
      <c r="F207" s="13">
        <v>42725.112719907411</v>
      </c>
      <c r="G207" s="7">
        <v>1</v>
      </c>
      <c r="H207" s="22" t="s">
        <v>700</v>
      </c>
      <c r="I207" s="13">
        <v>42725.119722222225</v>
      </c>
      <c r="J207" s="7">
        <v>0</v>
      </c>
      <c r="K207" s="109" t="str">
        <f t="shared" si="111"/>
        <v>4039/4040</v>
      </c>
      <c r="L207" s="22" t="str">
        <f>VLOOKUP(A207,'Trips&amp;Operators'!$C$1:$G$99999,5,FALSE)</f>
        <v>ISHMAEL JOSEPH</v>
      </c>
      <c r="M207" s="6">
        <f t="shared" si="112"/>
        <v>7.0023148145992309E-3</v>
      </c>
      <c r="N207" s="7">
        <f t="shared" si="113"/>
        <v>10.083333333022892</v>
      </c>
      <c r="O207" s="7"/>
      <c r="P207" s="7"/>
      <c r="Q207" s="23"/>
      <c r="R207" s="23"/>
      <c r="S207" s="35">
        <f t="shared" si="114"/>
        <v>1</v>
      </c>
      <c r="T207" s="50" t="str">
        <f t="shared" si="115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01:40:49-700',mode:absolute,to:'2016-12-21 03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7" s="52" t="str">
        <f t="shared" si="116"/>
        <v>Y</v>
      </c>
      <c r="X207" s="177">
        <f t="shared" si="122"/>
        <v>-545</v>
      </c>
      <c r="Y207" s="67">
        <f t="shared" si="117"/>
        <v>2.2585999999999999</v>
      </c>
      <c r="Z207" s="67">
        <f t="shared" si="118"/>
        <v>1.41E-2</v>
      </c>
      <c r="AA207" s="67">
        <f t="shared" si="119"/>
        <v>2.2444999999999999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120"/>
        <v>0302-21</v>
      </c>
      <c r="AE207" s="91" t="str">
        <f t="shared" si="124"/>
        <v>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 &amp; 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</v>
      </c>
      <c r="AF207" s="88" t="str">
        <f t="shared" si="125"/>
        <v>"C:\Program Files (x86)\AstroGrep\AstroGrep.exe" /spath="%USERPROFILE%\AppData\Local\Temp\OnboardLogs" /stypes="app*4039*20161221*" /stext=" 09:.+((SYSTEM_STATE.+slice.+state.+changed )|(ment ac)|(multiple cpu faults)|(system.+state.+changed )|(\[timeout)|(PRM\|1\|D)|(kpr)|(kdp)|(\|lc)|(penalty))" /e /r /s</v>
      </c>
      <c r="AG207" s="1" t="str">
        <f t="shared" si="121"/>
        <v>Other</v>
      </c>
      <c r="AH207" s="92" t="str">
        <f t="shared" si="68"/>
        <v>"%USERPROFILE%\Documents\GitHub\eaglep3\Utilities\RefineRTDCRunTimes.py" --tripid 302-21 --locoid 4039 --swversion DE.1.0.8.0 --startMP 300:22586 --initTime 2016-12-21T02:40:49 --startdatetime 2016-12-21T02:42:19 --delay 1 --endMP 204:141 --enddatetime 2016-12-21T02:52:24 --enforcementcount 0 &gt;&gt;C:\Users\stu\Documents\GitHub\eaglep3-reporting\EC\2016-12-21-refined-times.txt</v>
      </c>
      <c r="AI207" s="119" t="str">
        <f t="shared" si="69"/>
        <v>echo {"issue":{"subject":"","project_id":79,"tracker_id":40,"status_id":1,"priority_id":2,"assigned_to_id":23,"start_date":"2016-12-21","description":"","custom_fields":[{"id":1,"name":"Subdivision","value":"Other"},{"id":4,"name":"Milepost","value":"0.0141"},{"id":17,"name":"Train ID","value":"302-21"},{"id":16,"name":"Locomotive ID","value":"4039"},{"id":130,"name":"Impact","value":""},{"id":150,"name":"Time of Event (Mountain Time)","value":"02:52:24"},{"id":151,"name":"Denver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665</v>
      </c>
      <c r="B208" s="7">
        <v>4017</v>
      </c>
      <c r="C208" s="22" t="s">
        <v>205</v>
      </c>
      <c r="D208" s="22" t="s">
        <v>740</v>
      </c>
      <c r="E208" s="13">
        <v>42726.113865740743</v>
      </c>
      <c r="F208" s="13">
        <v>42726.115011574075</v>
      </c>
      <c r="G208" s="7">
        <v>1</v>
      </c>
      <c r="H208" s="22" t="s">
        <v>262</v>
      </c>
      <c r="I208" s="13">
        <v>42726.122754629629</v>
      </c>
      <c r="J208" s="7">
        <v>0</v>
      </c>
      <c r="K208" s="109" t="str">
        <f t="shared" si="111"/>
        <v>4017/4018</v>
      </c>
      <c r="L208" s="22" t="str">
        <f>VLOOKUP(A208,'Trips&amp;Operators'!$C$1:$G$99999,5,FALSE)</f>
        <v>ISHMAEL JOSEPH</v>
      </c>
      <c r="M208" s="6">
        <f t="shared" si="112"/>
        <v>7.7430555538740009E-3</v>
      </c>
      <c r="N208" s="7">
        <f t="shared" si="113"/>
        <v>11.149999997578561</v>
      </c>
      <c r="O208" s="7"/>
      <c r="P208" s="7"/>
      <c r="Q208" s="23"/>
      <c r="R208" s="23"/>
      <c r="S208" s="35">
        <f t="shared" si="114"/>
        <v>1</v>
      </c>
      <c r="T208" s="50" t="str">
        <f t="shared" si="115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https://search-rtdc-monitor-bjffxe2xuh6vdkpspy63sjmuny.us-east-1.es.amazonaws.com/_plugin/kibana/#/discover/Steve-Slow-Train-Analysis-(2080s-and-2083s)?_g=(refreshInterval:(display:Off,section:0,value:0),time:(from:'2016-12-22 01:43:58-700',mode:absolute,to:'2016-12-22 03:56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8" s="52" t="str">
        <f t="shared" si="116"/>
        <v>Y</v>
      </c>
      <c r="X208" s="177">
        <f t="shared" si="122"/>
        <v>0</v>
      </c>
      <c r="Y208" s="67">
        <f t="shared" si="117"/>
        <v>2.3060999999999998</v>
      </c>
      <c r="Z208" s="67">
        <f t="shared" si="118"/>
        <v>1.47E-2</v>
      </c>
      <c r="AA208" s="67">
        <f t="shared" si="119"/>
        <v>2.2913999999999999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120"/>
        <v>0302-22</v>
      </c>
      <c r="AE208" s="91" t="str">
        <f t="shared" si="124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208" s="88" t="str">
        <f t="shared" si="125"/>
        <v>"C:\Program Files (x86)\AstroGrep\AstroGrep.exe" /spath="%USERPROFILE%\AppData\Local\Temp\OnboardLogs" /stypes="app*4017*20161222*" /stext=" 09:.+((SYSTEM_STATE.+slice.+state.+changed )|(ment ac)|(multiple cpu faults)|(system.+state.+changed )|(\[timeout)|(PRM\|1\|D)|(kpr)|(kdp)|(\|lc)|(penalty))" /e /r /s</v>
      </c>
      <c r="AG208" s="1" t="str">
        <f t="shared" si="121"/>
        <v>Other</v>
      </c>
      <c r="AH208" s="92" t="str">
        <f t="shared" si="68"/>
        <v>"%USERPROFILE%\Documents\GitHub\eaglep3\Utilities\RefineRTDCRunTimes.py" --tripid 302-22 --locoid 4017 --swversion DE.1.0.8.0 --startMP 300:23061 --initTime 2016-12-22T02:43:58 --startdatetime 2016-12-22T02:45:37 --delay 1 --endMP 204:147 --enddatetime 2016-12-22T02:56:46 --enforcementcount 0 &gt;&gt;C:\Users\stu\Documents\GitHub\eaglep3-reporting\EC\2016-12-21-refined-times.txt</v>
      </c>
      <c r="AI208" s="119" t="str">
        <f t="shared" si="69"/>
        <v>echo {"issue":{"subject":"","project_id":79,"tracker_id":40,"status_id":1,"priority_id":2,"assigned_to_id":23,"start_date":"2016-12-22","description":"","custom_fields":[{"id":1,"name":"Subdivision","value":"Other"},{"id":4,"name":"Milepost","value":"0.0147"},{"id":17,"name":"Train ID","value":"302-22"},{"id":16,"name":"Locomotive ID","value":"4017"},{"id":130,"name":"Impact","value":""},{"id":150,"name":"Time of Event (Mountain Time)","value":"02:56:46"},{"id":151,"name":"Denver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465</v>
      </c>
      <c r="B209" s="7">
        <v>4043</v>
      </c>
      <c r="C209" s="22" t="s">
        <v>205</v>
      </c>
      <c r="D209" s="22" t="s">
        <v>741</v>
      </c>
      <c r="E209" s="13">
        <v>42725.139861111114</v>
      </c>
      <c r="F209" s="13">
        <v>42725.143946759257</v>
      </c>
      <c r="G209" s="7">
        <v>5</v>
      </c>
      <c r="H209" s="22" t="s">
        <v>742</v>
      </c>
      <c r="I209" s="13">
        <v>42725.149004629631</v>
      </c>
      <c r="J209" s="7">
        <v>0</v>
      </c>
      <c r="K209" s="109" t="str">
        <f t="shared" si="111"/>
        <v>4043/4044</v>
      </c>
      <c r="L209" s="22" t="str">
        <f>VLOOKUP(A209,'Trips&amp;Operators'!$C$1:$G$99999,5,FALSE)</f>
        <v>MAGEE KENYA</v>
      </c>
      <c r="M209" s="6">
        <f t="shared" si="112"/>
        <v>5.0578703740029596E-3</v>
      </c>
      <c r="N209" s="7">
        <f t="shared" si="113"/>
        <v>7.2833333385642618</v>
      </c>
      <c r="O209" s="7"/>
      <c r="P209" s="7"/>
      <c r="Q209" s="23"/>
      <c r="R209" s="23"/>
      <c r="S209" s="35">
        <f t="shared" si="114"/>
        <v>1</v>
      </c>
      <c r="T209" s="50" t="str">
        <f t="shared" si="115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02:21:24-700',mode:absolute,to:'2016-12-21 04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9" s="52" t="str">
        <f t="shared" si="116"/>
        <v>Y</v>
      </c>
      <c r="X209" s="177">
        <f t="shared" si="122"/>
        <v>2</v>
      </c>
      <c r="Y209" s="67">
        <f t="shared" si="117"/>
        <v>1.9218</v>
      </c>
      <c r="Z209" s="67">
        <f t="shared" si="118"/>
        <v>1.09E-2</v>
      </c>
      <c r="AA209" s="67">
        <f t="shared" si="119"/>
        <v>1.9109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120"/>
        <v>0304-21</v>
      </c>
      <c r="AE209" s="91" t="str">
        <f t="shared" si="124"/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AF209" s="88" t="str">
        <f t="shared" si="125"/>
        <v>"C:\Program Files (x86)\AstroGrep\AstroGrep.exe" /spath="%USERPROFILE%\AppData\Local\Temp\OnboardLogs" /stypes="app*4043*20161221*" /stext=" 10:.+((SYSTEM_STATE.+slice.+state.+changed )|(ment ac)|(multiple cpu faults)|(system.+state.+changed )|(\[timeout)|(PRM\|1\|D)|(kpr)|(kdp)|(\|lc)|(penalty))" /e /r /s</v>
      </c>
      <c r="AG209" s="1" t="str">
        <f t="shared" si="121"/>
        <v>Other</v>
      </c>
      <c r="AH209" s="92" t="str">
        <f t="shared" ref="AH209:AH235" si="126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304-21 --locoid 4043 --swversion DE.1.0.8.0 --startMP 300:19218 --initTime 2016-12-21T03:21:24 --startdatetime 2016-12-21T03:27:17 --delay 5 --endMP 204:109 --enddatetime 2016-12-21T03:34:34 --enforcementcount 0 &gt;&gt;C:\Users\stu\Documents\GitHub\eaglep3-reporting\EC\2016-12-21-refined-times.txt</v>
      </c>
      <c r="AI209" s="119" t="str">
        <f t="shared" ref="AI209:AI235" si="127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{"issue":{"subject":"","project_id":79,"tracker_id":40,"status_id":1,"priority_id":2,"assigned_to_id":23,"start_date":"2016-12-21","description":"","custom_fields":[{"id":1,"name":"Subdivision","value":"Other"},{"id":4,"name":"Milepost","value":"0.0109"},{"id":17,"name":"Train ID","value":"304-21"},{"id":16,"name":"Locomotive ID","value":"4043"},{"id":130,"name":"Impact","value":""},{"id":150,"name":"Time of Event (Mountain Time)","value":"03:34:34"},{"id":151,"name":"Denver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447</v>
      </c>
      <c r="B210" s="7">
        <v>4009</v>
      </c>
      <c r="C210" s="22" t="s">
        <v>205</v>
      </c>
      <c r="D210" s="22" t="s">
        <v>406</v>
      </c>
      <c r="E210" s="13">
        <v>42725.796956018516</v>
      </c>
      <c r="F210" s="13">
        <v>42725.804930555554</v>
      </c>
      <c r="G210" s="7">
        <v>1</v>
      </c>
      <c r="H210" s="22" t="s">
        <v>359</v>
      </c>
      <c r="I210" s="13">
        <v>42725.809814814813</v>
      </c>
      <c r="J210" s="7">
        <v>0</v>
      </c>
      <c r="K210" s="109" t="str">
        <f t="shared" si="111"/>
        <v>4009/4010</v>
      </c>
      <c r="L210" s="22" t="str">
        <f>VLOOKUP(A210,'Trips&amp;Operators'!$C$1:$G$99999,5,FALSE)</f>
        <v>BARTLETT KIANDRA</v>
      </c>
      <c r="M210" s="6">
        <f t="shared" si="112"/>
        <v>4.8842592586879618E-3</v>
      </c>
      <c r="N210" s="7">
        <f t="shared" si="113"/>
        <v>7.0333333325106651</v>
      </c>
      <c r="O210" s="7"/>
      <c r="P210" s="7"/>
      <c r="Q210" s="23"/>
      <c r="R210" s="23"/>
      <c r="S210" s="35">
        <f t="shared" si="114"/>
        <v>1</v>
      </c>
      <c r="T210" s="50" t="str">
        <f t="shared" si="115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18:07:37-700',mode:absolute,to:'2016-12-21 20:26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0" s="52" t="str">
        <f t="shared" si="116"/>
        <v>Y</v>
      </c>
      <c r="X210" s="177">
        <f t="shared" si="122"/>
        <v>1</v>
      </c>
      <c r="Y210" s="67">
        <f t="shared" si="117"/>
        <v>4.9099999999999998E-2</v>
      </c>
      <c r="Z210" s="67">
        <f t="shared" si="118"/>
        <v>2.3302</v>
      </c>
      <c r="AA210" s="67">
        <f t="shared" si="119"/>
        <v>2.2810999999999999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120"/>
        <v>0305-21</v>
      </c>
      <c r="AE210" s="91" t="str">
        <f t="shared" si="124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210" s="88" t="str">
        <f t="shared" si="125"/>
        <v>"C:\Program Files (x86)\AstroGrep\AstroGrep.exe" /spath="%USERPROFILE%\AppData\Local\Temp\OnboardLogs" /stypes="app*4009*20161222*" /stext=" 02:.+((SYSTEM_STATE.+slice.+state.+changed )|(ment ac)|(multiple cpu faults)|(system.+state.+changed )|(\[timeout)|(PRM\|1\|D)|(kpr)|(kdp)|(\|lc)|(penalty))" /e /r /s</v>
      </c>
      <c r="AG210" s="1" t="str">
        <f t="shared" si="121"/>
        <v>Other</v>
      </c>
      <c r="AH210" s="92" t="str">
        <f t="shared" si="126"/>
        <v>"%USERPROFILE%\Documents\GitHub\eaglep3\Utilities\RefineRTDCRunTimes.py" --tripid 305-21 --locoid 4009 --swversion DE.1.0.8.0 --startMP 204:491 --initTime 2016-12-21T19:07:37 --startdatetime 2016-12-21T19:19:06 --delay 1 --endMP 300:23302 --enddatetime 2016-12-21T19:26:08 --enforcementcount 0 &gt;&gt;C:\Users\stu\Documents\GitHub\eaglep3-reporting\EC\2016-12-21-refined-times.txt</v>
      </c>
      <c r="AI210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{"issue":{"subject":"","project_id":79,"tracker_id":40,"status_id":1,"priority_id":2,"assigned_to_id":23,"start_date":"2016-12-21","description":"","custom_fields":[{"id":1,"name":"Subdivision","value":"Other"},{"id":4,"name":"Milepost","value":"2.3302"},{"id":17,"name":"Train ID","value":"305-21"},{"id":16,"name":"Locomotive ID","value":"4009"},{"id":130,"name":"Impact","value":""},{"id":150,"name":"Time of Event (Mountain Time)","value":"19:26:08"},{"id":151,"name":"Denver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642</v>
      </c>
      <c r="B211" s="7">
        <v>4044</v>
      </c>
      <c r="C211" s="22" t="s">
        <v>205</v>
      </c>
      <c r="D211" s="22" t="s">
        <v>257</v>
      </c>
      <c r="E211" s="13">
        <v>42725.819305555553</v>
      </c>
      <c r="F211" s="13">
        <v>42725.821585648147</v>
      </c>
      <c r="G211" s="7">
        <v>3</v>
      </c>
      <c r="H211" s="22" t="s">
        <v>743</v>
      </c>
      <c r="I211" s="13">
        <v>42725.826770833337</v>
      </c>
      <c r="J211" s="7">
        <v>0</v>
      </c>
      <c r="K211" s="109" t="str">
        <f t="shared" si="111"/>
        <v>4043/4044</v>
      </c>
      <c r="L211" s="22" t="str">
        <f>VLOOKUP(A211,'Trips&amp;Operators'!$C$1:$G$99999,5,FALSE)</f>
        <v>BRANNON JEFFREY</v>
      </c>
      <c r="M211" s="6">
        <f t="shared" si="112"/>
        <v>5.1851851894753054E-3</v>
      </c>
      <c r="N211" s="7">
        <f t="shared" si="113"/>
        <v>7.4666666728444397</v>
      </c>
      <c r="O211" s="7"/>
      <c r="P211" s="7"/>
      <c r="Q211" s="23"/>
      <c r="R211" s="23"/>
      <c r="S211" s="35">
        <f t="shared" si="114"/>
        <v>1</v>
      </c>
      <c r="T211" s="50" t="str">
        <f t="shared" si="115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18:39:48-700',mode:absolute,to:'2016-12-21 20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1" s="52" t="str">
        <f t="shared" si="116"/>
        <v>Y</v>
      </c>
      <c r="X211" s="177">
        <f t="shared" si="122"/>
        <v>2</v>
      </c>
      <c r="Y211" s="67">
        <f t="shared" si="117"/>
        <v>4.6399999999999997E-2</v>
      </c>
      <c r="Z211" s="67">
        <f t="shared" si="118"/>
        <v>2.331</v>
      </c>
      <c r="AA211" s="67">
        <f t="shared" si="119"/>
        <v>2.2846000000000002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120"/>
        <v>0307-21</v>
      </c>
      <c r="AE211" s="91" t="str">
        <f t="shared" si="124"/>
        <v>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 &amp; 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</v>
      </c>
      <c r="AF211" s="88" t="str">
        <f t="shared" si="125"/>
        <v>"C:\Program Files (x86)\AstroGrep\AstroGrep.exe" /spath="%USERPROFILE%\AppData\Local\Temp\OnboardLogs" /stypes="app*4044*20161222*" /stext=" 02:.+((SYSTEM_STATE.+slice.+state.+changed )|(ment ac)|(multiple cpu faults)|(system.+state.+changed )|(\[timeout)|(PRM\|1\|D)|(kpr)|(kdp)|(\|lc)|(penalty))" /e /r /s</v>
      </c>
      <c r="AG211" s="1" t="str">
        <f t="shared" si="121"/>
        <v>Other</v>
      </c>
      <c r="AH211" s="92" t="str">
        <f t="shared" si="126"/>
        <v>"%USERPROFILE%\Documents\GitHub\eaglep3\Utilities\RefineRTDCRunTimes.py" --tripid 307-21 --locoid 4044 --swversion DE.1.0.8.0 --startMP 204:464 --initTime 2016-12-21T19:39:48 --startdatetime 2016-12-21T19:43:05 --delay 3 --endMP 300:23310 --enddatetime 2016-12-21T19:50:33 --enforcementcount 0 &gt;&gt;C:\Users\stu\Documents\GitHub\eaglep3-reporting\EC\2016-12-21-refined-times.txt</v>
      </c>
      <c r="AI211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{"issue":{"subject":"","project_id":79,"tracker_id":40,"status_id":1,"priority_id":2,"assigned_to_id":23,"start_date":"2016-12-21","description":"","custom_fields":[{"id":1,"name":"Subdivision","value":"Other"},{"id":4,"name":"Milepost","value":"2.331"},{"id":17,"name":"Train ID","value":"307-21"},{"id":16,"name":"Locomotive ID","value":"4044"},{"id":130,"name":"Impact","value":""},{"id":150,"name":"Time of Event (Mountain Time)","value":"19:50:33"},{"id":151,"name":"Denver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470</v>
      </c>
      <c r="B212" s="7">
        <v>4004</v>
      </c>
      <c r="C212" s="22" t="s">
        <v>205</v>
      </c>
      <c r="D212" s="22" t="s">
        <v>744</v>
      </c>
      <c r="E212" s="13">
        <v>42725.166446759256</v>
      </c>
      <c r="F212" s="13">
        <v>42725.167766203704</v>
      </c>
      <c r="G212" s="7">
        <v>1</v>
      </c>
      <c r="H212" s="22" t="s">
        <v>235</v>
      </c>
      <c r="I212" s="13">
        <v>42725.180798611109</v>
      </c>
      <c r="J212" s="7">
        <v>0</v>
      </c>
      <c r="K212" s="109" t="str">
        <f t="shared" si="111"/>
        <v>4003/4004</v>
      </c>
      <c r="L212" s="22" t="str">
        <f>VLOOKUP(A212,'Trips&amp;Operators'!$C$1:$G$99999,5,FALSE)</f>
        <v>BONDS REYNALDO</v>
      </c>
      <c r="M212" s="6">
        <f t="shared" si="112"/>
        <v>1.3032407405262347E-2</v>
      </c>
      <c r="N212" s="7">
        <f t="shared" si="113"/>
        <v>18.76666666357778</v>
      </c>
      <c r="O212" s="7"/>
      <c r="P212" s="7"/>
      <c r="Q212" s="23"/>
      <c r="R212" s="23"/>
      <c r="S212" s="35">
        <f t="shared" si="114"/>
        <v>1</v>
      </c>
      <c r="T212" s="50" t="str">
        <f t="shared" si="115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02:59:41-700',mode:absolute,to:'2016-12-21 05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2" s="52" t="str">
        <f t="shared" si="116"/>
        <v>Y</v>
      </c>
      <c r="X212" s="177">
        <f t="shared" si="122"/>
        <v>1</v>
      </c>
      <c r="Y212" s="67">
        <f t="shared" si="117"/>
        <v>2.2235999999999998</v>
      </c>
      <c r="Z212" s="67">
        <f t="shared" si="118"/>
        <v>1.4500000000000001E-2</v>
      </c>
      <c r="AA212" s="67">
        <f t="shared" si="119"/>
        <v>2.2090999999999998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120"/>
        <v>0308-21</v>
      </c>
      <c r="AE212" s="91" t="str">
        <f t="shared" si="124"/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AF212" s="88" t="str">
        <f t="shared" si="125"/>
        <v>"C:\Program Files (x86)\AstroGrep\AstroGrep.exe" /spath="%USERPROFILE%\AppData\Local\Temp\OnboardLogs" /stypes="app*4004*20161221*" /stext=" 11:.+((SYSTEM_STATE.+slice.+state.+changed )|(ment ac)|(multiple cpu faults)|(system.+state.+changed )|(\[timeout)|(PRM\|1\|D)|(kpr)|(kdp)|(\|lc)|(penalty))" /e /r /s</v>
      </c>
      <c r="AG212" s="1" t="str">
        <f t="shared" si="121"/>
        <v>Other</v>
      </c>
      <c r="AH212" s="92" t="str">
        <f t="shared" si="126"/>
        <v>"%USERPROFILE%\Documents\GitHub\eaglep3\Utilities\RefineRTDCRunTimes.py" --tripid 308-21 --locoid 4004 --swversion DE.1.0.8.0 --startMP 300:22236 --initTime 2016-12-21T03:59:41 --startdatetime 2016-12-21T04:01:35 --delay 1 --endMP 204:145 --enddatetime 2016-12-21T04:20:21 --enforcementcount 0 &gt;&gt;C:\Users\stu\Documents\GitHub\eaglep3-reporting\EC\2016-12-21-refined-times.txt</v>
      </c>
      <c r="AI212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{"issue":{"subject":"","project_id":79,"tracker_id":40,"status_id":1,"priority_id":2,"assigned_to_id":23,"start_date":"2016-12-21","description":"","custom_fields":[{"id":1,"name":"Subdivision","value":"Other"},{"id":4,"name":"Milepost","value":"0.0145"},{"id":17,"name":"Train ID","value":"308-21"},{"id":16,"name":"Locomotive ID","value":"4004"},{"id":130,"name":"Impact","value":""},{"id":150,"name":"Time of Event (Mountain Time)","value":"04:20:21"},{"id":151,"name":"Denver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475</v>
      </c>
      <c r="B213" s="7">
        <v>4019</v>
      </c>
      <c r="C213" s="22" t="s">
        <v>205</v>
      </c>
      <c r="D213" s="22" t="s">
        <v>745</v>
      </c>
      <c r="E213" s="13">
        <v>42725.181770833333</v>
      </c>
      <c r="F213" s="13">
        <v>42725.184351851851</v>
      </c>
      <c r="G213" s="7">
        <v>3</v>
      </c>
      <c r="H213" s="22" t="s">
        <v>192</v>
      </c>
      <c r="I213" s="13">
        <v>42725.192916666667</v>
      </c>
      <c r="J213" s="7">
        <v>0</v>
      </c>
      <c r="K213" s="109" t="str">
        <f t="shared" si="111"/>
        <v>4019/4020</v>
      </c>
      <c r="L213" s="22" t="str">
        <f>VLOOKUP(A213,'Trips&amp;Operators'!$C$1:$G$99999,5,FALSE)</f>
        <v>COOLAHAN JOHN</v>
      </c>
      <c r="M213" s="6">
        <f t="shared" si="112"/>
        <v>8.5648148160544224E-3</v>
      </c>
      <c r="N213" s="7">
        <f t="shared" si="113"/>
        <v>12.333333335118368</v>
      </c>
      <c r="O213" s="7"/>
      <c r="P213" s="7"/>
      <c r="Q213" s="23"/>
      <c r="R213" s="23"/>
      <c r="S213" s="35">
        <f t="shared" si="114"/>
        <v>1</v>
      </c>
      <c r="T213" s="50" t="str">
        <f t="shared" si="115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03:21:45-700',mode:absolute,to:'2016-12-21 05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3" s="52" t="str">
        <f t="shared" si="116"/>
        <v>Y</v>
      </c>
      <c r="X213" s="177">
        <f t="shared" si="122"/>
        <v>2</v>
      </c>
      <c r="Y213" s="67">
        <f t="shared" si="117"/>
        <v>2.3290000000000002</v>
      </c>
      <c r="Z213" s="67">
        <f t="shared" si="118"/>
        <v>1.43E-2</v>
      </c>
      <c r="AA213" s="67">
        <f t="shared" si="119"/>
        <v>2.3147000000000002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120"/>
        <v>0310-21</v>
      </c>
      <c r="AE213" s="91" t="str">
        <f t="shared" si="124"/>
        <v>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 &amp; 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</v>
      </c>
      <c r="AF213" s="88" t="str">
        <f t="shared" si="125"/>
        <v>"C:\Program Files (x86)\AstroGrep\AstroGrep.exe" /spath="%USERPROFILE%\AppData\Local\Temp\OnboardLogs" /stypes="app*4019*20161221*" /stext=" 11:.+((SYSTEM_STATE.+slice.+state.+changed )|(ment ac)|(multiple cpu faults)|(system.+state.+changed )|(\[timeout)|(PRM\|1\|D)|(kpr)|(kdp)|(\|lc)|(penalty))" /e /r /s</v>
      </c>
      <c r="AG213" s="1" t="str">
        <f t="shared" si="121"/>
        <v>Other</v>
      </c>
      <c r="AH213" s="92" t="str">
        <f t="shared" si="126"/>
        <v>"%USERPROFILE%\Documents\GitHub\eaglep3\Utilities\RefineRTDCRunTimes.py" --tripid 310-21 --locoid 4019 --swversion DE.1.0.8.0 --startMP 300:23290 --initTime 2016-12-21T04:21:45 --startdatetime 2016-12-21T04:25:28 --delay 3 --endMP 204:143 --enddatetime 2016-12-21T04:37:48 --enforcementcount 0 &gt;&gt;C:\Users\stu\Documents\GitHub\eaglep3-reporting\EC\2016-12-21-refined-times.txt</v>
      </c>
      <c r="AI213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{"issue":{"subject":"","project_id":79,"tracker_id":40,"status_id":1,"priority_id":2,"assigned_to_id":23,"start_date":"2016-12-21","description":"","custom_fields":[{"id":1,"name":"Subdivision","value":"Other"},{"id":4,"name":"Milepost","value":"0.0143"},{"id":17,"name":"Train ID","value":"310-21"},{"id":16,"name":"Locomotive ID","value":"4019"},{"id":130,"name":"Impact","value":""},{"id":150,"name":"Time of Event (Mountain Time)","value":"04:37:48"},{"id":151,"name":"Denver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459</v>
      </c>
      <c r="B214" s="7">
        <v>4046</v>
      </c>
      <c r="C214" s="22" t="s">
        <v>205</v>
      </c>
      <c r="D214" s="22" t="s">
        <v>270</v>
      </c>
      <c r="E214" s="13">
        <v>42725.073078703703</v>
      </c>
      <c r="F214" s="13">
        <v>25568.708333333332</v>
      </c>
      <c r="G214" s="7">
        <v>1</v>
      </c>
      <c r="H214" s="22" t="s">
        <v>743</v>
      </c>
      <c r="I214" s="13">
        <v>25568.708333333332</v>
      </c>
      <c r="J214" s="7">
        <v>0</v>
      </c>
      <c r="K214" s="109" t="str">
        <f t="shared" si="111"/>
        <v>4045/4046</v>
      </c>
      <c r="L214" s="22" t="str">
        <f>VLOOKUP(A214,'Trips&amp;Operators'!$C$1:$G$99999,5,FALSE)</f>
        <v>YANG JAN</v>
      </c>
      <c r="M214" s="6">
        <f t="shared" si="112"/>
        <v>0</v>
      </c>
      <c r="N214" s="7">
        <f t="shared" si="113"/>
        <v>0</v>
      </c>
      <c r="O214" s="7"/>
      <c r="P214" s="7"/>
      <c r="Q214" s="23"/>
      <c r="R214" s="23"/>
      <c r="S214" s="35">
        <f t="shared" si="114"/>
        <v>1</v>
      </c>
      <c r="T214" s="50" t="str">
        <f t="shared" si="115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00:45:14-700',mode:absolute,to:'1969-12-31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4" s="52" t="str">
        <f t="shared" si="116"/>
        <v>Y</v>
      </c>
      <c r="X214" s="177">
        <f t="shared" si="122"/>
        <v>3</v>
      </c>
      <c r="Y214" s="67">
        <f t="shared" si="117"/>
        <v>4.6199999999999998E-2</v>
      </c>
      <c r="Z214" s="67">
        <f t="shared" si="118"/>
        <v>2.331</v>
      </c>
      <c r="AA214" s="67">
        <f t="shared" si="119"/>
        <v>2.2848000000000002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120"/>
        <v>0313-20</v>
      </c>
      <c r="AE214" s="91" t="str">
        <f t="shared" si="124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4" s="88" t="str">
        <f t="shared" si="125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4" s="1" t="str">
        <f t="shared" si="121"/>
        <v>Other</v>
      </c>
      <c r="AH214" s="92" t="str">
        <f t="shared" si="126"/>
        <v>"%USERPROFILE%\Documents\GitHub\eaglep3\Utilities\RefineRTDCRunTimes.py" --tripid 313-20 --locoid 4046 --swversion DE.1.0.8.0 --startMP 204:462 --initTime 2016-12-21T01:45:14 --startdatetime 1969-12-31T17:00:00 --delay 1 --endMP 300:23310 --enddatetime 1969-12-31T17:00:00 --enforcementcount 0 &gt;&gt;C:\Users\stu\Documents\GitHub\eaglep3-reporting\EC\2016-12-21-refined-times.txt</v>
      </c>
      <c r="AI214" s="119" t="str">
        <f t="shared" si="127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ID","value":"313-20"},{"id":16,"name":"Locomotive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460</v>
      </c>
      <c r="B215" s="7">
        <v>4031</v>
      </c>
      <c r="C215" s="22" t="s">
        <v>205</v>
      </c>
      <c r="D215" s="22" t="s">
        <v>405</v>
      </c>
      <c r="E215" s="13">
        <v>42725.087361111109</v>
      </c>
      <c r="F215" s="13">
        <v>42725.089016203703</v>
      </c>
      <c r="G215" s="7">
        <v>1</v>
      </c>
      <c r="H215" s="22" t="s">
        <v>746</v>
      </c>
      <c r="I215" s="13">
        <v>42725.089282407411</v>
      </c>
      <c r="J215" s="7">
        <v>0</v>
      </c>
      <c r="K215" s="109" t="str">
        <f t="shared" si="111"/>
        <v>4031/4032</v>
      </c>
      <c r="L215" s="22" t="str">
        <f>VLOOKUP(A215,'Trips&amp;Operators'!$C$1:$G$99999,5,FALSE)</f>
        <v>STAMBAUGH JAMES</v>
      </c>
      <c r="M215" s="6">
        <f t="shared" si="112"/>
        <v>2.6620370772434399E-4</v>
      </c>
      <c r="N215" s="7">
        <f t="shared" si="113"/>
        <v>0.38333333912305534</v>
      </c>
      <c r="O215" s="7"/>
      <c r="P215" s="7"/>
      <c r="Q215" s="23"/>
      <c r="R215" s="23"/>
      <c r="S215" s="35">
        <f t="shared" si="114"/>
        <v>0</v>
      </c>
      <c r="T215" s="50" t="str">
        <f t="shared" si="115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01:05:48-700',mode:absolute,to:'2016-12-21 03:08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5" s="52" t="str">
        <f t="shared" si="116"/>
        <v>Y</v>
      </c>
      <c r="X215" s="177">
        <f t="shared" si="122"/>
        <v>2</v>
      </c>
      <c r="Y215" s="67">
        <f t="shared" si="117"/>
        <v>4.6600000000000003E-2</v>
      </c>
      <c r="Z215" s="67">
        <f t="shared" si="118"/>
        <v>0.10829999999999999</v>
      </c>
      <c r="AA215" s="67">
        <f t="shared" si="119"/>
        <v>6.1699999999999991E-2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120"/>
        <v>0315-20</v>
      </c>
      <c r="AE215" s="91" t="str">
        <f t="shared" si="124"/>
        <v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v>
      </c>
      <c r="AF215" s="88" t="str">
        <f t="shared" si="125"/>
        <v>"C:\Program Files (x86)\AstroGrep\AstroGrep.exe" /spath="%USERPROFILE%\AppData\Local\Temp\OnboardLogs" /stypes="app*4031*20161221*" /stext=" 09:.+((SYSTEM_STATE.+slice.+state.+changed )|(ment ac)|(multiple cpu faults)|(system.+state.+changed )|(\[timeout)|(PRM\|1\|D)|(kpr)|(kdp)|(\|lc)|(penalty))" /e /r /s</v>
      </c>
      <c r="AG215" s="1" t="str">
        <f t="shared" si="121"/>
        <v>Other</v>
      </c>
      <c r="AH215" s="92" t="str">
        <f t="shared" si="126"/>
        <v>"%USERPROFILE%\Documents\GitHub\eaglep3\Utilities\RefineRTDCRunTimes.py" --tripid 315-20 --locoid 4031 --swversion DE.1.0.8.0 --startMP 204:466 --initTime 2016-12-21T02:05:48 --startdatetime 2016-12-21T02:08:11 --delay 1 --endMP 204:1083 --enddatetime 2016-12-21T02:08:34 --enforcementcount 0 &gt;&gt;C:\Users\stu\Documents\GitHub\eaglep3-reporting\EC\2016-12-21-refined-times.txt</v>
      </c>
      <c r="AI215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{"issue":{"subject":"","project_id":79,"tracker_id":40,"status_id":1,"priority_id":2,"assigned_to_id":23,"start_date":"2016-12-21","description":"","custom_fields":[{"id":1,"name":"Subdivision","value":"Other"},{"id":4,"name":"Milepost","value":"0.1083"},{"id":17,"name":"Train ID","value":"315-20"},{"id":16,"name":"Locomotive ID","value":"4031"},{"id":130,"name":"Impact","value":""},{"id":150,"name":"Time of Event (Mountain Time)","value":"02:08:34"},{"id":151,"name":"Denver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480</v>
      </c>
      <c r="B216" s="7">
        <v>4018</v>
      </c>
      <c r="C216" s="22" t="s">
        <v>205</v>
      </c>
      <c r="D216" s="22" t="s">
        <v>818</v>
      </c>
      <c r="E216" s="13">
        <v>42725.204375000001</v>
      </c>
      <c r="F216" s="13">
        <v>42725.20579861111</v>
      </c>
      <c r="G216" s="7">
        <v>1</v>
      </c>
      <c r="H216" s="22" t="s">
        <v>418</v>
      </c>
      <c r="I216" s="13">
        <v>42725.211261574077</v>
      </c>
      <c r="J216" s="7">
        <v>0</v>
      </c>
      <c r="K216" s="109" t="str">
        <f t="shared" si="111"/>
        <v>4017/4018</v>
      </c>
      <c r="L216" s="22" t="str">
        <f>VLOOKUP(A216,'Trips&amp;Operators'!$C$1:$G$99999,5,FALSE)</f>
        <v>SIMMONS SHYHESHA</v>
      </c>
      <c r="M216" s="6">
        <f t="shared" si="112"/>
        <v>5.4629629667033441E-3</v>
      </c>
      <c r="N216" s="7">
        <f t="shared" si="113"/>
        <v>7.8666666720528156</v>
      </c>
      <c r="O216" s="7"/>
      <c r="P216" s="7"/>
      <c r="Q216" s="23"/>
      <c r="R216" s="23"/>
      <c r="S216" s="35">
        <f t="shared" si="114"/>
        <v>0</v>
      </c>
      <c r="T216" s="50" t="str">
        <f t="shared" si="115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03:54:18-700',mode:absolute,to:'2016-12-21 06:04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6" s="52" t="str">
        <f t="shared" si="116"/>
        <v>Y</v>
      </c>
      <c r="X216" s="177">
        <f t="shared" si="122"/>
        <v>586</v>
      </c>
      <c r="Y216" s="67">
        <f t="shared" si="117"/>
        <v>3.0004</v>
      </c>
      <c r="Z216" s="67">
        <f t="shared" si="118"/>
        <v>5.8921999999999999</v>
      </c>
      <c r="AA216" s="67">
        <f t="shared" si="119"/>
        <v>2.8917999999999999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120"/>
        <v>0901-21</v>
      </c>
      <c r="AE216" s="91" t="str">
        <f t="shared" si="124"/>
        <v>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 &amp; 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</v>
      </c>
      <c r="AF216" s="88" t="str">
        <f t="shared" si="125"/>
        <v>"C:\Program Files (x86)\AstroGrep\AstroGrep.exe" /spath="%USERPROFILE%\AppData\Local\Temp\OnboardLogs" /stypes="app*4018*20161221*" /stext=" 12:.+((SYSTEM_STATE.+slice.+state.+changed )|(ment ac)|(multiple cpu faults)|(system.+state.+changed )|(\[timeout)|(PRM\|1\|D)|(kpr)|(kdp)|(\|lc)|(penalty))" /e /r /s</v>
      </c>
      <c r="AG216" s="1" t="str">
        <f t="shared" si="121"/>
        <v>Other</v>
      </c>
      <c r="AH216" s="92" t="str">
        <f t="shared" si="126"/>
        <v>"%USERPROFILE%\Documents\GitHub\eaglep3\Utilities\RefineRTDCRunTimes.py" --tripid 901-21 --locoid 4018 --swversion DE.1.0.8.0 --startMP 300:30004 --initTime 2016-12-21T04:54:18 --startdatetime 2016-12-21T04:56:21 --delay 1 --endMP 300:58922 --enddatetime 2016-12-21T05:04:13 --enforcementcount 0 &gt;&gt;C:\Users\stu\Documents\GitHub\eaglep3-reporting\EC\2016-12-21-refined-times.txt</v>
      </c>
      <c r="AI216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{"issue":{"subject":"","project_id":79,"tracker_id":40,"status_id":1,"priority_id":2,"assigned_to_id":23,"start_date":"2016-12-21","description":"","custom_fields":[{"id":1,"name":"Subdivision","value":"Other"},{"id":4,"name":"Milepost","value":"5.8922"},{"id":17,"name":"Train ID","value":"901-21"},{"id":16,"name":"Locomotive ID","value":"4018"},{"id":130,"name":"Impact","value":""},{"id":150,"name":"Time of Event (Mountain Time)","value":"05:04:13"},{"id":151,"name":"Denver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514</v>
      </c>
      <c r="B217" s="7">
        <v>4018</v>
      </c>
      <c r="C217" s="22" t="s">
        <v>205</v>
      </c>
      <c r="D217" s="22" t="s">
        <v>819</v>
      </c>
      <c r="E217" s="13">
        <v>42725.352800925924</v>
      </c>
      <c r="F217" s="13">
        <v>25568.708333333332</v>
      </c>
      <c r="G217" s="7">
        <v>1</v>
      </c>
      <c r="H217" s="22" t="s">
        <v>410</v>
      </c>
      <c r="I217" s="13">
        <v>25568.708333333332</v>
      </c>
      <c r="J217" s="7">
        <v>0</v>
      </c>
      <c r="K217" s="109" t="str">
        <f t="shared" si="111"/>
        <v>4017/4018</v>
      </c>
      <c r="L217" s="22" t="str">
        <f>VLOOKUP(A217,'Trips&amp;Operators'!$C$1:$G$99999,5,FALSE)</f>
        <v>SIMMONS SHYHESHA</v>
      </c>
      <c r="M217" s="6">
        <f t="shared" si="112"/>
        <v>0</v>
      </c>
      <c r="N217" s="7">
        <f t="shared" si="113"/>
        <v>0</v>
      </c>
      <c r="O217" s="7"/>
      <c r="P217" s="7"/>
      <c r="Q217" s="23"/>
      <c r="R217" s="23"/>
      <c r="S217" s="35">
        <f t="shared" si="114"/>
        <v>1</v>
      </c>
      <c r="T217" s="50" t="str">
        <f t="shared" si="115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07:28:02-700',mode:absolute,to:'1969-12-31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7" s="52" t="str">
        <f t="shared" si="116"/>
        <v>Y</v>
      </c>
      <c r="X217" s="177">
        <f t="shared" si="122"/>
        <v>2</v>
      </c>
      <c r="Y217" s="67">
        <f t="shared" si="117"/>
        <v>0.12330000000000001</v>
      </c>
      <c r="Z217" s="67">
        <f t="shared" si="118"/>
        <v>2.4222000000000001</v>
      </c>
      <c r="AA217" s="67">
        <f t="shared" si="119"/>
        <v>2.2989000000000002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120"/>
        <v>0903-21</v>
      </c>
      <c r="AE217" s="91" t="str">
        <f t="shared" si="12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7" s="88" t="str">
        <f t="shared" si="125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7" s="1" t="str">
        <f t="shared" si="121"/>
        <v>Other</v>
      </c>
      <c r="AH217" s="92" t="str">
        <f t="shared" si="126"/>
        <v>"%USERPROFILE%\Documents\GitHub\eaglep3\Utilities\RefineRTDCRunTimes.py" --tripid 903-21 --locoid 4018 --swversion DE.1.0.8.0 --startMP 204:1233 --initTime 2016-12-21T08:28:02 --startdatetime 1969-12-31T17:00:00 --delay 1 --endMP 300:24222 --enddatetime 1969-12-31T17:00:00 --enforcementcount 0 &gt;&gt;C:\Users\stu\Documents\GitHub\eaglep3-reporting\EC\2016-12-21-refined-times.txt</v>
      </c>
      <c r="AI217" s="119" t="str">
        <f t="shared" si="127"/>
        <v>echo {"issue":{"subject":"","project_id":79,"tracker_id":40,"status_id":1,"priority_id":2,"assigned_to_id":23,"start_date":"1969-12-31","description":"","custom_fields":[{"id":1,"name":"Subdivision","value":"Other"},{"id":4,"name":"Milepost","value":"2.4222"},{"id":17,"name":"Train ID","value":"903-21"},{"id":16,"name":"Locomotive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586</v>
      </c>
      <c r="B218" s="7">
        <v>4017</v>
      </c>
      <c r="C218" s="22" t="s">
        <v>205</v>
      </c>
      <c r="D218" s="22" t="s">
        <v>820</v>
      </c>
      <c r="E218" s="13">
        <v>42725.645925925928</v>
      </c>
      <c r="F218" s="13">
        <v>42725.646898148145</v>
      </c>
      <c r="G218" s="7">
        <v>1</v>
      </c>
      <c r="H218" s="22" t="s">
        <v>821</v>
      </c>
      <c r="I218" s="13">
        <v>42725.654791666668</v>
      </c>
      <c r="J218" s="7">
        <v>0</v>
      </c>
      <c r="K218" s="109" t="str">
        <f t="shared" si="111"/>
        <v>4017/4018</v>
      </c>
      <c r="L218" s="22" t="str">
        <f>VLOOKUP(A218,'Trips&amp;Operators'!$C$1:$G$99999,5,FALSE)</f>
        <v>CHANDLER KELVIN</v>
      </c>
      <c r="M218" s="6">
        <f t="shared" si="112"/>
        <v>7.8935185229056515E-3</v>
      </c>
      <c r="N218" s="7">
        <f t="shared" si="113"/>
        <v>11.366666672984138</v>
      </c>
      <c r="O218" s="7"/>
      <c r="P218" s="7"/>
      <c r="Q218" s="23"/>
      <c r="R218" s="23"/>
      <c r="S218" s="35">
        <f t="shared" si="114"/>
        <v>1</v>
      </c>
      <c r="T218" s="50" t="str">
        <f t="shared" si="115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14:30:08-700',mode:absolute,to:'2016-12-21 16:42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8" s="52" t="str">
        <f t="shared" si="116"/>
        <v>Y</v>
      </c>
      <c r="X218" s="177">
        <f t="shared" si="122"/>
        <v>1</v>
      </c>
      <c r="Y218" s="67">
        <f t="shared" si="117"/>
        <v>2.2347999999999999</v>
      </c>
      <c r="Z218" s="67">
        <f t="shared" si="118"/>
        <v>6.4000000000000001E-2</v>
      </c>
      <c r="AA218" s="67">
        <f t="shared" si="119"/>
        <v>2.1707999999999998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120"/>
        <v>0904-21</v>
      </c>
      <c r="AE218" s="91" t="str">
        <f t="shared" si="124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218" s="88" t="str">
        <f t="shared" si="125"/>
        <v>"C:\Program Files (x86)\AstroGrep\AstroGrep.exe" /spath="%USERPROFILE%\AppData\Local\Temp\OnboardLogs" /stypes="app*4017*20161221*" /stext=" 22:.+((SYSTEM_STATE.+slice.+state.+changed )|(ment ac)|(multiple cpu faults)|(system.+state.+changed )|(\[timeout)|(PRM\|1\|D)|(kpr)|(kdp)|(\|lc)|(penalty))" /e /r /s</v>
      </c>
      <c r="AG218" s="1" t="str">
        <f t="shared" si="121"/>
        <v>Other</v>
      </c>
      <c r="AH218" s="92" t="str">
        <f t="shared" si="126"/>
        <v>"%USERPROFILE%\Documents\GitHub\eaglep3\Utilities\RefineRTDCRunTimes.py" --tripid 904-21 --locoid 4017 --swversion DE.1.0.8.0 --startMP 300:22348 --initTime 2016-12-21T15:30:08 --startdatetime 2016-12-21T15:31:32 --delay 1 --endMP 204:640 --enddatetime 2016-12-21T15:42:54 --enforcementcount 0 &gt;&gt;C:\Users\stu\Documents\GitHub\eaglep3-reporting\EC\2016-12-21-refined-times.txt</v>
      </c>
      <c r="AI218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{"issue":{"subject":"","project_id":79,"tracker_id":40,"status_id":1,"priority_id":2,"assigned_to_id":23,"start_date":"2016-12-21","description":"","custom_fields":[{"id":1,"name":"Subdivision","value":"Other"},{"id":4,"name":"Milepost","value":"0.064"},{"id":17,"name":"Train ID","value":"904-21"},{"id":16,"name":"Locomotive ID","value":"4017"},{"id":130,"name":"Impact","value":""},{"id":150,"name":"Time of Event (Mountain Time)","value":"15:42:54"},{"id":151,"name":"Denver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586</v>
      </c>
      <c r="B219" s="7">
        <v>4017</v>
      </c>
      <c r="C219" s="22" t="s">
        <v>205</v>
      </c>
      <c r="D219" s="22" t="s">
        <v>822</v>
      </c>
      <c r="E219" s="13">
        <v>42725.644305555557</v>
      </c>
      <c r="F219" s="13">
        <v>42725.646898148145</v>
      </c>
      <c r="G219" s="7">
        <v>1</v>
      </c>
      <c r="H219" s="22" t="s">
        <v>823</v>
      </c>
      <c r="I219" s="13">
        <v>42725.654791666668</v>
      </c>
      <c r="J219" s="7">
        <v>0</v>
      </c>
      <c r="K219" s="109" t="str">
        <f t="shared" si="111"/>
        <v>4017/4018</v>
      </c>
      <c r="L219" s="22" t="str">
        <f>VLOOKUP(A219,'Trips&amp;Operators'!$C$1:$G$99999,5,FALSE)</f>
        <v>CHANDLER KELVIN</v>
      </c>
      <c r="M219" s="6">
        <f t="shared" si="112"/>
        <v>7.8935185229056515E-3</v>
      </c>
      <c r="N219" s="7">
        <f t="shared" si="113"/>
        <v>11.366666672984138</v>
      </c>
      <c r="O219" s="7"/>
      <c r="P219" s="7"/>
      <c r="Q219" s="23"/>
      <c r="R219" s="23"/>
      <c r="S219" s="35">
        <f t="shared" si="114"/>
        <v>0</v>
      </c>
      <c r="T219" s="50" t="str">
        <f t="shared" si="115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14:27:48-700',mode:absolute,to:'2016-12-21 16:42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9" s="52" t="str">
        <f t="shared" si="116"/>
        <v>Y</v>
      </c>
      <c r="X219" s="177">
        <f t="shared" si="122"/>
        <v>0</v>
      </c>
      <c r="Y219" s="67">
        <f t="shared" si="117"/>
        <v>2.3256000000000001</v>
      </c>
      <c r="Z219" s="67">
        <f t="shared" si="118"/>
        <v>2.2357</v>
      </c>
      <c r="AA219" s="67">
        <f t="shared" si="119"/>
        <v>8.9900000000000091E-2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120"/>
        <v>0904-21</v>
      </c>
      <c r="AE219" s="91" t="str">
        <f t="shared" si="124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219" s="88" t="str">
        <f t="shared" si="125"/>
        <v>"C:\Program Files (x86)\AstroGrep\AstroGrep.exe" /spath="%USERPROFILE%\AppData\Local\Temp\OnboardLogs" /stypes="app*4017*20161221*" /stext=" 22:.+((SYSTEM_STATE.+slice.+state.+changed )|(ment ac)|(multiple cpu faults)|(system.+state.+changed )|(\[timeout)|(PRM\|1\|D)|(kpr)|(kdp)|(\|lc)|(penalty))" /e /r /s</v>
      </c>
      <c r="AG219" s="1" t="str">
        <f t="shared" si="121"/>
        <v>Other</v>
      </c>
      <c r="AH219" s="92" t="str">
        <f t="shared" si="126"/>
        <v>"%USERPROFILE%\Documents\GitHub\eaglep3\Utilities\RefineRTDCRunTimes.py" --tripid 904-21 --locoid 4017 --swversion DE.1.0.8.0 --startMP 300:23256 --initTime 2016-12-21T15:27:48 --startdatetime 2016-12-21T15:31:32 --delay 1 --endMP 300:22357 --enddatetime 2016-12-21T15:42:54 --enforcementcount 0 &gt;&gt;C:\Users\stu\Documents\GitHub\eaglep3-reporting\EC\2016-12-21-refined-times.txt</v>
      </c>
      <c r="AI219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{"issue":{"subject":"","project_id":79,"tracker_id":40,"status_id":1,"priority_id":2,"assigned_to_id":23,"start_date":"2016-12-21","description":"","custom_fields":[{"id":1,"name":"Subdivision","value":"Other"},{"id":4,"name":"Milepost","value":"2.2357"},{"id":17,"name":"Train ID","value":"904-21"},{"id":16,"name":"Locomotive ID","value":"4017"},{"id":130,"name":"Impact","value":""},{"id":150,"name":"Time of Event (Mountain Time)","value":"15:42:54"},{"id":151,"name":"Denver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637</v>
      </c>
      <c r="B220" s="7">
        <v>4017</v>
      </c>
      <c r="C220" s="22" t="s">
        <v>205</v>
      </c>
      <c r="D220" s="22" t="s">
        <v>809</v>
      </c>
      <c r="E220" s="13">
        <v>42725.800092592595</v>
      </c>
      <c r="F220" s="13">
        <v>25568.708333333332</v>
      </c>
      <c r="G220" s="7">
        <v>1</v>
      </c>
      <c r="H220" s="22" t="s">
        <v>824</v>
      </c>
      <c r="I220" s="13">
        <v>25568.708333333332</v>
      </c>
      <c r="J220" s="7">
        <v>0</v>
      </c>
      <c r="K220" s="109" t="str">
        <f t="shared" si="111"/>
        <v>4017/4018</v>
      </c>
      <c r="L220" s="22" t="str">
        <f>VLOOKUP(A220,'Trips&amp;Operators'!$C$1:$G$99999,5,FALSE)</f>
        <v>CHANDLER KELVIN</v>
      </c>
      <c r="M220" s="6">
        <f t="shared" si="112"/>
        <v>0</v>
      </c>
      <c r="N220" s="7">
        <f t="shared" si="113"/>
        <v>0</v>
      </c>
      <c r="O220" s="7"/>
      <c r="P220" s="7"/>
      <c r="Q220" s="23"/>
      <c r="R220" s="23"/>
      <c r="S220" s="35">
        <f t="shared" si="114"/>
        <v>0</v>
      </c>
      <c r="T220" s="50" t="str">
        <f t="shared" si="115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18:12:08-700',mode:absolute,to:'1969-12-31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0" s="52" t="str">
        <f t="shared" si="116"/>
        <v>Y</v>
      </c>
      <c r="X220" s="177">
        <f t="shared" si="122"/>
        <v>2</v>
      </c>
      <c r="Y220" s="67">
        <f t="shared" si="117"/>
        <v>5.8616999999999999</v>
      </c>
      <c r="Z220" s="67">
        <f t="shared" si="118"/>
        <v>2.8788999999999998</v>
      </c>
      <c r="AA220" s="67">
        <f t="shared" si="119"/>
        <v>2.9828000000000001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120"/>
        <v>0906-21</v>
      </c>
      <c r="AE220" s="91" t="str">
        <f t="shared" si="124"/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20" s="88" t="str">
        <f t="shared" si="125"/>
        <v>"C:\Program Files (x86)\AstroGrep\AstroGrep.exe" /spath="%USERPROFILE%\AppData\Local\Temp\OnboardLogs" /stypes="app*4017*19700101*" /stext=" 00:.+((SYSTEM_STATE.+slice.+state.+changed )|(ment ac)|(multiple cpu faults)|(system.+state.+changed )|(\[timeout)|(PRM\|1\|D)|(kpr)|(kdp)|(\|lc)|(penalty))" /e /r /s</v>
      </c>
      <c r="AG220" s="1" t="str">
        <f t="shared" si="121"/>
        <v>Other</v>
      </c>
      <c r="AH220" s="92" t="str">
        <f t="shared" si="126"/>
        <v>"%USERPROFILE%\Documents\GitHub\eaglep3\Utilities\RefineRTDCRunTimes.py" --tripid 906-21 --locoid 4017 --swversion DE.1.0.8.0 --startMP 300:58617 --initTime 2016-12-21T19:12:08 --startdatetime 1969-12-31T17:00:00 --delay 1 --endMP 300:28789 --enddatetime 1969-12-31T17:00:00 --enforcementcount 0 &gt;&gt;C:\Users\stu\Documents\GitHub\eaglep3-reporting\EC\2016-12-21-refined-times.txt</v>
      </c>
      <c r="AI220" s="119" t="str">
        <f t="shared" si="127"/>
        <v>echo {"issue":{"subject":"","project_id":79,"tracker_id":40,"status_id":1,"priority_id":2,"assigned_to_id":23,"start_date":"1969-12-31","description":"","custom_fields":[{"id":1,"name":"Subdivision","value":"Other"},{"id":4,"name":"Milepost","value":"2.8789"},{"id":17,"name":"Train ID","value":"906-21"},{"id":16,"name":"Locomotive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655</v>
      </c>
      <c r="B221" s="7">
        <v>4045</v>
      </c>
      <c r="C221" s="22" t="s">
        <v>205</v>
      </c>
      <c r="D221" s="22" t="s">
        <v>825</v>
      </c>
      <c r="E221" s="13">
        <v>42725.943865740737</v>
      </c>
      <c r="F221" s="13">
        <v>42725.944953703707</v>
      </c>
      <c r="G221" s="7">
        <v>1</v>
      </c>
      <c r="H221" s="22" t="s">
        <v>826</v>
      </c>
      <c r="I221" s="13">
        <v>42725.950937499998</v>
      </c>
      <c r="J221" s="7">
        <v>0</v>
      </c>
      <c r="K221" s="109" t="str">
        <f t="shared" si="111"/>
        <v>4045/4046</v>
      </c>
      <c r="L221" s="22" t="str">
        <f>VLOOKUP(A221,'Trips&amp;Operators'!$C$1:$G$99999,5,FALSE)</f>
        <v>CHANDLER KELVIN</v>
      </c>
      <c r="M221" s="6">
        <f t="shared" si="112"/>
        <v>5.9837962908204645E-3</v>
      </c>
      <c r="N221" s="7">
        <f t="shared" si="113"/>
        <v>8.6166666587814689</v>
      </c>
      <c r="O221" s="7"/>
      <c r="P221" s="7"/>
      <c r="Q221" s="23"/>
      <c r="R221" s="23"/>
      <c r="S221" s="35">
        <f t="shared" si="114"/>
        <v>0</v>
      </c>
      <c r="T221" s="50" t="str">
        <f t="shared" si="115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21:39:10-700',mode:absolute,to:'2016-12-21 23:49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1" s="52" t="str">
        <f t="shared" si="116"/>
        <v>Y</v>
      </c>
      <c r="X221" s="177">
        <f t="shared" si="122"/>
        <v>2</v>
      </c>
      <c r="Y221" s="67">
        <f t="shared" si="117"/>
        <v>5.8643000000000001</v>
      </c>
      <c r="Z221" s="67">
        <f t="shared" si="118"/>
        <v>2.0996000000000001</v>
      </c>
      <c r="AA221" s="67">
        <f t="shared" si="119"/>
        <v>3.7646999999999999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120"/>
        <v>0908-21</v>
      </c>
      <c r="AE221" s="91" t="str">
        <f t="shared" si="124"/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AF221" s="88" t="str">
        <f t="shared" si="125"/>
        <v>"C:\Program Files (x86)\AstroGrep\AstroGrep.exe" /spath="%USERPROFILE%\AppData\Local\Temp\OnboardLogs" /stypes="app*4045*20161222*" /stext=" 05:.+((SYSTEM_STATE.+slice.+state.+changed )|(ment ac)|(multiple cpu faults)|(system.+state.+changed )|(\[timeout)|(PRM\|1\|D)|(kpr)|(kdp)|(\|lc)|(penalty))" /e /r /s</v>
      </c>
      <c r="AG221" s="1" t="str">
        <f t="shared" si="121"/>
        <v>Other</v>
      </c>
      <c r="AH221" s="92" t="str">
        <f t="shared" si="126"/>
        <v>"%USERPROFILE%\Documents\GitHub\eaglep3\Utilities\RefineRTDCRunTimes.py" --tripid 908-21 --locoid 4045 --swversion DE.1.0.8.0 --startMP 300:58643 --initTime 2016-12-21T22:39:10 --startdatetime 2016-12-21T22:40:44 --delay 1 --endMP 300:20996 --enddatetime 2016-12-21T22:49:21 --enforcementcount 0 &gt;&gt;C:\Users\stu\Documents\GitHub\eaglep3-reporting\EC\2016-12-21-refined-times.txt</v>
      </c>
      <c r="AI221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{"issue":{"subject":"","project_id":79,"tracker_id":40,"status_id":1,"priority_id":2,"assigned_to_id":23,"start_date":"2016-12-21","description":"","custom_fields":[{"id":1,"name":"Subdivision","value":"Other"},{"id":4,"name":"Milepost","value":"2.0996"},{"id":17,"name":"Train ID","value":"908-21"},{"id":16,"name":"Locomotive ID","value":"4045"},{"id":130,"name":"Impact","value":""},{"id":150,"name":"Time of Event (Mountain Time)","value":"22:49:21"},{"id":151,"name":"Denver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524</v>
      </c>
      <c r="B222" s="7">
        <v>4032</v>
      </c>
      <c r="C222" s="22" t="s">
        <v>205</v>
      </c>
      <c r="D222" s="22" t="s">
        <v>747</v>
      </c>
      <c r="E222" s="13">
        <v>42725.393611111111</v>
      </c>
      <c r="F222" s="13">
        <v>42725.394675925927</v>
      </c>
      <c r="G222" s="7">
        <v>1</v>
      </c>
      <c r="H222" s="22" t="s">
        <v>748</v>
      </c>
      <c r="I222" s="13">
        <v>42725.403275462966</v>
      </c>
      <c r="J222" s="7">
        <v>0</v>
      </c>
      <c r="K222" s="109" t="str">
        <f t="shared" si="111"/>
        <v>4031/4032</v>
      </c>
      <c r="L222" s="22" t="str">
        <f>VLOOKUP(A222,'Trips&amp;Operators'!$C$1:$G$99999,5,FALSE)</f>
        <v>YOUNG ELIZABETH</v>
      </c>
      <c r="M222" s="6">
        <f t="shared" si="112"/>
        <v>8.599537039117422E-3</v>
      </c>
      <c r="N222" s="7">
        <f t="shared" si="113"/>
        <v>12.383333336329088</v>
      </c>
      <c r="O222" s="7"/>
      <c r="P222" s="7"/>
      <c r="Q222" s="23"/>
      <c r="R222" s="23"/>
      <c r="S222" s="35">
        <f t="shared" si="114"/>
        <v>0</v>
      </c>
      <c r="T222" s="50" t="e">
        <f t="shared" si="115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08:26:48-700',mode:absolute,to:'2016-12-21 10:40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2" s="52" t="str">
        <f t="shared" si="116"/>
        <v>Y</v>
      </c>
      <c r="X222" s="177" t="e">
        <f t="shared" si="122"/>
        <v>#VALUE!</v>
      </c>
      <c r="Y222" s="67">
        <f t="shared" si="117"/>
        <v>2.302</v>
      </c>
      <c r="Z222" s="67">
        <f t="shared" si="118"/>
        <v>0.1171</v>
      </c>
      <c r="AA222" s="67">
        <f t="shared" si="119"/>
        <v>2.1848999999999998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120"/>
        <v>50-21</v>
      </c>
      <c r="AE222" s="91" t="str">
        <f t="shared" si="124"/>
        <v>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 &amp; 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</v>
      </c>
      <c r="AF222" s="88" t="str">
        <f t="shared" si="125"/>
        <v>"C:\Program Files (x86)\AstroGrep\AstroGrep.exe" /spath="%USERPROFILE%\AppData\Local\Temp\OnboardLogs" /stypes="app*4032*20161221*" /stext=" 16:.+((SYSTEM_STATE.+slice.+state.+changed )|(ment ac)|(multiple cpu faults)|(system.+state.+changed )|(\[timeout)|(PRM\|1\|D)|(kpr)|(kdp)|(\|lc)|(penalty))" /e /r /s</v>
      </c>
      <c r="AG222" s="1" t="str">
        <f t="shared" si="121"/>
        <v>Other</v>
      </c>
      <c r="AH222" s="92" t="str">
        <f t="shared" si="126"/>
        <v>"%USERPROFILE%\Documents\GitHub\eaglep3\Utilities\RefineRTDCRunTimes.py" --tripid 50-21 --locoid 4032 --swversion DE.1.0.8.0 --startMP 300:23020 --initTime 2016-12-21T09:26:48 --startdatetime 2016-12-21T09:28:20 --delay 1 --endMP 204:1171 --enddatetime 2016-12-21T09:40:43 --enforcementcount 0 &gt;&gt;C:\Users\stu\Documents\GitHub\eaglep3-reporting\EC\2016-12-21-refined-times.txt</v>
      </c>
      <c r="AI222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{"issue":{"subject":"","project_id":79,"tracker_id":40,"status_id":1,"priority_id":2,"assigned_to_id":23,"start_date":"2016-12-21","description":"","custom_fields":[{"id":1,"name":"Subdivision","value":"Other"},{"id":4,"name":"Milepost","value":"0.1171"},{"id":17,"name":"Train ID","value":"50-21"},{"id":16,"name":"Locomotive ID","value":"4032"},{"id":130,"name":"Impact","value":""},{"id":150,"name":"Time of Event (Mountain Time)","value":"09:40:43"},{"id":151,"name":"Denver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664</v>
      </c>
      <c r="B223" s="7">
        <v>4042</v>
      </c>
      <c r="C223" s="22" t="s">
        <v>205</v>
      </c>
      <c r="D223" s="22" t="s">
        <v>749</v>
      </c>
      <c r="E223" s="13">
        <v>42726.074120370373</v>
      </c>
      <c r="F223" s="13">
        <v>42726.11</v>
      </c>
      <c r="G223" s="7">
        <v>1</v>
      </c>
      <c r="H223" s="22" t="s">
        <v>750</v>
      </c>
      <c r="I223" s="13">
        <v>42726.114942129629</v>
      </c>
      <c r="J223" s="7">
        <v>0</v>
      </c>
      <c r="K223" s="109" t="str">
        <f t="shared" si="111"/>
        <v>4041/4042</v>
      </c>
      <c r="L223" s="22" t="str">
        <f>VLOOKUP(A223,'Trips&amp;Operators'!$C$1:$G$99999,5,FALSE)</f>
        <v>PERKINS DARREN</v>
      </c>
      <c r="M223" s="6">
        <f t="shared" si="112"/>
        <v>4.9421296280343086E-3</v>
      </c>
      <c r="N223" s="7">
        <f t="shared" si="113"/>
        <v>7.1166666643694043</v>
      </c>
      <c r="O223" s="7"/>
      <c r="P223" s="7"/>
      <c r="Q223" s="23"/>
      <c r="R223" s="23"/>
      <c r="S223" s="35">
        <f t="shared" si="114"/>
        <v>0</v>
      </c>
      <c r="T223" s="50" t="e">
        <f t="shared" si="115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https://search-rtdc-monitor-bjffxe2xuh6vdkpspy63sjmuny.us-east-1.es.amazonaws.com/_plugin/kibana/#/discover/Steve-Slow-Train-Analysis-(2080s-and-2083s)?_g=(refreshInterval:(display:Off,section:0,value:0),time:(from:'2016-12-22 00:46:44-700',mode:absolute,to:'2016-12-22 03:45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3" s="52" t="str">
        <f t="shared" si="116"/>
        <v>N</v>
      </c>
      <c r="X223" s="177" t="e">
        <f t="shared" si="122"/>
        <v>#VALUE!</v>
      </c>
      <c r="Y223" s="67">
        <f t="shared" si="117"/>
        <v>6.7466999999999997</v>
      </c>
      <c r="Z223" s="67">
        <f t="shared" si="118"/>
        <v>12.826599999999999</v>
      </c>
      <c r="AA223" s="67">
        <f t="shared" si="119"/>
        <v>6.0798999999999994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120"/>
        <v>51-21</v>
      </c>
      <c r="AE223" s="91" t="str">
        <f t="shared" si="124"/>
        <v>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 &amp; 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</v>
      </c>
      <c r="AF223" s="88" t="str">
        <f t="shared" si="125"/>
        <v>"C:\Program Files (x86)\AstroGrep\AstroGrep.exe" /spath="%USERPROFILE%\AppData\Local\Temp\OnboardLogs" /stypes="app*4042*20161222*" /stext=" 09:.+((SYSTEM_STATE.+slice.+state.+changed )|(ment ac)|(multiple cpu faults)|(system.+state.+changed )|(\[timeout)|(PRM\|1\|D)|(kpr)|(kdp)|(\|lc)|(penalty))" /e /r /s</v>
      </c>
      <c r="AG223" s="1" t="str">
        <f t="shared" si="121"/>
        <v>Other</v>
      </c>
      <c r="AH223" s="92" t="str">
        <f t="shared" si="126"/>
        <v>"%USERPROFILE%\Documents\GitHub\eaglep3\Utilities\RefineRTDCRunTimes.py" --tripid 51-21 --locoid 4042 --swversion DE.1.0.8.0 --startMP 204:67467 --initTime 2016-12-22T01:46:44 --startdatetime 2016-12-22T02:38:24 --delay 1 --endMP 204:128266 --enddatetime 2016-12-22T02:45:31 --enforcementcount 0 &gt;&gt;C:\Users\stu\Documents\GitHub\eaglep3-reporting\EC\2016-12-21-refined-times.txt</v>
      </c>
      <c r="AI223" s="119" t="str">
        <f t="shared" si="127"/>
        <v>echo {"issue":{"subject":"","project_id":79,"tracker_id":40,"status_id":1,"priority_id":2,"assigned_to_id":23,"start_date":"2016-12-22","description":"","custom_fields":[{"id":1,"name":"Subdivision","value":"Other"},{"id":4,"name":"Milepost","value":"12.8266"},{"id":17,"name":"Train ID","value":"51-21"},{"id":16,"name":"Locomotive ID","value":"4042"},{"id":130,"name":"Impact","value":""},{"id":150,"name":"Time of Event (Mountain Time)","value":"02:45:31"},{"id":151,"name":"Denver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664</v>
      </c>
      <c r="B224" s="7">
        <v>4042</v>
      </c>
      <c r="C224" s="22" t="s">
        <v>205</v>
      </c>
      <c r="D224" s="22" t="s">
        <v>751</v>
      </c>
      <c r="E224" s="13">
        <v>42726.104143518518</v>
      </c>
      <c r="F224" s="13">
        <v>42726.11</v>
      </c>
      <c r="G224" s="7">
        <v>1</v>
      </c>
      <c r="H224" s="22" t="s">
        <v>752</v>
      </c>
      <c r="I224" s="13">
        <v>42726.114942129629</v>
      </c>
      <c r="J224" s="7">
        <v>0</v>
      </c>
      <c r="K224" s="109" t="str">
        <f t="shared" ref="K224:K235" si="128">IF(ISEVEN(B224),(B224-1)&amp;"/"&amp;B224,B224&amp;"/"&amp;(B224+1))</f>
        <v>4041/4042</v>
      </c>
      <c r="L224" s="22" t="str">
        <f>VLOOKUP(A224,'Trips&amp;Operators'!$C$1:$G$99999,5,FALSE)</f>
        <v>PERKINS DARREN</v>
      </c>
      <c r="M224" s="6">
        <f t="shared" ref="M224:M235" si="129">I224-F224</f>
        <v>4.9421296280343086E-3</v>
      </c>
      <c r="N224" s="7">
        <f t="shared" ref="N224:N235" si="130">24*60*SUM($M224:$M224)</f>
        <v>7.1166666643694043</v>
      </c>
      <c r="O224" s="7"/>
      <c r="P224" s="7"/>
      <c r="Q224" s="23"/>
      <c r="R224" s="23"/>
      <c r="S224" s="35">
        <f t="shared" ref="S224:S235" si="131">SUM(U224:U224)/IF(AG224="EC",12,1)</f>
        <v>0</v>
      </c>
      <c r="T224" s="50" t="e">
        <f t="shared" ref="T224:T235" si="132">IF(ISEVEN(LEFT(AD224,4)),"Southbound","NorthBound")</f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https://search-rtdc-monitor-bjffxe2xuh6vdkpspy63sjmuny.us-east-1.es.amazonaws.com/_plugin/kibana/#/discover/Steve-Slow-Train-Analysis-(2080s-and-2083s)?_g=(refreshInterval:(display:Off,section:0,value:0),time:(from:'2016-12-22 01:29:58-700',mode:absolute,to:'2016-12-22 03:45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4" s="52" t="str">
        <f t="shared" ref="W224:W235" si="133">IF(AA224&lt;IF(AG224="EC",23,5.65),"Y","N")</f>
        <v>N</v>
      </c>
      <c r="X224" s="177" t="e">
        <f t="shared" si="122"/>
        <v>#VALUE!</v>
      </c>
      <c r="Y224" s="67">
        <f t="shared" ref="Y224:Y235" si="134">RIGHT(D224,LEN(D224)-4)/10000</f>
        <v>6.7709999999999999</v>
      </c>
      <c r="Z224" s="67">
        <f t="shared" ref="Z224:Z235" si="135">RIGHT(H224,LEN(H224)-4)/10000</f>
        <v>12.831200000000001</v>
      </c>
      <c r="AA224" s="67">
        <f t="shared" ref="AA224:AA255" si="136">ABS(Z224-Y224)</f>
        <v>6.0602000000000009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ref="AD224:AD235" si="137">IF(LEN(A224)=6,"0"&amp;A224,A224)</f>
        <v>51-21</v>
      </c>
      <c r="AE224" s="91" t="str">
        <f t="shared" si="124"/>
        <v>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 &amp; 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</v>
      </c>
      <c r="AF224" s="88" t="str">
        <f t="shared" si="125"/>
        <v>"C:\Program Files (x86)\AstroGrep\AstroGrep.exe" /spath="%USERPROFILE%\AppData\Local\Temp\OnboardLogs" /stypes="app*4042*20161222*" /stext=" 09:.+((SYSTEM_STATE.+slice.+state.+changed )|(ment ac)|(multiple cpu faults)|(system.+state.+changed )|(\[timeout)|(PRM\|1\|D)|(kpr)|(kdp)|(\|lc)|(penalty))" /e /r /s</v>
      </c>
      <c r="AG224" s="1" t="str">
        <f t="shared" ref="AG224:AG235" si="138">IFERROR(IF(VALUE(LEFT(AD224,2))&lt;=2,"EC",IF(OR(VALUE(LEFT(AD224,2))=8,VALUE(LEFT(AD224,2))=18),"NW","Other")),"Other")</f>
        <v>Other</v>
      </c>
      <c r="AH224" s="92" t="str">
        <f t="shared" si="126"/>
        <v>"%USERPROFILE%\Documents\GitHub\eaglep3\Utilities\RefineRTDCRunTimes.py" --tripid 51-21 --locoid 4042 --swversion DE.1.0.8.0 --startMP 204:67710 --initTime 2016-12-22T02:29:58 --startdatetime 2016-12-22T02:38:24 --delay 1 --endMP 204:128312 --enddatetime 2016-12-22T02:45:31 --enforcementcount 0 &gt;&gt;C:\Users\stu\Documents\GitHub\eaglep3-reporting\EC\2016-12-21-refined-times.txt</v>
      </c>
      <c r="AI224" s="119" t="str">
        <f t="shared" si="127"/>
        <v>echo {"issue":{"subject":"","project_id":79,"tracker_id":40,"status_id":1,"priority_id":2,"assigned_to_id":23,"start_date":"2016-12-22","description":"","custom_fields":[{"id":1,"name":"Subdivision","value":"Other"},{"id":4,"name":"Milepost","value":"12.8312"},{"id":17,"name":"Train ID","value":"51-21"},{"id":16,"name":"Locomotive ID","value":"4042"},{"id":130,"name":"Impact","value":""},{"id":150,"name":"Time of Event (Mountain Time)","value":"02:45:31"},{"id":151,"name":"Denver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658</v>
      </c>
      <c r="B225" s="7">
        <v>4041</v>
      </c>
      <c r="C225" s="22" t="s">
        <v>205</v>
      </c>
      <c r="D225" s="22" t="s">
        <v>753</v>
      </c>
      <c r="E225" s="13">
        <v>42726.085879629631</v>
      </c>
      <c r="F225" s="13">
        <v>25568.708333333332</v>
      </c>
      <c r="G225" s="7">
        <v>1</v>
      </c>
      <c r="H225" s="22" t="s">
        <v>754</v>
      </c>
      <c r="I225" s="13">
        <v>25568.708333333332</v>
      </c>
      <c r="J225" s="7">
        <v>0</v>
      </c>
      <c r="K225" s="109" t="str">
        <f t="shared" si="128"/>
        <v>4041/4042</v>
      </c>
      <c r="L225" s="22" t="str">
        <f>VLOOKUP(A225,'Trips&amp;Operators'!$C$1:$G$99999,5,FALSE)</f>
        <v>PERKINS DARREN</v>
      </c>
      <c r="M225" s="6">
        <f t="shared" si="129"/>
        <v>0</v>
      </c>
      <c r="N225" s="7">
        <f t="shared" si="130"/>
        <v>0</v>
      </c>
      <c r="O225" s="7"/>
      <c r="P225" s="7"/>
      <c r="Q225" s="23"/>
      <c r="R225" s="23"/>
      <c r="S225" s="35">
        <f t="shared" si="131"/>
        <v>0</v>
      </c>
      <c r="T225" s="50" t="e">
        <f t="shared" si="132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https://search-rtdc-monitor-bjffxe2xuh6vdkpspy63sjmuny.us-east-1.es.amazonaws.com/_plugin/kibana/#/discover/Steve-Slow-Train-Analysis-(2080s-and-2083s)?_g=(refreshInterval:(display:Off,section:0,value:0),time:(from:'2016-12-22 01:03:40-700',mode:absolute,to:'1969-12-31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5" s="52" t="str">
        <f t="shared" si="133"/>
        <v>N</v>
      </c>
      <c r="X225" s="177" t="e">
        <f t="shared" si="122"/>
        <v>#VALUE!</v>
      </c>
      <c r="Y225" s="67">
        <f t="shared" si="134"/>
        <v>12.799899999999999</v>
      </c>
      <c r="Z225" s="67">
        <f t="shared" si="135"/>
        <v>7.0053999999999998</v>
      </c>
      <c r="AA225" s="67">
        <f t="shared" si="136"/>
        <v>5.7944999999999993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137"/>
        <v>52-21</v>
      </c>
      <c r="AE225" s="91" t="str">
        <f t="shared" si="124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25" s="88" t="str">
        <f t="shared" si="125"/>
        <v>"C:\Program Files (x86)\AstroGrep\AstroGrep.exe" /spath="%USERPROFILE%\AppData\Local\Temp\OnboardLogs" /stypes="app*4041*19700101*" /stext=" 00:.+((SYSTEM_STATE.+slice.+state.+changed )|(ment ac)|(multiple cpu faults)|(system.+state.+changed )|(\[timeout)|(PRM\|1\|D)|(kpr)|(kdp)|(\|lc)|(penalty))" /e /r /s</v>
      </c>
      <c r="AG225" s="1" t="str">
        <f t="shared" si="138"/>
        <v>Other</v>
      </c>
      <c r="AH225" s="92" t="str">
        <f t="shared" si="126"/>
        <v>"%USERPROFILE%\Documents\GitHub\eaglep3\Utilities\RefineRTDCRunTimes.py" --tripid 52-21 --locoid 4041 --swversion DE.1.0.8.0 --startMP 204:127999 --initTime 2016-12-22T02:03:40 --startdatetime 1969-12-31T17:00:00 --delay 1 --endMP 204:70054 --enddatetime 1969-12-31T17:00:00 --enforcementcount 0 &gt;&gt;C:\Users\stu\Documents\GitHub\eaglep3-reporting\EC\2016-12-21-refined-times.txt</v>
      </c>
      <c r="AI225" s="119" t="str">
        <f t="shared" si="127"/>
        <v>echo {"issue":{"subject":"","project_id":79,"tracker_id":40,"status_id":1,"priority_id":2,"assigned_to_id":23,"start_date":"1969-12-31","description":"","custom_fields":[{"id":1,"name":"Subdivision","value":"Other"},{"id":4,"name":"Milepost","value":"7.0054"},{"id":17,"name":"Train ID","value":"52-21"},{"id":16,"name":"Locomotive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658</v>
      </c>
      <c r="B226" s="7">
        <v>4041</v>
      </c>
      <c r="C226" s="22" t="s">
        <v>205</v>
      </c>
      <c r="D226" s="22" t="s">
        <v>393</v>
      </c>
      <c r="E226" s="13">
        <v>42726.038414351853</v>
      </c>
      <c r="F226" s="13">
        <v>42726.092060185183</v>
      </c>
      <c r="G226" s="7">
        <v>5</v>
      </c>
      <c r="H226" s="22" t="s">
        <v>755</v>
      </c>
      <c r="I226" s="13">
        <v>42726.097870370373</v>
      </c>
      <c r="J226" s="7">
        <v>0</v>
      </c>
      <c r="K226" s="109" t="str">
        <f t="shared" si="128"/>
        <v>4041/4042</v>
      </c>
      <c r="L226" s="22" t="str">
        <f>VLOOKUP(A226,'Trips&amp;Operators'!$C$1:$G$99999,5,FALSE)</f>
        <v>PERKINS DARREN</v>
      </c>
      <c r="M226" s="6">
        <f t="shared" si="129"/>
        <v>5.810185190057382E-3</v>
      </c>
      <c r="N226" s="7">
        <f t="shared" si="130"/>
        <v>8.3666666736826301</v>
      </c>
      <c r="O226" s="7"/>
      <c r="P226" s="7"/>
      <c r="Q226" s="23"/>
      <c r="R226" s="23"/>
      <c r="S226" s="35">
        <f t="shared" si="131"/>
        <v>0</v>
      </c>
      <c r="T226" s="50" t="e">
        <f t="shared" si="132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23:55:19-700',mode:absolute,to:'2016-12-22 03:20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6" s="52" t="str">
        <f t="shared" si="133"/>
        <v>N</v>
      </c>
      <c r="X226" s="177" t="e">
        <f t="shared" si="122"/>
        <v>#VALUE!</v>
      </c>
      <c r="Y226" s="67">
        <f t="shared" si="134"/>
        <v>23.302499999999998</v>
      </c>
      <c r="Z226" s="67">
        <f t="shared" si="135"/>
        <v>6.7137000000000002</v>
      </c>
      <c r="AA226" s="67">
        <f t="shared" si="136"/>
        <v>16.588799999999999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137"/>
        <v>52-21</v>
      </c>
      <c r="AE226" s="91" t="str">
        <f t="shared" si="124"/>
        <v>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 &amp; 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</v>
      </c>
      <c r="AF226" s="88" t="str">
        <f t="shared" si="125"/>
        <v>"C:\Program Files (x86)\AstroGrep\AstroGrep.exe" /spath="%USERPROFILE%\AppData\Local\Temp\OnboardLogs" /stypes="app*4041*20161222*" /stext=" 09:.+((SYSTEM_STATE.+slice.+state.+changed )|(ment ac)|(multiple cpu faults)|(system.+state.+changed )|(\[timeout)|(PRM\|1\|D)|(kpr)|(kdp)|(\|lc)|(penalty))" /e /r /s</v>
      </c>
      <c r="AG226" s="1" t="str">
        <f t="shared" si="138"/>
        <v>Other</v>
      </c>
      <c r="AH226" s="92" t="str">
        <f t="shared" si="126"/>
        <v>"%USERPROFILE%\Documents\GitHub\eaglep3\Utilities\RefineRTDCRunTimes.py" --tripid 52-21 --locoid 4041 --swversion DE.1.0.8.0 --startMP 204:233025 --initTime 2016-12-22T00:55:19 --startdatetime 2016-12-22T02:12:34 --delay 5 --endMP 204:67137 --enddatetime 2016-12-22T02:20:56 --enforcementcount 0 &gt;&gt;C:\Users\stu\Documents\GitHub\eaglep3-reporting\EC\2016-12-21-refined-times.txt</v>
      </c>
      <c r="AI226" s="119" t="str">
        <f t="shared" si="127"/>
        <v>echo {"issue":{"subject":"","project_id":79,"tracker_id":40,"status_id":1,"priority_id":2,"assigned_to_id":23,"start_date":"2016-12-22","description":"","custom_fields":[{"id":1,"name":"Subdivision","value":"Other"},{"id":4,"name":"Milepost","value":"6.7137"},{"id":17,"name":"Train ID","value":"52-21"},{"id":16,"name":"Locomotive ID","value":"4041"},{"id":130,"name":"Impact","value":""},{"id":150,"name":"Time of Event (Mountain Time)","value":"02:20:56"},{"id":151,"name":"Denver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616</v>
      </c>
      <c r="B227" s="7">
        <v>4012</v>
      </c>
      <c r="C227" s="22" t="s">
        <v>205</v>
      </c>
      <c r="D227" s="22" t="s">
        <v>756</v>
      </c>
      <c r="E227" s="13">
        <v>42725.739675925928</v>
      </c>
      <c r="F227" s="13">
        <v>42725.745023148149</v>
      </c>
      <c r="G227" s="7">
        <v>7</v>
      </c>
      <c r="H227" s="22" t="s">
        <v>757</v>
      </c>
      <c r="I227" s="13">
        <v>42725.751435185186</v>
      </c>
      <c r="J227" s="7">
        <v>0</v>
      </c>
      <c r="K227" s="109" t="str">
        <f t="shared" si="128"/>
        <v>4011/4012</v>
      </c>
      <c r="L227" s="22" t="str">
        <f>VLOOKUP(A227,'Trips&amp;Operators'!$C$1:$G$99999,5,FALSE)</f>
        <v>BROWN JACOB</v>
      </c>
      <c r="M227" s="6">
        <f t="shared" si="129"/>
        <v>6.4120370370801538E-3</v>
      </c>
      <c r="N227" s="7">
        <f t="shared" si="130"/>
        <v>9.2333333333954215</v>
      </c>
      <c r="O227" s="7"/>
      <c r="P227" s="7"/>
      <c r="Q227" s="23"/>
      <c r="R227" s="23"/>
      <c r="S227" s="35">
        <f t="shared" si="131"/>
        <v>0</v>
      </c>
      <c r="T227" s="50" t="e">
        <f t="shared" si="132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16:45:08-700',mode:absolute,to:'2016-12-21 19:02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7" s="52" t="str">
        <f t="shared" si="133"/>
        <v>Y</v>
      </c>
      <c r="X227" s="177" t="e">
        <f t="shared" si="122"/>
        <v>#VALUE!</v>
      </c>
      <c r="Y227" s="67">
        <f t="shared" si="134"/>
        <v>2.1783999999999999</v>
      </c>
      <c r="Z227" s="67">
        <f t="shared" si="135"/>
        <v>1.37E-2</v>
      </c>
      <c r="AA227" s="67">
        <f t="shared" si="136"/>
        <v>2.1646999999999998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137"/>
        <v>54-21</v>
      </c>
      <c r="AE227" s="91" t="str">
        <f t="shared" si="124"/>
        <v>aws s3 cp s3://rtdc.mdm.uploadarchive.raw/RTDC4012/ "%USERPROFILE%\AppData\Local\Temp\OnboardLogs"\RTDC4012\2016-12-21 --exclude "*" --recursive --include "*20161221*" &amp; "%USERPROFILE%\Documents\GitHub\mrs-test-scripts\Headless Mode &amp; Sideloading\WalkAndUnGZ.bat" "%USERPROFILE%\AppData\Local\Temp\OnboardLogs"\RTDC4012\2016-12-21 &amp; aws s3 cp s3://rtdc.mdm.uploadarchive.raw/RTDC4012/ "%USERPROFILE%\AppData\Local\Temp\OnboardLogs"\RTDC4012\2016-12-22 --exclude "*" --recursive --include "*20161222*" &amp; "%USERPROFILE%\Documents\GitHub\mrs-test-scripts\Headless Mode &amp; Sideloading\WalkAndUnGZ.bat" "%USERPROFILE%\AppData\Local\Temp\OnboardLogs"\RTDC4012\2016-12-22</v>
      </c>
      <c r="AF227" s="88" t="str">
        <f t="shared" si="125"/>
        <v>"C:\Program Files (x86)\AstroGrep\AstroGrep.exe" /spath="%USERPROFILE%\AppData\Local\Temp\OnboardLogs" /stypes="app*4012*20161222*" /stext=" 01:.+((SYSTEM_STATE.+slice.+state.+changed )|(ment ac)|(multiple cpu faults)|(system.+state.+changed )|(\[timeout)|(PRM\|1\|D)|(kpr)|(kdp)|(\|lc)|(penalty))" /e /r /s</v>
      </c>
      <c r="AG227" s="1" t="str">
        <f t="shared" si="138"/>
        <v>Other</v>
      </c>
      <c r="AH227" s="92" t="str">
        <f t="shared" si="126"/>
        <v>"%USERPROFILE%\Documents\GitHub\eaglep3\Utilities\RefineRTDCRunTimes.py" --tripid 54-21 --locoid 4012 --swversion DE.1.0.8.0 --startMP 300:21784 --initTime 2016-12-21T17:45:08 --startdatetime 2016-12-21T17:52:50 --delay 7 --endMP 204:137 --enddatetime 2016-12-21T18:02:04 --enforcementcount 0 &gt;&gt;C:\Users\stu\Documents\GitHub\eaglep3-reporting\EC\2016-12-21-refined-times.txt</v>
      </c>
      <c r="AI227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{"issue":{"subject":"","project_id":79,"tracker_id":40,"status_id":1,"priority_id":2,"assigned_to_id":23,"start_date":"2016-12-21","description":"","custom_fields":[{"id":1,"name":"Subdivision","value":"Other"},{"id":4,"name":"Milepost","value":"0.0137"},{"id":17,"name":"Train ID","value":"54-21"},{"id":16,"name":"Locomotive ID","value":"4012"},{"id":130,"name":"Impact","value":""},{"id":150,"name":"Time of Event (Mountain Time)","value":"18:02:04"},{"id":151,"name":"Denver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622</v>
      </c>
      <c r="B228" s="7">
        <v>4030</v>
      </c>
      <c r="C228" s="22" t="s">
        <v>205</v>
      </c>
      <c r="D228" s="22" t="s">
        <v>758</v>
      </c>
      <c r="E228" s="13">
        <v>42725.75445601852</v>
      </c>
      <c r="F228" s="13">
        <v>42725.756504629629</v>
      </c>
      <c r="G228" s="7">
        <v>2</v>
      </c>
      <c r="H228" s="22" t="s">
        <v>409</v>
      </c>
      <c r="I228" s="13">
        <v>42725.762048611112</v>
      </c>
      <c r="J228" s="7">
        <v>0</v>
      </c>
      <c r="K228" s="109" t="str">
        <f t="shared" si="128"/>
        <v>4029/4030</v>
      </c>
      <c r="L228" s="22" t="str">
        <f>VLOOKUP(A228,'Trips&amp;Operators'!$C$1:$G$99999,5,FALSE)</f>
        <v>LALONDE GREGORY</v>
      </c>
      <c r="M228" s="6">
        <f t="shared" si="129"/>
        <v>5.543981482333038E-3</v>
      </c>
      <c r="N228" s="7">
        <f t="shared" si="130"/>
        <v>7.9833333345595747</v>
      </c>
      <c r="O228" s="7"/>
      <c r="P228" s="7"/>
      <c r="Q228" s="23"/>
      <c r="R228" s="23"/>
      <c r="S228" s="35">
        <f t="shared" si="131"/>
        <v>0</v>
      </c>
      <c r="T228" s="50" t="e">
        <f t="shared" si="132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17:06:25-700',mode:absolute,to:'2016-12-21 19:17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8" s="52" t="str">
        <f t="shared" si="133"/>
        <v>Y</v>
      </c>
      <c r="X228" s="177" t="e">
        <f t="shared" si="122"/>
        <v>#VALUE!</v>
      </c>
      <c r="Y228" s="67">
        <f t="shared" si="134"/>
        <v>2.1956000000000002</v>
      </c>
      <c r="Z228" s="67">
        <f t="shared" si="135"/>
        <v>9.11E-2</v>
      </c>
      <c r="AA228" s="67">
        <f t="shared" si="136"/>
        <v>2.1045000000000003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137"/>
        <v>56-21</v>
      </c>
      <c r="AE228" s="91" t="str">
        <f t="shared" si="124"/>
        <v>aws s3 cp s3://rtdc.mdm.uploadarchive.raw/RTDC4030/ "%USERPROFILE%\AppData\Local\Temp\OnboardLogs"\RTDC4030\2016-12-21 --exclude "*" --recursive --include "*20161221*" &amp; "%USERPROFILE%\Documents\GitHub\mrs-test-scripts\Headless Mode &amp; Sideloading\WalkAndUnGZ.bat" "%USERPROFILE%\AppData\Local\Temp\OnboardLogs"\RTDC4030\2016-12-21 &amp; 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</v>
      </c>
      <c r="AF228" s="88" t="str">
        <f t="shared" si="125"/>
        <v>"C:\Program Files (x86)\AstroGrep\AstroGrep.exe" /spath="%USERPROFILE%\AppData\Local\Temp\OnboardLogs" /stypes="app*4030*20161222*" /stext=" 01:.+((SYSTEM_STATE.+slice.+state.+changed )|(ment ac)|(multiple cpu faults)|(system.+state.+changed )|(\[timeout)|(PRM\|1\|D)|(kpr)|(kdp)|(\|lc)|(penalty))" /e /r /s</v>
      </c>
      <c r="AG228" s="1" t="str">
        <f t="shared" si="138"/>
        <v>Other</v>
      </c>
      <c r="AH228" s="92" t="str">
        <f t="shared" si="126"/>
        <v>"%USERPROFILE%\Documents\GitHub\eaglep3\Utilities\RefineRTDCRunTimes.py" --tripid 56-21 --locoid 4030 --swversion DE.1.0.8.0 --startMP 300:21956 --initTime 2016-12-21T18:06:25 --startdatetime 2016-12-21T18:09:22 --delay 2 --endMP 204:911 --enddatetime 2016-12-21T18:17:21 --enforcementcount 0 &gt;&gt;C:\Users\stu\Documents\GitHub\eaglep3-reporting\EC\2016-12-21-refined-times.txt</v>
      </c>
      <c r="AI228" s="119" t="str">
        <f t="shared" si="127"/>
        <v>echo {"issue":{"subject":"","project_id":79,"tracker_id":40,"status_id":1,"priority_id":2,"assigned_to_id":23,"start_date":"2016-12-21","description":"","custom_fields":[{"id":1,"name":"Subdivision","value":"Other"},{"id":4,"name":"Milepost","value":"0.0911"},{"id":17,"name":"Train ID","value":"56-21"},{"id":16,"name":"Locomotive ID","value":"4030"},{"id":130,"name":"Impact","value":""},{"id":150,"name":"Time of Event (Mountain Time)","value":"18:17:21"},{"id":151,"name":"Denver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657</v>
      </c>
      <c r="B229" s="7">
        <v>4030</v>
      </c>
      <c r="C229" s="22" t="s">
        <v>205</v>
      </c>
      <c r="D229" s="22" t="s">
        <v>759</v>
      </c>
      <c r="E229" s="13">
        <v>42726.077638888892</v>
      </c>
      <c r="F229" s="13">
        <v>42726.11582175926</v>
      </c>
      <c r="G229" s="7">
        <v>1</v>
      </c>
      <c r="H229" s="22" t="s">
        <v>760</v>
      </c>
      <c r="I229" s="13">
        <v>42726.121134259258</v>
      </c>
      <c r="J229" s="7">
        <v>0</v>
      </c>
      <c r="K229" s="109" t="str">
        <f t="shared" si="128"/>
        <v>4029/4030</v>
      </c>
      <c r="L229" s="22" t="str">
        <f>VLOOKUP(A229,'Trips&amp;Operators'!$C$1:$G$99999,5,FALSE)</f>
        <v>MCREYNOLDS KYLE</v>
      </c>
      <c r="M229" s="6">
        <f t="shared" si="129"/>
        <v>5.3124999976716936E-3</v>
      </c>
      <c r="N229" s="7">
        <f t="shared" si="130"/>
        <v>7.6499999966472387</v>
      </c>
      <c r="O229" s="7"/>
      <c r="P229" s="7"/>
      <c r="Q229" s="23"/>
      <c r="R229" s="23"/>
      <c r="S229" s="35">
        <f t="shared" si="131"/>
        <v>0</v>
      </c>
      <c r="T229" s="50" t="e">
        <f t="shared" si="132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https://search-rtdc-monitor-bjffxe2xuh6vdkpspy63sjmuny.us-east-1.es.amazonaws.com/_plugin/kibana/#/discover/Steve-Slow-Train-Analysis-(2080s-and-2083s)?_g=(refreshInterval:(display:Off,section:0,value:0),time:(from:'2016-12-22 00:51:48-700',mode:absolute,to:'2016-12-22 03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9" s="52" t="str">
        <f t="shared" si="133"/>
        <v>N</v>
      </c>
      <c r="X229" s="177" t="e">
        <f t="shared" si="122"/>
        <v>#VALUE!</v>
      </c>
      <c r="Y229" s="67">
        <f t="shared" si="134"/>
        <v>12.8005</v>
      </c>
      <c r="Z229" s="67">
        <f t="shared" si="135"/>
        <v>6.9409000000000001</v>
      </c>
      <c r="AA229" s="67">
        <f t="shared" si="136"/>
        <v>5.8595999999999995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137"/>
        <v>60-21</v>
      </c>
      <c r="AE229" s="91" t="str">
        <f t="shared" si="124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29" s="88" t="str">
        <f t="shared" si="125"/>
        <v>"C:\Program Files (x86)\AstroGrep\AstroGrep.exe" /spath="%USERPROFILE%\AppData\Local\Temp\OnboardLogs" /stypes="app*4030*20161222*" /stext=" 09:.+((SYSTEM_STATE.+slice.+state.+changed )|(ment ac)|(multiple cpu faults)|(system.+state.+changed )|(\[timeout)|(PRM\|1\|D)|(kpr)|(kdp)|(\|lc)|(penalty))" /e /r /s</v>
      </c>
      <c r="AG229" s="1" t="str">
        <f t="shared" si="138"/>
        <v>Other</v>
      </c>
      <c r="AH229" s="92" t="str">
        <f t="shared" si="126"/>
        <v>"%USERPROFILE%\Documents\GitHub\eaglep3\Utilities\RefineRTDCRunTimes.py" --tripid 60-21 --locoid 4030 --swversion DE.1.0.8.0 --startMP 204:128005 --initTime 2016-12-22T01:51:48 --startdatetime 2016-12-22T02:46:47 --delay 1 --endMP 204:69409 --enddatetime 2016-12-22T02:54:26 --enforcementcount 0 &gt;&gt;C:\Users\stu\Documents\GitHub\eaglep3-reporting\EC\2016-12-21-refined-times.txt</v>
      </c>
      <c r="AI229" s="119" t="str">
        <f t="shared" si="127"/>
        <v>echo {"issue":{"subject":"","project_id":79,"tracker_id":40,"status_id":1,"priority_id":2,"assigned_to_id":23,"start_date":"2016-12-22","description":"","custom_fields":[{"id":1,"name":"Subdivision","value":"Other"},{"id":4,"name":"Milepost","value":"6.9409"},{"id":17,"name":"Train ID","value":"60-21"},{"id":16,"name":"Locomotive ID","value":"4030"},{"id":130,"name":"Impact","value":""},{"id":150,"name":"Time of Event (Mountain Time)","value":"02:54:26"},{"id":151,"name":"Denver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657</v>
      </c>
      <c r="B230" s="7">
        <v>4030</v>
      </c>
      <c r="C230" s="22" t="s">
        <v>205</v>
      </c>
      <c r="D230" s="22" t="s">
        <v>761</v>
      </c>
      <c r="E230" s="13">
        <v>42726.111481481479</v>
      </c>
      <c r="F230" s="13">
        <v>42726.11582175926</v>
      </c>
      <c r="G230" s="7">
        <v>1</v>
      </c>
      <c r="H230" s="22" t="s">
        <v>762</v>
      </c>
      <c r="I230" s="13">
        <v>42726.121134259258</v>
      </c>
      <c r="J230" s="7">
        <v>0</v>
      </c>
      <c r="K230" s="109" t="str">
        <f t="shared" si="128"/>
        <v>4029/4030</v>
      </c>
      <c r="L230" s="22" t="str">
        <f>VLOOKUP(A230,'Trips&amp;Operators'!$C$1:$G$99999,5,FALSE)</f>
        <v>MCREYNOLDS KYLE</v>
      </c>
      <c r="M230" s="6">
        <f t="shared" si="129"/>
        <v>5.3124999976716936E-3</v>
      </c>
      <c r="N230" s="7">
        <f t="shared" si="130"/>
        <v>7.6499999966472387</v>
      </c>
      <c r="O230" s="7"/>
      <c r="P230" s="7"/>
      <c r="Q230" s="23"/>
      <c r="R230" s="23"/>
      <c r="S230" s="35">
        <f t="shared" si="131"/>
        <v>0</v>
      </c>
      <c r="T230" s="50" t="e">
        <f t="shared" si="132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https://search-rtdc-monitor-bjffxe2xuh6vdkpspy63sjmuny.us-east-1.es.amazonaws.com/_plugin/kibana/#/discover/Steve-Slow-Train-Analysis-(2080s-and-2083s)?_g=(refreshInterval:(display:Off,section:0,value:0),time:(from:'2016-12-22 01:40:32-700',mode:absolute,to:'2016-12-22 03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0" s="52" t="str">
        <f t="shared" si="133"/>
        <v>Y</v>
      </c>
      <c r="X230" s="177" t="e">
        <f t="shared" si="122"/>
        <v>#VALUE!</v>
      </c>
      <c r="Y230" s="67">
        <f t="shared" si="134"/>
        <v>12.804399999999999</v>
      </c>
      <c r="Z230" s="67">
        <f t="shared" si="135"/>
        <v>7.2392000000000003</v>
      </c>
      <c r="AA230" s="67">
        <f t="shared" si="136"/>
        <v>5.565199999999999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137"/>
        <v>60-21</v>
      </c>
      <c r="AE230" s="91" t="str">
        <f t="shared" si="124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30" s="88" t="str">
        <f t="shared" si="125"/>
        <v>"C:\Program Files (x86)\AstroGrep\AstroGrep.exe" /spath="%USERPROFILE%\AppData\Local\Temp\OnboardLogs" /stypes="app*4030*20161222*" /stext=" 09:.+((SYSTEM_STATE.+slice.+state.+changed )|(ment ac)|(multiple cpu faults)|(system.+state.+changed )|(\[timeout)|(PRM\|1\|D)|(kpr)|(kdp)|(\|lc)|(penalty))" /e /r /s</v>
      </c>
      <c r="AG230" s="1" t="str">
        <f t="shared" si="138"/>
        <v>Other</v>
      </c>
      <c r="AH230" s="92" t="str">
        <f t="shared" si="126"/>
        <v>"%USERPROFILE%\Documents\GitHub\eaglep3\Utilities\RefineRTDCRunTimes.py" --tripid 60-21 --locoid 4030 --swversion DE.1.0.8.0 --startMP 204:128044 --initTime 2016-12-22T02:40:32 --startdatetime 2016-12-22T02:46:47 --delay 1 --endMP 204:72392 --enddatetime 2016-12-22T02:54:26 --enforcementcount 0 &gt;&gt;C:\Users\stu\Documents\GitHub\eaglep3-reporting\EC\2016-12-21-refined-times.txt</v>
      </c>
      <c r="AI230" s="119" t="str">
        <f t="shared" si="127"/>
        <v>echo {"issue":{"subject":"","project_id":79,"tracker_id":40,"status_id":1,"priority_id":2,"assigned_to_id":23,"start_date":"2016-12-22","description":"","custom_fields":[{"id":1,"name":"Subdivision","value":"Other"},{"id":4,"name":"Milepost","value":"7.2392"},{"id":17,"name":"Train ID","value":"60-21"},{"id":16,"name":"Locomotive ID","value":"4030"},{"id":130,"name":"Impact","value":""},{"id":150,"name":"Time of Event (Mountain Time)","value":"02:54:26"},{"id":151,"name":"Denver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657</v>
      </c>
      <c r="B231" s="7">
        <v>4030</v>
      </c>
      <c r="C231" s="22" t="s">
        <v>205</v>
      </c>
      <c r="D231" s="22" t="s">
        <v>763</v>
      </c>
      <c r="E231" s="13">
        <v>42726.038993055554</v>
      </c>
      <c r="F231" s="13">
        <v>42726.087083333332</v>
      </c>
      <c r="G231" s="7">
        <v>2</v>
      </c>
      <c r="H231" s="22" t="s">
        <v>764</v>
      </c>
      <c r="I231" s="13">
        <v>42726.092453703706</v>
      </c>
      <c r="J231" s="7">
        <v>0</v>
      </c>
      <c r="K231" s="109" t="str">
        <f t="shared" si="128"/>
        <v>4029/4030</v>
      </c>
      <c r="L231" s="22" t="str">
        <f>VLOOKUP(A231,'Trips&amp;Operators'!$C$1:$G$99999,5,FALSE)</f>
        <v>MCREYNOLDS KYLE</v>
      </c>
      <c r="M231" s="6">
        <f t="shared" si="129"/>
        <v>5.3703703742939979E-3</v>
      </c>
      <c r="N231" s="7">
        <f t="shared" si="130"/>
        <v>7.733333338983357</v>
      </c>
      <c r="O231" s="7"/>
      <c r="P231" s="7"/>
      <c r="Q231" s="23"/>
      <c r="R231" s="23"/>
      <c r="S231" s="35">
        <f t="shared" si="131"/>
        <v>0</v>
      </c>
      <c r="T231" s="50" t="e">
        <f t="shared" si="132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23:56:09-700',mode:absolute,to:'2016-12-22 03:13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1" s="52" t="str">
        <f t="shared" si="133"/>
        <v>N</v>
      </c>
      <c r="X231" s="177" t="e">
        <f t="shared" si="122"/>
        <v>#VALUE!</v>
      </c>
      <c r="Y231" s="67">
        <f t="shared" si="134"/>
        <v>23.270399999999999</v>
      </c>
      <c r="Z231" s="67">
        <f t="shared" si="135"/>
        <v>6.7455999999999996</v>
      </c>
      <c r="AA231" s="67">
        <f t="shared" si="136"/>
        <v>16.524799999999999</v>
      </c>
      <c r="AB231" s="64" t="e">
        <f>VLOOKUP(A231,Enforcements!$C$7:$K$19,8,0)</f>
        <v>#N/A</v>
      </c>
      <c r="AC231" s="60" t="e">
        <f>VLOOKUP(A231,Enforcements!$C$7:$E$19,3,0)</f>
        <v>#N/A</v>
      </c>
      <c r="AD231" s="61" t="str">
        <f t="shared" si="137"/>
        <v>60-21</v>
      </c>
      <c r="AE231" s="91" t="str">
        <f t="shared" si="124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31" s="88" t="str">
        <f t="shared" si="125"/>
        <v>"C:\Program Files (x86)\AstroGrep\AstroGrep.exe" /spath="%USERPROFILE%\AppData\Local\Temp\OnboardLogs" /stypes="app*4030*20161222*" /stext=" 09:.+((SYSTEM_STATE.+slice.+state.+changed )|(ment ac)|(multiple cpu faults)|(system.+state.+changed )|(\[timeout)|(PRM\|1\|D)|(kpr)|(kdp)|(\|lc)|(penalty))" /e /r /s</v>
      </c>
      <c r="AG231" s="1" t="str">
        <f t="shared" si="138"/>
        <v>Other</v>
      </c>
      <c r="AH231" s="92" t="str">
        <f t="shared" si="126"/>
        <v>"%USERPROFILE%\Documents\GitHub\eaglep3\Utilities\RefineRTDCRunTimes.py" --tripid 60-21 --locoid 4030 --swversion DE.1.0.8.0 --startMP 204:232704 --initTime 2016-12-22T00:56:09 --startdatetime 2016-12-22T02:05:24 --delay 2 --endMP 204:67456 --enddatetime 2016-12-22T02:13:08 --enforcementcount 0 &gt;&gt;C:\Users\stu\Documents\GitHub\eaglep3-reporting\EC\2016-12-21-refined-times.txt</v>
      </c>
      <c r="AI231" s="119" t="str">
        <f t="shared" si="127"/>
        <v>echo {"issue":{"subject":"","project_id":79,"tracker_id":40,"status_id":1,"priority_id":2,"assigned_to_id":23,"start_date":"2016-12-22","description":"","custom_fields":[{"id":1,"name":"Subdivision","value":"Other"},{"id":4,"name":"Milepost","value":"6.7456"},{"id":17,"name":"Train ID","value":"60-21"},{"id":16,"name":"Locomotive ID","value":"4030"},{"id":130,"name":"Impact","value":""},{"id":150,"name":"Time of Event (Mountain Time)","value":"02:13:08"},{"id":151,"name":"Denver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663</v>
      </c>
      <c r="B232" s="7">
        <v>4029</v>
      </c>
      <c r="C232" s="22" t="s">
        <v>205</v>
      </c>
      <c r="D232" s="22" t="s">
        <v>765</v>
      </c>
      <c r="E232" s="13">
        <v>42726.067291666666</v>
      </c>
      <c r="F232" s="13">
        <v>42726.069444444445</v>
      </c>
      <c r="G232" s="7">
        <v>1</v>
      </c>
      <c r="H232" s="22" t="s">
        <v>766</v>
      </c>
      <c r="I232" s="13">
        <v>42726.076215277775</v>
      </c>
      <c r="J232" s="7">
        <v>0</v>
      </c>
      <c r="K232" s="109" t="str">
        <f t="shared" si="128"/>
        <v>4029/4030</v>
      </c>
      <c r="L232" s="22" t="str">
        <f>VLOOKUP(A232,'Trips&amp;Operators'!$C$1:$G$99999,5,FALSE)</f>
        <v>MCREYNOLDS KYLE</v>
      </c>
      <c r="M232" s="6">
        <f t="shared" si="129"/>
        <v>6.7708333299378864E-3</v>
      </c>
      <c r="N232" s="7">
        <f t="shared" si="130"/>
        <v>9.7499999951105565</v>
      </c>
      <c r="O232" s="7"/>
      <c r="P232" s="7"/>
      <c r="Q232" s="23"/>
      <c r="R232" s="23"/>
      <c r="S232" s="35">
        <f t="shared" si="131"/>
        <v>0</v>
      </c>
      <c r="T232" s="50" t="e">
        <f t="shared" si="132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https://search-rtdc-monitor-bjffxe2xuh6vdkpspy63sjmuny.us-east-1.es.amazonaws.com/_plugin/kibana/#/discover/Steve-Slow-Train-Analysis-(2080s-and-2083s)?_g=(refreshInterval:(display:Off,section:0,value:0),time:(from:'2016-12-22 00:36:54-700',mode:absolute,to:'2016-12-22 02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2" s="52" t="str">
        <f t="shared" si="133"/>
        <v>N</v>
      </c>
      <c r="X232" s="177" t="e">
        <f t="shared" si="122"/>
        <v>#VALUE!</v>
      </c>
      <c r="Y232" s="67">
        <f t="shared" si="134"/>
        <v>6.7782</v>
      </c>
      <c r="Z232" s="67">
        <f t="shared" si="135"/>
        <v>12.8256</v>
      </c>
      <c r="AA232" s="67">
        <f t="shared" si="136"/>
        <v>6.0473999999999997</v>
      </c>
      <c r="AB232" s="64" t="e">
        <f>VLOOKUP(A232,Enforcements!$C$7:$K$19,8,0)</f>
        <v>#N/A</v>
      </c>
      <c r="AC232" s="60" t="e">
        <f>VLOOKUP(A232,Enforcements!$C$7:$E$19,3,0)</f>
        <v>#N/A</v>
      </c>
      <c r="AD232" s="61" t="str">
        <f t="shared" si="137"/>
        <v>61-21</v>
      </c>
      <c r="AE232" s="91" t="str">
        <f t="shared" si="124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232" s="88" t="str">
        <f t="shared" si="125"/>
        <v>"C:\Program Files (x86)\AstroGrep\AstroGrep.exe" /spath="%USERPROFILE%\AppData\Local\Temp\OnboardLogs" /stypes="app*4029*20161222*" /stext=" 08:.+((SYSTEM_STATE.+slice.+state.+changed )|(ment ac)|(multiple cpu faults)|(system.+state.+changed )|(\[timeout)|(PRM\|1\|D)|(kpr)|(kdp)|(\|lc)|(penalty))" /e /r /s</v>
      </c>
      <c r="AG232" s="1" t="str">
        <f t="shared" si="138"/>
        <v>Other</v>
      </c>
      <c r="AH232" s="92" t="str">
        <f t="shared" si="126"/>
        <v>"%USERPROFILE%\Documents\GitHub\eaglep3\Utilities\RefineRTDCRunTimes.py" --tripid 61-21 --locoid 4029 --swversion DE.1.0.8.0 --startMP 204:67782 --initTime 2016-12-22T01:36:54 --startdatetime 2016-12-22T01:40:00 --delay 1 --endMP 204:128256 --enddatetime 2016-12-22T01:49:45 --enforcementcount 0 &gt;&gt;C:\Users\stu\Documents\GitHub\eaglep3-reporting\EC\2016-12-21-refined-times.txt</v>
      </c>
      <c r="AI232" s="119" t="str">
        <f t="shared" si="127"/>
        <v>echo {"issue":{"subject":"","project_id":79,"tracker_id":40,"status_id":1,"priority_id":2,"assigned_to_id":23,"start_date":"2016-12-22","description":"","custom_fields":[{"id":1,"name":"Subdivision","value":"Other"},{"id":4,"name":"Milepost","value":"12.8256"},{"id":17,"name":"Train ID","value":"61-21"},{"id":16,"name":"Locomotive ID","value":"4029"},{"id":130,"name":"Impact","value":""},{"id":150,"name":"Time of Event (Mountain Time)","value":"01:49:45"},{"id":151,"name":"Denver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663</v>
      </c>
      <c r="B233" s="7">
        <v>4029</v>
      </c>
      <c r="C233" s="22" t="s">
        <v>205</v>
      </c>
      <c r="D233" s="22" t="s">
        <v>767</v>
      </c>
      <c r="E233" s="13">
        <v>42726.101226851853</v>
      </c>
      <c r="F233" s="13">
        <v>25568.708333333332</v>
      </c>
      <c r="G233" s="7">
        <v>1</v>
      </c>
      <c r="H233" s="22" t="s">
        <v>768</v>
      </c>
      <c r="I233" s="13">
        <v>25568.708333333332</v>
      </c>
      <c r="J233" s="7">
        <v>0</v>
      </c>
      <c r="K233" s="109" t="str">
        <f t="shared" si="128"/>
        <v>4029/4030</v>
      </c>
      <c r="L233" s="22" t="str">
        <f>VLOOKUP(A233,'Trips&amp;Operators'!$C$1:$G$99999,5,FALSE)</f>
        <v>MCREYNOLDS KYLE</v>
      </c>
      <c r="M233" s="6">
        <f t="shared" si="129"/>
        <v>0</v>
      </c>
      <c r="N233" s="7">
        <f t="shared" si="130"/>
        <v>0</v>
      </c>
      <c r="O233" s="7"/>
      <c r="P233" s="7"/>
      <c r="Q233" s="23"/>
      <c r="R233" s="23"/>
      <c r="S233" s="35">
        <f t="shared" si="131"/>
        <v>0</v>
      </c>
      <c r="T233" s="50" t="e">
        <f t="shared" si="132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https://search-rtdc-monitor-bjffxe2xuh6vdkpspy63sjmuny.us-east-1.es.amazonaws.com/_plugin/kibana/#/discover/Steve-Slow-Train-Analysis-(2080s-and-2083s)?_g=(refreshInterval:(display:Off,section:0,value:0),time:(from:'2016-12-22 01:25:46-700',mode:absolute,to:'1969-12-31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3" s="52" t="str">
        <f t="shared" si="133"/>
        <v>N</v>
      </c>
      <c r="X233" s="177" t="e">
        <f t="shared" si="122"/>
        <v>#VALUE!</v>
      </c>
      <c r="Y233" s="67">
        <f t="shared" si="134"/>
        <v>6.7796000000000003</v>
      </c>
      <c r="Z233" s="67">
        <f t="shared" si="135"/>
        <v>12.830500000000001</v>
      </c>
      <c r="AA233" s="67">
        <f t="shared" si="136"/>
        <v>6.0509000000000004</v>
      </c>
      <c r="AB233" s="64" t="e">
        <f>VLOOKUP(A233,Enforcements!$C$7:$K$19,8,0)</f>
        <v>#N/A</v>
      </c>
      <c r="AC233" s="60" t="e">
        <f>VLOOKUP(A233,Enforcements!$C$7:$E$19,3,0)</f>
        <v>#N/A</v>
      </c>
      <c r="AD233" s="61" t="str">
        <f t="shared" si="137"/>
        <v>61-21</v>
      </c>
      <c r="AE233" s="91" t="str">
        <f t="shared" si="124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33" s="88" t="str">
        <f t="shared" si="125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33" s="1" t="str">
        <f t="shared" si="138"/>
        <v>Other</v>
      </c>
      <c r="AH233" s="92" t="str">
        <f t="shared" si="126"/>
        <v>"%USERPROFILE%\Documents\GitHub\eaglep3\Utilities\RefineRTDCRunTimes.py" --tripid 61-21 --locoid 4029 --swversion DE.1.0.8.0 --startMP 204:67796 --initTime 2016-12-22T02:25:46 --startdatetime 1969-12-31T17:00:00 --delay 1 --endMP 204:128305 --enddatetime 1969-12-31T17:00:00 --enforcementcount 0 &gt;&gt;C:\Users\stu\Documents\GitHub\eaglep3-reporting\EC\2016-12-21-refined-times.txt</v>
      </c>
      <c r="AI233" s="119" t="str">
        <f t="shared" si="127"/>
        <v>echo {"issue":{"subject":"","project_id":79,"tracker_id":40,"status_id":1,"priority_id":2,"assigned_to_id":23,"start_date":"1969-12-31","description":"","custom_fields":[{"id":1,"name":"Subdivision","value":"Other"},{"id":4,"name":"Milepost","value":"12.8305"},{"id":17,"name":"Train ID","value":"61-21"},{"id":16,"name":"Locomotive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630</v>
      </c>
      <c r="B234" s="7">
        <v>4011</v>
      </c>
      <c r="C234" s="22" t="s">
        <v>205</v>
      </c>
      <c r="D234" s="22" t="s">
        <v>769</v>
      </c>
      <c r="E234" s="13">
        <v>42725.771412037036</v>
      </c>
      <c r="F234" s="13">
        <v>25568.708333333332</v>
      </c>
      <c r="G234" s="7">
        <v>1</v>
      </c>
      <c r="H234" s="22" t="s">
        <v>770</v>
      </c>
      <c r="I234" s="13">
        <v>25568.708333333332</v>
      </c>
      <c r="J234" s="7">
        <v>0</v>
      </c>
      <c r="K234" s="109" t="str">
        <f t="shared" si="128"/>
        <v>4011/4012</v>
      </c>
      <c r="L234" s="22" t="str">
        <f>VLOOKUP(A234,'Trips&amp;Operators'!$C$1:$G$99999,5,FALSE)</f>
        <v>DAVIS MICHAEL</v>
      </c>
      <c r="M234" s="6">
        <f t="shared" si="129"/>
        <v>0</v>
      </c>
      <c r="N234" s="7">
        <f t="shared" si="130"/>
        <v>0</v>
      </c>
      <c r="O234" s="7"/>
      <c r="P234" s="7"/>
      <c r="Q234" s="23"/>
      <c r="R234" s="23"/>
      <c r="S234" s="35">
        <f t="shared" si="131"/>
        <v>0</v>
      </c>
      <c r="T234" s="50" t="e">
        <f t="shared" si="132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17:30:50-700',mode:absolute,to:'1969-12-31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4" s="52" t="str">
        <f t="shared" si="133"/>
        <v>Y</v>
      </c>
      <c r="X234" s="177" t="e">
        <f t="shared" si="122"/>
        <v>#VALUE!</v>
      </c>
      <c r="Y234" s="67">
        <f t="shared" si="134"/>
        <v>4.3900000000000002E-2</v>
      </c>
      <c r="Z234" s="67">
        <f t="shared" si="135"/>
        <v>2.4197000000000002</v>
      </c>
      <c r="AA234" s="67">
        <f t="shared" si="136"/>
        <v>2.3758000000000004</v>
      </c>
      <c r="AB234" s="64" t="e">
        <f>VLOOKUP(A234,Enforcements!$C$7:$K$19,8,0)</f>
        <v>#N/A</v>
      </c>
      <c r="AC234" s="60" t="e">
        <f>VLOOKUP(A234,Enforcements!$C$7:$E$19,3,0)</f>
        <v>#N/A</v>
      </c>
      <c r="AD234" s="61" t="str">
        <f t="shared" si="137"/>
        <v>63-21</v>
      </c>
      <c r="AE234" s="91" t="str">
        <f t="shared" si="124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34" s="88" t="str">
        <f t="shared" si="125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34" s="1" t="str">
        <f t="shared" si="138"/>
        <v>Other</v>
      </c>
      <c r="AH234" s="92" t="str">
        <f t="shared" si="126"/>
        <v>"%USERPROFILE%\Documents\GitHub\eaglep3\Utilities\RefineRTDCRunTimes.py" --tripid 63-21 --locoid 4011 --swversion DE.1.0.8.0 --startMP 204:439 --initTime 2016-12-21T18:30:50 --startdatetime 1969-12-31T17:00:00 --delay 1 --endMP 300:24197 --enddatetime 1969-12-31T17:00:00 --enforcementcount 0 &gt;&gt;C:\Users\stu\Documents\GitHub\eaglep3-reporting\EC\2016-12-21-refined-times.txt</v>
      </c>
      <c r="AI234" s="119" t="str">
        <f t="shared" si="127"/>
        <v>echo {"issue":{"subject":"","project_id":79,"tracker_id":40,"status_id":1,"priority_id":2,"assigned_to_id":23,"start_date":"1969-12-31","description":"","custom_fields":[{"id":1,"name":"Subdivision","value":"Other"},{"id":4,"name":"Milepost","value":"2.4197"},{"id":17,"name":"Train ID","value":"63-21"},{"id":16,"name":"Locomotive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605</v>
      </c>
      <c r="B235" s="7">
        <v>4031</v>
      </c>
      <c r="C235" s="22" t="s">
        <v>205</v>
      </c>
      <c r="D235" s="22" t="s">
        <v>771</v>
      </c>
      <c r="E235" s="13">
        <v>42725.711064814815</v>
      </c>
      <c r="F235" s="13">
        <v>25568.708333333332</v>
      </c>
      <c r="G235" s="7">
        <v>1</v>
      </c>
      <c r="H235" s="22" t="s">
        <v>411</v>
      </c>
      <c r="I235" s="13">
        <v>25568.708333333332</v>
      </c>
      <c r="J235" s="7">
        <v>0</v>
      </c>
      <c r="K235" s="109" t="str">
        <f t="shared" si="128"/>
        <v>4031/4032</v>
      </c>
      <c r="L235" s="22" t="str">
        <f>VLOOKUP(A235,'Trips&amp;Operators'!$C$1:$G$99999,5,FALSE)</f>
        <v>SWANSON BRYCE</v>
      </c>
      <c r="M235" s="6">
        <f t="shared" si="129"/>
        <v>0</v>
      </c>
      <c r="N235" s="7">
        <f t="shared" si="130"/>
        <v>0</v>
      </c>
      <c r="O235" s="7"/>
      <c r="P235" s="7"/>
      <c r="Q235" s="23"/>
      <c r="R235" s="23"/>
      <c r="S235" s="35">
        <f t="shared" si="131"/>
        <v>0</v>
      </c>
      <c r="T235" s="50" t="e">
        <f t="shared" si="132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123"/>
        <v>https://search-rtdc-monitor-bjffxe2xuh6vdkpspy63sjmuny.us-east-1.es.amazonaws.com/_plugin/kibana/#/discover/Steve-Slow-Train-Analysis-(2080s-and-2083s)?_g=(refreshInterval:(display:Off,section:0,value:0),time:(from:'2016-12-21 16:03:56-700',mode:absolute,to:'1969-12-31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5" s="52" t="str">
        <f t="shared" si="133"/>
        <v>Y</v>
      </c>
      <c r="X235" s="177" t="e">
        <f t="shared" si="122"/>
        <v>#VALUE!</v>
      </c>
      <c r="Y235" s="67">
        <f t="shared" si="134"/>
        <v>0.1492</v>
      </c>
      <c r="Z235" s="67">
        <f t="shared" si="135"/>
        <v>2.3298999999999999</v>
      </c>
      <c r="AA235" s="67">
        <f t="shared" si="136"/>
        <v>2.1806999999999999</v>
      </c>
      <c r="AB235" s="64" t="e">
        <f>VLOOKUP(A235,Enforcements!$C$7:$K$19,8,0)</f>
        <v>#N/A</v>
      </c>
      <c r="AC235" s="60" t="e">
        <f>VLOOKUP(A235,Enforcements!$C$7:$E$19,3,0)</f>
        <v>#N/A</v>
      </c>
      <c r="AD235" s="61" t="str">
        <f t="shared" si="137"/>
        <v>73-21</v>
      </c>
      <c r="AE235" s="91" t="str">
        <f t="shared" si="124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5" s="88" t="str">
        <f t="shared" si="125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35" s="1" t="str">
        <f t="shared" si="138"/>
        <v>Other</v>
      </c>
      <c r="AH235" s="92" t="str">
        <f t="shared" si="126"/>
        <v>"%USERPROFILE%\Documents\GitHub\eaglep3\Utilities\RefineRTDCRunTimes.py" --tripid 73-21 --locoid 4031 --swversion DE.1.0.8.0 --startMP 204:1492 --initTime 2016-12-21T17:03:56 --startdatetime 1969-12-31T17:00:00 --delay 1 --endMP 300:23299 --enddatetime 1969-12-31T17:00:00 --enforcementcount 0 &gt;&gt;C:\Users\stu\Documents\GitHub\eaglep3-reporting\EC\2016-12-21-refined-times.txt</v>
      </c>
      <c r="AI235" s="119" t="str">
        <f t="shared" si="127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ID","value":"73-21"},{"id":16,"name":"Locomotive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</sheetData>
  <autoFilter ref="A12:AG230">
    <sortState ref="A13:AG232">
      <sortCondition ref="AG13:AG232"/>
      <sortCondition ref="AD13:AD232"/>
    </sortState>
  </autoFilter>
  <sortState ref="A13:AH200">
    <sortCondition ref="AG13:AG200"/>
    <sortCondition ref="AD13:AD200"/>
  </sortState>
  <mergeCells count="1">
    <mergeCell ref="A11:P11"/>
  </mergeCells>
  <conditionalFormatting sqref="W11:W12 W244:X1048576 W13:X235">
    <cfRule type="cellIs" dxfId="14" priority="352" operator="equal">
      <formula>"Y"</formula>
    </cfRule>
  </conditionalFormatting>
  <conditionalFormatting sqref="X244:X1048576 X13:X235">
    <cfRule type="cellIs" dxfId="13" priority="335" operator="greaterThan">
      <formula>1</formula>
    </cfRule>
  </conditionalFormatting>
  <conditionalFormatting sqref="X244:X1048576 X12:X235">
    <cfRule type="cellIs" dxfId="12" priority="332" operator="equal">
      <formula>0</formula>
    </cfRule>
  </conditionalFormatting>
  <conditionalFormatting sqref="A13:S151 A152:Q152 S152 A153:S235">
    <cfRule type="expression" dxfId="11" priority="326" stopIfTrue="1">
      <formula>$P13&gt;0</formula>
    </cfRule>
    <cfRule type="expression" dxfId="10" priority="327" stopIfTrue="1">
      <formula>$O13&gt;0</formula>
    </cfRule>
  </conditionalFormatting>
  <conditionalFormatting sqref="R152">
    <cfRule type="expression" dxfId="9" priority="6" stopIfTrue="1">
      <formula>$P152&gt;0</formula>
    </cfRule>
    <cfRule type="expression" dxfId="8" priority="7" stopIfTrue="1">
      <formula>$O152&gt;0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A13:S151 A152:Q152 S152 A153:S153 S154:S159 A154:Q159 A160:S235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A13:S151 A152:Q152 S152 A153:S153 S154:S159 A154:Q159 A160:S235</xm:sqref>
        </x14:conditionalFormatting>
        <x14:conditionalFormatting xmlns:xm="http://schemas.microsoft.com/office/excel/2006/main">
          <x14:cfRule type="expression" priority="8" stopIfTrue="1" id="{D7737E7A-FC39-43CE-A970-A9DE763AEAD3}">
            <xm:f>IF($AG152="EC",OR($N152&gt;'[Train Runs and Enforcements 2016-12-15.xlsm]Variables'!#REF!,$N152&lt;'[Train Runs and Enforcements 2016-12-15.xlsm]Variables'!#REF!),OR($N152&gt;'[Train Runs and Enforcements 2016-12-15.xlsm]Variables'!#REF!,$N152&lt;'[Train Runs and Enforcements 2016-12-15.xlsm]Variables'!#REF!))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R152 R154:R159</xm:sqref>
        </x14:conditionalFormatting>
        <x14:conditionalFormatting xmlns:xm="http://schemas.microsoft.com/office/excel/2006/main">
          <x14:cfRule type="expression" priority="5" stopIfTrue="1" id="{86AF3CAF-283F-4265-9045-A5398EF7B8B7}">
            <xm:f>IF($AG152="EC",OR($N152&gt;'[Train Runs and Enforcements 2016-12-15.xlsm]Variables'!#REF!,$N152&lt;'[Train Runs and Enforcements 2016-12-15.xlsm]Variables'!#REF!),OR($N152&gt;'[Train Runs and Enforcements 2016-12-15.xlsm]Variables'!#REF!,$N152&lt;'[Train Runs and Enforcements 2016-12-15.xlsm]Variables'!#REF!))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R152 R154:R159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1">
        <f>COUNTIF($O$7:$O$332,"=Y")</f>
        <v>5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2">
        <f>COUNTA($O$7:$O$332)-O2</f>
        <v>30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- 2016-12-21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3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42725.981608796297</v>
      </c>
      <c r="B7" s="31" t="s">
        <v>315</v>
      </c>
      <c r="C7" s="31" t="s">
        <v>455</v>
      </c>
      <c r="D7" s="31" t="s">
        <v>49</v>
      </c>
      <c r="E7" s="31" t="s">
        <v>248</v>
      </c>
      <c r="F7" s="47">
        <v>20</v>
      </c>
      <c r="G7" s="47">
        <v>84</v>
      </c>
      <c r="H7" s="47">
        <v>27427</v>
      </c>
      <c r="I7" s="47">
        <v>27305</v>
      </c>
      <c r="J7" s="31" t="s">
        <v>249</v>
      </c>
      <c r="K7" s="47">
        <v>27350</v>
      </c>
      <c r="L7" s="154" t="s">
        <v>51</v>
      </c>
      <c r="M7" s="155">
        <f t="shared" ref="M7:M41" si="0">CONVERT((I7-K7)/10000,"mi","ft")*IF(L7="Increasing Mileposts (1)",-1,1)</f>
        <v>-23.76</v>
      </c>
      <c r="N7" s="156" t="str">
        <f>VLOOKUP(C7,'Trips&amp;Operators'!$C$1:$G$99999,5,FALSE)</f>
        <v>BROWN JACOB</v>
      </c>
      <c r="O7" s="184" t="s">
        <v>195</v>
      </c>
      <c r="P7" s="157" t="s">
        <v>425</v>
      </c>
      <c r="Q7" s="31"/>
      <c r="R7" s="100" t="str">
        <f>VLOOKUP(C7,'Train Runs'!$A$13:$AE$9974,31,0)</f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S7" s="103" t="str">
        <f>VLOOKUP(C7,'Train Runs'!$A$13:$AE$9974,22,0)</f>
        <v>https://search-rtdc-monitor-bjffxe2xuh6vdkpspy63sjmuny.us-east-1.es.amazonaws.com/_plugin/kibana/#/discover/Steve-Slow-Train-Analysis-(2080s-and-2083s)?_g=(refreshInterval:(display:Off,section:0,value:0),time:(from:'2016-12-21 21:48:58-700',mode:absolute,to:'2016-12-22 00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7" s="105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/stypes="*4028*201612220*" /stext=" 06:.+((SYSTEM_STATE.+slice.+state.+changed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4028</v>
      </c>
      <c r="V7" s="36">
        <f t="shared" ref="V7:V41" si="3">A7-utc_offset/24</f>
        <v>42726.273275462961</v>
      </c>
      <c r="W7" s="50" t="str">
        <f t="shared" ref="W7:W41" si="4">IF(VALUE(LEFT(IF(LEN(C7)=6,"0"&amp;C7,C7),2))&lt;=2,"EC",IF(OR(VALUE(LEFT(IF(LEN(C7)=6,"0"&amp;C7,C7),2))=8,VALUE(LEFT(IF(LEN(C7)=6,"0"&amp;C7,C7),2))=18),"NW","Other"))</f>
        <v>EC</v>
      </c>
      <c r="X7" s="50" t="str">
        <f t="shared" ref="X7:X41" si="5">IF(AND(E7="TRACK WARRANT AUTHORITY",G7&lt;10),"OMIT","KEEP")</f>
        <v>KEEP</v>
      </c>
      <c r="Y7" s="119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arrival","project_id":79,"tracker_id":40,"status_id":1,"priority_id":2,"assigned_to_id":23,"start_date":"2016-12-21","description":"","custom_fields":[{"id":1,"name":"Subdivision","value":"EC"},{"id":4,"name":"Milepost","value":"2.735"},{"id":17,"name":"Train ID","value":"234-21"},{"id":16,"name":"Locomotive ID","value":"4028"},{"id":130,"name":"Impact","value":""},{"id":150,"name":"Time of Event (Mountain Time)","value":"23:33:31"},{"id":151,"name":"Denver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"%USERPROFILE%\AppData\Local\Temp\OnboardLogs"\RTDC4028\*4028*201612220*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"%USERPROFILE%\AppData\Local\Temp\OnboardLogs"\RTDC4028\*4028*201612220* &gt;&gt; 42725-slicedisagreementcheck.txt</v>
      </c>
    </row>
    <row r="8" spans="1:30" s="1" customFormat="1" x14ac:dyDescent="0.25">
      <c r="A8" s="36">
        <v>42725.980914351851</v>
      </c>
      <c r="B8" s="31" t="s">
        <v>315</v>
      </c>
      <c r="C8" s="31" t="s">
        <v>455</v>
      </c>
      <c r="D8" s="31" t="s">
        <v>49</v>
      </c>
      <c r="E8" s="31" t="s">
        <v>248</v>
      </c>
      <c r="F8" s="47">
        <v>110</v>
      </c>
      <c r="G8" s="47">
        <v>167</v>
      </c>
      <c r="H8" s="47">
        <v>27595</v>
      </c>
      <c r="I8" s="47">
        <v>27471</v>
      </c>
      <c r="J8" s="31" t="s">
        <v>249</v>
      </c>
      <c r="K8" s="47">
        <v>27350</v>
      </c>
      <c r="L8" s="154" t="s">
        <v>51</v>
      </c>
      <c r="M8" s="155">
        <f t="shared" si="0"/>
        <v>63.887999999999998</v>
      </c>
      <c r="N8" s="156" t="str">
        <f>VLOOKUP(C8,'Trips&amp;Operators'!$C$1:$G$99999,5,FALSE)</f>
        <v>BROWN JACOB</v>
      </c>
      <c r="O8" s="184" t="s">
        <v>195</v>
      </c>
      <c r="P8" s="157" t="s">
        <v>425</v>
      </c>
      <c r="Q8" s="31"/>
      <c r="R8" s="100" t="str">
        <f>VLOOKUP(C8,'Train Runs'!$A$13:$AE$9974,31,0)</f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S8" s="103" t="str">
        <f>VLOOKUP(C8,'Train Runs'!$A$13:$AE$9974,22,0)</f>
        <v>https://search-rtdc-monitor-bjffxe2xuh6vdkpspy63sjmuny.us-east-1.es.amazonaws.com/_plugin/kibana/#/discover/Steve-Slow-Train-Analysis-(2080s-and-2083s)?_g=(refreshInterval:(display:Off,section:0,value:0),time:(from:'2016-12-21 21:48:58-700',mode:absolute,to:'2016-12-22 00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8" s="105" t="str">
        <f t="shared" si="1"/>
        <v>"C:\Program Files (x86)\AstroGrep\AstroGrep.exe" /spath="%USERPROFILE%\AppData\Local\Temp\OnboardLogs" /stypes="*4028*201612220*" /stext=" 06:.+((SYSTEM_STATE.+slice.+state.+changed )|(ment ac)|(multiple cpu faults)|(system.+state.+changed )|(\[timeout)|(PRM\|1\|D)|(kpr)|(kdp)|(\|lc)|(penalty))" /e /r /s</v>
      </c>
      <c r="U8" s="9" t="str">
        <f t="shared" si="2"/>
        <v>4028</v>
      </c>
      <c r="V8" s="36">
        <f t="shared" si="3"/>
        <v>42726.272581018515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arrival","project_id":79,"tracker_id":40,"status_id":1,"priority_id":2,"assigned_to_id":23,"start_date":"2016-12-21","description":"","custom_fields":[{"id":1,"name":"Subdivision","value":"EC"},{"id":4,"name":"Milepost","value":"2.735"},{"id":17,"name":"Train ID","value":"234-21"},{"id":16,"name":"Locomotive ID","value":"4028"},{"id":130,"name":"Impact","value":""},{"id":150,"name":"Time of Event (Mountain Time)","value":"23:32:31"},{"id":151,"name":"Denver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"%USERPROFILE%\AppData\Local\Temp\OnboardLogs"\RTDC4028\*4028*201612220*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"%USERPROFILE%\AppData\Local\Temp\OnboardLogs"\RTDC4028\*4028*201612220* &gt;&gt; 42725-slicedisagreementcheck.txt</v>
      </c>
    </row>
    <row r="9" spans="1:30" s="1" customFormat="1" x14ac:dyDescent="0.25">
      <c r="A9" s="36">
        <v>42725.360300925924</v>
      </c>
      <c r="B9" s="31" t="s">
        <v>244</v>
      </c>
      <c r="C9" s="31" t="s">
        <v>434</v>
      </c>
      <c r="D9" s="31" t="s">
        <v>49</v>
      </c>
      <c r="E9" s="31" t="s">
        <v>248</v>
      </c>
      <c r="F9" s="47">
        <v>0</v>
      </c>
      <c r="G9" s="47">
        <v>313</v>
      </c>
      <c r="H9" s="47">
        <v>32942</v>
      </c>
      <c r="I9" s="47">
        <v>33461</v>
      </c>
      <c r="J9" s="31" t="s">
        <v>249</v>
      </c>
      <c r="K9" s="47">
        <v>33137</v>
      </c>
      <c r="L9" s="154" t="s">
        <v>50</v>
      </c>
      <c r="M9" s="155">
        <f t="shared" si="0"/>
        <v>-171.072</v>
      </c>
      <c r="N9" s="156" t="str">
        <f>VLOOKUP(C9,'Trips&amp;Operators'!$C$1:$G$99999,5,FALSE)</f>
        <v>BEAM ROSS</v>
      </c>
      <c r="O9" s="184" t="s">
        <v>195</v>
      </c>
      <c r="P9" s="157" t="s">
        <v>425</v>
      </c>
      <c r="Q9" s="31"/>
      <c r="R9" s="100" t="str">
        <f>VLOOKUP(C9,'Train Runs'!$A$13:$AE$9974,31,0)</f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S9" s="103" t="str">
        <f>VLOOKUP(C9,'Train Runs'!$A$13:$AE$9974,22,0)</f>
        <v>https://search-rtdc-monitor-bjffxe2xuh6vdkpspy63sjmuny.us-east-1.es.amazonaws.com/_plugin/kibana/#/discover/Steve-Slow-Train-Analysis-(2080s-and-2083s)?_g=(refreshInterval:(display:Off,section:0,value:0),time:(from:'2016-12-21 07:26:14-700',mode:absolute,to:'2016-12-21 10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9" s="105" t="str">
        <f t="shared" si="1"/>
        <v>"C:\Program Files (x86)\AstroGrep\AstroGrep.exe" /spath="%USERPROFILE%\AppData\Local\Temp\OnboardLogs" /stypes="*4016*201612211*" /stext=" 15:.+((SYSTEM_STATE.+slice.+state.+changed )|(ment ac)|(multiple cpu faults)|(system.+state.+changed )|(\[timeout)|(PRM\|1\|D)|(kpr)|(kdp)|(\|lc)|(penalty))" /e /r /s</v>
      </c>
      <c r="U9" s="9" t="str">
        <f t="shared" si="2"/>
        <v>4016</v>
      </c>
      <c r="V9" s="36">
        <f t="shared" si="3"/>
        <v>42725.651967592588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arrival","project_id":79,"tracker_id":40,"status_id":1,"priority_id":2,"assigned_to_id":23,"start_date":"2016-12-21","description":"","custom_fields":[{"id":1,"name":"Subdivision","value":"EC"},{"id":4,"name":"Milepost","value":"3.3137"},{"id":17,"name":"Train ID","value":"139-21"},{"id":16,"name":"Locomotive ID","value":"4016"},{"id":130,"name":"Impact","value":""},{"id":150,"name":"Time of Event (Mountain Time)","value":"08:38:50"},{"id":151,"name":"Denver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"%USERPROFILE%\AppData\Local\Temp\OnboardLogs"\RTDC4016\*4016*201612211*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"%USERPROFILE%\AppData\Local\Temp\OnboardLogs"\RTDC4016\*4016*201612211* &gt;&gt; 42725-slicedisagreementcheck.txt</v>
      </c>
    </row>
    <row r="10" spans="1:30" s="1" customFormat="1" x14ac:dyDescent="0.25">
      <c r="A10" s="36">
        <v>42725.279675925929</v>
      </c>
      <c r="B10" s="31" t="s">
        <v>367</v>
      </c>
      <c r="C10" s="31" t="s">
        <v>429</v>
      </c>
      <c r="D10" s="31" t="s">
        <v>49</v>
      </c>
      <c r="E10" s="31" t="s">
        <v>248</v>
      </c>
      <c r="F10" s="47">
        <v>0</v>
      </c>
      <c r="G10" s="47">
        <v>602</v>
      </c>
      <c r="H10" s="47">
        <v>55539</v>
      </c>
      <c r="I10" s="47">
        <v>57945</v>
      </c>
      <c r="J10" s="31" t="s">
        <v>249</v>
      </c>
      <c r="K10" s="47">
        <v>58118</v>
      </c>
      <c r="L10" s="154" t="s">
        <v>50</v>
      </c>
      <c r="M10" s="155">
        <f t="shared" si="0"/>
        <v>91.343999999999994</v>
      </c>
      <c r="N10" s="156" t="str">
        <f>VLOOKUP(C10,'Trips&amp;Operators'!$C$1:$G$99999,5,FALSE)</f>
        <v>COOLAHAN JOHN</v>
      </c>
      <c r="O10" s="184" t="s">
        <v>227</v>
      </c>
      <c r="P10" s="157" t="s">
        <v>424</v>
      </c>
      <c r="Q10" s="31"/>
      <c r="R10" s="100" t="str">
        <f>VLOOKUP(C10,'Train Runs'!$A$13:$AE$9974,31,0)</f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S10" s="103" t="str">
        <f>VLOOKUP(C10,'Train Runs'!$A$13:$AE$9974,22,0)</f>
        <v>https://search-rtdc-monitor-bjffxe2xuh6vdkpspy63sjmuny.us-east-1.es.amazonaws.com/_plugin/kibana/#/discover/Steve-Slow-Train-Analysis-(2080s-and-2083s)?_g=(refreshInterval:(display:Off,section:0,value:0),time:(from:'2016-12-21 05:57:07-700',mode:absolute,to:'2016-12-21 08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0" s="105" t="str">
        <f t="shared" si="1"/>
        <v>"C:\Program Files (x86)\AstroGrep\AstroGrep.exe" /spath="%USERPROFILE%\AppData\Local\Temp\OnboardLogs" /stypes="*4020*201612211*" /stext=" 13:.+((SYSTEM_STATE.+slice.+state.+changed )|(ment ac)|(multiple cpu faults)|(system.+state.+changed )|(\[timeout)|(PRM\|1\|D)|(kpr)|(kdp)|(\|lc)|(penalty))" /e /r /s</v>
      </c>
      <c r="U10" s="9" t="str">
        <f t="shared" si="2"/>
        <v>4020</v>
      </c>
      <c r="V10" s="36">
        <f t="shared" si="3"/>
        <v>42725.571342592593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{"issue":{"subject":"Wi-MAX data drop","project_id":79,"tracker_id":40,"status_id":1,"priority_id":2,"assigned_to_id":23,"start_date":"2016-12-21","description":"","custom_fields":[{"id":1,"name":"Subdivision","value":"EC"},{"id":4,"name":"Milepost","value":"5.8118"},{"id":17,"name":"Train ID","value":"123-21"},{"id":16,"name":"Locomotive ID","value":"4020"},{"id":130,"name":"Impact","value":""},{"id":150,"name":"Time of Event (Mountain Time)","value":"06:42:44"},{"id":151,"name":"Denver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"%USERPROFILE%\AppData\Local\Temp\OnboardLogs"\RTDC4020\*4020*201612211*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"%USERPROFILE%\AppData\Local\Temp\OnboardLogs"\RTDC4020\*4020*201612211* &gt;&gt; 42725-slicedisagreementcheck.txt</v>
      </c>
    </row>
    <row r="11" spans="1:30" s="1" customFormat="1" x14ac:dyDescent="0.25">
      <c r="A11" s="36">
        <v>42725.280069444445</v>
      </c>
      <c r="B11" s="31" t="s">
        <v>367</v>
      </c>
      <c r="C11" s="31" t="s">
        <v>429</v>
      </c>
      <c r="D11" s="31" t="s">
        <v>98</v>
      </c>
      <c r="E11" s="31" t="s">
        <v>248</v>
      </c>
      <c r="F11" s="47">
        <v>20</v>
      </c>
      <c r="G11" s="47">
        <v>76</v>
      </c>
      <c r="H11" s="47">
        <v>58126</v>
      </c>
      <c r="I11" s="47">
        <v>58172</v>
      </c>
      <c r="J11" s="31" t="s">
        <v>249</v>
      </c>
      <c r="K11" s="47">
        <v>58118</v>
      </c>
      <c r="L11" s="154" t="s">
        <v>50</v>
      </c>
      <c r="M11" s="155">
        <f t="shared" si="0"/>
        <v>-28.512</v>
      </c>
      <c r="N11" s="156" t="str">
        <f>VLOOKUP(C11,'Trips&amp;Operators'!$C$1:$G$99999,5,FALSE)</f>
        <v>COOLAHAN JOHN</v>
      </c>
      <c r="O11" s="184" t="s">
        <v>227</v>
      </c>
      <c r="P11" s="157" t="s">
        <v>424</v>
      </c>
      <c r="Q11" s="31"/>
      <c r="R11" s="100" t="str">
        <f>VLOOKUP(C11,'Train Runs'!$A$13:$AE$9974,31,0)</f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S11" s="103" t="str">
        <f>VLOOKUP(C11,'Train Runs'!$A$13:$AE$9974,22,0)</f>
        <v>https://search-rtdc-monitor-bjffxe2xuh6vdkpspy63sjmuny.us-east-1.es.amazonaws.com/_plugin/kibana/#/discover/Steve-Slow-Train-Analysis-(2080s-and-2083s)?_g=(refreshInterval:(display:Off,section:0,value:0),time:(from:'2016-12-21 05:57:07-700',mode:absolute,to:'2016-12-21 08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1" s="105" t="str">
        <f t="shared" si="1"/>
        <v>"C:\Program Files (x86)\AstroGrep\AstroGrep.exe" /spath="%USERPROFILE%\AppData\Local\Temp\OnboardLogs" /stypes="*4020*201612211*" /stext=" 13:.+((SYSTEM_STATE.+slice.+state.+changed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6">
        <f t="shared" si="3"/>
        <v>42725.571736111109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{"issue":{"subject":"Wi-MAX data drop","project_id":79,"tracker_id":40,"status_id":1,"priority_id":2,"assigned_to_id":23,"start_date":"2016-12-21","description":"","custom_fields":[{"id":1,"name":"Subdivision","value":"EC"},{"id":4,"name":"Milepost","value":"5.8118"},{"id":17,"name":"Train ID","value":"123-21"},{"id":16,"name":"Locomotive ID","value":"4020"},{"id":130,"name":"Impact","value":""},{"id":150,"name":"Time of Event (Mountain Time)","value":"06:43:18"},{"id":151,"name":"Denver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"%USERPROFILE%\AppData\Local\Temp\OnboardLogs"\RTDC4020\*4020*201612211*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"%USERPROFILE%\AppData\Local\Temp\OnboardLogs"\RTDC4020\*4020*201612211* &gt;&gt; 42725-slicedisagreementcheck.txt</v>
      </c>
    </row>
    <row r="12" spans="1:30" s="1" customFormat="1" x14ac:dyDescent="0.25">
      <c r="A12" s="36">
        <v>42725.35359953704</v>
      </c>
      <c r="B12" s="31" t="s">
        <v>233</v>
      </c>
      <c r="C12" s="31" t="s">
        <v>433</v>
      </c>
      <c r="D12" s="31" t="s">
        <v>49</v>
      </c>
      <c r="E12" s="31" t="s">
        <v>248</v>
      </c>
      <c r="F12" s="47">
        <v>0</v>
      </c>
      <c r="G12" s="47">
        <v>578</v>
      </c>
      <c r="H12" s="47">
        <v>104578</v>
      </c>
      <c r="I12" s="47">
        <v>102209</v>
      </c>
      <c r="J12" s="31" t="s">
        <v>249</v>
      </c>
      <c r="K12" s="47">
        <v>103800</v>
      </c>
      <c r="L12" s="154" t="s">
        <v>51</v>
      </c>
      <c r="M12" s="155">
        <f t="shared" si="0"/>
        <v>-840.048</v>
      </c>
      <c r="N12" s="156" t="str">
        <f>VLOOKUP(C12,'Trips&amp;Operators'!$C$1:$G$99999,5,FALSE)</f>
        <v>STARKS ANGELINA</v>
      </c>
      <c r="O12" s="184" t="s">
        <v>195</v>
      </c>
      <c r="P12" s="157" t="s">
        <v>425</v>
      </c>
      <c r="Q12" s="31"/>
      <c r="R12" s="100" t="str">
        <f>VLOOKUP(C12,'Train Runs'!$A$13:$AE$9974,31,0)</f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S12" s="103" t="str">
        <f>VLOOKUP(C12,'Train Runs'!$A$13:$AE$9974,22,0)</f>
        <v>https://search-rtdc-monitor-bjffxe2xuh6vdkpspy63sjmuny.us-east-1.es.amazonaws.com/_plugin/kibana/#/discover/Steve-Slow-Train-Analysis-(2080s-and-2083s)?_g=(refreshInterval:(display:Off,section:0,value:0),time:(from:'2016-12-21 07:07:57-700',mode:absolute,to:'2016-12-21 09:52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2" s="105" t="str">
        <f t="shared" si="1"/>
        <v>"C:\Program Files (x86)\AstroGrep\AstroGrep.exe" /spath="%USERPROFILE%\AppData\Local\Temp\OnboardLogs" /stypes="*4041*201612211*" /stext=" 15:.+((SYSTEM_STATE.+slice.+state.+changed )|(ment ac)|(multiple cpu faults)|(system.+state.+changed )|(\[timeout)|(PRM\|1\|D)|(kpr)|(kdp)|(\|lc)|(penalty))" /e /r /s</v>
      </c>
      <c r="U12" s="9" t="str">
        <f t="shared" si="2"/>
        <v>4041</v>
      </c>
      <c r="V12" s="36">
        <f t="shared" si="3"/>
        <v>42725.645266203705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{"issue":{"subject":"Early arrival","project_id":79,"tracker_id":40,"status_id":1,"priority_id":2,"assigned_to_id":23,"start_date":"2016-12-21","description":"","custom_fields":[{"id":1,"name":"Subdivision","value":"EC"},{"id":4,"name":"Milepost","value":"10.38"},{"id":17,"name":"Train ID","value":"130-21"},{"id":16,"name":"Locomotive ID","value":"4041"},{"id":130,"name":"Impact","value":""},{"id":150,"name":"Time of Event (Mountain Time)","value":"08:29:11"},{"id":151,"name":"Denver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"%USERPROFILE%\AppData\Local\Temp\OnboardLogs"\RTDC4041\*4041*201612211*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"%USERPROFILE%\AppData\Local\Temp\OnboardLogs"\RTDC4041\*4041*201612211* &gt;&gt; 42725-slicedisagreementcheck.txt</v>
      </c>
    </row>
    <row r="13" spans="1:30" s="1" customFormat="1" x14ac:dyDescent="0.25">
      <c r="A13" s="36">
        <v>42725.471215277779</v>
      </c>
      <c r="B13" s="31" t="s">
        <v>316</v>
      </c>
      <c r="C13" s="31" t="s">
        <v>440</v>
      </c>
      <c r="D13" s="31" t="s">
        <v>98</v>
      </c>
      <c r="E13" s="31" t="s">
        <v>196</v>
      </c>
      <c r="F13" s="47">
        <v>150</v>
      </c>
      <c r="G13" s="47">
        <v>201</v>
      </c>
      <c r="H13" s="47">
        <v>4624</v>
      </c>
      <c r="I13" s="47">
        <v>4927</v>
      </c>
      <c r="J13" s="31" t="s">
        <v>197</v>
      </c>
      <c r="K13" s="47">
        <v>0</v>
      </c>
      <c r="L13" s="154" t="s">
        <v>50</v>
      </c>
      <c r="M13" s="155">
        <f t="shared" si="0"/>
        <v>-2601.4560000000001</v>
      </c>
      <c r="N13" s="156" t="str">
        <f>VLOOKUP(C13,'Trips&amp;Operators'!$C$1:$G$99999,5,FALSE)</f>
        <v>DAVIS MICHAEL</v>
      </c>
      <c r="O13" s="184" t="s">
        <v>195</v>
      </c>
      <c r="P13" s="157"/>
      <c r="Q13" s="31"/>
      <c r="R13" s="100" t="str">
        <f>VLOOKUP(C13,'Train Runs'!$A$13:$AE$9974,31,0)</f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S13" s="103" t="str">
        <f>VLOOKUP(C13,'Train Runs'!$A$13:$AE$9974,22,0)</f>
        <v>https://search-rtdc-monitor-bjffxe2xuh6vdkpspy63sjmuny.us-east-1.es.amazonaws.com/_plugin/kibana/#/discover/Steve-Slow-Train-Analysis-(2080s-and-2083s)?_g=(refreshInterval:(display:Off,section:0,value:0),time:(from:'2016-12-21 10:09:00-700',mode:absolute,to:'2016-12-21 12:54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3" s="105" t="str">
        <f t="shared" si="1"/>
        <v>"C:\Program Files (x86)\AstroGrep\AstroGrep.exe" /spath="%USERPROFILE%\AppData\Local\Temp\OnboardLogs" /stypes="*4027*201612211*" /stext=" 18:.+((SYSTEM_STATE.+slice.+state.+changed )|(ment ac)|(multiple cpu faults)|(system.+state.+changed )|(\[timeout)|(PRM\|1\|D)|(kpr)|(kdp)|(\|lc)|(penalty))" /e /r /s</v>
      </c>
      <c r="U13" s="9" t="str">
        <f t="shared" si="2"/>
        <v>4027</v>
      </c>
      <c r="V13" s="36">
        <f t="shared" si="3"/>
        <v>42725.762881944444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{"issue":{"subject":"","project_id":79,"tracker_id":40,"status_id":1,"priority_id":2,"assigned_to_id":23,"start_date":"2016-12-21","description":"","custom_fields":[{"id":1,"name":"Subdivision","value":"EC"},{"id":4,"name":"Milepost","value":"0"},{"id":17,"name":"Train ID","value":"161-21"},{"id":16,"name":"Locomotive ID","value":"4027"},{"id":130,"name":"Impact","value":""},{"id":150,"name":"Time of Event (Mountain Time)","value":"11:18:33"},{"id":151,"name":"Denver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"%USERPROFILE%\AppData\Local\Temp\OnboardLogs"\RTDC4027\*4027*201612211*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"%USERPROFILE%\AppData\Local\Temp\OnboardLogs"\RTDC4027\*4027*201612211* &gt;&gt; 42725-slicedisagreementcheck.txt</v>
      </c>
    </row>
    <row r="14" spans="1:30" s="1" customFormat="1" x14ac:dyDescent="0.25">
      <c r="A14" s="36">
        <v>42725.439849537041</v>
      </c>
      <c r="B14" s="31" t="s">
        <v>183</v>
      </c>
      <c r="C14" s="31" t="s">
        <v>439</v>
      </c>
      <c r="D14" s="31" t="s">
        <v>98</v>
      </c>
      <c r="E14" s="31" t="s">
        <v>196</v>
      </c>
      <c r="F14" s="47">
        <v>200</v>
      </c>
      <c r="G14" s="47">
        <v>251</v>
      </c>
      <c r="H14" s="47">
        <v>5256</v>
      </c>
      <c r="I14" s="47">
        <v>5732</v>
      </c>
      <c r="J14" s="31" t="s">
        <v>197</v>
      </c>
      <c r="K14" s="47">
        <v>4677</v>
      </c>
      <c r="L14" s="154" t="s">
        <v>50</v>
      </c>
      <c r="M14" s="155">
        <f t="shared" si="0"/>
        <v>-557.04</v>
      </c>
      <c r="N14" s="156" t="str">
        <f>VLOOKUP(C14,'Trips&amp;Operators'!$C$1:$G$99999,5,FALSE)</f>
        <v>SIMMONS SHYHESHA</v>
      </c>
      <c r="O14" s="184" t="s">
        <v>195</v>
      </c>
      <c r="P14" s="157"/>
      <c r="Q14" s="31"/>
      <c r="R14" s="100" t="str">
        <f>VLOOKUP(C14,'Train Runs'!$A$13:$AE$9974,31,0)</f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S14" s="103" t="str">
        <f>VLOOKUP(C14,'Train Runs'!$A$13:$AE$9974,22,0)</f>
        <v>https://search-rtdc-monitor-bjffxe2xuh6vdkpspy63sjmuny.us-east-1.es.amazonaws.com/_plugin/kibana/#/discover/Steve-Slow-Train-Analysis-(2080s-and-2083s)?_g=(refreshInterval:(display:Off,section:0,value:0),time:(from:'2016-12-21 09:28:29-700',mode:absolute,to:'2016-12-21 12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4" s="105" t="str">
        <f t="shared" si="1"/>
        <v>"C:\Program Files (x86)\AstroGrep\AstroGrep.exe" /spath="%USERPROFILE%\AppData\Local\Temp\OnboardLogs" /stypes="*4009*201612211*" /stext=" 17:.+((SYSTEM_STATE.+slice.+state.+changed )|(ment ac)|(multiple cpu faults)|(system.+state.+changed )|(\[timeout)|(PRM\|1\|D)|(kpr)|(kdp)|(\|lc)|(penalty))" /e /r /s</v>
      </c>
      <c r="U14" s="9" t="str">
        <f t="shared" si="2"/>
        <v>4009</v>
      </c>
      <c r="V14" s="36">
        <f t="shared" si="3"/>
        <v>42725.731516203705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{"issue":{"subject":"","project_id":79,"tracker_id":40,"status_id":1,"priority_id":2,"assigned_to_id":23,"start_date":"2016-12-21","description":"","custom_fields":[{"id":1,"name":"Subdivision","value":"EC"},{"id":4,"name":"Milepost","value":"0.4677"},{"id":17,"name":"Train ID","value":"155-21"},{"id":16,"name":"Locomotive ID","value":"4009"},{"id":130,"name":"Impact","value":""},{"id":150,"name":"Time of Event (Mountain Time)","value":"10:33:23"},{"id":151,"name":"Denver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"%USERPROFILE%\AppData\Local\Temp\OnboardLogs"\RTDC4009\*4009*201612211*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"%USERPROFILE%\AppData\Local\Temp\OnboardLogs"\RTDC4009\*4009*201612211* &gt;&gt; 42725-slicedisagreementcheck.txt</v>
      </c>
    </row>
    <row r="15" spans="1:30" s="1" customFormat="1" x14ac:dyDescent="0.25">
      <c r="A15" s="36">
        <v>42725.367511574077</v>
      </c>
      <c r="B15" s="31" t="s">
        <v>233</v>
      </c>
      <c r="C15" s="31" t="s">
        <v>433</v>
      </c>
      <c r="D15" s="31" t="s">
        <v>49</v>
      </c>
      <c r="E15" s="31" t="s">
        <v>196</v>
      </c>
      <c r="F15" s="47">
        <v>200</v>
      </c>
      <c r="G15" s="47">
        <v>286</v>
      </c>
      <c r="H15" s="47">
        <v>6313</v>
      </c>
      <c r="I15" s="47">
        <v>5707</v>
      </c>
      <c r="J15" s="31" t="s">
        <v>197</v>
      </c>
      <c r="K15" s="47">
        <v>5439</v>
      </c>
      <c r="L15" s="154" t="s">
        <v>51</v>
      </c>
      <c r="M15" s="155">
        <f t="shared" si="0"/>
        <v>141.50399999999999</v>
      </c>
      <c r="N15" s="156" t="str">
        <f>VLOOKUP(C15,'Trips&amp;Operators'!$C$1:$G$99999,5,FALSE)</f>
        <v>STARKS ANGELINA</v>
      </c>
      <c r="O15" s="184" t="s">
        <v>195</v>
      </c>
      <c r="P15" s="157"/>
      <c r="Q15" s="31"/>
      <c r="R15" s="100" t="str">
        <f>VLOOKUP(C15,'Train Runs'!$A$13:$AE$9974,31,0)</f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S15" s="103" t="str">
        <f>VLOOKUP(C15,'Train Runs'!$A$13:$AE$9974,22,0)</f>
        <v>https://search-rtdc-monitor-bjffxe2xuh6vdkpspy63sjmuny.us-east-1.es.amazonaws.com/_plugin/kibana/#/discover/Steve-Slow-Train-Analysis-(2080s-and-2083s)?_g=(refreshInterval:(display:Off,section:0,value:0),time:(from:'2016-12-21 07:07:57-700',mode:absolute,to:'2016-12-21 09:52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5" s="105" t="str">
        <f t="shared" si="1"/>
        <v>"C:\Program Files (x86)\AstroGrep\AstroGrep.exe" /spath="%USERPROFILE%\AppData\Local\Temp\OnboardLogs" /stypes="*4041*201612211*" /stext=" 15:.+((SYSTEM_STATE.+slice.+state.+changed )|(ment ac)|(multiple cpu faults)|(system.+state.+changed )|(\[timeout)|(PRM\|1\|D)|(kpr)|(kdp)|(\|lc)|(penalty))" /e /r /s</v>
      </c>
      <c r="U15" s="9" t="str">
        <f t="shared" si="2"/>
        <v>4041</v>
      </c>
      <c r="V15" s="36">
        <f t="shared" si="3"/>
        <v>42725.659178240741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{"issue":{"subject":"","project_id":79,"tracker_id":40,"status_id":1,"priority_id":2,"assigned_to_id":23,"start_date":"2016-12-21","description":"","custom_fields":[{"id":1,"name":"Subdivision","value":"EC"},{"id":4,"name":"Milepost","value":"0.5439"},{"id":17,"name":"Train ID","value":"130-21"},{"id":16,"name":"Locomotive ID","value":"4041"},{"id":130,"name":"Impact","value":""},{"id":150,"name":"Time of Event (Mountain Time)","value":"08:49:13"},{"id":151,"name":"Denver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"%USERPROFILE%\AppData\Local\Temp\OnboardLogs"\RTDC4041\*4041*201612211*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"%USERPROFILE%\AppData\Local\Temp\OnboardLogs"\RTDC4041\*4041*201612211* &gt;&gt; 42725-slicedisagreementcheck.txt</v>
      </c>
    </row>
    <row r="16" spans="1:30" s="1" customFormat="1" x14ac:dyDescent="0.25">
      <c r="A16" s="36">
        <v>42725.372997685183</v>
      </c>
      <c r="B16" s="31" t="s">
        <v>319</v>
      </c>
      <c r="C16" s="31" t="s">
        <v>435</v>
      </c>
      <c r="D16" s="31" t="s">
        <v>49</v>
      </c>
      <c r="E16" s="31" t="s">
        <v>196</v>
      </c>
      <c r="F16" s="47">
        <v>200</v>
      </c>
      <c r="G16" s="47">
        <v>266</v>
      </c>
      <c r="H16" s="47">
        <v>31259</v>
      </c>
      <c r="I16" s="47">
        <v>30724</v>
      </c>
      <c r="J16" s="31" t="s">
        <v>197</v>
      </c>
      <c r="K16" s="47">
        <v>30562</v>
      </c>
      <c r="L16" s="154" t="s">
        <v>51</v>
      </c>
      <c r="M16" s="155">
        <f t="shared" si="0"/>
        <v>85.536000000000001</v>
      </c>
      <c r="N16" s="156" t="str">
        <f>VLOOKUP(C16,'Trips&amp;Operators'!$C$1:$G$99999,5,FALSE)</f>
        <v>MAGEE KENYA</v>
      </c>
      <c r="O16" s="184" t="s">
        <v>195</v>
      </c>
      <c r="P16" s="157"/>
      <c r="Q16" s="31"/>
      <c r="R16" s="100" t="str">
        <f>VLOOKUP(C16,'Train Runs'!$A$13:$AE$9974,31,0)</f>
        <v>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 &amp; 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</v>
      </c>
      <c r="S16" s="103" t="str">
        <f>VLOOKUP(C16,'Train Runs'!$A$13:$AE$9974,22,0)</f>
        <v>https://search-rtdc-monitor-bjffxe2xuh6vdkpspy63sjmuny.us-east-1.es.amazonaws.com/_plugin/kibana/#/discover/Steve-Slow-Train-Analysis-(2080s-and-2083s)?_g=(refreshInterval:(display:Off,section:0,value:0),time:(from:'2016-12-21 07:15:25-700',mode:absolute,to:'2016-12-21 10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6" s="105" t="str">
        <f t="shared" si="1"/>
        <v>"C:\Program Files (x86)\AstroGrep\AstroGrep.exe" /spath="%USERPROFILE%\AppData\Local\Temp\OnboardLogs" /stypes="*4043*201612211*" /stext=" 15:.+((SYSTEM_STATE.+slice.+state.+changed )|(ment ac)|(multiple cpu faults)|(system.+state.+changed )|(\[timeout)|(PRM\|1\|D)|(kpr)|(kdp)|(\|lc)|(penalty))" /e /r /s</v>
      </c>
      <c r="U16" s="9" t="str">
        <f t="shared" si="2"/>
        <v>4043</v>
      </c>
      <c r="V16" s="36">
        <f t="shared" si="3"/>
        <v>42725.664664351847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{"issue":{"subject":"","project_id":79,"tracker_id":40,"status_id":1,"priority_id":2,"assigned_to_id":23,"start_date":"2016-12-21","description":"","custom_fields":[{"id":1,"name":"Subdivision","value":"EC"},{"id":4,"name":"Milepost","value":"3.0562"},{"id":17,"name":"Train ID","value":"132-21"},{"id":16,"name":"Locomotive ID","value":"4043"},{"id":130,"name":"Impact","value":""},{"id":150,"name":"Time of Event (Mountain Time)","value":"08:57:07"},{"id":151,"name":"Denver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"%USERPROFILE%\AppData\Local\Temp\OnboardLogs"\RTDC4043\*4043*201612211*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"%USERPROFILE%\AppData\Local\Temp\OnboardLogs"\RTDC4043\*4043*201612211* &gt;&gt; 42725-slicedisagreementcheck.txt</v>
      </c>
    </row>
    <row r="17" spans="1:30" s="1" customFormat="1" x14ac:dyDescent="0.25">
      <c r="A17" s="36">
        <v>42725.953912037039</v>
      </c>
      <c r="B17" s="31" t="s">
        <v>277</v>
      </c>
      <c r="C17" s="31" t="s">
        <v>454</v>
      </c>
      <c r="D17" s="31" t="s">
        <v>98</v>
      </c>
      <c r="E17" s="31" t="s">
        <v>196</v>
      </c>
      <c r="F17" s="47">
        <v>400</v>
      </c>
      <c r="G17" s="47">
        <v>453</v>
      </c>
      <c r="H17" s="47">
        <v>119608</v>
      </c>
      <c r="I17" s="47">
        <v>120733</v>
      </c>
      <c r="J17" s="31" t="s">
        <v>197</v>
      </c>
      <c r="K17" s="47">
        <v>116838</v>
      </c>
      <c r="L17" s="154" t="s">
        <v>50</v>
      </c>
      <c r="M17" s="155">
        <f t="shared" si="0"/>
        <v>-2056.56</v>
      </c>
      <c r="N17" s="156" t="str">
        <f>VLOOKUP(C17,'Trips&amp;Operators'!$C$1:$G$99999,5,FALSE)</f>
        <v>NELSON ARIANE</v>
      </c>
      <c r="O17" s="184" t="s">
        <v>195</v>
      </c>
      <c r="P17" s="157"/>
      <c r="Q17" s="31"/>
      <c r="R17" s="100" t="str">
        <f>VLOOKUP(C17,'Train Runs'!$A$13:$AE$9974,31,0)</f>
        <v>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 &amp; aws s3 cp s3://rtdc.mdm.uploadarchive.raw/RTDC4003/ "%USERPROFILE%\AppData\Local\Temp\OnboardLogs"\RTDC4003\2016-12-22 --exclude "*" --recursive --include "*20161222*" &amp; "%USERPROFILE%\Documents\GitHub\mrs-test-scripts\Headless Mode &amp; Sideloading\WalkAndUnGZ.bat" "%USERPROFILE%\AppData\Local\Temp\OnboardLogs"\RTDC4003\2016-12-22</v>
      </c>
      <c r="S17" s="103" t="str">
        <f>VLOOKUP(C17,'Train Runs'!$A$13:$AE$9974,22,0)</f>
        <v>https://search-rtdc-monitor-bjffxe2xuh6vdkpspy63sjmuny.us-east-1.es.amazonaws.com/_plugin/kibana/#/discover/Steve-Slow-Train-Analysis-(2080s-and-2083s)?_g=(refreshInterval:(display:Off,section:0,value:0),time:(from:'2016-12-21 21:20:54-700',mode:absolute,to:'2016-12-22 00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7" s="105" t="str">
        <f t="shared" si="1"/>
        <v>"C:\Program Files (x86)\AstroGrep\AstroGrep.exe" /spath="%USERPROFILE%\AppData\Local\Temp\OnboardLogs" /stypes="*4003*201612220*" /stext=" 05:.+((SYSTEM_STATE.+slice.+state.+changed )|(ment ac)|(multiple cpu faults)|(system.+state.+changed )|(\[timeout)|(PRM\|1\|D)|(kpr)|(kdp)|(\|lc)|(penalty))" /e /r /s</v>
      </c>
      <c r="U17" s="9" t="str">
        <f t="shared" si="2"/>
        <v>4003</v>
      </c>
      <c r="V17" s="36">
        <f t="shared" si="3"/>
        <v>42726.245578703703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{"issue":{"subject":"","project_id":79,"tracker_id":40,"status_id":1,"priority_id":2,"assigned_to_id":23,"start_date":"2016-12-21","description":"","custom_fields":[{"id":1,"name":"Subdivision","value":"EC"},{"id":4,"name":"Milepost","value":"11.6838"},{"id":17,"name":"Train ID","value":"235-21"},{"id":16,"name":"Locomotive ID","value":"4003"},{"id":130,"name":"Impact","value":""},{"id":150,"name":"Time of Event (Mountain Time)","value":"22:53:38"},{"id":151,"name":"Denver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"%USERPROFILE%\AppData\Local\Temp\OnboardLogs"\RTDC4003\*4003*201612220*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"%USERPROFILE%\AppData\Local\Temp\OnboardLogs"\RTDC4003\*4003*201612220* &gt;&gt; 42725-slicedisagreementcheck.txt</v>
      </c>
    </row>
    <row r="18" spans="1:30" s="1" customFormat="1" x14ac:dyDescent="0.25">
      <c r="A18" s="36">
        <v>42725.514074074075</v>
      </c>
      <c r="B18" s="31" t="s">
        <v>315</v>
      </c>
      <c r="C18" s="31" t="s">
        <v>441</v>
      </c>
      <c r="D18" s="31" t="s">
        <v>98</v>
      </c>
      <c r="E18" s="31" t="s">
        <v>196</v>
      </c>
      <c r="F18" s="47">
        <v>600</v>
      </c>
      <c r="G18" s="47">
        <v>653</v>
      </c>
      <c r="H18" s="47">
        <v>184361</v>
      </c>
      <c r="I18" s="47">
        <v>181265</v>
      </c>
      <c r="J18" s="31" t="s">
        <v>197</v>
      </c>
      <c r="K18" s="47">
        <v>190834</v>
      </c>
      <c r="L18" s="154" t="s">
        <v>51</v>
      </c>
      <c r="M18" s="155">
        <f t="shared" si="0"/>
        <v>-5052.4319999999998</v>
      </c>
      <c r="N18" s="156" t="str">
        <f>VLOOKUP(C18,'Trips&amp;Operators'!$C$1:$G$99999,5,FALSE)</f>
        <v>DAVIS MICHAEL</v>
      </c>
      <c r="O18" s="184" t="s">
        <v>195</v>
      </c>
      <c r="P18" s="157"/>
      <c r="Q18" s="31"/>
      <c r="R18" s="100" t="str">
        <f>VLOOKUP(C18,'Train Runs'!$A$13:$AE$9974,31,0)</f>
        <v>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 &amp; 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</v>
      </c>
      <c r="S18" s="103" t="str">
        <f>VLOOKUP(C18,'Train Runs'!$A$13:$AE$9974,22,0)</f>
        <v>https://search-rtdc-monitor-bjffxe2xuh6vdkpspy63sjmuny.us-east-1.es.amazonaws.com/_plugin/kibana/#/discover/Steve-Slow-Train-Analysis-(2080s-and-2083s)?_g=(refreshInterval:(display:Off,section:0,value:0),time:(from:'2016-12-21 11:06:25-700',mode:absolute,to:'2016-12-21 13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8" s="105" t="str">
        <f t="shared" si="1"/>
        <v>"C:\Program Files (x86)\AstroGrep\AstroGrep.exe" /spath="%USERPROFILE%\AppData\Local\Temp\OnboardLogs" /stypes="*4028*201612211*" /stext=" 19:.+((SYSTEM_STATE.+slice.+state.+changed )|(ment ac)|(multiple cpu faults)|(system.+state.+changed )|(\[timeout)|(PRM\|1\|D)|(kpr)|(kdp)|(\|lc)|(penalty))" /e /r /s</v>
      </c>
      <c r="U18" s="9" t="str">
        <f t="shared" si="2"/>
        <v>4028</v>
      </c>
      <c r="V18" s="36">
        <f t="shared" si="3"/>
        <v>42725.80574074074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{"issue":{"subject":"","project_id":79,"tracker_id":40,"status_id":1,"priority_id":2,"assigned_to_id":23,"start_date":"2016-12-21","description":"","custom_fields":[{"id":1,"name":"Subdivision","value":"EC"},{"id":4,"name":"Milepost","value":"19.0834"},{"id":17,"name":"Train ID","value":"162-21"},{"id":16,"name":"Locomotive ID","value":"4028"},{"id":130,"name":"Impact","value":""},{"id":150,"name":"Time of Event (Mountain Time)","value":"12:20:16"},{"id":151,"name":"Denver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"%USERPROFILE%\AppData\Local\Temp\OnboardLogs"\RTDC4028\*4028*201612211*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"%USERPROFILE%\AppData\Local\Temp\OnboardLogs"\RTDC4028\*4028*201612211* &gt;&gt; 42725-slicedisagreementcheck.txt</v>
      </c>
    </row>
    <row r="19" spans="1:30" s="1" customFormat="1" x14ac:dyDescent="0.25">
      <c r="A19" s="36">
        <v>42725.238634259258</v>
      </c>
      <c r="B19" s="31" t="s">
        <v>272</v>
      </c>
      <c r="C19" s="31" t="s">
        <v>426</v>
      </c>
      <c r="D19" s="31" t="s">
        <v>49</v>
      </c>
      <c r="E19" s="31" t="s">
        <v>198</v>
      </c>
      <c r="F19" s="47">
        <v>0</v>
      </c>
      <c r="G19" s="47">
        <v>171</v>
      </c>
      <c r="H19" s="47">
        <v>28200</v>
      </c>
      <c r="I19" s="47">
        <v>27951</v>
      </c>
      <c r="J19" s="31" t="s">
        <v>199</v>
      </c>
      <c r="K19" s="47">
        <v>28061</v>
      </c>
      <c r="L19" s="154" t="s">
        <v>51</v>
      </c>
      <c r="M19" s="155">
        <f t="shared" si="0"/>
        <v>-58.08</v>
      </c>
      <c r="N19" s="156" t="str">
        <f>VLOOKUP(C19,'Trips&amp;Operators'!$C$1:$G$99999,5,FALSE)</f>
        <v>GEBRETEKLE DAGNEW</v>
      </c>
      <c r="O19" s="184" t="s">
        <v>227</v>
      </c>
      <c r="P19" s="157" t="s">
        <v>424</v>
      </c>
      <c r="Q19" s="31"/>
      <c r="R19" s="100" t="str">
        <f>VLOOKUP(C19,'Train Runs'!$A$13:$AE$9974,31,0)</f>
        <v>aws s3 cp s3://rtdc.mdm.uploadarchive.raw/RTDC4013/ "%USERPROFILE%\AppData\Local\Temp\OnboardLogs"\RTDC4013\2016-12-21 --exclude "*" --recursive --include "*20161221*" &amp; "%USERPROFILE%\Documents\GitHub\mrs-test-scripts\Headless Mode &amp; Sideloading\WalkAndUnGZ.bat" "%USERPROFILE%\AppData\Local\Temp\OnboardLogs"\RTDC4013\2016-12-21 &amp; aws s3 cp s3://rtdc.mdm.uploadarchive.raw/RTDC4013/ "%USERPROFILE%\AppData\Local\Temp\OnboardLogs"\RTDC4013\2016-12-22 --exclude "*" --recursive --include "*20161222*" &amp; "%USERPROFILE%\Documents\GitHub\mrs-test-scripts\Headless Mode &amp; Sideloading\WalkAndUnGZ.bat" "%USERPROFILE%\AppData\Local\Temp\OnboardLogs"\RTDC4013\2016-12-22</v>
      </c>
      <c r="S19" s="103" t="str">
        <f>VLOOKUP(C19,'Train Runs'!$A$13:$AE$9974,22,0)</f>
        <v>https://search-rtdc-monitor-bjffxe2xuh6vdkpspy63sjmuny.us-east-1.es.amazonaws.com/_plugin/kibana/#/discover/Steve-Slow-Train-Analysis-(2080s-and-2083s)?_g=(refreshInterval:(display:Off,section:0,value:0),time:(from:'2016-12-21 04:03:09-700',mode:absolute,to:'2016-12-21 06:53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5" t="str">
        <f t="shared" si="1"/>
        <v>"C:\Program Files (x86)\AstroGrep\AstroGrep.exe" /spath="%USERPROFILE%\AppData\Local\Temp\OnboardLogs" /stypes="*4013*201612211*" /stext=" 12:.+((SYSTEM_STATE.+slice.+state.+changed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6">
        <f t="shared" si="3"/>
        <v>42725.530300925922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-12-21","description":"http://stevetu21.github.io/eaglep3/load_kml.html?kml=http://rtdc.gmaps-snips.s3.amazonaws.com/da8a7597-2617-4898-bab7-de5d449f9b88.kml","custom_fields":[{"id":1,"name":"Subdivision","value":"EC"},{"id":4,"name":"Milepost","value":"2.8061"},{"id":17,"name":"Train ID","value":"106-21"},{"id":16,"name":"Locomotive ID","value":"4013"},{"id":130,"name":"Impact","value":"Enforcement"},{"id":150,"name":"Time of Event (Mountain Time)","value":"05:43:38"},{"id":151,"name":"Denver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178" t="s">
        <v>858</v>
      </c>
      <c r="AA19" s="53" t="s">
        <v>125</v>
      </c>
      <c r="AB19" s="53" t="s">
        <v>138</v>
      </c>
      <c r="AC19" s="138" t="str">
        <f t="shared" si="7"/>
        <v>grep -hSE -A100 "Enforcement Action" "%USERPROFILE%\AppData\Local\Temp\OnboardLogs"\RTDC4013\*4013*201612211*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"%USERPROFILE%\AppData\Local\Temp\OnboardLogs"\RTDC4013\*4013*201612211* &gt;&gt; 42725-slicedisagreementcheck.txt</v>
      </c>
    </row>
    <row r="20" spans="1:30" x14ac:dyDescent="0.25">
      <c r="A20" s="36">
        <v>42725.927268518521</v>
      </c>
      <c r="B20" s="31" t="s">
        <v>316</v>
      </c>
      <c r="C20" s="31" t="s">
        <v>453</v>
      </c>
      <c r="D20" s="31" t="s">
        <v>98</v>
      </c>
      <c r="E20" s="31" t="s">
        <v>198</v>
      </c>
      <c r="F20" s="47">
        <v>200</v>
      </c>
      <c r="G20" s="47">
        <v>274</v>
      </c>
      <c r="H20" s="47">
        <v>37949</v>
      </c>
      <c r="I20" s="47">
        <v>38790</v>
      </c>
      <c r="J20" s="31" t="s">
        <v>199</v>
      </c>
      <c r="K20" s="47">
        <v>36645</v>
      </c>
      <c r="L20" s="154" t="s">
        <v>50</v>
      </c>
      <c r="M20" s="155">
        <f t="shared" si="0"/>
        <v>-1132.56</v>
      </c>
      <c r="N20" s="156" t="str">
        <f>VLOOKUP(C20,'Trips&amp;Operators'!$C$1:$G$99999,5,FALSE)</f>
        <v>BROWN JACOB</v>
      </c>
      <c r="O20" s="184" t="s">
        <v>195</v>
      </c>
      <c r="P20" s="157" t="s">
        <v>857</v>
      </c>
      <c r="Q20" s="31"/>
      <c r="R20" s="100" t="str">
        <f>VLOOKUP(C20,'Train Runs'!$A$13:$AE$9974,31,0)</f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S20" s="103" t="str">
        <f>VLOOKUP(C20,'Train Runs'!$A$13:$AE$9974,22,0)</f>
        <v>https://search-rtdc-monitor-bjffxe2xuh6vdkpspy63sjmuny.us-east-1.es.amazonaws.com/_plugin/kibana/#/discover/Steve-Slow-Train-Analysis-(2080s-and-2083s)?_g=(refreshInterval:(display:Off,section:0,value:0),time:(from:'2016-12-21 21:13:37-700',mode:absolute,to:'2016-12-21 23:42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0" s="105" t="str">
        <f t="shared" si="1"/>
        <v>"C:\Program Files (x86)\AstroGrep\AstroGrep.exe" /spath="%USERPROFILE%\AppData\Local\Temp\OnboardLogs" /stypes="*4027*201612220*" /stext=" 05:.+((SYSTEM_STATE.+slice.+state.+changed )|(ment ac)|(multiple cpu faults)|(system.+state.+changed )|(\[timeout)|(PRM\|1\|D)|(kpr)|(kdp)|(\|lc)|(penalty))" /e /r /s</v>
      </c>
      <c r="U20" s="9" t="str">
        <f t="shared" si="2"/>
        <v>4027</v>
      </c>
      <c r="V20" s="36">
        <f t="shared" si="3"/>
        <v>42726.218935185185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Overspeed","project_id":79,"tracker_id":40,"status_id":1,"priority_id":2,"assigned_to_id":23,"start_date":"2016-12-21","description":"","custom_fields":[{"id":1,"name":"Subdivision","value":"EC"},{"id":4,"name":"Milepost","value":"3.6645"},{"id":17,"name":"Train ID","value":"233-21"},{"id":16,"name":"Locomotive ID","value":"4027"},{"id":130,"name":"Impact","value":""},{"id":150,"name":"Time of Event (Mountain Time)","value":"22:15:16"},{"id":151,"name":"Denver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"%USERPROFILE%\AppData\Local\Temp\OnboardLogs"\RTDC4027\*4027*201612220*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"%USERPROFILE%\AppData\Local\Temp\OnboardLogs"\RTDC4027\*4027*201612220* &gt;&gt; 42725-slicedisagreementcheck.txt</v>
      </c>
    </row>
    <row r="21" spans="1:30" x14ac:dyDescent="0.25">
      <c r="A21" s="36">
        <v>42725.303530092591</v>
      </c>
      <c r="B21" s="31" t="s">
        <v>274</v>
      </c>
      <c r="C21" s="31" t="s">
        <v>431</v>
      </c>
      <c r="D21" s="31" t="s">
        <v>49</v>
      </c>
      <c r="E21" s="31" t="s">
        <v>198</v>
      </c>
      <c r="F21" s="47">
        <v>0</v>
      </c>
      <c r="G21" s="47">
        <v>354</v>
      </c>
      <c r="H21" s="47">
        <v>193803</v>
      </c>
      <c r="I21" s="47">
        <v>192599</v>
      </c>
      <c r="J21" s="31" t="s">
        <v>199</v>
      </c>
      <c r="K21" s="47">
        <v>191723</v>
      </c>
      <c r="L21" s="154" t="s">
        <v>51</v>
      </c>
      <c r="M21" s="155">
        <f t="shared" si="0"/>
        <v>462.52800000000002</v>
      </c>
      <c r="N21" s="156" t="str">
        <f>VLOOKUP(C21,'Trips&amp;Operators'!$C$1:$G$99999,5,FALSE)</f>
        <v>BONDS REYNALDO</v>
      </c>
      <c r="O21" s="184" t="s">
        <v>227</v>
      </c>
      <c r="P21" s="157" t="s">
        <v>947</v>
      </c>
      <c r="Q21" s="31"/>
      <c r="R21" s="100" t="str">
        <f>VLOOKUP(C21,'Train Runs'!$A$13:$AE$9974,31,0)</f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S21" s="103" t="str">
        <f>VLOOKUP(C21,'Train Runs'!$A$13:$AE$9974,22,0)</f>
        <v>https://search-rtdc-monitor-bjffxe2xuh6vdkpspy63sjmuny.us-east-1.es.amazonaws.com/_plugin/kibana/#/discover/Steve-Slow-Train-Analysis-(2080s-and-2083s)?_g=(refreshInterval:(display:Off,section:0,value:0),time:(from:'2016-12-21 05:53:58-700',mode:absolute,to:'2016-12-21 08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1" s="105" t="str">
        <f t="shared" si="1"/>
        <v>"C:\Program Files (x86)\AstroGrep\AstroGrep.exe" /spath="%USERPROFILE%\AppData\Local\Temp\OnboardLogs" /stypes="*4004*201612211*" /stext=" 14:.+((SYSTEM_STATE.+slice.+state.+changed )|(ment ac)|(multiple cpu faults)|(system.+state.+changed )|(\[timeout)|(PRM\|1\|D)|(kpr)|(kdp)|(\|lc)|(penalty))" /e /r /s</v>
      </c>
      <c r="U21" s="9" t="str">
        <f t="shared" si="2"/>
        <v>4004</v>
      </c>
      <c r="V21" s="36">
        <f t="shared" si="3"/>
        <v>42725.595196759255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{"issue":{"subject":"Pena 4S STOP, banner without braking","project_id":79,"tracker_id":40,"status_id":1,"priority_id":2,"assigned_to_id":23,"start_date":"2016-12-21","description":"","custom_fields":[{"id":1,"name":"Subdivision","value":"EC"},{"id":4,"name":"Milepost","value":"19.1723"},{"id":17,"name":"Train ID","value":"122-21"},{"id":16,"name":"Locomotive ID","value":"4004"},{"id":130,"name":"Impact","value":""},{"id":150,"name":"Time of Event (Mountain Time)","value":"07:17:05"},{"id":151,"name":"Denver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"%USERPROFILE%\AppData\Local\Temp\OnboardLogs"\RTDC4004\*4004*201612211*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"%USERPROFILE%\AppData\Local\Temp\OnboardLogs"\RTDC4004\*4004*201612211* &gt;&gt; 42725-slicedisagreementcheck.txt</v>
      </c>
    </row>
    <row r="22" spans="1:30" ht="15" customHeight="1" x14ac:dyDescent="0.25">
      <c r="A22" s="36">
        <v>42725.285266203704</v>
      </c>
      <c r="B22" s="31" t="s">
        <v>233</v>
      </c>
      <c r="C22" s="31" t="s">
        <v>430</v>
      </c>
      <c r="D22" s="31" t="s">
        <v>49</v>
      </c>
      <c r="E22" s="31" t="s">
        <v>260</v>
      </c>
      <c r="F22" s="47">
        <v>100</v>
      </c>
      <c r="G22" s="47">
        <v>151</v>
      </c>
      <c r="H22" s="47">
        <v>66799</v>
      </c>
      <c r="I22" s="47">
        <v>66598</v>
      </c>
      <c r="J22" s="31" t="s">
        <v>249</v>
      </c>
      <c r="K22" s="47">
        <v>66500</v>
      </c>
      <c r="L22" s="154" t="s">
        <v>51</v>
      </c>
      <c r="M22" s="155">
        <f t="shared" si="0"/>
        <v>51.744</v>
      </c>
      <c r="N22" s="156" t="str">
        <f>VLOOKUP(C22,'Trips&amp;Operators'!$C$1:$G$99999,5,FALSE)</f>
        <v>STARKS ANGELINA</v>
      </c>
      <c r="O22" s="184" t="s">
        <v>195</v>
      </c>
      <c r="P22" s="157"/>
      <c r="Q22" s="31"/>
      <c r="R22" s="100" t="str">
        <f>VLOOKUP(C22,'Train Runs'!$A$13:$AE$9974,31,0)</f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S22" s="103" t="str">
        <f>VLOOKUP(C22,'Train Runs'!$A$13:$AE$9974,22,0)</f>
        <v>https://search-rtdc-monitor-bjffxe2xuh6vdkpspy63sjmuny.us-east-1.es.amazonaws.com/_plugin/kibana/#/discover/Steve-Slow-Train-Analysis-(2080s-and-2083s)?_g=(refreshInterval:(display:Off,section:0,value:0),time:(from:'2016-12-21 05:26:34-700',mode:absolute,to:'2016-12-21 08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2" s="105" t="str">
        <f t="shared" si="1"/>
        <v>"C:\Program Files (x86)\AstroGrep\AstroGrep.exe" /spath="%USERPROFILE%\AppData\Local\Temp\OnboardLogs" /stypes="*4041*201612211*" /stext=" 13:.+((SYSTEM_STATE.+slice.+state.+changed )|(ment ac)|(multiple cpu faults)|(system.+state.+changed )|(\[timeout)|(PRM\|1\|D)|(kpr)|(kdp)|(\|lc)|(penalty))" /e /r /s</v>
      </c>
      <c r="U22" s="9" t="str">
        <f t="shared" si="2"/>
        <v>4041</v>
      </c>
      <c r="V22" s="36">
        <f t="shared" si="3"/>
        <v>42725.576932870368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{"issue":{"subject":"","project_id":79,"tracker_id":40,"status_id":1,"priority_id":2,"assigned_to_id":23,"start_date":"2016-12-21","description":"","custom_fields":[{"id":1,"name":"Subdivision","value":"EC"},{"id":4,"name":"Milepost","value":"6.65"},{"id":17,"name":"Train ID","value":"116-21"},{"id":16,"name":"Locomotive ID","value":"4041"},{"id":130,"name":"Impact","value":""},{"id":150,"name":"Time of Event (Mountain Time)","value":"06:50:47"},{"id":151,"name":"Denver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"%USERPROFILE%\AppData\Local\Temp\OnboardLogs"\RTDC4041\*4041*201612211*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"%USERPROFILE%\AppData\Local\Temp\OnboardLogs"\RTDC4041\*4041*201612211* &gt;&gt; 42725-slicedisagreementcheck.txt</v>
      </c>
    </row>
    <row r="23" spans="1:30" x14ac:dyDescent="0.25">
      <c r="A23" s="36">
        <v>42725.2578587963</v>
      </c>
      <c r="B23" s="31" t="s">
        <v>274</v>
      </c>
      <c r="C23" s="31" t="s">
        <v>427</v>
      </c>
      <c r="D23" s="31" t="s">
        <v>49</v>
      </c>
      <c r="E23" s="31" t="s">
        <v>200</v>
      </c>
      <c r="F23" s="47">
        <v>0</v>
      </c>
      <c r="G23" s="47">
        <v>48</v>
      </c>
      <c r="H23" s="47">
        <v>181</v>
      </c>
      <c r="I23" s="47">
        <v>136</v>
      </c>
      <c r="J23" s="31" t="s">
        <v>201</v>
      </c>
      <c r="K23" s="47">
        <v>1</v>
      </c>
      <c r="L23" s="154" t="s">
        <v>51</v>
      </c>
      <c r="M23" s="155">
        <f t="shared" si="0"/>
        <v>71.28</v>
      </c>
      <c r="N23" s="156" t="str">
        <f>VLOOKUP(C23,'Trips&amp;Operators'!$C$1:$G$99999,5,FALSE)</f>
        <v>BONDS REYNALDO</v>
      </c>
      <c r="O23" s="184" t="s">
        <v>195</v>
      </c>
      <c r="P23" s="157"/>
      <c r="Q23" s="31"/>
      <c r="R23" s="100" t="str">
        <f>VLOOKUP(C23,'Train Runs'!$A$13:$AE$9974,31,0)</f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S23" s="103" t="str">
        <f>VLOOKUP(C23,'Train Runs'!$A$13:$AE$9974,22,0)</f>
        <v>https://search-rtdc-monitor-bjffxe2xuh6vdkpspy63sjmuny.us-east-1.es.amazonaws.com/_plugin/kibana/#/discover/Steve-Slow-Train-Analysis-(2080s-and-2083s)?_g=(refreshInterval:(display:Off,section:0,value:0),time:(from:'2016-12-21 04:13:10-700',mode:absolute,to:'2016-12-21 07:11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3" s="105" t="str">
        <f t="shared" si="1"/>
        <v>"C:\Program Files (x86)\AstroGrep\AstroGrep.exe" /spath="%USERPROFILE%\AppData\Local\Temp\OnboardLogs" /stypes="*4004*201612211*" /stext=" 13:.+((SYSTEM_STATE.+slice.+state.+changed )|(ment ac)|(multiple cpu faults)|(system.+state.+changed )|(\[timeout)|(PRM\|1\|D)|(kpr)|(kdp)|(\|lc)|(penalty))" /e /r /s</v>
      </c>
      <c r="U23" s="9" t="str">
        <f t="shared" si="2"/>
        <v>4004</v>
      </c>
      <c r="V23" s="36">
        <f t="shared" si="3"/>
        <v>42725.549525462964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{"issue":{"subject":"","project_id":79,"tracker_id":40,"status_id":1,"priority_id":2,"assigned_to_id":23,"start_date":"2016-12-21","description":"","custom_fields":[{"id":1,"name":"Subdivision","value":"EC"},{"id":4,"name":"Milepost","value":"0.0001"},{"id":17,"name":"Train ID","value":"108-21"},{"id":16,"name":"Locomotive ID","value":"4004"},{"id":130,"name":"Impact","value":""},{"id":150,"name":"Time of Event (Mountain Time)","value":"06:11:19"},{"id":151,"name":"Denver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"%USERPROFILE%\AppData\Local\Temp\OnboardLogs"\RTDC4004\*4004*201612211*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"%USERPROFILE%\AppData\Local\Temp\OnboardLogs"\RTDC4004\*4004*201612211* &gt;&gt; 42725-slicedisagreementcheck.txt</v>
      </c>
    </row>
    <row r="24" spans="1:30" x14ac:dyDescent="0.25">
      <c r="A24" s="36">
        <v>42725.32712962963</v>
      </c>
      <c r="B24" s="31" t="s">
        <v>274</v>
      </c>
      <c r="C24" s="31" t="s">
        <v>431</v>
      </c>
      <c r="D24" s="31" t="s">
        <v>49</v>
      </c>
      <c r="E24" s="31" t="s">
        <v>200</v>
      </c>
      <c r="F24" s="47">
        <v>0</v>
      </c>
      <c r="G24" s="47">
        <v>50</v>
      </c>
      <c r="H24" s="47">
        <v>181</v>
      </c>
      <c r="I24" s="47">
        <v>134</v>
      </c>
      <c r="J24" s="31" t="s">
        <v>201</v>
      </c>
      <c r="K24" s="47">
        <v>1</v>
      </c>
      <c r="L24" s="154" t="s">
        <v>51</v>
      </c>
      <c r="M24" s="155">
        <f t="shared" si="0"/>
        <v>70.224000000000004</v>
      </c>
      <c r="N24" s="156" t="str">
        <f>VLOOKUP(C24,'Trips&amp;Operators'!$C$1:$G$99999,5,FALSE)</f>
        <v>BONDS REYNALDO</v>
      </c>
      <c r="O24" s="184" t="s">
        <v>195</v>
      </c>
      <c r="P24" s="157"/>
      <c r="Q24" s="31"/>
      <c r="R24" s="100" t="str">
        <f>VLOOKUP(C24,'Train Runs'!$A$13:$AE$9974,31,0)</f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S24" s="103" t="str">
        <f>VLOOKUP(C24,'Train Runs'!$A$13:$AE$9974,22,0)</f>
        <v>https://search-rtdc-monitor-bjffxe2xuh6vdkpspy63sjmuny.us-east-1.es.amazonaws.com/_plugin/kibana/#/discover/Steve-Slow-Train-Analysis-(2080s-and-2083s)?_g=(refreshInterval:(display:Off,section:0,value:0),time:(from:'2016-12-21 05:53:58-700',mode:absolute,to:'2016-12-21 08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4" s="105" t="str">
        <f t="shared" si="1"/>
        <v>"C:\Program Files (x86)\AstroGrep\AstroGrep.exe" /spath="%USERPROFILE%\AppData\Local\Temp\OnboardLogs" /stypes="*4004*201612211*" /stext=" 14:.+((SYSTEM_STATE.+slice.+state.+changed )|(ment ac)|(multiple cpu faults)|(system.+state.+changed )|(\[timeout)|(PRM\|1\|D)|(kpr)|(kdp)|(\|lc)|(penalty))" /e /r /s</v>
      </c>
      <c r="U24" s="9" t="str">
        <f t="shared" si="2"/>
        <v>4004</v>
      </c>
      <c r="V24" s="36">
        <f t="shared" si="3"/>
        <v>42725.618796296294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{"issue":{"subject":"","project_id":79,"tracker_id":40,"status_id":1,"priority_id":2,"assigned_to_id":23,"start_date":"2016-12-21","description":"","custom_fields":[{"id":1,"name":"Subdivision","value":"EC"},{"id":4,"name":"Milepost","value":"0.0001"},{"id":17,"name":"Train ID","value":"122-21"},{"id":16,"name":"Locomotive ID","value":"4004"},{"id":130,"name":"Impact","value":""},{"id":150,"name":"Time of Event (Mountain Time)","value":"07:51:04"},{"id":151,"name":"Denver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"%USERPROFILE%\AppData\Local\Temp\OnboardLogs"\RTDC4004\*4004*201612211*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"%USERPROFILE%\AppData\Local\Temp\OnboardLogs"\RTDC4004\*4004*201612211* &gt;&gt; 42725-slicedisagreementcheck.txt</v>
      </c>
    </row>
    <row r="25" spans="1:30" x14ac:dyDescent="0.25">
      <c r="A25" s="36">
        <v>42725.660891203705</v>
      </c>
      <c r="B25" s="31" t="s">
        <v>233</v>
      </c>
      <c r="C25" s="31" t="s">
        <v>444</v>
      </c>
      <c r="D25" s="31" t="s">
        <v>49</v>
      </c>
      <c r="E25" s="31" t="s">
        <v>200</v>
      </c>
      <c r="F25" s="47">
        <v>0</v>
      </c>
      <c r="G25" s="47">
        <v>47</v>
      </c>
      <c r="H25" s="47">
        <v>167</v>
      </c>
      <c r="I25" s="47">
        <v>127</v>
      </c>
      <c r="J25" s="31" t="s">
        <v>201</v>
      </c>
      <c r="K25" s="47">
        <v>1</v>
      </c>
      <c r="L25" s="154" t="s">
        <v>51</v>
      </c>
      <c r="M25" s="155">
        <f t="shared" si="0"/>
        <v>66.528000000000006</v>
      </c>
      <c r="N25" s="156" t="str">
        <f>VLOOKUP(C25,'Trips&amp;Operators'!$C$1:$G$99999,5,FALSE)</f>
        <v>BRANNON JEFFREY</v>
      </c>
      <c r="O25" s="184" t="s">
        <v>195</v>
      </c>
      <c r="P25" s="157"/>
      <c r="Q25" s="31"/>
      <c r="R25" s="100" t="str">
        <f>VLOOKUP(C25,'Train Runs'!$A$13:$AE$9974,31,0)</f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S25" s="103" t="str">
        <f>VLOOKUP(C25,'Train Runs'!$A$13:$AE$9974,22,0)</f>
        <v>https://search-rtdc-monitor-bjffxe2xuh6vdkpspy63sjmuny.us-east-1.es.amazonaws.com/_plugin/kibana/#/discover/Steve-Slow-Train-Analysis-(2080s-and-2083s)?_g=(refreshInterval:(display:Off,section:0,value:0),time:(from:'2016-12-21 13:58:15-700',mode:absolute,to:'2016-12-21 16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 t="shared" si="1"/>
        <v>"C:\Program Files (x86)\AstroGrep\AstroGrep.exe" /spath="%USERPROFILE%\AppData\Local\Temp\OnboardLogs" /stypes="*4041*201612212*" /stext=" 22:.+((SYSTEM_STATE.+slice.+state.+changed )|(ment ac)|(multiple cpu faults)|(system.+state.+changed )|(\[timeout)|(PRM\|1\|D)|(kpr)|(kdp)|(\|lc)|(penalty))" /e /r /s</v>
      </c>
      <c r="U25" s="9" t="str">
        <f t="shared" si="2"/>
        <v>4041</v>
      </c>
      <c r="V25" s="36">
        <f t="shared" si="3"/>
        <v>42725.952557870369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{"issue":{"subject":"","project_id":79,"tracker_id":40,"status_id":1,"priority_id":2,"assigned_to_id":23,"start_date":"2016-12-21","description":"","custom_fields":[{"id":1,"name":"Subdivision","value":"EC"},{"id":4,"name":"Milepost","value":"0.0001"},{"id":17,"name":"Train ID","value":"186-21"},{"id":16,"name":"Locomotive ID","value":"4041"},{"id":130,"name":"Impact","value":""},{"id":150,"name":"Time of Event (Mountain Time)","value":"15:51:41"},{"id":151,"name":"Denver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"%USERPROFILE%\AppData\Local\Temp\OnboardLogs"\RTDC4041\*4041*201612212*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"%USERPROFILE%\AppData\Local\Temp\OnboardLogs"\RTDC4041\*4041*201612212* &gt;&gt; 42725-slicedisagreementcheck.txt</v>
      </c>
    </row>
    <row r="26" spans="1:30" x14ac:dyDescent="0.25">
      <c r="A26" s="36">
        <v>42725.783819444441</v>
      </c>
      <c r="B26" s="31" t="s">
        <v>259</v>
      </c>
      <c r="C26" s="31" t="s">
        <v>446</v>
      </c>
      <c r="D26" s="31" t="s">
        <v>49</v>
      </c>
      <c r="E26" s="31" t="s">
        <v>200</v>
      </c>
      <c r="F26" s="47">
        <v>0</v>
      </c>
      <c r="G26" s="47">
        <v>173</v>
      </c>
      <c r="H26" s="47">
        <v>779</v>
      </c>
      <c r="I26" s="47">
        <v>486</v>
      </c>
      <c r="J26" s="31" t="s">
        <v>201</v>
      </c>
      <c r="K26" s="47">
        <v>1</v>
      </c>
      <c r="L26" s="154" t="s">
        <v>51</v>
      </c>
      <c r="M26" s="155">
        <f t="shared" si="0"/>
        <v>256.08</v>
      </c>
      <c r="N26" s="156" t="str">
        <f>VLOOKUP(C26,'Trips&amp;Operators'!$C$1:$G$99999,5,FALSE)</f>
        <v>HILLS DUSTIN</v>
      </c>
      <c r="O26" s="184" t="s">
        <v>195</v>
      </c>
      <c r="P26" s="157"/>
      <c r="Q26" s="31"/>
      <c r="R26" s="100" t="str">
        <f>VLOOKUP(C26,'Train Runs'!$A$13:$AE$9974,31,0)</f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S26" s="103" t="str">
        <f>VLOOKUP(C26,'Train Runs'!$A$13:$AE$9974,22,0)</f>
        <v>https://search-rtdc-monitor-bjffxe2xuh6vdkpspy63sjmuny.us-east-1.es.amazonaws.com/_plugin/kibana/#/discover/Steve-Slow-Train-Analysis-(2080s-and-2083s)?_g=(refreshInterval:(display:Off,section:0,value:0),time:(from:'2016-12-21 16:54:47-700',mode:absolute,to:'2016-12-21 19:48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6" s="105" t="str">
        <f t="shared" si="1"/>
        <v>"C:\Program Files (x86)\AstroGrep\AstroGrep.exe" /spath="%USERPROFILE%\AppData\Local\Temp\OnboardLogs" /stypes="*4015*201612220*" /stext=" 01:.+((SYSTEM_STATE.+slice.+state.+changed )|(ment ac)|(multiple cpu faults)|(system.+state.+changed )|(\[timeout)|(PRM\|1\|D)|(kpr)|(kdp)|(\|lc)|(penalty))" /e /r /s</v>
      </c>
      <c r="U26" s="9" t="str">
        <f t="shared" si="2"/>
        <v>4015</v>
      </c>
      <c r="V26" s="36">
        <f t="shared" si="3"/>
        <v>42726.075486111105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{"issue":{"subject":"","project_id":79,"tracker_id":40,"status_id":1,"priority_id":2,"assigned_to_id":23,"start_date":"2016-12-21","description":"","custom_fields":[{"id":1,"name":"Subdivision","value":"EC"},{"id":4,"name":"Milepost","value":"0.0001"},{"id":17,"name":"Train ID","value":"210-21"},{"id":16,"name":"Locomotive ID","value":"4015"},{"id":130,"name":"Impact","value":""},{"id":150,"name":"Time of Event (Mountain Time)","value":"18:48:42"},{"id":151,"name":"Denver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"%USERPROFILE%\AppData\Local\Temp\OnboardLogs"\RTDC4015\*4015*201612220*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"%USERPROFILE%\AppData\Local\Temp\OnboardLogs"\RTDC4015\*4015*201612220* &gt;&gt; 42725-slicedisagreementcheck.txt</v>
      </c>
    </row>
    <row r="27" spans="1:30" x14ac:dyDescent="0.25">
      <c r="A27" s="36">
        <v>42725.784351851849</v>
      </c>
      <c r="B27" s="31" t="s">
        <v>259</v>
      </c>
      <c r="C27" s="31" t="s">
        <v>446</v>
      </c>
      <c r="D27" s="31" t="s">
        <v>49</v>
      </c>
      <c r="E27" s="31" t="s">
        <v>200</v>
      </c>
      <c r="F27" s="47">
        <v>0</v>
      </c>
      <c r="G27" s="47">
        <v>60</v>
      </c>
      <c r="H27" s="47">
        <v>221</v>
      </c>
      <c r="I27" s="47">
        <v>180</v>
      </c>
      <c r="J27" s="31" t="s">
        <v>201</v>
      </c>
      <c r="K27" s="47">
        <v>1</v>
      </c>
      <c r="L27" s="154" t="s">
        <v>51</v>
      </c>
      <c r="M27" s="155">
        <f t="shared" si="0"/>
        <v>94.512</v>
      </c>
      <c r="N27" s="156" t="str">
        <f>VLOOKUP(C27,'Trips&amp;Operators'!$C$1:$G$99999,5,FALSE)</f>
        <v>HILLS DUSTIN</v>
      </c>
      <c r="O27" s="184" t="s">
        <v>195</v>
      </c>
      <c r="P27" s="157"/>
      <c r="Q27" s="31"/>
      <c r="R27" s="100" t="str">
        <f>VLOOKUP(C27,'Train Runs'!$A$13:$AE$9974,31,0)</f>
        <v>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 &amp; 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</v>
      </c>
      <c r="S27" s="103" t="str">
        <f>VLOOKUP(C27,'Train Runs'!$A$13:$AE$9974,22,0)</f>
        <v>https://search-rtdc-monitor-bjffxe2xuh6vdkpspy63sjmuny.us-east-1.es.amazonaws.com/_plugin/kibana/#/discover/Steve-Slow-Train-Analysis-(2080s-and-2083s)?_g=(refreshInterval:(display:Off,section:0,value:0),time:(from:'2016-12-21 16:54:47-700',mode:absolute,to:'2016-12-21 19:48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7" s="105" t="str">
        <f t="shared" si="1"/>
        <v>"C:\Program Files (x86)\AstroGrep\AstroGrep.exe" /spath="%USERPROFILE%\AppData\Local\Temp\OnboardLogs" /stypes="*4015*201612220*" /stext=" 01:.+((SYSTEM_STATE.+slice.+state.+changed )|(ment ac)|(multiple cpu faults)|(system.+state.+changed )|(\[timeout)|(PRM\|1\|D)|(kpr)|(kdp)|(\|lc)|(penalty))" /e /r /s</v>
      </c>
      <c r="U27" s="9" t="str">
        <f t="shared" si="2"/>
        <v>4015</v>
      </c>
      <c r="V27" s="36">
        <f t="shared" si="3"/>
        <v>42726.076018518514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{"issue":{"subject":"","project_id":79,"tracker_id":40,"status_id":1,"priority_id":2,"assigned_to_id":23,"start_date":"2016-12-21","description":"","custom_fields":[{"id":1,"name":"Subdivision","value":"EC"},{"id":4,"name":"Milepost","value":"0.0001"},{"id":17,"name":"Train ID","value":"210-21"},{"id":16,"name":"Locomotive ID","value":"4015"},{"id":130,"name":"Impact","value":""},{"id":150,"name":"Time of Event (Mountain Time)","value":"18:49:28"},{"id":151,"name":"Denver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"%USERPROFILE%\AppData\Local\Temp\OnboardLogs"\RTDC4015\*4015*201612220*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"%USERPROFILE%\AppData\Local\Temp\OnboardLogs"\RTDC4015\*4015*201612220* &gt;&gt; 42725-slicedisagreementcheck.txt</v>
      </c>
    </row>
    <row r="28" spans="1:30" ht="15" customHeight="1" x14ac:dyDescent="0.25">
      <c r="A28" s="36">
        <v>42725.838576388887</v>
      </c>
      <c r="B28" s="31" t="s">
        <v>274</v>
      </c>
      <c r="C28" s="31" t="s">
        <v>449</v>
      </c>
      <c r="D28" s="31" t="s">
        <v>49</v>
      </c>
      <c r="E28" s="31" t="s">
        <v>200</v>
      </c>
      <c r="F28" s="47">
        <v>0</v>
      </c>
      <c r="G28" s="47">
        <v>37</v>
      </c>
      <c r="H28" s="47">
        <v>172</v>
      </c>
      <c r="I28" s="47">
        <v>130</v>
      </c>
      <c r="J28" s="31" t="s">
        <v>201</v>
      </c>
      <c r="K28" s="47">
        <v>1</v>
      </c>
      <c r="L28" s="154" t="s">
        <v>51</v>
      </c>
      <c r="M28" s="155">
        <f t="shared" si="0"/>
        <v>68.111999999999995</v>
      </c>
      <c r="N28" s="156" t="str">
        <f>VLOOKUP(C28,'Trips&amp;Operators'!$C$1:$G$99999,5,FALSE)</f>
        <v>NELSON ARIANE</v>
      </c>
      <c r="O28" s="184" t="s">
        <v>195</v>
      </c>
      <c r="P28" s="157"/>
      <c r="Q28" s="31"/>
      <c r="R28" s="100" t="str">
        <f>VLOOKUP(C28,'Train Runs'!$A$13:$AE$9974,31,0)</f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S28" s="103" t="str">
        <f>VLOOKUP(C28,'Train Runs'!$A$13:$AE$9974,22,0)</f>
        <v>https://search-rtdc-monitor-bjffxe2xuh6vdkpspy63sjmuny.us-east-1.es.amazonaws.com/_plugin/kibana/#/discover/Steve-Slow-Train-Analysis-(2080s-and-2083s)?_g=(refreshInterval:(display:Off,section:0,value:0),time:(from:'2016-12-21 18:23:53-700',mode:absolute,to:'2016-12-21 21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8" s="105" t="str">
        <f t="shared" si="1"/>
        <v>"C:\Program Files (x86)\AstroGrep\AstroGrep.exe" /spath="%USERPROFILE%\AppData\Local\Temp\OnboardLogs" /stypes="*4004*201612220*" /stext=" 03:.+((SYSTEM_STATE.+slice.+state.+changed )|(ment ac)|(multiple cpu faults)|(system.+state.+changed )|(\[timeout)|(PRM\|1\|D)|(kpr)|(kdp)|(\|lc)|(penalty))" /e /r /s</v>
      </c>
      <c r="U28" s="9" t="str">
        <f t="shared" si="2"/>
        <v>4004</v>
      </c>
      <c r="V28" s="36">
        <f t="shared" si="3"/>
        <v>42726.130243055552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{"issue":{"subject":"","project_id":79,"tracker_id":40,"status_id":1,"priority_id":2,"assigned_to_id":23,"start_date":"2016-12-21","description":"","custom_fields":[{"id":1,"name":"Subdivision","value":"EC"},{"id":4,"name":"Milepost","value":"0.0001"},{"id":17,"name":"Train ID","value":"220-21"},{"id":16,"name":"Locomotive ID","value":"4004"},{"id":130,"name":"Impact","value":""},{"id":150,"name":"Time of Event (Mountain Time)","value":"20:07:33"},{"id":151,"name":"Denver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"%USERPROFILE%\AppData\Local\Temp\OnboardLogs"\RTDC4004\*4004*201612220*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"%USERPROFILE%\AppData\Local\Temp\OnboardLogs"\RTDC4004\*4004*201612220* &gt;&gt; 42725-slicedisagreementcheck.txt</v>
      </c>
    </row>
    <row r="29" spans="1:30" ht="15" customHeight="1" x14ac:dyDescent="0.25">
      <c r="A29" s="36">
        <v>42725.880682870367</v>
      </c>
      <c r="B29" s="31" t="s">
        <v>233</v>
      </c>
      <c r="C29" s="31" t="s">
        <v>450</v>
      </c>
      <c r="D29" s="31" t="s">
        <v>49</v>
      </c>
      <c r="E29" s="31" t="s">
        <v>200</v>
      </c>
      <c r="F29" s="47">
        <v>0</v>
      </c>
      <c r="G29" s="47">
        <v>49</v>
      </c>
      <c r="H29" s="47">
        <v>198</v>
      </c>
      <c r="I29" s="47">
        <v>150</v>
      </c>
      <c r="J29" s="31" t="s">
        <v>201</v>
      </c>
      <c r="K29" s="47">
        <v>1</v>
      </c>
      <c r="L29" s="154" t="s">
        <v>51</v>
      </c>
      <c r="M29" s="155">
        <f t="shared" si="0"/>
        <v>78.671999999999997</v>
      </c>
      <c r="N29" s="156" t="str">
        <f>VLOOKUP(C29,'Trips&amp;Operators'!$C$1:$G$99999,5,FALSE)</f>
        <v>YANG JAN</v>
      </c>
      <c r="O29" s="184" t="s">
        <v>195</v>
      </c>
      <c r="P29" s="157"/>
      <c r="Q29" s="31"/>
      <c r="R29" s="100" t="str">
        <f>VLOOKUP(C29,'Train Runs'!$A$13:$AE$9974,31,0)</f>
        <v>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 &amp; 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</v>
      </c>
      <c r="S29" s="103" t="str">
        <f>VLOOKUP(C29,'Train Runs'!$A$13:$AE$9974,22,0)</f>
        <v>https://search-rtdc-monitor-bjffxe2xuh6vdkpspy63sjmuny.us-east-1.es.amazonaws.com/_plugin/kibana/#/discover/Steve-Slow-Train-Analysis-(2080s-and-2083s)?_g=(refreshInterval:(display:Off,section:0,value:0),time:(from:'2016-12-21 19:20:38-700',mode:absolute,to:'2016-12-21 22:08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9" s="105" t="str">
        <f t="shared" si="1"/>
        <v>"C:\Program Files (x86)\AstroGrep\AstroGrep.exe" /spath="%USERPROFILE%\AppData\Local\Temp\OnboardLogs" /stypes="*4041*201612220*" /stext=" 04:.+((SYSTEM_STATE.+slice.+state.+changed )|(ment ac)|(multiple cpu faults)|(system.+state.+changed )|(\[timeout)|(PRM\|1\|D)|(kpr)|(kdp)|(\|lc)|(penalty))" /e /r /s</v>
      </c>
      <c r="U29" s="9" t="str">
        <f t="shared" si="2"/>
        <v>4041</v>
      </c>
      <c r="V29" s="36">
        <f t="shared" si="3"/>
        <v>42726.172349537032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{"issue":{"subject":"","project_id":79,"tracker_id":40,"status_id":1,"priority_id":2,"assigned_to_id":23,"start_date":"2016-12-21","description":"","custom_fields":[{"id":1,"name":"Subdivision","value":"EC"},{"id":4,"name":"Milepost","value":"0.0001"},{"id":17,"name":"Train ID","value":"224-21"},{"id":16,"name":"Locomotive ID","value":"4041"},{"id":130,"name":"Impact","value":""},{"id":150,"name":"Time of Event (Mountain Time)","value":"21:08:11"},{"id":151,"name":"Denver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"%USERPROFILE%\AppData\Local\Temp\OnboardLogs"\RTDC4041\*4041*201612220*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"%USERPROFILE%\AppData\Local\Temp\OnboardLogs"\RTDC4041\*4041*201612220* &gt;&gt; 42725-slicedisagreementcheck.txt</v>
      </c>
    </row>
    <row r="30" spans="1:30" x14ac:dyDescent="0.25">
      <c r="A30" s="36">
        <v>42725.92260416667</v>
      </c>
      <c r="B30" s="31" t="s">
        <v>274</v>
      </c>
      <c r="C30" s="31" t="s">
        <v>452</v>
      </c>
      <c r="D30" s="31" t="s">
        <v>49</v>
      </c>
      <c r="E30" s="31" t="s">
        <v>200</v>
      </c>
      <c r="F30" s="47">
        <v>0</v>
      </c>
      <c r="G30" s="47">
        <v>106</v>
      </c>
      <c r="H30" s="47">
        <v>398</v>
      </c>
      <c r="I30" s="47">
        <v>300</v>
      </c>
      <c r="J30" s="31" t="s">
        <v>201</v>
      </c>
      <c r="K30" s="47">
        <v>1</v>
      </c>
      <c r="L30" s="154" t="s">
        <v>51</v>
      </c>
      <c r="M30" s="155">
        <f t="shared" si="0"/>
        <v>157.87200000000001</v>
      </c>
      <c r="N30" s="156" t="str">
        <f>VLOOKUP(C30,'Trips&amp;Operators'!$C$1:$G$99999,5,FALSE)</f>
        <v>NELSON ARIANE</v>
      </c>
      <c r="O30" s="184" t="s">
        <v>195</v>
      </c>
      <c r="P30" s="157"/>
      <c r="Q30" s="31"/>
      <c r="R30" s="100" t="str">
        <f>VLOOKUP(C30,'Train Runs'!$A$13:$AE$9974,31,0)</f>
        <v>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 &amp; 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</v>
      </c>
      <c r="S30" s="103" t="str">
        <f>VLOOKUP(C30,'Train Runs'!$A$13:$AE$9974,22,0)</f>
        <v>https://search-rtdc-monitor-bjffxe2xuh6vdkpspy63sjmuny.us-east-1.es.amazonaws.com/_plugin/kibana/#/discover/Steve-Slow-Train-Analysis-(2080s-and-2083s)?_g=(refreshInterval:(display:Off,section:0,value:0),time:(from:'2016-12-21 20:22:14-700',mode:absolute,to:'2016-12-21 23:09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0" s="105" t="str">
        <f t="shared" si="1"/>
        <v>"C:\Program Files (x86)\AstroGrep\AstroGrep.exe" /spath="%USERPROFILE%\AppData\Local\Temp\OnboardLogs" /stypes="*4004*201612220*" /stext=" 05:.+((SYSTEM_STATE.+slice.+state.+changed )|(ment ac)|(multiple cpu faults)|(system.+state.+changed )|(\[timeout)|(PRM\|1\|D)|(kpr)|(kdp)|(\|lc)|(penalty))" /e /r /s</v>
      </c>
      <c r="U30" s="9" t="str">
        <f t="shared" si="2"/>
        <v>4004</v>
      </c>
      <c r="V30" s="36">
        <f t="shared" si="3"/>
        <v>42726.214270833334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{"issue":{"subject":"","project_id":79,"tracker_id":40,"status_id":1,"priority_id":2,"assigned_to_id":23,"start_date":"2016-12-21","description":"","custom_fields":[{"id":1,"name":"Subdivision","value":"EC"},{"id":4,"name":"Milepost","value":"0.0001"},{"id":17,"name":"Train ID","value":"228-21"},{"id":16,"name":"Locomotive ID","value":"4004"},{"id":130,"name":"Impact","value":""},{"id":150,"name":"Time of Event (Mountain Time)","value":"22:08:33"},{"id":151,"name":"Denver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"%USERPROFILE%\AppData\Local\Temp\OnboardLogs"\RTDC4004\*4004*201612220*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"%USERPROFILE%\AppData\Local\Temp\OnboardLogs"\RTDC4004\*4004*201612220* &gt;&gt; 42725-slicedisagreementcheck.txt</v>
      </c>
    </row>
    <row r="31" spans="1:30" x14ac:dyDescent="0.25">
      <c r="A31" s="36">
        <v>42725.421412037038</v>
      </c>
      <c r="B31" s="31" t="s">
        <v>316</v>
      </c>
      <c r="C31" s="31" t="s">
        <v>437</v>
      </c>
      <c r="D31" s="31" t="s">
        <v>49</v>
      </c>
      <c r="E31" s="31" t="s">
        <v>200</v>
      </c>
      <c r="F31" s="47">
        <v>0</v>
      </c>
      <c r="G31" s="47">
        <v>62</v>
      </c>
      <c r="H31" s="47">
        <v>233283</v>
      </c>
      <c r="I31" s="47">
        <v>233334</v>
      </c>
      <c r="J31" s="31" t="s">
        <v>201</v>
      </c>
      <c r="K31" s="47">
        <v>233491</v>
      </c>
      <c r="L31" s="154" t="s">
        <v>50</v>
      </c>
      <c r="M31" s="155">
        <f t="shared" si="0"/>
        <v>82.895999999999987</v>
      </c>
      <c r="N31" s="156" t="str">
        <f>VLOOKUP(C31,'Trips&amp;Operators'!$C$1:$G$99999,5,FALSE)</f>
        <v>GEBRETEKLE DAGNEW</v>
      </c>
      <c r="O31" s="184" t="s">
        <v>195</v>
      </c>
      <c r="P31" s="157"/>
      <c r="Q31" s="31"/>
      <c r="R31" s="100" t="str">
        <f>VLOOKUP(C31,'Train Runs'!$A$13:$AE$9974,31,0)</f>
        <v>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 &amp; 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</v>
      </c>
      <c r="S31" s="103" t="str">
        <f>VLOOKUP(C31,'Train Runs'!$A$13:$AE$9974,22,0)</f>
        <v>https://search-rtdc-monitor-bjffxe2xuh6vdkpspy63sjmuny.us-east-1.es.amazonaws.com/_plugin/kibana/#/discover/Steve-Slow-Train-Analysis-(2080s-and-2083s)?_g=(refreshInterval:(display:Off,section:0,value:0),time:(from:'2016-12-21 08:25:14-700',mode:absolute,to:'2016-12-21 11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31" s="105" t="str">
        <f t="shared" si="1"/>
        <v>"C:\Program Files (x86)\AstroGrep\AstroGrep.exe" /spath="%USERPROFILE%\AppData\Local\Temp\OnboardLogs" /stypes="*4027*201612211*" /stext=" 17:.+((SYSTEM_STATE.+slice.+state.+changed )|(ment ac)|(multiple cpu faults)|(system.+state.+changed )|(\[timeout)|(PRM\|1\|D)|(kpr)|(kdp)|(\|lc)|(penalty))" /e /r /s</v>
      </c>
      <c r="U31" s="9" t="str">
        <f t="shared" si="2"/>
        <v>4027</v>
      </c>
      <c r="V31" s="36">
        <f t="shared" si="3"/>
        <v>42725.713078703702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{"issue":{"subject":"","project_id":79,"tracker_id":40,"status_id":1,"priority_id":2,"assigned_to_id":23,"start_date":"2016-12-21","description":"","custom_fields":[{"id":1,"name":"Subdivision","value":"EC"},{"id":4,"name":"Milepost","value":"23.3491"},{"id":17,"name":"Train ID","value":"147-21"},{"id":16,"name":"Locomotive ID","value":"4027"},{"id":130,"name":"Impact","value":""},{"id":150,"name":"Time of Event (Mountain Time)","value":"10:06:50"},{"id":151,"name":"Denver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"%USERPROFILE%\AppData\Local\Temp\OnboardLogs"\RTDC4027\*4027*201612211*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"%USERPROFILE%\AppData\Local\Temp\OnboardLogs"\RTDC4027\*4027*201612211* &gt;&gt; 42725-slicedisagreementcheck.txt</v>
      </c>
    </row>
    <row r="32" spans="1:30" x14ac:dyDescent="0.25">
      <c r="A32" s="36">
        <v>42725.598113425927</v>
      </c>
      <c r="B32" s="31" t="s">
        <v>244</v>
      </c>
      <c r="C32" s="31" t="s">
        <v>442</v>
      </c>
      <c r="D32" s="31" t="s">
        <v>49</v>
      </c>
      <c r="E32" s="31" t="s">
        <v>200</v>
      </c>
      <c r="F32" s="47">
        <v>0</v>
      </c>
      <c r="G32" s="47">
        <v>55</v>
      </c>
      <c r="H32" s="47">
        <v>233288</v>
      </c>
      <c r="I32" s="47">
        <v>233341</v>
      </c>
      <c r="J32" s="31" t="s">
        <v>201</v>
      </c>
      <c r="K32" s="47">
        <v>233491</v>
      </c>
      <c r="L32" s="154" t="s">
        <v>50</v>
      </c>
      <c r="M32" s="155">
        <f t="shared" si="0"/>
        <v>79.2</v>
      </c>
      <c r="N32" s="156" t="str">
        <f>VLOOKUP(C32,'Trips&amp;Operators'!$C$1:$G$99999,5,FALSE)</f>
        <v>BARTLETT KIANDRA</v>
      </c>
      <c r="O32" s="184" t="s">
        <v>195</v>
      </c>
      <c r="P32" s="157"/>
      <c r="Q32" s="31"/>
      <c r="R32" s="100" t="str">
        <f>VLOOKUP(C32,'Train Runs'!$A$13:$AE$9974,31,0)</f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S32" s="103" t="str">
        <f>VLOOKUP(C32,'Train Runs'!$A$13:$AE$9974,22,0)</f>
        <v>https://search-rtdc-monitor-bjffxe2xuh6vdkpspy63sjmuny.us-east-1.es.amazonaws.com/_plugin/kibana/#/discover/Steve-Slow-Train-Analysis-(2080s-and-2083s)?_g=(refreshInterval:(display:Off,section:0,value:0),time:(from:'2016-12-21 12:37:14-700',mode:absolute,to:'2016-12-21 15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2" s="105" t="str">
        <f t="shared" si="1"/>
        <v>"C:\Program Files (x86)\AstroGrep\AstroGrep.exe" /spath="%USERPROFILE%\AppData\Local\Temp\OnboardLogs" /stypes="*4016*201612212*" /stext=" 21:.+((SYSTEM_STATE.+slice.+state.+changed )|(ment ac)|(multiple cpu faults)|(system.+state.+changed )|(\[timeout)|(PRM\|1\|D)|(kpr)|(kdp)|(\|lc)|(penalty))" /e /r /s</v>
      </c>
      <c r="U32" s="9" t="str">
        <f t="shared" si="2"/>
        <v>4016</v>
      </c>
      <c r="V32" s="36">
        <f t="shared" si="3"/>
        <v>42725.889780092592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{"issue":{"subject":"","project_id":79,"tracker_id":40,"status_id":1,"priority_id":2,"assigned_to_id":23,"start_date":"2016-12-21","description":"","custom_fields":[{"id":1,"name":"Subdivision","value":"EC"},{"id":4,"name":"Milepost","value":"23.3491"},{"id":17,"name":"Train ID","value":"181-21"},{"id":16,"name":"Locomotive ID","value":"4016"},{"id":130,"name":"Impact","value":""},{"id":150,"name":"Time of Event (Mountain Time)","value":"14:21:17"},{"id":151,"name":"Denver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"%USERPROFILE%\AppData\Local\Temp\OnboardLogs"\RTDC4016\*4016*201612212*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"%USERPROFILE%\AppData\Local\Temp\OnboardLogs"\RTDC4016\*4016*201612212* &gt;&gt; 42725-slicedisagreementcheck.txt</v>
      </c>
    </row>
    <row r="33" spans="1:30" x14ac:dyDescent="0.25">
      <c r="A33" s="36">
        <v>42725.743356481478</v>
      </c>
      <c r="B33" s="31" t="s">
        <v>244</v>
      </c>
      <c r="C33" s="31" t="s">
        <v>445</v>
      </c>
      <c r="D33" s="31" t="s">
        <v>49</v>
      </c>
      <c r="E33" s="31" t="s">
        <v>200</v>
      </c>
      <c r="F33" s="47">
        <v>0</v>
      </c>
      <c r="G33" s="47">
        <v>174</v>
      </c>
      <c r="H33" s="47">
        <v>232255</v>
      </c>
      <c r="I33" s="47">
        <v>232464</v>
      </c>
      <c r="J33" s="31" t="s">
        <v>201</v>
      </c>
      <c r="K33" s="47">
        <v>233491</v>
      </c>
      <c r="L33" s="154" t="s">
        <v>50</v>
      </c>
      <c r="M33" s="155">
        <f t="shared" si="0"/>
        <v>542.25599999999997</v>
      </c>
      <c r="N33" s="156" t="str">
        <f>VLOOKUP(C33,'Trips&amp;Operators'!$C$1:$G$99999,5,FALSE)</f>
        <v>HILLS DUSTIN</v>
      </c>
      <c r="O33" s="184" t="s">
        <v>195</v>
      </c>
      <c r="P33" s="157"/>
      <c r="Q33" s="31"/>
      <c r="R33" s="100" t="str">
        <f>VLOOKUP(C33,'Train Runs'!$A$13:$AE$9974,31,0)</f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S33" s="103" t="str">
        <f>VLOOKUP(C33,'Train Runs'!$A$13:$AE$9974,22,0)</f>
        <v>https://search-rtdc-monitor-bjffxe2xuh6vdkpspy63sjmuny.us-east-1.es.amazonaws.com/_plugin/kibana/#/discover/Steve-Slow-Train-Analysis-(2080s-and-2083s)?_g=(refreshInterval:(display:Off,section:0,value:0),time:(from:'2016-12-21 16:10:24-700',mode:absolute,to:'2016-12-21 18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3" s="105" t="str">
        <f t="shared" si="1"/>
        <v>"C:\Program Files (x86)\AstroGrep\AstroGrep.exe" /spath="%USERPROFILE%\AppData\Local\Temp\OnboardLogs" /stypes="*4016*201612220*" /stext=" 00:.+((SYSTEM_STATE.+slice.+state.+changed )|(ment ac)|(multiple cpu faults)|(system.+state.+changed )|(\[timeout)|(PRM\|1\|D)|(kpr)|(kdp)|(\|lc)|(penalty))" /e /r /s</v>
      </c>
      <c r="U33" s="9" t="str">
        <f t="shared" si="2"/>
        <v>4016</v>
      </c>
      <c r="V33" s="36">
        <f t="shared" si="3"/>
        <v>42726.035023148142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{"issue":{"subject":"","project_id":79,"tracker_id":40,"status_id":1,"priority_id":2,"assigned_to_id":23,"start_date":"2016-12-21","description":"","custom_fields":[{"id":1,"name":"Subdivision","value":"EC"},{"id":4,"name":"Milepost","value":"23.3491"},{"id":17,"name":"Train ID","value":"209-21"},{"id":16,"name":"Locomotive ID","value":"4016"},{"id":130,"name":"Impact","value":""},{"id":150,"name":"Time of Event (Mountain Time)","value":"17:50:26"},{"id":151,"name":"Denver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"%USERPROFILE%\AppData\Local\Temp\OnboardLogs"\RTDC4016\*4016*201612220*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"%USERPROFILE%\AppData\Local\Temp\OnboardLogs"\RTDC4016\*4016*201612220* &gt;&gt; 42725-slicedisagreementcheck.txt</v>
      </c>
    </row>
    <row r="34" spans="1:30" x14ac:dyDescent="0.25">
      <c r="A34" s="36">
        <v>42725.816238425927</v>
      </c>
      <c r="B34" s="31" t="s">
        <v>244</v>
      </c>
      <c r="C34" s="31" t="s">
        <v>448</v>
      </c>
      <c r="D34" s="31" t="s">
        <v>49</v>
      </c>
      <c r="E34" s="31" t="s">
        <v>200</v>
      </c>
      <c r="F34" s="47">
        <v>0</v>
      </c>
      <c r="G34" s="47">
        <v>47</v>
      </c>
      <c r="H34" s="47">
        <v>233400</v>
      </c>
      <c r="I34" s="47">
        <v>233438</v>
      </c>
      <c r="J34" s="31" t="s">
        <v>201</v>
      </c>
      <c r="K34" s="47">
        <v>233491</v>
      </c>
      <c r="L34" s="154" t="s">
        <v>50</v>
      </c>
      <c r="M34" s="155">
        <f t="shared" si="0"/>
        <v>27.984000000000002</v>
      </c>
      <c r="N34" s="156" t="str">
        <f>VLOOKUP(C34,'Trips&amp;Operators'!$C$1:$G$99999,5,FALSE)</f>
        <v>HILLS DUSTIN</v>
      </c>
      <c r="O34" s="184" t="s">
        <v>195</v>
      </c>
      <c r="P34" s="157"/>
      <c r="Q34" s="31"/>
      <c r="R34" s="100" t="str">
        <f>VLOOKUP(C34,'Train Runs'!$A$13:$AE$9974,31,0)</f>
        <v>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 &amp; 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</v>
      </c>
      <c r="S34" s="103" t="str">
        <f>VLOOKUP(C34,'Train Runs'!$A$13:$AE$9974,22,0)</f>
        <v>https://search-rtdc-monitor-bjffxe2xuh6vdkpspy63sjmuny.us-east-1.es.amazonaws.com/_plugin/kibana/#/discover/Steve-Slow-Train-Analysis-(2080s-and-2083s)?_g=(refreshInterval:(display:Off,section:0,value:0),time:(from:'2016-12-21 17:52:42-700',mode:absolute,to:'2016-12-21 20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4" s="105" t="str">
        <f t="shared" si="1"/>
        <v>"C:\Program Files (x86)\AstroGrep\AstroGrep.exe" /spath="%USERPROFILE%\AppData\Local\Temp\OnboardLogs" /stypes="*4016*201612220*" /stext=" 02:.+((SYSTEM_STATE.+slice.+state.+changed )|(ment ac)|(multiple cpu faults)|(system.+state.+changed )|(\[timeout)|(PRM\|1\|D)|(kpr)|(kdp)|(\|lc)|(penalty))" /e /r /s</v>
      </c>
      <c r="U34" s="9" t="str">
        <f t="shared" si="2"/>
        <v>4016</v>
      </c>
      <c r="V34" s="36">
        <f t="shared" si="3"/>
        <v>42726.107905092591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{"issue":{"subject":"","project_id":79,"tracker_id":40,"status_id":1,"priority_id":2,"assigned_to_id":23,"start_date":"2016-12-21","description":"","custom_fields":[{"id":1,"name":"Subdivision","value":"EC"},{"id":4,"name":"Milepost","value":"23.3491"},{"id":17,"name":"Train ID","value":"221-21"},{"id":16,"name":"Locomotive ID","value":"4016"},{"id":130,"name":"Impact","value":""},{"id":150,"name":"Time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"%USERPROFILE%\AppData\Local\Temp\OnboardLogs"\RTDC4016\*4016*201612220*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"%USERPROFILE%\AppData\Local\Temp\OnboardLogs"\RTDC4016\*4016*201612220* &gt;&gt; 42725-slicedisagreementcheck.txt</v>
      </c>
    </row>
    <row r="35" spans="1:30" x14ac:dyDescent="0.25">
      <c r="A35" s="36">
        <v>42725.411736111113</v>
      </c>
      <c r="B35" s="31" t="s">
        <v>261</v>
      </c>
      <c r="C35" s="31" t="s">
        <v>436</v>
      </c>
      <c r="D35" s="31" t="s">
        <v>49</v>
      </c>
      <c r="E35" s="31" t="s">
        <v>196</v>
      </c>
      <c r="F35" s="47">
        <v>150</v>
      </c>
      <c r="G35" s="47">
        <v>201</v>
      </c>
      <c r="H35" s="47">
        <v>5189</v>
      </c>
      <c r="I35" s="47">
        <v>4827</v>
      </c>
      <c r="J35" s="31" t="s">
        <v>197</v>
      </c>
      <c r="K35" s="47">
        <v>4790</v>
      </c>
      <c r="L35" s="154" t="s">
        <v>51</v>
      </c>
      <c r="M35" s="155">
        <f t="shared" si="0"/>
        <v>19.536000000000001</v>
      </c>
      <c r="N35" s="156" t="str">
        <f>VLOOKUP(C35,'Trips&amp;Operators'!$C$1:$G$99999,5,FALSE)</f>
        <v>DUNCAN SHEILA</v>
      </c>
      <c r="O35" s="184" t="s">
        <v>195</v>
      </c>
      <c r="P35" s="157"/>
      <c r="Q35" s="31"/>
      <c r="R35" s="100" t="str">
        <f>VLOOKUP(C35,'Train Runs'!$A$13:$AE$9974,31,0)</f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S35" s="103" t="str">
        <f>VLOOKUP(C35,'Train Runs'!$A$13:$AE$9974,22,0)</f>
        <v>https://search-rtdc-monitor-bjffxe2xuh6vdkpspy63sjmuny.us-east-1.es.amazonaws.com/_plugin/kibana/#/discover/Steve-Slow-Train-Analysis-(2080s-and-2083s)?_g=(refreshInterval:(display:Off,section:0,value:0),time:(from:'2016-12-21 08:37:18-700',mode:absolute,to:'2016-12-21 10:55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5" s="105" t="str">
        <f t="shared" si="1"/>
        <v>"C:\Program Files (x86)\AstroGrep\AstroGrep.exe" /spath="%USERPROFILE%\AppData\Local\Temp\OnboardLogs" /stypes="*4045*201612211*" /stext=" 16:.+((SYSTEM_STATE.+slice.+state.+changed )|(ment ac)|(multiple cpu faults)|(system.+state.+changed )|(\[timeout)|(PRM\|1\|D)|(kpr)|(kdp)|(\|lc)|(penalty))" /e /r /s</v>
      </c>
      <c r="U35" s="9" t="str">
        <f t="shared" si="2"/>
        <v>4045</v>
      </c>
      <c r="V35" s="36">
        <f t="shared" si="3"/>
        <v>42725.703402777777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{"issue":{"subject":"","project_id":79,"tracker_id":40,"status_id":1,"priority_id":2,"assigned_to_id":23,"start_date":"2016-12-21","description":"","custom_fields":[{"id":1,"name":"Subdivision","value":"NW"},{"id":4,"name":"Milepost","value":"0.479"},{"id":17,"name":"Train ID","value":"814-21"},{"id":16,"name":"Locomotive ID","value":"4045"},{"id":130,"name":"Impact","value":""},{"id":150,"name":"Time of Event (Mountain Time)","value":"09:52:54"},{"id":151,"name":"Denver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"%USERPROFILE%\AppData\Local\Temp\OnboardLogs"\RTDC4045\*4045*201612211*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"%USERPROFILE%\AppData\Local\Temp\OnboardLogs"\RTDC4045\*4045*201612211* &gt;&gt; 42725-slicedisagreementcheck.txt</v>
      </c>
    </row>
    <row r="36" spans="1:30" x14ac:dyDescent="0.25">
      <c r="A36" s="36">
        <v>42725.435520833336</v>
      </c>
      <c r="B36" s="31" t="s">
        <v>229</v>
      </c>
      <c r="C36" s="31" t="s">
        <v>438</v>
      </c>
      <c r="D36" s="31" t="s">
        <v>49</v>
      </c>
      <c r="E36" s="31" t="s">
        <v>196</v>
      </c>
      <c r="F36" s="47">
        <v>300</v>
      </c>
      <c r="G36" s="47">
        <v>372</v>
      </c>
      <c r="H36" s="47">
        <v>20413</v>
      </c>
      <c r="I36" s="47">
        <v>21738</v>
      </c>
      <c r="J36" s="31" t="s">
        <v>197</v>
      </c>
      <c r="K36" s="47">
        <v>21299</v>
      </c>
      <c r="L36" s="154" t="s">
        <v>50</v>
      </c>
      <c r="M36" s="155">
        <f t="shared" si="0"/>
        <v>-231.792</v>
      </c>
      <c r="N36" s="156" t="str">
        <f>VLOOKUP(C36,'Trips&amp;Operators'!$C$1:$G$99999,5,FALSE)</f>
        <v>DUNCAN SHEILA</v>
      </c>
      <c r="O36" s="184" t="s">
        <v>195</v>
      </c>
      <c r="P36" s="157"/>
      <c r="Q36" s="31"/>
      <c r="R36" s="100" t="str">
        <f>VLOOKUP(C36,'Train Runs'!$A$13:$AE$9974,31,0)</f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S36" s="103" t="str">
        <f>VLOOKUP(C36,'Train Runs'!$A$13:$AE$9974,22,0)</f>
        <v>https://search-rtdc-monitor-bjffxe2xuh6vdkpspy63sjmuny.us-east-1.es.amazonaws.com/_plugin/kibana/#/discover/Steve-Slow-Train-Analysis-(2080s-and-2083s)?_g=(refreshInterval:(display:Off,section:0,value:0),time:(from:'2016-12-21 09:16:07-700',mode:absolute,to:'2016-12-21 11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6" s="105" t="str">
        <f t="shared" si="1"/>
        <v>"C:\Program Files (x86)\AstroGrep\AstroGrep.exe" /spath="%USERPROFILE%\AppData\Local\Temp\OnboardLogs" /stypes="*4046*201612211*" /stext=" 17:.+((SYSTEM_STATE.+slice.+state.+changed )|(ment ac)|(multiple cpu faults)|(system.+state.+changed )|(\[timeout)|(PRM\|1\|D)|(kpr)|(kdp)|(\|lc)|(penalty))" /e /r /s</v>
      </c>
      <c r="U36" s="9" t="str">
        <f t="shared" si="2"/>
        <v>4046</v>
      </c>
      <c r="V36" s="36">
        <f t="shared" si="3"/>
        <v>42725.727187500001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{"issue":{"subject":"","project_id":79,"tracker_id":40,"status_id":1,"priority_id":2,"assigned_to_id":23,"start_date":"2016-12-21","description":"","custom_fields":[{"id":1,"name":"Subdivision","value":"NW"},{"id":4,"name":"Milepost","value":"2.1299"},{"id":17,"name":"Train ID","value":"815-21"},{"id":16,"name":"Locomotive ID","value":"4046"},{"id":130,"name":"Impact","value":""},{"id":150,"name":"Time of Event (Mountain Time)","value":"10:27:09"},{"id":151,"name":"Denver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"%USERPROFILE%\AppData\Local\Temp\OnboardLogs"\RTDC4046\*4046*201612211*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"%USERPROFILE%\AppData\Local\Temp\OnboardLogs"\RTDC4046\*4046*201612211* &gt;&gt; 42725-slicedisagreementcheck.txt</v>
      </c>
    </row>
    <row r="37" spans="1:30" x14ac:dyDescent="0.25">
      <c r="A37" s="36">
        <v>42725.620405092595</v>
      </c>
      <c r="B37" s="31" t="s">
        <v>261</v>
      </c>
      <c r="C37" s="31" t="s">
        <v>443</v>
      </c>
      <c r="D37" s="31" t="s">
        <v>49</v>
      </c>
      <c r="E37" s="31" t="s">
        <v>198</v>
      </c>
      <c r="F37" s="47">
        <v>0</v>
      </c>
      <c r="G37" s="47">
        <v>143</v>
      </c>
      <c r="H37" s="47">
        <v>7258</v>
      </c>
      <c r="I37" s="47">
        <v>6954</v>
      </c>
      <c r="J37" s="31" t="s">
        <v>199</v>
      </c>
      <c r="K37" s="47">
        <v>6799</v>
      </c>
      <c r="L37" s="154" t="s">
        <v>51</v>
      </c>
      <c r="M37" s="155">
        <f t="shared" si="0"/>
        <v>81.84</v>
      </c>
      <c r="N37" s="156" t="str">
        <f>VLOOKUP(C37,'Trips&amp;Operators'!$C$1:$G$99999,5,FALSE)</f>
        <v>BRUDER RICHARD</v>
      </c>
      <c r="O37" s="184" t="s">
        <v>227</v>
      </c>
      <c r="P37" s="157" t="s">
        <v>424</v>
      </c>
      <c r="Q37" s="31"/>
      <c r="R37" s="100" t="str">
        <f>VLOOKUP(C37,'Train Runs'!$A$13:$AE$9974,31,0)</f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S37" s="103" t="str">
        <f>VLOOKUP(C37,'Train Runs'!$A$13:$AE$9974,22,0)</f>
        <v>https://search-rtdc-monitor-bjffxe2xuh6vdkpspy63sjmuny.us-east-1.es.amazonaws.com/_plugin/kibana/#/discover/Steve-Slow-Train-Analysis-(2080s-and-2083s)?_g=(refreshInterval:(display:Off,section:0,value:0),time:(from:'2016-12-21 13:38:22-700',mode:absolute,to:'2016-12-21 15:56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7" s="105" t="str">
        <f t="shared" si="1"/>
        <v>"C:\Program Files (x86)\AstroGrep\AstroGrep.exe" /spath="%USERPROFILE%\AppData\Local\Temp\OnboardLogs" /stypes="*4045*201612212*" /stext=" 21:.+((SYSTEM_STATE.+slice.+state.+changed )|(ment ac)|(multiple cpu faults)|(system.+state.+changed )|(\[timeout)|(PRM\|1\|D)|(kpr)|(kdp)|(\|lc)|(penalty))" /e /r /s</v>
      </c>
      <c r="U37" s="9" t="str">
        <f t="shared" si="2"/>
        <v>4045</v>
      </c>
      <c r="V37" s="36">
        <f t="shared" si="3"/>
        <v>42725.91207175926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{"issue":{"subject":"Wi-MAX data drop","project_id":79,"tracker_id":40,"status_id":1,"priority_id":2,"assigned_to_id":23,"start_date":"2016-12-21","description":"http://stevetu21.github.io/eaglep3/load_kml.html?kml=http://rtdc.gmaps-snips.s3.amazonaws.com/73afda23-a990-40ec-ae28-357215117cd6.kml","custom_fields":[{"id":1,"name":"Subdivision","value":"NW"},{"id":4,"name":"Milepost","value":"0.6799"},{"id":17,"name":"Train ID","value":"824-21"},{"id":16,"name":"Locomotive ID","value":"4045"},{"id":130,"name":"Impact","value":"Enforcement"},{"id":150,"name":"Time of Event (Mountain Time)","value":"14:53:23"},{"id":151,"name":"Denver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7" s="178" t="s">
        <v>859</v>
      </c>
      <c r="AA37" s="53" t="s">
        <v>125</v>
      </c>
      <c r="AB37" s="53" t="s">
        <v>138</v>
      </c>
      <c r="AC37" s="138" t="str">
        <f t="shared" si="7"/>
        <v>grep -hSE -A100 "Enforcement Action" "%USERPROFILE%\AppData\Local\Temp\OnboardLogs"\RTDC4045\*4045*201612212*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"%USERPROFILE%\AppData\Local\Temp\OnboardLogs"\RTDC4045\*4045*201612212* &gt;&gt; 42725-slicedisagreementcheck.txt</v>
      </c>
    </row>
    <row r="38" spans="1:30" x14ac:dyDescent="0.25">
      <c r="A38" s="36">
        <v>42725.308622685188</v>
      </c>
      <c r="B38" s="31" t="s">
        <v>229</v>
      </c>
      <c r="C38" s="31" t="s">
        <v>432</v>
      </c>
      <c r="D38" s="31" t="s">
        <v>49</v>
      </c>
      <c r="E38" s="31" t="s">
        <v>260</v>
      </c>
      <c r="F38" s="47">
        <v>100</v>
      </c>
      <c r="G38" s="47">
        <v>296</v>
      </c>
      <c r="H38" s="47">
        <v>8861</v>
      </c>
      <c r="I38" s="47">
        <v>9712</v>
      </c>
      <c r="J38" s="31" t="s">
        <v>249</v>
      </c>
      <c r="K38" s="47">
        <v>10701</v>
      </c>
      <c r="L38" s="154" t="s">
        <v>50</v>
      </c>
      <c r="M38" s="155">
        <f t="shared" si="0"/>
        <v>522.19200000000001</v>
      </c>
      <c r="N38" s="156" t="str">
        <f>VLOOKUP(C38,'Trips&amp;Operators'!$C$1:$G$99999,5,FALSE)</f>
        <v>DUNCAN SHEILA</v>
      </c>
      <c r="O38" s="184" t="s">
        <v>195</v>
      </c>
      <c r="P38" s="157"/>
      <c r="Q38" s="31"/>
      <c r="R38" s="100" t="str">
        <f>VLOOKUP(C38,'Train Runs'!$A$13:$AE$9974,31,0)</f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S38" s="103" t="str">
        <f>VLOOKUP(C38,'Train Runs'!$A$13:$AE$9974,22,0)</f>
        <v>https://search-rtdc-monitor-bjffxe2xuh6vdkpspy63sjmuny.us-east-1.es.amazonaws.com/_plugin/kibana/#/discover/Steve-Slow-Train-Analysis-(2080s-and-2083s)?_g=(refreshInterval:(display:Off,section:0,value:0),time:(from:'2016-12-21 06:17:58-700',mode:absolute,to:'2016-12-21 08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8" s="105" t="str">
        <f t="shared" si="1"/>
        <v>"C:\Program Files (x86)\AstroGrep\AstroGrep.exe" /spath="%USERPROFILE%\AppData\Local\Temp\OnboardLogs" /stypes="*4046*201612211*" /stext=" 14:.+((SYSTEM_STATE.+slice.+state.+changed )|(ment ac)|(multiple cpu faults)|(system.+state.+changed )|(\[timeout)|(PRM\|1\|D)|(kpr)|(kdp)|(\|lc)|(penalty))" /e /r /s</v>
      </c>
      <c r="U38" s="9" t="str">
        <f t="shared" si="2"/>
        <v>4046</v>
      </c>
      <c r="V38" s="36">
        <f t="shared" si="3"/>
        <v>42725.600289351853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{"issue":{"subject":"","project_id":79,"tracker_id":40,"status_id":1,"priority_id":2,"assigned_to_id":23,"start_date":"2016-12-21","description":"","custom_fields":[{"id":1,"name":"Subdivision","value":"NW"},{"id":4,"name":"Milepost","value":"1.0701"},{"id":17,"name":"Train ID","value":"807-21"},{"id":16,"name":"Locomotive ID","value":"4046"},{"id":130,"name":"Impact","value":""},{"id":150,"name":"Time of Event (Mountain Time)","value":"07:24:25"},{"id":151,"name":"Denver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"%USERPROFILE%\AppData\Local\Temp\OnboardLogs"\RTDC4046\*4046*201612211*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"%USERPROFILE%\AppData\Local\Temp\OnboardLogs"\RTDC4046\*4046*201612211* &gt;&gt; 42725-slicedisagreementcheck.txt</v>
      </c>
    </row>
    <row r="39" spans="1:30" x14ac:dyDescent="0.25">
      <c r="A39" s="36">
        <v>42725.915625000001</v>
      </c>
      <c r="B39" s="31" t="s">
        <v>261</v>
      </c>
      <c r="C39" s="31" t="s">
        <v>451</v>
      </c>
      <c r="D39" s="31" t="s">
        <v>49</v>
      </c>
      <c r="E39" s="31" t="s">
        <v>200</v>
      </c>
      <c r="F39" s="47">
        <v>0</v>
      </c>
      <c r="G39" s="47">
        <v>44</v>
      </c>
      <c r="H39" s="47">
        <v>682</v>
      </c>
      <c r="I39" s="47">
        <v>636</v>
      </c>
      <c r="J39" s="31" t="s">
        <v>201</v>
      </c>
      <c r="K39" s="47">
        <v>575</v>
      </c>
      <c r="L39" s="154" t="s">
        <v>51</v>
      </c>
      <c r="M39" s="155">
        <f t="shared" si="0"/>
        <v>32.207999999999998</v>
      </c>
      <c r="N39" s="156" t="str">
        <f>VLOOKUP(C39,'Trips&amp;Operators'!$C$1:$G$99999,5,FALSE)</f>
        <v>CHANDLER KELVIN</v>
      </c>
      <c r="O39" s="184" t="s">
        <v>195</v>
      </c>
      <c r="P39" s="157"/>
      <c r="Q39" s="31"/>
      <c r="R39" s="100" t="str">
        <f>VLOOKUP(C39,'Train Runs'!$A$13:$AE$9974,31,0)</f>
        <v>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 &amp; 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</v>
      </c>
      <c r="S39" s="103" t="str">
        <f>VLOOKUP(C39,'Train Runs'!$A$13:$AE$9974,22,0)</f>
        <v>https://search-rtdc-monitor-bjffxe2xuh6vdkpspy63sjmuny.us-east-1.es.amazonaws.com/_plugin/kibana/#/discover/Steve-Slow-Train-Analysis-(2080s-and-2083s)?_g=(refreshInterval:(display:Off,section:0,value:0),time:(from:'2016-12-21 20:40:19-700',mode:absolute,to:'2016-12-21 22:58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9" s="105" t="str">
        <f t="shared" si="1"/>
        <v>"C:\Program Files (x86)\AstroGrep\AstroGrep.exe" /spath="%USERPROFILE%\AppData\Local\Temp\OnboardLogs" /stypes="*4045*201612220*" /stext=" 04:.+((SYSTEM_STATE.+slice.+state.+changed )|(ment ac)|(multiple cpu faults)|(system.+state.+changed )|(\[timeout)|(PRM\|1\|D)|(kpr)|(kdp)|(\|lc)|(penalty))" /e /r /s</v>
      </c>
      <c r="U39" s="9" t="str">
        <f t="shared" si="2"/>
        <v>4045</v>
      </c>
      <c r="V39" s="36">
        <f t="shared" si="3"/>
        <v>42726.207291666666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{"issue":{"subject":"","project_id":79,"tracker_id":40,"status_id":1,"priority_id":2,"assigned_to_id":23,"start_date":"2016-12-21","description":"","custom_fields":[{"id":1,"name":"Subdivision","value":"NW"},{"id":4,"name":"Milepost","value":"0.0575"},{"id":17,"name":"Train ID","value":"844-21"},{"id":16,"name":"Locomotive ID","value":"4045"},{"id":130,"name":"Impact","value":""},{"id":150,"name":"Time of Event (Mountain Time)","value":"21:58:30"},{"id":151,"name":"Denver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"%USERPROFILE%\AppData\Local\Temp\OnboardLogs"\RTDC4045\*4045*201612220*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"%USERPROFILE%\AppData\Local\Temp\OnboardLogs"\RTDC4045\*4045*201612220* &gt;&gt; 42725-slicedisagreementcheck.txt</v>
      </c>
    </row>
    <row r="40" spans="1:30" x14ac:dyDescent="0.25">
      <c r="A40" s="36">
        <v>42725.276967592596</v>
      </c>
      <c r="B40" s="31" t="s">
        <v>229</v>
      </c>
      <c r="C40" s="31" t="s">
        <v>428</v>
      </c>
      <c r="D40" s="31" t="s">
        <v>49</v>
      </c>
      <c r="E40" s="31" t="s">
        <v>200</v>
      </c>
      <c r="F40" s="47">
        <v>0</v>
      </c>
      <c r="G40" s="47">
        <v>89</v>
      </c>
      <c r="H40" s="47">
        <v>58743</v>
      </c>
      <c r="I40" s="47">
        <v>58843</v>
      </c>
      <c r="J40" s="31" t="s">
        <v>201</v>
      </c>
      <c r="K40" s="47">
        <v>59048</v>
      </c>
      <c r="L40" s="154" t="s">
        <v>50</v>
      </c>
      <c r="M40" s="155">
        <f t="shared" si="0"/>
        <v>108.24</v>
      </c>
      <c r="N40" s="156" t="str">
        <f>VLOOKUP(C40,'Trips&amp;Operators'!$C$1:$G$99999,5,FALSE)</f>
        <v>DUNCAN SHEILA</v>
      </c>
      <c r="O40" s="184" t="s">
        <v>195</v>
      </c>
      <c r="P40" s="157"/>
      <c r="Q40" s="31"/>
      <c r="R40" s="100" t="str">
        <f>VLOOKUP(C40,'Train Runs'!$A$13:$AE$9974,31,0)</f>
        <v>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 &amp; 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</v>
      </c>
      <c r="S40" s="103" t="str">
        <f>VLOOKUP(C40,'Train Runs'!$A$13:$AE$9974,22,0)</f>
        <v>https://search-rtdc-monitor-bjffxe2xuh6vdkpspy63sjmuny.us-east-1.es.amazonaws.com/_plugin/kibana/#/discover/Steve-Slow-Train-Analysis-(2080s-and-2083s)?_g=(refreshInterval:(display:Off,section:0,value:0),time:(from:'2016-12-21 05:21:12-700',mode:absolute,to:'2016-12-21 07:38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40" s="105" t="str">
        <f t="shared" si="1"/>
        <v>"C:\Program Files (x86)\AstroGrep\AstroGrep.exe" /spath="%USERPROFILE%\AppData\Local\Temp\OnboardLogs" /stypes="*4046*201612211*" /stext=" 13:.+((SYSTEM_STATE.+slice.+state.+changed )|(ment ac)|(multiple cpu faults)|(system.+state.+changed )|(\[timeout)|(PRM\|1\|D)|(kpr)|(kdp)|(\|lc)|(penalty))" /e /r /s</v>
      </c>
      <c r="U40" s="9" t="str">
        <f t="shared" si="2"/>
        <v>4046</v>
      </c>
      <c r="V40" s="36">
        <f t="shared" si="3"/>
        <v>42725.56863425926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{"issue":{"subject":"","project_id":79,"tracker_id":40,"status_id":1,"priority_id":2,"assigned_to_id":23,"start_date":"2016-12-21","description":"","custom_fields":[{"id":1,"name":"Subdivision","value":"NW"},{"id":4,"name":"Milepost","value":"5.9048"},{"id":17,"name":"Train ID","value":"803-21"},{"id":16,"name":"Locomotive ID","value":"4046"},{"id":130,"name":"Impact","value":""},{"id":150,"name":"Time of Event (Mountain Time)","value":"06:38:50"},{"id":151,"name":"Denver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"%USERPROFILE%\AppData\Local\Temp\OnboardLogs"\RTDC4046\*4046*201612211*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"%USERPROFILE%\AppData\Local\Temp\OnboardLogs"\RTDC4046\*4046*201612211* &gt;&gt; 42725-slicedisagreementcheck.txt</v>
      </c>
    </row>
    <row r="41" spans="1:30" x14ac:dyDescent="0.25">
      <c r="A41" s="36">
        <v>42725.806180555555</v>
      </c>
      <c r="B41" s="31" t="s">
        <v>183</v>
      </c>
      <c r="C41" s="31" t="s">
        <v>447</v>
      </c>
      <c r="D41" s="31" t="s">
        <v>98</v>
      </c>
      <c r="E41" s="31" t="s">
        <v>196</v>
      </c>
      <c r="F41" s="47">
        <v>150</v>
      </c>
      <c r="G41" s="47">
        <v>203</v>
      </c>
      <c r="H41" s="47">
        <v>5093</v>
      </c>
      <c r="I41" s="47">
        <v>5412</v>
      </c>
      <c r="J41" s="31" t="s">
        <v>197</v>
      </c>
      <c r="K41" s="47">
        <v>3478</v>
      </c>
      <c r="L41" s="154" t="s">
        <v>50</v>
      </c>
      <c r="M41" s="155">
        <f t="shared" si="0"/>
        <v>-1021.152</v>
      </c>
      <c r="N41" s="156" t="str">
        <f>VLOOKUP(C41,'Trips&amp;Operators'!$C$1:$G$99999,5,FALSE)</f>
        <v>BARTLETT KIANDRA</v>
      </c>
      <c r="O41" s="184" t="s">
        <v>195</v>
      </c>
      <c r="P41" s="157"/>
      <c r="Q41" s="31"/>
      <c r="R41" s="100" t="str">
        <f>VLOOKUP(C41,'Train Runs'!$A$13:$AE$9974,31,0)</f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S41" s="103" t="str">
        <f>VLOOKUP(C41,'Train Runs'!$A$13:$AE$9974,22,0)</f>
        <v>https://search-rtdc-monitor-bjffxe2xuh6vdkpspy63sjmuny.us-east-1.es.amazonaws.com/_plugin/kibana/#/discover/Steve-Slow-Train-Analysis-(2080s-and-2083s)?_g=(refreshInterval:(display:Off,section:0,value:0),time:(from:'2016-12-21 18:07:37-700',mode:absolute,to:'2016-12-21 20:26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1" s="105" t="str">
        <f t="shared" si="1"/>
        <v>"C:\Program Files (x86)\AstroGrep\AstroGrep.exe" /spath="%USERPROFILE%\AppData\Local\Temp\OnboardLogs" /stypes="*4009*201612220*" /stext=" 02:.+((SYSTEM_STATE.+slice.+state.+changed )|(ment ac)|(multiple cpu faults)|(system.+state.+changed )|(\[timeout)|(PRM\|1\|D)|(kpr)|(kdp)|(\|lc)|(penalty))" /e /r /s</v>
      </c>
      <c r="U41" s="9" t="str">
        <f t="shared" si="2"/>
        <v>4009</v>
      </c>
      <c r="V41" s="36">
        <f t="shared" si="3"/>
        <v>42726.09784722222</v>
      </c>
      <c r="W41" s="50" t="str">
        <f t="shared" si="4"/>
        <v>Other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{"issue":{"subject":"","project_id":79,"tracker_id":40,"status_id":1,"priority_id":2,"assigned_to_id":23,"start_date":"2016-12-21","description":"","custom_fields":[{"id":1,"name":"Subdivision","value":"Other"},{"id":4,"name":"Milepost","value":"0.3478"},{"id":17,"name":"Train ID","value":"305-21"},{"id":16,"name":"Locomotive ID","value":"4009"},{"id":130,"name":"Impact","value":""},{"id":150,"name":"Time of Event (Mountain Time)","value":"19:20:54"},{"id":151,"name":"Denver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"%USERPROFILE%\AppData\Local\Temp\OnboardLogs"\RTDC4009\*4009*201612220*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"%USERPROFILE%\AppData\Local\Temp\OnboardLogs"\RTDC4009\*4009*201612220* &gt;&gt; 42725-slicedisagreementcheck.txt</v>
      </c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4">
      <sortCondition ref="V6:V44"/>
    </sortState>
  </autoFilter>
  <sortState ref="A7:AD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4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hyperlinks>
    <hyperlink ref="Z19" r:id="rId1"/>
    <hyperlink ref="Z3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3" sqref="E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2016-12-21</v>
      </c>
      <c r="C1" s="186"/>
      <c r="D1" s="186"/>
      <c r="E1" s="186"/>
      <c r="F1" s="186"/>
    </row>
    <row r="2" spans="1:11" s="24" customFormat="1" ht="45" x14ac:dyDescent="0.25">
      <c r="A2" s="179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114</v>
      </c>
      <c r="B3" s="47" t="str">
        <f>A3&amp;"-"&amp;IF(DAY(Variables!$A$2)&lt;10,0,"")&amp;DAY(Variables!$A$2)</f>
        <v>114-21</v>
      </c>
      <c r="C3" s="158"/>
      <c r="D3" s="163"/>
      <c r="E3" s="31" t="s">
        <v>845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-21%22)),sort:!(Time,asc))</v>
      </c>
      <c r="J3" s="31" t="e">
        <f>VLOOKUP(B3,'Train Runs'!$A$13:$A$99971,1,FALSE)</f>
        <v>#N/A</v>
      </c>
      <c r="K3" s="31" t="e">
        <f>IF(VLOOKUP(A3,$K$26:$K$49,1,FALSE),"Cancelled")</f>
        <v>#N/A</v>
      </c>
    </row>
    <row r="4" spans="1:11" x14ac:dyDescent="0.25">
      <c r="A4" s="171">
        <v>240</v>
      </c>
      <c r="B4" s="47" t="str">
        <f>A4&amp;"-"&amp;IF(DAY(Variables!$A$2)&lt;10,0,"")&amp;DAY(Variables!$A$2)</f>
        <v>240-21</v>
      </c>
      <c r="C4" s="158"/>
      <c r="D4" s="163"/>
      <c r="E4" s="31" t="s">
        <v>845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22240-21%22)),sort:!(Time,asc))</v>
      </c>
      <c r="J4" s="31" t="e">
        <f>VLOOKUP(B4,'Train Runs'!$A$13:$A$99971,1,FALSE)</f>
        <v>#N/A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-21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5" s="31" t="e">
        <f>VLOOKUP(B5,'Train Runs'!$A$13:$A$99971,1,FALSE)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-21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6" s="31" t="e">
        <f>VLOOKUP(B6,'Train Runs'!$A$13:$A$99971,1,FALSE)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-21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7" s="31" t="e">
        <f>VLOOKUP(B7,'Train Runs'!$A$13:$A$99971,1,FALSE)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-21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8" s="31" t="e">
        <f>VLOOKUP(B8,'Train Runs'!$A$13:$A$99971,1,FALSE)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-21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9" s="31" t="e">
        <f>VLOOKUP(B9,'Train Runs'!$A$13:$A$99971,1,FALSE)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-21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0" s="31" t="e">
        <f>VLOOKUP(B10,'Train Runs'!$A$13:$A$99971,1,FALSE)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-21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1" s="31" t="e">
        <f>VLOOKUP(B11,'Train Runs'!$A$13:$A$99971,1,FALSE)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-21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2" s="31" t="e">
        <f>VLOOKUP(B12,'Train Runs'!$A$13:$A$99971,1,FALSE)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-21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3" s="31" t="e">
        <f>VLOOKUP(B13,'Train Runs'!$A$13:$A$99971,1,FALSE)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-21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4" s="31" t="e">
        <f>VLOOKUP(B14,'Train Runs'!$A$13:$A$99971,1,FALSE)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-21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5" s="31" t="e">
        <f>VLOOKUP(B15,'Train Runs'!$A$13:$A$99971,1,FALSE)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-21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6" s="31" t="e">
        <f>VLOOKUP(B16,'Train Runs'!$A$13:$A$99971,1,FALSE)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-21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7" s="31" t="e">
        <f>VLOOKUP(B17,'Train Runs'!$A$13:$A$99971,1,FALSE)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-21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8" s="31" t="e">
        <f>VLOOKUP(B18,'Train Runs'!$A$13:$A$99971,1,FALSE)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254</v>
      </c>
      <c r="G1" s="8" t="s">
        <v>253</v>
      </c>
    </row>
    <row r="2" spans="1:7" x14ac:dyDescent="0.25">
      <c r="A2" s="8">
        <v>42725.032210648147</v>
      </c>
      <c r="B2" s="21" t="s">
        <v>293</v>
      </c>
      <c r="C2" s="21" t="s">
        <v>456</v>
      </c>
      <c r="D2" s="164">
        <v>2730000</v>
      </c>
      <c r="E2" s="21" t="s">
        <v>374</v>
      </c>
      <c r="F2" s="21" t="s">
        <v>375</v>
      </c>
      <c r="G2" s="8" t="str">
        <f>E2&amp;" "&amp;F2</f>
        <v>YANG JAN</v>
      </c>
    </row>
    <row r="3" spans="1:7" x14ac:dyDescent="0.25">
      <c r="A3" s="8">
        <v>42725.047013888892</v>
      </c>
      <c r="B3" s="21" t="s">
        <v>281</v>
      </c>
      <c r="C3" s="21" t="s">
        <v>457</v>
      </c>
      <c r="D3" s="164">
        <v>1810000</v>
      </c>
      <c r="E3" s="21" t="s">
        <v>297</v>
      </c>
      <c r="F3" s="21" t="s">
        <v>252</v>
      </c>
      <c r="G3" s="8" t="str">
        <f t="shared" ref="G3:G66" si="0">E3&amp;" "&amp;F3</f>
        <v>NEWELL JAMES</v>
      </c>
    </row>
    <row r="4" spans="1:7" x14ac:dyDescent="0.25">
      <c r="A4" s="8">
        <v>42725.058136574073</v>
      </c>
      <c r="B4" s="21" t="s">
        <v>236</v>
      </c>
      <c r="C4" s="21" t="s">
        <v>458</v>
      </c>
      <c r="D4" s="164">
        <v>2000000</v>
      </c>
      <c r="E4" s="21" t="s">
        <v>209</v>
      </c>
      <c r="F4" s="21" t="s">
        <v>252</v>
      </c>
      <c r="G4" s="8" t="str">
        <f t="shared" si="0"/>
        <v>STAMBAUGH JAMES</v>
      </c>
    </row>
    <row r="5" spans="1:7" x14ac:dyDescent="0.25">
      <c r="A5" s="8">
        <v>42725.073645833334</v>
      </c>
      <c r="B5" s="21" t="s">
        <v>229</v>
      </c>
      <c r="C5" s="21" t="s">
        <v>459</v>
      </c>
      <c r="D5" s="164">
        <v>2730000</v>
      </c>
      <c r="E5" s="21" t="s">
        <v>374</v>
      </c>
      <c r="F5" s="21" t="s">
        <v>375</v>
      </c>
      <c r="G5" s="8" t="str">
        <f t="shared" si="0"/>
        <v>YANG JAN</v>
      </c>
    </row>
    <row r="6" spans="1:7" x14ac:dyDescent="0.25">
      <c r="A6" s="8">
        <v>42725.087673611109</v>
      </c>
      <c r="B6" s="21" t="s">
        <v>318</v>
      </c>
      <c r="C6" s="21" t="s">
        <v>460</v>
      </c>
      <c r="D6" s="164">
        <v>2000000</v>
      </c>
      <c r="E6" s="21" t="s">
        <v>209</v>
      </c>
      <c r="F6" s="21" t="s">
        <v>252</v>
      </c>
      <c r="G6" s="8" t="str">
        <f t="shared" si="0"/>
        <v>STAMBAUGH JAMES</v>
      </c>
    </row>
    <row r="7" spans="1:7" x14ac:dyDescent="0.25">
      <c r="A7" s="8">
        <v>42725.112060185187</v>
      </c>
      <c r="B7" s="21" t="s">
        <v>207</v>
      </c>
      <c r="C7" s="21" t="s">
        <v>461</v>
      </c>
      <c r="D7" s="164">
        <v>2100000</v>
      </c>
      <c r="E7" s="21" t="s">
        <v>462</v>
      </c>
      <c r="F7" s="21" t="s">
        <v>463</v>
      </c>
      <c r="G7" s="8" t="str">
        <f t="shared" si="0"/>
        <v>ISHMAEL JOSEPH</v>
      </c>
    </row>
    <row r="8" spans="1:7" x14ac:dyDescent="0.25">
      <c r="A8" s="8">
        <v>42725.122557870367</v>
      </c>
      <c r="B8" s="21" t="s">
        <v>244</v>
      </c>
      <c r="C8" s="21" t="s">
        <v>464</v>
      </c>
      <c r="D8" s="164">
        <v>2100000</v>
      </c>
      <c r="E8" s="21" t="s">
        <v>462</v>
      </c>
      <c r="F8" s="21" t="s">
        <v>463</v>
      </c>
      <c r="G8" s="8" t="str">
        <f t="shared" si="0"/>
        <v>ISHMAEL JOSEPH</v>
      </c>
    </row>
    <row r="9" spans="1:7" ht="15.75" thickBot="1" x14ac:dyDescent="0.3">
      <c r="A9" s="25">
        <v>42725.1403125</v>
      </c>
      <c r="B9" s="21" t="s">
        <v>319</v>
      </c>
      <c r="C9" s="21" t="s">
        <v>465</v>
      </c>
      <c r="D9" s="164">
        <v>2610000</v>
      </c>
      <c r="E9" s="21" t="s">
        <v>361</v>
      </c>
      <c r="F9" s="21" t="s">
        <v>362</v>
      </c>
      <c r="G9" s="8" t="str">
        <f t="shared" si="0"/>
        <v>MAGEE KENYA</v>
      </c>
    </row>
    <row r="10" spans="1:7" x14ac:dyDescent="0.25">
      <c r="A10" s="8">
        <v>42725.151967592596</v>
      </c>
      <c r="B10" s="21" t="s">
        <v>232</v>
      </c>
      <c r="C10" s="21" t="s">
        <v>466</v>
      </c>
      <c r="D10" s="164">
        <v>2610000</v>
      </c>
      <c r="E10" s="21" t="s">
        <v>361</v>
      </c>
      <c r="F10" s="21" t="s">
        <v>362</v>
      </c>
      <c r="G10" s="8" t="str">
        <f t="shared" si="0"/>
        <v>MAGEE KENYA</v>
      </c>
    </row>
    <row r="11" spans="1:7" x14ac:dyDescent="0.25">
      <c r="A11" s="8">
        <v>42725.158101851855</v>
      </c>
      <c r="B11" s="21" t="s">
        <v>272</v>
      </c>
      <c r="C11" s="21" t="s">
        <v>467</v>
      </c>
      <c r="D11" s="164">
        <v>1100000</v>
      </c>
      <c r="E11" s="21" t="s">
        <v>468</v>
      </c>
      <c r="F11" s="21" t="s">
        <v>469</v>
      </c>
      <c r="G11" s="8" t="str">
        <f t="shared" si="0"/>
        <v>GEBRETEKLE DAGNEW</v>
      </c>
    </row>
    <row r="12" spans="1:7" x14ac:dyDescent="0.25">
      <c r="A12" s="8">
        <v>42725.160196759258</v>
      </c>
      <c r="B12" s="21" t="s">
        <v>272</v>
      </c>
      <c r="C12" s="21" t="s">
        <v>467</v>
      </c>
      <c r="D12" s="164">
        <v>1100000</v>
      </c>
      <c r="E12" s="21" t="s">
        <v>468</v>
      </c>
      <c r="F12" s="21" t="s">
        <v>469</v>
      </c>
      <c r="G12" s="8" t="str">
        <f t="shared" si="0"/>
        <v>GEBRETEKLE DAGNEW</v>
      </c>
    </row>
    <row r="13" spans="1:7" x14ac:dyDescent="0.25">
      <c r="A13" s="8">
        <v>42725.161550925928</v>
      </c>
      <c r="B13" s="21" t="s">
        <v>232</v>
      </c>
      <c r="C13" s="21" t="s">
        <v>466</v>
      </c>
      <c r="D13" s="164">
        <v>2610000</v>
      </c>
      <c r="E13" s="21" t="s">
        <v>361</v>
      </c>
      <c r="F13" s="21" t="s">
        <v>362</v>
      </c>
      <c r="G13" s="8" t="str">
        <f t="shared" si="0"/>
        <v>MAGEE KENYA</v>
      </c>
    </row>
    <row r="14" spans="1:7" x14ac:dyDescent="0.25">
      <c r="A14" s="8">
        <v>42725.166921296295</v>
      </c>
      <c r="B14" s="21" t="s">
        <v>274</v>
      </c>
      <c r="C14" s="21" t="s">
        <v>470</v>
      </c>
      <c r="D14" s="164">
        <v>940000</v>
      </c>
      <c r="E14" s="21" t="s">
        <v>471</v>
      </c>
      <c r="F14" s="21" t="s">
        <v>472</v>
      </c>
      <c r="G14" s="8" t="str">
        <f t="shared" si="0"/>
        <v>BONDS REYNALDO</v>
      </c>
    </row>
    <row r="15" spans="1:7" x14ac:dyDescent="0.25">
      <c r="A15" s="8">
        <v>42725.169803240744</v>
      </c>
      <c r="B15" s="21" t="s">
        <v>207</v>
      </c>
      <c r="C15" s="21" t="s">
        <v>473</v>
      </c>
      <c r="D15" s="164">
        <v>2100000</v>
      </c>
      <c r="E15" s="21" t="s">
        <v>462</v>
      </c>
      <c r="F15" s="21" t="s">
        <v>463</v>
      </c>
      <c r="G15" s="8" t="str">
        <f t="shared" si="0"/>
        <v>ISHMAEL JOSEPH</v>
      </c>
    </row>
    <row r="16" spans="1:7" x14ac:dyDescent="0.25">
      <c r="A16" s="8">
        <v>42725.170416666668</v>
      </c>
      <c r="B16" s="21" t="s">
        <v>316</v>
      </c>
      <c r="C16" s="21" t="s">
        <v>474</v>
      </c>
      <c r="D16" s="164">
        <v>1100000</v>
      </c>
      <c r="E16" s="21" t="s">
        <v>468</v>
      </c>
      <c r="F16" s="21" t="s">
        <v>469</v>
      </c>
      <c r="G16" s="8" t="str">
        <f t="shared" si="0"/>
        <v>GEBRETEKLE DAGNEW</v>
      </c>
    </row>
    <row r="17" spans="1:7" x14ac:dyDescent="0.25">
      <c r="A17" s="8">
        <v>42725.18236111111</v>
      </c>
      <c r="B17" s="21" t="s">
        <v>360</v>
      </c>
      <c r="C17" s="21" t="s">
        <v>475</v>
      </c>
      <c r="D17" s="164">
        <v>1290000</v>
      </c>
      <c r="E17" s="21" t="s">
        <v>476</v>
      </c>
      <c r="F17" s="21" t="s">
        <v>250</v>
      </c>
      <c r="G17" s="8" t="str">
        <f t="shared" si="0"/>
        <v>COOLAHAN JOHN</v>
      </c>
    </row>
    <row r="18" spans="1:7" x14ac:dyDescent="0.25">
      <c r="A18" s="8">
        <v>42725.182708333334</v>
      </c>
      <c r="B18" s="21" t="s">
        <v>277</v>
      </c>
      <c r="C18" s="21" t="s">
        <v>477</v>
      </c>
      <c r="D18" s="164">
        <v>940000</v>
      </c>
      <c r="E18" s="21" t="s">
        <v>471</v>
      </c>
      <c r="F18" s="21" t="s">
        <v>472</v>
      </c>
      <c r="G18" s="8" t="str">
        <f t="shared" si="0"/>
        <v>BONDS REYNALDO</v>
      </c>
    </row>
    <row r="19" spans="1:7" x14ac:dyDescent="0.25">
      <c r="A19" s="8">
        <v>42725.192372685182</v>
      </c>
      <c r="B19" s="21" t="s">
        <v>319</v>
      </c>
      <c r="C19" s="21" t="s">
        <v>478</v>
      </c>
      <c r="D19" s="164">
        <v>2610000</v>
      </c>
      <c r="E19" s="21" t="s">
        <v>361</v>
      </c>
      <c r="F19" s="21" t="s">
        <v>362</v>
      </c>
      <c r="G19" s="8" t="str">
        <f t="shared" si="0"/>
        <v>MAGEE KENYA</v>
      </c>
    </row>
    <row r="20" spans="1:7" x14ac:dyDescent="0.25">
      <c r="A20" s="8">
        <v>42725.195925925924</v>
      </c>
      <c r="B20" s="21" t="s">
        <v>367</v>
      </c>
      <c r="C20" s="21" t="s">
        <v>479</v>
      </c>
      <c r="D20" s="164">
        <v>1290000</v>
      </c>
      <c r="E20" s="21" t="s">
        <v>476</v>
      </c>
      <c r="F20" s="21" t="s">
        <v>250</v>
      </c>
      <c r="G20" s="8" t="str">
        <f t="shared" si="0"/>
        <v>COOLAHAN JOHN</v>
      </c>
    </row>
    <row r="21" spans="1:7" x14ac:dyDescent="0.25">
      <c r="A21" s="8">
        <v>42725.204837962963</v>
      </c>
      <c r="B21" s="21" t="s">
        <v>281</v>
      </c>
      <c r="C21" s="21" t="s">
        <v>480</v>
      </c>
      <c r="D21" s="164">
        <v>2710000</v>
      </c>
      <c r="E21" s="21" t="s">
        <v>365</v>
      </c>
      <c r="F21" s="21" t="s">
        <v>366</v>
      </c>
      <c r="G21" s="8" t="str">
        <f t="shared" si="0"/>
        <v>SIMMONS SHYHESHA</v>
      </c>
    </row>
    <row r="22" spans="1:7" x14ac:dyDescent="0.25">
      <c r="A22" s="27">
        <v>42725.208726851852</v>
      </c>
      <c r="B22" s="21" t="s">
        <v>244</v>
      </c>
      <c r="C22" s="21" t="s">
        <v>481</v>
      </c>
      <c r="D22" s="164">
        <v>1340000</v>
      </c>
      <c r="E22" s="21" t="s">
        <v>482</v>
      </c>
      <c r="F22" s="21" t="s">
        <v>483</v>
      </c>
      <c r="G22" s="8" t="str">
        <f t="shared" si="0"/>
        <v>BEAM ROSS</v>
      </c>
    </row>
    <row r="23" spans="1:7" x14ac:dyDescent="0.25">
      <c r="A23" s="8">
        <v>42725.21</v>
      </c>
      <c r="B23" s="21" t="s">
        <v>206</v>
      </c>
      <c r="C23" s="21" t="s">
        <v>484</v>
      </c>
      <c r="D23" s="164">
        <v>2100000</v>
      </c>
      <c r="E23" s="21" t="s">
        <v>462</v>
      </c>
      <c r="F23" s="21" t="s">
        <v>463</v>
      </c>
      <c r="G23" s="8" t="str">
        <f t="shared" si="0"/>
        <v>ISHMAEL JOSEPH</v>
      </c>
    </row>
    <row r="24" spans="1:7" x14ac:dyDescent="0.25">
      <c r="A24" s="8">
        <v>42725.210902777777</v>
      </c>
      <c r="B24" s="21" t="s">
        <v>272</v>
      </c>
      <c r="C24" s="21" t="s">
        <v>426</v>
      </c>
      <c r="D24" s="164">
        <v>1100000</v>
      </c>
      <c r="E24" s="21" t="s">
        <v>468</v>
      </c>
      <c r="F24" s="21" t="s">
        <v>469</v>
      </c>
      <c r="G24" s="8" t="str">
        <f t="shared" si="0"/>
        <v>GEBRETEKLE DAGNEW</v>
      </c>
    </row>
    <row r="25" spans="1:7" x14ac:dyDescent="0.25">
      <c r="A25" s="8">
        <v>42725.213738425926</v>
      </c>
      <c r="B25" s="21" t="s">
        <v>282</v>
      </c>
      <c r="C25" s="21" t="s">
        <v>485</v>
      </c>
      <c r="D25" s="164">
        <v>2710000</v>
      </c>
      <c r="E25" s="21" t="s">
        <v>365</v>
      </c>
      <c r="F25" s="21" t="s">
        <v>366</v>
      </c>
      <c r="G25" s="8" t="str">
        <f t="shared" si="0"/>
        <v>SIMMONS SHYHESHA</v>
      </c>
    </row>
    <row r="26" spans="1:7" x14ac:dyDescent="0.25">
      <c r="A26" s="8">
        <v>42725.217812499999</v>
      </c>
      <c r="B26" s="21" t="s">
        <v>274</v>
      </c>
      <c r="C26" s="21" t="s">
        <v>427</v>
      </c>
      <c r="D26" s="164">
        <v>940000</v>
      </c>
      <c r="E26" s="21" t="s">
        <v>471</v>
      </c>
      <c r="F26" s="21" t="s">
        <v>472</v>
      </c>
      <c r="G26" s="8" t="str">
        <f t="shared" si="0"/>
        <v>BONDS REYNALDO</v>
      </c>
    </row>
    <row r="27" spans="1:7" x14ac:dyDescent="0.25">
      <c r="A27" s="8">
        <v>42725.227465277778</v>
      </c>
      <c r="B27" s="21" t="s">
        <v>232</v>
      </c>
      <c r="C27" s="21" t="s">
        <v>486</v>
      </c>
      <c r="D27" s="164">
        <v>1110000</v>
      </c>
      <c r="E27" s="21" t="s">
        <v>363</v>
      </c>
      <c r="F27" s="21" t="s">
        <v>364</v>
      </c>
      <c r="G27" s="8" t="str">
        <f t="shared" si="0"/>
        <v>STARKS ANGELINA</v>
      </c>
    </row>
    <row r="28" spans="1:7" x14ac:dyDescent="0.25">
      <c r="A28" s="8">
        <v>42725.229039351849</v>
      </c>
      <c r="B28" s="21" t="s">
        <v>317</v>
      </c>
      <c r="C28" s="21" t="s">
        <v>487</v>
      </c>
      <c r="D28" s="164">
        <v>2610000</v>
      </c>
      <c r="E28" s="21" t="s">
        <v>361</v>
      </c>
      <c r="F28" s="21" t="s">
        <v>362</v>
      </c>
      <c r="G28" s="8" t="str">
        <f t="shared" si="0"/>
        <v>MAGEE KENYA</v>
      </c>
    </row>
    <row r="29" spans="1:7" x14ac:dyDescent="0.25">
      <c r="A29" s="8">
        <v>42725.229143518518</v>
      </c>
      <c r="B29" s="21" t="s">
        <v>232</v>
      </c>
      <c r="C29" s="21" t="s">
        <v>486</v>
      </c>
      <c r="D29" s="164">
        <v>1110000</v>
      </c>
      <c r="E29" s="21" t="s">
        <v>363</v>
      </c>
      <c r="F29" s="21" t="s">
        <v>364</v>
      </c>
      <c r="G29" s="8" t="str">
        <f t="shared" si="0"/>
        <v>STARKS ANGELINA</v>
      </c>
    </row>
    <row r="30" spans="1:7" x14ac:dyDescent="0.25">
      <c r="A30" s="8">
        <v>42725.233344907407</v>
      </c>
      <c r="B30" s="21" t="s">
        <v>360</v>
      </c>
      <c r="C30" s="21" t="s">
        <v>488</v>
      </c>
      <c r="D30" s="164">
        <v>1290000</v>
      </c>
      <c r="E30" s="21" t="s">
        <v>476</v>
      </c>
      <c r="F30" s="21" t="s">
        <v>250</v>
      </c>
      <c r="G30" s="8" t="str">
        <f t="shared" si="0"/>
        <v>COOLAHAN JOHN</v>
      </c>
    </row>
    <row r="31" spans="1:7" x14ac:dyDescent="0.25">
      <c r="A31" s="8">
        <v>42725.241319444445</v>
      </c>
      <c r="B31" s="21" t="s">
        <v>259</v>
      </c>
      <c r="C31" s="21" t="s">
        <v>489</v>
      </c>
      <c r="D31" s="164">
        <v>1340000</v>
      </c>
      <c r="E31" s="21" t="s">
        <v>482</v>
      </c>
      <c r="F31" s="21" t="s">
        <v>483</v>
      </c>
      <c r="G31" s="8" t="str">
        <f t="shared" si="0"/>
        <v>BEAM ROSS</v>
      </c>
    </row>
    <row r="32" spans="1:7" x14ac:dyDescent="0.25">
      <c r="A32" s="8">
        <v>42725.242719907408</v>
      </c>
      <c r="B32" s="21" t="s">
        <v>281</v>
      </c>
      <c r="C32" s="21" t="s">
        <v>490</v>
      </c>
      <c r="D32" s="164">
        <v>2710000</v>
      </c>
      <c r="E32" s="21" t="s">
        <v>365</v>
      </c>
      <c r="F32" s="21" t="s">
        <v>366</v>
      </c>
      <c r="G32" s="8" t="str">
        <f t="shared" si="0"/>
        <v>SIMMONS SHYHESHA</v>
      </c>
    </row>
    <row r="33" spans="1:7" x14ac:dyDescent="0.25">
      <c r="A33" s="8">
        <v>42725.24894675926</v>
      </c>
      <c r="B33" s="21" t="s">
        <v>316</v>
      </c>
      <c r="C33" s="21" t="s">
        <v>491</v>
      </c>
      <c r="D33" s="164">
        <v>1100000</v>
      </c>
      <c r="E33" s="21" t="s">
        <v>468</v>
      </c>
      <c r="F33" s="21" t="s">
        <v>469</v>
      </c>
      <c r="G33" s="8" t="str">
        <f t="shared" si="0"/>
        <v>GEBRETEKLE DAGNEW</v>
      </c>
    </row>
    <row r="34" spans="1:7" x14ac:dyDescent="0.25">
      <c r="A34" s="8">
        <v>42725.255567129629</v>
      </c>
      <c r="B34" s="21" t="s">
        <v>282</v>
      </c>
      <c r="C34" s="21" t="s">
        <v>485</v>
      </c>
      <c r="D34" s="164">
        <v>2710000</v>
      </c>
      <c r="E34" s="21" t="s">
        <v>365</v>
      </c>
      <c r="F34" s="21" t="s">
        <v>366</v>
      </c>
      <c r="G34" s="8" t="str">
        <f t="shared" si="0"/>
        <v>SIMMONS SHYHESHA</v>
      </c>
    </row>
    <row r="35" spans="1:7" x14ac:dyDescent="0.25">
      <c r="A35" s="8">
        <v>42725.256458333337</v>
      </c>
      <c r="B35" s="21" t="s">
        <v>261</v>
      </c>
      <c r="C35" s="21" t="s">
        <v>492</v>
      </c>
      <c r="D35" s="164">
        <v>2680000</v>
      </c>
      <c r="E35" s="21" t="s">
        <v>368</v>
      </c>
      <c r="F35" s="21" t="s">
        <v>369</v>
      </c>
      <c r="G35" s="8" t="str">
        <f t="shared" si="0"/>
        <v>DUNCAN SHEILA</v>
      </c>
    </row>
    <row r="36" spans="1:7" x14ac:dyDescent="0.25">
      <c r="A36" s="8">
        <v>42725.257789351854</v>
      </c>
      <c r="B36" s="21" t="s">
        <v>282</v>
      </c>
      <c r="C36" s="21" t="s">
        <v>493</v>
      </c>
      <c r="D36" s="164">
        <v>2710000</v>
      </c>
      <c r="E36" s="21" t="s">
        <v>365</v>
      </c>
      <c r="F36" s="21" t="s">
        <v>366</v>
      </c>
      <c r="G36" s="8" t="str">
        <f t="shared" si="0"/>
        <v>SIMMONS SHYHESHA</v>
      </c>
    </row>
    <row r="37" spans="1:7" x14ac:dyDescent="0.25">
      <c r="A37" s="8">
        <v>42725.259016203701</v>
      </c>
      <c r="B37" s="21" t="s">
        <v>277</v>
      </c>
      <c r="C37" s="21" t="s">
        <v>494</v>
      </c>
      <c r="D37" s="164">
        <v>940000</v>
      </c>
      <c r="E37" s="21" t="s">
        <v>471</v>
      </c>
      <c r="F37" s="21" t="s">
        <v>472</v>
      </c>
      <c r="G37" s="8" t="str">
        <f t="shared" si="0"/>
        <v>BONDS REYNALDO</v>
      </c>
    </row>
    <row r="38" spans="1:7" x14ac:dyDescent="0.25">
      <c r="A38" s="8">
        <v>42725.265486111108</v>
      </c>
      <c r="B38" s="21" t="s">
        <v>229</v>
      </c>
      <c r="C38" s="21" t="s">
        <v>428</v>
      </c>
      <c r="D38" s="164">
        <v>2680000</v>
      </c>
      <c r="E38" s="21" t="s">
        <v>368</v>
      </c>
      <c r="F38" s="21" t="s">
        <v>369</v>
      </c>
      <c r="G38" s="8" t="str">
        <f t="shared" si="0"/>
        <v>DUNCAN SHEILA</v>
      </c>
    </row>
    <row r="39" spans="1:7" x14ac:dyDescent="0.25">
      <c r="A39" s="8">
        <v>42725.267268518517</v>
      </c>
      <c r="B39" s="21" t="s">
        <v>233</v>
      </c>
      <c r="C39" s="21" t="s">
        <v>430</v>
      </c>
      <c r="D39" s="164">
        <v>1110000</v>
      </c>
      <c r="E39" s="21" t="s">
        <v>363</v>
      </c>
      <c r="F39" s="21" t="s">
        <v>364</v>
      </c>
      <c r="G39" s="8" t="str">
        <f t="shared" si="0"/>
        <v>STARKS ANGELINA</v>
      </c>
    </row>
    <row r="40" spans="1:7" x14ac:dyDescent="0.25">
      <c r="A40" s="8">
        <v>42725.268159722225</v>
      </c>
      <c r="B40" s="26" t="s">
        <v>233</v>
      </c>
      <c r="C40" s="21" t="s">
        <v>430</v>
      </c>
      <c r="D40" s="164">
        <v>1110000</v>
      </c>
      <c r="E40" s="21" t="s">
        <v>363</v>
      </c>
      <c r="F40" s="21" t="s">
        <v>364</v>
      </c>
      <c r="G40" s="8" t="str">
        <f t="shared" si="0"/>
        <v>STARKS ANGELINA</v>
      </c>
    </row>
    <row r="41" spans="1:7" x14ac:dyDescent="0.25">
      <c r="A41" s="8">
        <v>42725.268819444442</v>
      </c>
      <c r="B41" s="21" t="s">
        <v>233</v>
      </c>
      <c r="C41" s="21" t="s">
        <v>430</v>
      </c>
      <c r="D41" s="164">
        <v>1110000</v>
      </c>
      <c r="E41" s="21" t="s">
        <v>363</v>
      </c>
      <c r="F41" s="21" t="s">
        <v>364</v>
      </c>
      <c r="G41" s="8" t="str">
        <f t="shared" si="0"/>
        <v>STARKS ANGELINA</v>
      </c>
    </row>
    <row r="42" spans="1:7" x14ac:dyDescent="0.25">
      <c r="A42" s="8">
        <v>42725.268969907411</v>
      </c>
      <c r="B42" s="21" t="s">
        <v>367</v>
      </c>
      <c r="C42" s="21" t="s">
        <v>429</v>
      </c>
      <c r="D42" s="164">
        <v>1290000</v>
      </c>
      <c r="E42" s="21" t="s">
        <v>476</v>
      </c>
      <c r="F42" s="21" t="s">
        <v>250</v>
      </c>
      <c r="G42" s="8" t="str">
        <f t="shared" si="0"/>
        <v>COOLAHAN JOHN</v>
      </c>
    </row>
    <row r="43" spans="1:7" x14ac:dyDescent="0.25">
      <c r="A43" s="8">
        <v>42725.271724537037</v>
      </c>
      <c r="B43" s="21" t="s">
        <v>319</v>
      </c>
      <c r="C43" s="21" t="s">
        <v>495</v>
      </c>
      <c r="D43" s="164">
        <v>2610000</v>
      </c>
      <c r="E43" s="21" t="s">
        <v>361</v>
      </c>
      <c r="F43" s="21" t="s">
        <v>362</v>
      </c>
      <c r="G43" s="8" t="str">
        <f t="shared" si="0"/>
        <v>MAGEE KENYA</v>
      </c>
    </row>
    <row r="44" spans="1:7" x14ac:dyDescent="0.25">
      <c r="A44" s="8">
        <v>42725.2737037037</v>
      </c>
      <c r="B44" s="21" t="s">
        <v>281</v>
      </c>
      <c r="C44" s="21" t="s">
        <v>496</v>
      </c>
      <c r="D44" s="164">
        <v>2710000</v>
      </c>
      <c r="E44" s="21" t="s">
        <v>365</v>
      </c>
      <c r="F44" s="21" t="s">
        <v>366</v>
      </c>
      <c r="G44" s="8" t="str">
        <f t="shared" si="0"/>
        <v>SIMMONS SHYHESHA</v>
      </c>
    </row>
    <row r="45" spans="1:7" x14ac:dyDescent="0.25">
      <c r="A45" s="8">
        <v>42725.27925925926</v>
      </c>
      <c r="B45" s="21" t="s">
        <v>261</v>
      </c>
      <c r="C45" s="21" t="s">
        <v>497</v>
      </c>
      <c r="D45" s="164">
        <v>2680000</v>
      </c>
      <c r="E45" s="21" t="s">
        <v>368</v>
      </c>
      <c r="F45" s="21" t="s">
        <v>369</v>
      </c>
      <c r="G45" s="8" t="str">
        <f t="shared" si="0"/>
        <v>DUNCAN SHEILA</v>
      </c>
    </row>
    <row r="46" spans="1:7" x14ac:dyDescent="0.25">
      <c r="A46" s="8">
        <v>42725.279791666668</v>
      </c>
      <c r="B46" s="21" t="s">
        <v>244</v>
      </c>
      <c r="C46" s="21" t="s">
        <v>498</v>
      </c>
      <c r="D46" s="164">
        <v>1340000</v>
      </c>
      <c r="E46" s="21" t="s">
        <v>482</v>
      </c>
      <c r="F46" s="21" t="s">
        <v>483</v>
      </c>
      <c r="G46" s="8" t="str">
        <f t="shared" si="0"/>
        <v>BEAM ROSS</v>
      </c>
    </row>
    <row r="47" spans="1:7" x14ac:dyDescent="0.25">
      <c r="A47" s="8">
        <v>42725.284918981481</v>
      </c>
      <c r="B47" s="21" t="s">
        <v>225</v>
      </c>
      <c r="C47" s="21" t="s">
        <v>499</v>
      </c>
      <c r="D47" s="164">
        <v>2100000</v>
      </c>
      <c r="E47" s="21" t="s">
        <v>462</v>
      </c>
      <c r="F47" s="21" t="s">
        <v>463</v>
      </c>
      <c r="G47" s="8" t="str">
        <f t="shared" si="0"/>
        <v>ISHMAEL JOSEPH</v>
      </c>
    </row>
    <row r="48" spans="1:7" x14ac:dyDescent="0.25">
      <c r="A48" s="8">
        <v>42725.286944444444</v>
      </c>
      <c r="B48" s="21" t="s">
        <v>315</v>
      </c>
      <c r="C48" s="21" t="s">
        <v>500</v>
      </c>
      <c r="D48" s="164">
        <v>1100000</v>
      </c>
      <c r="E48" s="21" t="s">
        <v>468</v>
      </c>
      <c r="F48" s="21" t="s">
        <v>469</v>
      </c>
      <c r="G48" s="8" t="str">
        <f t="shared" si="0"/>
        <v>GEBRETEKLE DAGNEW</v>
      </c>
    </row>
    <row r="49" spans="1:7" x14ac:dyDescent="0.25">
      <c r="A49" s="8">
        <v>42725.287824074076</v>
      </c>
      <c r="B49" s="21" t="s">
        <v>274</v>
      </c>
      <c r="C49" s="21" t="s">
        <v>431</v>
      </c>
      <c r="D49" s="164">
        <v>940000</v>
      </c>
      <c r="E49" s="21" t="s">
        <v>471</v>
      </c>
      <c r="F49" s="21" t="s">
        <v>472</v>
      </c>
      <c r="G49" s="8" t="str">
        <f t="shared" si="0"/>
        <v>BONDS REYNALDO</v>
      </c>
    </row>
    <row r="50" spans="1:7" x14ac:dyDescent="0.25">
      <c r="A50" s="8">
        <v>42725.289837962962</v>
      </c>
      <c r="B50" s="21" t="s">
        <v>367</v>
      </c>
      <c r="C50" s="21" t="s">
        <v>429</v>
      </c>
      <c r="D50" s="164">
        <v>1290000</v>
      </c>
      <c r="E50" s="21" t="s">
        <v>476</v>
      </c>
      <c r="F50" s="21" t="s">
        <v>250</v>
      </c>
      <c r="G50" s="8" t="str">
        <f t="shared" si="0"/>
        <v>COOLAHAN JOHN</v>
      </c>
    </row>
    <row r="51" spans="1:7" x14ac:dyDescent="0.25">
      <c r="A51" s="8">
        <v>42725.296712962961</v>
      </c>
      <c r="B51" s="21" t="s">
        <v>282</v>
      </c>
      <c r="C51" s="21" t="s">
        <v>501</v>
      </c>
      <c r="D51" s="164">
        <v>2710000</v>
      </c>
      <c r="E51" s="21" t="s">
        <v>365</v>
      </c>
      <c r="F51" s="21" t="s">
        <v>366</v>
      </c>
      <c r="G51" s="8" t="str">
        <f t="shared" si="0"/>
        <v>SIMMONS SHYHESHA</v>
      </c>
    </row>
    <row r="52" spans="1:7" x14ac:dyDescent="0.25">
      <c r="A52" s="8">
        <v>42725.300347222219</v>
      </c>
      <c r="B52" s="21" t="s">
        <v>232</v>
      </c>
      <c r="C52" s="21" t="s">
        <v>502</v>
      </c>
      <c r="D52" s="164">
        <v>1110000</v>
      </c>
      <c r="E52" s="21" t="s">
        <v>363</v>
      </c>
      <c r="F52" s="21" t="s">
        <v>364</v>
      </c>
      <c r="G52" s="8" t="str">
        <f t="shared" si="0"/>
        <v>STARKS ANGELINA</v>
      </c>
    </row>
    <row r="53" spans="1:7" x14ac:dyDescent="0.25">
      <c r="A53" s="8">
        <v>42725.304490740738</v>
      </c>
      <c r="B53" s="21" t="s">
        <v>229</v>
      </c>
      <c r="C53" s="21" t="s">
        <v>432</v>
      </c>
      <c r="D53" s="164">
        <v>2680000</v>
      </c>
      <c r="E53" s="21" t="s">
        <v>368</v>
      </c>
      <c r="F53" s="21" t="s">
        <v>369</v>
      </c>
      <c r="G53" s="8" t="str">
        <f t="shared" si="0"/>
        <v>DUNCAN SHEILA</v>
      </c>
    </row>
    <row r="54" spans="1:7" x14ac:dyDescent="0.25">
      <c r="A54" s="8">
        <v>42725.306562500002</v>
      </c>
      <c r="B54" s="21" t="s">
        <v>360</v>
      </c>
      <c r="C54" s="21" t="s">
        <v>503</v>
      </c>
      <c r="D54" s="164">
        <v>1290000</v>
      </c>
      <c r="E54" s="21" t="s">
        <v>476</v>
      </c>
      <c r="F54" s="21" t="s">
        <v>250</v>
      </c>
      <c r="G54" s="8" t="str">
        <f t="shared" si="0"/>
        <v>COOLAHAN JOHN</v>
      </c>
    </row>
    <row r="55" spans="1:7" x14ac:dyDescent="0.25">
      <c r="A55" s="8">
        <v>42725.308865740742</v>
      </c>
      <c r="B55" s="21" t="s">
        <v>317</v>
      </c>
      <c r="C55" s="21" t="s">
        <v>504</v>
      </c>
      <c r="D55" s="164">
        <v>2610000</v>
      </c>
      <c r="E55" s="21" t="s">
        <v>361</v>
      </c>
      <c r="F55" s="21" t="s">
        <v>362</v>
      </c>
      <c r="G55" s="8" t="str">
        <f t="shared" si="0"/>
        <v>MAGEE KENYA</v>
      </c>
    </row>
    <row r="56" spans="1:7" x14ac:dyDescent="0.25">
      <c r="A56" s="8">
        <v>42725.314745370371</v>
      </c>
      <c r="B56" s="21" t="s">
        <v>259</v>
      </c>
      <c r="C56" s="21" t="s">
        <v>505</v>
      </c>
      <c r="D56" s="164">
        <v>1340000</v>
      </c>
      <c r="E56" s="21" t="s">
        <v>482</v>
      </c>
      <c r="F56" s="21" t="s">
        <v>483</v>
      </c>
      <c r="G56" s="8" t="str">
        <f t="shared" si="0"/>
        <v>BEAM ROSS</v>
      </c>
    </row>
    <row r="57" spans="1:7" x14ac:dyDescent="0.25">
      <c r="A57" s="8">
        <v>42725.318379629629</v>
      </c>
      <c r="B57" s="21" t="s">
        <v>261</v>
      </c>
      <c r="C57" s="21" t="s">
        <v>506</v>
      </c>
      <c r="D57" s="164">
        <v>2680000</v>
      </c>
      <c r="E57" s="21" t="s">
        <v>368</v>
      </c>
      <c r="F57" s="21" t="s">
        <v>369</v>
      </c>
      <c r="G57" s="8" t="str">
        <f t="shared" si="0"/>
        <v>DUNCAN SHEILA</v>
      </c>
    </row>
    <row r="58" spans="1:7" x14ac:dyDescent="0.25">
      <c r="A58" s="8">
        <v>42725.319189814814</v>
      </c>
      <c r="B58" s="21" t="s">
        <v>316</v>
      </c>
      <c r="C58" s="21" t="s">
        <v>507</v>
      </c>
      <c r="D58" s="164">
        <v>1100000</v>
      </c>
      <c r="E58" s="21" t="s">
        <v>468</v>
      </c>
      <c r="F58" s="21" t="s">
        <v>469</v>
      </c>
      <c r="G58" s="8" t="str">
        <f t="shared" si="0"/>
        <v>GEBRETEKLE DAGNEW</v>
      </c>
    </row>
    <row r="59" spans="1:7" x14ac:dyDescent="0.25">
      <c r="A59" s="8">
        <v>42725.324166666665</v>
      </c>
      <c r="B59" s="21" t="s">
        <v>281</v>
      </c>
      <c r="C59" s="21" t="s">
        <v>508</v>
      </c>
      <c r="D59" s="164">
        <v>2710000</v>
      </c>
      <c r="E59" s="21" t="s">
        <v>365</v>
      </c>
      <c r="F59" s="21" t="s">
        <v>366</v>
      </c>
      <c r="G59" s="8" t="str">
        <f t="shared" si="0"/>
        <v>SIMMONS SHYHESHA</v>
      </c>
    </row>
    <row r="60" spans="1:7" x14ac:dyDescent="0.25">
      <c r="A60" s="8">
        <v>42725.325555555559</v>
      </c>
      <c r="B60" s="21" t="s">
        <v>272</v>
      </c>
      <c r="C60" s="21" t="s">
        <v>509</v>
      </c>
      <c r="D60" s="164">
        <v>2100000</v>
      </c>
      <c r="E60" s="21" t="s">
        <v>462</v>
      </c>
      <c r="F60" s="21" t="s">
        <v>463</v>
      </c>
      <c r="G60" s="8" t="str">
        <f t="shared" si="0"/>
        <v>ISHMAEL JOSEPH</v>
      </c>
    </row>
    <row r="61" spans="1:7" x14ac:dyDescent="0.25">
      <c r="A61" s="8">
        <v>42725.329016203701</v>
      </c>
      <c r="B61" s="21" t="s">
        <v>277</v>
      </c>
      <c r="C61" s="21" t="s">
        <v>510</v>
      </c>
      <c r="D61" s="164">
        <v>940000</v>
      </c>
      <c r="E61" s="21" t="s">
        <v>471</v>
      </c>
      <c r="F61" s="21" t="s">
        <v>472</v>
      </c>
      <c r="G61" s="8" t="str">
        <f t="shared" si="0"/>
        <v>BONDS REYNALDO</v>
      </c>
    </row>
    <row r="62" spans="1:7" x14ac:dyDescent="0.25">
      <c r="A62" s="8">
        <v>42725.338680555556</v>
      </c>
      <c r="B62" s="21" t="s">
        <v>282</v>
      </c>
      <c r="C62" s="21" t="s">
        <v>511</v>
      </c>
      <c r="D62" s="164">
        <v>2710000</v>
      </c>
      <c r="E62" s="21" t="s">
        <v>365</v>
      </c>
      <c r="F62" s="21" t="s">
        <v>366</v>
      </c>
      <c r="G62" s="8" t="str">
        <f t="shared" si="0"/>
        <v>SIMMONS SHYHESHA</v>
      </c>
    </row>
    <row r="63" spans="1:7" x14ac:dyDescent="0.25">
      <c r="A63" s="8">
        <v>42725.339363425926</v>
      </c>
      <c r="B63" s="21" t="s">
        <v>233</v>
      </c>
      <c r="C63" s="21" t="s">
        <v>433</v>
      </c>
      <c r="D63" s="164">
        <v>1110000</v>
      </c>
      <c r="E63" s="21" t="s">
        <v>363</v>
      </c>
      <c r="F63" s="21" t="s">
        <v>364</v>
      </c>
      <c r="G63" s="8" t="str">
        <f t="shared" si="0"/>
        <v>STARKS ANGELINA</v>
      </c>
    </row>
    <row r="64" spans="1:7" x14ac:dyDescent="0.25">
      <c r="A64" s="27">
        <v>42725.339525462965</v>
      </c>
      <c r="B64" s="21" t="s">
        <v>367</v>
      </c>
      <c r="C64" s="21" t="s">
        <v>512</v>
      </c>
      <c r="D64" s="164">
        <v>1290000</v>
      </c>
      <c r="E64" s="21" t="s">
        <v>476</v>
      </c>
      <c r="F64" s="21" t="s">
        <v>250</v>
      </c>
      <c r="G64" s="8" t="str">
        <f t="shared" si="0"/>
        <v>COOLAHAN JOHN</v>
      </c>
    </row>
    <row r="65" spans="1:7" x14ac:dyDescent="0.25">
      <c r="A65" s="8">
        <v>42725.344340277778</v>
      </c>
      <c r="B65" s="21" t="s">
        <v>319</v>
      </c>
      <c r="C65" s="21" t="s">
        <v>435</v>
      </c>
      <c r="D65" s="164">
        <v>2610000</v>
      </c>
      <c r="E65" s="21" t="s">
        <v>361</v>
      </c>
      <c r="F65" s="21" t="s">
        <v>362</v>
      </c>
      <c r="G65" s="8" t="str">
        <f t="shared" si="0"/>
        <v>MAGEE KENYA</v>
      </c>
    </row>
    <row r="66" spans="1:7" x14ac:dyDescent="0.25">
      <c r="A66" s="8">
        <v>42725.347581018519</v>
      </c>
      <c r="B66" s="21" t="s">
        <v>229</v>
      </c>
      <c r="C66" s="21" t="s">
        <v>513</v>
      </c>
      <c r="D66" s="164">
        <v>2680000</v>
      </c>
      <c r="E66" s="21" t="s">
        <v>368</v>
      </c>
      <c r="F66" s="21" t="s">
        <v>369</v>
      </c>
      <c r="G66" s="8" t="str">
        <f t="shared" si="0"/>
        <v>DUNCAN SHEILA</v>
      </c>
    </row>
    <row r="67" spans="1:7" x14ac:dyDescent="0.25">
      <c r="A67" s="8">
        <v>42725.352025462962</v>
      </c>
      <c r="B67" s="21" t="s">
        <v>244</v>
      </c>
      <c r="C67" s="21" t="s">
        <v>434</v>
      </c>
      <c r="D67" s="164">
        <v>1340000</v>
      </c>
      <c r="E67" s="21" t="s">
        <v>482</v>
      </c>
      <c r="F67" s="21" t="s">
        <v>483</v>
      </c>
      <c r="G67" s="8" t="str">
        <f t="shared" ref="G67:G130" si="1">E67&amp;" "&amp;F67</f>
        <v>BEAM ROSS</v>
      </c>
    </row>
    <row r="68" spans="1:7" x14ac:dyDescent="0.25">
      <c r="A68" s="8">
        <v>42725.353136574071</v>
      </c>
      <c r="B68" s="21" t="s">
        <v>281</v>
      </c>
      <c r="C68" s="21" t="s">
        <v>514</v>
      </c>
      <c r="D68" s="164">
        <v>2710000</v>
      </c>
      <c r="E68" s="21" t="s">
        <v>365</v>
      </c>
      <c r="F68" s="21" t="s">
        <v>366</v>
      </c>
      <c r="G68" s="8" t="str">
        <f t="shared" si="1"/>
        <v>SIMMONS SHYHESHA</v>
      </c>
    </row>
    <row r="69" spans="1:7" x14ac:dyDescent="0.25">
      <c r="A69" s="8">
        <v>42725.357893518521</v>
      </c>
      <c r="B69" s="21" t="s">
        <v>315</v>
      </c>
      <c r="C69" s="21" t="s">
        <v>515</v>
      </c>
      <c r="D69" s="164">
        <v>1100000</v>
      </c>
      <c r="E69" s="21" t="s">
        <v>468</v>
      </c>
      <c r="F69" s="21" t="s">
        <v>469</v>
      </c>
      <c r="G69" s="8" t="str">
        <f t="shared" si="1"/>
        <v>GEBRETEKLE DAGNEW</v>
      </c>
    </row>
    <row r="70" spans="1:7" x14ac:dyDescent="0.25">
      <c r="A70" s="8">
        <v>42725.360439814816</v>
      </c>
      <c r="B70" s="21" t="s">
        <v>261</v>
      </c>
      <c r="C70" s="21" t="s">
        <v>516</v>
      </c>
      <c r="D70" s="164">
        <v>2680000</v>
      </c>
      <c r="E70" s="21" t="s">
        <v>368</v>
      </c>
      <c r="F70" s="21" t="s">
        <v>369</v>
      </c>
      <c r="G70" s="8" t="str">
        <f t="shared" si="1"/>
        <v>DUNCAN SHEILA</v>
      </c>
    </row>
    <row r="71" spans="1:7" x14ac:dyDescent="0.25">
      <c r="A71" s="8">
        <v>42725.36146990741</v>
      </c>
      <c r="B71" s="21" t="s">
        <v>183</v>
      </c>
      <c r="C71" s="21" t="s">
        <v>517</v>
      </c>
      <c r="D71" s="164">
        <v>2100000</v>
      </c>
      <c r="E71" s="21" t="s">
        <v>462</v>
      </c>
      <c r="F71" s="21" t="s">
        <v>463</v>
      </c>
      <c r="G71" s="8" t="str">
        <f t="shared" si="1"/>
        <v>ISHMAEL JOSEPH</v>
      </c>
    </row>
    <row r="72" spans="1:7" x14ac:dyDescent="0.25">
      <c r="A72" s="8">
        <v>42725.36278935185</v>
      </c>
      <c r="B72" s="21" t="s">
        <v>274</v>
      </c>
      <c r="C72" s="21" t="s">
        <v>518</v>
      </c>
      <c r="D72" s="164">
        <v>940000</v>
      </c>
      <c r="E72" s="21" t="s">
        <v>471</v>
      </c>
      <c r="F72" s="21" t="s">
        <v>472</v>
      </c>
      <c r="G72" s="8" t="str">
        <f t="shared" si="1"/>
        <v>BONDS REYNALDO</v>
      </c>
    </row>
    <row r="73" spans="1:7" x14ac:dyDescent="0.25">
      <c r="A73" s="8">
        <v>42725.37190972222</v>
      </c>
      <c r="B73" s="21" t="s">
        <v>183</v>
      </c>
      <c r="C73" s="21" t="s">
        <v>517</v>
      </c>
      <c r="D73" s="164">
        <v>2100000</v>
      </c>
      <c r="E73" s="21" t="s">
        <v>462</v>
      </c>
      <c r="F73" s="21" t="s">
        <v>463</v>
      </c>
      <c r="G73" s="8" t="str">
        <f t="shared" si="1"/>
        <v>ISHMAEL JOSEPH</v>
      </c>
    </row>
    <row r="74" spans="1:7" x14ac:dyDescent="0.25">
      <c r="A74" s="8">
        <v>42725.37395833333</v>
      </c>
      <c r="B74" s="21" t="s">
        <v>183</v>
      </c>
      <c r="C74" s="21" t="s">
        <v>517</v>
      </c>
      <c r="D74" s="164">
        <v>2100000</v>
      </c>
      <c r="E74" s="21" t="s">
        <v>462</v>
      </c>
      <c r="F74" s="21" t="s">
        <v>463</v>
      </c>
      <c r="G74" s="8" t="str">
        <f t="shared" si="1"/>
        <v>ISHMAEL JOSEPH</v>
      </c>
    </row>
    <row r="75" spans="1:7" x14ac:dyDescent="0.25">
      <c r="A75" s="8">
        <v>42725.374409722222</v>
      </c>
      <c r="B75" s="21" t="s">
        <v>232</v>
      </c>
      <c r="C75" s="21" t="s">
        <v>519</v>
      </c>
      <c r="D75" s="164">
        <v>2600000</v>
      </c>
      <c r="E75" s="21" t="s">
        <v>234</v>
      </c>
      <c r="F75" s="21" t="s">
        <v>251</v>
      </c>
      <c r="G75" s="8" t="str">
        <f t="shared" si="1"/>
        <v>DAVIDSON DAVID</v>
      </c>
    </row>
    <row r="76" spans="1:7" x14ac:dyDescent="0.25">
      <c r="A76" s="8">
        <v>42725.376701388886</v>
      </c>
      <c r="B76" s="21" t="s">
        <v>229</v>
      </c>
      <c r="C76" s="21" t="s">
        <v>520</v>
      </c>
      <c r="D76" s="164">
        <v>2680000</v>
      </c>
      <c r="E76" s="21" t="s">
        <v>368</v>
      </c>
      <c r="F76" s="21" t="s">
        <v>369</v>
      </c>
      <c r="G76" s="8" t="str">
        <f t="shared" si="1"/>
        <v>DUNCAN SHEILA</v>
      </c>
    </row>
    <row r="77" spans="1:7" x14ac:dyDescent="0.25">
      <c r="A77" s="8">
        <v>42725.378252314818</v>
      </c>
      <c r="B77" s="21" t="s">
        <v>360</v>
      </c>
      <c r="C77" s="21" t="s">
        <v>521</v>
      </c>
      <c r="D77" s="164">
        <v>1290000</v>
      </c>
      <c r="E77" s="21" t="s">
        <v>476</v>
      </c>
      <c r="F77" s="21" t="s">
        <v>250</v>
      </c>
      <c r="G77" s="8" t="str">
        <f t="shared" si="1"/>
        <v>COOLAHAN JOHN</v>
      </c>
    </row>
    <row r="78" spans="1:7" x14ac:dyDescent="0.25">
      <c r="A78" s="8">
        <v>42725.382141203707</v>
      </c>
      <c r="B78" s="21" t="s">
        <v>317</v>
      </c>
      <c r="C78" s="21" t="s">
        <v>522</v>
      </c>
      <c r="D78" s="164">
        <v>2610000</v>
      </c>
      <c r="E78" s="21" t="s">
        <v>361</v>
      </c>
      <c r="F78" s="21" t="s">
        <v>362</v>
      </c>
      <c r="G78" s="8" t="str">
        <f t="shared" si="1"/>
        <v>MAGEE KENYA</v>
      </c>
    </row>
    <row r="79" spans="1:7" x14ac:dyDescent="0.25">
      <c r="A79" s="8">
        <v>42725.389421296299</v>
      </c>
      <c r="B79" s="21" t="s">
        <v>259</v>
      </c>
      <c r="C79" s="21" t="s">
        <v>523</v>
      </c>
      <c r="D79" s="164">
        <v>1340000</v>
      </c>
      <c r="E79" s="21" t="s">
        <v>482</v>
      </c>
      <c r="F79" s="21" t="s">
        <v>483</v>
      </c>
      <c r="G79" s="8" t="str">
        <f t="shared" si="1"/>
        <v>BEAM ROSS</v>
      </c>
    </row>
    <row r="80" spans="1:7" x14ac:dyDescent="0.25">
      <c r="A80" s="8">
        <v>42725.392905092594</v>
      </c>
      <c r="B80" s="21" t="s">
        <v>316</v>
      </c>
      <c r="C80" s="21" t="s">
        <v>437</v>
      </c>
      <c r="D80" s="164">
        <v>1100000</v>
      </c>
      <c r="E80" s="21" t="s">
        <v>468</v>
      </c>
      <c r="F80" s="21" t="s">
        <v>469</v>
      </c>
      <c r="G80" s="8" t="str">
        <f t="shared" si="1"/>
        <v>GEBRETEKLE DAGNEW</v>
      </c>
    </row>
    <row r="81" spans="1:7" x14ac:dyDescent="0.25">
      <c r="A81" s="8">
        <v>42725.394085648149</v>
      </c>
      <c r="B81" s="21" t="s">
        <v>236</v>
      </c>
      <c r="C81" s="21" t="s">
        <v>524</v>
      </c>
      <c r="D81" s="164">
        <v>1140000</v>
      </c>
      <c r="E81" s="21" t="s">
        <v>525</v>
      </c>
      <c r="F81" s="21" t="s">
        <v>526</v>
      </c>
      <c r="G81" s="8" t="str">
        <f t="shared" si="1"/>
        <v>YOUNG ELIZABETH</v>
      </c>
    </row>
    <row r="82" spans="1:7" x14ac:dyDescent="0.25">
      <c r="A82" s="8">
        <v>42725.399606481478</v>
      </c>
      <c r="B82" s="21" t="s">
        <v>293</v>
      </c>
      <c r="C82" s="21" t="s">
        <v>527</v>
      </c>
      <c r="D82" s="164">
        <v>2100000</v>
      </c>
      <c r="E82" s="21" t="s">
        <v>462</v>
      </c>
      <c r="F82" s="21" t="s">
        <v>463</v>
      </c>
      <c r="G82" s="8" t="str">
        <f t="shared" si="1"/>
        <v>ISHMAEL JOSEPH</v>
      </c>
    </row>
    <row r="83" spans="1:7" x14ac:dyDescent="0.25">
      <c r="A83" s="8">
        <v>42725.401365740741</v>
      </c>
      <c r="B83" s="21" t="s">
        <v>261</v>
      </c>
      <c r="C83" s="21" t="s">
        <v>436</v>
      </c>
      <c r="D83" s="164">
        <v>2680000</v>
      </c>
      <c r="E83" s="21" t="s">
        <v>368</v>
      </c>
      <c r="F83" s="21" t="s">
        <v>369</v>
      </c>
      <c r="G83" s="8" t="str">
        <f t="shared" si="1"/>
        <v>DUNCAN SHEILA</v>
      </c>
    </row>
    <row r="84" spans="1:7" x14ac:dyDescent="0.25">
      <c r="A84" s="8">
        <v>42725.402337962965</v>
      </c>
      <c r="B84" s="21" t="s">
        <v>277</v>
      </c>
      <c r="C84" s="21" t="s">
        <v>528</v>
      </c>
      <c r="D84" s="164">
        <v>940000</v>
      </c>
      <c r="E84" s="21" t="s">
        <v>471</v>
      </c>
      <c r="F84" s="21" t="s">
        <v>472</v>
      </c>
      <c r="G84" s="8" t="str">
        <f t="shared" si="1"/>
        <v>BONDS REYNALDO</v>
      </c>
    </row>
    <row r="85" spans="1:7" x14ac:dyDescent="0.25">
      <c r="A85" s="8">
        <v>42725.411585648151</v>
      </c>
      <c r="B85" s="21" t="s">
        <v>233</v>
      </c>
      <c r="C85" s="21" t="s">
        <v>529</v>
      </c>
      <c r="D85" s="164">
        <v>2600000</v>
      </c>
      <c r="E85" s="21" t="s">
        <v>234</v>
      </c>
      <c r="F85" s="21" t="s">
        <v>251</v>
      </c>
      <c r="G85" s="8" t="str">
        <f t="shared" si="1"/>
        <v>DAVIDSON DAVID</v>
      </c>
    </row>
    <row r="86" spans="1:7" x14ac:dyDescent="0.25">
      <c r="A86" s="8">
        <v>42725.412627314814</v>
      </c>
      <c r="B86" s="21" t="s">
        <v>367</v>
      </c>
      <c r="C86" s="21" t="s">
        <v>530</v>
      </c>
      <c r="D86" s="164">
        <v>1290000</v>
      </c>
      <c r="E86" s="21" t="s">
        <v>476</v>
      </c>
      <c r="F86" s="21" t="s">
        <v>250</v>
      </c>
      <c r="G86" s="8" t="str">
        <f t="shared" si="1"/>
        <v>COOLAHAN JOHN</v>
      </c>
    </row>
    <row r="87" spans="1:7" x14ac:dyDescent="0.25">
      <c r="A87" s="8">
        <v>42725.415983796294</v>
      </c>
      <c r="B87" s="21" t="s">
        <v>319</v>
      </c>
      <c r="C87" s="21" t="s">
        <v>531</v>
      </c>
      <c r="D87" s="164">
        <v>2610000</v>
      </c>
      <c r="E87" s="21" t="s">
        <v>361</v>
      </c>
      <c r="F87" s="21" t="s">
        <v>362</v>
      </c>
      <c r="G87" s="8" t="str">
        <f t="shared" si="1"/>
        <v>MAGEE KENYA</v>
      </c>
    </row>
    <row r="88" spans="1:7" x14ac:dyDescent="0.25">
      <c r="A88" s="8">
        <v>42725.424641203703</v>
      </c>
      <c r="B88" s="21" t="s">
        <v>244</v>
      </c>
      <c r="C88" s="21" t="s">
        <v>532</v>
      </c>
      <c r="D88" s="164">
        <v>1340000</v>
      </c>
      <c r="E88" s="21" t="s">
        <v>482</v>
      </c>
      <c r="F88" s="21" t="s">
        <v>483</v>
      </c>
      <c r="G88" s="8" t="str">
        <f t="shared" si="1"/>
        <v>BEAM ROSS</v>
      </c>
    </row>
    <row r="89" spans="1:7" x14ac:dyDescent="0.25">
      <c r="A89" s="8">
        <v>42725.428263888891</v>
      </c>
      <c r="B89" s="21" t="s">
        <v>229</v>
      </c>
      <c r="C89" s="21" t="s">
        <v>438</v>
      </c>
      <c r="D89" s="164">
        <v>2680000</v>
      </c>
      <c r="E89" s="21" t="s">
        <v>368</v>
      </c>
      <c r="F89" s="21" t="s">
        <v>369</v>
      </c>
      <c r="G89" s="8" t="str">
        <f t="shared" si="1"/>
        <v>DUNCAN SHEILA</v>
      </c>
    </row>
    <row r="90" spans="1:7" x14ac:dyDescent="0.25">
      <c r="A90" s="8">
        <v>42725.429872685185</v>
      </c>
      <c r="B90" s="21" t="s">
        <v>315</v>
      </c>
      <c r="C90" s="21" t="s">
        <v>533</v>
      </c>
      <c r="D90" s="164">
        <v>1100000</v>
      </c>
      <c r="E90" s="21" t="s">
        <v>468</v>
      </c>
      <c r="F90" s="21" t="s">
        <v>469</v>
      </c>
      <c r="G90" s="8" t="str">
        <f t="shared" si="1"/>
        <v>GEBRETEKLE DAGNEW</v>
      </c>
    </row>
    <row r="91" spans="1:7" x14ac:dyDescent="0.25">
      <c r="A91" s="8">
        <v>42725.433078703703</v>
      </c>
      <c r="B91" s="21" t="s">
        <v>274</v>
      </c>
      <c r="C91" s="21" t="s">
        <v>534</v>
      </c>
      <c r="D91" s="164">
        <v>940000</v>
      </c>
      <c r="E91" s="21" t="s">
        <v>471</v>
      </c>
      <c r="F91" s="21" t="s">
        <v>472</v>
      </c>
      <c r="G91" s="8" t="str">
        <f t="shared" si="1"/>
        <v>BONDS REYNALDO</v>
      </c>
    </row>
    <row r="92" spans="1:7" x14ac:dyDescent="0.25">
      <c r="A92" s="8">
        <v>42725.437164351853</v>
      </c>
      <c r="B92" s="21" t="s">
        <v>183</v>
      </c>
      <c r="C92" s="21" t="s">
        <v>439</v>
      </c>
      <c r="D92" s="164">
        <v>2710000</v>
      </c>
      <c r="E92" s="21" t="s">
        <v>365</v>
      </c>
      <c r="F92" s="21" t="s">
        <v>366</v>
      </c>
      <c r="G92" s="8" t="str">
        <f t="shared" si="1"/>
        <v>SIMMONS SHYHESHA</v>
      </c>
    </row>
    <row r="93" spans="1:7" x14ac:dyDescent="0.25">
      <c r="A93" s="8">
        <v>42725.443668981483</v>
      </c>
      <c r="B93" s="21" t="s">
        <v>261</v>
      </c>
      <c r="C93" s="21" t="s">
        <v>535</v>
      </c>
      <c r="D93" s="164">
        <v>2680000</v>
      </c>
      <c r="E93" s="21" t="s">
        <v>368</v>
      </c>
      <c r="F93" s="21" t="s">
        <v>369</v>
      </c>
      <c r="G93" s="8" t="str">
        <f t="shared" si="1"/>
        <v>DUNCAN SHEILA</v>
      </c>
    </row>
    <row r="94" spans="1:7" x14ac:dyDescent="0.25">
      <c r="A94" s="8">
        <v>42725.44703703704</v>
      </c>
      <c r="B94" s="21" t="s">
        <v>232</v>
      </c>
      <c r="C94" s="21" t="s">
        <v>536</v>
      </c>
      <c r="D94" s="164">
        <v>1110000</v>
      </c>
      <c r="E94" s="21" t="s">
        <v>363</v>
      </c>
      <c r="F94" s="21" t="s">
        <v>364</v>
      </c>
      <c r="G94" s="8" t="str">
        <f t="shared" si="1"/>
        <v>STARKS ANGELINA</v>
      </c>
    </row>
    <row r="95" spans="1:7" x14ac:dyDescent="0.25">
      <c r="A95" s="8">
        <v>42725.4528125</v>
      </c>
      <c r="B95" s="21" t="s">
        <v>360</v>
      </c>
      <c r="C95" s="21" t="s">
        <v>537</v>
      </c>
      <c r="D95" s="164">
        <v>1290000</v>
      </c>
      <c r="E95" s="21" t="s">
        <v>476</v>
      </c>
      <c r="F95" s="21" t="s">
        <v>250</v>
      </c>
      <c r="G95" s="8" t="str">
        <f t="shared" si="1"/>
        <v>COOLAHAN JOHN</v>
      </c>
    </row>
    <row r="96" spans="1:7" x14ac:dyDescent="0.25">
      <c r="A96" s="8">
        <v>42725.454039351855</v>
      </c>
      <c r="B96" s="21" t="s">
        <v>317</v>
      </c>
      <c r="C96" s="21" t="s">
        <v>538</v>
      </c>
      <c r="D96" s="164">
        <v>930000</v>
      </c>
      <c r="E96" s="21" t="s">
        <v>370</v>
      </c>
      <c r="F96" s="21" t="s">
        <v>371</v>
      </c>
      <c r="G96" s="8" t="str">
        <f t="shared" si="1"/>
        <v>CLARK KATHLEEN</v>
      </c>
    </row>
    <row r="97" spans="1:7" x14ac:dyDescent="0.25">
      <c r="A97" s="8">
        <v>42725.458807870367</v>
      </c>
      <c r="B97" s="21" t="s">
        <v>259</v>
      </c>
      <c r="C97" s="21" t="s">
        <v>539</v>
      </c>
      <c r="D97" s="164">
        <v>1340000</v>
      </c>
      <c r="E97" s="21" t="s">
        <v>482</v>
      </c>
      <c r="F97" s="21" t="s">
        <v>483</v>
      </c>
      <c r="G97" s="8" t="str">
        <f t="shared" si="1"/>
        <v>BEAM ROSS</v>
      </c>
    </row>
    <row r="98" spans="1:7" x14ac:dyDescent="0.25">
      <c r="A98" s="8">
        <v>42725.460173611114</v>
      </c>
      <c r="B98" s="21" t="s">
        <v>229</v>
      </c>
      <c r="C98" s="21" t="s">
        <v>540</v>
      </c>
      <c r="D98" s="164">
        <v>2680000</v>
      </c>
      <c r="E98" s="21" t="s">
        <v>368</v>
      </c>
      <c r="F98" s="21" t="s">
        <v>369</v>
      </c>
      <c r="G98" s="8" t="str">
        <f t="shared" si="1"/>
        <v>DUNCAN SHEILA</v>
      </c>
    </row>
    <row r="99" spans="1:7" x14ac:dyDescent="0.25">
      <c r="A99" s="8">
        <v>42725.465300925927</v>
      </c>
      <c r="B99" s="21" t="s">
        <v>316</v>
      </c>
      <c r="C99" s="21" t="s">
        <v>440</v>
      </c>
      <c r="D99" s="164">
        <v>920000</v>
      </c>
      <c r="E99" s="21" t="s">
        <v>265</v>
      </c>
      <c r="F99" s="21" t="s">
        <v>264</v>
      </c>
      <c r="G99" s="8" t="str">
        <f t="shared" si="1"/>
        <v>DAVIS MICHAEL</v>
      </c>
    </row>
    <row r="100" spans="1:7" x14ac:dyDescent="0.25">
      <c r="A100" s="8">
        <v>42725.465891203705</v>
      </c>
      <c r="B100" s="21" t="s">
        <v>293</v>
      </c>
      <c r="C100" s="21" t="s">
        <v>541</v>
      </c>
      <c r="D100" s="164">
        <v>2710000</v>
      </c>
      <c r="E100" s="21" t="s">
        <v>365</v>
      </c>
      <c r="F100" s="21" t="s">
        <v>366</v>
      </c>
      <c r="G100" s="8" t="str">
        <f t="shared" si="1"/>
        <v>SIMMONS SHYHESHA</v>
      </c>
    </row>
    <row r="101" spans="1:7" x14ac:dyDescent="0.25">
      <c r="A101" s="8">
        <v>42725.476666666669</v>
      </c>
      <c r="B101" s="21" t="s">
        <v>277</v>
      </c>
      <c r="C101" s="21" t="s">
        <v>542</v>
      </c>
      <c r="D101" s="164">
        <v>2670000</v>
      </c>
      <c r="E101" s="21" t="s">
        <v>372</v>
      </c>
      <c r="F101" s="21" t="s">
        <v>373</v>
      </c>
      <c r="G101" s="8" t="str">
        <f t="shared" si="1"/>
        <v>COMELLA JUSTIN</v>
      </c>
    </row>
    <row r="102" spans="1:7" x14ac:dyDescent="0.25">
      <c r="A102" s="8">
        <v>42725.485196759262</v>
      </c>
      <c r="B102" s="21" t="s">
        <v>233</v>
      </c>
      <c r="C102" s="21" t="s">
        <v>543</v>
      </c>
      <c r="D102" s="164">
        <v>1110000</v>
      </c>
      <c r="E102" s="21" t="s">
        <v>363</v>
      </c>
      <c r="F102" s="21" t="s">
        <v>364</v>
      </c>
      <c r="G102" s="8" t="str">
        <f t="shared" si="1"/>
        <v>STARKS ANGELINA</v>
      </c>
    </row>
    <row r="103" spans="1:7" x14ac:dyDescent="0.25">
      <c r="A103" s="8">
        <v>42725.485752314817</v>
      </c>
      <c r="B103" s="21" t="s">
        <v>261</v>
      </c>
      <c r="C103" s="21" t="s">
        <v>544</v>
      </c>
      <c r="D103" s="164">
        <v>2680000</v>
      </c>
      <c r="E103" s="21" t="s">
        <v>368</v>
      </c>
      <c r="F103" s="21" t="s">
        <v>369</v>
      </c>
      <c r="G103" s="8" t="str">
        <f t="shared" si="1"/>
        <v>DUNCAN SHEILA</v>
      </c>
    </row>
    <row r="104" spans="1:7" x14ac:dyDescent="0.25">
      <c r="A104" s="8">
        <v>42725.486122685186</v>
      </c>
      <c r="B104" s="21" t="s">
        <v>367</v>
      </c>
      <c r="C104" s="21" t="s">
        <v>545</v>
      </c>
      <c r="D104" s="164">
        <v>1540000</v>
      </c>
      <c r="E104" s="21" t="s">
        <v>546</v>
      </c>
      <c r="F104" s="21" t="s">
        <v>547</v>
      </c>
      <c r="G104" s="8" t="str">
        <f t="shared" si="1"/>
        <v>HELVIE ADAM</v>
      </c>
    </row>
    <row r="105" spans="1:7" x14ac:dyDescent="0.25">
      <c r="A105" s="8">
        <v>42725.492951388886</v>
      </c>
      <c r="B105" s="21" t="s">
        <v>319</v>
      </c>
      <c r="C105" s="21" t="s">
        <v>548</v>
      </c>
      <c r="D105" s="164">
        <v>930000</v>
      </c>
      <c r="E105" s="21" t="s">
        <v>370</v>
      </c>
      <c r="F105" s="21" t="s">
        <v>371</v>
      </c>
      <c r="G105" s="8" t="str">
        <f t="shared" si="1"/>
        <v>CLARK KATHLEEN</v>
      </c>
    </row>
    <row r="106" spans="1:7" x14ac:dyDescent="0.25">
      <c r="A106" s="8">
        <v>42725.498287037037</v>
      </c>
      <c r="B106" s="21" t="s">
        <v>244</v>
      </c>
      <c r="C106" s="21" t="s">
        <v>549</v>
      </c>
      <c r="D106" s="164">
        <v>1280000</v>
      </c>
      <c r="E106" s="21" t="s">
        <v>324</v>
      </c>
      <c r="F106" s="21" t="s">
        <v>325</v>
      </c>
      <c r="G106" s="8" t="str">
        <f t="shared" si="1"/>
        <v>BARTLETT KIANDRA</v>
      </c>
    </row>
    <row r="107" spans="1:7" x14ac:dyDescent="0.25">
      <c r="A107" s="8">
        <v>42725.505671296298</v>
      </c>
      <c r="B107" s="21" t="s">
        <v>315</v>
      </c>
      <c r="C107" s="21" t="s">
        <v>441</v>
      </c>
      <c r="D107" s="164">
        <v>920000</v>
      </c>
      <c r="E107" s="21" t="s">
        <v>265</v>
      </c>
      <c r="F107" s="21" t="s">
        <v>264</v>
      </c>
      <c r="G107" s="8" t="str">
        <f t="shared" si="1"/>
        <v>DAVIS MICHAEL</v>
      </c>
    </row>
    <row r="108" spans="1:7" x14ac:dyDescent="0.25">
      <c r="A108" s="8">
        <v>42725.508761574078</v>
      </c>
      <c r="B108" s="21" t="s">
        <v>183</v>
      </c>
      <c r="C108" s="21" t="s">
        <v>550</v>
      </c>
      <c r="D108" s="164">
        <v>1300000</v>
      </c>
      <c r="E108" s="21" t="s">
        <v>113</v>
      </c>
      <c r="F108" s="21" t="s">
        <v>276</v>
      </c>
      <c r="G108" s="8" t="str">
        <f t="shared" si="1"/>
        <v>LEVIN SCOTT</v>
      </c>
    </row>
    <row r="109" spans="1:7" x14ac:dyDescent="0.25">
      <c r="A109" s="8">
        <v>42725.509444444448</v>
      </c>
      <c r="B109" s="21" t="s">
        <v>229</v>
      </c>
      <c r="C109" s="21" t="s">
        <v>551</v>
      </c>
      <c r="D109" s="164">
        <v>2600000</v>
      </c>
      <c r="E109" s="21" t="s">
        <v>234</v>
      </c>
      <c r="F109" s="21" t="s">
        <v>251</v>
      </c>
      <c r="G109" s="8" t="str">
        <f t="shared" si="1"/>
        <v>DAVIDSON DAVID</v>
      </c>
    </row>
    <row r="110" spans="1:7" x14ac:dyDescent="0.25">
      <c r="A110" s="8">
        <v>42725.51258101852</v>
      </c>
      <c r="B110" s="21" t="s">
        <v>274</v>
      </c>
      <c r="C110" s="21" t="s">
        <v>552</v>
      </c>
      <c r="D110" s="164">
        <v>2670000</v>
      </c>
      <c r="E110" s="21" t="s">
        <v>372</v>
      </c>
      <c r="F110" s="21" t="s">
        <v>373</v>
      </c>
      <c r="G110" s="8" t="str">
        <f t="shared" si="1"/>
        <v>COMELLA JUSTIN</v>
      </c>
    </row>
    <row r="111" spans="1:7" x14ac:dyDescent="0.25">
      <c r="A111" s="8">
        <v>42725.519247685188</v>
      </c>
      <c r="B111" s="21" t="s">
        <v>232</v>
      </c>
      <c r="C111" s="21" t="s">
        <v>553</v>
      </c>
      <c r="D111" s="164">
        <v>1190000</v>
      </c>
      <c r="E111" s="21" t="s">
        <v>554</v>
      </c>
      <c r="F111" s="21" t="s">
        <v>555</v>
      </c>
      <c r="G111" s="8" t="str">
        <f t="shared" si="1"/>
        <v>BRANNON JEFFREY</v>
      </c>
    </row>
    <row r="112" spans="1:7" x14ac:dyDescent="0.25">
      <c r="A112" s="8">
        <v>42725.525104166663</v>
      </c>
      <c r="B112" s="21" t="s">
        <v>360</v>
      </c>
      <c r="C112" s="21" t="s">
        <v>556</v>
      </c>
      <c r="D112" s="164">
        <v>1540000</v>
      </c>
      <c r="E112" s="21" t="s">
        <v>546</v>
      </c>
      <c r="F112" s="21" t="s">
        <v>547</v>
      </c>
      <c r="G112" s="8" t="str">
        <f t="shared" si="1"/>
        <v>HELVIE ADAM</v>
      </c>
    </row>
    <row r="113" spans="1:7" x14ac:dyDescent="0.25">
      <c r="A113" s="8">
        <v>42725.527442129627</v>
      </c>
      <c r="B113" s="21" t="s">
        <v>261</v>
      </c>
      <c r="C113" s="21" t="s">
        <v>557</v>
      </c>
      <c r="D113" s="164">
        <v>2600000</v>
      </c>
      <c r="E113" s="21" t="s">
        <v>234</v>
      </c>
      <c r="F113" s="21" t="s">
        <v>251</v>
      </c>
      <c r="G113" s="8" t="str">
        <f t="shared" si="1"/>
        <v>DAVIDSON DAVID</v>
      </c>
    </row>
    <row r="114" spans="1:7" x14ac:dyDescent="0.25">
      <c r="A114" s="8">
        <v>42725.527916666666</v>
      </c>
      <c r="B114" s="21" t="s">
        <v>259</v>
      </c>
      <c r="C114" s="21" t="s">
        <v>558</v>
      </c>
      <c r="D114" s="164">
        <v>1280000</v>
      </c>
      <c r="E114" s="21" t="s">
        <v>324</v>
      </c>
      <c r="F114" s="21" t="s">
        <v>325</v>
      </c>
      <c r="G114" s="8" t="str">
        <f t="shared" si="1"/>
        <v>BARTLETT KIANDRA</v>
      </c>
    </row>
    <row r="115" spans="1:7" x14ac:dyDescent="0.25">
      <c r="A115" s="8">
        <v>42725.52920138889</v>
      </c>
      <c r="B115" s="21" t="s">
        <v>317</v>
      </c>
      <c r="C115" s="21" t="s">
        <v>559</v>
      </c>
      <c r="D115" s="164">
        <v>930000</v>
      </c>
      <c r="E115" s="21" t="s">
        <v>370</v>
      </c>
      <c r="F115" s="21" t="s">
        <v>371</v>
      </c>
      <c r="G115" s="8" t="str">
        <f t="shared" si="1"/>
        <v>CLARK KATHLEEN</v>
      </c>
    </row>
    <row r="116" spans="1:7" x14ac:dyDescent="0.25">
      <c r="A116" s="8">
        <v>42725.540775462963</v>
      </c>
      <c r="B116" s="21" t="s">
        <v>316</v>
      </c>
      <c r="C116" s="21" t="s">
        <v>560</v>
      </c>
      <c r="D116" s="164">
        <v>920000</v>
      </c>
      <c r="E116" s="21" t="s">
        <v>265</v>
      </c>
      <c r="F116" s="21" t="s">
        <v>264</v>
      </c>
      <c r="G116" s="8" t="str">
        <f t="shared" si="1"/>
        <v>DAVIS MICHAEL</v>
      </c>
    </row>
    <row r="117" spans="1:7" x14ac:dyDescent="0.25">
      <c r="A117" s="8">
        <v>42725.545532407406</v>
      </c>
      <c r="B117" s="21" t="s">
        <v>293</v>
      </c>
      <c r="C117" s="21" t="s">
        <v>561</v>
      </c>
      <c r="D117" s="164">
        <v>1300000</v>
      </c>
      <c r="E117" s="21" t="s">
        <v>113</v>
      </c>
      <c r="F117" s="21" t="s">
        <v>276</v>
      </c>
      <c r="G117" s="8" t="str">
        <f t="shared" si="1"/>
        <v>LEVIN SCOTT</v>
      </c>
    </row>
    <row r="118" spans="1:7" x14ac:dyDescent="0.25">
      <c r="A118" s="8">
        <v>42725.547534722224</v>
      </c>
      <c r="B118" s="21" t="s">
        <v>277</v>
      </c>
      <c r="C118" s="21" t="s">
        <v>562</v>
      </c>
      <c r="D118" s="164">
        <v>2670000</v>
      </c>
      <c r="E118" s="21" t="s">
        <v>372</v>
      </c>
      <c r="F118" s="21" t="s">
        <v>373</v>
      </c>
      <c r="G118" s="8" t="str">
        <f t="shared" si="1"/>
        <v>COMELLA JUSTIN</v>
      </c>
    </row>
    <row r="119" spans="1:7" x14ac:dyDescent="0.25">
      <c r="A119" s="8">
        <v>42725.549525462964</v>
      </c>
      <c r="B119" s="21" t="s">
        <v>229</v>
      </c>
      <c r="C119" s="21" t="s">
        <v>563</v>
      </c>
      <c r="D119" s="164">
        <v>1770000</v>
      </c>
      <c r="E119" s="21" t="s">
        <v>564</v>
      </c>
      <c r="F119" s="21" t="s">
        <v>565</v>
      </c>
      <c r="G119" s="8" t="str">
        <f t="shared" si="1"/>
        <v>BRUDER RICHARD</v>
      </c>
    </row>
    <row r="120" spans="1:7" x14ac:dyDescent="0.25">
      <c r="A120" s="8">
        <v>42725.558113425926</v>
      </c>
      <c r="B120" s="21" t="s">
        <v>233</v>
      </c>
      <c r="C120" s="21" t="s">
        <v>566</v>
      </c>
      <c r="D120" s="164">
        <v>1190000</v>
      </c>
      <c r="E120" s="21" t="s">
        <v>554</v>
      </c>
      <c r="F120" s="21" t="s">
        <v>555</v>
      </c>
      <c r="G120" s="8" t="str">
        <f t="shared" si="1"/>
        <v>BRANNON JEFFREY</v>
      </c>
    </row>
    <row r="121" spans="1:7" x14ac:dyDescent="0.25">
      <c r="A121" s="8">
        <v>42725.560300925928</v>
      </c>
      <c r="B121" s="21" t="s">
        <v>367</v>
      </c>
      <c r="C121" s="21" t="s">
        <v>567</v>
      </c>
      <c r="D121" s="164">
        <v>1540000</v>
      </c>
      <c r="E121" s="21" t="s">
        <v>546</v>
      </c>
      <c r="F121" s="21" t="s">
        <v>547</v>
      </c>
      <c r="G121" s="8" t="str">
        <f t="shared" si="1"/>
        <v>HELVIE ADAM</v>
      </c>
    </row>
    <row r="122" spans="1:7" x14ac:dyDescent="0.25">
      <c r="A122" s="8">
        <v>42725.566365740742</v>
      </c>
      <c r="B122" s="26" t="s">
        <v>319</v>
      </c>
      <c r="C122" s="21" t="s">
        <v>568</v>
      </c>
      <c r="D122" s="164">
        <v>930000</v>
      </c>
      <c r="E122" s="21" t="s">
        <v>370</v>
      </c>
      <c r="F122" s="21" t="s">
        <v>371</v>
      </c>
      <c r="G122" s="8" t="str">
        <f t="shared" si="1"/>
        <v>CLARK KATHLEEN</v>
      </c>
    </row>
    <row r="123" spans="1:7" x14ac:dyDescent="0.25">
      <c r="A123" s="8">
        <v>42725.568124999998</v>
      </c>
      <c r="B123" s="21" t="s">
        <v>244</v>
      </c>
      <c r="C123" s="21" t="s">
        <v>442</v>
      </c>
      <c r="D123" s="164">
        <v>1280000</v>
      </c>
      <c r="E123" s="21" t="s">
        <v>324</v>
      </c>
      <c r="F123" s="21" t="s">
        <v>325</v>
      </c>
      <c r="G123" s="8" t="str">
        <f t="shared" si="1"/>
        <v>BARTLETT KIANDRA</v>
      </c>
    </row>
    <row r="124" spans="1:7" x14ac:dyDescent="0.25">
      <c r="A124" s="8">
        <v>42725.568425925929</v>
      </c>
      <c r="B124" s="21" t="s">
        <v>261</v>
      </c>
      <c r="C124" s="21" t="s">
        <v>569</v>
      </c>
      <c r="D124" s="164">
        <v>1770000</v>
      </c>
      <c r="E124" s="21" t="s">
        <v>564</v>
      </c>
      <c r="F124" s="21" t="s">
        <v>565</v>
      </c>
      <c r="G124" s="8" t="str">
        <f t="shared" si="1"/>
        <v>BRUDER RICHARD</v>
      </c>
    </row>
    <row r="125" spans="1:7" x14ac:dyDescent="0.25">
      <c r="A125" s="8">
        <v>42725.57607638889</v>
      </c>
      <c r="B125" s="21" t="s">
        <v>315</v>
      </c>
      <c r="C125" s="21" t="s">
        <v>570</v>
      </c>
      <c r="D125" s="164">
        <v>920000</v>
      </c>
      <c r="E125" s="21" t="s">
        <v>265</v>
      </c>
      <c r="F125" s="21" t="s">
        <v>264</v>
      </c>
      <c r="G125" s="8" t="str">
        <f t="shared" si="1"/>
        <v>DAVIS MICHAEL</v>
      </c>
    </row>
    <row r="126" spans="1:7" x14ac:dyDescent="0.25">
      <c r="A126" s="8">
        <v>42725.579618055555</v>
      </c>
      <c r="B126" s="21" t="s">
        <v>183</v>
      </c>
      <c r="C126" s="21" t="s">
        <v>571</v>
      </c>
      <c r="D126" s="164">
        <v>1300000</v>
      </c>
      <c r="E126" s="21" t="s">
        <v>113</v>
      </c>
      <c r="F126" s="21" t="s">
        <v>276</v>
      </c>
      <c r="G126" s="8" t="str">
        <f t="shared" si="1"/>
        <v>LEVIN SCOTT</v>
      </c>
    </row>
    <row r="127" spans="1:7" x14ac:dyDescent="0.25">
      <c r="A127" s="8">
        <v>42725.587129629632</v>
      </c>
      <c r="B127" s="21" t="s">
        <v>274</v>
      </c>
      <c r="C127" s="21" t="s">
        <v>572</v>
      </c>
      <c r="D127" s="164">
        <v>2670000</v>
      </c>
      <c r="E127" s="21" t="s">
        <v>372</v>
      </c>
      <c r="F127" s="21" t="s">
        <v>373</v>
      </c>
      <c r="G127" s="8" t="str">
        <f t="shared" si="1"/>
        <v>COMELLA JUSTIN</v>
      </c>
    </row>
    <row r="128" spans="1:7" x14ac:dyDescent="0.25">
      <c r="A128" s="8">
        <v>42725.58997685185</v>
      </c>
      <c r="B128" s="21" t="s">
        <v>232</v>
      </c>
      <c r="C128" s="21" t="s">
        <v>573</v>
      </c>
      <c r="D128" s="164">
        <v>1190000</v>
      </c>
      <c r="E128" s="21" t="s">
        <v>554</v>
      </c>
      <c r="F128" s="21" t="s">
        <v>555</v>
      </c>
      <c r="G128" s="8" t="str">
        <f t="shared" si="1"/>
        <v>BRANNON JEFFREY</v>
      </c>
    </row>
    <row r="129" spans="1:7" x14ac:dyDescent="0.25">
      <c r="A129" s="8">
        <v>42725.594652777778</v>
      </c>
      <c r="B129" s="21" t="s">
        <v>229</v>
      </c>
      <c r="C129" s="21" t="s">
        <v>574</v>
      </c>
      <c r="D129" s="164">
        <v>1770000</v>
      </c>
      <c r="E129" s="21" t="s">
        <v>564</v>
      </c>
      <c r="F129" s="21" t="s">
        <v>565</v>
      </c>
      <c r="G129" s="8" t="str">
        <f t="shared" si="1"/>
        <v>BRUDER RICHARD</v>
      </c>
    </row>
    <row r="130" spans="1:7" x14ac:dyDescent="0.25">
      <c r="A130" s="8">
        <v>42725.598796296297</v>
      </c>
      <c r="B130" s="21" t="s">
        <v>360</v>
      </c>
      <c r="C130" s="21" t="s">
        <v>575</v>
      </c>
      <c r="D130" s="164">
        <v>1540000</v>
      </c>
      <c r="E130" s="21" t="s">
        <v>546</v>
      </c>
      <c r="F130" s="21" t="s">
        <v>547</v>
      </c>
      <c r="G130" s="8" t="str">
        <f t="shared" si="1"/>
        <v>HELVIE ADAM</v>
      </c>
    </row>
    <row r="131" spans="1:7" x14ac:dyDescent="0.25">
      <c r="A131" s="8">
        <v>42725.600729166668</v>
      </c>
      <c r="B131" s="21" t="s">
        <v>317</v>
      </c>
      <c r="C131" s="21" t="s">
        <v>576</v>
      </c>
      <c r="D131" s="164">
        <v>930000</v>
      </c>
      <c r="E131" s="21" t="s">
        <v>370</v>
      </c>
      <c r="F131" s="21" t="s">
        <v>371</v>
      </c>
      <c r="G131" s="8" t="str">
        <f t="shared" ref="G131:G194" si="2">E131&amp;" "&amp;F131</f>
        <v>CLARK KATHLEEN</v>
      </c>
    </row>
    <row r="132" spans="1:7" x14ac:dyDescent="0.25">
      <c r="A132" s="8">
        <v>42725.600937499999</v>
      </c>
      <c r="B132" s="21" t="s">
        <v>259</v>
      </c>
      <c r="C132" s="21" t="s">
        <v>577</v>
      </c>
      <c r="D132" s="164">
        <v>1280000</v>
      </c>
      <c r="E132" s="21" t="s">
        <v>324</v>
      </c>
      <c r="F132" s="21" t="s">
        <v>325</v>
      </c>
      <c r="G132" s="8" t="str">
        <f t="shared" si="2"/>
        <v>BARTLETT KIANDRA</v>
      </c>
    </row>
    <row r="133" spans="1:7" x14ac:dyDescent="0.25">
      <c r="A133" s="8">
        <v>42725.610601851855</v>
      </c>
      <c r="B133" s="21" t="s">
        <v>261</v>
      </c>
      <c r="C133" s="21" t="s">
        <v>443</v>
      </c>
      <c r="D133" s="164">
        <v>1770000</v>
      </c>
      <c r="E133" s="21" t="s">
        <v>564</v>
      </c>
      <c r="F133" s="21" t="s">
        <v>565</v>
      </c>
      <c r="G133" s="8" t="str">
        <f t="shared" si="2"/>
        <v>BRUDER RICHARD</v>
      </c>
    </row>
    <row r="134" spans="1:7" x14ac:dyDescent="0.25">
      <c r="A134" s="8">
        <v>42725.61142361111</v>
      </c>
      <c r="B134" s="21" t="s">
        <v>316</v>
      </c>
      <c r="C134" s="21" t="s">
        <v>578</v>
      </c>
      <c r="D134" s="164">
        <v>920000</v>
      </c>
      <c r="E134" s="21" t="s">
        <v>265</v>
      </c>
      <c r="F134" s="21" t="s">
        <v>264</v>
      </c>
      <c r="G134" s="8" t="str">
        <f t="shared" si="2"/>
        <v>DAVIS MICHAEL</v>
      </c>
    </row>
    <row r="135" spans="1:7" x14ac:dyDescent="0.25">
      <c r="A135" s="8">
        <v>42725.619826388887</v>
      </c>
      <c r="B135" s="21" t="s">
        <v>293</v>
      </c>
      <c r="C135" s="21" t="s">
        <v>579</v>
      </c>
      <c r="D135" s="164">
        <v>1300000</v>
      </c>
      <c r="E135" s="21" t="s">
        <v>113</v>
      </c>
      <c r="F135" s="21" t="s">
        <v>276</v>
      </c>
      <c r="G135" s="8" t="str">
        <f t="shared" si="2"/>
        <v>LEVIN SCOTT</v>
      </c>
    </row>
    <row r="136" spans="1:7" x14ac:dyDescent="0.25">
      <c r="A136" s="8">
        <v>42725.62164351852</v>
      </c>
      <c r="B136" s="21" t="s">
        <v>277</v>
      </c>
      <c r="C136" s="21" t="s">
        <v>580</v>
      </c>
      <c r="D136" s="164">
        <v>2670000</v>
      </c>
      <c r="E136" s="21" t="s">
        <v>372</v>
      </c>
      <c r="F136" s="21" t="s">
        <v>373</v>
      </c>
      <c r="G136" s="8" t="str">
        <f t="shared" si="2"/>
        <v>COMELLA JUSTIN</v>
      </c>
    </row>
    <row r="137" spans="1:7" x14ac:dyDescent="0.25">
      <c r="A137" s="8">
        <v>42725.624502314815</v>
      </c>
      <c r="B137" s="21" t="s">
        <v>233</v>
      </c>
      <c r="C137" s="21" t="s">
        <v>444</v>
      </c>
      <c r="D137" s="164">
        <v>1190000</v>
      </c>
      <c r="E137" s="21" t="s">
        <v>554</v>
      </c>
      <c r="F137" s="21" t="s">
        <v>555</v>
      </c>
      <c r="G137" s="8" t="str">
        <f t="shared" si="2"/>
        <v>BRANNON JEFFREY</v>
      </c>
    </row>
    <row r="138" spans="1:7" x14ac:dyDescent="0.25">
      <c r="A138" s="8">
        <v>42725.634259259263</v>
      </c>
      <c r="B138" s="21" t="s">
        <v>367</v>
      </c>
      <c r="C138" s="21" t="s">
        <v>581</v>
      </c>
      <c r="D138" s="164">
        <v>1540000</v>
      </c>
      <c r="E138" s="21" t="s">
        <v>546</v>
      </c>
      <c r="F138" s="21" t="s">
        <v>547</v>
      </c>
      <c r="G138" s="8" t="str">
        <f t="shared" si="2"/>
        <v>HELVIE ADAM</v>
      </c>
    </row>
    <row r="139" spans="1:7" x14ac:dyDescent="0.25">
      <c r="A139" s="8">
        <v>42725.637071759258</v>
      </c>
      <c r="B139" s="21" t="s">
        <v>229</v>
      </c>
      <c r="C139" s="21" t="s">
        <v>582</v>
      </c>
      <c r="D139" s="164">
        <v>1770000</v>
      </c>
      <c r="E139" s="21" t="s">
        <v>564</v>
      </c>
      <c r="F139" s="21" t="s">
        <v>565</v>
      </c>
      <c r="G139" s="8" t="str">
        <f t="shared" si="2"/>
        <v>BRUDER RICHARD</v>
      </c>
    </row>
    <row r="140" spans="1:7" x14ac:dyDescent="0.25">
      <c r="A140" s="8">
        <v>42725.639236111114</v>
      </c>
      <c r="B140" s="21" t="s">
        <v>319</v>
      </c>
      <c r="C140" s="21" t="s">
        <v>583</v>
      </c>
      <c r="D140" s="164">
        <v>930000</v>
      </c>
      <c r="E140" s="21" t="s">
        <v>370</v>
      </c>
      <c r="F140" s="21" t="s">
        <v>371</v>
      </c>
      <c r="G140" s="8" t="str">
        <f t="shared" si="2"/>
        <v>CLARK KATHLEEN</v>
      </c>
    </row>
    <row r="141" spans="1:7" x14ac:dyDescent="0.25">
      <c r="A141" s="8">
        <v>42725.641319444447</v>
      </c>
      <c r="B141" s="21" t="s">
        <v>244</v>
      </c>
      <c r="C141" s="21" t="s">
        <v>584</v>
      </c>
      <c r="D141" s="164">
        <v>1280000</v>
      </c>
      <c r="E141" s="21" t="s">
        <v>324</v>
      </c>
      <c r="F141" s="21" t="s">
        <v>325</v>
      </c>
      <c r="G141" s="8" t="str">
        <f t="shared" si="2"/>
        <v>BARTLETT KIANDRA</v>
      </c>
    </row>
    <row r="142" spans="1:7" x14ac:dyDescent="0.25">
      <c r="A142" s="8">
        <v>42725.644004629627</v>
      </c>
      <c r="B142" s="21" t="s">
        <v>282</v>
      </c>
      <c r="C142" s="21" t="s">
        <v>585</v>
      </c>
      <c r="D142" s="164">
        <v>1800000</v>
      </c>
      <c r="E142" s="21" t="s">
        <v>237</v>
      </c>
      <c r="F142" s="21" t="s">
        <v>255</v>
      </c>
      <c r="G142" s="8" t="str">
        <f t="shared" si="2"/>
        <v>CHANDLER KELVIN</v>
      </c>
    </row>
    <row r="143" spans="1:7" x14ac:dyDescent="0.25">
      <c r="A143" s="8">
        <v>42725.644629629627</v>
      </c>
      <c r="B143" s="21" t="s">
        <v>282</v>
      </c>
      <c r="C143" s="21" t="s">
        <v>586</v>
      </c>
      <c r="D143" s="164">
        <v>1800000</v>
      </c>
      <c r="E143" s="21" t="s">
        <v>237</v>
      </c>
      <c r="F143" s="21" t="s">
        <v>255</v>
      </c>
      <c r="G143" s="8" t="str">
        <f t="shared" si="2"/>
        <v>CHANDLER KELVIN</v>
      </c>
    </row>
    <row r="144" spans="1:7" x14ac:dyDescent="0.25">
      <c r="A144" s="8">
        <v>42725.646284722221</v>
      </c>
      <c r="B144" s="21" t="s">
        <v>282</v>
      </c>
      <c r="C144" s="21" t="s">
        <v>586</v>
      </c>
      <c r="D144" s="164">
        <v>1800000</v>
      </c>
      <c r="E144" s="21" t="s">
        <v>237</v>
      </c>
      <c r="F144" s="21" t="s">
        <v>255</v>
      </c>
      <c r="G144" s="8" t="str">
        <f t="shared" si="2"/>
        <v>CHANDLER KELVIN</v>
      </c>
    </row>
    <row r="145" spans="1:7" x14ac:dyDescent="0.25">
      <c r="A145" s="8">
        <v>42725.649247685185</v>
      </c>
      <c r="B145" s="21" t="s">
        <v>315</v>
      </c>
      <c r="C145" s="21" t="s">
        <v>587</v>
      </c>
      <c r="D145" s="164">
        <v>920000</v>
      </c>
      <c r="E145" s="21" t="s">
        <v>265</v>
      </c>
      <c r="F145" s="21" t="s">
        <v>264</v>
      </c>
      <c r="G145" s="8" t="str">
        <f t="shared" si="2"/>
        <v>DAVIS MICHAEL</v>
      </c>
    </row>
    <row r="146" spans="1:7" x14ac:dyDescent="0.25">
      <c r="A146" s="8">
        <v>42725.652118055557</v>
      </c>
      <c r="B146" s="21" t="s">
        <v>261</v>
      </c>
      <c r="C146" s="21" t="s">
        <v>588</v>
      </c>
      <c r="D146" s="164">
        <v>1770000</v>
      </c>
      <c r="E146" s="21" t="s">
        <v>564</v>
      </c>
      <c r="F146" s="21" t="s">
        <v>565</v>
      </c>
      <c r="G146" s="8" t="str">
        <f t="shared" si="2"/>
        <v>BRUDER RICHARD</v>
      </c>
    </row>
    <row r="147" spans="1:7" x14ac:dyDescent="0.25">
      <c r="A147" s="8">
        <v>42725.653263888889</v>
      </c>
      <c r="B147" s="21" t="s">
        <v>183</v>
      </c>
      <c r="C147" s="21" t="s">
        <v>589</v>
      </c>
      <c r="D147" s="164">
        <v>1300000</v>
      </c>
      <c r="E147" s="21" t="s">
        <v>113</v>
      </c>
      <c r="F147" s="21" t="s">
        <v>276</v>
      </c>
      <c r="G147" s="8" t="str">
        <f t="shared" si="2"/>
        <v>LEVIN SCOTT</v>
      </c>
    </row>
    <row r="148" spans="1:7" x14ac:dyDescent="0.25">
      <c r="A148" s="8">
        <v>42725.655659722222</v>
      </c>
      <c r="B148" s="21" t="s">
        <v>274</v>
      </c>
      <c r="C148" s="21" t="s">
        <v>590</v>
      </c>
      <c r="D148" s="164">
        <v>2670000</v>
      </c>
      <c r="E148" s="21" t="s">
        <v>372</v>
      </c>
      <c r="F148" s="21" t="s">
        <v>373</v>
      </c>
      <c r="G148" s="8" t="str">
        <f t="shared" si="2"/>
        <v>COMELLA JUSTIN</v>
      </c>
    </row>
    <row r="149" spans="1:7" x14ac:dyDescent="0.25">
      <c r="A149" s="8">
        <v>42725.658113425925</v>
      </c>
      <c r="B149" s="21" t="s">
        <v>281</v>
      </c>
      <c r="C149" s="21" t="s">
        <v>585</v>
      </c>
      <c r="D149" s="164">
        <v>1800000</v>
      </c>
      <c r="E149" s="21" t="s">
        <v>237</v>
      </c>
      <c r="F149" s="21" t="s">
        <v>255</v>
      </c>
      <c r="G149" s="8" t="str">
        <f t="shared" si="2"/>
        <v>CHANDLER KELVIN</v>
      </c>
    </row>
    <row r="150" spans="1:7" x14ac:dyDescent="0.25">
      <c r="A150" s="8">
        <v>42725.663298611114</v>
      </c>
      <c r="B150" s="21" t="s">
        <v>232</v>
      </c>
      <c r="C150" s="21" t="s">
        <v>591</v>
      </c>
      <c r="D150" s="164">
        <v>1190000</v>
      </c>
      <c r="E150" s="21" t="s">
        <v>554</v>
      </c>
      <c r="F150" s="21" t="s">
        <v>555</v>
      </c>
      <c r="G150" s="8" t="str">
        <f t="shared" si="2"/>
        <v>BRANNON JEFFREY</v>
      </c>
    </row>
    <row r="151" spans="1:7" x14ac:dyDescent="0.25">
      <c r="A151" s="8">
        <v>42725.671064814815</v>
      </c>
      <c r="B151" s="21" t="s">
        <v>360</v>
      </c>
      <c r="C151" s="21" t="s">
        <v>592</v>
      </c>
      <c r="D151" s="164">
        <v>1540000</v>
      </c>
      <c r="E151" s="21" t="s">
        <v>546</v>
      </c>
      <c r="F151" s="21" t="s">
        <v>547</v>
      </c>
      <c r="G151" s="8" t="str">
        <f t="shared" si="2"/>
        <v>HELVIE ADAM</v>
      </c>
    </row>
    <row r="152" spans="1:7" x14ac:dyDescent="0.25">
      <c r="A152" s="8">
        <v>42725.673935185187</v>
      </c>
      <c r="B152" s="21" t="s">
        <v>259</v>
      </c>
      <c r="C152" s="21" t="s">
        <v>593</v>
      </c>
      <c r="D152" s="164">
        <v>1280000</v>
      </c>
      <c r="E152" s="21" t="s">
        <v>324</v>
      </c>
      <c r="F152" s="21" t="s">
        <v>325</v>
      </c>
      <c r="G152" s="8" t="str">
        <f t="shared" si="2"/>
        <v>BARTLETT KIANDRA</v>
      </c>
    </row>
    <row r="153" spans="1:7" x14ac:dyDescent="0.25">
      <c r="A153" s="8">
        <v>42725.674722222226</v>
      </c>
      <c r="B153" s="21" t="s">
        <v>282</v>
      </c>
      <c r="C153" s="21" t="s">
        <v>594</v>
      </c>
      <c r="D153" s="164">
        <v>1800000</v>
      </c>
      <c r="E153" s="21" t="s">
        <v>237</v>
      </c>
      <c r="F153" s="21" t="s">
        <v>255</v>
      </c>
      <c r="G153" s="8" t="str">
        <f t="shared" si="2"/>
        <v>CHANDLER KELVIN</v>
      </c>
    </row>
    <row r="154" spans="1:7" x14ac:dyDescent="0.25">
      <c r="A154" s="8">
        <v>42725.675023148149</v>
      </c>
      <c r="B154" s="21" t="s">
        <v>317</v>
      </c>
      <c r="C154" s="21" t="s">
        <v>595</v>
      </c>
      <c r="D154" s="164">
        <v>930000</v>
      </c>
      <c r="E154" s="21" t="s">
        <v>370</v>
      </c>
      <c r="F154" s="21" t="s">
        <v>371</v>
      </c>
      <c r="G154" s="8" t="str">
        <f t="shared" si="2"/>
        <v>CLARK KATHLEEN</v>
      </c>
    </row>
    <row r="155" spans="1:7" x14ac:dyDescent="0.25">
      <c r="A155" s="8">
        <v>42725.678078703706</v>
      </c>
      <c r="B155" s="21" t="s">
        <v>229</v>
      </c>
      <c r="C155" s="21" t="s">
        <v>596</v>
      </c>
      <c r="D155" s="164">
        <v>1770000</v>
      </c>
      <c r="E155" s="21" t="s">
        <v>564</v>
      </c>
      <c r="F155" s="21" t="s">
        <v>565</v>
      </c>
      <c r="G155" s="8" t="str">
        <f t="shared" si="2"/>
        <v>BRUDER RICHARD</v>
      </c>
    </row>
    <row r="156" spans="1:7" x14ac:dyDescent="0.25">
      <c r="A156" s="8">
        <v>42725.685798611114</v>
      </c>
      <c r="B156" s="21" t="s">
        <v>316</v>
      </c>
      <c r="C156" s="21" t="s">
        <v>597</v>
      </c>
      <c r="D156" s="164">
        <v>920000</v>
      </c>
      <c r="E156" s="21" t="s">
        <v>265</v>
      </c>
      <c r="F156" s="21" t="s">
        <v>264</v>
      </c>
      <c r="G156" s="8" t="str">
        <f t="shared" si="2"/>
        <v>DAVIS MICHAEL</v>
      </c>
    </row>
    <row r="157" spans="1:7" x14ac:dyDescent="0.25">
      <c r="A157" s="8">
        <v>42725.692604166667</v>
      </c>
      <c r="B157" s="21" t="s">
        <v>293</v>
      </c>
      <c r="C157" s="21" t="s">
        <v>598</v>
      </c>
      <c r="D157" s="164">
        <v>1300000</v>
      </c>
      <c r="E157" s="21" t="s">
        <v>113</v>
      </c>
      <c r="F157" s="21" t="s">
        <v>276</v>
      </c>
      <c r="G157" s="8" t="str">
        <f t="shared" si="2"/>
        <v>LEVIN SCOTT</v>
      </c>
    </row>
    <row r="158" spans="1:7" x14ac:dyDescent="0.25">
      <c r="A158" s="8">
        <v>42725.693877314814</v>
      </c>
      <c r="B158" s="21" t="s">
        <v>261</v>
      </c>
      <c r="C158" s="21" t="s">
        <v>599</v>
      </c>
      <c r="D158" s="164">
        <v>1770000</v>
      </c>
      <c r="E158" s="21" t="s">
        <v>564</v>
      </c>
      <c r="F158" s="21" t="s">
        <v>565</v>
      </c>
      <c r="G158" s="8" t="str">
        <f t="shared" si="2"/>
        <v>BRUDER RICHARD</v>
      </c>
    </row>
    <row r="159" spans="1:7" x14ac:dyDescent="0.25">
      <c r="A159" s="8">
        <v>42725.694039351853</v>
      </c>
      <c r="B159" s="21" t="s">
        <v>277</v>
      </c>
      <c r="C159" s="21" t="s">
        <v>600</v>
      </c>
      <c r="D159" s="164">
        <v>2670000</v>
      </c>
      <c r="E159" s="21" t="s">
        <v>372</v>
      </c>
      <c r="F159" s="21" t="s">
        <v>373</v>
      </c>
      <c r="G159" s="8" t="str">
        <f t="shared" si="2"/>
        <v>COMELLA JUSTIN</v>
      </c>
    </row>
    <row r="160" spans="1:7" x14ac:dyDescent="0.25">
      <c r="A160" s="8">
        <v>42725.701215277775</v>
      </c>
      <c r="B160" s="21" t="s">
        <v>233</v>
      </c>
      <c r="C160" s="21" t="s">
        <v>601</v>
      </c>
      <c r="D160" s="164">
        <v>1190000</v>
      </c>
      <c r="E160" s="21" t="s">
        <v>554</v>
      </c>
      <c r="F160" s="21" t="s">
        <v>555</v>
      </c>
      <c r="G160" s="8" t="str">
        <f t="shared" si="2"/>
        <v>BRANNON JEFFREY</v>
      </c>
    </row>
    <row r="161" spans="1:7" x14ac:dyDescent="0.25">
      <c r="A161" s="8">
        <v>42725.701331018521</v>
      </c>
      <c r="B161" s="21" t="s">
        <v>281</v>
      </c>
      <c r="C161" s="21" t="s">
        <v>602</v>
      </c>
      <c r="D161" s="164">
        <v>1800000</v>
      </c>
      <c r="E161" s="21" t="s">
        <v>237</v>
      </c>
      <c r="F161" s="21" t="s">
        <v>255</v>
      </c>
      <c r="G161" s="8" t="str">
        <f t="shared" si="2"/>
        <v>CHANDLER KELVIN</v>
      </c>
    </row>
    <row r="162" spans="1:7" x14ac:dyDescent="0.25">
      <c r="A162" s="8">
        <v>42725.705868055556</v>
      </c>
      <c r="B162" s="21" t="s">
        <v>367</v>
      </c>
      <c r="C162" s="21" t="s">
        <v>603</v>
      </c>
      <c r="D162" s="164">
        <v>1540000</v>
      </c>
      <c r="E162" s="21" t="s">
        <v>546</v>
      </c>
      <c r="F162" s="21" t="s">
        <v>547</v>
      </c>
      <c r="G162" s="8" t="str">
        <f t="shared" si="2"/>
        <v>HELVIE ADAM</v>
      </c>
    </row>
    <row r="163" spans="1:7" x14ac:dyDescent="0.25">
      <c r="A163" s="8">
        <v>42725.710416666669</v>
      </c>
      <c r="B163" s="21" t="s">
        <v>319</v>
      </c>
      <c r="C163" s="21" t="s">
        <v>604</v>
      </c>
      <c r="D163" s="164">
        <v>930000</v>
      </c>
      <c r="E163" s="21" t="s">
        <v>370</v>
      </c>
      <c r="F163" s="21" t="s">
        <v>371</v>
      </c>
      <c r="G163" s="8" t="str">
        <f t="shared" si="2"/>
        <v>CLARK KATHLEEN</v>
      </c>
    </row>
    <row r="164" spans="1:7" x14ac:dyDescent="0.25">
      <c r="A164" s="8">
        <v>42725.711585648147</v>
      </c>
      <c r="B164" s="21" t="s">
        <v>318</v>
      </c>
      <c r="C164" s="21" t="s">
        <v>605</v>
      </c>
      <c r="D164" s="164">
        <v>2150000</v>
      </c>
      <c r="E164" s="21" t="s">
        <v>295</v>
      </c>
      <c r="F164" s="21" t="s">
        <v>296</v>
      </c>
      <c r="G164" s="8" t="str">
        <f t="shared" si="2"/>
        <v>SWANSON BRYCE</v>
      </c>
    </row>
    <row r="165" spans="1:7" x14ac:dyDescent="0.25">
      <c r="A165" s="8">
        <v>42725.715798611112</v>
      </c>
      <c r="B165" s="21" t="s">
        <v>282</v>
      </c>
      <c r="C165" s="21" t="s">
        <v>606</v>
      </c>
      <c r="D165" s="164">
        <v>1800000</v>
      </c>
      <c r="E165" s="21" t="s">
        <v>237</v>
      </c>
      <c r="F165" s="21" t="s">
        <v>255</v>
      </c>
      <c r="G165" s="8" t="str">
        <f t="shared" si="2"/>
        <v>CHANDLER KELVIN</v>
      </c>
    </row>
    <row r="166" spans="1:7" x14ac:dyDescent="0.25">
      <c r="A166" s="8">
        <v>42725.716145833336</v>
      </c>
      <c r="B166" s="21" t="s">
        <v>244</v>
      </c>
      <c r="C166" s="21" t="s">
        <v>445</v>
      </c>
      <c r="D166" s="164">
        <v>2220000</v>
      </c>
      <c r="E166" s="21" t="s">
        <v>607</v>
      </c>
      <c r="F166" s="21" t="s">
        <v>608</v>
      </c>
      <c r="G166" s="8" t="str">
        <f t="shared" si="2"/>
        <v>HILLS DUSTIN</v>
      </c>
    </row>
    <row r="167" spans="1:7" x14ac:dyDescent="0.25">
      <c r="A167" s="8">
        <v>42725.719930555555</v>
      </c>
      <c r="B167" s="21" t="s">
        <v>229</v>
      </c>
      <c r="C167" s="21" t="s">
        <v>609</v>
      </c>
      <c r="D167" s="164">
        <v>1770000</v>
      </c>
      <c r="E167" s="21" t="s">
        <v>564</v>
      </c>
      <c r="F167" s="21" t="s">
        <v>565</v>
      </c>
      <c r="G167" s="8" t="str">
        <f t="shared" si="2"/>
        <v>BRUDER RICHARD</v>
      </c>
    </row>
    <row r="168" spans="1:7" x14ac:dyDescent="0.25">
      <c r="A168" s="8">
        <v>42725.723449074074</v>
      </c>
      <c r="B168" s="21" t="s">
        <v>315</v>
      </c>
      <c r="C168" s="21" t="s">
        <v>610</v>
      </c>
      <c r="D168" s="164">
        <v>920000</v>
      </c>
      <c r="E168" s="21" t="s">
        <v>265</v>
      </c>
      <c r="F168" s="21" t="s">
        <v>264</v>
      </c>
      <c r="G168" s="8" t="str">
        <f t="shared" si="2"/>
        <v>DAVIS MICHAEL</v>
      </c>
    </row>
    <row r="169" spans="1:7" x14ac:dyDescent="0.25">
      <c r="A169" s="8">
        <v>42725.725787037038</v>
      </c>
      <c r="B169" s="21" t="s">
        <v>183</v>
      </c>
      <c r="C169" s="21" t="s">
        <v>611</v>
      </c>
      <c r="D169" s="164">
        <v>1280000</v>
      </c>
      <c r="E169" s="21" t="s">
        <v>324</v>
      </c>
      <c r="F169" s="21" t="s">
        <v>325</v>
      </c>
      <c r="G169" s="8" t="str">
        <f t="shared" si="2"/>
        <v>BARTLETT KIANDRA</v>
      </c>
    </row>
    <row r="170" spans="1:7" x14ac:dyDescent="0.25">
      <c r="A170" s="8">
        <v>42725.728958333333</v>
      </c>
      <c r="B170" s="21" t="s">
        <v>274</v>
      </c>
      <c r="C170" s="21" t="s">
        <v>612</v>
      </c>
      <c r="D170" s="164">
        <v>2670000</v>
      </c>
      <c r="E170" s="21" t="s">
        <v>372</v>
      </c>
      <c r="F170" s="21" t="s">
        <v>373</v>
      </c>
      <c r="G170" s="8" t="str">
        <f t="shared" si="2"/>
        <v>COMELLA JUSTIN</v>
      </c>
    </row>
    <row r="171" spans="1:7" x14ac:dyDescent="0.25">
      <c r="A171" s="8">
        <v>42725.735300925924</v>
      </c>
      <c r="B171" s="21" t="s">
        <v>261</v>
      </c>
      <c r="C171" s="21" t="s">
        <v>613</v>
      </c>
      <c r="D171" s="164">
        <v>1770000</v>
      </c>
      <c r="E171" s="21" t="s">
        <v>564</v>
      </c>
      <c r="F171" s="21" t="s">
        <v>565</v>
      </c>
      <c r="G171" s="8" t="str">
        <f t="shared" si="2"/>
        <v>BRUDER RICHARD</v>
      </c>
    </row>
    <row r="172" spans="1:7" x14ac:dyDescent="0.25">
      <c r="A172" s="8">
        <v>42725.737442129626</v>
      </c>
      <c r="B172" s="21" t="s">
        <v>232</v>
      </c>
      <c r="C172" s="21" t="s">
        <v>614</v>
      </c>
      <c r="D172" s="164">
        <v>2730000</v>
      </c>
      <c r="E172" s="21" t="s">
        <v>374</v>
      </c>
      <c r="F172" s="21" t="s">
        <v>375</v>
      </c>
      <c r="G172" s="8" t="str">
        <f t="shared" si="2"/>
        <v>YANG JAN</v>
      </c>
    </row>
    <row r="173" spans="1:7" x14ac:dyDescent="0.25">
      <c r="A173" s="8">
        <v>42725.743333333332</v>
      </c>
      <c r="B173" s="21" t="s">
        <v>281</v>
      </c>
      <c r="C173" s="21" t="s">
        <v>615</v>
      </c>
      <c r="D173" s="164">
        <v>1800000</v>
      </c>
      <c r="E173" s="21" t="s">
        <v>237</v>
      </c>
      <c r="F173" s="21" t="s">
        <v>255</v>
      </c>
      <c r="G173" s="8" t="str">
        <f t="shared" si="2"/>
        <v>CHANDLER KELVIN</v>
      </c>
    </row>
    <row r="174" spans="1:7" x14ac:dyDescent="0.25">
      <c r="A174" s="8">
        <v>42725.744305555556</v>
      </c>
      <c r="B174" s="21" t="s">
        <v>210</v>
      </c>
      <c r="C174" s="21" t="s">
        <v>616</v>
      </c>
      <c r="D174" s="164">
        <v>2270000</v>
      </c>
      <c r="E174" s="21" t="s">
        <v>617</v>
      </c>
      <c r="F174" s="21" t="s">
        <v>618</v>
      </c>
      <c r="G174" s="8" t="str">
        <f t="shared" si="2"/>
        <v>BROWN JACOB</v>
      </c>
    </row>
    <row r="175" spans="1:7" x14ac:dyDescent="0.25">
      <c r="A175" s="8">
        <v>42725.744583333333</v>
      </c>
      <c r="B175" s="21" t="s">
        <v>360</v>
      </c>
      <c r="C175" s="21" t="s">
        <v>619</v>
      </c>
      <c r="D175" s="164">
        <v>1540000</v>
      </c>
      <c r="E175" s="21" t="s">
        <v>546</v>
      </c>
      <c r="F175" s="21" t="s">
        <v>547</v>
      </c>
      <c r="G175" s="8" t="str">
        <f t="shared" si="2"/>
        <v>HELVIE ADAM</v>
      </c>
    </row>
    <row r="176" spans="1:7" x14ac:dyDescent="0.25">
      <c r="A176" s="8">
        <v>42725.744780092595</v>
      </c>
      <c r="B176" s="21" t="s">
        <v>232</v>
      </c>
      <c r="C176" s="21" t="s">
        <v>614</v>
      </c>
      <c r="D176" s="164">
        <v>2730000</v>
      </c>
      <c r="E176" s="21" t="s">
        <v>374</v>
      </c>
      <c r="F176" s="21" t="s">
        <v>375</v>
      </c>
      <c r="G176" s="8" t="str">
        <f t="shared" si="2"/>
        <v>YANG JAN</v>
      </c>
    </row>
    <row r="177" spans="1:7" x14ac:dyDescent="0.25">
      <c r="A177" s="8">
        <v>42725.747245370374</v>
      </c>
      <c r="B177" s="21" t="s">
        <v>259</v>
      </c>
      <c r="C177" s="21" t="s">
        <v>446</v>
      </c>
      <c r="D177" s="164">
        <v>2220000</v>
      </c>
      <c r="E177" s="21" t="s">
        <v>607</v>
      </c>
      <c r="F177" s="21" t="s">
        <v>608</v>
      </c>
      <c r="G177" s="8" t="str">
        <f t="shared" si="2"/>
        <v>HILLS DUSTIN</v>
      </c>
    </row>
    <row r="178" spans="1:7" x14ac:dyDescent="0.25">
      <c r="A178" s="8">
        <v>42725.747337962966</v>
      </c>
      <c r="B178" s="21" t="s">
        <v>317</v>
      </c>
      <c r="C178" s="21" t="s">
        <v>620</v>
      </c>
      <c r="D178" s="164">
        <v>1190000</v>
      </c>
      <c r="E178" s="21" t="s">
        <v>554</v>
      </c>
      <c r="F178" s="21" t="s">
        <v>555</v>
      </c>
      <c r="G178" s="8" t="str">
        <f t="shared" si="2"/>
        <v>BRANNON JEFFREY</v>
      </c>
    </row>
    <row r="179" spans="1:7" x14ac:dyDescent="0.25">
      <c r="A179" s="8">
        <v>42725.755486111113</v>
      </c>
      <c r="B179" s="21" t="s">
        <v>621</v>
      </c>
      <c r="C179" s="21" t="s">
        <v>622</v>
      </c>
      <c r="D179" s="164">
        <v>2530000</v>
      </c>
      <c r="E179" s="21" t="s">
        <v>238</v>
      </c>
      <c r="F179" s="21" t="s">
        <v>298</v>
      </c>
      <c r="G179" s="8" t="str">
        <f t="shared" si="2"/>
        <v>LALONDE GREGORY</v>
      </c>
    </row>
    <row r="180" spans="1:7" x14ac:dyDescent="0.25">
      <c r="A180" s="8">
        <v>42725.757256944446</v>
      </c>
      <c r="B180" s="21" t="s">
        <v>293</v>
      </c>
      <c r="C180" s="21" t="s">
        <v>623</v>
      </c>
      <c r="D180" s="164">
        <v>1280000</v>
      </c>
      <c r="E180" s="21" t="s">
        <v>324</v>
      </c>
      <c r="F180" s="21" t="s">
        <v>325</v>
      </c>
      <c r="G180" s="8" t="str">
        <f t="shared" si="2"/>
        <v>BARTLETT KIANDRA</v>
      </c>
    </row>
    <row r="181" spans="1:7" x14ac:dyDescent="0.25">
      <c r="A181" s="8">
        <v>42725.757476851853</v>
      </c>
      <c r="B181" s="21" t="s">
        <v>282</v>
      </c>
      <c r="C181" s="21" t="s">
        <v>624</v>
      </c>
      <c r="D181" s="164">
        <v>1800000</v>
      </c>
      <c r="E181" s="21" t="s">
        <v>237</v>
      </c>
      <c r="F181" s="21" t="s">
        <v>255</v>
      </c>
      <c r="G181" s="8" t="str">
        <f t="shared" si="2"/>
        <v>CHANDLER KELVIN</v>
      </c>
    </row>
    <row r="182" spans="1:7" x14ac:dyDescent="0.25">
      <c r="A182" s="8">
        <v>42725.759826388887</v>
      </c>
      <c r="B182" s="21" t="s">
        <v>316</v>
      </c>
      <c r="C182" s="21" t="s">
        <v>625</v>
      </c>
      <c r="D182" s="164">
        <v>2270000</v>
      </c>
      <c r="E182" s="21" t="s">
        <v>617</v>
      </c>
      <c r="F182" s="21" t="s">
        <v>618</v>
      </c>
      <c r="G182" s="8" t="str">
        <f t="shared" si="2"/>
        <v>BROWN JACOB</v>
      </c>
    </row>
    <row r="183" spans="1:7" x14ac:dyDescent="0.25">
      <c r="A183" s="8">
        <v>42725.761319444442</v>
      </c>
      <c r="B183" s="21" t="s">
        <v>229</v>
      </c>
      <c r="C183" s="21" t="s">
        <v>626</v>
      </c>
      <c r="D183" s="164">
        <v>1770000</v>
      </c>
      <c r="E183" s="21" t="s">
        <v>564</v>
      </c>
      <c r="F183" s="21" t="s">
        <v>565</v>
      </c>
      <c r="G183" s="8" t="str">
        <f t="shared" si="2"/>
        <v>BRUDER RICHARD</v>
      </c>
    </row>
    <row r="184" spans="1:7" x14ac:dyDescent="0.25">
      <c r="A184" s="8">
        <v>42725.76902777778</v>
      </c>
      <c r="B184" s="21" t="s">
        <v>277</v>
      </c>
      <c r="C184" s="21" t="s">
        <v>627</v>
      </c>
      <c r="D184" s="164">
        <v>2450000</v>
      </c>
      <c r="E184" s="21" t="s">
        <v>628</v>
      </c>
      <c r="F184" s="21" t="s">
        <v>629</v>
      </c>
      <c r="G184" s="8" t="str">
        <f t="shared" si="2"/>
        <v>NELSON ARIANE</v>
      </c>
    </row>
    <row r="185" spans="1:7" x14ac:dyDescent="0.25">
      <c r="A185" s="8">
        <v>42725.771990740737</v>
      </c>
      <c r="B185" s="21" t="s">
        <v>204</v>
      </c>
      <c r="C185" s="21" t="s">
        <v>630</v>
      </c>
      <c r="D185" s="164">
        <v>920000</v>
      </c>
      <c r="E185" s="21" t="s">
        <v>265</v>
      </c>
      <c r="F185" s="21" t="s">
        <v>264</v>
      </c>
      <c r="G185" s="8" t="str">
        <f t="shared" si="2"/>
        <v>DAVIS MICHAEL</v>
      </c>
    </row>
    <row r="186" spans="1:7" x14ac:dyDescent="0.25">
      <c r="A186" s="8">
        <v>42725.77553240741</v>
      </c>
      <c r="B186" s="21" t="s">
        <v>367</v>
      </c>
      <c r="C186" s="21" t="s">
        <v>631</v>
      </c>
      <c r="D186" s="164">
        <v>1540000</v>
      </c>
      <c r="E186" s="21" t="s">
        <v>546</v>
      </c>
      <c r="F186" s="21" t="s">
        <v>547</v>
      </c>
      <c r="G186" s="8" t="str">
        <f t="shared" si="2"/>
        <v>HELVIE ADAM</v>
      </c>
    </row>
    <row r="187" spans="1:7" x14ac:dyDescent="0.25">
      <c r="A187" s="8">
        <v>42725.775763888887</v>
      </c>
      <c r="B187" s="21" t="s">
        <v>233</v>
      </c>
      <c r="C187" s="21" t="s">
        <v>632</v>
      </c>
      <c r="D187" s="164">
        <v>2730000</v>
      </c>
      <c r="E187" s="21" t="s">
        <v>374</v>
      </c>
      <c r="F187" s="21" t="s">
        <v>375</v>
      </c>
      <c r="G187" s="8" t="str">
        <f t="shared" si="2"/>
        <v>YANG JAN</v>
      </c>
    </row>
    <row r="188" spans="1:7" x14ac:dyDescent="0.25">
      <c r="A188" s="8">
        <v>42725.777245370373</v>
      </c>
      <c r="B188" s="21" t="s">
        <v>261</v>
      </c>
      <c r="C188" s="21" t="s">
        <v>633</v>
      </c>
      <c r="D188" s="164">
        <v>1770000</v>
      </c>
      <c r="E188" s="21" t="s">
        <v>564</v>
      </c>
      <c r="F188" s="21" t="s">
        <v>565</v>
      </c>
      <c r="G188" s="8" t="str">
        <f t="shared" si="2"/>
        <v>BRUDER RICHARD</v>
      </c>
    </row>
    <row r="189" spans="1:7" x14ac:dyDescent="0.25">
      <c r="A189" s="8">
        <v>42725.780960648146</v>
      </c>
      <c r="B189" s="21" t="s">
        <v>319</v>
      </c>
      <c r="C189" s="21" t="s">
        <v>634</v>
      </c>
      <c r="D189" s="164">
        <v>1190000</v>
      </c>
      <c r="E189" s="21" t="s">
        <v>554</v>
      </c>
      <c r="F189" s="21" t="s">
        <v>555</v>
      </c>
      <c r="G189" s="8" t="str">
        <f t="shared" si="2"/>
        <v>BRANNON JEFFREY</v>
      </c>
    </row>
    <row r="190" spans="1:7" x14ac:dyDescent="0.25">
      <c r="A190" s="8">
        <v>42725.785462962966</v>
      </c>
      <c r="B190" s="21" t="s">
        <v>281</v>
      </c>
      <c r="C190" s="21" t="s">
        <v>635</v>
      </c>
      <c r="D190" s="164">
        <v>1800000</v>
      </c>
      <c r="E190" s="21" t="s">
        <v>237</v>
      </c>
      <c r="F190" s="21" t="s">
        <v>255</v>
      </c>
      <c r="G190" s="8" t="str">
        <f t="shared" si="2"/>
        <v>CHANDLER KELVIN</v>
      </c>
    </row>
    <row r="191" spans="1:7" x14ac:dyDescent="0.25">
      <c r="A191" s="8">
        <v>42725.787083333336</v>
      </c>
      <c r="B191" s="21" t="s">
        <v>244</v>
      </c>
      <c r="C191" s="21" t="s">
        <v>448</v>
      </c>
      <c r="D191" s="164">
        <v>2220000</v>
      </c>
      <c r="E191" s="21" t="s">
        <v>607</v>
      </c>
      <c r="F191" s="21" t="s">
        <v>608</v>
      </c>
      <c r="G191" s="8" t="str">
        <f t="shared" si="2"/>
        <v>HILLS DUSTIN</v>
      </c>
    </row>
    <row r="192" spans="1:7" x14ac:dyDescent="0.25">
      <c r="A192" s="8">
        <v>42725.793923611112</v>
      </c>
      <c r="B192" s="21" t="s">
        <v>315</v>
      </c>
      <c r="C192" s="21" t="s">
        <v>636</v>
      </c>
      <c r="D192" s="164">
        <v>2270000</v>
      </c>
      <c r="E192" s="21" t="s">
        <v>617</v>
      </c>
      <c r="F192" s="21" t="s">
        <v>618</v>
      </c>
      <c r="G192" s="8" t="str">
        <f t="shared" si="2"/>
        <v>BROWN JACOB</v>
      </c>
    </row>
    <row r="193" spans="1:7" x14ac:dyDescent="0.25">
      <c r="A193" s="8">
        <v>42725.797418981485</v>
      </c>
      <c r="B193" s="21" t="s">
        <v>183</v>
      </c>
      <c r="C193" s="21" t="s">
        <v>447</v>
      </c>
      <c r="D193" s="164">
        <v>1280000</v>
      </c>
      <c r="E193" s="21" t="s">
        <v>324</v>
      </c>
      <c r="F193" s="21" t="s">
        <v>325</v>
      </c>
      <c r="G193" s="8" t="str">
        <f t="shared" si="2"/>
        <v>BARTLETT KIANDRA</v>
      </c>
    </row>
    <row r="194" spans="1:7" x14ac:dyDescent="0.25">
      <c r="A194" s="8">
        <v>42725.800451388888</v>
      </c>
      <c r="B194" s="21" t="s">
        <v>282</v>
      </c>
      <c r="C194" s="21" t="s">
        <v>637</v>
      </c>
      <c r="D194" s="164">
        <v>1800000</v>
      </c>
      <c r="E194" s="21" t="s">
        <v>237</v>
      </c>
      <c r="F194" s="21" t="s">
        <v>255</v>
      </c>
      <c r="G194" s="8" t="str">
        <f t="shared" si="2"/>
        <v>CHANDLER KELVIN</v>
      </c>
    </row>
    <row r="195" spans="1:7" x14ac:dyDescent="0.25">
      <c r="A195" s="8">
        <v>42725.802951388891</v>
      </c>
      <c r="B195" s="21" t="s">
        <v>229</v>
      </c>
      <c r="C195" s="21" t="s">
        <v>638</v>
      </c>
      <c r="D195" s="164">
        <v>1770000</v>
      </c>
      <c r="E195" s="21" t="s">
        <v>564</v>
      </c>
      <c r="F195" s="21" t="s">
        <v>565</v>
      </c>
      <c r="G195" s="8" t="str">
        <f t="shared" ref="G195:G258" si="3">E195&amp;" "&amp;F195</f>
        <v>BRUDER RICHARD</v>
      </c>
    </row>
    <row r="196" spans="1:7" x14ac:dyDescent="0.25">
      <c r="A196" s="8">
        <v>42725.808738425927</v>
      </c>
      <c r="B196" s="21" t="s">
        <v>274</v>
      </c>
      <c r="C196" s="21" t="s">
        <v>449</v>
      </c>
      <c r="D196" s="164">
        <v>2450000</v>
      </c>
      <c r="E196" s="21" t="s">
        <v>628</v>
      </c>
      <c r="F196" s="21" t="s">
        <v>629</v>
      </c>
      <c r="G196" s="8" t="str">
        <f t="shared" si="3"/>
        <v>NELSON ARIANE</v>
      </c>
    </row>
    <row r="197" spans="1:7" x14ac:dyDescent="0.25">
      <c r="A197" s="8">
        <v>42725.810231481482</v>
      </c>
      <c r="B197" s="21" t="s">
        <v>232</v>
      </c>
      <c r="C197" s="21" t="s">
        <v>639</v>
      </c>
      <c r="D197" s="164">
        <v>2730000</v>
      </c>
      <c r="E197" s="21" t="s">
        <v>374</v>
      </c>
      <c r="F197" s="21" t="s">
        <v>375</v>
      </c>
      <c r="G197" s="8" t="str">
        <f t="shared" si="3"/>
        <v>YANG JAN</v>
      </c>
    </row>
    <row r="198" spans="1:7" x14ac:dyDescent="0.25">
      <c r="A198" s="8">
        <v>42725.812777777777</v>
      </c>
      <c r="B198" s="21" t="s">
        <v>281</v>
      </c>
      <c r="C198" s="21" t="s">
        <v>637</v>
      </c>
      <c r="D198" s="164">
        <v>1800000</v>
      </c>
      <c r="E198" s="21" t="s">
        <v>237</v>
      </c>
      <c r="F198" s="21" t="s">
        <v>255</v>
      </c>
      <c r="G198" s="8" t="str">
        <f t="shared" si="3"/>
        <v>CHANDLER KELVIN</v>
      </c>
    </row>
    <row r="199" spans="1:7" x14ac:dyDescent="0.25">
      <c r="A199" s="8">
        <v>42725.817974537036</v>
      </c>
      <c r="B199" s="21" t="s">
        <v>259</v>
      </c>
      <c r="C199" s="21" t="s">
        <v>640</v>
      </c>
      <c r="D199" s="164">
        <v>2220000</v>
      </c>
      <c r="E199" s="21" t="s">
        <v>607</v>
      </c>
      <c r="F199" s="21" t="s">
        <v>608</v>
      </c>
      <c r="G199" s="8" t="str">
        <f t="shared" si="3"/>
        <v>HILLS DUSTIN</v>
      </c>
    </row>
    <row r="200" spans="1:7" x14ac:dyDescent="0.25">
      <c r="A200" s="8">
        <v>42725.818287037036</v>
      </c>
      <c r="B200" s="21" t="s">
        <v>261</v>
      </c>
      <c r="C200" s="21" t="s">
        <v>641</v>
      </c>
      <c r="D200" s="164">
        <v>1770000</v>
      </c>
      <c r="E200" s="21" t="s">
        <v>564</v>
      </c>
      <c r="F200" s="21" t="s">
        <v>565</v>
      </c>
      <c r="G200" s="8" t="str">
        <f t="shared" si="3"/>
        <v>BRUDER RICHARD</v>
      </c>
    </row>
    <row r="201" spans="1:7" x14ac:dyDescent="0.25">
      <c r="A201" s="8">
        <v>42725.819664351853</v>
      </c>
      <c r="B201" s="21" t="s">
        <v>317</v>
      </c>
      <c r="C201" s="21" t="s">
        <v>642</v>
      </c>
      <c r="D201" s="164">
        <v>1190000</v>
      </c>
      <c r="E201" s="21" t="s">
        <v>554</v>
      </c>
      <c r="F201" s="21" t="s">
        <v>555</v>
      </c>
      <c r="G201" s="8" t="str">
        <f t="shared" si="3"/>
        <v>BRANNON JEFFREY</v>
      </c>
    </row>
    <row r="202" spans="1:7" x14ac:dyDescent="0.25">
      <c r="A202" s="27">
        <v>42725.830312500002</v>
      </c>
      <c r="B202" s="21" t="s">
        <v>316</v>
      </c>
      <c r="C202" s="21" t="s">
        <v>643</v>
      </c>
      <c r="D202" s="164">
        <v>2270000</v>
      </c>
      <c r="E202" s="21" t="s">
        <v>617</v>
      </c>
      <c r="F202" s="21" t="s">
        <v>618</v>
      </c>
      <c r="G202" s="8" t="str">
        <f t="shared" si="3"/>
        <v>BROWN JACOB</v>
      </c>
    </row>
    <row r="203" spans="1:7" x14ac:dyDescent="0.25">
      <c r="A203" s="8">
        <v>42725.84306712963</v>
      </c>
      <c r="B203" s="21" t="s">
        <v>229</v>
      </c>
      <c r="C203" s="21" t="s">
        <v>644</v>
      </c>
      <c r="D203" s="164">
        <v>1770000</v>
      </c>
      <c r="E203" s="21" t="s">
        <v>564</v>
      </c>
      <c r="F203" s="21" t="s">
        <v>565</v>
      </c>
      <c r="G203" s="8" t="str">
        <f t="shared" si="3"/>
        <v>BRUDER RICHARD</v>
      </c>
    </row>
    <row r="204" spans="1:7" x14ac:dyDescent="0.25">
      <c r="A204" s="8">
        <v>42725.848055555558</v>
      </c>
      <c r="B204" s="21" t="s">
        <v>233</v>
      </c>
      <c r="C204" s="21" t="s">
        <v>450</v>
      </c>
      <c r="D204" s="164">
        <v>2730000</v>
      </c>
      <c r="E204" s="21" t="s">
        <v>374</v>
      </c>
      <c r="F204" s="21" t="s">
        <v>375</v>
      </c>
      <c r="G204" s="8" t="str">
        <f t="shared" si="3"/>
        <v>YANG JAN</v>
      </c>
    </row>
    <row r="205" spans="1:7" x14ac:dyDescent="0.25">
      <c r="A205" s="8">
        <v>42725.850173611114</v>
      </c>
      <c r="B205" s="21" t="s">
        <v>277</v>
      </c>
      <c r="C205" s="21" t="s">
        <v>645</v>
      </c>
      <c r="D205" s="164">
        <v>2450000</v>
      </c>
      <c r="E205" s="21" t="s">
        <v>628</v>
      </c>
      <c r="F205" s="21" t="s">
        <v>629</v>
      </c>
      <c r="G205" s="8" t="str">
        <f t="shared" si="3"/>
        <v>NELSON ARIANE</v>
      </c>
    </row>
    <row r="206" spans="1:7" x14ac:dyDescent="0.25">
      <c r="A206" s="8">
        <v>42725.860717592594</v>
      </c>
      <c r="B206" s="21" t="s">
        <v>244</v>
      </c>
      <c r="C206" s="21" t="s">
        <v>646</v>
      </c>
      <c r="D206" s="164">
        <v>2220000</v>
      </c>
      <c r="E206" s="21" t="s">
        <v>607</v>
      </c>
      <c r="F206" s="21" t="s">
        <v>608</v>
      </c>
      <c r="G206" s="8" t="str">
        <f t="shared" si="3"/>
        <v>HILLS DUSTIN</v>
      </c>
    </row>
    <row r="207" spans="1:7" x14ac:dyDescent="0.25">
      <c r="A207" s="8">
        <v>42725.860752314817</v>
      </c>
      <c r="B207" s="21" t="s">
        <v>261</v>
      </c>
      <c r="C207" s="21" t="s">
        <v>647</v>
      </c>
      <c r="D207" s="164">
        <v>1770000</v>
      </c>
      <c r="E207" s="21" t="s">
        <v>564</v>
      </c>
      <c r="F207" s="21" t="s">
        <v>565</v>
      </c>
      <c r="G207" s="8" t="str">
        <f t="shared" si="3"/>
        <v>BRUDER RICHARD</v>
      </c>
    </row>
    <row r="208" spans="1:7" x14ac:dyDescent="0.25">
      <c r="A208" s="8">
        <v>42725.862395833334</v>
      </c>
      <c r="B208" s="21" t="s">
        <v>244</v>
      </c>
      <c r="C208" s="21" t="s">
        <v>646</v>
      </c>
      <c r="D208" s="164">
        <v>2220000</v>
      </c>
      <c r="E208" s="21" t="s">
        <v>607</v>
      </c>
      <c r="F208" s="21" t="s">
        <v>608</v>
      </c>
      <c r="G208" s="8" t="str">
        <f t="shared" si="3"/>
        <v>HILLS DUSTIN</v>
      </c>
    </row>
    <row r="209" spans="1:7" x14ac:dyDescent="0.25">
      <c r="A209" s="8">
        <v>42725.866400462961</v>
      </c>
      <c r="B209" s="21" t="s">
        <v>315</v>
      </c>
      <c r="C209" s="21" t="s">
        <v>648</v>
      </c>
      <c r="D209" s="164">
        <v>2270000</v>
      </c>
      <c r="E209" s="21" t="s">
        <v>617</v>
      </c>
      <c r="F209" s="21" t="s">
        <v>618</v>
      </c>
      <c r="G209" s="8" t="str">
        <f t="shared" si="3"/>
        <v>BROWN JACOB</v>
      </c>
    </row>
    <row r="210" spans="1:7" x14ac:dyDescent="0.25">
      <c r="A210" s="8">
        <v>42725.880324074074</v>
      </c>
      <c r="B210" s="21" t="s">
        <v>229</v>
      </c>
      <c r="C210" s="21" t="s">
        <v>649</v>
      </c>
      <c r="D210" s="164">
        <v>1800000</v>
      </c>
      <c r="E210" s="21" t="s">
        <v>237</v>
      </c>
      <c r="F210" s="21" t="s">
        <v>255</v>
      </c>
      <c r="G210" s="8" t="str">
        <f t="shared" si="3"/>
        <v>CHANDLER KELVIN</v>
      </c>
    </row>
    <row r="211" spans="1:7" x14ac:dyDescent="0.25">
      <c r="A211" s="8">
        <v>42725.889872685184</v>
      </c>
      <c r="B211" s="21" t="s">
        <v>232</v>
      </c>
      <c r="C211" s="21" t="s">
        <v>650</v>
      </c>
      <c r="D211" s="164">
        <v>2730000</v>
      </c>
      <c r="E211" s="21" t="s">
        <v>374</v>
      </c>
      <c r="F211" s="21" t="s">
        <v>375</v>
      </c>
      <c r="G211" s="8" t="str">
        <f t="shared" si="3"/>
        <v>YANG JAN</v>
      </c>
    </row>
    <row r="212" spans="1:7" x14ac:dyDescent="0.25">
      <c r="A212" s="8">
        <v>42725.889965277776</v>
      </c>
      <c r="B212" s="21" t="s">
        <v>274</v>
      </c>
      <c r="C212" s="21" t="s">
        <v>452</v>
      </c>
      <c r="D212" s="164">
        <v>2450000</v>
      </c>
      <c r="E212" s="21" t="s">
        <v>628</v>
      </c>
      <c r="F212" s="21" t="s">
        <v>629</v>
      </c>
      <c r="G212" s="8" t="str">
        <f t="shared" si="3"/>
        <v>NELSON ARIANE</v>
      </c>
    </row>
    <row r="213" spans="1:7" x14ac:dyDescent="0.25">
      <c r="A213" s="8">
        <v>42725.891099537039</v>
      </c>
      <c r="B213" s="21" t="s">
        <v>274</v>
      </c>
      <c r="C213" s="21" t="s">
        <v>452</v>
      </c>
      <c r="D213" s="164">
        <v>2450000</v>
      </c>
      <c r="E213" s="21" t="s">
        <v>628</v>
      </c>
      <c r="F213" s="21" t="s">
        <v>629</v>
      </c>
      <c r="G213" s="8" t="str">
        <f t="shared" si="3"/>
        <v>NELSON ARIANE</v>
      </c>
    </row>
    <row r="214" spans="1:7" x14ac:dyDescent="0.25">
      <c r="A214" s="8">
        <v>42725.902245370373</v>
      </c>
      <c r="B214" s="21" t="s">
        <v>259</v>
      </c>
      <c r="C214" s="21" t="s">
        <v>651</v>
      </c>
      <c r="D214" s="164">
        <v>2220000</v>
      </c>
      <c r="E214" s="21" t="s">
        <v>607</v>
      </c>
      <c r="F214" s="21" t="s">
        <v>608</v>
      </c>
      <c r="G214" s="8" t="str">
        <f t="shared" si="3"/>
        <v>HILLS DUSTIN</v>
      </c>
    </row>
    <row r="215" spans="1:7" x14ac:dyDescent="0.25">
      <c r="A215" s="8">
        <v>42725.903460648151</v>
      </c>
      <c r="B215" s="21" t="s">
        <v>261</v>
      </c>
      <c r="C215" s="21" t="s">
        <v>451</v>
      </c>
      <c r="D215" s="164">
        <v>1800000</v>
      </c>
      <c r="E215" s="21" t="s">
        <v>237</v>
      </c>
      <c r="F215" s="21" t="s">
        <v>255</v>
      </c>
      <c r="G215" s="8" t="str">
        <f t="shared" si="3"/>
        <v>CHANDLER KELVIN</v>
      </c>
    </row>
    <row r="216" spans="1:7" x14ac:dyDescent="0.25">
      <c r="A216" s="8">
        <v>42725.914386574077</v>
      </c>
      <c r="B216" s="21" t="s">
        <v>316</v>
      </c>
      <c r="C216" s="21" t="s">
        <v>453</v>
      </c>
      <c r="D216" s="164">
        <v>2270000</v>
      </c>
      <c r="E216" s="21" t="s">
        <v>617</v>
      </c>
      <c r="F216" s="21" t="s">
        <v>618</v>
      </c>
      <c r="G216" s="8" t="str">
        <f t="shared" si="3"/>
        <v>BROWN JACOB</v>
      </c>
    </row>
    <row r="217" spans="1:7" x14ac:dyDescent="0.25">
      <c r="A217" s="8">
        <v>42725.926504629628</v>
      </c>
      <c r="B217" s="21" t="s">
        <v>316</v>
      </c>
      <c r="C217" s="21" t="s">
        <v>453</v>
      </c>
      <c r="D217" s="164">
        <v>2270000</v>
      </c>
      <c r="E217" s="21" t="s">
        <v>617</v>
      </c>
      <c r="F217" s="21" t="s">
        <v>618</v>
      </c>
      <c r="G217" s="8" t="str">
        <f t="shared" si="3"/>
        <v>BROWN JACOB</v>
      </c>
    </row>
    <row r="218" spans="1:7" x14ac:dyDescent="0.25">
      <c r="A218" s="8">
        <v>42725.927581018521</v>
      </c>
      <c r="B218" s="21" t="s">
        <v>233</v>
      </c>
      <c r="C218" s="21" t="s">
        <v>652</v>
      </c>
      <c r="D218" s="164">
        <v>2730000</v>
      </c>
      <c r="E218" s="21" t="s">
        <v>374</v>
      </c>
      <c r="F218" s="21" t="s">
        <v>375</v>
      </c>
      <c r="G218" s="8" t="str">
        <f t="shared" si="3"/>
        <v>YANG JAN</v>
      </c>
    </row>
    <row r="219" spans="1:7" x14ac:dyDescent="0.25">
      <c r="A219" s="8">
        <v>42725.930636574078</v>
      </c>
      <c r="B219" s="21" t="s">
        <v>229</v>
      </c>
      <c r="C219" s="21" t="s">
        <v>653</v>
      </c>
      <c r="D219" s="164">
        <v>1800000</v>
      </c>
      <c r="E219" s="21" t="s">
        <v>237</v>
      </c>
      <c r="F219" s="21" t="s">
        <v>255</v>
      </c>
      <c r="G219" s="8" t="str">
        <f t="shared" si="3"/>
        <v>CHANDLER KELVIN</v>
      </c>
    </row>
    <row r="220" spans="1:7" x14ac:dyDescent="0.25">
      <c r="A220" s="8">
        <v>42725.93178240741</v>
      </c>
      <c r="B220" s="21" t="s">
        <v>277</v>
      </c>
      <c r="C220" s="21" t="s">
        <v>454</v>
      </c>
      <c r="D220" s="164">
        <v>2450000</v>
      </c>
      <c r="E220" s="21" t="s">
        <v>628</v>
      </c>
      <c r="F220" s="21" t="s">
        <v>629</v>
      </c>
      <c r="G220" s="8" t="str">
        <f t="shared" si="3"/>
        <v>NELSON ARIANE</v>
      </c>
    </row>
    <row r="221" spans="1:7" x14ac:dyDescent="0.25">
      <c r="A221" s="8">
        <v>42725.943148148152</v>
      </c>
      <c r="B221" s="21" t="s">
        <v>244</v>
      </c>
      <c r="C221" s="21" t="s">
        <v>654</v>
      </c>
      <c r="D221" s="164">
        <v>2220000</v>
      </c>
      <c r="E221" s="21" t="s">
        <v>607</v>
      </c>
      <c r="F221" s="21" t="s">
        <v>608</v>
      </c>
      <c r="G221" s="8" t="str">
        <f t="shared" si="3"/>
        <v>HILLS DUSTIN</v>
      </c>
    </row>
    <row r="222" spans="1:7" x14ac:dyDescent="0.25">
      <c r="A222" s="8">
        <v>42725.944166666668</v>
      </c>
      <c r="B222" s="21" t="s">
        <v>261</v>
      </c>
      <c r="C222" s="21" t="s">
        <v>655</v>
      </c>
      <c r="D222" s="164">
        <v>1800000</v>
      </c>
      <c r="E222" s="21" t="s">
        <v>237</v>
      </c>
      <c r="F222" s="21" t="s">
        <v>255</v>
      </c>
      <c r="G222" s="8" t="str">
        <f t="shared" si="3"/>
        <v>CHANDLER KELVIN</v>
      </c>
    </row>
    <row r="223" spans="1:7" x14ac:dyDescent="0.25">
      <c r="A223" s="8">
        <v>42725.950995370367</v>
      </c>
      <c r="B223" s="21" t="s">
        <v>315</v>
      </c>
      <c r="C223" s="21" t="s">
        <v>455</v>
      </c>
      <c r="D223" s="164">
        <v>2270000</v>
      </c>
      <c r="E223" s="21" t="s">
        <v>617</v>
      </c>
      <c r="F223" s="21" t="s">
        <v>618</v>
      </c>
      <c r="G223" s="8" t="str">
        <f t="shared" si="3"/>
        <v>BROWN JACOB</v>
      </c>
    </row>
    <row r="224" spans="1:7" x14ac:dyDescent="0.25">
      <c r="A224" s="8">
        <v>42726.029293981483</v>
      </c>
      <c r="B224" t="s">
        <v>244</v>
      </c>
      <c r="C224" t="s">
        <v>656</v>
      </c>
      <c r="D224" s="164">
        <v>2220000</v>
      </c>
      <c r="E224" t="s">
        <v>607</v>
      </c>
      <c r="F224" s="21" t="s">
        <v>608</v>
      </c>
      <c r="G224" s="8" t="str">
        <f t="shared" si="3"/>
        <v>HILLS DUSTIN</v>
      </c>
    </row>
    <row r="225" spans="1:7" x14ac:dyDescent="0.25">
      <c r="A225" s="8">
        <v>42726.029895833337</v>
      </c>
      <c r="B225" t="s">
        <v>244</v>
      </c>
      <c r="C225" t="s">
        <v>656</v>
      </c>
      <c r="D225" s="164">
        <v>2220000</v>
      </c>
      <c r="E225" t="s">
        <v>607</v>
      </c>
      <c r="F225" s="21" t="s">
        <v>608</v>
      </c>
      <c r="G225" s="8" t="str">
        <f t="shared" si="3"/>
        <v>HILLS DUSTIN</v>
      </c>
    </row>
    <row r="226" spans="1:7" x14ac:dyDescent="0.25">
      <c r="A226" s="8">
        <v>42726.037939814814</v>
      </c>
      <c r="B226" t="s">
        <v>621</v>
      </c>
      <c r="C226" t="s">
        <v>657</v>
      </c>
      <c r="D226" s="164">
        <v>2540000</v>
      </c>
      <c r="E226" t="s">
        <v>326</v>
      </c>
      <c r="F226" s="21" t="s">
        <v>327</v>
      </c>
      <c r="G226" s="8" t="str">
        <f t="shared" si="3"/>
        <v>MCREYNOLDS KYLE</v>
      </c>
    </row>
    <row r="227" spans="1:7" x14ac:dyDescent="0.25">
      <c r="A227" s="8">
        <v>42726.038831018515</v>
      </c>
      <c r="B227" t="s">
        <v>621</v>
      </c>
      <c r="C227" t="s">
        <v>657</v>
      </c>
      <c r="D227" s="164">
        <v>2540000</v>
      </c>
      <c r="E227" t="s">
        <v>326</v>
      </c>
      <c r="F227" s="21" t="s">
        <v>327</v>
      </c>
      <c r="G227" s="8" t="str">
        <f t="shared" si="3"/>
        <v>MCREYNOLDS KYLE</v>
      </c>
    </row>
    <row r="228" spans="1:7" x14ac:dyDescent="0.25">
      <c r="A228" s="8">
        <v>42726.039502314816</v>
      </c>
      <c r="B228" t="s">
        <v>621</v>
      </c>
      <c r="C228" t="s">
        <v>657</v>
      </c>
      <c r="D228" s="164">
        <v>2540000</v>
      </c>
      <c r="E228" t="s">
        <v>326</v>
      </c>
      <c r="F228" s="21" t="s">
        <v>327</v>
      </c>
      <c r="G228" s="8" t="str">
        <f t="shared" si="3"/>
        <v>MCREYNOLDS KYLE</v>
      </c>
    </row>
    <row r="229" spans="1:7" x14ac:dyDescent="0.25">
      <c r="A229" s="8">
        <v>42726.041226851848</v>
      </c>
      <c r="B229" t="s">
        <v>233</v>
      </c>
      <c r="C229" t="s">
        <v>658</v>
      </c>
      <c r="D229" s="164">
        <v>2620000</v>
      </c>
      <c r="E229" t="s">
        <v>659</v>
      </c>
      <c r="F229" s="21" t="s">
        <v>660</v>
      </c>
      <c r="G229" s="8" t="str">
        <f t="shared" si="3"/>
        <v>PERKINS DARREN</v>
      </c>
    </row>
    <row r="230" spans="1:7" x14ac:dyDescent="0.25">
      <c r="A230" s="8">
        <v>42726.061145833337</v>
      </c>
      <c r="B230" t="s">
        <v>316</v>
      </c>
      <c r="C230" t="s">
        <v>661</v>
      </c>
      <c r="D230" s="164">
        <v>2270000</v>
      </c>
      <c r="E230" t="s">
        <v>617</v>
      </c>
      <c r="F230" s="21" t="s">
        <v>618</v>
      </c>
      <c r="G230" s="8" t="str">
        <f t="shared" si="3"/>
        <v>BROWN JACOB</v>
      </c>
    </row>
    <row r="231" spans="1:7" x14ac:dyDescent="0.25">
      <c r="A231" s="8">
        <v>42726.06827546296</v>
      </c>
      <c r="B231" t="s">
        <v>662</v>
      </c>
      <c r="C231" t="s">
        <v>663</v>
      </c>
      <c r="D231" s="164">
        <v>2540000</v>
      </c>
      <c r="E231" t="s">
        <v>326</v>
      </c>
      <c r="F231" s="21" t="s">
        <v>327</v>
      </c>
      <c r="G231" s="8" t="str">
        <f t="shared" si="3"/>
        <v>MCREYNOLDS KYLE</v>
      </c>
    </row>
    <row r="232" spans="1:7" x14ac:dyDescent="0.25">
      <c r="A232" s="8">
        <v>42726.074814814812</v>
      </c>
      <c r="B232" t="s">
        <v>232</v>
      </c>
      <c r="C232" t="s">
        <v>664</v>
      </c>
      <c r="D232" s="164">
        <v>2620000</v>
      </c>
      <c r="E232" t="s">
        <v>659</v>
      </c>
      <c r="F232" s="21" t="s">
        <v>660</v>
      </c>
      <c r="G232" s="8" t="str">
        <f t="shared" si="3"/>
        <v>PERKINS DARREN</v>
      </c>
    </row>
    <row r="233" spans="1:7" x14ac:dyDescent="0.25">
      <c r="A233" s="8">
        <v>42726.078055555554</v>
      </c>
      <c r="B233" t="s">
        <v>621</v>
      </c>
      <c r="C233" t="s">
        <v>657</v>
      </c>
      <c r="D233" s="164">
        <v>2540000</v>
      </c>
      <c r="E233" t="s">
        <v>326</v>
      </c>
      <c r="F233" s="21" t="s">
        <v>327</v>
      </c>
      <c r="G233" s="8" t="str">
        <f t="shared" si="3"/>
        <v>MCREYNOLDS KYLE</v>
      </c>
    </row>
    <row r="234" spans="1:7" x14ac:dyDescent="0.25">
      <c r="A234" s="8">
        <v>42726.086319444446</v>
      </c>
      <c r="B234" t="s">
        <v>233</v>
      </c>
      <c r="C234" t="s">
        <v>658</v>
      </c>
      <c r="D234" s="164">
        <v>2620000</v>
      </c>
      <c r="E234" t="s">
        <v>659</v>
      </c>
      <c r="F234" s="21" t="s">
        <v>660</v>
      </c>
      <c r="G234" s="8" t="str">
        <f t="shared" si="3"/>
        <v>PERKINS DARREN</v>
      </c>
    </row>
    <row r="235" spans="1:7" x14ac:dyDescent="0.25">
      <c r="A235" s="8">
        <v>42726.101724537039</v>
      </c>
      <c r="B235" t="s">
        <v>662</v>
      </c>
      <c r="C235" t="s">
        <v>663</v>
      </c>
      <c r="D235" s="164">
        <v>2540000</v>
      </c>
      <c r="E235" t="s">
        <v>326</v>
      </c>
      <c r="F235" s="21" t="s">
        <v>327</v>
      </c>
      <c r="G235" s="8" t="str">
        <f t="shared" si="3"/>
        <v>MCREYNOLDS KYLE</v>
      </c>
    </row>
    <row r="236" spans="1:7" x14ac:dyDescent="0.25">
      <c r="A236" s="8">
        <v>42726.104479166665</v>
      </c>
      <c r="B236" t="s">
        <v>232</v>
      </c>
      <c r="C236" t="s">
        <v>664</v>
      </c>
      <c r="D236" s="164">
        <v>2620000</v>
      </c>
      <c r="E236" t="s">
        <v>659</v>
      </c>
      <c r="F236" s="21" t="s">
        <v>660</v>
      </c>
      <c r="G236" s="8" t="str">
        <f t="shared" si="3"/>
        <v>PERKINS DARREN</v>
      </c>
    </row>
    <row r="237" spans="1:7" x14ac:dyDescent="0.25">
      <c r="A237" s="8">
        <v>42726.111932870372</v>
      </c>
      <c r="B237" t="s">
        <v>621</v>
      </c>
      <c r="C237" t="s">
        <v>657</v>
      </c>
      <c r="D237" s="164">
        <v>2540000</v>
      </c>
      <c r="E237" t="s">
        <v>326</v>
      </c>
      <c r="F237" s="21" t="s">
        <v>327</v>
      </c>
      <c r="G237" s="8" t="str">
        <f t="shared" si="3"/>
        <v>MCREYNOLDS KYLE</v>
      </c>
    </row>
    <row r="238" spans="1:7" x14ac:dyDescent="0.25">
      <c r="A238" s="8">
        <v>42726.114270833335</v>
      </c>
      <c r="B238" t="s">
        <v>282</v>
      </c>
      <c r="C238" t="s">
        <v>665</v>
      </c>
      <c r="D238" s="164">
        <v>2100000</v>
      </c>
      <c r="E238" t="s">
        <v>462</v>
      </c>
      <c r="F238" s="21" t="s">
        <v>463</v>
      </c>
      <c r="G238" s="8" t="str">
        <f t="shared" si="3"/>
        <v>ISHMAEL JOSEPH</v>
      </c>
    </row>
    <row r="239" spans="1:7" x14ac:dyDescent="0.25">
      <c r="A239" s="8">
        <v>42722.910717592589</v>
      </c>
      <c r="B239" t="s">
        <v>207</v>
      </c>
      <c r="C239" t="s">
        <v>328</v>
      </c>
      <c r="D239" s="164">
        <v>1800000</v>
      </c>
      <c r="E239" t="s">
        <v>237</v>
      </c>
      <c r="F239" s="21" t="s">
        <v>255</v>
      </c>
      <c r="G239" s="8" t="str">
        <f t="shared" si="3"/>
        <v>CHANDLER KELVIN</v>
      </c>
    </row>
    <row r="240" spans="1:7" x14ac:dyDescent="0.25">
      <c r="A240" s="8">
        <v>42722.916539351849</v>
      </c>
      <c r="B240" t="s">
        <v>214</v>
      </c>
      <c r="C240" t="s">
        <v>329</v>
      </c>
      <c r="D240" s="164">
        <v>2530000</v>
      </c>
      <c r="E240" t="s">
        <v>238</v>
      </c>
      <c r="F240" s="21" t="s">
        <v>298</v>
      </c>
      <c r="G240" s="8" t="str">
        <f t="shared" si="3"/>
        <v>LALONDE GREGORY</v>
      </c>
    </row>
    <row r="241" spans="1:7" x14ac:dyDescent="0.25">
      <c r="A241" s="8">
        <v>42722.923055555555</v>
      </c>
      <c r="B241" t="s">
        <v>317</v>
      </c>
      <c r="C241" t="s">
        <v>321</v>
      </c>
      <c r="D241" s="164">
        <v>2000000</v>
      </c>
      <c r="E241" t="s">
        <v>209</v>
      </c>
      <c r="F241" s="21" t="s">
        <v>252</v>
      </c>
      <c r="G241" s="8" t="str">
        <f t="shared" si="3"/>
        <v>STAMBAUGH JAMES</v>
      </c>
    </row>
    <row r="242" spans="1:7" x14ac:dyDescent="0.25">
      <c r="A242" s="8">
        <v>42722.93068287037</v>
      </c>
      <c r="B242" t="s">
        <v>274</v>
      </c>
      <c r="C242" t="s">
        <v>330</v>
      </c>
      <c r="D242" s="164">
        <v>1810000</v>
      </c>
      <c r="E242" t="s">
        <v>297</v>
      </c>
      <c r="F242" s="21" t="s">
        <v>252</v>
      </c>
      <c r="G242" s="8" t="str">
        <f t="shared" si="3"/>
        <v>NEWELL JAMES</v>
      </c>
    </row>
    <row r="243" spans="1:7" x14ac:dyDescent="0.25">
      <c r="A243" s="8">
        <v>42722.942569444444</v>
      </c>
      <c r="B243" t="s">
        <v>275</v>
      </c>
      <c r="C243" t="s">
        <v>331</v>
      </c>
      <c r="D243" s="164">
        <v>2530000</v>
      </c>
      <c r="E243" t="s">
        <v>238</v>
      </c>
      <c r="F243" s="21" t="s">
        <v>298</v>
      </c>
      <c r="G243" s="8" t="str">
        <f t="shared" si="3"/>
        <v>LALONDE GREGORY</v>
      </c>
    </row>
    <row r="244" spans="1:7" x14ac:dyDescent="0.25">
      <c r="A244" s="8">
        <v>42722.946111111109</v>
      </c>
      <c r="B244" t="s">
        <v>272</v>
      </c>
      <c r="C244" t="s">
        <v>320</v>
      </c>
      <c r="D244" s="164">
        <v>2230000</v>
      </c>
      <c r="E244" t="s">
        <v>294</v>
      </c>
      <c r="F244" s="21" t="s">
        <v>264</v>
      </c>
      <c r="G244" s="8" t="str">
        <f t="shared" si="3"/>
        <v>SMITH MICHAEL</v>
      </c>
    </row>
    <row r="245" spans="1:7" x14ac:dyDescent="0.25">
      <c r="A245" s="8">
        <v>42722.957858796297</v>
      </c>
      <c r="B245" t="s">
        <v>206</v>
      </c>
      <c r="C245" t="s">
        <v>332</v>
      </c>
      <c r="D245" s="164">
        <v>1800000</v>
      </c>
      <c r="E245" t="s">
        <v>237</v>
      </c>
      <c r="F245" s="21" t="s">
        <v>255</v>
      </c>
      <c r="G245" s="8" t="str">
        <f t="shared" si="3"/>
        <v>CHANDLER KELVIN</v>
      </c>
    </row>
    <row r="246" spans="1:7" x14ac:dyDescent="0.25">
      <c r="A246" s="8">
        <v>42722.974085648151</v>
      </c>
      <c r="B246" t="s">
        <v>319</v>
      </c>
      <c r="C246" t="s">
        <v>333</v>
      </c>
      <c r="D246" s="164">
        <v>2000000</v>
      </c>
      <c r="E246" t="s">
        <v>209</v>
      </c>
      <c r="F246" s="21" t="s">
        <v>252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277</v>
      </c>
      <c r="C247" t="s">
        <v>334</v>
      </c>
      <c r="D247" s="164">
        <v>1810000</v>
      </c>
      <c r="E247" t="s">
        <v>297</v>
      </c>
      <c r="F247" s="21" t="s">
        <v>252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335</v>
      </c>
      <c r="D248" s="164">
        <v>2230000</v>
      </c>
      <c r="E248" t="s">
        <v>294</v>
      </c>
      <c r="F248" s="21" t="s">
        <v>264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336</v>
      </c>
      <c r="D249" s="164">
        <v>1800000</v>
      </c>
      <c r="E249" t="s">
        <v>237</v>
      </c>
      <c r="F249" s="21" t="s">
        <v>255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274</v>
      </c>
      <c r="C250" t="s">
        <v>337</v>
      </c>
      <c r="D250" s="164">
        <v>1810000</v>
      </c>
      <c r="E250" t="s">
        <v>297</v>
      </c>
      <c r="F250" s="21" t="s">
        <v>252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317</v>
      </c>
      <c r="C251" t="s">
        <v>338</v>
      </c>
      <c r="D251" s="164">
        <v>2000000</v>
      </c>
      <c r="E251" t="s">
        <v>209</v>
      </c>
      <c r="F251" s="21" t="s">
        <v>252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339</v>
      </c>
      <c r="D252" s="164">
        <v>1800000</v>
      </c>
      <c r="E252" t="s">
        <v>237</v>
      </c>
      <c r="F252" s="21" t="s">
        <v>255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272</v>
      </c>
      <c r="C253" t="s">
        <v>340</v>
      </c>
      <c r="D253" s="164">
        <v>2230000</v>
      </c>
      <c r="E253" t="s">
        <v>294</v>
      </c>
      <c r="F253" s="21" t="s">
        <v>264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277</v>
      </c>
      <c r="C254" t="s">
        <v>341</v>
      </c>
      <c r="D254" s="164">
        <v>1810000</v>
      </c>
      <c r="E254" t="s">
        <v>297</v>
      </c>
      <c r="F254" s="21" t="s">
        <v>252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319</v>
      </c>
      <c r="C255" t="s">
        <v>342</v>
      </c>
      <c r="D255" s="164">
        <v>2000000</v>
      </c>
      <c r="E255" t="s">
        <v>209</v>
      </c>
      <c r="F255" s="21" t="s">
        <v>252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343</v>
      </c>
      <c r="D256" s="164">
        <v>2230000</v>
      </c>
      <c r="E256" t="s">
        <v>294</v>
      </c>
      <c r="F256" s="21" t="s">
        <v>264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317</v>
      </c>
      <c r="C257" t="s">
        <v>344</v>
      </c>
      <c r="D257" s="164">
        <v>2000000</v>
      </c>
      <c r="E257" t="s">
        <v>209</v>
      </c>
      <c r="F257" s="21" t="s">
        <v>252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345</v>
      </c>
      <c r="D258" s="164">
        <v>2110000</v>
      </c>
      <c r="E258" t="s">
        <v>322</v>
      </c>
      <c r="F258" s="21" t="s">
        <v>323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345</v>
      </c>
      <c r="D259" s="164">
        <v>2110000</v>
      </c>
      <c r="E259" t="s">
        <v>322</v>
      </c>
      <c r="F259" s="21" t="s">
        <v>323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232</v>
      </c>
      <c r="C260" t="s">
        <v>240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239</v>
      </c>
      <c r="D261" s="164">
        <v>2530000</v>
      </c>
      <c r="E261" t="s">
        <v>238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241</v>
      </c>
      <c r="D262" s="164">
        <v>2600000</v>
      </c>
      <c r="E262" t="s">
        <v>234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80" t="s">
        <v>165</v>
      </c>
      <c r="B1" s="180" t="s">
        <v>168</v>
      </c>
      <c r="C1" s="180" t="s">
        <v>161</v>
      </c>
      <c r="D1" s="159" t="s">
        <v>173</v>
      </c>
      <c r="E1" s="180" t="s">
        <v>162</v>
      </c>
      <c r="F1" s="180" t="s">
        <v>160</v>
      </c>
      <c r="G1" s="180" t="s">
        <v>158</v>
      </c>
      <c r="H1" s="180" t="s">
        <v>171</v>
      </c>
      <c r="I1" s="180" t="s">
        <v>172</v>
      </c>
      <c r="J1" s="180" t="s">
        <v>166</v>
      </c>
      <c r="K1" s="180" t="s">
        <v>164</v>
      </c>
      <c r="L1" s="180" t="s">
        <v>159</v>
      </c>
      <c r="M1" s="180" t="s">
        <v>169</v>
      </c>
      <c r="N1" s="180" t="s">
        <v>163</v>
      </c>
      <c r="O1" s="180" t="s">
        <v>170</v>
      </c>
      <c r="P1" s="180" t="s">
        <v>167</v>
      </c>
      <c r="Q1"/>
      <c r="R1"/>
    </row>
    <row r="2" spans="1:18" x14ac:dyDescent="0.25">
      <c r="A2" s="169">
        <v>35.17</v>
      </c>
      <c r="B2" s="169">
        <v>0.63</v>
      </c>
      <c r="C2" s="169">
        <v>23.13</v>
      </c>
      <c r="D2" s="8">
        <v>42725</v>
      </c>
      <c r="E2" s="169">
        <v>0.56000000000000005</v>
      </c>
      <c r="F2" s="169" t="s">
        <v>242</v>
      </c>
      <c r="G2" s="169">
        <v>245.86</v>
      </c>
      <c r="H2" s="169">
        <v>0</v>
      </c>
      <c r="I2" s="169">
        <v>0</v>
      </c>
      <c r="J2" s="169">
        <v>1016.5</v>
      </c>
      <c r="K2" s="169" t="s">
        <v>377</v>
      </c>
      <c r="L2" s="169">
        <v>37.56</v>
      </c>
      <c r="M2" s="169">
        <v>1482303600</v>
      </c>
      <c r="N2" s="169">
        <v>7.2</v>
      </c>
      <c r="O2" s="169">
        <v>225</v>
      </c>
      <c r="P2" s="169">
        <v>3.36</v>
      </c>
      <c r="Q2"/>
      <c r="R2"/>
    </row>
    <row r="3" spans="1:18" x14ac:dyDescent="0.25">
      <c r="A3" s="169">
        <v>35.58</v>
      </c>
      <c r="B3" s="169">
        <v>0.52</v>
      </c>
      <c r="C3" s="169">
        <v>23.41</v>
      </c>
      <c r="D3" s="8">
        <v>42725.041666666664</v>
      </c>
      <c r="E3" s="169">
        <v>0.61</v>
      </c>
      <c r="F3" s="169" t="s">
        <v>242</v>
      </c>
      <c r="G3" s="169">
        <v>245.9</v>
      </c>
      <c r="H3" s="169">
        <v>0</v>
      </c>
      <c r="I3" s="169">
        <v>0</v>
      </c>
      <c r="J3" s="169">
        <v>1017.28</v>
      </c>
      <c r="K3" s="169" t="s">
        <v>247</v>
      </c>
      <c r="L3" s="169">
        <v>35.58</v>
      </c>
      <c r="M3" s="169">
        <v>1482307200</v>
      </c>
      <c r="N3" s="169">
        <v>6.98</v>
      </c>
      <c r="O3" s="169">
        <v>228</v>
      </c>
      <c r="P3" s="169">
        <v>2.2599999999999998</v>
      </c>
      <c r="Q3"/>
      <c r="R3"/>
    </row>
    <row r="4" spans="1:18" x14ac:dyDescent="0.25">
      <c r="A4" s="169">
        <v>33.14</v>
      </c>
      <c r="B4" s="169">
        <v>0.46</v>
      </c>
      <c r="C4" s="169">
        <v>22.75</v>
      </c>
      <c r="D4" s="8">
        <v>42725.083333333336</v>
      </c>
      <c r="E4" s="169">
        <v>0.65</v>
      </c>
      <c r="F4" s="169" t="s">
        <v>242</v>
      </c>
      <c r="G4" s="169">
        <v>245.94</v>
      </c>
      <c r="H4" s="169">
        <v>0</v>
      </c>
      <c r="I4" s="169">
        <v>0</v>
      </c>
      <c r="J4" s="169">
        <v>1018.18</v>
      </c>
      <c r="K4" s="169" t="s">
        <v>247</v>
      </c>
      <c r="L4" s="169">
        <v>33.14</v>
      </c>
      <c r="M4" s="169">
        <v>1482310800</v>
      </c>
      <c r="N4" s="169">
        <v>6.02</v>
      </c>
      <c r="O4" s="169">
        <v>237</v>
      </c>
      <c r="P4" s="169">
        <v>2.81</v>
      </c>
      <c r="Q4"/>
      <c r="R4"/>
    </row>
    <row r="5" spans="1:18" x14ac:dyDescent="0.25">
      <c r="A5" s="169">
        <v>33.86</v>
      </c>
      <c r="B5" s="169">
        <v>0.51</v>
      </c>
      <c r="C5" s="169">
        <v>22.75</v>
      </c>
      <c r="D5" s="8">
        <v>42725.125</v>
      </c>
      <c r="E5" s="169">
        <v>0.63</v>
      </c>
      <c r="F5" s="169" t="s">
        <v>242</v>
      </c>
      <c r="G5" s="169">
        <v>245.83</v>
      </c>
      <c r="H5" s="169">
        <v>0</v>
      </c>
      <c r="I5" s="169">
        <v>0</v>
      </c>
      <c r="J5" s="169">
        <v>1017.83</v>
      </c>
      <c r="K5" s="169" t="s">
        <v>247</v>
      </c>
      <c r="L5" s="169">
        <v>33.86</v>
      </c>
      <c r="M5" s="169">
        <v>1482314400</v>
      </c>
      <c r="N5" s="169">
        <v>5.4</v>
      </c>
      <c r="O5" s="169">
        <v>270</v>
      </c>
      <c r="P5" s="169">
        <v>2.0299999999999998</v>
      </c>
      <c r="Q5"/>
      <c r="R5"/>
    </row>
    <row r="6" spans="1:18" x14ac:dyDescent="0.25">
      <c r="A6" s="169">
        <v>34.659999999999997</v>
      </c>
      <c r="B6" s="169">
        <v>0.64</v>
      </c>
      <c r="C6" s="169">
        <v>21.49</v>
      </c>
      <c r="D6" s="8">
        <v>42725.166666666664</v>
      </c>
      <c r="E6" s="169">
        <v>0.57999999999999996</v>
      </c>
      <c r="F6" s="169" t="s">
        <v>242</v>
      </c>
      <c r="G6" s="169">
        <v>245.73</v>
      </c>
      <c r="H6" s="169">
        <v>0</v>
      </c>
      <c r="I6" s="169">
        <v>0</v>
      </c>
      <c r="J6" s="169">
        <v>1017.23</v>
      </c>
      <c r="K6" s="169" t="s">
        <v>377</v>
      </c>
      <c r="L6" s="169">
        <v>34.659999999999997</v>
      </c>
      <c r="M6" s="169">
        <v>1482318000</v>
      </c>
      <c r="N6" s="169">
        <v>10</v>
      </c>
      <c r="O6" s="169">
        <v>271</v>
      </c>
      <c r="P6" s="169">
        <v>2.42</v>
      </c>
      <c r="Q6"/>
      <c r="R6"/>
    </row>
    <row r="7" spans="1:18" x14ac:dyDescent="0.25">
      <c r="A7" s="169">
        <v>34.44</v>
      </c>
      <c r="B7" s="169">
        <v>0.72</v>
      </c>
      <c r="C7" s="169">
        <v>21.39</v>
      </c>
      <c r="D7" s="8">
        <v>42725.208333333336</v>
      </c>
      <c r="E7" s="169">
        <v>0.57999999999999996</v>
      </c>
      <c r="F7" s="169" t="s">
        <v>242</v>
      </c>
      <c r="G7" s="169">
        <v>246.1</v>
      </c>
      <c r="H7" s="169">
        <v>0</v>
      </c>
      <c r="I7" s="169">
        <v>0</v>
      </c>
      <c r="J7" s="169">
        <v>1017.22</v>
      </c>
      <c r="K7" s="169" t="s">
        <v>377</v>
      </c>
      <c r="L7" s="169">
        <v>34.44</v>
      </c>
      <c r="M7" s="169">
        <v>1482321600</v>
      </c>
      <c r="N7" s="169">
        <v>7.05</v>
      </c>
      <c r="O7" s="169">
        <v>281</v>
      </c>
      <c r="P7" s="169">
        <v>2.2999999999999998</v>
      </c>
      <c r="Q7"/>
      <c r="R7"/>
    </row>
    <row r="8" spans="1:18" x14ac:dyDescent="0.25">
      <c r="A8" s="169">
        <v>34.049999999999997</v>
      </c>
      <c r="B8" s="169">
        <v>0.72</v>
      </c>
      <c r="C8" s="169">
        <v>21.74</v>
      </c>
      <c r="D8" s="8">
        <v>42725.25</v>
      </c>
      <c r="E8" s="169">
        <v>0.6</v>
      </c>
      <c r="F8" s="169" t="s">
        <v>242</v>
      </c>
      <c r="G8" s="169">
        <v>247.44</v>
      </c>
      <c r="H8" s="169">
        <v>0</v>
      </c>
      <c r="I8" s="169">
        <v>0</v>
      </c>
      <c r="J8" s="169">
        <v>1018.24</v>
      </c>
      <c r="K8" s="169" t="s">
        <v>377</v>
      </c>
      <c r="L8" s="169">
        <v>34.049999999999997</v>
      </c>
      <c r="M8" s="169">
        <v>1482325200</v>
      </c>
      <c r="N8" s="169">
        <v>6.25</v>
      </c>
      <c r="O8" s="169">
        <v>281</v>
      </c>
      <c r="P8" s="169">
        <v>2.11</v>
      </c>
      <c r="Q8"/>
      <c r="R8"/>
    </row>
    <row r="9" spans="1:18" x14ac:dyDescent="0.25">
      <c r="A9" s="169">
        <v>33.07</v>
      </c>
      <c r="B9" s="169">
        <v>0.74</v>
      </c>
      <c r="C9" s="169">
        <v>20.83</v>
      </c>
      <c r="D9" s="8">
        <v>42725.291666666664</v>
      </c>
      <c r="E9" s="169">
        <v>0.6</v>
      </c>
      <c r="F9" s="169" t="s">
        <v>242</v>
      </c>
      <c r="G9" s="169">
        <v>249.25</v>
      </c>
      <c r="H9" s="169">
        <v>0</v>
      </c>
      <c r="I9" s="169">
        <v>0</v>
      </c>
      <c r="J9" s="169">
        <v>1019.85</v>
      </c>
      <c r="K9" s="169" t="s">
        <v>377</v>
      </c>
      <c r="L9" s="169">
        <v>33.07</v>
      </c>
      <c r="M9" s="169">
        <v>1482328800</v>
      </c>
      <c r="N9" s="169">
        <v>5.26</v>
      </c>
      <c r="O9" s="169">
        <v>277</v>
      </c>
      <c r="P9" s="169">
        <v>2.5</v>
      </c>
      <c r="Q9"/>
      <c r="R9"/>
    </row>
    <row r="10" spans="1:18" x14ac:dyDescent="0.25">
      <c r="A10" s="169">
        <v>32.31</v>
      </c>
      <c r="B10" s="169">
        <v>0.72</v>
      </c>
      <c r="C10" s="169">
        <v>21.59</v>
      </c>
      <c r="D10" s="8">
        <v>42725.333333333336</v>
      </c>
      <c r="E10" s="169">
        <v>0.64</v>
      </c>
      <c r="F10" s="169" t="s">
        <v>376</v>
      </c>
      <c r="G10" s="169">
        <v>250.49</v>
      </c>
      <c r="H10" s="169">
        <v>0</v>
      </c>
      <c r="I10" s="169">
        <v>0</v>
      </c>
      <c r="J10" s="169">
        <v>1021.43</v>
      </c>
      <c r="K10" s="169" t="s">
        <v>377</v>
      </c>
      <c r="L10" s="169">
        <v>32.31</v>
      </c>
      <c r="M10" s="169">
        <v>1482332400</v>
      </c>
      <c r="N10" s="169">
        <v>4.8899999999999997</v>
      </c>
      <c r="O10" s="169">
        <v>192</v>
      </c>
      <c r="P10" s="169">
        <v>1.31</v>
      </c>
      <c r="Q10"/>
      <c r="R10"/>
    </row>
    <row r="11" spans="1:18" x14ac:dyDescent="0.25">
      <c r="A11" s="169">
        <v>34.46</v>
      </c>
      <c r="B11" s="169">
        <v>0.72</v>
      </c>
      <c r="C11" s="169">
        <v>24.02</v>
      </c>
      <c r="D11" s="8">
        <v>42725.375</v>
      </c>
      <c r="E11" s="169">
        <v>0.65</v>
      </c>
      <c r="F11" s="169" t="s">
        <v>376</v>
      </c>
      <c r="G11" s="169">
        <v>250.41</v>
      </c>
      <c r="H11" s="169">
        <v>0</v>
      </c>
      <c r="I11" s="169">
        <v>0</v>
      </c>
      <c r="J11" s="169">
        <v>1022.12</v>
      </c>
      <c r="K11" s="169" t="s">
        <v>377</v>
      </c>
      <c r="L11" s="169">
        <v>34.46</v>
      </c>
      <c r="M11" s="169">
        <v>1482336000</v>
      </c>
      <c r="N11" s="169">
        <v>4.7</v>
      </c>
      <c r="O11" s="169">
        <v>84</v>
      </c>
      <c r="P11" s="169">
        <v>1.23</v>
      </c>
      <c r="Q11"/>
      <c r="R11"/>
    </row>
    <row r="12" spans="1:18" x14ac:dyDescent="0.25">
      <c r="A12" s="169">
        <v>35.090000000000003</v>
      </c>
      <c r="B12" s="169">
        <v>0.71</v>
      </c>
      <c r="C12" s="169">
        <v>23.95</v>
      </c>
      <c r="D12" s="8">
        <v>42725.416666666664</v>
      </c>
      <c r="E12" s="169">
        <v>0.57999999999999996</v>
      </c>
      <c r="F12" s="169" t="s">
        <v>376</v>
      </c>
      <c r="G12" s="169">
        <v>249.77</v>
      </c>
      <c r="H12" s="169">
        <v>0</v>
      </c>
      <c r="I12" s="169">
        <v>0</v>
      </c>
      <c r="J12" s="169">
        <v>1022.25</v>
      </c>
      <c r="K12" s="169" t="s">
        <v>377</v>
      </c>
      <c r="L12" s="169">
        <v>37.15</v>
      </c>
      <c r="M12" s="169">
        <v>1482339600</v>
      </c>
      <c r="N12" s="169">
        <v>4.67</v>
      </c>
      <c r="O12" s="169">
        <v>96</v>
      </c>
      <c r="P12" s="169">
        <v>3.04</v>
      </c>
      <c r="Q12"/>
      <c r="R12"/>
    </row>
    <row r="13" spans="1:18" x14ac:dyDescent="0.25">
      <c r="A13" s="169">
        <v>36.450000000000003</v>
      </c>
      <c r="B13" s="169">
        <v>0.72</v>
      </c>
      <c r="C13" s="169">
        <v>23.69</v>
      </c>
      <c r="D13" s="8">
        <v>42725.458333333336</v>
      </c>
      <c r="E13" s="169">
        <v>0.53</v>
      </c>
      <c r="F13" s="169" t="s">
        <v>376</v>
      </c>
      <c r="G13" s="169">
        <v>249.78</v>
      </c>
      <c r="H13" s="169">
        <v>0</v>
      </c>
      <c r="I13" s="169">
        <v>0</v>
      </c>
      <c r="J13" s="169">
        <v>1022.74</v>
      </c>
      <c r="K13" s="169" t="s">
        <v>377</v>
      </c>
      <c r="L13" s="169">
        <v>39.33</v>
      </c>
      <c r="M13" s="169">
        <v>1482343200</v>
      </c>
      <c r="N13" s="169">
        <v>4.7300000000000004</v>
      </c>
      <c r="O13" s="169">
        <v>89</v>
      </c>
      <c r="P13" s="169">
        <v>4.09</v>
      </c>
      <c r="Q13"/>
      <c r="R13"/>
    </row>
    <row r="14" spans="1:18" x14ac:dyDescent="0.25">
      <c r="A14" s="169">
        <v>34.86</v>
      </c>
      <c r="B14" s="169">
        <v>0.62</v>
      </c>
      <c r="C14" s="169">
        <v>25.41</v>
      </c>
      <c r="D14" s="8">
        <v>42725.5</v>
      </c>
      <c r="E14" s="169">
        <v>0.56999999999999995</v>
      </c>
      <c r="F14" s="169" t="s">
        <v>376</v>
      </c>
      <c r="G14" s="169">
        <v>251.57</v>
      </c>
      <c r="H14" s="169">
        <v>0</v>
      </c>
      <c r="I14" s="169">
        <v>0</v>
      </c>
      <c r="J14" s="169">
        <v>1024.0899999999999</v>
      </c>
      <c r="K14" s="169" t="s">
        <v>377</v>
      </c>
      <c r="L14" s="169">
        <v>39.25</v>
      </c>
      <c r="M14" s="169">
        <v>1482346800</v>
      </c>
      <c r="N14" s="169">
        <v>4.7300000000000004</v>
      </c>
      <c r="O14" s="169">
        <v>81</v>
      </c>
      <c r="P14" s="169">
        <v>6.02</v>
      </c>
      <c r="Q14"/>
      <c r="R14"/>
    </row>
    <row r="15" spans="1:18" x14ac:dyDescent="0.25">
      <c r="A15" s="169">
        <v>33.94</v>
      </c>
      <c r="B15" s="169">
        <v>0.48</v>
      </c>
      <c r="C15" s="169">
        <v>25.84</v>
      </c>
      <c r="D15" s="8">
        <v>42725.541666666664</v>
      </c>
      <c r="E15" s="169">
        <v>0.6</v>
      </c>
      <c r="F15" s="169" t="s">
        <v>376</v>
      </c>
      <c r="G15" s="169">
        <v>254.02</v>
      </c>
      <c r="H15" s="169">
        <v>0</v>
      </c>
      <c r="I15" s="169">
        <v>0</v>
      </c>
      <c r="J15" s="169">
        <v>1025.57</v>
      </c>
      <c r="K15" s="169" t="s">
        <v>247</v>
      </c>
      <c r="L15" s="169">
        <v>38.53</v>
      </c>
      <c r="M15" s="169">
        <v>1482350400</v>
      </c>
      <c r="N15" s="169">
        <v>4.76</v>
      </c>
      <c r="O15" s="169">
        <v>70</v>
      </c>
      <c r="P15" s="169">
        <v>6.1</v>
      </c>
      <c r="Q15"/>
      <c r="R15"/>
    </row>
    <row r="16" spans="1:18" x14ac:dyDescent="0.25">
      <c r="A16" s="169">
        <v>33.08</v>
      </c>
      <c r="B16" s="169">
        <v>0.44</v>
      </c>
      <c r="C16" s="169">
        <v>25.16</v>
      </c>
      <c r="D16" s="8">
        <v>42725.583333333336</v>
      </c>
      <c r="E16" s="169">
        <v>0.6</v>
      </c>
      <c r="F16" s="169" t="s">
        <v>376</v>
      </c>
      <c r="G16" s="169">
        <v>254.97</v>
      </c>
      <c r="H16" s="169">
        <v>0</v>
      </c>
      <c r="I16" s="169">
        <v>0</v>
      </c>
      <c r="J16" s="169">
        <v>1026.79</v>
      </c>
      <c r="K16" s="169" t="s">
        <v>247</v>
      </c>
      <c r="L16" s="169">
        <v>37.659999999999997</v>
      </c>
      <c r="M16" s="169">
        <v>1482354000</v>
      </c>
      <c r="N16" s="169">
        <v>4.82</v>
      </c>
      <c r="O16" s="169">
        <v>84</v>
      </c>
      <c r="P16" s="169">
        <v>5.85</v>
      </c>
      <c r="Q16"/>
      <c r="R16"/>
    </row>
    <row r="17" spans="1:18" x14ac:dyDescent="0.25">
      <c r="A17" s="169">
        <v>32.18</v>
      </c>
      <c r="B17" s="169">
        <v>0.51</v>
      </c>
      <c r="C17" s="169">
        <v>24.25</v>
      </c>
      <c r="D17" s="8">
        <v>42725.625</v>
      </c>
      <c r="E17" s="169">
        <v>0.61</v>
      </c>
      <c r="F17" s="169" t="s">
        <v>376</v>
      </c>
      <c r="G17" s="169">
        <v>252.78</v>
      </c>
      <c r="H17" s="169">
        <v>0</v>
      </c>
      <c r="I17" s="169">
        <v>0</v>
      </c>
      <c r="J17" s="169">
        <v>1027.73</v>
      </c>
      <c r="K17" s="169" t="s">
        <v>247</v>
      </c>
      <c r="L17" s="169">
        <v>36.479999999999997</v>
      </c>
      <c r="M17" s="169">
        <v>1482357600</v>
      </c>
      <c r="N17" s="169">
        <v>4.95</v>
      </c>
      <c r="O17" s="169">
        <v>90</v>
      </c>
      <c r="P17" s="169">
        <v>5.19</v>
      </c>
      <c r="Q17"/>
      <c r="R17"/>
    </row>
    <row r="18" spans="1:18" x14ac:dyDescent="0.25">
      <c r="A18" s="169">
        <v>31.33</v>
      </c>
      <c r="B18" s="169">
        <v>0.64</v>
      </c>
      <c r="C18" s="169">
        <v>22.71</v>
      </c>
      <c r="D18" s="8">
        <v>42725.666666666664</v>
      </c>
      <c r="E18" s="169">
        <v>0.6</v>
      </c>
      <c r="F18" s="169" t="s">
        <v>376</v>
      </c>
      <c r="G18" s="169">
        <v>249.1</v>
      </c>
      <c r="H18" s="169">
        <v>0</v>
      </c>
      <c r="I18" s="169">
        <v>0</v>
      </c>
      <c r="J18" s="169">
        <v>1028.49</v>
      </c>
      <c r="K18" s="169" t="s">
        <v>377</v>
      </c>
      <c r="L18" s="169">
        <v>35.369999999999997</v>
      </c>
      <c r="M18" s="169">
        <v>1482361200</v>
      </c>
      <c r="N18" s="169">
        <v>10</v>
      </c>
      <c r="O18" s="169">
        <v>96</v>
      </c>
      <c r="P18" s="169">
        <v>4.66</v>
      </c>
      <c r="Q18"/>
      <c r="R18"/>
    </row>
    <row r="19" spans="1:18" x14ac:dyDescent="0.25">
      <c r="A19" s="169">
        <v>29.57</v>
      </c>
      <c r="B19" s="169">
        <v>0.75</v>
      </c>
      <c r="C19" s="169">
        <v>20.81</v>
      </c>
      <c r="D19" s="8">
        <v>42725.708333333336</v>
      </c>
      <c r="E19" s="169">
        <v>0.61</v>
      </c>
      <c r="F19" s="169" t="s">
        <v>242</v>
      </c>
      <c r="G19" s="169">
        <v>246.73</v>
      </c>
      <c r="H19" s="169">
        <v>0</v>
      </c>
      <c r="I19" s="169">
        <v>0</v>
      </c>
      <c r="J19" s="169">
        <v>1029.27</v>
      </c>
      <c r="K19" s="169" t="s">
        <v>377</v>
      </c>
      <c r="L19" s="169">
        <v>32.72</v>
      </c>
      <c r="M19" s="169">
        <v>1482364800</v>
      </c>
      <c r="N19" s="169">
        <v>7.93</v>
      </c>
      <c r="O19" s="169">
        <v>100</v>
      </c>
      <c r="P19" s="169">
        <v>3.43</v>
      </c>
      <c r="Q19"/>
      <c r="R19"/>
    </row>
    <row r="20" spans="1:18" x14ac:dyDescent="0.25">
      <c r="A20" s="169">
        <v>31.46</v>
      </c>
      <c r="B20" s="169">
        <v>0.62</v>
      </c>
      <c r="C20" s="169">
        <v>19.98</v>
      </c>
      <c r="D20" s="8">
        <v>42725.75</v>
      </c>
      <c r="E20" s="169">
        <v>0.62</v>
      </c>
      <c r="F20" s="169" t="s">
        <v>242</v>
      </c>
      <c r="G20" s="169">
        <v>247.02</v>
      </c>
      <c r="H20" s="169">
        <v>0</v>
      </c>
      <c r="I20" s="169">
        <v>0</v>
      </c>
      <c r="J20" s="169">
        <v>1030.3800000000001</v>
      </c>
      <c r="K20" s="169" t="s">
        <v>377</v>
      </c>
      <c r="L20" s="169">
        <v>31.46</v>
      </c>
      <c r="M20" s="169">
        <v>1482368400</v>
      </c>
      <c r="N20" s="169">
        <v>8.4600000000000009</v>
      </c>
      <c r="O20" s="169">
        <v>129</v>
      </c>
      <c r="P20" s="169">
        <v>2.97</v>
      </c>
      <c r="Q20"/>
      <c r="R20"/>
    </row>
    <row r="21" spans="1:18" x14ac:dyDescent="0.25">
      <c r="A21" s="169">
        <v>28.53</v>
      </c>
      <c r="B21" s="169">
        <v>0.49</v>
      </c>
      <c r="C21" s="169">
        <v>20.64</v>
      </c>
      <c r="D21" s="8">
        <v>42725.791666666664</v>
      </c>
      <c r="E21" s="169">
        <v>0.64</v>
      </c>
      <c r="F21" s="169" t="s">
        <v>242</v>
      </c>
      <c r="G21" s="169">
        <v>248.62</v>
      </c>
      <c r="H21" s="169">
        <v>0</v>
      </c>
      <c r="I21" s="169">
        <v>0</v>
      </c>
      <c r="J21" s="169">
        <v>1031.74</v>
      </c>
      <c r="K21" s="169" t="s">
        <v>247</v>
      </c>
      <c r="L21" s="169">
        <v>31.4</v>
      </c>
      <c r="M21" s="169">
        <v>1482372000</v>
      </c>
      <c r="N21" s="169">
        <v>9.16</v>
      </c>
      <c r="O21" s="169">
        <v>135</v>
      </c>
      <c r="P21" s="169">
        <v>3.08</v>
      </c>
      <c r="Q21"/>
      <c r="R21"/>
    </row>
    <row r="22" spans="1:18" x14ac:dyDescent="0.25">
      <c r="A22" s="169">
        <v>31.07</v>
      </c>
      <c r="B22" s="169">
        <v>0.41</v>
      </c>
      <c r="C22" s="169">
        <v>20.43</v>
      </c>
      <c r="D22" s="8">
        <v>42725.833333333336</v>
      </c>
      <c r="E22" s="169">
        <v>0.64</v>
      </c>
      <c r="F22" s="169" t="s">
        <v>242</v>
      </c>
      <c r="G22" s="169">
        <v>250.29</v>
      </c>
      <c r="H22" s="169">
        <v>0</v>
      </c>
      <c r="I22" s="169">
        <v>0</v>
      </c>
      <c r="J22" s="169">
        <v>1032.6400000000001</v>
      </c>
      <c r="K22" s="169" t="s">
        <v>247</v>
      </c>
      <c r="L22" s="169">
        <v>31.07</v>
      </c>
      <c r="M22" s="169">
        <v>1482375600</v>
      </c>
      <c r="N22" s="169">
        <v>10</v>
      </c>
      <c r="O22" s="169">
        <v>129</v>
      </c>
      <c r="P22" s="169">
        <v>2.94</v>
      </c>
      <c r="Q22"/>
      <c r="R22"/>
    </row>
    <row r="23" spans="1:18" x14ac:dyDescent="0.25">
      <c r="A23" s="169">
        <v>27.06</v>
      </c>
      <c r="B23" s="169">
        <v>0.45</v>
      </c>
      <c r="C23" s="169">
        <v>19.45</v>
      </c>
      <c r="D23" s="8">
        <v>42725.875</v>
      </c>
      <c r="E23" s="169">
        <v>0.63</v>
      </c>
      <c r="F23" s="169" t="s">
        <v>242</v>
      </c>
      <c r="G23" s="169">
        <v>251.67</v>
      </c>
      <c r="H23" s="169">
        <v>0</v>
      </c>
      <c r="I23" s="169">
        <v>0</v>
      </c>
      <c r="J23" s="169">
        <v>1032.26</v>
      </c>
      <c r="K23" s="169" t="s">
        <v>247</v>
      </c>
      <c r="L23" s="169">
        <v>30.62</v>
      </c>
      <c r="M23" s="169">
        <v>1482379200</v>
      </c>
      <c r="N23" s="169">
        <v>8.08</v>
      </c>
      <c r="O23" s="169">
        <v>135</v>
      </c>
      <c r="P23" s="169">
        <v>3.52</v>
      </c>
      <c r="Q23"/>
      <c r="R23"/>
    </row>
    <row r="24" spans="1:18" x14ac:dyDescent="0.25">
      <c r="A24" s="169">
        <v>30.3</v>
      </c>
      <c r="B24" s="169">
        <v>0.47</v>
      </c>
      <c r="C24" s="169">
        <v>18.91</v>
      </c>
      <c r="D24" s="8">
        <v>42725.916666666664</v>
      </c>
      <c r="E24" s="169">
        <v>0.62</v>
      </c>
      <c r="F24" s="169" t="s">
        <v>242</v>
      </c>
      <c r="G24" s="169">
        <v>253.12</v>
      </c>
      <c r="H24" s="169">
        <v>0</v>
      </c>
      <c r="I24" s="169">
        <v>0</v>
      </c>
      <c r="J24" s="169">
        <v>1031.06</v>
      </c>
      <c r="K24" s="169" t="s">
        <v>247</v>
      </c>
      <c r="L24" s="169">
        <v>30.3</v>
      </c>
      <c r="M24" s="169">
        <v>1482382800</v>
      </c>
      <c r="N24" s="169">
        <v>8.19</v>
      </c>
      <c r="O24" s="169">
        <v>146</v>
      </c>
      <c r="P24" s="169">
        <v>2.64</v>
      </c>
      <c r="Q24"/>
      <c r="R24"/>
    </row>
    <row r="25" spans="1:18" x14ac:dyDescent="0.25">
      <c r="A25" s="169">
        <v>30.38</v>
      </c>
      <c r="B25" s="169">
        <v>0.52</v>
      </c>
      <c r="C25" s="169">
        <v>18.79</v>
      </c>
      <c r="D25" s="8">
        <v>42725.958333333336</v>
      </c>
      <c r="E25" s="169">
        <v>0.62</v>
      </c>
      <c r="F25" s="169" t="s">
        <v>242</v>
      </c>
      <c r="G25" s="169">
        <v>254.44</v>
      </c>
      <c r="H25" s="169">
        <v>0</v>
      </c>
      <c r="I25" s="169">
        <v>0</v>
      </c>
      <c r="J25" s="169">
        <v>1030.19</v>
      </c>
      <c r="K25" s="169" t="s">
        <v>247</v>
      </c>
      <c r="L25" s="169">
        <v>30.38</v>
      </c>
      <c r="M25" s="169">
        <v>1482386400</v>
      </c>
      <c r="N25" s="169">
        <v>8.57</v>
      </c>
      <c r="O25" s="169">
        <v>156</v>
      </c>
      <c r="P25" s="169">
        <v>2.1</v>
      </c>
      <c r="Q25"/>
      <c r="R25"/>
    </row>
    <row r="26" spans="1:18" x14ac:dyDescent="0.25">
      <c r="A26" s="169">
        <v>30.3</v>
      </c>
      <c r="B26" s="169">
        <v>0.74</v>
      </c>
      <c r="C26" s="169">
        <v>19.09</v>
      </c>
      <c r="D26" s="8">
        <v>42726</v>
      </c>
      <c r="E26" s="169">
        <v>0.63</v>
      </c>
      <c r="F26" s="169" t="s">
        <v>242</v>
      </c>
      <c r="G26" s="169">
        <v>255.44</v>
      </c>
      <c r="H26" s="169">
        <v>0</v>
      </c>
      <c r="I26" s="169">
        <v>0</v>
      </c>
      <c r="J26" s="169">
        <v>1030.6400000000001</v>
      </c>
      <c r="K26" s="169" t="s">
        <v>377</v>
      </c>
      <c r="L26" s="169">
        <v>30.3</v>
      </c>
      <c r="M26" s="169">
        <v>1482390000</v>
      </c>
      <c r="N26" s="169">
        <v>8.8000000000000007</v>
      </c>
      <c r="O26" s="169">
        <v>148</v>
      </c>
      <c r="P26" s="169">
        <v>1.57</v>
      </c>
      <c r="Q26"/>
      <c r="R26"/>
    </row>
    <row r="27" spans="1:18" x14ac:dyDescent="0.25">
      <c r="A27" s="169">
        <v>29.89</v>
      </c>
      <c r="B27" s="169">
        <v>0.89</v>
      </c>
      <c r="C27" s="169">
        <v>18.98</v>
      </c>
      <c r="D27" s="8">
        <v>42726.041666666664</v>
      </c>
      <c r="E27" s="169">
        <v>0.63</v>
      </c>
      <c r="F27" s="169" t="s">
        <v>242</v>
      </c>
      <c r="G27" s="169">
        <v>256.45</v>
      </c>
      <c r="H27" s="169">
        <v>0</v>
      </c>
      <c r="I27" s="169">
        <v>0</v>
      </c>
      <c r="J27" s="169">
        <v>1031.02</v>
      </c>
      <c r="K27" s="169" t="s">
        <v>377</v>
      </c>
      <c r="L27" s="169">
        <v>29.89</v>
      </c>
      <c r="M27" s="169">
        <v>1482393600</v>
      </c>
      <c r="N27" s="169">
        <v>8.64</v>
      </c>
      <c r="O27" s="169">
        <v>142</v>
      </c>
      <c r="P27" s="169">
        <v>0.4</v>
      </c>
      <c r="Q27"/>
      <c r="R27"/>
    </row>
    <row r="28" spans="1:18" x14ac:dyDescent="0.25">
      <c r="A28" s="169">
        <v>29.54</v>
      </c>
      <c r="B28" s="169">
        <v>0.99</v>
      </c>
      <c r="C28" s="169">
        <v>19.899999999999999</v>
      </c>
      <c r="D28" s="8">
        <v>42726.083333333336</v>
      </c>
      <c r="E28" s="169">
        <v>0.67</v>
      </c>
      <c r="F28" s="169" t="s">
        <v>666</v>
      </c>
      <c r="G28" s="169">
        <v>257.45</v>
      </c>
      <c r="H28" s="169">
        <v>0</v>
      </c>
      <c r="I28" s="169">
        <v>0</v>
      </c>
      <c r="J28" s="169">
        <v>1031.32</v>
      </c>
      <c r="K28" s="169" t="s">
        <v>667</v>
      </c>
      <c r="L28" s="169">
        <v>29.54</v>
      </c>
      <c r="M28" s="169">
        <v>1482397200</v>
      </c>
      <c r="N28" s="169">
        <v>7.2</v>
      </c>
      <c r="O28" s="169">
        <v>276</v>
      </c>
      <c r="P28" s="169">
        <v>1.06</v>
      </c>
      <c r="Q28"/>
      <c r="R28"/>
    </row>
    <row r="29" spans="1:18" x14ac:dyDescent="0.25">
      <c r="A29" s="169">
        <v>26.8</v>
      </c>
      <c r="B29" s="169">
        <v>0.96</v>
      </c>
      <c r="C29" s="169">
        <v>19.149999999999999</v>
      </c>
      <c r="D29" s="8">
        <v>42726.125</v>
      </c>
      <c r="E29" s="169">
        <v>0.72</v>
      </c>
      <c r="F29" s="169" t="s">
        <v>666</v>
      </c>
      <c r="G29" s="169">
        <v>258.73</v>
      </c>
      <c r="H29" s="169">
        <v>0</v>
      </c>
      <c r="I29" s="169">
        <v>0</v>
      </c>
      <c r="J29" s="169">
        <v>1030.74</v>
      </c>
      <c r="K29" s="169" t="s">
        <v>667</v>
      </c>
      <c r="L29" s="169">
        <v>26.8</v>
      </c>
      <c r="M29" s="169">
        <v>1482400800</v>
      </c>
      <c r="N29" s="169">
        <v>7.56</v>
      </c>
      <c r="O29" s="169">
        <v>258</v>
      </c>
      <c r="P29" s="169">
        <v>1.5</v>
      </c>
      <c r="Q29"/>
      <c r="R29"/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3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42725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827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828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829</v>
      </c>
      <c r="J20" t="s">
        <v>87</v>
      </c>
      <c r="M20" s="164" t="s">
        <v>246</v>
      </c>
    </row>
    <row r="21" spans="3:13" x14ac:dyDescent="0.25">
      <c r="C21" t="s">
        <v>830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831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832</v>
      </c>
      <c r="J23" s="29" t="s">
        <v>95</v>
      </c>
      <c r="K23" s="21"/>
      <c r="M23" s="164">
        <v>-7</v>
      </c>
    </row>
    <row r="24" spans="3:13" x14ac:dyDescent="0.25">
      <c r="C24" t="s">
        <v>833</v>
      </c>
      <c r="J24" s="21" t="s">
        <v>108</v>
      </c>
      <c r="K24" s="21"/>
      <c r="M24" s="164" t="s">
        <v>110</v>
      </c>
    </row>
    <row r="25" spans="3:13" x14ac:dyDescent="0.25">
      <c r="C25" t="s">
        <v>834</v>
      </c>
      <c r="J25" t="s">
        <v>151</v>
      </c>
      <c r="M25" s="164" t="b">
        <v>1</v>
      </c>
    </row>
    <row r="26" spans="3:13" x14ac:dyDescent="0.25">
      <c r="C26" t="s">
        <v>835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C:\Users\stu\Documents\GitHub\eaglep3-reporting\EC\2016-12-21-refined-times.txt</v>
      </c>
    </row>
    <row r="27" spans="3:13" x14ac:dyDescent="0.25">
      <c r="C27" t="s">
        <v>836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C:\Users\stu\Documents\GitHub\eaglep3-reporting\EC\2016-12-21-Enforcements.txt</v>
      </c>
    </row>
    <row r="28" spans="3:13" x14ac:dyDescent="0.25">
      <c r="C28" t="s">
        <v>837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C:\Users\stu\Documents\GitHub\eaglep3-reporting\EC\2016-12-21-Runs-refined.txt</v>
      </c>
    </row>
    <row r="29" spans="3:13" x14ac:dyDescent="0.25">
      <c r="C29" t="s">
        <v>838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C:\Users\stu\Documents\GitHub\eaglep3-reporting\EC\2016-12-21-Trips.txt</v>
      </c>
    </row>
    <row r="30" spans="3:13" x14ac:dyDescent="0.25">
      <c r="C30" t="s">
        <v>839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C:\Users\stu\Documents\GitHub\eaglep3-reporting\EC\2016-12-21-Weather.txt</v>
      </c>
    </row>
    <row r="31" spans="3:13" x14ac:dyDescent="0.25">
      <c r="C31" t="s">
        <v>840</v>
      </c>
    </row>
    <row r="32" spans="3:13" x14ac:dyDescent="0.25">
      <c r="C32" t="s">
        <v>841</v>
      </c>
    </row>
    <row r="33" spans="3:3" x14ac:dyDescent="0.25">
      <c r="C33" t="s">
        <v>842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3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3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860</v>
      </c>
      <c r="B1" t="str">
        <f t="shared" ref="B1:B52" si="0">MID(A1,6,23)</f>
        <v>2016/12/21 12:43:27.493</v>
      </c>
      <c r="C1" t="e">
        <f>ABS(B1-#REF!)</f>
        <v>#REF!</v>
      </c>
    </row>
    <row r="2" spans="1:3" x14ac:dyDescent="0.25">
      <c r="A2" t="s">
        <v>861</v>
      </c>
      <c r="B2" s="21" t="str">
        <f t="shared" si="0"/>
        <v>2016/12/21 12:43:28.617</v>
      </c>
      <c r="C2">
        <f>ABS(B2-B1)</f>
        <v>1.3009259419050068E-5</v>
      </c>
    </row>
    <row r="3" spans="1:3" x14ac:dyDescent="0.25">
      <c r="A3" t="s">
        <v>862</v>
      </c>
      <c r="B3" s="21" t="str">
        <f t="shared" si="0"/>
        <v>2016/12/21 12:43:28.779</v>
      </c>
      <c r="C3" s="21">
        <f t="shared" ref="C3:C52" si="1">ABS(B3-B2)</f>
        <v>1.8749997252598405E-6</v>
      </c>
    </row>
    <row r="4" spans="1:3" x14ac:dyDescent="0.25">
      <c r="A4" t="s">
        <v>863</v>
      </c>
      <c r="B4" s="21" t="str">
        <f t="shared" si="0"/>
        <v>2016/12/21 13:11:13.431</v>
      </c>
      <c r="C4" s="21">
        <f t="shared" si="1"/>
        <v>1.9266805553343147E-2</v>
      </c>
    </row>
    <row r="5" spans="1:3" x14ac:dyDescent="0.25">
      <c r="A5" t="s">
        <v>864</v>
      </c>
      <c r="B5" s="21" t="str">
        <f t="shared" si="0"/>
        <v>2016/12/21 13:11:13.838</v>
      </c>
      <c r="C5" s="21">
        <f t="shared" si="1"/>
        <v>4.7106514102779329E-6</v>
      </c>
    </row>
    <row r="6" spans="1:3" x14ac:dyDescent="0.25">
      <c r="A6" t="s">
        <v>865</v>
      </c>
      <c r="B6" s="21" t="str">
        <f t="shared" si="0"/>
        <v>2016/12/21 13:38:43.785</v>
      </c>
      <c r="C6" s="21">
        <f t="shared" si="1"/>
        <v>1.9096608790277969E-2</v>
      </c>
    </row>
    <row r="7" spans="1:3" x14ac:dyDescent="0.25">
      <c r="A7" t="s">
        <v>866</v>
      </c>
      <c r="B7" s="21" t="str">
        <f t="shared" si="0"/>
        <v>2016/12/21 13:38:43.981</v>
      </c>
      <c r="C7" s="21">
        <f t="shared" si="1"/>
        <v>2.2685198928229511E-6</v>
      </c>
    </row>
    <row r="8" spans="1:3" x14ac:dyDescent="0.25">
      <c r="A8" t="s">
        <v>867</v>
      </c>
      <c r="B8" s="21" t="str">
        <f t="shared" si="0"/>
        <v>2016/12/21 13:38:44.135</v>
      </c>
      <c r="C8" s="21">
        <f t="shared" si="1"/>
        <v>1.7824131646193564E-6</v>
      </c>
    </row>
    <row r="9" spans="1:3" x14ac:dyDescent="0.25">
      <c r="A9" t="s">
        <v>868</v>
      </c>
      <c r="B9" s="21" t="str">
        <f t="shared" si="0"/>
        <v>2016/12/21 13:42:16.729</v>
      </c>
      <c r="C9" s="21">
        <f t="shared" si="1"/>
        <v>2.4605786966276355E-3</v>
      </c>
    </row>
    <row r="10" spans="1:3" x14ac:dyDescent="0.25">
      <c r="A10" t="s">
        <v>869</v>
      </c>
      <c r="B10" s="21" t="str">
        <f t="shared" si="0"/>
        <v>2016/12/21 13:42:16.838</v>
      </c>
      <c r="C10" s="21">
        <f t="shared" si="1"/>
        <v>1.2615782907232642E-6</v>
      </c>
    </row>
    <row r="11" spans="1:3" x14ac:dyDescent="0.25">
      <c r="A11" t="s">
        <v>870</v>
      </c>
      <c r="B11" s="21" t="str">
        <f t="shared" si="0"/>
        <v>2016/12/21 13:42:17.722</v>
      </c>
      <c r="C11" s="21">
        <f t="shared" si="1"/>
        <v>1.023148070089519E-5</v>
      </c>
    </row>
    <row r="12" spans="1:3" x14ac:dyDescent="0.25">
      <c r="A12" t="s">
        <v>871</v>
      </c>
      <c r="B12" s="21" t="str">
        <f t="shared" si="0"/>
        <v>2016/12/21 13:43:09.711</v>
      </c>
      <c r="C12" s="21">
        <f t="shared" si="1"/>
        <v>6.0172453959239647E-4</v>
      </c>
    </row>
    <row r="13" spans="1:3" x14ac:dyDescent="0.25">
      <c r="A13" t="s">
        <v>872</v>
      </c>
      <c r="B13" s="21" t="str">
        <f t="shared" si="0"/>
        <v>2016/12/21 13:43:11.706</v>
      </c>
      <c r="C13" s="21">
        <f t="shared" si="1"/>
        <v>2.3090273316483945E-5</v>
      </c>
    </row>
    <row r="14" spans="1:3" x14ac:dyDescent="0.25">
      <c r="A14" t="s">
        <v>873</v>
      </c>
      <c r="B14" s="21" t="str">
        <f t="shared" si="0"/>
        <v>2016/12/21 13:43:11.828</v>
      </c>
      <c r="C14" s="21">
        <f t="shared" si="1"/>
        <v>1.4120378182269633E-6</v>
      </c>
    </row>
    <row r="15" spans="1:3" x14ac:dyDescent="0.25">
      <c r="A15" t="s">
        <v>874</v>
      </c>
      <c r="B15" s="21" t="str">
        <f t="shared" si="0"/>
        <v>2016/12/21 13:50:37.874</v>
      </c>
      <c r="C15" s="21">
        <f t="shared" si="1"/>
        <v>5.1625694468384609E-3</v>
      </c>
    </row>
    <row r="16" spans="1:3" x14ac:dyDescent="0.25">
      <c r="A16" t="s">
        <v>875</v>
      </c>
      <c r="B16" s="21" t="str">
        <f t="shared" si="0"/>
        <v>2016/12/21 13:50:38.083</v>
      </c>
      <c r="C16" s="21">
        <f t="shared" si="1"/>
        <v>2.4189794203266501E-6</v>
      </c>
    </row>
    <row r="17" spans="1:3" x14ac:dyDescent="0.25">
      <c r="A17" t="s">
        <v>876</v>
      </c>
      <c r="B17" s="21" t="str">
        <f t="shared" si="0"/>
        <v>2016/12/21 13:50:38.185</v>
      </c>
      <c r="C17" s="21">
        <f t="shared" si="1"/>
        <v>1.1805532267317176E-6</v>
      </c>
    </row>
    <row r="18" spans="1:3" x14ac:dyDescent="0.25">
      <c r="A18" t="s">
        <v>877</v>
      </c>
      <c r="B18" s="21" t="str">
        <f t="shared" si="0"/>
        <v>2016/12/21 14:16:43.448</v>
      </c>
      <c r="C18" s="21">
        <f t="shared" si="1"/>
        <v>1.8116469909728039E-2</v>
      </c>
    </row>
    <row r="19" spans="1:3" x14ac:dyDescent="0.25">
      <c r="A19" t="s">
        <v>878</v>
      </c>
      <c r="B19" s="21" t="str">
        <f t="shared" si="0"/>
        <v>2016/12/21 14:24:06.804</v>
      </c>
      <c r="C19" s="21">
        <f t="shared" si="1"/>
        <v>5.1314351876499131E-3</v>
      </c>
    </row>
    <row r="20" spans="1:3" x14ac:dyDescent="0.25">
      <c r="A20" t="s">
        <v>879</v>
      </c>
      <c r="B20" s="21" t="str">
        <f t="shared" si="0"/>
        <v>2016/12/21 14:24:07.006</v>
      </c>
      <c r="C20" s="21">
        <f t="shared" si="1"/>
        <v>2.3379616322927177E-6</v>
      </c>
    </row>
    <row r="21" spans="1:3" x14ac:dyDescent="0.25">
      <c r="A21" t="s">
        <v>880</v>
      </c>
      <c r="B21" s="21" t="str">
        <f t="shared" si="0"/>
        <v>2016/12/21 14:24:07.157</v>
      </c>
      <c r="C21" s="21">
        <f t="shared" si="1"/>
        <v>1.7476850189268589E-6</v>
      </c>
    </row>
    <row r="22" spans="1:3" x14ac:dyDescent="0.25">
      <c r="A22" t="s">
        <v>881</v>
      </c>
      <c r="B22" s="21" t="str">
        <f t="shared" si="0"/>
        <v>2016/12/21 14:50:58.425</v>
      </c>
      <c r="C22" s="21">
        <f t="shared" si="1"/>
        <v>1.8648935183591675E-2</v>
      </c>
    </row>
    <row r="23" spans="1:3" x14ac:dyDescent="0.25">
      <c r="A23" t="s">
        <v>882</v>
      </c>
      <c r="B23" s="21" t="str">
        <f t="shared" si="0"/>
        <v>2016/12/21 14:50:58.435</v>
      </c>
      <c r="C23" s="21">
        <f t="shared" si="1"/>
        <v>1.1573865776881576E-7</v>
      </c>
    </row>
    <row r="24" spans="1:3" x14ac:dyDescent="0.25">
      <c r="A24" t="s">
        <v>883</v>
      </c>
      <c r="B24" s="21" t="str">
        <f t="shared" si="0"/>
        <v>2016/12/21 14:50:58.834</v>
      </c>
      <c r="C24" s="21">
        <f t="shared" si="1"/>
        <v>4.6180575736798346E-6</v>
      </c>
    </row>
    <row r="25" spans="1:3" x14ac:dyDescent="0.25">
      <c r="A25" t="s">
        <v>884</v>
      </c>
      <c r="B25" s="21" t="str">
        <f t="shared" si="0"/>
        <v>2016/12/21 15:20:05.647</v>
      </c>
      <c r="C25" s="21">
        <f t="shared" si="1"/>
        <v>2.021774305467261E-2</v>
      </c>
    </row>
    <row r="26" spans="1:3" x14ac:dyDescent="0.25">
      <c r="A26" t="s">
        <v>885</v>
      </c>
      <c r="B26" s="21" t="str">
        <f t="shared" si="0"/>
        <v>2016/12/21 15:28:43.193</v>
      </c>
      <c r="C26" s="21">
        <f t="shared" si="1"/>
        <v>5.9901157437707298E-3</v>
      </c>
    </row>
    <row r="27" spans="1:3" x14ac:dyDescent="0.25">
      <c r="A27" t="s">
        <v>886</v>
      </c>
      <c r="B27" s="21" t="str">
        <f t="shared" si="0"/>
        <v>2016/12/21 15:28:43.881</v>
      </c>
      <c r="C27" s="21">
        <f t="shared" si="1"/>
        <v>7.9629608080722392E-6</v>
      </c>
    </row>
    <row r="28" spans="1:3" x14ac:dyDescent="0.25">
      <c r="A28" t="s">
        <v>887</v>
      </c>
      <c r="B28" s="21" t="str">
        <f t="shared" si="0"/>
        <v>2016/12/21 15:28:44.096</v>
      </c>
      <c r="C28" s="21">
        <f t="shared" si="1"/>
        <v>2.4884284357540309E-6</v>
      </c>
    </row>
    <row r="29" spans="1:3" x14ac:dyDescent="0.25">
      <c r="A29" t="s">
        <v>888</v>
      </c>
      <c r="B29" s="21" t="str">
        <f t="shared" si="0"/>
        <v>2016/12/21 15:38:35.043</v>
      </c>
      <c r="C29" s="21">
        <f t="shared" si="1"/>
        <v>6.8396643473533913E-3</v>
      </c>
    </row>
    <row r="30" spans="1:3" x14ac:dyDescent="0.25">
      <c r="A30" t="s">
        <v>889</v>
      </c>
      <c r="B30" s="21" t="str">
        <f t="shared" si="0"/>
        <v>2016/12/21 15:38:35.323</v>
      </c>
      <c r="C30" s="21">
        <f t="shared" si="1"/>
        <v>3.2407479011453688E-6</v>
      </c>
    </row>
    <row r="31" spans="1:3" x14ac:dyDescent="0.25">
      <c r="A31" t="s">
        <v>890</v>
      </c>
      <c r="B31" s="21" t="str">
        <f t="shared" si="0"/>
        <v>2016/12/21 15:38:35.673</v>
      </c>
      <c r="C31" s="21">
        <f t="shared" si="1"/>
        <v>4.0509257814846933E-6</v>
      </c>
    </row>
    <row r="32" spans="1:3" x14ac:dyDescent="0.25">
      <c r="A32" t="s">
        <v>891</v>
      </c>
      <c r="B32" s="21" t="str">
        <f t="shared" si="0"/>
        <v>2016/12/21 15:48:58.180</v>
      </c>
      <c r="C32" s="21">
        <f t="shared" si="1"/>
        <v>7.2049421287374571E-3</v>
      </c>
    </row>
    <row r="33" spans="1:3" x14ac:dyDescent="0.25">
      <c r="A33" t="s">
        <v>892</v>
      </c>
      <c r="B33" s="21" t="str">
        <f t="shared" si="0"/>
        <v>2016/12/21 15:48:58.869</v>
      </c>
      <c r="C33" s="21">
        <f t="shared" si="1"/>
        <v>7.974536856636405E-6</v>
      </c>
    </row>
    <row r="34" spans="1:3" x14ac:dyDescent="0.25">
      <c r="A34" t="s">
        <v>893</v>
      </c>
      <c r="B34" s="21" t="str">
        <f t="shared" si="0"/>
        <v>2016/12/21 15:48:59.079</v>
      </c>
      <c r="C34" s="21">
        <f t="shared" si="1"/>
        <v>2.430555468890816E-6</v>
      </c>
    </row>
    <row r="35" spans="1:3" x14ac:dyDescent="0.25">
      <c r="A35" t="s">
        <v>894</v>
      </c>
      <c r="B35" s="21" t="str">
        <f t="shared" si="0"/>
        <v>2016/12/21 15:56:51.864</v>
      </c>
      <c r="C35" s="21">
        <f t="shared" si="1"/>
        <v>5.4720486077712849E-3</v>
      </c>
    </row>
    <row r="36" spans="1:3" x14ac:dyDescent="0.25">
      <c r="A36" t="s">
        <v>895</v>
      </c>
      <c r="B36" s="21" t="str">
        <f t="shared" si="0"/>
        <v>2016/12/21 15:56:52.690</v>
      </c>
      <c r="C36" s="21">
        <f t="shared" si="1"/>
        <v>9.560186299495399E-6</v>
      </c>
    </row>
    <row r="37" spans="1:3" x14ac:dyDescent="0.25">
      <c r="A37" t="s">
        <v>896</v>
      </c>
      <c r="B37" s="21" t="str">
        <f t="shared" si="0"/>
        <v>2016/12/21 15:56:53.098</v>
      </c>
      <c r="C37" s="21">
        <f t="shared" si="1"/>
        <v>4.7222201828844845E-6</v>
      </c>
    </row>
    <row r="38" spans="1:3" x14ac:dyDescent="0.25">
      <c r="A38" t="s">
        <v>897</v>
      </c>
      <c r="B38" s="21" t="str">
        <f t="shared" si="0"/>
        <v>2016/12/21 16:52:42.685</v>
      </c>
      <c r="C38" s="21">
        <f t="shared" si="1"/>
        <v>3.8768368060118519E-2</v>
      </c>
    </row>
    <row r="39" spans="1:3" x14ac:dyDescent="0.25">
      <c r="A39" t="s">
        <v>898</v>
      </c>
      <c r="B39" s="21" t="str">
        <f t="shared" si="0"/>
        <v>2016/12/21 16:52:43.102</v>
      </c>
      <c r="C39" s="21">
        <f t="shared" si="1"/>
        <v>4.8263827920891345E-6</v>
      </c>
    </row>
    <row r="40" spans="1:3" x14ac:dyDescent="0.25">
      <c r="A40" t="s">
        <v>899</v>
      </c>
      <c r="B40" s="21" t="str">
        <f t="shared" si="0"/>
        <v>2016/12/21 17:06:43.489</v>
      </c>
      <c r="C40" s="21">
        <f t="shared" si="1"/>
        <v>9.7267013916280121E-3</v>
      </c>
    </row>
    <row r="41" spans="1:3" x14ac:dyDescent="0.25">
      <c r="A41" t="s">
        <v>900</v>
      </c>
      <c r="B41" s="21" t="str">
        <f t="shared" si="0"/>
        <v>2016/12/21 17:06:43.660</v>
      </c>
      <c r="C41" s="21">
        <f t="shared" si="1"/>
        <v>1.9791696104221046E-6</v>
      </c>
    </row>
    <row r="42" spans="1:3" x14ac:dyDescent="0.25">
      <c r="A42" t="s">
        <v>901</v>
      </c>
      <c r="B42" s="21" t="str">
        <f t="shared" si="0"/>
        <v>2016/12/21 17:06:44.378</v>
      </c>
      <c r="C42" s="21">
        <f t="shared" si="1"/>
        <v>8.3101840573363006E-6</v>
      </c>
    </row>
    <row r="43" spans="1:3" x14ac:dyDescent="0.25">
      <c r="A43" t="s">
        <v>902</v>
      </c>
      <c r="B43" s="21" t="str">
        <f t="shared" si="0"/>
        <v>2016/12/21 17:26:46.159</v>
      </c>
      <c r="C43" s="21">
        <f t="shared" si="1"/>
        <v>1.3909502311435062E-2</v>
      </c>
    </row>
    <row r="44" spans="1:3" x14ac:dyDescent="0.25">
      <c r="A44" t="s">
        <v>903</v>
      </c>
      <c r="B44" s="21" t="str">
        <f t="shared" si="0"/>
        <v>2016/12/21 17:26:46.799</v>
      </c>
      <c r="C44" s="21">
        <f t="shared" si="1"/>
        <v>7.4074123403988779E-6</v>
      </c>
    </row>
    <row r="45" spans="1:3" x14ac:dyDescent="0.25">
      <c r="A45" t="s">
        <v>904</v>
      </c>
      <c r="B45" s="21" t="str">
        <f t="shared" si="0"/>
        <v>2016/12/21 17:26:47.002</v>
      </c>
      <c r="C45" s="21">
        <f t="shared" si="1"/>
        <v>2.3495376808568835E-6</v>
      </c>
    </row>
    <row r="46" spans="1:3" x14ac:dyDescent="0.25">
      <c r="A46" t="s">
        <v>905</v>
      </c>
      <c r="B46" s="21" t="str">
        <f t="shared" si="0"/>
        <v>2016/12/21 17:33:10.894</v>
      </c>
      <c r="C46" s="21">
        <f t="shared" si="1"/>
        <v>4.4431944406824186E-3</v>
      </c>
    </row>
    <row r="47" spans="1:3" x14ac:dyDescent="0.25">
      <c r="A47" t="s">
        <v>906</v>
      </c>
      <c r="B47" s="21" t="str">
        <f t="shared" si="0"/>
        <v>2016/12/21 17:33:10.945</v>
      </c>
      <c r="C47" s="21">
        <f t="shared" si="1"/>
        <v>5.9027661336585879E-7</v>
      </c>
    </row>
    <row r="48" spans="1:3" x14ac:dyDescent="0.25">
      <c r="A48" t="s">
        <v>907</v>
      </c>
      <c r="B48" s="21" t="str">
        <f t="shared" si="0"/>
        <v>2016/12/21 17:33:11.846</v>
      </c>
      <c r="C48" s="21">
        <f t="shared" si="1"/>
        <v>1.0428244422655553E-5</v>
      </c>
    </row>
    <row r="49" spans="1:3" x14ac:dyDescent="0.25">
      <c r="A49" t="s">
        <v>908</v>
      </c>
      <c r="B49" s="21" t="str">
        <f t="shared" si="0"/>
        <v>2016/12/21 18:18:21.678</v>
      </c>
      <c r="C49" s="21">
        <f t="shared" si="1"/>
        <v>3.1363796297227964E-2</v>
      </c>
    </row>
    <row r="50" spans="1:3" x14ac:dyDescent="0.25">
      <c r="A50" t="s">
        <v>909</v>
      </c>
      <c r="B50" s="21" t="str">
        <f t="shared" si="0"/>
        <v>2016/12/21 18:18:22.410</v>
      </c>
      <c r="C50" s="21">
        <f t="shared" si="1"/>
        <v>8.4722196334041655E-6</v>
      </c>
    </row>
    <row r="51" spans="1:3" x14ac:dyDescent="0.25">
      <c r="A51" t="s">
        <v>910</v>
      </c>
      <c r="B51" s="21" t="str">
        <f t="shared" si="0"/>
        <v>2016/12/21 18:18:22.520</v>
      </c>
      <c r="C51" s="21">
        <f t="shared" si="1"/>
        <v>1.2731470633298159E-6</v>
      </c>
    </row>
    <row r="52" spans="1:3" x14ac:dyDescent="0.25">
      <c r="A52" t="s">
        <v>911</v>
      </c>
      <c r="B52" s="21" t="str">
        <f t="shared" si="0"/>
        <v>2016/12/21 19:19:43.689</v>
      </c>
      <c r="C52" s="21">
        <f t="shared" si="1"/>
        <v>4.2606122682627756E-2</v>
      </c>
    </row>
    <row r="53" spans="1:3" x14ac:dyDescent="0.25">
      <c r="A53" t="s">
        <v>912</v>
      </c>
      <c r="B53" s="21" t="str">
        <f t="shared" ref="B53:B80" si="2">MID(A53,6,23)</f>
        <v>2016/12/21 19:19:43.813</v>
      </c>
      <c r="C53" s="21">
        <f t="shared" ref="C53:C80" si="3">ABS(B53-B52)</f>
        <v>1.4351899153552949E-6</v>
      </c>
    </row>
    <row r="54" spans="1:3" x14ac:dyDescent="0.25">
      <c r="A54" t="s">
        <v>913</v>
      </c>
      <c r="B54" s="21" t="str">
        <f t="shared" si="2"/>
        <v>2016/12/21 19:19:44.471</v>
      </c>
      <c r="C54" s="21">
        <f t="shared" si="3"/>
        <v>7.6157375588081777E-6</v>
      </c>
    </row>
    <row r="55" spans="1:3" x14ac:dyDescent="0.25">
      <c r="A55" t="s">
        <v>914</v>
      </c>
      <c r="B55" s="21" t="str">
        <f t="shared" si="2"/>
        <v>2016/12/21 21:21:11.033</v>
      </c>
      <c r="C55" s="21">
        <f t="shared" si="3"/>
        <v>8.433520833204966E-2</v>
      </c>
    </row>
    <row r="56" spans="1:3" x14ac:dyDescent="0.25">
      <c r="A56" t="s">
        <v>915</v>
      </c>
      <c r="B56" s="21" t="str">
        <f t="shared" si="2"/>
        <v>2016/12/21 21:21:11.305</v>
      </c>
      <c r="C56" s="21">
        <f t="shared" si="3"/>
        <v>3.1481540645472705E-6</v>
      </c>
    </row>
    <row r="57" spans="1:3" x14ac:dyDescent="0.25">
      <c r="A57" t="s">
        <v>916</v>
      </c>
      <c r="B57" s="21" t="str">
        <f t="shared" si="2"/>
        <v>2016/12/21 21:53:11.431</v>
      </c>
      <c r="C57" s="21">
        <f t="shared" si="3"/>
        <v>2.2223680549359415E-2</v>
      </c>
    </row>
    <row r="58" spans="1:3" x14ac:dyDescent="0.25">
      <c r="A58" t="s">
        <v>917</v>
      </c>
      <c r="B58" s="21" t="str">
        <f t="shared" si="2"/>
        <v>2016/12/21 21:53:12.000</v>
      </c>
      <c r="C58" s="21">
        <f t="shared" si="3"/>
        <v>6.5856511355377734E-6</v>
      </c>
    </row>
    <row r="59" spans="1:3" x14ac:dyDescent="0.25">
      <c r="A59" t="s">
        <v>918</v>
      </c>
      <c r="B59" s="21" t="str">
        <f t="shared" si="2"/>
        <v>2016/12/21 22:51:34.860</v>
      </c>
      <c r="C59" s="21">
        <f t="shared" si="3"/>
        <v>4.0542361108236946E-2</v>
      </c>
    </row>
    <row r="60" spans="1:3" x14ac:dyDescent="0.25">
      <c r="A60" t="s">
        <v>919</v>
      </c>
      <c r="B60" s="21" t="str">
        <f t="shared" si="2"/>
        <v>2016/12/21 22:51:35.067</v>
      </c>
      <c r="C60" s="21">
        <f t="shared" si="3"/>
        <v>2.3958345991559327E-6</v>
      </c>
    </row>
    <row r="61" spans="1:3" x14ac:dyDescent="0.25">
      <c r="A61" t="s">
        <v>920</v>
      </c>
      <c r="B61" s="21" t="str">
        <f t="shared" si="2"/>
        <v>2016/12/21 22:51:35.171</v>
      </c>
      <c r="C61" s="21">
        <f t="shared" si="3"/>
        <v>1.2037053238600492E-6</v>
      </c>
    </row>
    <row r="62" spans="1:3" x14ac:dyDescent="0.25">
      <c r="A62" t="s">
        <v>921</v>
      </c>
      <c r="B62" s="21" t="str">
        <f t="shared" si="2"/>
        <v>2016/12/22 00:50:13.309</v>
      </c>
      <c r="C62" s="21">
        <f t="shared" si="3"/>
        <v>8.2385856483597308E-2</v>
      </c>
    </row>
    <row r="63" spans="1:3" x14ac:dyDescent="0.25">
      <c r="A63" t="s">
        <v>922</v>
      </c>
      <c r="B63" s="21" t="str">
        <f t="shared" si="2"/>
        <v>2016/12/22 00:50:16.033</v>
      </c>
      <c r="C63" s="21">
        <f t="shared" si="3"/>
        <v>3.1527779356110841E-5</v>
      </c>
    </row>
    <row r="64" spans="1:3" x14ac:dyDescent="0.25">
      <c r="A64" t="s">
        <v>923</v>
      </c>
      <c r="B64" s="21" t="str">
        <f t="shared" si="2"/>
        <v>2016/12/22 01:48:31.189</v>
      </c>
      <c r="C64" s="21">
        <f t="shared" si="3"/>
        <v>4.0453194444125984E-2</v>
      </c>
    </row>
    <row r="65" spans="1:3" x14ac:dyDescent="0.25">
      <c r="A65" t="s">
        <v>924</v>
      </c>
      <c r="B65" s="21" t="str">
        <f t="shared" si="2"/>
        <v>2016/12/22 01:48:31.749</v>
      </c>
      <c r="C65" s="21">
        <f t="shared" si="3"/>
        <v>6.4814812503755093E-6</v>
      </c>
    </row>
    <row r="66" spans="1:3" x14ac:dyDescent="0.25">
      <c r="A66" t="s">
        <v>925</v>
      </c>
      <c r="B66" s="21" t="str">
        <f t="shared" si="2"/>
        <v>2016/12/22 01:48:31.970</v>
      </c>
      <c r="C66" s="21">
        <f t="shared" si="3"/>
        <v>2.5578701752237976E-6</v>
      </c>
    </row>
    <row r="67" spans="1:3" x14ac:dyDescent="0.25">
      <c r="A67" t="s">
        <v>926</v>
      </c>
      <c r="B67" s="21" t="str">
        <f t="shared" si="2"/>
        <v>2016/12/22 01:49:21.742</v>
      </c>
      <c r="C67" s="21">
        <f t="shared" si="3"/>
        <v>5.7606481277616695E-4</v>
      </c>
    </row>
    <row r="68" spans="1:3" x14ac:dyDescent="0.25">
      <c r="A68" t="s">
        <v>927</v>
      </c>
      <c r="B68" s="21" t="str">
        <f t="shared" si="2"/>
        <v>2016/12/22 01:49:21.969</v>
      </c>
      <c r="C68" s="21">
        <f t="shared" si="3"/>
        <v>2.6273119146935642E-6</v>
      </c>
    </row>
    <row r="69" spans="1:3" x14ac:dyDescent="0.25">
      <c r="A69" t="s">
        <v>928</v>
      </c>
      <c r="B69" s="21" t="str">
        <f t="shared" si="2"/>
        <v>2016/12/22 01:49:22.187</v>
      </c>
      <c r="C69" s="21">
        <f t="shared" si="3"/>
        <v>2.5231493054889143E-6</v>
      </c>
    </row>
    <row r="70" spans="1:3" x14ac:dyDescent="0.25">
      <c r="A70" t="s">
        <v>929</v>
      </c>
      <c r="B70" s="21" t="str">
        <f t="shared" si="2"/>
        <v>2016/12/22 03:07:26.442</v>
      </c>
      <c r="C70" s="21">
        <f t="shared" si="3"/>
        <v>5.4215914351516403E-2</v>
      </c>
    </row>
    <row r="71" spans="1:3" x14ac:dyDescent="0.25">
      <c r="A71" t="s">
        <v>930</v>
      </c>
      <c r="B71" s="21" t="str">
        <f t="shared" si="2"/>
        <v>2016/12/22 03:07:26.442</v>
      </c>
      <c r="C71" s="21">
        <f t="shared" si="3"/>
        <v>0</v>
      </c>
    </row>
    <row r="72" spans="1:3" x14ac:dyDescent="0.25">
      <c r="A72" t="s">
        <v>931</v>
      </c>
      <c r="B72" s="21" t="str">
        <f t="shared" si="2"/>
        <v>2016/12/22 03:07:26.828</v>
      </c>
      <c r="C72" s="21">
        <f t="shared" si="3"/>
        <v>4.4675907702185214E-6</v>
      </c>
    </row>
    <row r="73" spans="1:3" x14ac:dyDescent="0.25">
      <c r="A73" t="s">
        <v>932</v>
      </c>
      <c r="B73" s="21" t="str">
        <f t="shared" si="2"/>
        <v>2016/12/22 04:08:05.065</v>
      </c>
      <c r="C73" s="21">
        <f t="shared" si="3"/>
        <v>4.2109224537853152E-2</v>
      </c>
    </row>
    <row r="74" spans="1:3" x14ac:dyDescent="0.25">
      <c r="A74" t="s">
        <v>933</v>
      </c>
      <c r="B74" s="21" t="str">
        <f t="shared" si="2"/>
        <v>2016/12/22 04:08:05.169</v>
      </c>
      <c r="C74" s="21">
        <f t="shared" si="3"/>
        <v>1.2037053238600492E-6</v>
      </c>
    </row>
    <row r="75" spans="1:3" x14ac:dyDescent="0.25">
      <c r="A75" t="s">
        <v>934</v>
      </c>
      <c r="B75" s="21" t="str">
        <f t="shared" si="2"/>
        <v>2016/12/22 05:08:26.440</v>
      </c>
      <c r="C75" s="21">
        <f t="shared" si="3"/>
        <v>4.191285879642237E-2</v>
      </c>
    </row>
    <row r="76" spans="1:3" x14ac:dyDescent="0.25">
      <c r="A76" t="s">
        <v>935</v>
      </c>
      <c r="B76" s="21" t="str">
        <f t="shared" si="2"/>
        <v>2016/12/22 05:08:26.440</v>
      </c>
      <c r="C76" s="21">
        <f t="shared" si="3"/>
        <v>0</v>
      </c>
    </row>
    <row r="77" spans="1:3" x14ac:dyDescent="0.25">
      <c r="A77" t="s">
        <v>936</v>
      </c>
      <c r="B77" s="21" t="str">
        <f t="shared" si="2"/>
        <v>2016/12/22 05:15:00.423</v>
      </c>
      <c r="C77" s="21">
        <f t="shared" si="3"/>
        <v>4.5599884251714684E-3</v>
      </c>
    </row>
    <row r="78" spans="1:3" x14ac:dyDescent="0.25">
      <c r="A78" t="s">
        <v>937</v>
      </c>
      <c r="B78" s="21" t="str">
        <f t="shared" si="2"/>
        <v>2016/12/22 05:15:02.500</v>
      </c>
      <c r="C78" s="21">
        <f t="shared" si="3"/>
        <v>2.4039356503635645E-5</v>
      </c>
    </row>
    <row r="79" spans="1:3" x14ac:dyDescent="0.25">
      <c r="A79" t="s">
        <v>938</v>
      </c>
      <c r="B79" s="21" t="str">
        <f t="shared" si="2"/>
        <v>2016/12/22 05:34:49.750</v>
      </c>
      <c r="C79" s="21">
        <f t="shared" si="3"/>
        <v>1.3741319438850041E-2</v>
      </c>
    </row>
    <row r="80" spans="1:3" x14ac:dyDescent="0.25">
      <c r="A80" t="s">
        <v>939</v>
      </c>
      <c r="B80" s="21" t="str">
        <f t="shared" si="2"/>
        <v>2016/12/22 05:53:17.970</v>
      </c>
      <c r="C80" s="21">
        <f t="shared" si="3"/>
        <v>1.2826620375562925E-2</v>
      </c>
    </row>
    <row r="81" spans="1:3" x14ac:dyDescent="0.25">
      <c r="A81" t="s">
        <v>940</v>
      </c>
      <c r="B81" s="21" t="str">
        <f t="shared" ref="B81:B85" si="4">MID(A81,6,23)</f>
        <v>2016/12/22 05:53:18.087</v>
      </c>
      <c r="C81" s="21">
        <f t="shared" ref="C81:C85" si="5">ABS(B81-B80)</f>
        <v>1.3541648513637483E-6</v>
      </c>
    </row>
    <row r="82" spans="1:3" x14ac:dyDescent="0.25">
      <c r="A82" t="s">
        <v>941</v>
      </c>
      <c r="B82" s="21" t="str">
        <f t="shared" si="4"/>
        <v>2016/12/22 05:53:18.282</v>
      </c>
      <c r="C82" s="21">
        <f t="shared" si="5"/>
        <v>2.2569438442587852E-6</v>
      </c>
    </row>
    <row r="83" spans="1:3" x14ac:dyDescent="0.25">
      <c r="A83" t="s">
        <v>942</v>
      </c>
      <c r="B83" s="21" t="str">
        <f t="shared" si="4"/>
        <v>2016/12/22 06:32:21.667</v>
      </c>
      <c r="C83" s="21">
        <f t="shared" si="5"/>
        <v>2.7122511572088115E-2</v>
      </c>
    </row>
    <row r="84" spans="1:3" x14ac:dyDescent="0.25">
      <c r="A84" t="s">
        <v>943</v>
      </c>
      <c r="B84" s="21" t="str">
        <f t="shared" si="4"/>
        <v>2016/12/22 06:32:22.451</v>
      </c>
      <c r="C84" s="21">
        <f t="shared" si="5"/>
        <v>9.0740722953341901E-6</v>
      </c>
    </row>
    <row r="85" spans="1:3" x14ac:dyDescent="0.25">
      <c r="A85" t="s">
        <v>944</v>
      </c>
      <c r="B85" s="21" t="str">
        <f t="shared" si="4"/>
        <v>2016/12/22 06:33:20.812</v>
      </c>
      <c r="C85" s="21">
        <f t="shared" si="5"/>
        <v>6.7547454091254622E-4</v>
      </c>
    </row>
    <row r="86" spans="1:3" x14ac:dyDescent="0.25">
      <c r="A86" t="s">
        <v>945</v>
      </c>
      <c r="B86" s="21" t="str">
        <f t="shared" ref="B86:B87" si="6">MID(A86,6,23)</f>
        <v>2016/12/22 06:33:21.471</v>
      </c>
      <c r="C86" s="21">
        <f t="shared" ref="C86:C87" si="7">ABS(B86-B85)</f>
        <v>7.6273136073723435E-6</v>
      </c>
    </row>
    <row r="87" spans="1:3" x14ac:dyDescent="0.25">
      <c r="A87" t="s">
        <v>946</v>
      </c>
      <c r="B87" s="21" t="str">
        <f t="shared" si="6"/>
        <v>2016/12/22 06:33:21.669</v>
      </c>
      <c r="C87" s="21">
        <f t="shared" si="7"/>
        <v>2.2916647139936686E-6</v>
      </c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2016-12-22T16:34:47Z</dcterms:modified>
</cp:coreProperties>
</file>