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</sheets>
  <externalReferences>
    <externalReference r:id="rId8"/>
    <externalReference r:id="rId9"/>
  </externalReferences>
  <definedNames>
    <definedName name="_xlnm._FilterDatabase" localSheetId="1" hidden="1">Enforcements!$A$6:$AC$53</definedName>
    <definedName name="_xlnm._FilterDatabase" localSheetId="2" hidden="1">'Missing Trips'!$B$2:$I$2</definedName>
    <definedName name="_xlnm._FilterDatabase" localSheetId="0" hidden="1">'Train Runs'!$A$12:$AG$251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Runs'!$A$12:$J$70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s3_bucket">Variables!$M$21</definedName>
    <definedName name="search_path">Variables!$M$19</definedName>
    <definedName name="search_regexp">Variables!$M$20</definedName>
    <definedName name="utc_offset">Variables!$M$23</definedName>
    <definedName name="walkandungz">Variables!$M$22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9" i="3" l="1"/>
  <c r="T19" i="3" s="1"/>
  <c r="V19" i="3"/>
  <c r="W19" i="3"/>
  <c r="Y19" i="3" s="1"/>
  <c r="X19" i="3"/>
  <c r="U28" i="3"/>
  <c r="AC28" i="3" s="1"/>
  <c r="V28" i="3"/>
  <c r="W28" i="3"/>
  <c r="Y28" i="3" s="1"/>
  <c r="X28" i="3"/>
  <c r="U10" i="3"/>
  <c r="T10" i="3" s="1"/>
  <c r="V10" i="3"/>
  <c r="W10" i="3"/>
  <c r="X10" i="3"/>
  <c r="AC10" i="3"/>
  <c r="U20" i="3"/>
  <c r="T20" i="3" s="1"/>
  <c r="V20" i="3"/>
  <c r="W20" i="3"/>
  <c r="X20" i="3"/>
  <c r="AC20" i="3"/>
  <c r="U15" i="3"/>
  <c r="T15" i="3" s="1"/>
  <c r="V15" i="3"/>
  <c r="W15" i="3"/>
  <c r="X15" i="3"/>
  <c r="AC15" i="3"/>
  <c r="U17" i="3"/>
  <c r="AC17" i="3" s="1"/>
  <c r="V17" i="3"/>
  <c r="W17" i="3"/>
  <c r="X17" i="3"/>
  <c r="U16" i="3"/>
  <c r="T16" i="3" s="1"/>
  <c r="V16" i="3"/>
  <c r="W16" i="3"/>
  <c r="X16" i="3"/>
  <c r="AC16" i="3"/>
  <c r="U24" i="3"/>
  <c r="T24" i="3" s="1"/>
  <c r="V24" i="3"/>
  <c r="W24" i="3"/>
  <c r="X24" i="3"/>
  <c r="AC24" i="3"/>
  <c r="U11" i="3"/>
  <c r="T11" i="3" s="1"/>
  <c r="V11" i="3"/>
  <c r="W11" i="3"/>
  <c r="Y11" i="3" s="1"/>
  <c r="X11" i="3"/>
  <c r="U13" i="3"/>
  <c r="AC13" i="3" s="1"/>
  <c r="V13" i="3"/>
  <c r="W13" i="3"/>
  <c r="X13" i="3"/>
  <c r="U21" i="3"/>
  <c r="T21" i="3" s="1"/>
  <c r="V21" i="3"/>
  <c r="W21" i="3"/>
  <c r="X21" i="3"/>
  <c r="AC21" i="3"/>
  <c r="U34" i="3"/>
  <c r="T34" i="3" s="1"/>
  <c r="V34" i="3"/>
  <c r="W34" i="3"/>
  <c r="X34" i="3"/>
  <c r="AC34" i="3"/>
  <c r="U39" i="3"/>
  <c r="T39" i="3" s="1"/>
  <c r="V39" i="3"/>
  <c r="W39" i="3"/>
  <c r="X39" i="3"/>
  <c r="U32" i="3"/>
  <c r="AC32" i="3" s="1"/>
  <c r="V32" i="3"/>
  <c r="W32" i="3"/>
  <c r="X32" i="3"/>
  <c r="U27" i="3"/>
  <c r="T27" i="3" s="1"/>
  <c r="V27" i="3"/>
  <c r="W27" i="3"/>
  <c r="X27" i="3"/>
  <c r="AC27" i="3"/>
  <c r="U25" i="3"/>
  <c r="T25" i="3" s="1"/>
  <c r="V25" i="3"/>
  <c r="W25" i="3"/>
  <c r="X25" i="3"/>
  <c r="AC25" i="3"/>
  <c r="U9" i="3"/>
  <c r="T9" i="3" s="1"/>
  <c r="V9" i="3"/>
  <c r="W9" i="3"/>
  <c r="X9" i="3"/>
  <c r="U29" i="3"/>
  <c r="AC29" i="3" s="1"/>
  <c r="V29" i="3"/>
  <c r="W29" i="3"/>
  <c r="X29" i="3"/>
  <c r="U26" i="3"/>
  <c r="T26" i="3" s="1"/>
  <c r="V26" i="3"/>
  <c r="W26" i="3"/>
  <c r="X26" i="3"/>
  <c r="AC26" i="3"/>
  <c r="U35" i="3"/>
  <c r="T35" i="3" s="1"/>
  <c r="V35" i="3"/>
  <c r="W35" i="3"/>
  <c r="X35" i="3"/>
  <c r="AC35" i="3"/>
  <c r="U30" i="3"/>
  <c r="T30" i="3" s="1"/>
  <c r="V30" i="3"/>
  <c r="W30" i="3"/>
  <c r="X30" i="3"/>
  <c r="AC30" i="3"/>
  <c r="U7" i="3"/>
  <c r="AC7" i="3" s="1"/>
  <c r="V7" i="3"/>
  <c r="W7" i="3"/>
  <c r="Y7" i="3" s="1"/>
  <c r="X7" i="3"/>
  <c r="U14" i="3"/>
  <c r="T14" i="3" s="1"/>
  <c r="V14" i="3"/>
  <c r="W14" i="3"/>
  <c r="X14" i="3"/>
  <c r="AC14" i="3"/>
  <c r="U18" i="3"/>
  <c r="T18" i="3" s="1"/>
  <c r="V18" i="3"/>
  <c r="W18" i="3"/>
  <c r="X18" i="3"/>
  <c r="AC18" i="3"/>
  <c r="U37" i="3"/>
  <c r="T37" i="3" s="1"/>
  <c r="V37" i="3"/>
  <c r="W37" i="3"/>
  <c r="X37" i="3"/>
  <c r="U36" i="3"/>
  <c r="AC36" i="3" s="1"/>
  <c r="V36" i="3"/>
  <c r="W36" i="3"/>
  <c r="X36" i="3"/>
  <c r="U38" i="3"/>
  <c r="T38" i="3" s="1"/>
  <c r="V38" i="3"/>
  <c r="W38" i="3"/>
  <c r="X38" i="3"/>
  <c r="AC38" i="3"/>
  <c r="U40" i="3"/>
  <c r="T40" i="3" s="1"/>
  <c r="V40" i="3"/>
  <c r="W40" i="3"/>
  <c r="X40" i="3"/>
  <c r="AC40" i="3"/>
  <c r="U23" i="3"/>
  <c r="T23" i="3" s="1"/>
  <c r="V23" i="3"/>
  <c r="W23" i="3"/>
  <c r="X23" i="3"/>
  <c r="AC23" i="3"/>
  <c r="U12" i="3"/>
  <c r="AC12" i="3" s="1"/>
  <c r="V12" i="3"/>
  <c r="W12" i="3"/>
  <c r="X12" i="3"/>
  <c r="U8" i="3"/>
  <c r="T8" i="3" s="1"/>
  <c r="V8" i="3"/>
  <c r="W8" i="3"/>
  <c r="X8" i="3"/>
  <c r="AC8" i="3"/>
  <c r="U22" i="3"/>
  <c r="T22" i="3" s="1"/>
  <c r="V22" i="3"/>
  <c r="W22" i="3"/>
  <c r="X22" i="3"/>
  <c r="U33" i="3"/>
  <c r="T33" i="3" s="1"/>
  <c r="V33" i="3"/>
  <c r="W33" i="3"/>
  <c r="X33" i="3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K19" i="1"/>
  <c r="L19" i="1"/>
  <c r="M19" i="1"/>
  <c r="N19" i="1" s="1"/>
  <c r="V19" i="1"/>
  <c r="Y19" i="1"/>
  <c r="Z19" i="1"/>
  <c r="AB19" i="1"/>
  <c r="AC19" i="1"/>
  <c r="AD19" i="1"/>
  <c r="AG19" i="1" s="1"/>
  <c r="AE19" i="1"/>
  <c r="AF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K26" i="1"/>
  <c r="L26" i="1"/>
  <c r="M26" i="1"/>
  <c r="N26" i="1" s="1"/>
  <c r="V26" i="1"/>
  <c r="S19" i="3" s="1"/>
  <c r="Y26" i="1"/>
  <c r="Z26" i="1"/>
  <c r="AB26" i="1"/>
  <c r="AC26" i="1"/>
  <c r="AD26" i="1"/>
  <c r="T26" i="1" s="1"/>
  <c r="AE26" i="1"/>
  <c r="R19" i="3" s="1"/>
  <c r="AF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K31" i="1"/>
  <c r="L31" i="1"/>
  <c r="M31" i="1"/>
  <c r="N31" i="1" s="1"/>
  <c r="V31" i="1"/>
  <c r="Y31" i="1"/>
  <c r="Z31" i="1"/>
  <c r="AB31" i="1"/>
  <c r="AC31" i="1"/>
  <c r="AD31" i="1"/>
  <c r="AG31" i="1" s="1"/>
  <c r="AE31" i="1"/>
  <c r="AF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K34" i="1"/>
  <c r="L34" i="1"/>
  <c r="M34" i="1"/>
  <c r="V34" i="1"/>
  <c r="Y34" i="1"/>
  <c r="Z34" i="1"/>
  <c r="AB34" i="1"/>
  <c r="AC34" i="1"/>
  <c r="AD34" i="1"/>
  <c r="AG34" i="1" s="1"/>
  <c r="AE34" i="1"/>
  <c r="AF34" i="1"/>
  <c r="K35" i="1"/>
  <c r="L35" i="1"/>
  <c r="M35" i="1"/>
  <c r="V35" i="1"/>
  <c r="Y35" i="1"/>
  <c r="Z35" i="1"/>
  <c r="AB35" i="1"/>
  <c r="AC35" i="1"/>
  <c r="AD35" i="1"/>
  <c r="AG35" i="1" s="1"/>
  <c r="AE35" i="1"/>
  <c r="AF35" i="1"/>
  <c r="K36" i="1"/>
  <c r="L36" i="1"/>
  <c r="M36" i="1"/>
  <c r="N36" i="1" s="1"/>
  <c r="V36" i="1"/>
  <c r="Y36" i="1"/>
  <c r="Z36" i="1"/>
  <c r="AB36" i="1"/>
  <c r="AC36" i="1"/>
  <c r="AD36" i="1"/>
  <c r="AG36" i="1" s="1"/>
  <c r="AE36" i="1"/>
  <c r="AF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K39" i="1"/>
  <c r="L39" i="1"/>
  <c r="M39" i="1"/>
  <c r="N39" i="1" s="1"/>
  <c r="V39" i="1"/>
  <c r="S20" i="3" s="1"/>
  <c r="Y39" i="1"/>
  <c r="AA39" i="1" s="1"/>
  <c r="Z39" i="1"/>
  <c r="AB39" i="1"/>
  <c r="AC39" i="1"/>
  <c r="AD39" i="1"/>
  <c r="AG39" i="1" s="1"/>
  <c r="AE39" i="1"/>
  <c r="R20" i="3" s="1"/>
  <c r="AF39" i="1"/>
  <c r="AI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K41" i="1"/>
  <c r="L41" i="1"/>
  <c r="M41" i="1"/>
  <c r="N41" i="1" s="1"/>
  <c r="V41" i="1"/>
  <c r="S10" i="3" s="1"/>
  <c r="Y41" i="1"/>
  <c r="Z41" i="1"/>
  <c r="AB41" i="1"/>
  <c r="AC41" i="1"/>
  <c r="AD41" i="1"/>
  <c r="T41" i="1" s="1"/>
  <c r="AE41" i="1"/>
  <c r="R10" i="3" s="1"/>
  <c r="AF41" i="1"/>
  <c r="K42" i="1"/>
  <c r="L42" i="1"/>
  <c r="M42" i="1"/>
  <c r="V42" i="1"/>
  <c r="Y42" i="1"/>
  <c r="Z42" i="1"/>
  <c r="AB42" i="1"/>
  <c r="AC42" i="1"/>
  <c r="AD42" i="1"/>
  <c r="AE42" i="1"/>
  <c r="AF42" i="1"/>
  <c r="K43" i="1"/>
  <c r="L43" i="1"/>
  <c r="M43" i="1"/>
  <c r="V43" i="1"/>
  <c r="Y43" i="1"/>
  <c r="Z43" i="1"/>
  <c r="AB43" i="1"/>
  <c r="AC43" i="1"/>
  <c r="AD43" i="1"/>
  <c r="AG43" i="1" s="1"/>
  <c r="AE43" i="1"/>
  <c r="AF43" i="1"/>
  <c r="K44" i="1"/>
  <c r="L44" i="1"/>
  <c r="M44" i="1"/>
  <c r="V44" i="1"/>
  <c r="Y44" i="1"/>
  <c r="Z44" i="1"/>
  <c r="AB44" i="1"/>
  <c r="AC44" i="1"/>
  <c r="AD44" i="1"/>
  <c r="AE44" i="1"/>
  <c r="AF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K50" i="1"/>
  <c r="L50" i="1"/>
  <c r="M50" i="1"/>
  <c r="V50" i="1"/>
  <c r="Y50" i="1"/>
  <c r="Z50" i="1"/>
  <c r="AB50" i="1"/>
  <c r="AC50" i="1"/>
  <c r="AD50" i="1"/>
  <c r="T50" i="1" s="1"/>
  <c r="AE50" i="1"/>
  <c r="AF50" i="1"/>
  <c r="K51" i="1"/>
  <c r="L51" i="1"/>
  <c r="M51" i="1"/>
  <c r="P50" i="1" s="1"/>
  <c r="V51" i="1"/>
  <c r="Y51" i="1"/>
  <c r="Z51" i="1"/>
  <c r="AB51" i="1"/>
  <c r="AC51" i="1"/>
  <c r="AD51" i="1"/>
  <c r="AE51" i="1"/>
  <c r="AF51" i="1"/>
  <c r="K52" i="1"/>
  <c r="L52" i="1"/>
  <c r="M52" i="1"/>
  <c r="N52" i="1" s="1"/>
  <c r="V52" i="1"/>
  <c r="S16" i="3" s="1"/>
  <c r="Y52" i="1"/>
  <c r="Z52" i="1"/>
  <c r="AB52" i="1"/>
  <c r="AC52" i="1"/>
  <c r="AD52" i="1"/>
  <c r="T52" i="1" s="1"/>
  <c r="AE52" i="1"/>
  <c r="R16" i="3" s="1"/>
  <c r="AF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K55" i="1"/>
  <c r="L55" i="1"/>
  <c r="M55" i="1"/>
  <c r="N55" i="1" s="1"/>
  <c r="V55" i="1"/>
  <c r="S17" i="3" s="1"/>
  <c r="Y55" i="1"/>
  <c r="Z55" i="1"/>
  <c r="AB55" i="1"/>
  <c r="AC55" i="1"/>
  <c r="AD55" i="1"/>
  <c r="T55" i="1" s="1"/>
  <c r="AE55" i="1"/>
  <c r="R15" i="3" s="1"/>
  <c r="AF55" i="1"/>
  <c r="K56" i="1"/>
  <c r="L56" i="1"/>
  <c r="M56" i="1"/>
  <c r="N56" i="1" s="1"/>
  <c r="V56" i="1"/>
  <c r="Y56" i="1"/>
  <c r="Z56" i="1"/>
  <c r="AB56" i="1"/>
  <c r="AC56" i="1"/>
  <c r="AD56" i="1"/>
  <c r="AG56" i="1" s="1"/>
  <c r="AE56" i="1"/>
  <c r="AF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K58" i="1"/>
  <c r="L58" i="1"/>
  <c r="M58" i="1"/>
  <c r="N58" i="1" s="1"/>
  <c r="V58" i="1"/>
  <c r="S21" i="3" s="1"/>
  <c r="Y58" i="1"/>
  <c r="Z58" i="1"/>
  <c r="AB58" i="1"/>
  <c r="AC58" i="1"/>
  <c r="AD58" i="1"/>
  <c r="AE58" i="1"/>
  <c r="R21" i="3" s="1"/>
  <c r="AF58" i="1"/>
  <c r="K59" i="1"/>
  <c r="L59" i="1"/>
  <c r="M59" i="1"/>
  <c r="N59" i="1" s="1"/>
  <c r="V59" i="1"/>
  <c r="Y59" i="1"/>
  <c r="Z59" i="1"/>
  <c r="AB59" i="1"/>
  <c r="AC59" i="1"/>
  <c r="AD59" i="1"/>
  <c r="AG59" i="1" s="1"/>
  <c r="AE59" i="1"/>
  <c r="AF59" i="1"/>
  <c r="K60" i="1"/>
  <c r="L60" i="1"/>
  <c r="M60" i="1"/>
  <c r="N60" i="1" s="1"/>
  <c r="V60" i="1"/>
  <c r="Y60" i="1"/>
  <c r="Z60" i="1"/>
  <c r="AB60" i="1"/>
  <c r="AC60" i="1"/>
  <c r="AD60" i="1"/>
  <c r="AG60" i="1" s="1"/>
  <c r="AE60" i="1"/>
  <c r="AF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K64" i="1"/>
  <c r="L64" i="1"/>
  <c r="M64" i="1"/>
  <c r="N64" i="1" s="1"/>
  <c r="V64" i="1"/>
  <c r="Y64" i="1"/>
  <c r="Z64" i="1"/>
  <c r="AB64" i="1"/>
  <c r="AC64" i="1"/>
  <c r="AD64" i="1"/>
  <c r="AG64" i="1" s="1"/>
  <c r="AE64" i="1"/>
  <c r="AF64" i="1"/>
  <c r="K65" i="1"/>
  <c r="L65" i="1"/>
  <c r="M65" i="1"/>
  <c r="N65" i="1" s="1"/>
  <c r="V65" i="1"/>
  <c r="S11" i="3" s="1"/>
  <c r="Y65" i="1"/>
  <c r="Z65" i="1"/>
  <c r="AB65" i="1"/>
  <c r="AC65" i="1"/>
  <c r="AD65" i="1"/>
  <c r="AG65" i="1" s="1"/>
  <c r="AE65" i="1"/>
  <c r="R13" i="3" s="1"/>
  <c r="AF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K75" i="1"/>
  <c r="L75" i="1"/>
  <c r="M75" i="1"/>
  <c r="N75" i="1" s="1"/>
  <c r="V75" i="1"/>
  <c r="Y75" i="1"/>
  <c r="Z75" i="1"/>
  <c r="AB75" i="1"/>
  <c r="AC75" i="1"/>
  <c r="AD75" i="1"/>
  <c r="AG75" i="1" s="1"/>
  <c r="AE75" i="1"/>
  <c r="AF75" i="1"/>
  <c r="K76" i="1"/>
  <c r="L76" i="1"/>
  <c r="M76" i="1"/>
  <c r="N76" i="1" s="1"/>
  <c r="V76" i="1"/>
  <c r="Y76" i="1"/>
  <c r="Z76" i="1"/>
  <c r="AB76" i="1"/>
  <c r="AC76" i="1"/>
  <c r="AD76" i="1"/>
  <c r="AG76" i="1" s="1"/>
  <c r="AE76" i="1"/>
  <c r="AF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K80" i="1"/>
  <c r="L80" i="1"/>
  <c r="M80" i="1"/>
  <c r="N80" i="1" s="1"/>
  <c r="V80" i="1"/>
  <c r="S9" i="3" s="1"/>
  <c r="Y80" i="1"/>
  <c r="Z80" i="1"/>
  <c r="AB80" i="1"/>
  <c r="AC80" i="1"/>
  <c r="AD80" i="1"/>
  <c r="AE80" i="1"/>
  <c r="R9" i="3" s="1"/>
  <c r="AF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K87" i="1"/>
  <c r="L87" i="1"/>
  <c r="M87" i="1"/>
  <c r="N87" i="1" s="1"/>
  <c r="V87" i="1"/>
  <c r="Y87" i="1"/>
  <c r="AA87" i="1" s="1"/>
  <c r="Z87" i="1"/>
  <c r="AB87" i="1"/>
  <c r="AC87" i="1"/>
  <c r="AD87" i="1"/>
  <c r="T87" i="1" s="1"/>
  <c r="AE87" i="1"/>
  <c r="AF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K90" i="1"/>
  <c r="L90" i="1"/>
  <c r="M90" i="1"/>
  <c r="P90" i="1" s="1"/>
  <c r="V90" i="1"/>
  <c r="Y90" i="1"/>
  <c r="Z90" i="1"/>
  <c r="AB90" i="1"/>
  <c r="AC90" i="1"/>
  <c r="AD90" i="1"/>
  <c r="T90" i="1" s="1"/>
  <c r="AE90" i="1"/>
  <c r="AF90" i="1"/>
  <c r="K91" i="1"/>
  <c r="L91" i="1"/>
  <c r="M91" i="1"/>
  <c r="N91" i="1" s="1"/>
  <c r="V91" i="1"/>
  <c r="Y91" i="1"/>
  <c r="AA91" i="1" s="1"/>
  <c r="Z91" i="1"/>
  <c r="AB91" i="1"/>
  <c r="AC91" i="1"/>
  <c r="AD91" i="1"/>
  <c r="T91" i="1" s="1"/>
  <c r="AE91" i="1"/>
  <c r="AF91" i="1"/>
  <c r="K92" i="1"/>
  <c r="L92" i="1"/>
  <c r="M92" i="1"/>
  <c r="N92" i="1" s="1"/>
  <c r="V92" i="1"/>
  <c r="Y92" i="1"/>
  <c r="Z92" i="1"/>
  <c r="AB92" i="1"/>
  <c r="AC92" i="1"/>
  <c r="AD92" i="1"/>
  <c r="AG92" i="1" s="1"/>
  <c r="AE92" i="1"/>
  <c r="AF92" i="1"/>
  <c r="K93" i="1"/>
  <c r="L93" i="1"/>
  <c r="M93" i="1"/>
  <c r="N93" i="1" s="1"/>
  <c r="V93" i="1"/>
  <c r="Y93" i="1"/>
  <c r="Z93" i="1"/>
  <c r="AB93" i="1"/>
  <c r="AC93" i="1"/>
  <c r="AD93" i="1"/>
  <c r="AG93" i="1" s="1"/>
  <c r="AI93" i="1" s="1"/>
  <c r="AE93" i="1"/>
  <c r="AF9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K98" i="1"/>
  <c r="L98" i="1"/>
  <c r="M98" i="1"/>
  <c r="N98" i="1" s="1"/>
  <c r="V98" i="1"/>
  <c r="S7" i="3" s="1"/>
  <c r="Y98" i="1"/>
  <c r="Z98" i="1"/>
  <c r="AB98" i="1"/>
  <c r="AC98" i="1"/>
  <c r="AD98" i="1"/>
  <c r="AE98" i="1"/>
  <c r="R7" i="3" s="1"/>
  <c r="AF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K102" i="1"/>
  <c r="L102" i="1"/>
  <c r="M102" i="1"/>
  <c r="N102" i="1" s="1"/>
  <c r="V102" i="1"/>
  <c r="S14" i="3" s="1"/>
  <c r="Y102" i="1"/>
  <c r="Z102" i="1"/>
  <c r="AB102" i="1"/>
  <c r="AC102" i="1"/>
  <c r="AD102" i="1"/>
  <c r="T102" i="1" s="1"/>
  <c r="AE102" i="1"/>
  <c r="R14" i="3" s="1"/>
  <c r="AF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K104" i="1"/>
  <c r="L104" i="1"/>
  <c r="M104" i="1"/>
  <c r="V104" i="1"/>
  <c r="S18" i="3" s="1"/>
  <c r="Y104" i="1"/>
  <c r="Z104" i="1"/>
  <c r="AB104" i="1"/>
  <c r="AC104" i="1"/>
  <c r="AD104" i="1"/>
  <c r="AG104" i="1" s="1"/>
  <c r="AE104" i="1"/>
  <c r="R18" i="3" s="1"/>
  <c r="AF104" i="1"/>
  <c r="K105" i="1"/>
  <c r="L105" i="1"/>
  <c r="M105" i="1"/>
  <c r="V105" i="1"/>
  <c r="Y105" i="1"/>
  <c r="Z105" i="1"/>
  <c r="AB105" i="1"/>
  <c r="AC105" i="1"/>
  <c r="AD105" i="1"/>
  <c r="AG105" i="1" s="1"/>
  <c r="AE105" i="1"/>
  <c r="AF105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K107" i="1"/>
  <c r="L107" i="1"/>
  <c r="M107" i="1"/>
  <c r="N107" i="1" s="1"/>
  <c r="V107" i="1"/>
  <c r="Y107" i="1"/>
  <c r="Z107" i="1"/>
  <c r="AB107" i="1"/>
  <c r="AC107" i="1"/>
  <c r="AD107" i="1"/>
  <c r="AE107" i="1"/>
  <c r="AF107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K112" i="1"/>
  <c r="L112" i="1"/>
  <c r="M112" i="1"/>
  <c r="N112" i="1" s="1"/>
  <c r="V112" i="1"/>
  <c r="Y112" i="1"/>
  <c r="Z112" i="1"/>
  <c r="AB112" i="1"/>
  <c r="AC112" i="1"/>
  <c r="AD112" i="1"/>
  <c r="AE112" i="1"/>
  <c r="AF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K114" i="1"/>
  <c r="L114" i="1"/>
  <c r="M114" i="1"/>
  <c r="N114" i="1" s="1"/>
  <c r="V114" i="1"/>
  <c r="Y114" i="1"/>
  <c r="Z114" i="1"/>
  <c r="AB114" i="1"/>
  <c r="AC114" i="1"/>
  <c r="AD114" i="1"/>
  <c r="AG114" i="1" s="1"/>
  <c r="AE114" i="1"/>
  <c r="AF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K117" i="1"/>
  <c r="L117" i="1"/>
  <c r="M117" i="1"/>
  <c r="N117" i="1" s="1"/>
  <c r="V117" i="1"/>
  <c r="Y117" i="1"/>
  <c r="Z117" i="1"/>
  <c r="AB117" i="1"/>
  <c r="AC117" i="1"/>
  <c r="AD117" i="1"/>
  <c r="AE117" i="1"/>
  <c r="AF117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E121" i="1"/>
  <c r="AF121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K129" i="1"/>
  <c r="L129" i="1"/>
  <c r="M129" i="1"/>
  <c r="P129" i="1" s="1"/>
  <c r="V129" i="1"/>
  <c r="Y129" i="1"/>
  <c r="Z129" i="1"/>
  <c r="AB129" i="1"/>
  <c r="AC129" i="1"/>
  <c r="AD129" i="1"/>
  <c r="AG129" i="1" s="1"/>
  <c r="AE129" i="1"/>
  <c r="AF129" i="1"/>
  <c r="K130" i="1"/>
  <c r="L130" i="1"/>
  <c r="M130" i="1"/>
  <c r="N130" i="1" s="1"/>
  <c r="V130" i="1"/>
  <c r="Y130" i="1"/>
  <c r="Z130" i="1"/>
  <c r="AB130" i="1"/>
  <c r="AC130" i="1"/>
  <c r="AD130" i="1"/>
  <c r="AE130" i="1"/>
  <c r="AF130" i="1"/>
  <c r="AG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K132" i="1"/>
  <c r="L132" i="1"/>
  <c r="M132" i="1"/>
  <c r="N132" i="1" s="1"/>
  <c r="V132" i="1"/>
  <c r="X132" i="1"/>
  <c r="Y132" i="1"/>
  <c r="Z132" i="1"/>
  <c r="AB132" i="1"/>
  <c r="AC132" i="1"/>
  <c r="AD132" i="1"/>
  <c r="T132" i="1" s="1"/>
  <c r="AE132" i="1"/>
  <c r="AF132" i="1"/>
  <c r="AG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K134" i="1"/>
  <c r="L134" i="1"/>
  <c r="M134" i="1"/>
  <c r="N134" i="1" s="1"/>
  <c r="V134" i="1"/>
  <c r="Y134" i="1"/>
  <c r="Z134" i="1"/>
  <c r="AB134" i="1"/>
  <c r="AC134" i="1"/>
  <c r="AD134" i="1"/>
  <c r="AG134" i="1" s="1"/>
  <c r="AE134" i="1"/>
  <c r="AF134" i="1"/>
  <c r="K135" i="1"/>
  <c r="L135" i="1"/>
  <c r="M135" i="1"/>
  <c r="N135" i="1" s="1"/>
  <c r="V135" i="1"/>
  <c r="S12" i="3" s="1"/>
  <c r="Y135" i="1"/>
  <c r="Z135" i="1"/>
  <c r="AB135" i="1"/>
  <c r="AC135" i="1"/>
  <c r="AD135" i="1"/>
  <c r="T135" i="1" s="1"/>
  <c r="AE135" i="1"/>
  <c r="R12" i="3" s="1"/>
  <c r="AF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K137" i="1"/>
  <c r="L137" i="1"/>
  <c r="M137" i="1"/>
  <c r="N137" i="1" s="1"/>
  <c r="V137" i="1"/>
  <c r="Y137" i="1"/>
  <c r="Z137" i="1"/>
  <c r="AB137" i="1"/>
  <c r="AC137" i="1"/>
  <c r="AD137" i="1"/>
  <c r="AG137" i="1" s="1"/>
  <c r="AE137" i="1"/>
  <c r="AF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K141" i="1"/>
  <c r="L141" i="1"/>
  <c r="M141" i="1"/>
  <c r="N141" i="1" s="1"/>
  <c r="V141" i="1"/>
  <c r="S8" i="3" s="1"/>
  <c r="Y141" i="1"/>
  <c r="Z141" i="1"/>
  <c r="AB141" i="1"/>
  <c r="AC141" i="1"/>
  <c r="AD141" i="1"/>
  <c r="AG141" i="1" s="1"/>
  <c r="AE141" i="1"/>
  <c r="R8" i="3" s="1"/>
  <c r="AF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K145" i="1"/>
  <c r="L145" i="1"/>
  <c r="M145" i="1"/>
  <c r="N145" i="1" s="1"/>
  <c r="V145" i="1"/>
  <c r="Y145" i="1"/>
  <c r="Z145" i="1"/>
  <c r="AB145" i="1"/>
  <c r="AC145" i="1"/>
  <c r="AD145" i="1"/>
  <c r="AG145" i="1" s="1"/>
  <c r="AE145" i="1"/>
  <c r="AF145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K148" i="1"/>
  <c r="L148" i="1"/>
  <c r="M148" i="1"/>
  <c r="N148" i="1" s="1"/>
  <c r="V148" i="1"/>
  <c r="S22" i="3" s="1"/>
  <c r="Y148" i="1"/>
  <c r="Z148" i="1"/>
  <c r="AB148" i="1"/>
  <c r="AC148" i="1"/>
  <c r="AD148" i="1"/>
  <c r="T148" i="1" s="1"/>
  <c r="AE148" i="1"/>
  <c r="R22" i="3" s="1"/>
  <c r="AF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K156" i="1"/>
  <c r="L156" i="1"/>
  <c r="M156" i="1"/>
  <c r="N156" i="1" s="1"/>
  <c r="V156" i="1"/>
  <c r="Y156" i="1"/>
  <c r="Z156" i="1"/>
  <c r="AB156" i="1"/>
  <c r="AC156" i="1"/>
  <c r="AD156" i="1"/>
  <c r="AE156" i="1"/>
  <c r="AF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K159" i="1"/>
  <c r="L159" i="1"/>
  <c r="M159" i="1"/>
  <c r="V159" i="1"/>
  <c r="Y159" i="1"/>
  <c r="Z159" i="1"/>
  <c r="AB159" i="1"/>
  <c r="AC159" i="1"/>
  <c r="AD159" i="1"/>
  <c r="AG159" i="1" s="1"/>
  <c r="AE159" i="1"/>
  <c r="AF159" i="1"/>
  <c r="K160" i="1"/>
  <c r="L160" i="1"/>
  <c r="M160" i="1"/>
  <c r="V160" i="1"/>
  <c r="Y160" i="1"/>
  <c r="Z160" i="1"/>
  <c r="AB160" i="1"/>
  <c r="AC160" i="1"/>
  <c r="AD160" i="1"/>
  <c r="AG160" i="1" s="1"/>
  <c r="AE160" i="1"/>
  <c r="AF160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K217" i="1"/>
  <c r="L217" i="1"/>
  <c r="M217" i="1"/>
  <c r="N217" i="1" s="1"/>
  <c r="T217" i="1"/>
  <c r="V217" i="1"/>
  <c r="Y217" i="1"/>
  <c r="Z217" i="1"/>
  <c r="AB217" i="1"/>
  <c r="AC217" i="1"/>
  <c r="AD217" i="1"/>
  <c r="AE217" i="1"/>
  <c r="AF217" i="1"/>
  <c r="K218" i="1"/>
  <c r="L218" i="1"/>
  <c r="M218" i="1"/>
  <c r="N218" i="1" s="1"/>
  <c r="V218" i="1"/>
  <c r="Y218" i="1"/>
  <c r="Z218" i="1"/>
  <c r="AB218" i="1"/>
  <c r="AC218" i="1"/>
  <c r="AD218" i="1"/>
  <c r="AE218" i="1"/>
  <c r="AF21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K222" i="1"/>
  <c r="L222" i="1"/>
  <c r="M222" i="1"/>
  <c r="N222" i="1" s="1"/>
  <c r="V222" i="1"/>
  <c r="S33" i="3" s="1"/>
  <c r="Y222" i="1"/>
  <c r="Z222" i="1"/>
  <c r="AB222" i="1"/>
  <c r="AC222" i="1"/>
  <c r="AD222" i="1"/>
  <c r="AG222" i="1" s="1"/>
  <c r="AE222" i="1"/>
  <c r="R33" i="3" s="1"/>
  <c r="AF222" i="1"/>
  <c r="K223" i="1"/>
  <c r="L223" i="1"/>
  <c r="M223" i="1"/>
  <c r="N223" i="1" s="1"/>
  <c r="V223" i="1"/>
  <c r="Y223" i="1"/>
  <c r="Z223" i="1"/>
  <c r="AB223" i="1"/>
  <c r="AC223" i="1"/>
  <c r="AD223" i="1"/>
  <c r="AG223" i="1" s="1"/>
  <c r="AE223" i="1"/>
  <c r="AF223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K231" i="1"/>
  <c r="L231" i="1"/>
  <c r="M231" i="1"/>
  <c r="N231" i="1" s="1"/>
  <c r="V231" i="1"/>
  <c r="Y231" i="1"/>
  <c r="Z231" i="1"/>
  <c r="AB231" i="1"/>
  <c r="AC231" i="1"/>
  <c r="AD231" i="1"/>
  <c r="AG231" i="1" s="1"/>
  <c r="AE231" i="1"/>
  <c r="AF231" i="1"/>
  <c r="K232" i="1"/>
  <c r="L232" i="1"/>
  <c r="M232" i="1"/>
  <c r="N232" i="1" s="1"/>
  <c r="V232" i="1"/>
  <c r="Y232" i="1"/>
  <c r="Z232" i="1"/>
  <c r="AB232" i="1"/>
  <c r="AC232" i="1"/>
  <c r="AD232" i="1"/>
  <c r="AG232" i="1" s="1"/>
  <c r="AE232" i="1"/>
  <c r="AF232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K234" i="1"/>
  <c r="L234" i="1"/>
  <c r="M234" i="1"/>
  <c r="N234" i="1" s="1"/>
  <c r="V234" i="1"/>
  <c r="S37" i="3" s="1"/>
  <c r="Y234" i="1"/>
  <c r="Z234" i="1"/>
  <c r="AB234" i="1"/>
  <c r="AC234" i="1"/>
  <c r="AD234" i="1"/>
  <c r="AG234" i="1" s="1"/>
  <c r="AE234" i="1"/>
  <c r="R37" i="3" s="1"/>
  <c r="AF234" i="1"/>
  <c r="K235" i="1"/>
  <c r="L235" i="1"/>
  <c r="M235" i="1"/>
  <c r="N235" i="1" s="1"/>
  <c r="V235" i="1"/>
  <c r="Y235" i="1"/>
  <c r="Z235" i="1"/>
  <c r="AB235" i="1"/>
  <c r="AC235" i="1"/>
  <c r="AD235" i="1"/>
  <c r="AG235" i="1" s="1"/>
  <c r="AE235" i="1"/>
  <c r="AF235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K237" i="1"/>
  <c r="L237" i="1"/>
  <c r="M237" i="1"/>
  <c r="N237" i="1" s="1"/>
  <c r="V237" i="1"/>
  <c r="Y237" i="1"/>
  <c r="Z237" i="1"/>
  <c r="AB237" i="1"/>
  <c r="AC237" i="1"/>
  <c r="AD237" i="1"/>
  <c r="AE237" i="1"/>
  <c r="AF237" i="1"/>
  <c r="K238" i="1"/>
  <c r="L238" i="1"/>
  <c r="M238" i="1"/>
  <c r="N238" i="1" s="1"/>
  <c r="V238" i="1"/>
  <c r="Y238" i="1"/>
  <c r="Z238" i="1"/>
  <c r="AB238" i="1"/>
  <c r="AC238" i="1"/>
  <c r="AD238" i="1"/>
  <c r="T238" i="1" s="1"/>
  <c r="AE238" i="1"/>
  <c r="AF238" i="1"/>
  <c r="K239" i="1"/>
  <c r="L239" i="1"/>
  <c r="M239" i="1"/>
  <c r="N239" i="1" s="1"/>
  <c r="V239" i="1"/>
  <c r="S34" i="3" s="1"/>
  <c r="Y239" i="1"/>
  <c r="Z239" i="1"/>
  <c r="AB239" i="1"/>
  <c r="AC239" i="1"/>
  <c r="AD239" i="1"/>
  <c r="AG239" i="1" s="1"/>
  <c r="AE239" i="1"/>
  <c r="R34" i="3" s="1"/>
  <c r="AF239" i="1"/>
  <c r="K240" i="1"/>
  <c r="L240" i="1"/>
  <c r="M240" i="1"/>
  <c r="N240" i="1" s="1"/>
  <c r="V240" i="1"/>
  <c r="S32" i="3" s="1"/>
  <c r="Y240" i="1"/>
  <c r="Z240" i="1"/>
  <c r="AB240" i="1"/>
  <c r="AC240" i="1"/>
  <c r="AD240" i="1"/>
  <c r="AE240" i="1"/>
  <c r="R32" i="3" s="1"/>
  <c r="AF240" i="1"/>
  <c r="K241" i="1"/>
  <c r="L241" i="1"/>
  <c r="M241" i="1"/>
  <c r="N241" i="1" s="1"/>
  <c r="V241" i="1"/>
  <c r="Y241" i="1"/>
  <c r="Z241" i="1"/>
  <c r="AB241" i="1"/>
  <c r="AC241" i="1"/>
  <c r="AD241" i="1"/>
  <c r="AE241" i="1"/>
  <c r="AF241" i="1"/>
  <c r="K242" i="1"/>
  <c r="L242" i="1"/>
  <c r="M242" i="1"/>
  <c r="N242" i="1" s="1"/>
  <c r="V242" i="1"/>
  <c r="Y242" i="1"/>
  <c r="Z242" i="1"/>
  <c r="AB242" i="1"/>
  <c r="AC242" i="1"/>
  <c r="AD242" i="1"/>
  <c r="AG242" i="1" s="1"/>
  <c r="AE242" i="1"/>
  <c r="AF242" i="1"/>
  <c r="K243" i="1"/>
  <c r="L243" i="1"/>
  <c r="M243" i="1"/>
  <c r="N243" i="1" s="1"/>
  <c r="V243" i="1"/>
  <c r="Y243" i="1"/>
  <c r="Z243" i="1"/>
  <c r="AB243" i="1"/>
  <c r="AC243" i="1"/>
  <c r="AD243" i="1"/>
  <c r="AG243" i="1" s="1"/>
  <c r="AE243" i="1"/>
  <c r="AF243" i="1"/>
  <c r="K244" i="1"/>
  <c r="L244" i="1"/>
  <c r="M244" i="1"/>
  <c r="N244" i="1" s="1"/>
  <c r="V244" i="1"/>
  <c r="Y244" i="1"/>
  <c r="Z244" i="1"/>
  <c r="AB244" i="1"/>
  <c r="AC244" i="1"/>
  <c r="AD244" i="1"/>
  <c r="AG244" i="1" s="1"/>
  <c r="AE244" i="1"/>
  <c r="AF244" i="1"/>
  <c r="K245" i="1"/>
  <c r="L245" i="1"/>
  <c r="M245" i="1"/>
  <c r="N245" i="1" s="1"/>
  <c r="V245" i="1"/>
  <c r="Y245" i="1"/>
  <c r="Z245" i="1"/>
  <c r="AB245" i="1"/>
  <c r="AC245" i="1"/>
  <c r="AD245" i="1"/>
  <c r="AE245" i="1"/>
  <c r="AF245" i="1"/>
  <c r="K246" i="1"/>
  <c r="L246" i="1"/>
  <c r="M246" i="1"/>
  <c r="N246" i="1" s="1"/>
  <c r="V246" i="1"/>
  <c r="S35" i="3" s="1"/>
  <c r="Y246" i="1"/>
  <c r="Z246" i="1"/>
  <c r="AB246" i="1"/>
  <c r="AC246" i="1"/>
  <c r="AD246" i="1"/>
  <c r="T246" i="1" s="1"/>
  <c r="AE246" i="1"/>
  <c r="R35" i="3" s="1"/>
  <c r="AF246" i="1"/>
  <c r="K247" i="1"/>
  <c r="L247" i="1"/>
  <c r="M247" i="1"/>
  <c r="N247" i="1" s="1"/>
  <c r="V247" i="1"/>
  <c r="Y247" i="1"/>
  <c r="Z247" i="1"/>
  <c r="AB247" i="1"/>
  <c r="AC247" i="1"/>
  <c r="AD247" i="1"/>
  <c r="AE247" i="1"/>
  <c r="AF247" i="1"/>
  <c r="K248" i="1"/>
  <c r="L248" i="1"/>
  <c r="M248" i="1"/>
  <c r="N248" i="1" s="1"/>
  <c r="V248" i="1"/>
  <c r="S36" i="3" s="1"/>
  <c r="Y248" i="1"/>
  <c r="Z248" i="1"/>
  <c r="AB248" i="1"/>
  <c r="AC248" i="1"/>
  <c r="AD248" i="1"/>
  <c r="AG248" i="1" s="1"/>
  <c r="AE248" i="1"/>
  <c r="R36" i="3" s="1"/>
  <c r="AF248" i="1"/>
  <c r="K249" i="1"/>
  <c r="L249" i="1"/>
  <c r="M249" i="1"/>
  <c r="N249" i="1" s="1"/>
  <c r="V249" i="1"/>
  <c r="S40" i="3" s="1"/>
  <c r="Y249" i="1"/>
  <c r="Z249" i="1"/>
  <c r="AB249" i="1"/>
  <c r="AC249" i="1"/>
  <c r="AD249" i="1"/>
  <c r="T249" i="1" s="1"/>
  <c r="AE249" i="1"/>
  <c r="R40" i="3" s="1"/>
  <c r="AF249" i="1"/>
  <c r="K250" i="1"/>
  <c r="L250" i="1"/>
  <c r="M250" i="1"/>
  <c r="N250" i="1" s="1"/>
  <c r="V250" i="1"/>
  <c r="S38" i="3" s="1"/>
  <c r="Y250" i="1"/>
  <c r="Z250" i="1"/>
  <c r="AB250" i="1"/>
  <c r="AC250" i="1"/>
  <c r="AD250" i="1"/>
  <c r="AG250" i="1" s="1"/>
  <c r="AE250" i="1"/>
  <c r="R38" i="3" s="1"/>
  <c r="AF250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K167" i="1"/>
  <c r="L167" i="1"/>
  <c r="M167" i="1"/>
  <c r="N167" i="1" s="1"/>
  <c r="V167" i="1"/>
  <c r="S28" i="3" s="1"/>
  <c r="Y167" i="1"/>
  <c r="Z167" i="1"/>
  <c r="AB167" i="1"/>
  <c r="AC167" i="1"/>
  <c r="AD167" i="1"/>
  <c r="AE167" i="1"/>
  <c r="R28" i="3" s="1"/>
  <c r="AF167" i="1"/>
  <c r="K168" i="1"/>
  <c r="L168" i="1"/>
  <c r="M168" i="1"/>
  <c r="N168" i="1" s="1"/>
  <c r="V168" i="1"/>
  <c r="Y168" i="1"/>
  <c r="Z168" i="1"/>
  <c r="AB168" i="1"/>
  <c r="AC168" i="1"/>
  <c r="AD168" i="1"/>
  <c r="AG168" i="1" s="1"/>
  <c r="AE168" i="1"/>
  <c r="AF168" i="1"/>
  <c r="K169" i="1"/>
  <c r="L169" i="1"/>
  <c r="M169" i="1"/>
  <c r="N169" i="1" s="1"/>
  <c r="V169" i="1"/>
  <c r="Y169" i="1"/>
  <c r="Z169" i="1"/>
  <c r="AB169" i="1"/>
  <c r="AC169" i="1"/>
  <c r="AD169" i="1"/>
  <c r="T169" i="1" s="1"/>
  <c r="AE169" i="1"/>
  <c r="AF169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K176" i="1"/>
  <c r="L176" i="1"/>
  <c r="M176" i="1"/>
  <c r="N176" i="1" s="1"/>
  <c r="V176" i="1"/>
  <c r="S24" i="3" s="1"/>
  <c r="Y176" i="1"/>
  <c r="Z176" i="1"/>
  <c r="AB176" i="1"/>
  <c r="AC176" i="1"/>
  <c r="AD176" i="1"/>
  <c r="AG176" i="1" s="1"/>
  <c r="AE176" i="1"/>
  <c r="R24" i="3" s="1"/>
  <c r="AF176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K181" i="1"/>
  <c r="L181" i="1"/>
  <c r="M181" i="1"/>
  <c r="N181" i="1" s="1"/>
  <c r="V181" i="1"/>
  <c r="S27" i="3" s="1"/>
  <c r="Y181" i="1"/>
  <c r="Z181" i="1"/>
  <c r="AB181" i="1"/>
  <c r="AC181" i="1"/>
  <c r="AD181" i="1"/>
  <c r="AE181" i="1"/>
  <c r="R27" i="3" s="1"/>
  <c r="AF181" i="1"/>
  <c r="K182" i="1"/>
  <c r="L182" i="1"/>
  <c r="M182" i="1"/>
  <c r="N182" i="1" s="1"/>
  <c r="V182" i="1"/>
  <c r="S25" i="3" s="1"/>
  <c r="Y182" i="1"/>
  <c r="Z182" i="1"/>
  <c r="AB182" i="1"/>
  <c r="AC182" i="1"/>
  <c r="AD182" i="1"/>
  <c r="T182" i="1" s="1"/>
  <c r="AE182" i="1"/>
  <c r="R25" i="3" s="1"/>
  <c r="AF182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K184" i="1"/>
  <c r="L184" i="1"/>
  <c r="M184" i="1"/>
  <c r="N184" i="1" s="1"/>
  <c r="V184" i="1"/>
  <c r="S29" i="3" s="1"/>
  <c r="Y184" i="1"/>
  <c r="Z184" i="1"/>
  <c r="AB184" i="1"/>
  <c r="AC184" i="1"/>
  <c r="AD184" i="1"/>
  <c r="AG184" i="1" s="1"/>
  <c r="AE184" i="1"/>
  <c r="R29" i="3" s="1"/>
  <c r="AF184" i="1"/>
  <c r="K185" i="1"/>
  <c r="L185" i="1"/>
  <c r="M185" i="1"/>
  <c r="N185" i="1" s="1"/>
  <c r="V185" i="1"/>
  <c r="S26" i="3" s="1"/>
  <c r="Y185" i="1"/>
  <c r="Z185" i="1"/>
  <c r="AB185" i="1"/>
  <c r="AC185" i="1"/>
  <c r="AD185" i="1"/>
  <c r="AG185" i="1" s="1"/>
  <c r="AE185" i="1"/>
  <c r="R26" i="3" s="1"/>
  <c r="AF185" i="1"/>
  <c r="K186" i="1"/>
  <c r="L186" i="1"/>
  <c r="M186" i="1"/>
  <c r="N186" i="1" s="1"/>
  <c r="V186" i="1"/>
  <c r="S30" i="3" s="1"/>
  <c r="Y186" i="1"/>
  <c r="Z186" i="1"/>
  <c r="AB186" i="1"/>
  <c r="AC186" i="1"/>
  <c r="AD186" i="1"/>
  <c r="T186" i="1" s="1"/>
  <c r="AE186" i="1"/>
  <c r="R30" i="3" s="1"/>
  <c r="AF186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K195" i="1"/>
  <c r="L195" i="1"/>
  <c r="M195" i="1"/>
  <c r="N195" i="1" s="1"/>
  <c r="V195" i="1"/>
  <c r="Y195" i="1"/>
  <c r="Z195" i="1"/>
  <c r="AA195" i="1" s="1"/>
  <c r="AB195" i="1"/>
  <c r="AC195" i="1"/>
  <c r="AD195" i="1"/>
  <c r="T195" i="1" s="1"/>
  <c r="AE195" i="1"/>
  <c r="AF195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K202" i="1"/>
  <c r="L202" i="1"/>
  <c r="M202" i="1"/>
  <c r="N202" i="1" s="1"/>
  <c r="V202" i="1"/>
  <c r="S23" i="3" s="1"/>
  <c r="Y202" i="1"/>
  <c r="Z202" i="1"/>
  <c r="AB202" i="1"/>
  <c r="AC202" i="1"/>
  <c r="AD202" i="1"/>
  <c r="T202" i="1" s="1"/>
  <c r="AE202" i="1"/>
  <c r="R23" i="3" s="1"/>
  <c r="AF202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K226" i="1"/>
  <c r="L226" i="1"/>
  <c r="M226" i="1"/>
  <c r="N226" i="1" s="1"/>
  <c r="V226" i="1"/>
  <c r="Y226" i="1"/>
  <c r="Z226" i="1"/>
  <c r="AB226" i="1"/>
  <c r="AC226" i="1"/>
  <c r="AD226" i="1"/>
  <c r="T226" i="1" s="1"/>
  <c r="AE226" i="1"/>
  <c r="AF226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K229" i="1"/>
  <c r="L229" i="1"/>
  <c r="M229" i="1"/>
  <c r="N229" i="1" s="1"/>
  <c r="V229" i="1"/>
  <c r="Y229" i="1"/>
  <c r="Z229" i="1"/>
  <c r="AB229" i="1"/>
  <c r="AC229" i="1"/>
  <c r="AD229" i="1"/>
  <c r="AG229" i="1" s="1"/>
  <c r="AE229" i="1"/>
  <c r="AF229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K251" i="1"/>
  <c r="L251" i="1"/>
  <c r="M251" i="1"/>
  <c r="N251" i="1" s="1"/>
  <c r="V251" i="1"/>
  <c r="Y251" i="1"/>
  <c r="Z251" i="1"/>
  <c r="AB251" i="1"/>
  <c r="AC251" i="1"/>
  <c r="AD251" i="1"/>
  <c r="T251" i="1" s="1"/>
  <c r="AE251" i="1"/>
  <c r="AF251" i="1"/>
  <c r="X193" i="1" l="1"/>
  <c r="AI92" i="1"/>
  <c r="AI68" i="1"/>
  <c r="AA47" i="1"/>
  <c r="AA34" i="1"/>
  <c r="P159" i="1"/>
  <c r="AA85" i="1"/>
  <c r="W85" i="1" s="1"/>
  <c r="AI65" i="1"/>
  <c r="AG147" i="1"/>
  <c r="U147" i="1" s="1"/>
  <c r="S147" i="1" s="1"/>
  <c r="AI121" i="1"/>
  <c r="AA121" i="1"/>
  <c r="W121" i="1" s="1"/>
  <c r="AI162" i="1"/>
  <c r="AA110" i="1"/>
  <c r="P104" i="1"/>
  <c r="AI76" i="1"/>
  <c r="X194" i="1"/>
  <c r="P42" i="1"/>
  <c r="AA112" i="1"/>
  <c r="AA93" i="1"/>
  <c r="W93" i="1" s="1"/>
  <c r="P34" i="1"/>
  <c r="X192" i="1"/>
  <c r="X191" i="1"/>
  <c r="AA162" i="1"/>
  <c r="W162" i="1" s="1"/>
  <c r="AA154" i="1"/>
  <c r="AA124" i="1"/>
  <c r="AA120" i="1"/>
  <c r="AG110" i="1"/>
  <c r="AI110" i="1" s="1"/>
  <c r="AA92" i="1"/>
  <c r="AA79" i="1"/>
  <c r="AA66" i="1"/>
  <c r="AG182" i="1"/>
  <c r="AI182" i="1" s="1"/>
  <c r="X234" i="1"/>
  <c r="AA160" i="1"/>
  <c r="W160" i="1" s="1"/>
  <c r="AI146" i="1"/>
  <c r="AA146" i="1"/>
  <c r="W146" i="1" s="1"/>
  <c r="AG140" i="1"/>
  <c r="X140" i="1"/>
  <c r="AA137" i="1"/>
  <c r="W137" i="1" s="1"/>
  <c r="AA133" i="1"/>
  <c r="AG123" i="1"/>
  <c r="X123" i="1"/>
  <c r="AG120" i="1"/>
  <c r="AI120" i="1" s="1"/>
  <c r="AG115" i="1"/>
  <c r="U115" i="1" s="1"/>
  <c r="S115" i="1" s="1"/>
  <c r="X115" i="1"/>
  <c r="AG87" i="1"/>
  <c r="U87" i="1" s="1"/>
  <c r="S87" i="1" s="1"/>
  <c r="X87" i="1"/>
  <c r="AA83" i="1"/>
  <c r="X42" i="1"/>
  <c r="AA42" i="1"/>
  <c r="AA191" i="1"/>
  <c r="AA179" i="1"/>
  <c r="AA55" i="1"/>
  <c r="T15" i="1"/>
  <c r="Y33" i="3"/>
  <c r="S13" i="3"/>
  <c r="AC22" i="3"/>
  <c r="Y8" i="3"/>
  <c r="Y18" i="3"/>
  <c r="Y29" i="3"/>
  <c r="Y9" i="3"/>
  <c r="Y13" i="3"/>
  <c r="Y16" i="3"/>
  <c r="AC39" i="3"/>
  <c r="Y37" i="3"/>
  <c r="Y39" i="3"/>
  <c r="Y30" i="3"/>
  <c r="Y32" i="3"/>
  <c r="Y17" i="3"/>
  <c r="AI210" i="1"/>
  <c r="AI159" i="1"/>
  <c r="AG128" i="1"/>
  <c r="AI128" i="1" s="1"/>
  <c r="AA77" i="1"/>
  <c r="AI61" i="1"/>
  <c r="AA60" i="1"/>
  <c r="AA37" i="1"/>
  <c r="AA184" i="1"/>
  <c r="AI176" i="1"/>
  <c r="AA172" i="1"/>
  <c r="AA171" i="1"/>
  <c r="X167" i="1"/>
  <c r="AA163" i="1"/>
  <c r="X247" i="1"/>
  <c r="AA240" i="1"/>
  <c r="AA234" i="1"/>
  <c r="X233" i="1"/>
  <c r="AG221" i="1"/>
  <c r="AI221" i="1" s="1"/>
  <c r="AG150" i="1"/>
  <c r="U150" i="1" s="1"/>
  <c r="S150" i="1" s="1"/>
  <c r="AI129" i="1"/>
  <c r="AI114" i="1"/>
  <c r="AG102" i="1"/>
  <c r="X102" i="1"/>
  <c r="AG71" i="1"/>
  <c r="AA69" i="1"/>
  <c r="T59" i="1"/>
  <c r="AA57" i="1"/>
  <c r="W57" i="1" s="1"/>
  <c r="AA52" i="1"/>
  <c r="AA48" i="1"/>
  <c r="W48" i="1" s="1"/>
  <c r="AA44" i="1"/>
  <c r="AI43" i="1"/>
  <c r="AG22" i="1"/>
  <c r="R39" i="3"/>
  <c r="AA205" i="1"/>
  <c r="AA201" i="1"/>
  <c r="AA197" i="1"/>
  <c r="AA225" i="1"/>
  <c r="AA76" i="1"/>
  <c r="W76" i="1" s="1"/>
  <c r="W39" i="1"/>
  <c r="AA32" i="1"/>
  <c r="AA194" i="1"/>
  <c r="AA165" i="1"/>
  <c r="X221" i="1"/>
  <c r="AA214" i="1"/>
  <c r="W214" i="1" s="1"/>
  <c r="AA153" i="1"/>
  <c r="X147" i="1"/>
  <c r="AA136" i="1"/>
  <c r="AA106" i="1"/>
  <c r="AI100" i="1"/>
  <c r="AA94" i="1"/>
  <c r="AA81" i="1"/>
  <c r="W81" i="1" s="1"/>
  <c r="AA56" i="1"/>
  <c r="W56" i="1" s="1"/>
  <c r="AA50" i="1"/>
  <c r="AA35" i="1"/>
  <c r="W35" i="1" s="1"/>
  <c r="AA17" i="1"/>
  <c r="AA14" i="1"/>
  <c r="S39" i="3"/>
  <c r="R11" i="3"/>
  <c r="R17" i="3"/>
  <c r="X209" i="1"/>
  <c r="AA202" i="1"/>
  <c r="X201" i="1"/>
  <c r="AA187" i="1"/>
  <c r="AA183" i="1"/>
  <c r="AA182" i="1"/>
  <c r="W182" i="1" s="1"/>
  <c r="AA180" i="1"/>
  <c r="W180" i="1" s="1"/>
  <c r="X179" i="1"/>
  <c r="X175" i="1"/>
  <c r="AA167" i="1"/>
  <c r="AA250" i="1"/>
  <c r="W250" i="1" s="1"/>
  <c r="AA232" i="1"/>
  <c r="W232" i="1" s="1"/>
  <c r="AA231" i="1"/>
  <c r="W231" i="1" s="1"/>
  <c r="AA218" i="1"/>
  <c r="W218" i="1" s="1"/>
  <c r="AG213" i="1"/>
  <c r="AI213" i="1" s="1"/>
  <c r="X213" i="1"/>
  <c r="AA210" i="1"/>
  <c r="W210" i="1" s="1"/>
  <c r="T162" i="1"/>
  <c r="U162" i="1" s="1"/>
  <c r="S162" i="1" s="1"/>
  <c r="AA155" i="1"/>
  <c r="W155" i="1" s="1"/>
  <c r="AA147" i="1"/>
  <c r="AA134" i="1"/>
  <c r="W134" i="1" s="1"/>
  <c r="AG106" i="1"/>
  <c r="U106" i="1" s="1"/>
  <c r="S106" i="1" s="1"/>
  <c r="X95" i="1"/>
  <c r="AA95" i="1"/>
  <c r="AA65" i="1"/>
  <c r="W65" i="1" s="1"/>
  <c r="AA64" i="1"/>
  <c r="W64" i="1" s="1"/>
  <c r="AA46" i="1"/>
  <c r="X34" i="1"/>
  <c r="T31" i="1"/>
  <c r="U31" i="1" s="1"/>
  <c r="S31" i="1" s="1"/>
  <c r="AA15" i="1"/>
  <c r="W15" i="1" s="1"/>
  <c r="AG14" i="1"/>
  <c r="U14" i="1" s="1"/>
  <c r="S15" i="3"/>
  <c r="AA203" i="1"/>
  <c r="AG196" i="1"/>
  <c r="AI196" i="1" s="1"/>
  <c r="X196" i="1"/>
  <c r="AA193" i="1"/>
  <c r="W184" i="1"/>
  <c r="AA177" i="1"/>
  <c r="AA168" i="1"/>
  <c r="AA235" i="1"/>
  <c r="W235" i="1" s="1"/>
  <c r="AA233" i="1"/>
  <c r="AA145" i="1"/>
  <c r="W145" i="1" s="1"/>
  <c r="AI141" i="1"/>
  <c r="AA126" i="1"/>
  <c r="AI102" i="1"/>
  <c r="T100" i="1"/>
  <c r="U100" i="1" s="1"/>
  <c r="S100" i="1" s="1"/>
  <c r="AA86" i="1"/>
  <c r="AA84" i="1"/>
  <c r="T75" i="1"/>
  <c r="U75" i="1" s="1"/>
  <c r="S75" i="1" s="1"/>
  <c r="AA68" i="1"/>
  <c r="W68" i="1" s="1"/>
  <c r="AA67" i="1"/>
  <c r="AA62" i="1"/>
  <c r="AA31" i="1"/>
  <c r="W31" i="1" s="1"/>
  <c r="AA28" i="1"/>
  <c r="AA25" i="1"/>
  <c r="AA24" i="1"/>
  <c r="AA16" i="1"/>
  <c r="Y12" i="3"/>
  <c r="Y14" i="3"/>
  <c r="Y25" i="3"/>
  <c r="Y22" i="3"/>
  <c r="Y23" i="3"/>
  <c r="Y27" i="3"/>
  <c r="Y24" i="3"/>
  <c r="Y15" i="3"/>
  <c r="Y36" i="3"/>
  <c r="AC33" i="3"/>
  <c r="Y40" i="3"/>
  <c r="AC37" i="3"/>
  <c r="Y35" i="3"/>
  <c r="AC9" i="3"/>
  <c r="Y34" i="3"/>
  <c r="AC11" i="3"/>
  <c r="Y20" i="3"/>
  <c r="AC19" i="3"/>
  <c r="Y38" i="3"/>
  <c r="Y26" i="3"/>
  <c r="Y21" i="3"/>
  <c r="Y10" i="3"/>
  <c r="T12" i="3"/>
  <c r="T36" i="3"/>
  <c r="T7" i="3"/>
  <c r="T29" i="3"/>
  <c r="T32" i="3"/>
  <c r="T13" i="3"/>
  <c r="T17" i="3"/>
  <c r="T28" i="3"/>
  <c r="T78" i="1"/>
  <c r="X78" i="1"/>
  <c r="AG78" i="1"/>
  <c r="AG251" i="1"/>
  <c r="AI251" i="1" s="1"/>
  <c r="X229" i="1"/>
  <c r="AG199" i="1"/>
  <c r="AG207" i="1"/>
  <c r="U207" i="1" s="1"/>
  <c r="S207" i="1" s="1"/>
  <c r="AG197" i="1"/>
  <c r="AI197" i="1" s="1"/>
  <c r="X197" i="1"/>
  <c r="AG195" i="1"/>
  <c r="W195" i="1" s="1"/>
  <c r="AI214" i="1"/>
  <c r="AG170" i="1"/>
  <c r="AA251" i="1"/>
  <c r="AA230" i="1"/>
  <c r="AA229" i="1"/>
  <c r="W229" i="1" s="1"/>
  <c r="AG228" i="1"/>
  <c r="X228" i="1"/>
  <c r="AA227" i="1"/>
  <c r="AA226" i="1"/>
  <c r="AA209" i="1"/>
  <c r="AG205" i="1"/>
  <c r="AI205" i="1" s="1"/>
  <c r="X205" i="1"/>
  <c r="AG203" i="1"/>
  <c r="U203" i="1" s="1"/>
  <c r="S203" i="1" s="1"/>
  <c r="AG190" i="1"/>
  <c r="X190" i="1"/>
  <c r="AA189" i="1"/>
  <c r="W189" i="1" s="1"/>
  <c r="AG186" i="1"/>
  <c r="AI186" i="1" s="1"/>
  <c r="W172" i="1"/>
  <c r="T250" i="1"/>
  <c r="U250" i="1" s="1"/>
  <c r="S250" i="1" s="1"/>
  <c r="AA238" i="1"/>
  <c r="T237" i="1"/>
  <c r="U237" i="1" s="1"/>
  <c r="S237" i="1" s="1"/>
  <c r="AG237" i="1"/>
  <c r="AI237" i="1" s="1"/>
  <c r="AA223" i="1"/>
  <c r="W223" i="1" s="1"/>
  <c r="AA222" i="1"/>
  <c r="W222" i="1" s="1"/>
  <c r="AA219" i="1"/>
  <c r="AG218" i="1"/>
  <c r="AI218" i="1" s="1"/>
  <c r="T218" i="1"/>
  <c r="X212" i="1"/>
  <c r="AA211" i="1"/>
  <c r="W211" i="1" s="1"/>
  <c r="AA151" i="1"/>
  <c r="AG148" i="1"/>
  <c r="AI148" i="1" s="1"/>
  <c r="X148" i="1"/>
  <c r="AG125" i="1"/>
  <c r="AI125" i="1" s="1"/>
  <c r="X125" i="1"/>
  <c r="AA53" i="1"/>
  <c r="W53" i="1" s="1"/>
  <c r="AI53" i="1"/>
  <c r="T38" i="1"/>
  <c r="X38" i="1"/>
  <c r="AG38" i="1"/>
  <c r="AI38" i="1" s="1"/>
  <c r="AG23" i="1"/>
  <c r="AI23" i="1" s="1"/>
  <c r="X23" i="1"/>
  <c r="T23" i="1"/>
  <c r="T108" i="1"/>
  <c r="AG108" i="1"/>
  <c r="AG67" i="1"/>
  <c r="T67" i="1"/>
  <c r="X163" i="1"/>
  <c r="AG152" i="1"/>
  <c r="AI152" i="1" s="1"/>
  <c r="X151" i="1"/>
  <c r="AI137" i="1"/>
  <c r="T136" i="1"/>
  <c r="AG136" i="1"/>
  <c r="T124" i="1"/>
  <c r="AG124" i="1"/>
  <c r="AI124" i="1" s="1"/>
  <c r="X124" i="1"/>
  <c r="AG51" i="1"/>
  <c r="AI51" i="1" s="1"/>
  <c r="X52" i="1"/>
  <c r="AI35" i="1"/>
  <c r="W197" i="1"/>
  <c r="T171" i="1"/>
  <c r="X171" i="1"/>
  <c r="AG171" i="1"/>
  <c r="AI171" i="1" s="1"/>
  <c r="T139" i="1"/>
  <c r="X139" i="1"/>
  <c r="AG139" i="1"/>
  <c r="AI139" i="1" s="1"/>
  <c r="AG72" i="1"/>
  <c r="AI72" i="1" s="1"/>
  <c r="X72" i="1"/>
  <c r="AG227" i="1"/>
  <c r="AI227" i="1" s="1"/>
  <c r="AG204" i="1"/>
  <c r="U204" i="1" s="1"/>
  <c r="S204" i="1" s="1"/>
  <c r="X204" i="1"/>
  <c r="AG191" i="1"/>
  <c r="AI191" i="1" s="1"/>
  <c r="AG187" i="1"/>
  <c r="AI187" i="1" s="1"/>
  <c r="X187" i="1"/>
  <c r="AG163" i="1"/>
  <c r="AI163" i="1" s="1"/>
  <c r="X183" i="1"/>
  <c r="AA164" i="1"/>
  <c r="W164" i="1" s="1"/>
  <c r="T242" i="1"/>
  <c r="U242" i="1" s="1"/>
  <c r="S242" i="1" s="1"/>
  <c r="U221" i="1"/>
  <c r="S221" i="1" s="1"/>
  <c r="AA158" i="1"/>
  <c r="T156" i="1"/>
  <c r="AG156" i="1"/>
  <c r="X153" i="1"/>
  <c r="AI145" i="1"/>
  <c r="AA144" i="1"/>
  <c r="AI130" i="1"/>
  <c r="AI106" i="1"/>
  <c r="AG88" i="1"/>
  <c r="AI88" i="1" s="1"/>
  <c r="X88" i="1"/>
  <c r="AG84" i="1"/>
  <c r="AI84" i="1" s="1"/>
  <c r="T84" i="1"/>
  <c r="AG70" i="1"/>
  <c r="AI70" i="1" s="1"/>
  <c r="X71" i="1"/>
  <c r="AI57" i="1"/>
  <c r="T45" i="1"/>
  <c r="X45" i="1"/>
  <c r="AG45" i="1"/>
  <c r="AI45" i="1" s="1"/>
  <c r="T28" i="1"/>
  <c r="AG28" i="1"/>
  <c r="AI28" i="1" s="1"/>
  <c r="AG27" i="1"/>
  <c r="T27" i="1"/>
  <c r="AA123" i="1"/>
  <c r="W123" i="1" s="1"/>
  <c r="AA118" i="1"/>
  <c r="W118" i="1" s="1"/>
  <c r="W92" i="1"/>
  <c r="AA89" i="1"/>
  <c r="AA88" i="1"/>
  <c r="X79" i="1"/>
  <c r="AA78" i="1"/>
  <c r="AA72" i="1"/>
  <c r="AA51" i="1"/>
  <c r="X39" i="1"/>
  <c r="AA38" i="1"/>
  <c r="AA33" i="1"/>
  <c r="X31" i="1"/>
  <c r="T30" i="1"/>
  <c r="AA27" i="1"/>
  <c r="AA23" i="1"/>
  <c r="AG20" i="1"/>
  <c r="U20" i="1" s="1"/>
  <c r="S20" i="1" s="1"/>
  <c r="AA18" i="1"/>
  <c r="AA104" i="1"/>
  <c r="AA101" i="1"/>
  <c r="W101" i="1" s="1"/>
  <c r="AA75" i="1"/>
  <c r="W75" i="1" s="1"/>
  <c r="AA176" i="1"/>
  <c r="W176" i="1" s="1"/>
  <c r="AA175" i="1"/>
  <c r="AA173" i="1"/>
  <c r="AA170" i="1"/>
  <c r="W170" i="1" s="1"/>
  <c r="AA248" i="1"/>
  <c r="AA247" i="1"/>
  <c r="AA244" i="1"/>
  <c r="W244" i="1" s="1"/>
  <c r="X242" i="1"/>
  <c r="X224" i="1"/>
  <c r="X217" i="1"/>
  <c r="AA213" i="1"/>
  <c r="AA212" i="1"/>
  <c r="AA140" i="1"/>
  <c r="W140" i="1" s="1"/>
  <c r="AA138" i="1"/>
  <c r="AA129" i="1"/>
  <c r="W129" i="1" s="1"/>
  <c r="AA115" i="1"/>
  <c r="AA114" i="1"/>
  <c r="W114" i="1" s="1"/>
  <c r="AA109" i="1"/>
  <c r="AA102" i="1"/>
  <c r="W102" i="1" s="1"/>
  <c r="AA100" i="1"/>
  <c r="W100" i="1" s="1"/>
  <c r="AA99" i="1"/>
  <c r="AA97" i="1"/>
  <c r="AG94" i="1"/>
  <c r="U94" i="1" s="1"/>
  <c r="S94" i="1" s="1"/>
  <c r="X94" i="1"/>
  <c r="AG86" i="1"/>
  <c r="X86" i="1"/>
  <c r="AA73" i="1"/>
  <c r="AA61" i="1"/>
  <c r="W61" i="1" s="1"/>
  <c r="AA54" i="1"/>
  <c r="AG50" i="1"/>
  <c r="AA43" i="1"/>
  <c r="W43" i="1" s="1"/>
  <c r="AA36" i="1"/>
  <c r="AA20" i="1"/>
  <c r="AI183" i="1"/>
  <c r="AI160" i="1"/>
  <c r="W154" i="1"/>
  <c r="AI154" i="1"/>
  <c r="AI229" i="1"/>
  <c r="T201" i="1"/>
  <c r="W183" i="1"/>
  <c r="T179" i="1"/>
  <c r="T175" i="1"/>
  <c r="T167" i="1"/>
  <c r="T247" i="1"/>
  <c r="T235" i="1"/>
  <c r="X216" i="1"/>
  <c r="AI164" i="1"/>
  <c r="T154" i="1"/>
  <c r="U154" i="1" s="1"/>
  <c r="S154" i="1" s="1"/>
  <c r="AA142" i="1"/>
  <c r="X141" i="1"/>
  <c r="U140" i="1"/>
  <c r="S140" i="1" s="1"/>
  <c r="T129" i="1"/>
  <c r="AG113" i="1"/>
  <c r="AI113" i="1" s="1"/>
  <c r="X113" i="1"/>
  <c r="T113" i="1"/>
  <c r="T193" i="1"/>
  <c r="AA228" i="1"/>
  <c r="W228" i="1" s="1"/>
  <c r="AG209" i="1"/>
  <c r="W209" i="1" s="1"/>
  <c r="AG208" i="1"/>
  <c r="U208" i="1" s="1"/>
  <c r="S208" i="1" s="1"/>
  <c r="X208" i="1"/>
  <c r="AA204" i="1"/>
  <c r="AG201" i="1"/>
  <c r="AG200" i="1"/>
  <c r="U200" i="1" s="1"/>
  <c r="S200" i="1" s="1"/>
  <c r="X200" i="1"/>
  <c r="AA196" i="1"/>
  <c r="AG193" i="1"/>
  <c r="W193" i="1" s="1"/>
  <c r="AG192" i="1"/>
  <c r="U192" i="1" s="1"/>
  <c r="S192" i="1" s="1"/>
  <c r="T183" i="1"/>
  <c r="U183" i="1" s="1"/>
  <c r="S183" i="1" s="1"/>
  <c r="AA181" i="1"/>
  <c r="AG179" i="1"/>
  <c r="AI179" i="1" s="1"/>
  <c r="AG178" i="1"/>
  <c r="AI178" i="1" s="1"/>
  <c r="AG175" i="1"/>
  <c r="AI175" i="1" s="1"/>
  <c r="AG174" i="1"/>
  <c r="U174" i="1" s="1"/>
  <c r="S174" i="1" s="1"/>
  <c r="AG167" i="1"/>
  <c r="AG166" i="1"/>
  <c r="AI166" i="1" s="1"/>
  <c r="AG247" i="1"/>
  <c r="U247" i="1" s="1"/>
  <c r="S247" i="1" s="1"/>
  <c r="AG246" i="1"/>
  <c r="U246" i="1" s="1"/>
  <c r="S246" i="1" s="1"/>
  <c r="X245" i="1"/>
  <c r="AG241" i="1"/>
  <c r="AI241" i="1" s="1"/>
  <c r="X241" i="1"/>
  <c r="X239" i="1"/>
  <c r="AG238" i="1"/>
  <c r="X238" i="1"/>
  <c r="W234" i="1"/>
  <c r="AG225" i="1"/>
  <c r="W225" i="1" s="1"/>
  <c r="AA217" i="1"/>
  <c r="AG216" i="1"/>
  <c r="U216" i="1" s="1"/>
  <c r="S216" i="1" s="1"/>
  <c r="T214" i="1"/>
  <c r="U214" i="1" s="1"/>
  <c r="S214" i="1" s="1"/>
  <c r="AA159" i="1"/>
  <c r="W159" i="1" s="1"/>
  <c r="AG158" i="1"/>
  <c r="U158" i="1" s="1"/>
  <c r="S158" i="1" s="1"/>
  <c r="AA156" i="1"/>
  <c r="W156" i="1" s="1"/>
  <c r="X145" i="1"/>
  <c r="AG144" i="1"/>
  <c r="W144" i="1" s="1"/>
  <c r="AA125" i="1"/>
  <c r="X116" i="1"/>
  <c r="AG116" i="1"/>
  <c r="U116" i="1" s="1"/>
  <c r="S116" i="1" s="1"/>
  <c r="AA116" i="1"/>
  <c r="AG112" i="1"/>
  <c r="T112" i="1"/>
  <c r="T209" i="1"/>
  <c r="T229" i="1"/>
  <c r="U229" i="1" s="1"/>
  <c r="S229" i="1" s="1"/>
  <c r="AA207" i="1"/>
  <c r="AA206" i="1"/>
  <c r="AA199" i="1"/>
  <c r="AA198" i="1"/>
  <c r="AA188" i="1"/>
  <c r="AA169" i="1"/>
  <c r="AA249" i="1"/>
  <c r="AA242" i="1"/>
  <c r="W242" i="1" s="1"/>
  <c r="AA237" i="1"/>
  <c r="W237" i="1" s="1"/>
  <c r="AA236" i="1"/>
  <c r="X235" i="1"/>
  <c r="T234" i="1"/>
  <c r="U234" i="1" s="1"/>
  <c r="S234" i="1" s="1"/>
  <c r="AG220" i="1"/>
  <c r="AI220" i="1" s="1"/>
  <c r="X220" i="1"/>
  <c r="X218" i="1"/>
  <c r="AG217" i="1"/>
  <c r="AI217" i="1" s="1"/>
  <c r="AA150" i="1"/>
  <c r="W150" i="1" s="1"/>
  <c r="AA148" i="1"/>
  <c r="W148" i="1" s="1"/>
  <c r="AA141" i="1"/>
  <c r="W141" i="1" s="1"/>
  <c r="AI140" i="1"/>
  <c r="AA139" i="1"/>
  <c r="AA132" i="1"/>
  <c r="W132" i="1" s="1"/>
  <c r="AG131" i="1"/>
  <c r="U131" i="1" s="1"/>
  <c r="S131" i="1" s="1"/>
  <c r="X131" i="1"/>
  <c r="AA130" i="1"/>
  <c r="W130" i="1" s="1"/>
  <c r="X129" i="1"/>
  <c r="U120" i="1"/>
  <c r="S120" i="1" s="1"/>
  <c r="T111" i="1"/>
  <c r="X111" i="1"/>
  <c r="AA208" i="1"/>
  <c r="AA200" i="1"/>
  <c r="U197" i="1"/>
  <c r="S197" i="1" s="1"/>
  <c r="AA192" i="1"/>
  <c r="W192" i="1" s="1"/>
  <c r="U191" i="1"/>
  <c r="S191" i="1" s="1"/>
  <c r="AA178" i="1"/>
  <c r="AA174" i="1"/>
  <c r="AA166" i="1"/>
  <c r="AA246" i="1"/>
  <c r="AA243" i="1"/>
  <c r="W243" i="1" s="1"/>
  <c r="AA239" i="1"/>
  <c r="W239" i="1" s="1"/>
  <c r="T239" i="1"/>
  <c r="U239" i="1" s="1"/>
  <c r="S239" i="1" s="1"/>
  <c r="X237" i="1"/>
  <c r="AI180" i="1"/>
  <c r="AA221" i="1"/>
  <c r="W221" i="1" s="1"/>
  <c r="AA216" i="1"/>
  <c r="AA215" i="1"/>
  <c r="X214" i="1"/>
  <c r="X161" i="1"/>
  <c r="AG157" i="1"/>
  <c r="U157" i="1" s="1"/>
  <c r="S157" i="1" s="1"/>
  <c r="X157" i="1"/>
  <c r="AA152" i="1"/>
  <c r="AA149" i="1"/>
  <c r="T145" i="1"/>
  <c r="U145" i="1" s="1"/>
  <c r="S145" i="1" s="1"/>
  <c r="U132" i="1"/>
  <c r="S132" i="1" s="1"/>
  <c r="AA122" i="1"/>
  <c r="W122" i="1" s="1"/>
  <c r="T99" i="1"/>
  <c r="AG99" i="1"/>
  <c r="AI34" i="1"/>
  <c r="T42" i="1"/>
  <c r="W36" i="1"/>
  <c r="AA19" i="1"/>
  <c r="W19" i="1" s="1"/>
  <c r="T19" i="1"/>
  <c r="U19" i="1" s="1"/>
  <c r="S19" i="1" s="1"/>
  <c r="X15" i="1"/>
  <c r="AA113" i="1"/>
  <c r="AA108" i="1"/>
  <c r="AA107" i="1"/>
  <c r="AA105" i="1"/>
  <c r="W105" i="1" s="1"/>
  <c r="T105" i="1"/>
  <c r="T104" i="1"/>
  <c r="U104" i="1" s="1"/>
  <c r="S104" i="1" s="1"/>
  <c r="T95" i="1"/>
  <c r="X92" i="1"/>
  <c r="AG91" i="1"/>
  <c r="AG83" i="1"/>
  <c r="T79" i="1"/>
  <c r="T76" i="1"/>
  <c r="U76" i="1" s="1"/>
  <c r="S76" i="1" s="1"/>
  <c r="AA70" i="1"/>
  <c r="T68" i="1"/>
  <c r="U68" i="1" s="1"/>
  <c r="S68" i="1" s="1"/>
  <c r="X64" i="1"/>
  <c r="AG63" i="1"/>
  <c r="AI63" i="1" s="1"/>
  <c r="T60" i="1"/>
  <c r="X56" i="1"/>
  <c r="AG55" i="1"/>
  <c r="U55" i="1" s="1"/>
  <c r="AG46" i="1"/>
  <c r="U46" i="1" s="1"/>
  <c r="S46" i="1" s="1"/>
  <c r="X46" i="1"/>
  <c r="X43" i="1"/>
  <c r="AG42" i="1"/>
  <c r="AG41" i="1"/>
  <c r="U41" i="1" s="1"/>
  <c r="S41" i="1" s="1"/>
  <c r="W34" i="1"/>
  <c r="AA26" i="1"/>
  <c r="W104" i="1"/>
  <c r="T72" i="1"/>
  <c r="W67" i="1"/>
  <c r="AA59" i="1"/>
  <c r="AA58" i="1"/>
  <c r="AA45" i="1"/>
  <c r="X37" i="1"/>
  <c r="T34" i="1"/>
  <c r="U34" i="1" s="1"/>
  <c r="AG32" i="1"/>
  <c r="X27" i="1"/>
  <c r="AG26" i="1"/>
  <c r="AG24" i="1"/>
  <c r="X19" i="1"/>
  <c r="AG18" i="1"/>
  <c r="W18" i="1" s="1"/>
  <c r="AG16" i="1"/>
  <c r="T137" i="1"/>
  <c r="AA131" i="1"/>
  <c r="AA128" i="1"/>
  <c r="U123" i="1"/>
  <c r="S123" i="1" s="1"/>
  <c r="T121" i="1"/>
  <c r="AA117" i="1"/>
  <c r="AA111" i="1"/>
  <c r="X105" i="1"/>
  <c r="AA103" i="1"/>
  <c r="AA96" i="1"/>
  <c r="AG95" i="1"/>
  <c r="AI95" i="1" s="1"/>
  <c r="T92" i="1"/>
  <c r="U92" i="1" s="1"/>
  <c r="S92" i="1" s="1"/>
  <c r="AA80" i="1"/>
  <c r="AG79" i="1"/>
  <c r="U79" i="1" s="1"/>
  <c r="S79" i="1" s="1"/>
  <c r="X76" i="1"/>
  <c r="AA71" i="1"/>
  <c r="X68" i="1"/>
  <c r="X67" i="1"/>
  <c r="T64" i="1"/>
  <c r="U64" i="1" s="1"/>
  <c r="S64" i="1" s="1"/>
  <c r="X60" i="1"/>
  <c r="U59" i="1"/>
  <c r="T56" i="1"/>
  <c r="U56" i="1" s="1"/>
  <c r="S56" i="1" s="1"/>
  <c r="T43" i="1"/>
  <c r="U43" i="1" s="1"/>
  <c r="AA41" i="1"/>
  <c r="AA40" i="1"/>
  <c r="AA30" i="1"/>
  <c r="W30" i="1" s="1"/>
  <c r="AA29" i="1"/>
  <c r="AA22" i="1"/>
  <c r="W22" i="1" s="1"/>
  <c r="AA21" i="1"/>
  <c r="U228" i="1"/>
  <c r="S228" i="1" s="1"/>
  <c r="U196" i="1"/>
  <c r="S196" i="1" s="1"/>
  <c r="T189" i="1"/>
  <c r="X189" i="1"/>
  <c r="X186" i="1"/>
  <c r="T177" i="1"/>
  <c r="X177" i="1"/>
  <c r="AG177" i="1"/>
  <c r="X178" i="1"/>
  <c r="U199" i="1"/>
  <c r="S199" i="1" s="1"/>
  <c r="AI223" i="1"/>
  <c r="X251" i="1"/>
  <c r="AG230" i="1"/>
  <c r="AI248" i="1"/>
  <c r="X227" i="1"/>
  <c r="AG226" i="1"/>
  <c r="AI244" i="1"/>
  <c r="X207" i="1"/>
  <c r="AG206" i="1"/>
  <c r="AI206" i="1" s="1"/>
  <c r="X203" i="1"/>
  <c r="AG202" i="1"/>
  <c r="X199" i="1"/>
  <c r="AG198" i="1"/>
  <c r="AI198" i="1" s="1"/>
  <c r="AI232" i="1"/>
  <c r="X195" i="1"/>
  <c r="AG194" i="1"/>
  <c r="U189" i="1"/>
  <c r="S189" i="1" s="1"/>
  <c r="AA186" i="1"/>
  <c r="AA185" i="1"/>
  <c r="W185" i="1" s="1"/>
  <c r="T181" i="1"/>
  <c r="X181" i="1"/>
  <c r="AG181" i="1"/>
  <c r="X182" i="1"/>
  <c r="X230" i="1"/>
  <c r="X226" i="1"/>
  <c r="AI243" i="1"/>
  <c r="X206" i="1"/>
  <c r="AI239" i="1"/>
  <c r="X202" i="1"/>
  <c r="AI235" i="1"/>
  <c r="X198" i="1"/>
  <c r="AI231" i="1"/>
  <c r="AI228" i="1"/>
  <c r="AA190" i="1"/>
  <c r="W190" i="1" s="1"/>
  <c r="U190" i="1"/>
  <c r="S190" i="1" s="1"/>
  <c r="AG188" i="1"/>
  <c r="T188" i="1"/>
  <c r="X188" i="1"/>
  <c r="T185" i="1"/>
  <c r="U185" i="1" s="1"/>
  <c r="S185" i="1" s="1"/>
  <c r="X185" i="1"/>
  <c r="W168" i="1"/>
  <c r="W248" i="1"/>
  <c r="X184" i="1"/>
  <c r="T184" i="1"/>
  <c r="U184" i="1" s="1"/>
  <c r="S184" i="1" s="1"/>
  <c r="X180" i="1"/>
  <c r="T180" i="1"/>
  <c r="U180" i="1" s="1"/>
  <c r="S180" i="1" s="1"/>
  <c r="X176" i="1"/>
  <c r="T176" i="1"/>
  <c r="U176" i="1" s="1"/>
  <c r="S176" i="1" s="1"/>
  <c r="X172" i="1"/>
  <c r="T172" i="1"/>
  <c r="U172" i="1" s="1"/>
  <c r="S172" i="1" s="1"/>
  <c r="X168" i="1"/>
  <c r="T168" i="1"/>
  <c r="U168" i="1" s="1"/>
  <c r="S168" i="1" s="1"/>
  <c r="X164" i="1"/>
  <c r="T164" i="1"/>
  <c r="U164" i="1" s="1"/>
  <c r="S164" i="1" s="1"/>
  <c r="X248" i="1"/>
  <c r="T248" i="1"/>
  <c r="U248" i="1" s="1"/>
  <c r="S248" i="1" s="1"/>
  <c r="AA245" i="1"/>
  <c r="AI190" i="1"/>
  <c r="T241" i="1"/>
  <c r="U241" i="1" s="1"/>
  <c r="S241" i="1" s="1"/>
  <c r="AI185" i="1"/>
  <c r="T232" i="1"/>
  <c r="U232" i="1" s="1"/>
  <c r="S232" i="1" s="1"/>
  <c r="X232" i="1"/>
  <c r="X231" i="1"/>
  <c r="X225" i="1"/>
  <c r="AA224" i="1"/>
  <c r="T220" i="1"/>
  <c r="T211" i="1"/>
  <c r="U211" i="1" s="1"/>
  <c r="S211" i="1" s="1"/>
  <c r="X211" i="1"/>
  <c r="X210" i="1"/>
  <c r="X162" i="1"/>
  <c r="AA161" i="1"/>
  <c r="T155" i="1"/>
  <c r="U155" i="1" s="1"/>
  <c r="S155" i="1" s="1"/>
  <c r="AI151" i="1"/>
  <c r="AI138" i="1"/>
  <c r="AI134" i="1"/>
  <c r="AI101" i="1"/>
  <c r="AI97" i="1"/>
  <c r="U170" i="1"/>
  <c r="S170" i="1" s="1"/>
  <c r="T245" i="1"/>
  <c r="AI189" i="1"/>
  <c r="T236" i="1"/>
  <c r="X236" i="1"/>
  <c r="T224" i="1"/>
  <c r="T215" i="1"/>
  <c r="X215" i="1"/>
  <c r="T161" i="1"/>
  <c r="AI155" i="1"/>
  <c r="T126" i="1"/>
  <c r="X126" i="1"/>
  <c r="AG126" i="1"/>
  <c r="X119" i="1"/>
  <c r="AG119" i="1"/>
  <c r="X120" i="1"/>
  <c r="AG117" i="1"/>
  <c r="X117" i="1"/>
  <c r="T117" i="1"/>
  <c r="T103" i="1"/>
  <c r="X103" i="1"/>
  <c r="AG103" i="1"/>
  <c r="W103" i="1" s="1"/>
  <c r="X104" i="1"/>
  <c r="T54" i="1"/>
  <c r="X54" i="1"/>
  <c r="AG54" i="1"/>
  <c r="W54" i="1" s="1"/>
  <c r="X55" i="1"/>
  <c r="X49" i="1"/>
  <c r="AG49" i="1"/>
  <c r="X50" i="1"/>
  <c r="T49" i="1"/>
  <c r="X174" i="1"/>
  <c r="AG173" i="1"/>
  <c r="AI173" i="1" s="1"/>
  <c r="X170" i="1"/>
  <c r="AG169" i="1"/>
  <c r="X166" i="1"/>
  <c r="AG165" i="1"/>
  <c r="X250" i="1"/>
  <c r="AG249" i="1"/>
  <c r="X246" i="1"/>
  <c r="AG245" i="1"/>
  <c r="AI245" i="1" s="1"/>
  <c r="T243" i="1"/>
  <c r="U243" i="1" s="1"/>
  <c r="S243" i="1" s="1"/>
  <c r="T240" i="1"/>
  <c r="X240" i="1"/>
  <c r="AG236" i="1"/>
  <c r="AI236" i="1" s="1"/>
  <c r="T233" i="1"/>
  <c r="AG224" i="1"/>
  <c r="AI224" i="1" s="1"/>
  <c r="T222" i="1"/>
  <c r="U222" i="1" s="1"/>
  <c r="S222" i="1" s="1"/>
  <c r="T219" i="1"/>
  <c r="X219" i="1"/>
  <c r="AG215" i="1"/>
  <c r="W215" i="1" s="1"/>
  <c r="T212" i="1"/>
  <c r="AG161" i="1"/>
  <c r="T159" i="1"/>
  <c r="U159" i="1" s="1"/>
  <c r="S159" i="1" s="1"/>
  <c r="X155" i="1"/>
  <c r="T149" i="1"/>
  <c r="AG149" i="1"/>
  <c r="X150" i="1"/>
  <c r="AI147" i="1"/>
  <c r="AI122" i="1"/>
  <c r="AI118" i="1"/>
  <c r="AI91" i="1"/>
  <c r="U91" i="1"/>
  <c r="S91" i="1" s="1"/>
  <c r="AI71" i="1"/>
  <c r="U71" i="1"/>
  <c r="S71" i="1" s="1"/>
  <c r="AI208" i="1"/>
  <c r="X173" i="1"/>
  <c r="X169" i="1"/>
  <c r="X165" i="1"/>
  <c r="X249" i="1"/>
  <c r="T244" i="1"/>
  <c r="U244" i="1" s="1"/>
  <c r="S244" i="1" s="1"/>
  <c r="X244" i="1"/>
  <c r="X243" i="1"/>
  <c r="AA241" i="1"/>
  <c r="AG240" i="1"/>
  <c r="U235" i="1"/>
  <c r="S235" i="1" s="1"/>
  <c r="AG233" i="1"/>
  <c r="AI233" i="1" s="1"/>
  <c r="T231" i="1"/>
  <c r="U231" i="1" s="1"/>
  <c r="S231" i="1" s="1"/>
  <c r="T223" i="1"/>
  <c r="U223" i="1" s="1"/>
  <c r="S223" i="1" s="1"/>
  <c r="X223" i="1"/>
  <c r="X222" i="1"/>
  <c r="AA220" i="1"/>
  <c r="AG219" i="1"/>
  <c r="AI219" i="1" s="1"/>
  <c r="AI170" i="1"/>
  <c r="AG212" i="1"/>
  <c r="T210" i="1"/>
  <c r="U210" i="1" s="1"/>
  <c r="S210" i="1" s="1"/>
  <c r="T160" i="1"/>
  <c r="U160" i="1" s="1"/>
  <c r="X160" i="1"/>
  <c r="X159" i="1"/>
  <c r="X158" i="1"/>
  <c r="AA157" i="1"/>
  <c r="W157" i="1" s="1"/>
  <c r="AG153" i="1"/>
  <c r="X154" i="1"/>
  <c r="W151" i="1"/>
  <c r="T151" i="1"/>
  <c r="U151" i="1" s="1"/>
  <c r="S151" i="1" s="1"/>
  <c r="X149" i="1"/>
  <c r="T142" i="1"/>
  <c r="X142" i="1"/>
  <c r="AG142" i="1"/>
  <c r="W138" i="1"/>
  <c r="X135" i="1"/>
  <c r="AG135" i="1"/>
  <c r="X136" i="1"/>
  <c r="AG133" i="1"/>
  <c r="X133" i="1"/>
  <c r="T133" i="1"/>
  <c r="T119" i="1"/>
  <c r="AI108" i="1"/>
  <c r="T107" i="1"/>
  <c r="X107" i="1"/>
  <c r="AG107" i="1"/>
  <c r="X108" i="1"/>
  <c r="W97" i="1"/>
  <c r="U86" i="1"/>
  <c r="S86" i="1" s="1"/>
  <c r="X156" i="1"/>
  <c r="X152" i="1"/>
  <c r="AG143" i="1"/>
  <c r="X143" i="1"/>
  <c r="T141" i="1"/>
  <c r="U141" i="1" s="1"/>
  <c r="S141" i="1" s="1"/>
  <c r="T138" i="1"/>
  <c r="U138" i="1" s="1"/>
  <c r="S138" i="1" s="1"/>
  <c r="X138" i="1"/>
  <c r="X137" i="1"/>
  <c r="AA135" i="1"/>
  <c r="AI132" i="1"/>
  <c r="U129" i="1"/>
  <c r="S129" i="1" s="1"/>
  <c r="AG127" i="1"/>
  <c r="X127" i="1"/>
  <c r="T125" i="1"/>
  <c r="T122" i="1"/>
  <c r="U122" i="1" s="1"/>
  <c r="S122" i="1" s="1"/>
  <c r="X122" i="1"/>
  <c r="X121" i="1"/>
  <c r="AA119" i="1"/>
  <c r="X109" i="1"/>
  <c r="AI104" i="1"/>
  <c r="X98" i="1"/>
  <c r="AG98" i="1"/>
  <c r="X99" i="1"/>
  <c r="AG96" i="1"/>
  <c r="W96" i="1" s="1"/>
  <c r="X96" i="1"/>
  <c r="T96" i="1"/>
  <c r="W91" i="1"/>
  <c r="T74" i="1"/>
  <c r="X74" i="1"/>
  <c r="AG74" i="1"/>
  <c r="X75" i="1"/>
  <c r="AI60" i="1"/>
  <c r="U60" i="1"/>
  <c r="S60" i="1" s="1"/>
  <c r="T146" i="1"/>
  <c r="U146" i="1" s="1"/>
  <c r="S146" i="1" s="1"/>
  <c r="X146" i="1"/>
  <c r="X144" i="1"/>
  <c r="AA143" i="1"/>
  <c r="U137" i="1"/>
  <c r="S137" i="1" s="1"/>
  <c r="T130" i="1"/>
  <c r="U130" i="1" s="1"/>
  <c r="S130" i="1" s="1"/>
  <c r="X130" i="1"/>
  <c r="X128" i="1"/>
  <c r="AA127" i="1"/>
  <c r="U121" i="1"/>
  <c r="S121" i="1" s="1"/>
  <c r="T114" i="1"/>
  <c r="U114" i="1" s="1"/>
  <c r="S114" i="1" s="1"/>
  <c r="X114" i="1"/>
  <c r="AG111" i="1"/>
  <c r="X112" i="1"/>
  <c r="W109" i="1"/>
  <c r="T109" i="1"/>
  <c r="U109" i="1" s="1"/>
  <c r="S109" i="1" s="1"/>
  <c r="T98" i="1"/>
  <c r="T89" i="1"/>
  <c r="X89" i="1"/>
  <c r="AG89" i="1"/>
  <c r="X82" i="1"/>
  <c r="AG82" i="1"/>
  <c r="X83" i="1"/>
  <c r="AG80" i="1"/>
  <c r="W80" i="1" s="1"/>
  <c r="X80" i="1"/>
  <c r="T80" i="1"/>
  <c r="AG77" i="1"/>
  <c r="T77" i="1"/>
  <c r="X77" i="1"/>
  <c r="AA63" i="1"/>
  <c r="T134" i="1"/>
  <c r="U134" i="1" s="1"/>
  <c r="S134" i="1" s="1"/>
  <c r="X134" i="1"/>
  <c r="AI123" i="1"/>
  <c r="T118" i="1"/>
  <c r="U118" i="1" s="1"/>
  <c r="S118" i="1" s="1"/>
  <c r="X118" i="1"/>
  <c r="AI109" i="1"/>
  <c r="AI105" i="1"/>
  <c r="U105" i="1"/>
  <c r="U102" i="1"/>
  <c r="S102" i="1" s="1"/>
  <c r="AI85" i="1"/>
  <c r="AI81" i="1"/>
  <c r="X110" i="1"/>
  <c r="X106" i="1"/>
  <c r="T101" i="1"/>
  <c r="U101" i="1" s="1"/>
  <c r="S101" i="1" s="1"/>
  <c r="X101" i="1"/>
  <c r="X100" i="1"/>
  <c r="AA98" i="1"/>
  <c r="AG90" i="1"/>
  <c r="X90" i="1"/>
  <c r="T88" i="1"/>
  <c r="U88" i="1" s="1"/>
  <c r="S88" i="1" s="1"/>
  <c r="T85" i="1"/>
  <c r="U85" i="1" s="1"/>
  <c r="S85" i="1" s="1"/>
  <c r="X85" i="1"/>
  <c r="X84" i="1"/>
  <c r="AA82" i="1"/>
  <c r="W82" i="1" s="1"/>
  <c r="AA74" i="1"/>
  <c r="AG73" i="1"/>
  <c r="T73" i="1"/>
  <c r="X73" i="1"/>
  <c r="W71" i="1"/>
  <c r="T70" i="1"/>
  <c r="X70" i="1"/>
  <c r="AI67" i="1"/>
  <c r="AI64" i="1"/>
  <c r="W60" i="1"/>
  <c r="T58" i="1"/>
  <c r="X58" i="1"/>
  <c r="AG58" i="1"/>
  <c r="X59" i="1"/>
  <c r="S55" i="1"/>
  <c r="T93" i="1"/>
  <c r="U93" i="1" s="1"/>
  <c r="S93" i="1" s="1"/>
  <c r="X93" i="1"/>
  <c r="X91" i="1"/>
  <c r="AA90" i="1"/>
  <c r="AI75" i="1"/>
  <c r="T66" i="1"/>
  <c r="X66" i="1"/>
  <c r="AG66" i="1"/>
  <c r="W66" i="1" s="1"/>
  <c r="W59" i="1"/>
  <c r="AI56" i="1"/>
  <c r="T40" i="1"/>
  <c r="X40" i="1"/>
  <c r="AG40" i="1"/>
  <c r="X41" i="1"/>
  <c r="AI36" i="1"/>
  <c r="T97" i="1"/>
  <c r="U97" i="1" s="1"/>
  <c r="S97" i="1" s="1"/>
  <c r="X97" i="1"/>
  <c r="AI86" i="1"/>
  <c r="T81" i="1"/>
  <c r="U81" i="1" s="1"/>
  <c r="S81" i="1" s="1"/>
  <c r="X81" i="1"/>
  <c r="W70" i="1"/>
  <c r="AG69" i="1"/>
  <c r="T69" i="1"/>
  <c r="X69" i="1"/>
  <c r="T62" i="1"/>
  <c r="X62" i="1"/>
  <c r="AG62" i="1"/>
  <c r="X63" i="1"/>
  <c r="S59" i="1"/>
  <c r="AI59" i="1"/>
  <c r="AI48" i="1"/>
  <c r="AG47" i="1"/>
  <c r="X47" i="1"/>
  <c r="T47" i="1"/>
  <c r="X65" i="1"/>
  <c r="T65" i="1"/>
  <c r="U65" i="1" s="1"/>
  <c r="S65" i="1" s="1"/>
  <c r="X61" i="1"/>
  <c r="T61" i="1"/>
  <c r="U61" i="1" s="1"/>
  <c r="S61" i="1" s="1"/>
  <c r="X57" i="1"/>
  <c r="T57" i="1"/>
  <c r="U57" i="1" s="1"/>
  <c r="S57" i="1" s="1"/>
  <c r="X53" i="1"/>
  <c r="T53" i="1"/>
  <c r="U53" i="1" s="1"/>
  <c r="S53" i="1" s="1"/>
  <c r="AG52" i="1"/>
  <c r="W52" i="1" s="1"/>
  <c r="X51" i="1"/>
  <c r="AA49" i="1"/>
  <c r="W49" i="1" s="1"/>
  <c r="T39" i="1"/>
  <c r="U39" i="1" s="1"/>
  <c r="S39" i="1" s="1"/>
  <c r="T36" i="1"/>
  <c r="U36" i="1" s="1"/>
  <c r="S36" i="1" s="1"/>
  <c r="X36" i="1"/>
  <c r="X35" i="1"/>
  <c r="T33" i="1"/>
  <c r="X33" i="1"/>
  <c r="AG33" i="1"/>
  <c r="U30" i="1"/>
  <c r="S30" i="1" s="1"/>
  <c r="T29" i="1"/>
  <c r="X29" i="1"/>
  <c r="AG29" i="1"/>
  <c r="X30" i="1"/>
  <c r="U26" i="1"/>
  <c r="S26" i="1" s="1"/>
  <c r="T25" i="1"/>
  <c r="X25" i="1"/>
  <c r="AG25" i="1"/>
  <c r="W25" i="1" s="1"/>
  <c r="X26" i="1"/>
  <c r="U22" i="1"/>
  <c r="S22" i="1" s="1"/>
  <c r="T21" i="1"/>
  <c r="X21" i="1"/>
  <c r="AG21" i="1"/>
  <c r="W21" i="1" s="1"/>
  <c r="X22" i="1"/>
  <c r="U18" i="1"/>
  <c r="S18" i="1" s="1"/>
  <c r="T17" i="1"/>
  <c r="X17" i="1"/>
  <c r="AG17" i="1"/>
  <c r="X18" i="1"/>
  <c r="T44" i="1"/>
  <c r="X44" i="1"/>
  <c r="T37" i="1"/>
  <c r="AI31" i="1"/>
  <c r="AI27" i="1"/>
  <c r="AI19" i="1"/>
  <c r="AI15" i="1"/>
  <c r="U15" i="1"/>
  <c r="S15" i="1" s="1"/>
  <c r="T51" i="1"/>
  <c r="T48" i="1"/>
  <c r="U48" i="1" s="1"/>
  <c r="S48" i="1" s="1"/>
  <c r="X48" i="1"/>
  <c r="AG44" i="1"/>
  <c r="AG37" i="1"/>
  <c r="T35" i="1"/>
  <c r="U35" i="1" s="1"/>
  <c r="AI30" i="1"/>
  <c r="W29" i="1"/>
  <c r="AI26" i="1"/>
  <c r="AI22" i="1"/>
  <c r="S14" i="1"/>
  <c r="X32" i="1"/>
  <c r="X28" i="1"/>
  <c r="X24" i="1"/>
  <c r="X20" i="1"/>
  <c r="X16" i="1"/>
  <c r="B14" i="6"/>
  <c r="F14" i="6" s="1"/>
  <c r="S31" i="3"/>
  <c r="V13" i="1"/>
  <c r="U31" i="3"/>
  <c r="T31" i="3" s="1"/>
  <c r="V31" i="3"/>
  <c r="W31" i="3"/>
  <c r="X31" i="3"/>
  <c r="M11" i="3"/>
  <c r="N11" i="3"/>
  <c r="M19" i="3"/>
  <c r="N19" i="3"/>
  <c r="M39" i="3"/>
  <c r="N39" i="3"/>
  <c r="M12" i="3"/>
  <c r="N12" i="3"/>
  <c r="M8" i="3"/>
  <c r="N8" i="3"/>
  <c r="M35" i="3"/>
  <c r="N35" i="3"/>
  <c r="M22" i="3"/>
  <c r="N22" i="3"/>
  <c r="M24" i="3"/>
  <c r="N24" i="3"/>
  <c r="M32" i="3"/>
  <c r="N32" i="3"/>
  <c r="M21" i="3"/>
  <c r="N21" i="3"/>
  <c r="M25" i="3"/>
  <c r="N25" i="3"/>
  <c r="M33" i="3"/>
  <c r="N33" i="3"/>
  <c r="M27" i="3"/>
  <c r="N27" i="3"/>
  <c r="M28" i="3"/>
  <c r="N28" i="3"/>
  <c r="M30" i="3"/>
  <c r="N30" i="3"/>
  <c r="M26" i="3"/>
  <c r="N26" i="3"/>
  <c r="M34" i="3"/>
  <c r="N34" i="3"/>
  <c r="M9" i="3"/>
  <c r="N9" i="3"/>
  <c r="M10" i="3"/>
  <c r="N10" i="3"/>
  <c r="M31" i="3"/>
  <c r="N31" i="3"/>
  <c r="M13" i="3"/>
  <c r="N13" i="3"/>
  <c r="M37" i="3"/>
  <c r="N37" i="3"/>
  <c r="M7" i="3"/>
  <c r="N7" i="3"/>
  <c r="M36" i="3"/>
  <c r="N36" i="3"/>
  <c r="M15" i="3"/>
  <c r="N15" i="3"/>
  <c r="M20" i="3"/>
  <c r="N20" i="3"/>
  <c r="M17" i="3"/>
  <c r="N17" i="3"/>
  <c r="M14" i="3"/>
  <c r="N14" i="3"/>
  <c r="M29" i="3"/>
  <c r="N29" i="3"/>
  <c r="M40" i="3"/>
  <c r="N40" i="3"/>
  <c r="M23" i="3"/>
  <c r="N23" i="3"/>
  <c r="M16" i="3"/>
  <c r="N16" i="3"/>
  <c r="M38" i="3"/>
  <c r="N38" i="3"/>
  <c r="R31" i="3"/>
  <c r="W74" i="1" l="1"/>
  <c r="AI115" i="1"/>
  <c r="W153" i="1"/>
  <c r="W202" i="1"/>
  <c r="U195" i="1"/>
  <c r="S195" i="1" s="1"/>
  <c r="W16" i="1"/>
  <c r="U110" i="1"/>
  <c r="S110" i="1" s="1"/>
  <c r="W208" i="1"/>
  <c r="W199" i="1"/>
  <c r="W115" i="1"/>
  <c r="W78" i="1"/>
  <c r="AI18" i="1"/>
  <c r="W241" i="1"/>
  <c r="AI192" i="1"/>
  <c r="AI200" i="1"/>
  <c r="W149" i="1"/>
  <c r="AI216" i="1"/>
  <c r="W178" i="1"/>
  <c r="W238" i="1"/>
  <c r="W167" i="1"/>
  <c r="W50" i="1"/>
  <c r="U182" i="1"/>
  <c r="S182" i="1" s="1"/>
  <c r="W194" i="1"/>
  <c r="W177" i="1"/>
  <c r="U187" i="1"/>
  <c r="S187" i="1" s="1"/>
  <c r="W196" i="1"/>
  <c r="U128" i="1"/>
  <c r="S128" i="1" s="1"/>
  <c r="W110" i="1"/>
  <c r="W181" i="1"/>
  <c r="W136" i="1"/>
  <c r="W28" i="1"/>
  <c r="U70" i="1"/>
  <c r="S70" i="1" s="1"/>
  <c r="W119" i="1"/>
  <c r="U125" i="1"/>
  <c r="S125" i="1" s="1"/>
  <c r="AI204" i="1"/>
  <c r="W32" i="1"/>
  <c r="W58" i="1"/>
  <c r="AI87" i="1"/>
  <c r="W113" i="1"/>
  <c r="U218" i="1"/>
  <c r="S218" i="1" s="1"/>
  <c r="W142" i="1"/>
  <c r="W125" i="1"/>
  <c r="U213" i="1"/>
  <c r="S213" i="1" s="1"/>
  <c r="W87" i="1"/>
  <c r="W147" i="1"/>
  <c r="AI14" i="1"/>
  <c r="W131" i="1"/>
  <c r="AI131" i="1"/>
  <c r="W14" i="1"/>
  <c r="AI20" i="1"/>
  <c r="W45" i="1"/>
  <c r="W86" i="1"/>
  <c r="W187" i="1"/>
  <c r="W120" i="1"/>
  <c r="W169" i="1"/>
  <c r="AI157" i="1"/>
  <c r="W186" i="1"/>
  <c r="S34" i="1"/>
  <c r="W42" i="1"/>
  <c r="W207" i="1"/>
  <c r="W213" i="1"/>
  <c r="W23" i="1"/>
  <c r="W72" i="1"/>
  <c r="W88" i="1"/>
  <c r="U156" i="1"/>
  <c r="S156" i="1" s="1"/>
  <c r="U63" i="1"/>
  <c r="S63" i="1" s="1"/>
  <c r="AI78" i="1"/>
  <c r="AI174" i="1"/>
  <c r="W108" i="1"/>
  <c r="W152" i="1"/>
  <c r="U67" i="1"/>
  <c r="S67" i="1" s="1"/>
  <c r="W171" i="1"/>
  <c r="U50" i="1"/>
  <c r="AI50" i="1"/>
  <c r="AI55" i="1"/>
  <c r="W73" i="1"/>
  <c r="U78" i="1"/>
  <c r="S78" i="1" s="1"/>
  <c r="W107" i="1"/>
  <c r="W128" i="1"/>
  <c r="W240" i="1"/>
  <c r="U124" i="1"/>
  <c r="S124" i="1" s="1"/>
  <c r="AI150" i="1"/>
  <c r="AI156" i="1"/>
  <c r="U227" i="1"/>
  <c r="S227" i="1" s="1"/>
  <c r="U163" i="1"/>
  <c r="S163" i="1" s="1"/>
  <c r="W139" i="1"/>
  <c r="U27" i="1"/>
  <c r="S27" i="1" s="1"/>
  <c r="W205" i="1"/>
  <c r="W124" i="1"/>
  <c r="U136" i="1"/>
  <c r="S136" i="1" s="1"/>
  <c r="W106" i="1"/>
  <c r="AI42" i="1"/>
  <c r="AI94" i="1"/>
  <c r="U95" i="1"/>
  <c r="S95" i="1" s="1"/>
  <c r="W99" i="1"/>
  <c r="U205" i="1"/>
  <c r="S205" i="1" s="1"/>
  <c r="W204" i="1"/>
  <c r="U113" i="1"/>
  <c r="S113" i="1" s="1"/>
  <c r="W17" i="1"/>
  <c r="U217" i="1"/>
  <c r="S217" i="1" s="1"/>
  <c r="U139" i="1"/>
  <c r="S139" i="1" s="1"/>
  <c r="U171" i="1"/>
  <c r="S171" i="1" s="1"/>
  <c r="U23" i="1"/>
  <c r="S23" i="1" s="1"/>
  <c r="AI46" i="1"/>
  <c r="AI41" i="1"/>
  <c r="U38" i="1"/>
  <c r="S38" i="1" s="1"/>
  <c r="U148" i="1"/>
  <c r="S148" i="1" s="1"/>
  <c r="W212" i="1"/>
  <c r="AI144" i="1"/>
  <c r="W117" i="1"/>
  <c r="W126" i="1"/>
  <c r="U166" i="1"/>
  <c r="S166" i="1" s="1"/>
  <c r="AI158" i="1"/>
  <c r="U220" i="1"/>
  <c r="S220" i="1" s="1"/>
  <c r="U251" i="1"/>
  <c r="S251" i="1" s="1"/>
  <c r="U175" i="1"/>
  <c r="S175" i="1" s="1"/>
  <c r="W246" i="1"/>
  <c r="W251" i="1"/>
  <c r="W20" i="1"/>
  <c r="U108" i="1"/>
  <c r="S108" i="1" s="1"/>
  <c r="U45" i="1"/>
  <c r="S45" i="1" s="1"/>
  <c r="W63" i="1"/>
  <c r="W166" i="1"/>
  <c r="W33" i="1"/>
  <c r="AI116" i="1"/>
  <c r="U144" i="1"/>
  <c r="S144" i="1" s="1"/>
  <c r="W220" i="1"/>
  <c r="U238" i="1"/>
  <c r="S238" i="1" s="1"/>
  <c r="W41" i="1"/>
  <c r="U178" i="1"/>
  <c r="S178" i="1" s="1"/>
  <c r="W27" i="1"/>
  <c r="W38" i="1"/>
  <c r="U28" i="1"/>
  <c r="S28" i="1" s="1"/>
  <c r="W203" i="1"/>
  <c r="W94" i="1"/>
  <c r="U51" i="1"/>
  <c r="U84" i="1"/>
  <c r="S84" i="1" s="1"/>
  <c r="W90" i="1"/>
  <c r="AI79" i="1"/>
  <c r="U72" i="1"/>
  <c r="S72" i="1" s="1"/>
  <c r="U152" i="1"/>
  <c r="S152" i="1" s="1"/>
  <c r="U186" i="1"/>
  <c r="S186" i="1" s="1"/>
  <c r="W174" i="1"/>
  <c r="W51" i="1"/>
  <c r="W163" i="1"/>
  <c r="W143" i="1"/>
  <c r="W95" i="1"/>
  <c r="AI136" i="1"/>
  <c r="W227" i="1"/>
  <c r="W191" i="1"/>
  <c r="U179" i="1"/>
  <c r="S179" i="1" s="1"/>
  <c r="AI247" i="1"/>
  <c r="W216" i="1"/>
  <c r="W200" i="1"/>
  <c r="W84" i="1"/>
  <c r="W249" i="1"/>
  <c r="AI249" i="1"/>
  <c r="AI194" i="1"/>
  <c r="W26" i="1"/>
  <c r="U83" i="1"/>
  <c r="S83" i="1" s="1"/>
  <c r="AI83" i="1"/>
  <c r="AI112" i="1"/>
  <c r="U112" i="1"/>
  <c r="S112" i="1" s="1"/>
  <c r="W127" i="1"/>
  <c r="AI202" i="1"/>
  <c r="W79" i="1"/>
  <c r="W46" i="1"/>
  <c r="W83" i="1"/>
  <c r="W116" i="1"/>
  <c r="U193" i="1"/>
  <c r="S193" i="1" s="1"/>
  <c r="AI193" i="1"/>
  <c r="U201" i="1"/>
  <c r="S201" i="1" s="1"/>
  <c r="AI201" i="1"/>
  <c r="U209" i="1"/>
  <c r="S209" i="1" s="1"/>
  <c r="AI209" i="1"/>
  <c r="W201" i="1"/>
  <c r="AI169" i="1"/>
  <c r="AI212" i="1"/>
  <c r="AI240" i="1"/>
  <c r="W226" i="1"/>
  <c r="AI226" i="1"/>
  <c r="W112" i="1"/>
  <c r="W217" i="1"/>
  <c r="W158" i="1"/>
  <c r="W247" i="1"/>
  <c r="U16" i="1"/>
  <c r="S16" i="1" s="1"/>
  <c r="AI16" i="1"/>
  <c r="U24" i="1"/>
  <c r="S24" i="1" s="1"/>
  <c r="AI24" i="1"/>
  <c r="U32" i="1"/>
  <c r="S32" i="1" s="1"/>
  <c r="AI32" i="1"/>
  <c r="U42" i="1"/>
  <c r="W55" i="1"/>
  <c r="W24" i="1"/>
  <c r="U99" i="1"/>
  <c r="S99" i="1" s="1"/>
  <c r="AI99" i="1"/>
  <c r="U225" i="1"/>
  <c r="S225" i="1" s="1"/>
  <c r="AI225" i="1"/>
  <c r="U167" i="1"/>
  <c r="S167" i="1" s="1"/>
  <c r="AI167" i="1"/>
  <c r="W175" i="1"/>
  <c r="W179" i="1"/>
  <c r="U44" i="1"/>
  <c r="AI44" i="1"/>
  <c r="U25" i="1"/>
  <c r="S25" i="1" s="1"/>
  <c r="AI25" i="1"/>
  <c r="U47" i="1"/>
  <c r="S47" i="1" s="1"/>
  <c r="AI47" i="1"/>
  <c r="U77" i="1"/>
  <c r="S77" i="1" s="1"/>
  <c r="AI77" i="1"/>
  <c r="AI89" i="1"/>
  <c r="U89" i="1"/>
  <c r="S89" i="1" s="1"/>
  <c r="U96" i="1"/>
  <c r="S96" i="1" s="1"/>
  <c r="AI96" i="1"/>
  <c r="AI135" i="1"/>
  <c r="U135" i="1"/>
  <c r="S135" i="1" s="1"/>
  <c r="U219" i="1"/>
  <c r="S219" i="1" s="1"/>
  <c r="AI172" i="1"/>
  <c r="AI181" i="1"/>
  <c r="U233" i="1"/>
  <c r="S233" i="1" s="1"/>
  <c r="U103" i="1"/>
  <c r="S103" i="1" s="1"/>
  <c r="AI103" i="1"/>
  <c r="W224" i="1"/>
  <c r="U198" i="1"/>
  <c r="S198" i="1" s="1"/>
  <c r="AI234" i="1"/>
  <c r="U230" i="1"/>
  <c r="S230" i="1" s="1"/>
  <c r="AI250" i="1"/>
  <c r="U29" i="1"/>
  <c r="S29" i="1" s="1"/>
  <c r="AI29" i="1"/>
  <c r="U33" i="1"/>
  <c r="S33" i="1" s="1"/>
  <c r="AI33" i="1"/>
  <c r="AI90" i="1"/>
  <c r="U90" i="1"/>
  <c r="S90" i="1" s="1"/>
  <c r="W98" i="1"/>
  <c r="AI82" i="1"/>
  <c r="U82" i="1"/>
  <c r="S82" i="1" s="1"/>
  <c r="U111" i="1"/>
  <c r="S111" i="1" s="1"/>
  <c r="AI111" i="1"/>
  <c r="AI74" i="1"/>
  <c r="U74" i="1"/>
  <c r="S74" i="1" s="1"/>
  <c r="AI127" i="1"/>
  <c r="U127" i="1"/>
  <c r="S127" i="1" s="1"/>
  <c r="W135" i="1"/>
  <c r="U107" i="1"/>
  <c r="S107" i="1" s="1"/>
  <c r="AI107" i="1"/>
  <c r="U153" i="1"/>
  <c r="S153" i="1" s="1"/>
  <c r="AI153" i="1"/>
  <c r="AI165" i="1"/>
  <c r="U212" i="1"/>
  <c r="S212" i="1" s="1"/>
  <c r="U236" i="1"/>
  <c r="S236" i="1" s="1"/>
  <c r="AI184" i="1"/>
  <c r="U245" i="1"/>
  <c r="S245" i="1" s="1"/>
  <c r="U165" i="1"/>
  <c r="S165" i="1" s="1"/>
  <c r="AI199" i="1"/>
  <c r="U173" i="1"/>
  <c r="S173" i="1" s="1"/>
  <c r="AI207" i="1"/>
  <c r="U54" i="1"/>
  <c r="S54" i="1" s="1"/>
  <c r="AI54" i="1"/>
  <c r="U117" i="1"/>
  <c r="S117" i="1" s="1"/>
  <c r="AI117" i="1"/>
  <c r="AI126" i="1"/>
  <c r="U126" i="1"/>
  <c r="S126" i="1" s="1"/>
  <c r="W233" i="1"/>
  <c r="W111" i="1"/>
  <c r="W245" i="1"/>
  <c r="W236" i="1"/>
  <c r="U194" i="1"/>
  <c r="S194" i="1" s="1"/>
  <c r="AI230" i="1"/>
  <c r="U226" i="1"/>
  <c r="S226" i="1" s="1"/>
  <c r="AI246" i="1"/>
  <c r="U177" i="1"/>
  <c r="S177" i="1" s="1"/>
  <c r="AI211" i="1"/>
  <c r="W198" i="1"/>
  <c r="W230" i="1"/>
  <c r="AI37" i="1"/>
  <c r="U37" i="1"/>
  <c r="S37" i="1" s="1"/>
  <c r="U17" i="1"/>
  <c r="S17" i="1" s="1"/>
  <c r="AI17" i="1"/>
  <c r="U62" i="1"/>
  <c r="S62" i="1" s="1"/>
  <c r="AI62" i="1"/>
  <c r="AI40" i="1"/>
  <c r="U40" i="1"/>
  <c r="S40" i="1" s="1"/>
  <c r="W44" i="1"/>
  <c r="U66" i="1"/>
  <c r="S66" i="1" s="1"/>
  <c r="AI66" i="1"/>
  <c r="U58" i="1"/>
  <c r="S58" i="1" s="1"/>
  <c r="AI58" i="1"/>
  <c r="W40" i="1"/>
  <c r="AI98" i="1"/>
  <c r="U98" i="1"/>
  <c r="S98" i="1" s="1"/>
  <c r="U133" i="1"/>
  <c r="S133" i="1" s="1"/>
  <c r="AI133" i="1"/>
  <c r="W133" i="1"/>
  <c r="U149" i="1"/>
  <c r="S149" i="1" s="1"/>
  <c r="AI149" i="1"/>
  <c r="U215" i="1"/>
  <c r="S215" i="1" s="1"/>
  <c r="AI168" i="1"/>
  <c r="AI177" i="1"/>
  <c r="U224" i="1"/>
  <c r="S224" i="1" s="1"/>
  <c r="AI49" i="1"/>
  <c r="U49" i="1"/>
  <c r="S49" i="1" s="1"/>
  <c r="W89" i="1"/>
  <c r="W77" i="1"/>
  <c r="U181" i="1"/>
  <c r="S181" i="1" s="1"/>
  <c r="AI215" i="1"/>
  <c r="U206" i="1"/>
  <c r="S206" i="1" s="1"/>
  <c r="AI242" i="1"/>
  <c r="U21" i="1"/>
  <c r="S21" i="1" s="1"/>
  <c r="AI21" i="1"/>
  <c r="AI52" i="1"/>
  <c r="U52" i="1"/>
  <c r="S52" i="1" s="1"/>
  <c r="U69" i="1"/>
  <c r="S69" i="1" s="1"/>
  <c r="AI69" i="1"/>
  <c r="W69" i="1"/>
  <c r="W47" i="1"/>
  <c r="W62" i="1"/>
  <c r="U73" i="1"/>
  <c r="S73" i="1" s="1"/>
  <c r="AI73" i="1"/>
  <c r="U80" i="1"/>
  <c r="S80" i="1" s="1"/>
  <c r="AI80" i="1"/>
  <c r="AI143" i="1"/>
  <c r="U143" i="1"/>
  <c r="S143" i="1" s="1"/>
  <c r="AI142" i="1"/>
  <c r="U142" i="1"/>
  <c r="S142" i="1" s="1"/>
  <c r="U240" i="1"/>
  <c r="S240" i="1" s="1"/>
  <c r="AI188" i="1"/>
  <c r="AI161" i="1"/>
  <c r="U161" i="1"/>
  <c r="S161" i="1" s="1"/>
  <c r="U249" i="1"/>
  <c r="S249" i="1" s="1"/>
  <c r="AI195" i="1"/>
  <c r="U169" i="1"/>
  <c r="S169" i="1" s="1"/>
  <c r="AI203" i="1"/>
  <c r="W37" i="1"/>
  <c r="AI119" i="1"/>
  <c r="U119" i="1"/>
  <c r="S119" i="1" s="1"/>
  <c r="W161" i="1"/>
  <c r="U188" i="1"/>
  <c r="S188" i="1" s="1"/>
  <c r="AI222" i="1"/>
  <c r="W219" i="1"/>
  <c r="U202" i="1"/>
  <c r="S202" i="1" s="1"/>
  <c r="AI238" i="1"/>
  <c r="W165" i="1"/>
  <c r="W173" i="1"/>
  <c r="W188" i="1"/>
  <c r="W206" i="1"/>
  <c r="H14" i="6"/>
  <c r="G14" i="6"/>
  <c r="B5" i="6"/>
  <c r="F5" i="6" s="1"/>
  <c r="I14" i="6"/>
  <c r="Y31" i="3"/>
  <c r="AC31" i="3"/>
  <c r="S42" i="1" l="1"/>
  <c r="S50" i="1"/>
  <c r="G5" i="6"/>
  <c r="I5" i="6"/>
  <c r="H5" i="6"/>
  <c r="B6" i="6"/>
  <c r="M18" i="3"/>
  <c r="N18" i="3"/>
  <c r="B7" i="6" l="1"/>
  <c r="H6" i="6"/>
  <c r="I6" i="6"/>
  <c r="F6" i="6"/>
  <c r="G6" i="6"/>
  <c r="AE13" i="1"/>
  <c r="G7" i="6" l="1"/>
  <c r="H7" i="6"/>
  <c r="I7" i="6"/>
  <c r="F7" i="6"/>
  <c r="B8" i="6"/>
  <c r="B15" i="6"/>
  <c r="B3" i="6"/>
  <c r="G3" i="6" s="1"/>
  <c r="B4" i="6"/>
  <c r="F4" i="6" s="1"/>
  <c r="F8" i="6" l="1"/>
  <c r="H8" i="6"/>
  <c r="I8" i="6"/>
  <c r="G8" i="6"/>
  <c r="B9" i="6"/>
  <c r="F15" i="6"/>
  <c r="G15" i="6"/>
  <c r="H15" i="6"/>
  <c r="I15" i="6"/>
  <c r="B16" i="6"/>
  <c r="I4" i="6"/>
  <c r="H4" i="6"/>
  <c r="G4" i="6"/>
  <c r="F3" i="6"/>
  <c r="I3" i="6"/>
  <c r="H3" i="6"/>
  <c r="F9" i="6" l="1"/>
  <c r="I9" i="6"/>
  <c r="G9" i="6"/>
  <c r="H9" i="6"/>
  <c r="B10" i="6"/>
  <c r="B17" i="6"/>
  <c r="H16" i="6"/>
  <c r="I16" i="6"/>
  <c r="F16" i="6"/>
  <c r="G16" i="6"/>
  <c r="AF13" i="1"/>
  <c r="H10" i="6" l="1"/>
  <c r="I10" i="6"/>
  <c r="F10" i="6"/>
  <c r="G10" i="6"/>
  <c r="B11" i="6"/>
  <c r="F17" i="6"/>
  <c r="G17" i="6"/>
  <c r="H17" i="6"/>
  <c r="I17" i="6"/>
  <c r="B18" i="6"/>
  <c r="K13" i="1"/>
  <c r="L13" i="1"/>
  <c r="M13" i="1"/>
  <c r="N13" i="1" s="1"/>
  <c r="Y13" i="1"/>
  <c r="Z13" i="1"/>
  <c r="AB13" i="1"/>
  <c r="AC13" i="1"/>
  <c r="AD13" i="1"/>
  <c r="X14" i="1" s="1"/>
  <c r="G11" i="6" l="1"/>
  <c r="F11" i="6"/>
  <c r="I11" i="6"/>
  <c r="H11" i="6"/>
  <c r="B13" i="6"/>
  <c r="B12" i="6"/>
  <c r="B19" i="6"/>
  <c r="H18" i="6"/>
  <c r="I18" i="6"/>
  <c r="F18" i="6"/>
  <c r="G18" i="6"/>
  <c r="T13" i="1"/>
  <c r="X13" i="1"/>
  <c r="AA13" i="1"/>
  <c r="AG13" i="1"/>
  <c r="M26" i="5"/>
  <c r="AH14" i="1" l="1"/>
  <c r="AH21" i="1"/>
  <c r="AH29" i="1"/>
  <c r="AH30" i="1"/>
  <c r="AH34" i="1"/>
  <c r="AH35" i="1"/>
  <c r="AH43" i="1"/>
  <c r="AH54" i="1"/>
  <c r="AH55" i="1"/>
  <c r="AH61" i="1"/>
  <c r="AH62" i="1"/>
  <c r="AH63" i="1"/>
  <c r="AH64" i="1"/>
  <c r="AH69" i="1"/>
  <c r="AH70" i="1"/>
  <c r="AH75" i="1"/>
  <c r="AH76" i="1"/>
  <c r="AH86" i="1"/>
  <c r="AH96" i="1"/>
  <c r="AH97" i="1"/>
  <c r="AH98" i="1"/>
  <c r="AH99" i="1"/>
  <c r="AH106" i="1"/>
  <c r="AH107" i="1"/>
  <c r="AH108" i="1"/>
  <c r="AH109" i="1"/>
  <c r="AH114" i="1"/>
  <c r="AH122" i="1"/>
  <c r="AH125" i="1"/>
  <c r="AH126" i="1"/>
  <c r="AH127" i="1"/>
  <c r="AH146" i="1"/>
  <c r="AH149" i="1"/>
  <c r="AH166" i="1"/>
  <c r="AH167" i="1"/>
  <c r="AH168" i="1"/>
  <c r="AH169" i="1"/>
  <c r="AH182" i="1"/>
  <c r="AH192" i="1"/>
  <c r="AH193" i="1"/>
  <c r="AH194" i="1"/>
  <c r="AH215" i="1"/>
  <c r="AH223" i="1"/>
  <c r="AH224" i="1"/>
  <c r="AH225" i="1"/>
  <c r="AH230" i="1"/>
  <c r="AH15" i="1"/>
  <c r="AH17" i="1"/>
  <c r="AH22" i="1"/>
  <c r="AH24" i="1"/>
  <c r="AH33" i="1"/>
  <c r="AH44" i="1"/>
  <c r="AH31" i="1"/>
  <c r="AH36" i="1"/>
  <c r="AH37" i="1"/>
  <c r="AH38" i="1"/>
  <c r="AH56" i="1"/>
  <c r="AH57" i="1"/>
  <c r="AH65" i="1"/>
  <c r="AH77" i="1"/>
  <c r="AH78" i="1"/>
  <c r="AH79" i="1"/>
  <c r="AH93" i="1"/>
  <c r="AH100" i="1"/>
  <c r="AH101" i="1"/>
  <c r="AH110" i="1"/>
  <c r="AH120" i="1"/>
  <c r="AH128" i="1"/>
  <c r="AH129" i="1"/>
  <c r="AH132" i="1"/>
  <c r="AH133" i="1"/>
  <c r="AH134" i="1"/>
  <c r="AH135" i="1"/>
  <c r="AH136" i="1"/>
  <c r="AH137" i="1"/>
  <c r="AH138" i="1"/>
  <c r="AH139" i="1"/>
  <c r="AH150" i="1"/>
  <c r="AH151" i="1"/>
  <c r="AH152" i="1"/>
  <c r="AH162" i="1"/>
  <c r="AH170" i="1"/>
  <c r="AH174" i="1"/>
  <c r="AH175" i="1"/>
  <c r="AH176" i="1"/>
  <c r="AH183" i="1"/>
  <c r="AH184" i="1"/>
  <c r="AH185" i="1"/>
  <c r="AH186" i="1"/>
  <c r="AH195" i="1"/>
  <c r="AH196" i="1"/>
  <c r="AH197" i="1"/>
  <c r="AH226" i="1"/>
  <c r="AH227" i="1"/>
  <c r="AH228" i="1"/>
  <c r="AH229" i="1"/>
  <c r="AH231" i="1"/>
  <c r="AH16" i="1"/>
  <c r="AH18" i="1"/>
  <c r="AH23" i="1"/>
  <c r="AH32" i="1"/>
  <c r="AH39" i="1"/>
  <c r="AH45" i="1"/>
  <c r="AH19" i="1"/>
  <c r="AH20" i="1"/>
  <c r="AH25" i="1"/>
  <c r="AH26" i="1"/>
  <c r="AH27" i="1"/>
  <c r="AH28" i="1"/>
  <c r="AH40" i="1"/>
  <c r="AH41" i="1"/>
  <c r="AH42" i="1"/>
  <c r="AH47" i="1"/>
  <c r="AH48" i="1"/>
  <c r="AH49" i="1"/>
  <c r="AH50" i="1"/>
  <c r="AH51" i="1"/>
  <c r="AH52" i="1"/>
  <c r="AH53" i="1"/>
  <c r="AH59" i="1"/>
  <c r="AH60" i="1"/>
  <c r="AH68" i="1"/>
  <c r="AH73" i="1"/>
  <c r="AH74" i="1"/>
  <c r="AH82" i="1"/>
  <c r="AH83" i="1"/>
  <c r="AH84" i="1"/>
  <c r="AH85" i="1"/>
  <c r="AH92" i="1"/>
  <c r="AH94" i="1"/>
  <c r="AH95" i="1"/>
  <c r="AH102" i="1"/>
  <c r="AH103" i="1"/>
  <c r="AH104" i="1"/>
  <c r="AH105" i="1"/>
  <c r="AH113" i="1"/>
  <c r="AH121" i="1"/>
  <c r="AH124" i="1"/>
  <c r="AH130" i="1"/>
  <c r="AH131" i="1"/>
  <c r="AH140" i="1"/>
  <c r="AH141" i="1"/>
  <c r="AH142" i="1"/>
  <c r="AH143" i="1"/>
  <c r="AH144" i="1"/>
  <c r="AH145" i="1"/>
  <c r="AH147" i="1"/>
  <c r="AH148" i="1"/>
  <c r="AH159" i="1"/>
  <c r="AH161" i="1"/>
  <c r="AH173" i="1"/>
  <c r="AH180" i="1"/>
  <c r="AH181" i="1"/>
  <c r="AH188" i="1"/>
  <c r="AH189" i="1"/>
  <c r="AH190" i="1"/>
  <c r="AH191" i="1"/>
  <c r="AH206" i="1"/>
  <c r="AH207" i="1"/>
  <c r="AH208" i="1"/>
  <c r="AH209" i="1"/>
  <c r="AH210" i="1"/>
  <c r="AH211" i="1"/>
  <c r="AH212" i="1"/>
  <c r="AH213" i="1"/>
  <c r="AH214" i="1"/>
  <c r="AH218" i="1"/>
  <c r="AH219" i="1"/>
  <c r="AH220" i="1"/>
  <c r="AH221" i="1"/>
  <c r="AH222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66" i="1"/>
  <c r="AH67" i="1"/>
  <c r="AH115" i="1"/>
  <c r="AH116" i="1"/>
  <c r="AH117" i="1"/>
  <c r="AH119" i="1"/>
  <c r="AH153" i="1"/>
  <c r="AH156" i="1"/>
  <c r="AH171" i="1"/>
  <c r="AH178" i="1"/>
  <c r="AH187" i="1"/>
  <c r="AH200" i="1"/>
  <c r="AH204" i="1"/>
  <c r="AH251" i="1"/>
  <c r="AH71" i="1"/>
  <c r="AH72" i="1"/>
  <c r="AH87" i="1"/>
  <c r="AH88" i="1"/>
  <c r="AH89" i="1"/>
  <c r="AH90" i="1"/>
  <c r="AH91" i="1"/>
  <c r="AH123" i="1"/>
  <c r="AH163" i="1"/>
  <c r="AH165" i="1"/>
  <c r="AH199" i="1"/>
  <c r="AH203" i="1"/>
  <c r="AH249" i="1"/>
  <c r="AH46" i="1"/>
  <c r="AH111" i="1"/>
  <c r="AH58" i="1"/>
  <c r="AH160" i="1"/>
  <c r="AH216" i="1"/>
  <c r="AH217" i="1"/>
  <c r="AH118" i="1"/>
  <c r="AH154" i="1"/>
  <c r="AH155" i="1"/>
  <c r="AH157" i="1"/>
  <c r="AH158" i="1"/>
  <c r="AH172" i="1"/>
  <c r="AH177" i="1"/>
  <c r="AH179" i="1"/>
  <c r="AH164" i="1"/>
  <c r="AH198" i="1"/>
  <c r="AH201" i="1"/>
  <c r="AH202" i="1"/>
  <c r="AH205" i="1"/>
  <c r="AH250" i="1"/>
  <c r="AH80" i="1"/>
  <c r="AH81" i="1"/>
  <c r="AH112" i="1"/>
  <c r="F12" i="6"/>
  <c r="I12" i="6"/>
  <c r="G12" i="6"/>
  <c r="H12" i="6"/>
  <c r="F13" i="6"/>
  <c r="I13" i="6"/>
  <c r="H13" i="6"/>
  <c r="G13" i="6"/>
  <c r="F19" i="6"/>
  <c r="G19" i="6"/>
  <c r="H19" i="6"/>
  <c r="I19" i="6"/>
  <c r="B20" i="6"/>
  <c r="J7" i="1"/>
  <c r="AI13" i="1"/>
  <c r="AH13" i="1"/>
  <c r="W13" i="1"/>
  <c r="U13" i="1"/>
  <c r="S13" i="1" s="1"/>
  <c r="B21" i="6" l="1"/>
  <c r="H20" i="6"/>
  <c r="I20" i="6"/>
  <c r="F20" i="6"/>
  <c r="G20" i="6"/>
  <c r="X6" i="1"/>
  <c r="W6" i="1"/>
  <c r="V6" i="1"/>
  <c r="S6" i="1"/>
  <c r="R2" i="1"/>
  <c r="I2" i="1"/>
  <c r="O6" i="1"/>
  <c r="N6" i="1"/>
  <c r="M6" i="1"/>
  <c r="J6" i="1"/>
  <c r="F21" i="6" l="1"/>
  <c r="G21" i="6"/>
  <c r="H21" i="6"/>
  <c r="I21" i="6"/>
  <c r="B22" i="6"/>
  <c r="P3" i="5"/>
  <c r="B23" i="6" l="1"/>
  <c r="H22" i="6"/>
  <c r="I22" i="6"/>
  <c r="F22" i="6"/>
  <c r="G22" i="6"/>
  <c r="M18" i="5"/>
  <c r="F23" i="6" l="1"/>
  <c r="G23" i="6"/>
  <c r="H23" i="6"/>
  <c r="I23" i="6"/>
  <c r="B24" i="6"/>
  <c r="F282" i="4"/>
  <c r="G282" i="4"/>
  <c r="F283" i="4"/>
  <c r="G283" i="4"/>
  <c r="F284" i="4"/>
  <c r="G284" i="4"/>
  <c r="F285" i="4"/>
  <c r="G285" i="4"/>
  <c r="F286" i="4"/>
  <c r="G286" i="4"/>
  <c r="F287" i="4"/>
  <c r="G287" i="4"/>
  <c r="F288" i="4"/>
  <c r="G288" i="4"/>
  <c r="F289" i="4"/>
  <c r="G289" i="4"/>
  <c r="F290" i="4"/>
  <c r="G290" i="4"/>
  <c r="F291" i="4"/>
  <c r="G291" i="4"/>
  <c r="F292" i="4"/>
  <c r="G292" i="4"/>
  <c r="F293" i="4"/>
  <c r="G293" i="4"/>
  <c r="F294" i="4"/>
  <c r="G294" i="4"/>
  <c r="F295" i="4"/>
  <c r="G295" i="4"/>
  <c r="F296" i="4"/>
  <c r="G296" i="4"/>
  <c r="F297" i="4"/>
  <c r="G297" i="4"/>
  <c r="F298" i="4"/>
  <c r="G298" i="4"/>
  <c r="F299" i="4"/>
  <c r="G299" i="4"/>
  <c r="F300" i="4"/>
  <c r="G300" i="4"/>
  <c r="F301" i="4"/>
  <c r="G301" i="4"/>
  <c r="F302" i="4"/>
  <c r="G302" i="4"/>
  <c r="F303" i="4"/>
  <c r="G303" i="4"/>
  <c r="F304" i="4"/>
  <c r="G304" i="4"/>
  <c r="F305" i="4"/>
  <c r="G305" i="4"/>
  <c r="F306" i="4"/>
  <c r="G306" i="4"/>
  <c r="F307" i="4"/>
  <c r="G307" i="4"/>
  <c r="F308" i="4"/>
  <c r="G308" i="4"/>
  <c r="F309" i="4"/>
  <c r="G309" i="4"/>
  <c r="F310" i="4"/>
  <c r="G310" i="4"/>
  <c r="F311" i="4"/>
  <c r="G311" i="4"/>
  <c r="F312" i="4"/>
  <c r="G312" i="4"/>
  <c r="F313" i="4"/>
  <c r="G313" i="4"/>
  <c r="F314" i="4"/>
  <c r="G314" i="4"/>
  <c r="F315" i="4"/>
  <c r="G315" i="4"/>
  <c r="F316" i="4"/>
  <c r="G316" i="4"/>
  <c r="F317" i="4"/>
  <c r="G317" i="4"/>
  <c r="F318" i="4"/>
  <c r="G318" i="4"/>
  <c r="F319" i="4"/>
  <c r="G319" i="4"/>
  <c r="F320" i="4"/>
  <c r="G320" i="4"/>
  <c r="F321" i="4"/>
  <c r="G321" i="4"/>
  <c r="F322" i="4"/>
  <c r="G322" i="4"/>
  <c r="F323" i="4"/>
  <c r="G323" i="4"/>
  <c r="F324" i="4"/>
  <c r="G324" i="4"/>
  <c r="F325" i="4"/>
  <c r="G325" i="4"/>
  <c r="F326" i="4"/>
  <c r="G326" i="4"/>
  <c r="F327" i="4"/>
  <c r="G327" i="4"/>
  <c r="F328" i="4"/>
  <c r="G328" i="4"/>
  <c r="F329" i="4"/>
  <c r="G329" i="4"/>
  <c r="F330" i="4"/>
  <c r="G330" i="4"/>
  <c r="F331" i="4"/>
  <c r="G331" i="4"/>
  <c r="F332" i="4"/>
  <c r="G332" i="4"/>
  <c r="F333" i="4"/>
  <c r="G333" i="4"/>
  <c r="F334" i="4"/>
  <c r="G334" i="4"/>
  <c r="F335" i="4"/>
  <c r="G335" i="4"/>
  <c r="F336" i="4"/>
  <c r="G336" i="4"/>
  <c r="F337" i="4"/>
  <c r="G337" i="4"/>
  <c r="F338" i="4"/>
  <c r="G338" i="4"/>
  <c r="F339" i="4"/>
  <c r="G339" i="4"/>
  <c r="F340" i="4"/>
  <c r="G340" i="4"/>
  <c r="F341" i="4"/>
  <c r="G341" i="4"/>
  <c r="F342" i="4"/>
  <c r="G342" i="4"/>
  <c r="F343" i="4"/>
  <c r="G343" i="4"/>
  <c r="F344" i="4"/>
  <c r="G344" i="4"/>
  <c r="F345" i="4"/>
  <c r="G345" i="4"/>
  <c r="F346" i="4"/>
  <c r="G346" i="4"/>
  <c r="F347" i="4"/>
  <c r="G347" i="4"/>
  <c r="F348" i="4"/>
  <c r="G348" i="4"/>
  <c r="F349" i="4"/>
  <c r="G349" i="4"/>
  <c r="F350" i="4"/>
  <c r="G350" i="4"/>
  <c r="F351" i="4"/>
  <c r="G351" i="4"/>
  <c r="F352" i="4"/>
  <c r="G352" i="4"/>
  <c r="F353" i="4"/>
  <c r="G353" i="4"/>
  <c r="F354" i="4"/>
  <c r="G354" i="4"/>
  <c r="F355" i="4"/>
  <c r="G355" i="4"/>
  <c r="F356" i="4"/>
  <c r="G356" i="4"/>
  <c r="F357" i="4"/>
  <c r="G357" i="4"/>
  <c r="F358" i="4"/>
  <c r="G358" i="4"/>
  <c r="F359" i="4"/>
  <c r="G359" i="4"/>
  <c r="F360" i="4"/>
  <c r="G360" i="4"/>
  <c r="F361" i="4"/>
  <c r="G361" i="4"/>
  <c r="F362" i="4"/>
  <c r="G362" i="4"/>
  <c r="F363" i="4"/>
  <c r="G363" i="4"/>
  <c r="F364" i="4"/>
  <c r="G364" i="4"/>
  <c r="F365" i="4"/>
  <c r="G365" i="4"/>
  <c r="F366" i="4"/>
  <c r="G366" i="4"/>
  <c r="F367" i="4"/>
  <c r="G367" i="4"/>
  <c r="F368" i="4"/>
  <c r="G368" i="4"/>
  <c r="F369" i="4"/>
  <c r="G369" i="4"/>
  <c r="F370" i="4"/>
  <c r="G370" i="4"/>
  <c r="F371" i="4"/>
  <c r="G371" i="4"/>
  <c r="F372" i="4"/>
  <c r="G372" i="4"/>
  <c r="F373" i="4"/>
  <c r="G373" i="4"/>
  <c r="F374" i="4"/>
  <c r="G374" i="4"/>
  <c r="F375" i="4"/>
  <c r="G375" i="4"/>
  <c r="F376" i="4"/>
  <c r="G376" i="4"/>
  <c r="F377" i="4"/>
  <c r="G377" i="4"/>
  <c r="F378" i="4"/>
  <c r="G378" i="4"/>
  <c r="F379" i="4"/>
  <c r="G379" i="4"/>
  <c r="F380" i="4"/>
  <c r="G380" i="4"/>
  <c r="F381" i="4"/>
  <c r="G381" i="4"/>
  <c r="F382" i="4"/>
  <c r="G382" i="4"/>
  <c r="F383" i="4"/>
  <c r="G383" i="4"/>
  <c r="F384" i="4"/>
  <c r="G384" i="4"/>
  <c r="F385" i="4"/>
  <c r="G385" i="4"/>
  <c r="F386" i="4"/>
  <c r="G386" i="4"/>
  <c r="F387" i="4"/>
  <c r="G387" i="4"/>
  <c r="F388" i="4"/>
  <c r="G388" i="4"/>
  <c r="F389" i="4"/>
  <c r="G389" i="4"/>
  <c r="F390" i="4"/>
  <c r="G390" i="4"/>
  <c r="F391" i="4"/>
  <c r="G391" i="4"/>
  <c r="F392" i="4"/>
  <c r="G392" i="4"/>
  <c r="F393" i="4"/>
  <c r="G393" i="4"/>
  <c r="F394" i="4"/>
  <c r="G394" i="4"/>
  <c r="F395" i="4"/>
  <c r="G395" i="4"/>
  <c r="F396" i="4"/>
  <c r="G396" i="4"/>
  <c r="F397" i="4"/>
  <c r="G397" i="4"/>
  <c r="F398" i="4"/>
  <c r="G398" i="4"/>
  <c r="F399" i="4"/>
  <c r="G399" i="4"/>
  <c r="F400" i="4"/>
  <c r="G400" i="4"/>
  <c r="F401" i="4"/>
  <c r="G401" i="4"/>
  <c r="F402" i="4"/>
  <c r="G402" i="4"/>
  <c r="F403" i="4"/>
  <c r="G403" i="4"/>
  <c r="F404" i="4"/>
  <c r="G404" i="4"/>
  <c r="F405" i="4"/>
  <c r="G405" i="4"/>
  <c r="F406" i="4"/>
  <c r="G406" i="4"/>
  <c r="F407" i="4"/>
  <c r="G407" i="4"/>
  <c r="F408" i="4"/>
  <c r="G408" i="4"/>
  <c r="F409" i="4"/>
  <c r="G409" i="4"/>
  <c r="F410" i="4"/>
  <c r="G410" i="4"/>
  <c r="F411" i="4"/>
  <c r="G411" i="4"/>
  <c r="F412" i="4"/>
  <c r="G412" i="4"/>
  <c r="F413" i="4"/>
  <c r="G413" i="4"/>
  <c r="F414" i="4"/>
  <c r="G414" i="4"/>
  <c r="F415" i="4"/>
  <c r="G415" i="4"/>
  <c r="F416" i="4"/>
  <c r="G416" i="4"/>
  <c r="F417" i="4"/>
  <c r="G417" i="4"/>
  <c r="F418" i="4"/>
  <c r="G418" i="4"/>
  <c r="F419" i="4"/>
  <c r="G419" i="4"/>
  <c r="F420" i="4"/>
  <c r="G420" i="4"/>
  <c r="F421" i="4"/>
  <c r="G421" i="4"/>
  <c r="F422" i="4"/>
  <c r="G422" i="4"/>
  <c r="F423" i="4"/>
  <c r="G423" i="4"/>
  <c r="F424" i="4"/>
  <c r="G424" i="4"/>
  <c r="F425" i="4"/>
  <c r="G425" i="4"/>
  <c r="F426" i="4"/>
  <c r="G426" i="4"/>
  <c r="F427" i="4"/>
  <c r="G427" i="4"/>
  <c r="F428" i="4"/>
  <c r="G428" i="4"/>
  <c r="F429" i="4"/>
  <c r="G429" i="4"/>
  <c r="F430" i="4"/>
  <c r="G430" i="4"/>
  <c r="F431" i="4"/>
  <c r="G431" i="4"/>
  <c r="F432" i="4"/>
  <c r="G432" i="4"/>
  <c r="F433" i="4"/>
  <c r="G433" i="4"/>
  <c r="F434" i="4"/>
  <c r="G434" i="4"/>
  <c r="F435" i="4"/>
  <c r="G435" i="4"/>
  <c r="F436" i="4"/>
  <c r="G436" i="4"/>
  <c r="F437" i="4"/>
  <c r="G437" i="4"/>
  <c r="F438" i="4"/>
  <c r="G438" i="4"/>
  <c r="F439" i="4"/>
  <c r="G439" i="4"/>
  <c r="F440" i="4"/>
  <c r="G440" i="4"/>
  <c r="F441" i="4"/>
  <c r="G441" i="4"/>
  <c r="F442" i="4"/>
  <c r="G442" i="4"/>
  <c r="F443" i="4"/>
  <c r="G443" i="4"/>
  <c r="F444" i="4"/>
  <c r="G444" i="4"/>
  <c r="F445" i="4"/>
  <c r="G445" i="4"/>
  <c r="F446" i="4"/>
  <c r="G446" i="4"/>
  <c r="F447" i="4"/>
  <c r="G447" i="4"/>
  <c r="F448" i="4"/>
  <c r="G448" i="4"/>
  <c r="F449" i="4"/>
  <c r="G449" i="4"/>
  <c r="F450" i="4"/>
  <c r="G450" i="4"/>
  <c r="F451" i="4"/>
  <c r="G451" i="4"/>
  <c r="F452" i="4"/>
  <c r="G452" i="4"/>
  <c r="F453" i="4"/>
  <c r="G453" i="4"/>
  <c r="F454" i="4"/>
  <c r="G454" i="4"/>
  <c r="F455" i="4"/>
  <c r="G455" i="4"/>
  <c r="F456" i="4"/>
  <c r="G456" i="4"/>
  <c r="F457" i="4"/>
  <c r="G457" i="4"/>
  <c r="F458" i="4"/>
  <c r="G458" i="4"/>
  <c r="F459" i="4"/>
  <c r="G459" i="4"/>
  <c r="F460" i="4"/>
  <c r="G460" i="4"/>
  <c r="F461" i="4"/>
  <c r="G461" i="4"/>
  <c r="F462" i="4"/>
  <c r="G462" i="4"/>
  <c r="F463" i="4"/>
  <c r="G463" i="4"/>
  <c r="F464" i="4"/>
  <c r="G464" i="4"/>
  <c r="F465" i="4"/>
  <c r="G465" i="4"/>
  <c r="F466" i="4"/>
  <c r="G466" i="4"/>
  <c r="F467" i="4"/>
  <c r="G467" i="4"/>
  <c r="F468" i="4"/>
  <c r="G468" i="4"/>
  <c r="F469" i="4"/>
  <c r="G469" i="4"/>
  <c r="F470" i="4"/>
  <c r="G470" i="4"/>
  <c r="F471" i="4"/>
  <c r="G471" i="4"/>
  <c r="F472" i="4"/>
  <c r="G472" i="4"/>
  <c r="F473" i="4"/>
  <c r="G473" i="4"/>
  <c r="F474" i="4"/>
  <c r="G474" i="4"/>
  <c r="F475" i="4"/>
  <c r="G475" i="4"/>
  <c r="F476" i="4"/>
  <c r="G476" i="4"/>
  <c r="F477" i="4"/>
  <c r="G477" i="4"/>
  <c r="F478" i="4"/>
  <c r="G478" i="4"/>
  <c r="F479" i="4"/>
  <c r="G479" i="4"/>
  <c r="F480" i="4"/>
  <c r="G480" i="4"/>
  <c r="F481" i="4"/>
  <c r="G481" i="4"/>
  <c r="F482" i="4"/>
  <c r="G482" i="4"/>
  <c r="F483" i="4"/>
  <c r="G483" i="4"/>
  <c r="F484" i="4"/>
  <c r="G484" i="4"/>
  <c r="F485" i="4"/>
  <c r="G485" i="4"/>
  <c r="F486" i="4"/>
  <c r="G486" i="4"/>
  <c r="F487" i="4"/>
  <c r="G487" i="4"/>
  <c r="F488" i="4"/>
  <c r="G488" i="4"/>
  <c r="F489" i="4"/>
  <c r="G489" i="4"/>
  <c r="F490" i="4"/>
  <c r="G490" i="4"/>
  <c r="F491" i="4"/>
  <c r="G491" i="4"/>
  <c r="F492" i="4"/>
  <c r="G492" i="4"/>
  <c r="F493" i="4"/>
  <c r="G493" i="4"/>
  <c r="F494" i="4"/>
  <c r="G494" i="4"/>
  <c r="F495" i="4"/>
  <c r="G495" i="4"/>
  <c r="F496" i="4"/>
  <c r="G496" i="4"/>
  <c r="F497" i="4"/>
  <c r="G497" i="4"/>
  <c r="F498" i="4"/>
  <c r="G498" i="4"/>
  <c r="F499" i="4"/>
  <c r="G499" i="4"/>
  <c r="F500" i="4"/>
  <c r="G500" i="4"/>
  <c r="F501" i="4"/>
  <c r="G501" i="4"/>
  <c r="F502" i="4"/>
  <c r="G502" i="4"/>
  <c r="F503" i="4"/>
  <c r="G503" i="4"/>
  <c r="F504" i="4"/>
  <c r="G504" i="4"/>
  <c r="F505" i="4"/>
  <c r="G505" i="4"/>
  <c r="F506" i="4"/>
  <c r="G506" i="4"/>
  <c r="F507" i="4"/>
  <c r="G507" i="4"/>
  <c r="F508" i="4"/>
  <c r="G508" i="4"/>
  <c r="F509" i="4"/>
  <c r="G509" i="4"/>
  <c r="F510" i="4"/>
  <c r="G510" i="4"/>
  <c r="F511" i="4"/>
  <c r="G511" i="4"/>
  <c r="F512" i="4"/>
  <c r="G512" i="4"/>
  <c r="F513" i="4"/>
  <c r="G513" i="4"/>
  <c r="F514" i="4"/>
  <c r="G514" i="4"/>
  <c r="F515" i="4"/>
  <c r="G515" i="4"/>
  <c r="F516" i="4"/>
  <c r="G516" i="4"/>
  <c r="F517" i="4"/>
  <c r="G517" i="4"/>
  <c r="F518" i="4"/>
  <c r="G518" i="4"/>
  <c r="F519" i="4"/>
  <c r="G519" i="4"/>
  <c r="F520" i="4"/>
  <c r="G520" i="4"/>
  <c r="F521" i="4"/>
  <c r="G521" i="4"/>
  <c r="F522" i="4"/>
  <c r="G522" i="4"/>
  <c r="F523" i="4"/>
  <c r="G523" i="4"/>
  <c r="F524" i="4"/>
  <c r="G524" i="4"/>
  <c r="F525" i="4"/>
  <c r="G525" i="4"/>
  <c r="F526" i="4"/>
  <c r="G526" i="4"/>
  <c r="F527" i="4"/>
  <c r="G527" i="4"/>
  <c r="F528" i="4"/>
  <c r="G528" i="4"/>
  <c r="F529" i="4"/>
  <c r="G529" i="4"/>
  <c r="F530" i="4"/>
  <c r="G530" i="4"/>
  <c r="F531" i="4"/>
  <c r="G531" i="4"/>
  <c r="F532" i="4"/>
  <c r="G532" i="4"/>
  <c r="F533" i="4"/>
  <c r="G533" i="4"/>
  <c r="F534" i="4"/>
  <c r="G534" i="4"/>
  <c r="F535" i="4"/>
  <c r="G535" i="4"/>
  <c r="F536" i="4"/>
  <c r="G536" i="4"/>
  <c r="F537" i="4"/>
  <c r="G537" i="4"/>
  <c r="F538" i="4"/>
  <c r="G538" i="4"/>
  <c r="F539" i="4"/>
  <c r="G539" i="4"/>
  <c r="F540" i="4"/>
  <c r="G540" i="4"/>
  <c r="F541" i="4"/>
  <c r="G541" i="4"/>
  <c r="F542" i="4"/>
  <c r="G542" i="4"/>
  <c r="F543" i="4"/>
  <c r="G543" i="4"/>
  <c r="B25" i="6" l="1"/>
  <c r="H24" i="6"/>
  <c r="I24" i="6"/>
  <c r="F24" i="6"/>
  <c r="G24" i="6"/>
  <c r="V5" i="1"/>
  <c r="V8" i="1" s="1"/>
  <c r="F266" i="4"/>
  <c r="G266" i="4"/>
  <c r="F267" i="4"/>
  <c r="G267" i="4"/>
  <c r="F268" i="4"/>
  <c r="G268" i="4"/>
  <c r="F269" i="4"/>
  <c r="G269" i="4"/>
  <c r="F270" i="4"/>
  <c r="G270" i="4"/>
  <c r="F271" i="4"/>
  <c r="G271" i="4"/>
  <c r="F272" i="4"/>
  <c r="G272" i="4"/>
  <c r="F273" i="4"/>
  <c r="G273" i="4"/>
  <c r="F274" i="4"/>
  <c r="G274" i="4"/>
  <c r="F275" i="4"/>
  <c r="G275" i="4"/>
  <c r="F276" i="4"/>
  <c r="G276" i="4"/>
  <c r="F277" i="4"/>
  <c r="G277" i="4"/>
  <c r="F278" i="4"/>
  <c r="G278" i="4"/>
  <c r="F279" i="4"/>
  <c r="G279" i="4"/>
  <c r="F280" i="4"/>
  <c r="G280" i="4"/>
  <c r="F281" i="4"/>
  <c r="G281" i="4"/>
  <c r="F25" i="6" l="1"/>
  <c r="G25" i="6"/>
  <c r="H25" i="6"/>
  <c r="I25" i="6"/>
  <c r="B26" i="6"/>
  <c r="F236" i="4"/>
  <c r="G236" i="4"/>
  <c r="F237" i="4"/>
  <c r="G237" i="4"/>
  <c r="F238" i="4"/>
  <c r="G238" i="4"/>
  <c r="F239" i="4"/>
  <c r="G239" i="4"/>
  <c r="F240" i="4"/>
  <c r="G240" i="4"/>
  <c r="F241" i="4"/>
  <c r="G241" i="4"/>
  <c r="F242" i="4"/>
  <c r="G242" i="4"/>
  <c r="F243" i="4"/>
  <c r="G243" i="4"/>
  <c r="F244" i="4"/>
  <c r="G244" i="4"/>
  <c r="F245" i="4"/>
  <c r="G245" i="4"/>
  <c r="F246" i="4"/>
  <c r="G246" i="4"/>
  <c r="F247" i="4"/>
  <c r="G247" i="4"/>
  <c r="F248" i="4"/>
  <c r="G248" i="4"/>
  <c r="F249" i="4"/>
  <c r="G249" i="4"/>
  <c r="F250" i="4"/>
  <c r="G250" i="4"/>
  <c r="F251" i="4"/>
  <c r="G251" i="4"/>
  <c r="F252" i="4"/>
  <c r="G252" i="4"/>
  <c r="F253" i="4"/>
  <c r="G253" i="4"/>
  <c r="F254" i="4"/>
  <c r="G254" i="4"/>
  <c r="F255" i="4"/>
  <c r="G255" i="4"/>
  <c r="F256" i="4"/>
  <c r="G256" i="4"/>
  <c r="F257" i="4"/>
  <c r="G257" i="4"/>
  <c r="F258" i="4"/>
  <c r="G258" i="4"/>
  <c r="F259" i="4"/>
  <c r="G259" i="4"/>
  <c r="F260" i="4"/>
  <c r="G260" i="4"/>
  <c r="F261" i="4"/>
  <c r="G261" i="4"/>
  <c r="F262" i="4"/>
  <c r="G262" i="4"/>
  <c r="F263" i="4"/>
  <c r="G263" i="4"/>
  <c r="F264" i="4"/>
  <c r="G264" i="4"/>
  <c r="F265" i="4"/>
  <c r="G265" i="4"/>
  <c r="F2" i="4"/>
  <c r="G2" i="4"/>
  <c r="F3" i="4"/>
  <c r="G3" i="4"/>
  <c r="F4" i="4"/>
  <c r="G4" i="4"/>
  <c r="F5" i="4"/>
  <c r="G5" i="4"/>
  <c r="F6" i="4"/>
  <c r="G6" i="4"/>
  <c r="F7" i="4"/>
  <c r="G7" i="4"/>
  <c r="F8" i="4"/>
  <c r="G8" i="4"/>
  <c r="F9" i="4"/>
  <c r="G9" i="4"/>
  <c r="F10" i="4"/>
  <c r="G10" i="4"/>
  <c r="F11" i="4"/>
  <c r="G11" i="4"/>
  <c r="F12" i="4"/>
  <c r="G12" i="4"/>
  <c r="F13" i="4"/>
  <c r="G13" i="4"/>
  <c r="F14" i="4"/>
  <c r="G14" i="4"/>
  <c r="F15" i="4"/>
  <c r="G15" i="4"/>
  <c r="F16" i="4"/>
  <c r="G16" i="4"/>
  <c r="F17" i="4"/>
  <c r="G17" i="4"/>
  <c r="F18" i="4"/>
  <c r="G18" i="4"/>
  <c r="F19" i="4"/>
  <c r="G19" i="4"/>
  <c r="F20" i="4"/>
  <c r="G20" i="4"/>
  <c r="F21" i="4"/>
  <c r="G21" i="4"/>
  <c r="F22" i="4"/>
  <c r="G22" i="4"/>
  <c r="F23" i="4"/>
  <c r="G23" i="4"/>
  <c r="F24" i="4"/>
  <c r="G24" i="4"/>
  <c r="F25" i="4"/>
  <c r="G25" i="4"/>
  <c r="F26" i="4"/>
  <c r="G26" i="4"/>
  <c r="F27" i="4"/>
  <c r="G27" i="4"/>
  <c r="F28" i="4"/>
  <c r="G28" i="4"/>
  <c r="F29" i="4"/>
  <c r="G29" i="4"/>
  <c r="F30" i="4"/>
  <c r="G30" i="4"/>
  <c r="F31" i="4"/>
  <c r="G31" i="4"/>
  <c r="F32" i="4"/>
  <c r="G32" i="4"/>
  <c r="F33" i="4"/>
  <c r="G33" i="4"/>
  <c r="F34" i="4"/>
  <c r="G34" i="4"/>
  <c r="F35" i="4"/>
  <c r="G35" i="4"/>
  <c r="F36" i="4"/>
  <c r="G36" i="4"/>
  <c r="F37" i="4"/>
  <c r="G37" i="4"/>
  <c r="F38" i="4"/>
  <c r="G38" i="4"/>
  <c r="F39" i="4"/>
  <c r="G39" i="4"/>
  <c r="F40" i="4"/>
  <c r="G40" i="4"/>
  <c r="F41" i="4"/>
  <c r="G41" i="4"/>
  <c r="F42" i="4"/>
  <c r="G42" i="4"/>
  <c r="F43" i="4"/>
  <c r="G43" i="4"/>
  <c r="F44" i="4"/>
  <c r="G44" i="4"/>
  <c r="F45" i="4"/>
  <c r="G45" i="4"/>
  <c r="F46" i="4"/>
  <c r="G46" i="4"/>
  <c r="F47" i="4"/>
  <c r="G47" i="4"/>
  <c r="F48" i="4"/>
  <c r="G48" i="4"/>
  <c r="F49" i="4"/>
  <c r="G49" i="4"/>
  <c r="F50" i="4"/>
  <c r="G50" i="4"/>
  <c r="F51" i="4"/>
  <c r="G51" i="4"/>
  <c r="F52" i="4"/>
  <c r="G52" i="4"/>
  <c r="F53" i="4"/>
  <c r="G53" i="4"/>
  <c r="F54" i="4"/>
  <c r="G54" i="4"/>
  <c r="F55" i="4"/>
  <c r="G55" i="4"/>
  <c r="F56" i="4"/>
  <c r="G56" i="4"/>
  <c r="F57" i="4"/>
  <c r="G57" i="4"/>
  <c r="F58" i="4"/>
  <c r="G58" i="4"/>
  <c r="F59" i="4"/>
  <c r="G59" i="4"/>
  <c r="F60" i="4"/>
  <c r="G60" i="4"/>
  <c r="F61" i="4"/>
  <c r="G61" i="4"/>
  <c r="F62" i="4"/>
  <c r="G62" i="4"/>
  <c r="F63" i="4"/>
  <c r="G63" i="4"/>
  <c r="F64" i="4"/>
  <c r="G64" i="4"/>
  <c r="F65" i="4"/>
  <c r="G65" i="4"/>
  <c r="F66" i="4"/>
  <c r="G66" i="4"/>
  <c r="F67" i="4"/>
  <c r="G67" i="4"/>
  <c r="F68" i="4"/>
  <c r="G68" i="4"/>
  <c r="F69" i="4"/>
  <c r="G69" i="4"/>
  <c r="F70" i="4"/>
  <c r="G70" i="4"/>
  <c r="F71" i="4"/>
  <c r="G71" i="4"/>
  <c r="F72" i="4"/>
  <c r="G72" i="4"/>
  <c r="F73" i="4"/>
  <c r="G73" i="4"/>
  <c r="F74" i="4"/>
  <c r="G74" i="4"/>
  <c r="F75" i="4"/>
  <c r="G75" i="4"/>
  <c r="F76" i="4"/>
  <c r="G76" i="4"/>
  <c r="F77" i="4"/>
  <c r="G77" i="4"/>
  <c r="F78" i="4"/>
  <c r="G78" i="4"/>
  <c r="F79" i="4"/>
  <c r="G79" i="4"/>
  <c r="F80" i="4"/>
  <c r="G80" i="4"/>
  <c r="F81" i="4"/>
  <c r="G81" i="4"/>
  <c r="F82" i="4"/>
  <c r="G82" i="4"/>
  <c r="F83" i="4"/>
  <c r="G83" i="4"/>
  <c r="F84" i="4"/>
  <c r="G84" i="4"/>
  <c r="F85" i="4"/>
  <c r="G85" i="4"/>
  <c r="F86" i="4"/>
  <c r="G86" i="4"/>
  <c r="F87" i="4"/>
  <c r="G87" i="4"/>
  <c r="F88" i="4"/>
  <c r="G88" i="4"/>
  <c r="F89" i="4"/>
  <c r="G89" i="4"/>
  <c r="F90" i="4"/>
  <c r="G90" i="4"/>
  <c r="F91" i="4"/>
  <c r="G91" i="4"/>
  <c r="F92" i="4"/>
  <c r="G92" i="4"/>
  <c r="F93" i="4"/>
  <c r="G93" i="4"/>
  <c r="F94" i="4"/>
  <c r="G94" i="4"/>
  <c r="F95" i="4"/>
  <c r="G95" i="4"/>
  <c r="F96" i="4"/>
  <c r="G96" i="4"/>
  <c r="F97" i="4"/>
  <c r="G97" i="4"/>
  <c r="F98" i="4"/>
  <c r="G98" i="4"/>
  <c r="F99" i="4"/>
  <c r="G99" i="4"/>
  <c r="F100" i="4"/>
  <c r="G100" i="4"/>
  <c r="F101" i="4"/>
  <c r="G101" i="4"/>
  <c r="F102" i="4"/>
  <c r="G102" i="4"/>
  <c r="F103" i="4"/>
  <c r="G103" i="4"/>
  <c r="F104" i="4"/>
  <c r="G104" i="4"/>
  <c r="F105" i="4"/>
  <c r="G105" i="4"/>
  <c r="F106" i="4"/>
  <c r="G106" i="4"/>
  <c r="F107" i="4"/>
  <c r="G107" i="4"/>
  <c r="F108" i="4"/>
  <c r="G108" i="4"/>
  <c r="F109" i="4"/>
  <c r="G109" i="4"/>
  <c r="F110" i="4"/>
  <c r="G110" i="4"/>
  <c r="F111" i="4"/>
  <c r="G111" i="4"/>
  <c r="F112" i="4"/>
  <c r="G112" i="4"/>
  <c r="F113" i="4"/>
  <c r="G113" i="4"/>
  <c r="F114" i="4"/>
  <c r="G114" i="4"/>
  <c r="F115" i="4"/>
  <c r="G115" i="4"/>
  <c r="F116" i="4"/>
  <c r="G116" i="4"/>
  <c r="F117" i="4"/>
  <c r="G117" i="4"/>
  <c r="F118" i="4"/>
  <c r="G118" i="4"/>
  <c r="F119" i="4"/>
  <c r="G119" i="4"/>
  <c r="F120" i="4"/>
  <c r="G120" i="4"/>
  <c r="F121" i="4"/>
  <c r="G121" i="4"/>
  <c r="F122" i="4"/>
  <c r="G122" i="4"/>
  <c r="F123" i="4"/>
  <c r="G123" i="4"/>
  <c r="F124" i="4"/>
  <c r="G124" i="4"/>
  <c r="F125" i="4"/>
  <c r="G125" i="4"/>
  <c r="F126" i="4"/>
  <c r="G126" i="4"/>
  <c r="F127" i="4"/>
  <c r="G127" i="4"/>
  <c r="F128" i="4"/>
  <c r="G128" i="4"/>
  <c r="F129" i="4"/>
  <c r="G129" i="4"/>
  <c r="F130" i="4"/>
  <c r="G130" i="4"/>
  <c r="F131" i="4"/>
  <c r="G131" i="4"/>
  <c r="F132" i="4"/>
  <c r="G132" i="4"/>
  <c r="F133" i="4"/>
  <c r="G133" i="4"/>
  <c r="F134" i="4"/>
  <c r="G134" i="4"/>
  <c r="F135" i="4"/>
  <c r="G135" i="4"/>
  <c r="F136" i="4"/>
  <c r="G136" i="4"/>
  <c r="F137" i="4"/>
  <c r="G137" i="4"/>
  <c r="F138" i="4"/>
  <c r="G138" i="4"/>
  <c r="F139" i="4"/>
  <c r="G139" i="4"/>
  <c r="F140" i="4"/>
  <c r="G140" i="4"/>
  <c r="F141" i="4"/>
  <c r="G141" i="4"/>
  <c r="F142" i="4"/>
  <c r="G142" i="4"/>
  <c r="F143" i="4"/>
  <c r="G143" i="4"/>
  <c r="F144" i="4"/>
  <c r="G144" i="4"/>
  <c r="F145" i="4"/>
  <c r="G145" i="4"/>
  <c r="F146" i="4"/>
  <c r="G146" i="4"/>
  <c r="F147" i="4"/>
  <c r="G147" i="4"/>
  <c r="F148" i="4"/>
  <c r="G148" i="4"/>
  <c r="F149" i="4"/>
  <c r="G149" i="4"/>
  <c r="F150" i="4"/>
  <c r="G150" i="4"/>
  <c r="F151" i="4"/>
  <c r="G151" i="4"/>
  <c r="F152" i="4"/>
  <c r="G152" i="4"/>
  <c r="F153" i="4"/>
  <c r="G153" i="4"/>
  <c r="F154" i="4"/>
  <c r="G154" i="4"/>
  <c r="F155" i="4"/>
  <c r="G155" i="4"/>
  <c r="F156" i="4"/>
  <c r="G156" i="4"/>
  <c r="F157" i="4"/>
  <c r="G157" i="4"/>
  <c r="F158" i="4"/>
  <c r="G158" i="4"/>
  <c r="F159" i="4"/>
  <c r="G159" i="4"/>
  <c r="F160" i="4"/>
  <c r="G160" i="4"/>
  <c r="F161" i="4"/>
  <c r="G161" i="4"/>
  <c r="F162" i="4"/>
  <c r="G162" i="4"/>
  <c r="F163" i="4"/>
  <c r="G163" i="4"/>
  <c r="F164" i="4"/>
  <c r="G164" i="4"/>
  <c r="F165" i="4"/>
  <c r="G165" i="4"/>
  <c r="F166" i="4"/>
  <c r="G166" i="4"/>
  <c r="F167" i="4"/>
  <c r="G167" i="4"/>
  <c r="F168" i="4"/>
  <c r="G168" i="4"/>
  <c r="F169" i="4"/>
  <c r="G169" i="4"/>
  <c r="F170" i="4"/>
  <c r="G170" i="4"/>
  <c r="F171" i="4"/>
  <c r="G171" i="4"/>
  <c r="F172" i="4"/>
  <c r="G172" i="4"/>
  <c r="F173" i="4"/>
  <c r="G173" i="4"/>
  <c r="F174" i="4"/>
  <c r="G174" i="4"/>
  <c r="F175" i="4"/>
  <c r="G175" i="4"/>
  <c r="F176" i="4"/>
  <c r="G176" i="4"/>
  <c r="F177" i="4"/>
  <c r="G177" i="4"/>
  <c r="F178" i="4"/>
  <c r="G178" i="4"/>
  <c r="F179" i="4"/>
  <c r="G179" i="4"/>
  <c r="F180" i="4"/>
  <c r="G180" i="4"/>
  <c r="F181" i="4"/>
  <c r="G181" i="4"/>
  <c r="F182" i="4"/>
  <c r="G182" i="4"/>
  <c r="F183" i="4"/>
  <c r="G183" i="4"/>
  <c r="F184" i="4"/>
  <c r="G184" i="4"/>
  <c r="F185" i="4"/>
  <c r="G185" i="4"/>
  <c r="F186" i="4"/>
  <c r="G186" i="4"/>
  <c r="F187" i="4"/>
  <c r="G187" i="4"/>
  <c r="F188" i="4"/>
  <c r="G188" i="4"/>
  <c r="F189" i="4"/>
  <c r="G189" i="4"/>
  <c r="F190" i="4"/>
  <c r="G190" i="4"/>
  <c r="F191" i="4"/>
  <c r="G191" i="4"/>
  <c r="F192" i="4"/>
  <c r="G192" i="4"/>
  <c r="F193" i="4"/>
  <c r="G193" i="4"/>
  <c r="F194" i="4"/>
  <c r="G194" i="4"/>
  <c r="F195" i="4"/>
  <c r="G195" i="4"/>
  <c r="F196" i="4"/>
  <c r="G196" i="4"/>
  <c r="F197" i="4"/>
  <c r="G197" i="4"/>
  <c r="F198" i="4"/>
  <c r="G198" i="4"/>
  <c r="F199" i="4"/>
  <c r="G199" i="4"/>
  <c r="F200" i="4"/>
  <c r="G200" i="4"/>
  <c r="F201" i="4"/>
  <c r="G201" i="4"/>
  <c r="F202" i="4"/>
  <c r="G202" i="4"/>
  <c r="F203" i="4"/>
  <c r="G203" i="4"/>
  <c r="F204" i="4"/>
  <c r="G204" i="4"/>
  <c r="F205" i="4"/>
  <c r="G205" i="4"/>
  <c r="F206" i="4"/>
  <c r="G206" i="4"/>
  <c r="F207" i="4"/>
  <c r="G207" i="4"/>
  <c r="F208" i="4"/>
  <c r="G208" i="4"/>
  <c r="F209" i="4"/>
  <c r="G209" i="4"/>
  <c r="F210" i="4"/>
  <c r="G210" i="4"/>
  <c r="F211" i="4"/>
  <c r="G211" i="4"/>
  <c r="F212" i="4"/>
  <c r="G212" i="4"/>
  <c r="F213" i="4"/>
  <c r="G213" i="4"/>
  <c r="F214" i="4"/>
  <c r="G214" i="4"/>
  <c r="F215" i="4"/>
  <c r="G215" i="4"/>
  <c r="F216" i="4"/>
  <c r="G216" i="4"/>
  <c r="F217" i="4"/>
  <c r="G217" i="4"/>
  <c r="F218" i="4"/>
  <c r="G218" i="4"/>
  <c r="F219" i="4"/>
  <c r="G219" i="4"/>
  <c r="F220" i="4"/>
  <c r="G220" i="4"/>
  <c r="F221" i="4"/>
  <c r="G221" i="4"/>
  <c r="F222" i="4"/>
  <c r="G222" i="4"/>
  <c r="F223" i="4"/>
  <c r="G223" i="4"/>
  <c r="F224" i="4"/>
  <c r="G224" i="4"/>
  <c r="F225" i="4"/>
  <c r="G225" i="4"/>
  <c r="F226" i="4"/>
  <c r="G226" i="4"/>
  <c r="F227" i="4"/>
  <c r="G227" i="4"/>
  <c r="F228" i="4"/>
  <c r="G228" i="4"/>
  <c r="F229" i="4"/>
  <c r="G229" i="4"/>
  <c r="F230" i="4"/>
  <c r="G230" i="4"/>
  <c r="F231" i="4"/>
  <c r="G231" i="4"/>
  <c r="F232" i="4"/>
  <c r="G232" i="4"/>
  <c r="F233" i="4"/>
  <c r="G233" i="4"/>
  <c r="F234" i="4"/>
  <c r="G234" i="4"/>
  <c r="F235" i="4"/>
  <c r="G235" i="4"/>
  <c r="G1" i="4"/>
  <c r="F1" i="4"/>
  <c r="B28" i="6" l="1"/>
  <c r="B27" i="6"/>
  <c r="H26" i="6"/>
  <c r="I26" i="6"/>
  <c r="F26" i="6"/>
  <c r="G26" i="6"/>
  <c r="M14" i="5"/>
  <c r="M13" i="5"/>
  <c r="M12" i="5"/>
  <c r="M11" i="5"/>
  <c r="M10" i="5"/>
  <c r="M9" i="5"/>
  <c r="M8" i="5"/>
  <c r="M7" i="5"/>
  <c r="M6" i="5"/>
  <c r="M5" i="5"/>
  <c r="M4" i="5"/>
  <c r="M3" i="5"/>
  <c r="F27" i="6" l="1"/>
  <c r="G27" i="6"/>
  <c r="H27" i="6"/>
  <c r="I27" i="6"/>
  <c r="H28" i="6"/>
  <c r="I28" i="6"/>
  <c r="F28" i="6"/>
  <c r="G28" i="6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<sst xmlns="http://schemas.openxmlformats.org/spreadsheetml/2006/main" count="2271" uniqueCount="800">
  <si>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</si>
  <si>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</si>
  <si>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</si>
  <si>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</si>
  <si>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</si>
  <si>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</si>
  <si>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</si>
  <si>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</si>
  <si>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</si>
  <si>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</si>
  <si>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</si>
  <si>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</si>
  <si>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</si>
  <si>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</si>
  <si>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</si>
  <si>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</si>
  <si>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</si>
  <si>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</si>
  <si>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</si>
  <si>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</si>
  <si>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</si>
  <si>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</si>
  <si>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</si>
  <si>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</si>
  <si>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</si>
  <si>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</si>
  <si>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</si>
  <si>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</si>
  <si>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</si>
  <si>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</si>
  <si>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</si>
  <si>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</si>
  <si>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</si>
  <si>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</si>
  <si>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</si>
  <si>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</si>
  <si>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</si>
  <si>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</si>
  <si>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</si>
  <si>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</si>
  <si>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</si>
  <si>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</si>
  <si>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</si>
  <si>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</si>
  <si>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</si>
  <si>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</si>
  <si>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</si>
  <si>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</si>
  <si>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</si>
  <si>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</si>
  <si>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TRACK WARRANT AUTHORITY</t>
  </si>
  <si>
    <t>Form based authority (4)</t>
  </si>
  <si>
    <t>Increasing Mileposts (1)</t>
  </si>
  <si>
    <t>Decreasing Mileposts (2)</t>
  </si>
  <si>
    <t>SIGNAL</t>
  </si>
  <si>
    <t>Signal based authority (5)</t>
  </si>
  <si>
    <t>PERMANENT SPEED RESTRICTION</t>
  </si>
  <si>
    <t>Speed (6)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</si>
  <si>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</si>
  <si>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</si>
  <si>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</si>
  <si>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</si>
  <si>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</si>
  <si>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</si>
  <si>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</si>
  <si>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</si>
  <si>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</si>
  <si>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</si>
  <si>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</si>
  <si>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</si>
  <si>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</si>
  <si>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</si>
  <si>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</si>
  <si>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</si>
  <si>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</si>
  <si>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</si>
  <si>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</si>
  <si>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</si>
  <si>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</si>
  <si>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</si>
  <si>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</si>
  <si>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</si>
  <si>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</si>
  <si>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</si>
  <si>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</si>
  <si>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</si>
  <si>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N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</si>
  <si>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</si>
  <si>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</si>
  <si>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</si>
  <si>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</si>
  <si>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</si>
  <si>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</si>
  <si>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</si>
  <si>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</si>
  <si>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</si>
  <si>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</si>
  <si>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</si>
  <si>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</si>
  <si>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</si>
  <si>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</si>
  <si>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</si>
  <si>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</si>
  <si>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</si>
  <si>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</si>
  <si>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</si>
  <si>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DE.1.0.7.0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</si>
  <si>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</si>
  <si>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</si>
  <si>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</si>
  <si>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</si>
  <si>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</si>
  <si>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</si>
  <si>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</si>
  <si>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</si>
  <si>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</si>
  <si>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</si>
  <si>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</si>
  <si>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</si>
  <si>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</si>
  <si>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</si>
  <si>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</si>
  <si>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</si>
  <si>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</si>
  <si>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</si>
  <si>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</si>
  <si>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204:154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</si>
  <si>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</si>
  <si>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</si>
  <si>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</si>
  <si>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</si>
  <si>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</si>
  <si>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</si>
  <si>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</si>
  <si>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</si>
  <si>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</si>
  <si>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</si>
  <si>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</si>
  <si>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</si>
  <si>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</si>
  <si>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</si>
  <si>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</si>
  <si>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</si>
  <si>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</si>
  <si>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</si>
  <si>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</si>
  <si>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</si>
  <si>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</si>
  <si>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</si>
  <si>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</si>
  <si>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</si>
  <si>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</si>
  <si>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</si>
  <si>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</si>
  <si>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</si>
  <si>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</si>
  <si>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</si>
  <si>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</si>
  <si>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</si>
  <si>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</si>
  <si>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</si>
  <si>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</si>
  <si>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Bulletin (2)</t>
  </si>
  <si>
    <t>GRADE CROSSING</t>
  </si>
  <si>
    <t>Trip Number</t>
  </si>
  <si>
    <t>rtdc.l.rtdc.4025:itc</t>
  </si>
  <si>
    <t>rtdc.l.rtdc.4026:itc</t>
  </si>
  <si>
    <t>COOLAHAN</t>
  </si>
  <si>
    <t>rtdc.l.rtdc.4051:itc</t>
  </si>
  <si>
    <t>rtdc.l.rtdc.4052:itc</t>
  </si>
  <si>
    <t>rtdc.l.rtdc.4041:itc</t>
  </si>
  <si>
    <t>rtdc.l.rtdc.4042:itc</t>
  </si>
  <si>
    <t>Data.Current Information Milepost</t>
  </si>
  <si>
    <t>Stopped Distance Short of Target (ft)</t>
  </si>
  <si>
    <t>rtdc.l.rtdc.4046:itc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</si>
  <si>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</si>
  <si>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</si>
  <si>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</si>
  <si>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</si>
  <si>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</si>
  <si>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</si>
  <si>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</si>
  <si>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</si>
  <si>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</si>
  <si>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</si>
  <si>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</si>
  <si>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</si>
  <si>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</si>
  <si>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</si>
  <si>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</si>
  <si>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Powered by Forecast [forecast.io]</t>
  </si>
  <si>
    <t>204:149</t>
  </si>
  <si>
    <t>204:160</t>
  </si>
  <si>
    <t>204:471</t>
  </si>
  <si>
    <t>204:158</t>
  </si>
  <si>
    <t>204:147</t>
  </si>
  <si>
    <t>204:453</t>
  </si>
  <si>
    <t>204:150</t>
  </si>
  <si>
    <t>204:233291</t>
  </si>
  <si>
    <t>204:152</t>
  </si>
  <si>
    <t>204:457</t>
  </si>
  <si>
    <t>204:466</t>
  </si>
  <si>
    <t>204:451</t>
  </si>
  <si>
    <t>204:455</t>
  </si>
  <si>
    <t>204:458</t>
  </si>
  <si>
    <t>human_readable_time</t>
  </si>
  <si>
    <t>204:138</t>
  </si>
  <si>
    <t>204:462</t>
  </si>
  <si>
    <t>Loco - PTC</t>
  </si>
  <si>
    <t>Power</t>
  </si>
  <si>
    <t>204:156</t>
  </si>
  <si>
    <t>204:233314</t>
  </si>
  <si>
    <t>CLI Grep</t>
  </si>
  <si>
    <t>204:145</t>
  </si>
  <si>
    <t>204:141</t>
  </si>
  <si>
    <t>204:233312</t>
  </si>
  <si>
    <t>204:233300</t>
  </si>
  <si>
    <t>Time (US/Mountain)</t>
  </si>
  <si>
    <t>Source</t>
  </si>
  <si>
    <t>Employee Identifier</t>
  </si>
  <si>
    <t>Employee Last Name</t>
  </si>
  <si>
    <t>204:464</t>
  </si>
  <si>
    <t>rtdc.l.rtdc.4029:itc</t>
  </si>
  <si>
    <t>204:143</t>
  </si>
  <si>
    <t>204:232977</t>
  </si>
  <si>
    <t>clear-night</t>
  </si>
  <si>
    <t>Clear</t>
  </si>
  <si>
    <t>rtdc.l.rtdc.4017:itc</t>
  </si>
  <si>
    <t>rtdc.l.rtdc.4018:itc</t>
  </si>
  <si>
    <t>Reactive Warning (1)</t>
  </si>
  <si>
    <t>204:444</t>
  </si>
  <si>
    <t>LEVERE</t>
  </si>
  <si>
    <t>204:233293</t>
  </si>
  <si>
    <t>204:233307</t>
  </si>
  <si>
    <t>204:232983</t>
  </si>
  <si>
    <t>rtdc.l.rtdc.4045:itc</t>
  </si>
  <si>
    <t>rtdc.l.rtdc.4005:itc</t>
  </si>
  <si>
    <t>rtdc.l.rtdc.4006:itc</t>
  </si>
  <si>
    <t>204:233288</t>
  </si>
  <si>
    <t>204:232988</t>
  </si>
  <si>
    <t>204:232991</t>
  </si>
  <si>
    <t>204:233309</t>
  </si>
  <si>
    <t>:.+((SYSTEM_STATE.+slice.+state.+changed )|(ment ac)|(system.+state.+changed )|(\[timeout)|(PRM\|1\|D)|(kpr)|(kdp)|(\|lc)|(penalty))</t>
  </si>
  <si>
    <t>partly-cloudy-day</t>
  </si>
  <si>
    <t>Partly Cloudy</t>
  </si>
  <si>
    <t>STURGEON</t>
  </si>
  <si>
    <t>204:232984</t>
  </si>
  <si>
    <t>204:139</t>
  </si>
  <si>
    <t>204:232978</t>
  </si>
  <si>
    <t>204:232986</t>
  </si>
  <si>
    <t>204:161</t>
  </si>
  <si>
    <t>204:477</t>
  </si>
  <si>
    <t>s3://rtdc.mdm.uploadarchive.raw</t>
  </si>
  <si>
    <t>NEWELL</t>
  </si>
  <si>
    <t>SMITH</t>
  </si>
  <si>
    <t>partly-cloudy-night</t>
  </si>
  <si>
    <t>204:449</t>
  </si>
  <si>
    <t>204:232980</t>
  </si>
  <si>
    <t>204:232996</t>
  </si>
  <si>
    <t>204:165</t>
  </si>
  <si>
    <t>204:136</t>
  </si>
  <si>
    <t>204:232969</t>
  </si>
  <si>
    <t>204:233004</t>
  </si>
  <si>
    <t>204:233332</t>
  </si>
  <si>
    <t>204:233306</t>
  </si>
  <si>
    <t>300:58617</t>
  </si>
  <si>
    <t>rtdc.l.rtdc.4010:itc</t>
  </si>
  <si>
    <t>rtdc.l.rtdc.4015:itc</t>
  </si>
  <si>
    <t>rtdc.l.rtdc.4016:itc</t>
  </si>
  <si>
    <t>rtdc.l.rtdc.4054:itc</t>
  </si>
  <si>
    <t>rtdc.l.rtdc.4032:itc</t>
  </si>
  <si>
    <t>rtdc.l.rtdc.4031:itc</t>
  </si>
  <si>
    <t>rtdc.l.rtdc.4053:itc</t>
  </si>
  <si>
    <t>STEWART</t>
  </si>
  <si>
    <t>CLARK</t>
  </si>
  <si>
    <t>rtdc.l.rtdc.4009:itc</t>
  </si>
  <si>
    <t>CHANDLER</t>
  </si>
  <si>
    <t>204:233308</t>
  </si>
  <si>
    <t>204:233302</t>
  </si>
  <si>
    <t>204:232971</t>
  </si>
  <si>
    <t>204:172</t>
  </si>
  <si>
    <t>204:467</t>
  </si>
  <si>
    <t>204:233289</t>
  </si>
  <si>
    <t>204:233006</t>
  </si>
  <si>
    <t>204:475</t>
  </si>
  <si>
    <t>204:232972</t>
  </si>
  <si>
    <t>204:447</t>
  </si>
  <si>
    <t>204:163</t>
  </si>
  <si>
    <t>204:233321</t>
  </si>
  <si>
    <t>204:233287</t>
  </si>
  <si>
    <t>rtdc.l.rtdc.4003:itc</t>
  </si>
  <si>
    <t>rtdc.l.rtdc.4004:itc</t>
  </si>
  <si>
    <t>rtdc.l.rtdc.4030:itc</t>
  </si>
  <si>
    <t>ACKERMAN</t>
  </si>
  <si>
    <t>KILLION</t>
  </si>
  <si>
    <t>BARTLETT</t>
  </si>
  <si>
    <t>clear-day</t>
  </si>
  <si>
    <t>204:232998</t>
  </si>
  <si>
    <t>204:486</t>
  </si>
  <si>
    <t>204:233297</t>
  </si>
  <si>
    <t>204:233304</t>
  </si>
  <si>
    <t>204:232973</t>
  </si>
  <si>
    <t>204:232994</t>
  </si>
  <si>
    <t>204:469</t>
  </si>
  <si>
    <t>204:232964</t>
  </si>
  <si>
    <t>204:232955</t>
  </si>
  <si>
    <t>204:233021</t>
  </si>
  <si>
    <t>204:232975</t>
  </si>
  <si>
    <t>204:233301</t>
  </si>
  <si>
    <t>DAVIS</t>
  </si>
  <si>
    <t>STARKS</t>
  </si>
  <si>
    <t>Onboard in-route failure</t>
  </si>
  <si>
    <t>204:763</t>
  </si>
  <si>
    <t>204:233276</t>
  </si>
  <si>
    <t>204:438</t>
  </si>
  <si>
    <t>204:233295</t>
  </si>
  <si>
    <t>204:176</t>
  </si>
  <si>
    <t>204:233299</t>
  </si>
  <si>
    <t>204:232985</t>
  </si>
  <si>
    <t>204:482</t>
  </si>
  <si>
    <t>204:233268</t>
  </si>
  <si>
    <t>204:233316</t>
  </si>
  <si>
    <t>204:446</t>
  </si>
  <si>
    <t>204:233319</t>
  </si>
  <si>
    <t>204:442</t>
  </si>
  <si>
    <t>204:132</t>
  </si>
  <si>
    <t>204:232953</t>
  </si>
  <si>
    <t>204:480</t>
  </si>
  <si>
    <t>204:498</t>
  </si>
  <si>
    <t>204:232982</t>
  </si>
  <si>
    <t>204:232979</t>
  </si>
  <si>
    <t>242-03</t>
  </si>
  <si>
    <t>244-03</t>
  </si>
  <si>
    <t>300:23306</t>
  </si>
  <si>
    <t>311-03</t>
  </si>
  <si>
    <t>313-03</t>
  </si>
  <si>
    <t>315-03</t>
  </si>
  <si>
    <t>204:705</t>
  </si>
  <si>
    <t>300:58926</t>
  </si>
  <si>
    <t>300:58596</t>
  </si>
  <si>
    <t>204:703</t>
  </si>
  <si>
    <t>204:993</t>
  </si>
  <si>
    <t>300:58943</t>
  </si>
  <si>
    <t>204:978</t>
  </si>
  <si>
    <t>204:129</t>
  </si>
  <si>
    <t>204:684</t>
  </si>
  <si>
    <t>204:1009</t>
  </si>
  <si>
    <t>204:976</t>
  </si>
  <si>
    <t>300:58619</t>
  </si>
  <si>
    <t>rtdc.l.rtdc.4001:itc</t>
  </si>
  <si>
    <t>rtdc.l.rtdc.4002:itc</t>
  </si>
  <si>
    <t>BRANNON</t>
  </si>
  <si>
    <t>SPECTOR</t>
  </si>
  <si>
    <t>rtdc.l.rtdc.4021:itc</t>
  </si>
  <si>
    <t>rtdc.l.rtdc.4022:itc</t>
  </si>
  <si>
    <t>BONDS</t>
  </si>
  <si>
    <t>HELVIE</t>
  </si>
  <si>
    <t>PUGH</t>
  </si>
  <si>
    <t>Annulled due to OCS Power Outage @ BNSF Fuel Yard</t>
  </si>
  <si>
    <t>40th 4S STOP, cleared afterward</t>
  </si>
  <si>
    <t>Overspeed</t>
  </si>
  <si>
    <t>302-04</t>
  </si>
  <si>
    <t>101-04</t>
  </si>
  <si>
    <t>rtdc.l.rtdc.4008:itc</t>
  </si>
  <si>
    <t>304-04</t>
  </si>
  <si>
    <t>rtdc.l.rtdc.4044:itc</t>
  </si>
  <si>
    <t>103-04</t>
  </si>
  <si>
    <t>306-04</t>
  </si>
  <si>
    <t>102-04</t>
  </si>
  <si>
    <t>308-04</t>
  </si>
  <si>
    <t>105-04</t>
  </si>
  <si>
    <t>310-04</t>
  </si>
  <si>
    <t>107-04</t>
  </si>
  <si>
    <t>104-04</t>
  </si>
  <si>
    <t>109-04</t>
  </si>
  <si>
    <t>901-04</t>
  </si>
  <si>
    <t>113-04</t>
  </si>
  <si>
    <t>106-04</t>
  </si>
  <si>
    <t>111-04</t>
  </si>
  <si>
    <t>GEBRETEKLE</t>
  </si>
  <si>
    <t>800-04</t>
  </si>
  <si>
    <t>108-04</t>
  </si>
  <si>
    <t>115-04</t>
  </si>
  <si>
    <t>BEAM</t>
  </si>
  <si>
    <t>110-04</t>
  </si>
  <si>
    <t>rtdc.l.rtdc.4007:itc</t>
  </si>
  <si>
    <t>117-04</t>
  </si>
  <si>
    <t>801-04</t>
  </si>
  <si>
    <t>112-04</t>
  </si>
  <si>
    <t>902-04</t>
  </si>
  <si>
    <t>119-04</t>
  </si>
  <si>
    <t>114-04</t>
  </si>
  <si>
    <t>802-04</t>
  </si>
  <si>
    <t>121-04</t>
  </si>
  <si>
    <t>rtdc.l.rtdc.4043:itc</t>
  </si>
  <si>
    <t>116-04</t>
  </si>
  <si>
    <t>803-04</t>
  </si>
  <si>
    <t>123-04</t>
  </si>
  <si>
    <t>118-04</t>
  </si>
  <si>
    <t>804-04</t>
  </si>
  <si>
    <t>125-04</t>
  </si>
  <si>
    <t>120-04</t>
  </si>
  <si>
    <t>805-04</t>
  </si>
  <si>
    <t>127-04</t>
  </si>
  <si>
    <t>122-04</t>
  </si>
  <si>
    <t>806-04</t>
  </si>
  <si>
    <t>129-04</t>
  </si>
  <si>
    <t>124-04</t>
  </si>
  <si>
    <t>807-04</t>
  </si>
  <si>
    <t>131-04</t>
  </si>
  <si>
    <t>126-04</t>
  </si>
  <si>
    <t>808-04</t>
  </si>
  <si>
    <t>133-04</t>
  </si>
  <si>
    <t>128-04</t>
  </si>
  <si>
    <t>809-04</t>
  </si>
  <si>
    <t>135-04</t>
  </si>
  <si>
    <t>137-04</t>
  </si>
  <si>
    <t>810-04</t>
  </si>
  <si>
    <t>130-04</t>
  </si>
  <si>
    <t>811-04</t>
  </si>
  <si>
    <t>139-04</t>
  </si>
  <si>
    <t>903-04</t>
  </si>
  <si>
    <t>132-04</t>
  </si>
  <si>
    <t>812-04</t>
  </si>
  <si>
    <t>141-04</t>
  </si>
  <si>
    <t>134-04</t>
  </si>
  <si>
    <t>57-04</t>
  </si>
  <si>
    <t>ARNOLD</t>
  </si>
  <si>
    <t>143-04</t>
  </si>
  <si>
    <t>136-04</t>
  </si>
  <si>
    <t>813-04</t>
  </si>
  <si>
    <t>138-04</t>
  </si>
  <si>
    <t>145-04</t>
  </si>
  <si>
    <t>140-04</t>
  </si>
  <si>
    <t>58-04</t>
  </si>
  <si>
    <t>147-04</t>
  </si>
  <si>
    <t>SANTIZO</t>
  </si>
  <si>
    <t>142-04</t>
  </si>
  <si>
    <t>814-04</t>
  </si>
  <si>
    <t>149-04</t>
  </si>
  <si>
    <t>144-04</t>
  </si>
  <si>
    <t>151-04</t>
  </si>
  <si>
    <t>59-04</t>
  </si>
  <si>
    <t>146-04</t>
  </si>
  <si>
    <t>153-04</t>
  </si>
  <si>
    <t>815-04</t>
  </si>
  <si>
    <t>148-04</t>
  </si>
  <si>
    <t>155-04</t>
  </si>
  <si>
    <t>61-04</t>
  </si>
  <si>
    <t>150-04</t>
  </si>
  <si>
    <t>816-04</t>
  </si>
  <si>
    <t>157-04</t>
  </si>
  <si>
    <t>62-04</t>
  </si>
  <si>
    <t>152-04</t>
  </si>
  <si>
    <t>159-04</t>
  </si>
  <si>
    <t>154-04</t>
  </si>
  <si>
    <t>161-04</t>
  </si>
  <si>
    <t>63-04</t>
  </si>
  <si>
    <t>817-04</t>
  </si>
  <si>
    <t>156-04</t>
  </si>
  <si>
    <t>163-04</t>
  </si>
  <si>
    <t>818-04</t>
  </si>
  <si>
    <t>158-04</t>
  </si>
  <si>
    <t>64-04</t>
  </si>
  <si>
    <t>165-04</t>
  </si>
  <si>
    <t>160-04</t>
  </si>
  <si>
    <t>167-04</t>
  </si>
  <si>
    <t>ROBINSON</t>
  </si>
  <si>
    <t>65-04</t>
  </si>
  <si>
    <t>162-04</t>
  </si>
  <si>
    <t>169-04</t>
  </si>
  <si>
    <t>66-04</t>
  </si>
  <si>
    <t>819-04</t>
  </si>
  <si>
    <t>171-04</t>
  </si>
  <si>
    <t>STORY</t>
  </si>
  <si>
    <t>164-04</t>
  </si>
  <si>
    <t>166-04</t>
  </si>
  <si>
    <t>820-04</t>
  </si>
  <si>
    <t>173-04</t>
  </si>
  <si>
    <t>168-04</t>
  </si>
  <si>
    <t>175-04</t>
  </si>
  <si>
    <t>170-04</t>
  </si>
  <si>
    <t>821-04</t>
  </si>
  <si>
    <t>HAITHCOX</t>
  </si>
  <si>
    <t>177-04</t>
  </si>
  <si>
    <t>67-04</t>
  </si>
  <si>
    <t>172-04</t>
  </si>
  <si>
    <t>179-04</t>
  </si>
  <si>
    <t>181-04</t>
  </si>
  <si>
    <t>822-04</t>
  </si>
  <si>
    <t>174-04</t>
  </si>
  <si>
    <t>68-04</t>
  </si>
  <si>
    <t>176-04</t>
  </si>
  <si>
    <t>183-04</t>
  </si>
  <si>
    <t>178-04</t>
  </si>
  <si>
    <t>185-04</t>
  </si>
  <si>
    <t>823-04</t>
  </si>
  <si>
    <t>180-04</t>
  </si>
  <si>
    <t>50-04</t>
  </si>
  <si>
    <t>187-04</t>
  </si>
  <si>
    <t>182-04</t>
  </si>
  <si>
    <t>189-04</t>
  </si>
  <si>
    <t>824-04</t>
  </si>
  <si>
    <t>184-04</t>
  </si>
  <si>
    <t>191-04</t>
  </si>
  <si>
    <t>186-04</t>
  </si>
  <si>
    <t>193-04</t>
  </si>
  <si>
    <t>825-04</t>
  </si>
  <si>
    <t>195-04</t>
  </si>
  <si>
    <t>904-04</t>
  </si>
  <si>
    <t>188-04</t>
  </si>
  <si>
    <t>826-04</t>
  </si>
  <si>
    <t>190-04</t>
  </si>
  <si>
    <t>197-04</t>
  </si>
  <si>
    <t>827-04</t>
  </si>
  <si>
    <t>192-04</t>
  </si>
  <si>
    <t>199-04</t>
  </si>
  <si>
    <t>194-04</t>
  </si>
  <si>
    <t>828-04</t>
  </si>
  <si>
    <t>829-04</t>
  </si>
  <si>
    <t>201-04</t>
  </si>
  <si>
    <t>196-04</t>
  </si>
  <si>
    <t>203-04</t>
  </si>
  <si>
    <t>198-04</t>
  </si>
  <si>
    <t>830-04</t>
  </si>
  <si>
    <t>831-04</t>
  </si>
  <si>
    <t>205-04</t>
  </si>
  <si>
    <t>200-04</t>
  </si>
  <si>
    <t>207-04</t>
  </si>
  <si>
    <t>202-04</t>
  </si>
  <si>
    <t>832-04</t>
  </si>
  <si>
    <t>833-04</t>
  </si>
  <si>
    <t>209-04</t>
  </si>
  <si>
    <t>56-04</t>
  </si>
  <si>
    <t>204-04</t>
  </si>
  <si>
    <t>211-04</t>
  </si>
  <si>
    <t>835-04</t>
  </si>
  <si>
    <t>206-04</t>
  </si>
  <si>
    <t>834-04</t>
  </si>
  <si>
    <t>213-04</t>
  </si>
  <si>
    <t>208-04</t>
  </si>
  <si>
    <t>69-04</t>
  </si>
  <si>
    <t>SWANSON</t>
  </si>
  <si>
    <t>215-04</t>
  </si>
  <si>
    <t>71-04</t>
  </si>
  <si>
    <t>210-04</t>
  </si>
  <si>
    <t>54-04</t>
  </si>
  <si>
    <t>836-04</t>
  </si>
  <si>
    <t>217-04</t>
  </si>
  <si>
    <t>YANAI</t>
  </si>
  <si>
    <t>837-04</t>
  </si>
  <si>
    <t>212-04</t>
  </si>
  <si>
    <t>52-04</t>
  </si>
  <si>
    <t>219-04</t>
  </si>
  <si>
    <t>214-04</t>
  </si>
  <si>
    <t>838-04</t>
  </si>
  <si>
    <t>70-04</t>
  </si>
  <si>
    <t>303-04</t>
  </si>
  <si>
    <t>839-04</t>
  </si>
  <si>
    <t>216-04</t>
  </si>
  <si>
    <t>221-04</t>
  </si>
  <si>
    <t>218-04</t>
  </si>
  <si>
    <t>906-04</t>
  </si>
  <si>
    <t>841-04</t>
  </si>
  <si>
    <t>220-04</t>
  </si>
  <si>
    <t>305-04</t>
  </si>
  <si>
    <t>223-04</t>
  </si>
  <si>
    <t>840-04</t>
  </si>
  <si>
    <t>307-04</t>
  </si>
  <si>
    <t>222-04</t>
  </si>
  <si>
    <t>225-04</t>
  </si>
  <si>
    <t>843-04</t>
  </si>
  <si>
    <t>224-04</t>
  </si>
  <si>
    <t>227-04</t>
  </si>
  <si>
    <t>842-04</t>
  </si>
  <si>
    <t>229-04</t>
  </si>
  <si>
    <t>226-04</t>
  </si>
  <si>
    <t>845-04</t>
  </si>
  <si>
    <t>228-04</t>
  </si>
  <si>
    <t>231-04</t>
  </si>
  <si>
    <t>844-04</t>
  </si>
  <si>
    <t>230-04</t>
  </si>
  <si>
    <t>233-04</t>
  </si>
  <si>
    <t>847-04</t>
  </si>
  <si>
    <t>232-04</t>
  </si>
  <si>
    <t>235-04</t>
  </si>
  <si>
    <t>908-04</t>
  </si>
  <si>
    <t>234-04</t>
  </si>
  <si>
    <t>237-04</t>
  </si>
  <si>
    <t>236-04</t>
  </si>
  <si>
    <t>239-04</t>
  </si>
  <si>
    <t>241-04</t>
  </si>
  <si>
    <t>238-04</t>
  </si>
  <si>
    <t>TRUE-04</t>
  </si>
  <si>
    <t>240-04</t>
  </si>
  <si>
    <t>243-04</t>
  </si>
  <si>
    <t>309-04</t>
  </si>
  <si>
    <t>242-04</t>
  </si>
  <si>
    <t>311-04</t>
  </si>
  <si>
    <t>315-04</t>
  </si>
  <si>
    <t>244-04</t>
  </si>
  <si>
    <t>313-04</t>
  </si>
  <si>
    <t>204:775</t>
  </si>
  <si>
    <t>204:232654</t>
  </si>
  <si>
    <t>204:712</t>
  </si>
  <si>
    <t>204:233372</t>
  </si>
  <si>
    <t>204:232727</t>
  </si>
  <si>
    <t>204:232652</t>
  </si>
  <si>
    <t>204:493</t>
  </si>
  <si>
    <t>204:233357</t>
  </si>
  <si>
    <t>204:750</t>
  </si>
  <si>
    <t>204:754</t>
  </si>
  <si>
    <t>204:755</t>
  </si>
  <si>
    <t>204:233002</t>
  </si>
  <si>
    <t>204:174</t>
  </si>
  <si>
    <t>204:233324</t>
  </si>
  <si>
    <t>204:111662</t>
  </si>
  <si>
    <t>204:86352</t>
  </si>
  <si>
    <t>204:233311</t>
  </si>
  <si>
    <t>204:233298</t>
  </si>
  <si>
    <t>204:128266</t>
  </si>
  <si>
    <t>204:68073</t>
  </si>
  <si>
    <t>204:85346</t>
  </si>
  <si>
    <t>204:87356</t>
  </si>
  <si>
    <t>204:427</t>
  </si>
  <si>
    <t>204:128283</t>
  </si>
  <si>
    <t>204:233317</t>
  </si>
  <si>
    <t>204:64728</t>
  </si>
  <si>
    <t>204:1173</t>
  </si>
  <si>
    <t>204:232993</t>
  </si>
  <si>
    <t>204:233325</t>
  </si>
  <si>
    <t>204:233008</t>
  </si>
  <si>
    <t>204:233010</t>
  </si>
  <si>
    <t>204:232974</t>
  </si>
  <si>
    <t>204:233320</t>
  </si>
  <si>
    <t>204:232963</t>
  </si>
  <si>
    <t>204:144891</t>
  </si>
  <si>
    <t>204:233013</t>
  </si>
  <si>
    <t>204:484</t>
  </si>
  <si>
    <t>204:232946</t>
  </si>
  <si>
    <t>204:233315</t>
  </si>
  <si>
    <t>204:127898</t>
  </si>
  <si>
    <t>204:154046</t>
  </si>
  <si>
    <t>204:232959</t>
  </si>
  <si>
    <t>204:233303</t>
  </si>
  <si>
    <t>204:1554</t>
  </si>
  <si>
    <t>204:233378</t>
  </si>
  <si>
    <t>204:233055</t>
  </si>
  <si>
    <t>204:233327</t>
  </si>
  <si>
    <t>204:460</t>
  </si>
  <si>
    <t>204:228185</t>
  </si>
  <si>
    <t>204:431</t>
  </si>
  <si>
    <t>204:233334</t>
  </si>
  <si>
    <t>204:233026</t>
  </si>
  <si>
    <t>204:121</t>
  </si>
  <si>
    <t>204:233336</t>
  </si>
  <si>
    <t>204:233045</t>
  </si>
  <si>
    <t>204:233280</t>
  </si>
  <si>
    <t>204:232981</t>
  </si>
  <si>
    <t>204:433</t>
  </si>
  <si>
    <t>204:118</t>
  </si>
  <si>
    <t>204:422</t>
  </si>
  <si>
    <t>204:134</t>
  </si>
  <si>
    <t>204:232992</t>
  </si>
  <si>
    <t>204:130</t>
  </si>
  <si>
    <t>204:233005</t>
  </si>
  <si>
    <t>204:127893</t>
  </si>
  <si>
    <t>204:245</t>
  </si>
  <si>
    <t>204:158413</t>
  </si>
  <si>
    <t>300:21835</t>
  </si>
  <si>
    <t>300:23304</t>
  </si>
  <si>
    <t>300:23160</t>
  </si>
  <si>
    <t>204:105</t>
  </si>
  <si>
    <t>300:23316</t>
  </si>
  <si>
    <t>300:21801</t>
  </si>
  <si>
    <t>204:356</t>
  </si>
  <si>
    <t>300:23310</t>
  </si>
  <si>
    <t>300:23252</t>
  </si>
  <si>
    <t>204:478</t>
  </si>
  <si>
    <t>300:22826</t>
  </si>
  <si>
    <t>300:22506</t>
  </si>
  <si>
    <t>300:23299</t>
  </si>
  <si>
    <t>204:526</t>
  </si>
  <si>
    <t>300:22438</t>
  </si>
  <si>
    <t>DE.1.0.8.0</t>
  </si>
  <si>
    <t>204:10629</t>
  </si>
  <si>
    <t>204:128136</t>
  </si>
  <si>
    <t>204:10675</t>
  </si>
  <si>
    <t>204:10851</t>
  </si>
  <si>
    <t>204:19141</t>
  </si>
  <si>
    <t>204:126341</t>
  </si>
  <si>
    <t>204:127862</t>
  </si>
  <si>
    <t>204:9922</t>
  </si>
  <si>
    <t>300:42150</t>
  </si>
  <si>
    <t>204:189</t>
  </si>
  <si>
    <t>204:363</t>
  </si>
  <si>
    <t>300:24226</t>
  </si>
  <si>
    <t>300:23625</t>
  </si>
  <si>
    <t>204:61</t>
  </si>
  <si>
    <t>300:23307</t>
  </si>
  <si>
    <t>204:144</t>
  </si>
  <si>
    <t>300:19545</t>
  </si>
  <si>
    <t>204:148</t>
  </si>
  <si>
    <t>204:1048</t>
  </si>
  <si>
    <t>300:42527</t>
  </si>
  <si>
    <t>204:468</t>
  </si>
  <si>
    <t>300:42237</t>
  </si>
  <si>
    <t>300:42822</t>
  </si>
  <si>
    <t>300:42555</t>
  </si>
  <si>
    <t>204:500</t>
  </si>
  <si>
    <t>204:837</t>
  </si>
  <si>
    <t>300:42479</t>
  </si>
  <si>
    <t>204:848</t>
  </si>
  <si>
    <t>204:833</t>
  </si>
  <si>
    <t>300:42642</t>
  </si>
  <si>
    <t>300:42305</t>
  </si>
  <si>
    <t>204:155</t>
  </si>
  <si>
    <t>300:42898</t>
  </si>
  <si>
    <t>300:42468</t>
  </si>
  <si>
    <t>300:42525</t>
  </si>
  <si>
    <t>204:166</t>
  </si>
  <si>
    <t>204:1492</t>
  </si>
  <si>
    <t>204:1698</t>
  </si>
  <si>
    <t>300:22178</t>
  </si>
  <si>
    <t>204:1878</t>
  </si>
  <si>
    <t>300:22486</t>
  </si>
  <si>
    <t>300:58609</t>
  </si>
  <si>
    <t>204:734</t>
  </si>
  <si>
    <t>204:1004</t>
  </si>
  <si>
    <t>300:58933</t>
  </si>
  <si>
    <t>204:719</t>
  </si>
  <si>
    <t>300:58606</t>
  </si>
  <si>
    <t>204:729</t>
  </si>
  <si>
    <t>300:58931</t>
  </si>
  <si>
    <t>204:731</t>
  </si>
  <si>
    <t>300:58624</t>
  </si>
  <si>
    <t>204:715</t>
  </si>
  <si>
    <t>204:762</t>
  </si>
  <si>
    <t>204:990</t>
  </si>
  <si>
    <t>300:58608</t>
  </si>
  <si>
    <t>300:58918</t>
  </si>
  <si>
    <t>204:701</t>
  </si>
  <si>
    <t>204:999</t>
  </si>
  <si>
    <t>300:58615</t>
  </si>
  <si>
    <t>204:720</t>
  </si>
  <si>
    <t>204:997</t>
  </si>
  <si>
    <t>300:58924</t>
  </si>
  <si>
    <t>204:733</t>
  </si>
  <si>
    <t>204:1013</t>
  </si>
  <si>
    <t>204:678</t>
  </si>
  <si>
    <t>204:962</t>
  </si>
  <si>
    <t>300:58929</t>
  </si>
  <si>
    <t>300:58611</t>
  </si>
  <si>
    <t>204:972</t>
  </si>
  <si>
    <t>300:58903</t>
  </si>
  <si>
    <t>300:58589</t>
  </si>
  <si>
    <t>204:677</t>
  </si>
  <si>
    <t>204:974</t>
  </si>
  <si>
    <t>204:687</t>
  </si>
  <si>
    <t>300:57337</t>
  </si>
  <si>
    <t>204:713</t>
  </si>
  <si>
    <t>300:58604</t>
  </si>
  <si>
    <t>204:708</t>
  </si>
  <si>
    <t>204:1002</t>
  </si>
  <si>
    <t>300:58912</t>
  </si>
  <si>
    <t>300:58594</t>
  </si>
  <si>
    <t>204:985</t>
  </si>
  <si>
    <t>300:58598</t>
  </si>
  <si>
    <t>204:685</t>
  </si>
  <si>
    <t>204:710</t>
  </si>
  <si>
    <t>300:58922</t>
  </si>
  <si>
    <t>204:696</t>
  </si>
  <si>
    <t>204:1006</t>
  </si>
  <si>
    <t>204:979</t>
  </si>
  <si>
    <t>204:1016</t>
  </si>
  <si>
    <t>300:30411</t>
  </si>
  <si>
    <t>300:23263</t>
  </si>
  <si>
    <t>300:23366</t>
  </si>
  <si>
    <t>300:58600</t>
  </si>
  <si>
    <t>300:28765</t>
  </si>
  <si>
    <t>300:21695</t>
  </si>
  <si>
    <t>204:1001</t>
  </si>
  <si>
    <t>204:994</t>
  </si>
  <si>
    <t>Summary for DUS 2016-10-04: Partly cloudy in the morning.</t>
  </si>
  <si>
    <t>At 07:29:51.960, Chambers 2S received a clear request. Did not clear until 07:37:23.773. Was something wrong with the location, or does it look more like dispatcher error?</t>
  </si>
  <si>
    <t>Chambers 2S stuck at STOP - didn't clear until 7 min after request - link failure?</t>
  </si>
  <si>
    <t>Sand Creek 2N stuck at STOP - link failure?</t>
  </si>
  <si>
    <t>Delayed at Sand Creek 2N</t>
  </si>
  <si>
    <t>Delayed at Sand Creek and 61st 2N</t>
  </si>
  <si>
    <t>Chambers 2S stuck at STOP - link failure?</t>
  </si>
  <si>
    <t>Long Wi-MAX outage with RTDC 4008</t>
  </si>
  <si>
    <t>http://stevetu21.github.io/eaglep3/load_kml.html?kml=http://rtdc.gmaps-snips.s3.amazonaws.com/3358a5c1-8535-42c6-a3fe-1b6cef009ce8.kml</t>
  </si>
  <si>
    <t xml:space="preserve">Multiple CPU Faults around 2016-10-04 18:27:28.000 </t>
  </si>
  <si>
    <t>At 01:04:05.375, received clear requests for 61st 2S, the signal didn't clear until 01:04:05.375. Was anything wrong with the location, or was this simply dispatcher error?</t>
  </si>
  <si>
    <t>Onboard in-route failure, but able to recover</t>
  </si>
  <si>
    <t>Early arrival</t>
  </si>
  <si>
    <t>Sable 2N STOP, cleared afterward</t>
  </si>
  <si>
    <t>EC1497RH 149-1T 1S STOP, cleared afterward</t>
  </si>
  <si>
    <t>NW0190RH 19-1T 1S was RESTRICTING</t>
  </si>
  <si>
    <t>61st 2S stuck at STOP - maintenance at 40th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</si>
</sst>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8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5" xfId="0" applyFill="1" applyBorder="1" applyAlignment="1">
      <alignment vertical="center"/>
    </xf>
    <xf numFmtId="169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165" fontId="0" fillId="0" borderId="0" xfId="2" applyNumberFormat="1" applyFont="1" applyAlignment="1">
      <alignment horizontal="left"/>
    </xf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0" fillId="0" borderId="17" xfId="0" applyFill="1" applyBorder="1" applyAlignment="1">
      <alignment horizontal="left" vertical="center"/>
    </xf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0" fillId="0" borderId="0" xfId="0" applyNumberFormat="1" applyAlignme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center" wrapText="1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/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69" fontId="0" fillId="2" borderId="12" xfId="0" applyFill="1" applyBorder="1" applyAlignment="1">
      <alignment horizontal="left" vertical="center"/>
    </xf>
    <xf numFmtId="169" fontId="0" fillId="0" borderId="0" xfId="0" applyAlignment="1"/>
    <xf numFmtId="169" fontId="0" fillId="0" borderId="15" xfId="0" applyBorder="1" applyAlignment="1">
      <alignment horizontal="left" vertical="center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left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2" fontId="0" fillId="2" borderId="11" xfId="0" applyNumberFormat="1" applyFill="1" applyBorder="1" applyAlignment="1">
      <alignment vertical="center"/>
    </xf>
    <xf numFmtId="2" fontId="0" fillId="0" borderId="14" xfId="0" applyNumberFormat="1" applyBorder="1" applyAlignment="1">
      <alignment vertical="center"/>
    </xf>
    <xf numFmtId="2" fontId="13" fillId="0" borderId="5" xfId="0" applyNumberFormat="1" applyFont="1" applyFill="1" applyBorder="1" applyAlignment="1">
      <alignment horizontal="center" vertical="center" wrapText="1"/>
    </xf>
    <xf numFmtId="2" fontId="0" fillId="0" borderId="5" xfId="0" applyNumberFormat="1" applyBorder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" fontId="0" fillId="0" borderId="17" xfId="0" applyNumberFormat="1" applyBorder="1"/>
    <xf numFmtId="0" fontId="0" fillId="0" borderId="0" xfId="0" applyNumberFormat="1" applyAlignment="1"/>
    <xf numFmtId="0" fontId="1" fillId="0" borderId="0" xfId="0" applyNumberFormat="1" applyFont="1" applyAlignment="1"/>
    <xf numFmtId="169" fontId="1" fillId="0" borderId="0" xfId="0" applyNumberFormat="1" applyFont="1" applyAlignmen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22" fontId="0" fillId="0" borderId="0" xfId="0" applyNumberFormat="1" applyAlignment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169" fontId="0" fillId="0" borderId="18" xfId="0" applyNumberFormat="1" applyBorder="1"/>
    <xf numFmtId="169" fontId="0" fillId="0" borderId="18" xfId="0" applyBorder="1"/>
    <xf numFmtId="169" fontId="0" fillId="0" borderId="18" xfId="0" applyFill="1" applyBorder="1" applyAlignment="1">
      <alignment horizontal="left"/>
    </xf>
    <xf numFmtId="168" fontId="0" fillId="0" borderId="18" xfId="0" applyNumberFormat="1" applyFill="1" applyBorder="1" applyAlignment="1">
      <alignment horizontal="left"/>
    </xf>
    <xf numFmtId="169" fontId="0" fillId="0" borderId="18" xfId="0" applyFill="1" applyBorder="1"/>
    <xf numFmtId="0" fontId="0" fillId="0" borderId="0" xfId="0" applyNumberForma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  <xf numFmtId="169" fontId="20" fillId="0" borderId="0" xfId="4" applyFill="1"/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45"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tu/Documents/GitHub/eaglep3/Utilities/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Mail_workbook_Outlook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tevetu21.github.io/eaglep3/load_kml.html?kml=http://rtdc.gmaps-snips.s3.amazonaws.com/3358a5c1-8535-42c6-a3fe-1b6cef009ce8.kml" TargetMode="External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51"/>
  <sheetViews>
    <sheetView tabSelected="1" topLeftCell="A175" workbookViewId="0">
      <selection activeCell="R191" sqref="R191"/>
    </sheetView>
  </sheetViews>
  <sheetFormatPr defaultRowHeight="15" x14ac:dyDescent="0.25"/>
  <cols>
    <col min="1" max="1" width="8" style="41" customWidth="1"/>
    <col min="2" max="2" width="6.140625" style="43" customWidth="1"/>
    <col min="3" max="3" width="13.5703125" style="30" hidden="1" customWidth="1"/>
    <col min="4" max="4" width="16.140625" style="30" hidden="1" customWidth="1"/>
    <col min="5" max="5" width="19.5703125" style="40" hidden="1" customWidth="1"/>
    <col min="6" max="6" width="18.28515625" style="40" customWidth="1"/>
    <col min="7" max="7" width="4.85546875" style="43" hidden="1" customWidth="1"/>
    <col min="8" max="8" width="22.140625" style="40" hidden="1" customWidth="1"/>
    <col min="9" max="9" width="18.5703125" style="40" customWidth="1"/>
    <col min="10" max="10" width="7.28515625" style="43" customWidth="1"/>
    <col min="11" max="11" width="10.42578125" style="30" customWidth="1"/>
    <col min="12" max="12" width="13.28515625" style="30" customWidth="1"/>
    <col min="13" max="13" width="9.5703125" style="42" customWidth="1"/>
    <col min="14" max="14" width="3" style="43" customWidth="1"/>
    <col min="15" max="15" width="2.85546875" style="2" customWidth="1"/>
    <col min="16" max="16" width="2.7109375" style="2" customWidth="1"/>
    <col min="17" max="17" width="0.5703125" hidden="1" customWidth="1"/>
    <col min="18" max="18" width="41" bestFit="1" customWidth="1"/>
    <col min="19" max="19" width="7.42578125" style="23" customWidth="1"/>
    <col min="20" max="20" width="3.85546875" customWidth="1"/>
    <col min="21" max="21" width="5" style="157" customWidth="1"/>
    <col min="22" max="22" width="5.7109375" style="100" customWidth="1"/>
    <col min="23" max="23" width="3.85546875" style="22" customWidth="1"/>
    <col min="24" max="24" width="5.28515625" style="162" customWidth="1"/>
    <col min="25" max="25" width="9.140625" style="67"/>
    <col min="26" max="26" width="7.28515625" style="67" customWidth="1"/>
    <col min="27" max="27" width="9.140625" style="67"/>
    <col min="28" max="28" width="10.7109375" style="64" hidden="1" customWidth="1"/>
    <col min="29" max="29" width="9.42578125" style="58" hidden="1" customWidth="1"/>
    <col min="30" max="30" width="7.85546875" style="59" customWidth="1"/>
    <col min="31" max="31" width="4.5703125" style="93" customWidth="1"/>
    <col min="32" max="32" width="6.28515625" style="90" customWidth="1"/>
    <col min="33" max="33" width="5.42578125" customWidth="1"/>
    <col min="34" max="34" width="5" style="96" customWidth="1"/>
    <col min="35" max="35" width="5.7109375" style="122" customWidth="1"/>
    <col min="36" max="36" width="9.85546875" customWidth="1"/>
    <col min="37" max="37" width="7.7109375" customWidth="1"/>
    <col min="38" max="38" width="7.85546875" customWidth="1"/>
  </cols>
  <sheetData>
    <row r="1" spans="1:91" s="23" customFormat="1" ht="15.75" thickBot="1" x14ac:dyDescent="0.3">
      <c r="A1" s="41"/>
      <c r="B1" s="43"/>
      <c r="C1" s="30"/>
      <c r="D1" s="30"/>
      <c r="E1" s="40"/>
      <c r="F1" s="40"/>
      <c r="G1" s="43"/>
      <c r="H1" s="40"/>
      <c r="I1" s="40" t="s">
        <v>113</v>
      </c>
      <c r="J1" s="43"/>
      <c r="K1" s="30"/>
      <c r="L1" s="30"/>
      <c r="M1" s="42"/>
      <c r="N1" s="43"/>
      <c r="O1" s="2"/>
      <c r="P1" s="2"/>
      <c r="R1" s="40" t="s">
        <v>114</v>
      </c>
      <c r="S1" s="43"/>
      <c r="T1" s="30"/>
      <c r="U1" s="153"/>
      <c r="V1" s="42"/>
      <c r="W1" s="43"/>
      <c r="X1" s="157"/>
      <c r="Y1" s="67"/>
      <c r="Z1" s="67"/>
      <c r="AA1" s="67"/>
      <c r="AB1" s="64"/>
      <c r="AC1" s="58"/>
      <c r="AD1" s="59"/>
      <c r="AE1" s="1"/>
      <c r="AF1" s="1"/>
      <c r="AG1" s="1"/>
      <c r="AH1" s="55"/>
      <c r="AI1" s="1"/>
    </row>
    <row r="2" spans="1:91" s="23" customFormat="1" ht="15.75" thickBot="1" x14ac:dyDescent="0.3">
      <c r="A2" s="41"/>
      <c r="B2" s="43"/>
      <c r="C2" s="30"/>
      <c r="D2" s="30"/>
      <c r="E2" s="40"/>
      <c r="F2" s="40"/>
      <c r="G2" s="43"/>
      <c r="H2" s="40"/>
      <c r="I2" s="74">
        <f>Variables!$A$2</f>
        <v>42647</v>
      </c>
      <c r="J2" s="75"/>
      <c r="K2" s="76"/>
      <c r="L2" s="76"/>
      <c r="M2" s="77" t="s">
        <v>8</v>
      </c>
      <c r="N2" s="78"/>
      <c r="O2" s="79"/>
      <c r="P2" s="2"/>
      <c r="R2" s="74">
        <f>Variables!$A$2</f>
        <v>42647</v>
      </c>
      <c r="S2" s="75"/>
      <c r="T2" s="76"/>
      <c r="U2" s="154"/>
      <c r="V2" s="98" t="s">
        <v>8</v>
      </c>
      <c r="W2" s="78"/>
      <c r="X2" s="160"/>
      <c r="Y2" s="67"/>
      <c r="Z2" s="67"/>
      <c r="AA2" s="67"/>
      <c r="AB2" s="64"/>
      <c r="AC2" s="58"/>
      <c r="AD2" s="59"/>
      <c r="AE2" s="1"/>
      <c r="AF2" s="1"/>
      <c r="AG2" s="1"/>
      <c r="AH2" s="55"/>
      <c r="AI2" s="1"/>
    </row>
    <row r="3" spans="1:91" s="23" customFormat="1" ht="15.75" thickBot="1" x14ac:dyDescent="0.3">
      <c r="A3" s="41"/>
      <c r="B3" s="43"/>
      <c r="C3" s="30"/>
      <c r="D3" s="30"/>
      <c r="E3" s="40"/>
      <c r="F3" s="40"/>
      <c r="G3" s="43"/>
      <c r="H3" s="40"/>
      <c r="I3" s="80" t="s">
        <v>10</v>
      </c>
      <c r="J3" s="81"/>
      <c r="K3" s="82"/>
      <c r="L3" s="82"/>
      <c r="M3" s="44" t="s">
        <v>11</v>
      </c>
      <c r="N3" s="45" t="s">
        <v>12</v>
      </c>
      <c r="O3" s="3" t="s">
        <v>13</v>
      </c>
      <c r="P3" s="2"/>
      <c r="R3" s="80" t="s">
        <v>10</v>
      </c>
      <c r="S3" s="81"/>
      <c r="T3" s="82"/>
      <c r="U3" s="155"/>
      <c r="V3" s="44" t="s">
        <v>11</v>
      </c>
      <c r="W3" s="45" t="s">
        <v>12</v>
      </c>
      <c r="X3" s="161" t="s">
        <v>13</v>
      </c>
      <c r="Y3" s="67"/>
      <c r="Z3" s="67"/>
      <c r="AA3" s="67"/>
      <c r="AB3" s="64"/>
      <c r="AC3" s="58"/>
      <c r="AD3" s="59"/>
      <c r="AE3" s="1"/>
      <c r="AF3" s="1"/>
      <c r="AG3" s="1"/>
      <c r="AH3" s="55"/>
      <c r="AI3" s="1"/>
    </row>
    <row r="4" spans="1:91" s="23" customFormat="1" ht="15.75" thickBot="1" x14ac:dyDescent="0.3">
      <c r="A4" s="41"/>
      <c r="B4" s="43"/>
      <c r="C4" s="30"/>
      <c r="D4" s="30"/>
      <c r="E4" s="40"/>
      <c r="F4" s="40"/>
      <c r="G4" s="43"/>
      <c r="H4" s="40"/>
      <c r="I4" s="83" t="s">
        <v>14</v>
      </c>
      <c r="J4" s="57">
        <f>SUM(J5:J7)</f>
        <v>144</v>
      </c>
      <c r="K4" s="46"/>
      <c r="L4" s="46"/>
      <c r="M4" s="47" t="s">
        <v>15</v>
      </c>
      <c r="N4" s="45" t="s">
        <v>15</v>
      </c>
      <c r="O4" s="3" t="s">
        <v>15</v>
      </c>
      <c r="P4" s="2"/>
      <c r="R4" s="83" t="s">
        <v>14</v>
      </c>
      <c r="S4" s="57">
        <f>SUM(S5:S7)</f>
        <v>47</v>
      </c>
      <c r="T4" s="46"/>
      <c r="U4" s="156"/>
      <c r="V4" s="47" t="s">
        <v>15</v>
      </c>
      <c r="W4" s="45" t="s">
        <v>15</v>
      </c>
      <c r="X4" s="161" t="s">
        <v>15</v>
      </c>
      <c r="Y4" s="67"/>
      <c r="Z4" s="67"/>
      <c r="AA4" s="67"/>
      <c r="AB4" s="64"/>
      <c r="AC4" s="58"/>
      <c r="AD4" s="59"/>
      <c r="AE4" s="1"/>
      <c r="AF4" s="1"/>
      <c r="AG4" s="1"/>
      <c r="AH4" s="55"/>
      <c r="AI4" s="1"/>
    </row>
    <row r="5" spans="1:91" s="23" customFormat="1" ht="15.75" thickBot="1" x14ac:dyDescent="0.3">
      <c r="A5" s="41"/>
      <c r="B5" s="43"/>
      <c r="C5" s="30"/>
      <c r="D5" s="30"/>
      <c r="E5" s="40"/>
      <c r="F5" s="40"/>
      <c r="G5" s="43"/>
      <c r="H5" s="40"/>
      <c r="I5" s="83" t="s">
        <v>17</v>
      </c>
      <c r="J5" s="57">
        <f>COUNTIFS($N$13:$N$9384,"&gt;0",$AG$13:$AG$9384,I1)</f>
        <v>137</v>
      </c>
      <c r="K5" s="46"/>
      <c r="L5" s="46"/>
      <c r="M5" s="47">
        <f>AVERAGEIFS($N$13:$N$9384,$AG$13:$AG$9384,I1)</f>
        <v>39.121776155984698</v>
      </c>
      <c r="N5" s="45">
        <f t="array" ref="N5">MIN(IF($AG$13:$AG$9384=I1,IF(ISNUMBER($N$13:$N$9384),IF($N$13:$N$9384&gt;0,$N$13:$N$9384))))</f>
        <v>34.66666667140089</v>
      </c>
      <c r="O5" s="3">
        <f t="array" ref="O5">MAX(IF($AG$13:$AG$9384=I1,IF(ISNUMBER($N$13:$N$9384),IF($N$13:$N$9384&gt;0,$N$13:$N$9384))))</f>
        <v>60.766666664276272</v>
      </c>
      <c r="P5" s="2"/>
      <c r="R5" s="83" t="s">
        <v>17</v>
      </c>
      <c r="S5" s="57">
        <f>COUNTIFS($N$13:$N$9384,"&gt;0",$AG$13:$AG$9384,R1)</f>
        <v>47</v>
      </c>
      <c r="T5" s="46"/>
      <c r="U5" s="156"/>
      <c r="V5" s="47">
        <f>AVERAGEIFS($N$13:$N$9384,$AG$13:$AG$9384,R1)</f>
        <v>15.91773049660681</v>
      </c>
      <c r="W5" s="45">
        <f t="array" ref="W5">MIN(IF($AG$13:$AG$9384=R1,IF(ISNUMBER($N$13:$N$9384),IF($N$13:$N$9384&gt;0,$N$13:$N$9384))))</f>
        <v>12.933333328692243</v>
      </c>
      <c r="X5" s="161">
        <f t="array" ref="X5">MAX(IF($AG$13:$AG$9384=R1,IF(ISNUMBER($N$13:$N$9384),IF($N$13:$N$9384&gt;0,$N$13:$N$9384))))</f>
        <v>26.499999992083758</v>
      </c>
      <c r="Y5" s="67"/>
      <c r="Z5" s="67"/>
      <c r="AA5" s="67"/>
      <c r="AB5" s="64"/>
      <c r="AC5" s="58"/>
      <c r="AD5" s="59"/>
      <c r="AE5" s="1"/>
      <c r="AF5" s="1"/>
      <c r="AG5" s="1"/>
      <c r="AH5" s="55"/>
      <c r="AI5" s="1"/>
    </row>
    <row r="6" spans="1:91" s="23" customFormat="1" ht="15.75" thickBot="1" x14ac:dyDescent="0.3">
      <c r="A6" s="41"/>
      <c r="B6" s="43"/>
      <c r="C6" s="30"/>
      <c r="D6" s="30"/>
      <c r="E6" s="40"/>
      <c r="F6" s="40"/>
      <c r="G6" s="43"/>
      <c r="H6" s="40"/>
      <c r="I6" s="84" t="s">
        <v>43</v>
      </c>
      <c r="J6" s="57">
        <f>COUNT($O$13:$O$160)</f>
        <v>0</v>
      </c>
      <c r="K6" s="46"/>
      <c r="L6" s="46"/>
      <c r="M6" s="47">
        <f>IFERROR(AVERAGE($O$13:$O$160),0)</f>
        <v>0</v>
      </c>
      <c r="N6" s="45">
        <f>MIN($O$13:$O$160)</f>
        <v>0</v>
      </c>
      <c r="O6" s="3">
        <f>MAX($O$13:$O$160)</f>
        <v>0</v>
      </c>
      <c r="P6" s="2"/>
      <c r="R6" s="84" t="s">
        <v>43</v>
      </c>
      <c r="S6" s="57">
        <f>COUNT($O$13:$O$160)</f>
        <v>0</v>
      </c>
      <c r="T6" s="46"/>
      <c r="U6" s="156"/>
      <c r="V6" s="47">
        <f>IFERROR(AVERAGE($O$13:$O$160),0)</f>
        <v>0</v>
      </c>
      <c r="W6" s="45">
        <f>MIN($O$13:$O$160)</f>
        <v>0</v>
      </c>
      <c r="X6" s="161">
        <f>MAX($O$13:$O$160)</f>
        <v>0</v>
      </c>
      <c r="Y6" s="67"/>
      <c r="Z6" s="67"/>
      <c r="AA6" s="67"/>
      <c r="AB6" s="64"/>
      <c r="AC6" s="58"/>
      <c r="AD6" s="59"/>
      <c r="AE6" s="1"/>
      <c r="AF6" s="1"/>
      <c r="AG6" s="1"/>
      <c r="AH6" s="55"/>
      <c r="AI6" s="1"/>
    </row>
    <row r="7" spans="1:91" s="23" customFormat="1" ht="15.75" thickBot="1" x14ac:dyDescent="0.3">
      <c r="A7" s="41"/>
      <c r="B7" s="43"/>
      <c r="C7" s="30"/>
      <c r="D7" s="30"/>
      <c r="E7" s="40"/>
      <c r="F7" s="40"/>
      <c r="G7" s="43"/>
      <c r="H7" s="40"/>
      <c r="I7" s="85" t="s">
        <v>9</v>
      </c>
      <c r="J7" s="57">
        <f>COUNTIFS($P$13:$P$9384,"&gt;0",$AG$13:$AG$9384,I1)</f>
        <v>7</v>
      </c>
      <c r="K7" s="46"/>
      <c r="L7" s="46"/>
      <c r="M7" s="45" t="s">
        <v>15</v>
      </c>
      <c r="N7" s="45" t="s">
        <v>15</v>
      </c>
      <c r="O7" s="3" t="s">
        <v>15</v>
      </c>
      <c r="P7" s="2"/>
      <c r="R7" s="85" t="s">
        <v>9</v>
      </c>
      <c r="S7" s="57">
        <f>COUNTIFS($P$13:$P$9384,"&gt;0",$AG$13:$AG$9384,R1)</f>
        <v>0</v>
      </c>
      <c r="T7" s="46"/>
      <c r="U7" s="156"/>
      <c r="V7" s="47" t="s">
        <v>15</v>
      </c>
      <c r="W7" s="45" t="s">
        <v>15</v>
      </c>
      <c r="X7" s="161" t="s">
        <v>15</v>
      </c>
      <c r="Y7" s="67"/>
      <c r="Z7" s="67"/>
      <c r="AA7" s="67"/>
      <c r="AB7" s="64"/>
      <c r="AC7" s="58"/>
      <c r="AD7" s="59"/>
      <c r="AE7" s="1"/>
      <c r="AF7" s="1"/>
      <c r="AG7" s="1"/>
      <c r="AH7" s="55"/>
      <c r="AI7" s="1"/>
    </row>
    <row r="8" spans="1:91" s="23" customFormat="1" ht="15.75" thickBot="1" x14ac:dyDescent="0.3">
      <c r="A8" s="41"/>
      <c r="B8" s="43"/>
      <c r="C8" s="30"/>
      <c r="D8" s="30"/>
      <c r="E8" s="40"/>
      <c r="F8" s="40"/>
      <c r="G8" s="43"/>
      <c r="H8" s="40"/>
      <c r="I8" s="83" t="s">
        <v>16</v>
      </c>
      <c r="J8" s="57">
        <f>J5</f>
        <v>137</v>
      </c>
      <c r="K8" s="46"/>
      <c r="L8" s="46"/>
      <c r="M8" s="47">
        <f>M5</f>
        <v>39.121776155984698</v>
      </c>
      <c r="N8" s="45">
        <f>N5</f>
        <v>34.66666667140089</v>
      </c>
      <c r="O8" s="3">
        <f>O5</f>
        <v>60.766666664276272</v>
      </c>
      <c r="P8" s="2"/>
      <c r="R8" s="83" t="s">
        <v>16</v>
      </c>
      <c r="S8" s="57">
        <f>S5</f>
        <v>47</v>
      </c>
      <c r="T8" s="46"/>
      <c r="U8" s="156"/>
      <c r="V8" s="47">
        <f>V5</f>
        <v>15.91773049660681</v>
      </c>
      <c r="W8" s="45">
        <f>W5</f>
        <v>12.933333328692243</v>
      </c>
      <c r="X8" s="161">
        <f>X5</f>
        <v>26.499999992083758</v>
      </c>
      <c r="Y8" s="67"/>
      <c r="Z8" s="67"/>
      <c r="AA8" s="67"/>
      <c r="AB8" s="64"/>
      <c r="AC8" s="58"/>
      <c r="AD8" s="59"/>
      <c r="AE8" s="1"/>
      <c r="AF8" s="1"/>
      <c r="AG8" s="1"/>
      <c r="AH8" s="55"/>
      <c r="AI8" s="1"/>
    </row>
    <row r="9" spans="1:91" s="23" customFormat="1" ht="15.75" thickBot="1" x14ac:dyDescent="0.3">
      <c r="A9" s="41"/>
      <c r="B9" s="43"/>
      <c r="C9" s="30"/>
      <c r="D9" s="30"/>
      <c r="E9" s="40"/>
      <c r="F9" s="40"/>
      <c r="G9" s="43"/>
      <c r="H9" s="40"/>
      <c r="I9" s="83" t="s">
        <v>19</v>
      </c>
      <c r="J9" s="71">
        <f>J8/J4</f>
        <v>0.95138888888888884</v>
      </c>
      <c r="K9" s="48"/>
      <c r="L9" s="48"/>
      <c r="M9" s="86"/>
      <c r="N9" s="43"/>
      <c r="O9" s="87"/>
      <c r="P9" s="2"/>
      <c r="R9" s="83" t="s">
        <v>19</v>
      </c>
      <c r="S9" s="71">
        <f>S8/S4</f>
        <v>1</v>
      </c>
      <c r="T9" s="48"/>
      <c r="U9" s="153"/>
      <c r="V9" s="86"/>
      <c r="W9" s="43"/>
      <c r="X9" s="150"/>
      <c r="Y9" s="67"/>
      <c r="Z9" s="67"/>
      <c r="AA9" s="67"/>
      <c r="AB9" s="64"/>
      <c r="AC9" s="58"/>
      <c r="AD9" s="59"/>
      <c r="AE9" s="1"/>
      <c r="AF9" s="1"/>
      <c r="AG9" s="1"/>
      <c r="AH9" s="55"/>
      <c r="AI9" s="1"/>
    </row>
    <row r="10" spans="1:91" s="23" customFormat="1" x14ac:dyDescent="0.25">
      <c r="A10" s="41"/>
      <c r="B10" s="43"/>
      <c r="C10" s="30"/>
      <c r="D10" s="30"/>
      <c r="E10" s="40"/>
      <c r="F10" s="40"/>
      <c r="G10" s="43"/>
      <c r="H10" s="40"/>
      <c r="I10" s="40"/>
      <c r="J10" s="43"/>
      <c r="K10" s="30"/>
      <c r="L10" s="30"/>
      <c r="M10" s="42"/>
      <c r="N10" s="43"/>
      <c r="O10" s="2"/>
      <c r="P10" s="2"/>
      <c r="U10" s="157"/>
      <c r="V10" s="99"/>
      <c r="W10" s="22"/>
      <c r="X10" s="162"/>
      <c r="Y10" s="67"/>
      <c r="Z10" s="67"/>
      <c r="AA10" s="67"/>
      <c r="AB10" s="64"/>
      <c r="AC10" s="58"/>
      <c r="AD10" s="59"/>
      <c r="AE10" s="1"/>
      <c r="AF10" s="1"/>
      <c r="AG10" s="1"/>
      <c r="AH10" s="55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- 2016-10-04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72">
        <f>AVERAGE(S13:S109)</f>
        <v>0.98188405797101441</v>
      </c>
      <c r="V11" s="99"/>
      <c r="AE11" s="1"/>
      <c r="AF11" s="1"/>
      <c r="AG11" s="1"/>
      <c r="AH11" s="55"/>
      <c r="AI11" s="1"/>
    </row>
    <row r="12" spans="1:91" s="5" customFormat="1" ht="69" customHeight="1" thickBot="1" x14ac:dyDescent="0.3">
      <c r="A12" s="16" t="s">
        <v>0</v>
      </c>
      <c r="B12" s="20" t="s">
        <v>44</v>
      </c>
      <c r="C12" s="17" t="s">
        <v>26</v>
      </c>
      <c r="D12" s="17" t="s">
        <v>1</v>
      </c>
      <c r="E12" s="18" t="s">
        <v>2</v>
      </c>
      <c r="F12" s="18" t="s">
        <v>3</v>
      </c>
      <c r="G12" s="20" t="s">
        <v>4</v>
      </c>
      <c r="H12" s="18" t="s">
        <v>5</v>
      </c>
      <c r="I12" s="18" t="s">
        <v>6</v>
      </c>
      <c r="J12" s="20" t="s">
        <v>7</v>
      </c>
      <c r="K12" s="89" t="s">
        <v>60</v>
      </c>
      <c r="L12" s="17" t="s">
        <v>47</v>
      </c>
      <c r="M12" s="19" t="s">
        <v>8</v>
      </c>
      <c r="N12" s="17" t="s">
        <v>41</v>
      </c>
      <c r="O12" s="20" t="s">
        <v>42</v>
      </c>
      <c r="P12" s="20" t="s">
        <v>18</v>
      </c>
      <c r="Q12" s="21" t="s">
        <v>46</v>
      </c>
      <c r="R12" s="21" t="s">
        <v>24</v>
      </c>
      <c r="S12" s="21" t="s">
        <v>69</v>
      </c>
      <c r="T12" s="56" t="s">
        <v>70</v>
      </c>
      <c r="U12" s="158" t="s">
        <v>71</v>
      </c>
      <c r="V12" s="101" t="s">
        <v>45</v>
      </c>
      <c r="W12" s="53" t="s">
        <v>23</v>
      </c>
      <c r="X12" s="163" t="s">
        <v>48</v>
      </c>
      <c r="Y12" s="68" t="s">
        <v>20</v>
      </c>
      <c r="Z12" s="68" t="s">
        <v>21</v>
      </c>
      <c r="AA12" s="68" t="s">
        <v>22</v>
      </c>
      <c r="AB12" s="65" t="s">
        <v>39</v>
      </c>
      <c r="AC12" s="61" t="s">
        <v>40</v>
      </c>
      <c r="AD12" s="60" t="s">
        <v>89</v>
      </c>
      <c r="AE12" s="94" t="s">
        <v>96</v>
      </c>
      <c r="AF12" s="91" t="s">
        <v>101</v>
      </c>
      <c r="AG12" s="4" t="s">
        <v>115</v>
      </c>
      <c r="AH12" s="97" t="s">
        <v>117</v>
      </c>
      <c r="AI12" s="129" t="s">
        <v>157</v>
      </c>
      <c r="AJ12" s="53" t="s">
        <v>158</v>
      </c>
      <c r="AK12" s="53" t="s">
        <v>131</v>
      </c>
      <c r="AL12" s="53" t="s">
        <v>159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9" t="s">
        <v>362</v>
      </c>
      <c r="B13" s="7">
        <v>4053</v>
      </c>
      <c r="C13" s="24" t="s">
        <v>106</v>
      </c>
      <c r="D13" s="24" t="s">
        <v>602</v>
      </c>
      <c r="E13" s="15">
        <v>42647.128321759257</v>
      </c>
      <c r="F13" s="15">
        <v>42647.135636574072</v>
      </c>
      <c r="G13" s="7">
        <v>1</v>
      </c>
      <c r="H13" s="15" t="s">
        <v>238</v>
      </c>
      <c r="I13" s="15">
        <v>42647.161412037036</v>
      </c>
      <c r="J13" s="7">
        <v>0</v>
      </c>
      <c r="K13" s="117" t="str">
        <f>IF(ISEVEN(B13),(B13-1)&amp;"/"&amp;B13,B13&amp;"/"&amp;(B13+1))</f>
        <v>4053/4054</v>
      </c>
      <c r="L13" s="24" t="str">
        <f>VLOOKUP(A13,'Trips&amp;Operators'!$C$1:$E$10000,3,FALSE)</f>
        <v>KILLION</v>
      </c>
      <c r="M13" s="6">
        <f>I13-F13</f>
        <v>2.5775462963792961E-2</v>
      </c>
      <c r="N13" s="7">
        <f>24*60*SUM($M13:$M13)</f>
        <v>37.116666667861864</v>
      </c>
      <c r="O13" s="7"/>
      <c r="P13" s="7"/>
      <c r="Q13" s="25"/>
      <c r="R13" s="25"/>
      <c r="S13" s="37">
        <f>SUM(U13:U13)/IF(AG13="EC",12,1)</f>
        <v>1</v>
      </c>
      <c r="T13" s="52" t="str">
        <f>IF(ISEVEN(LEFT(AD13,4)),"Southbound","NorthBound")</f>
        <v>NorthBound</v>
      </c>
      <c r="U13" s="159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02" t="str">
        <f>"https://search-rtdc-monitor-bjffxe2xuh6vdkpspy63sjmuny.us-east-1.es.amazonaws.com/_plugin/kibana/#/discover/Steve-Slow-Train-Analysis-(2080s-and-2083s)?_g=(refreshInterval:(display:Off,section:0,value:0),time:(from:'"&amp;TEXT(E13-1/24,"yyyy-MM-DD hh:mm:ss")&amp;"-0600',mode:absolute,to:'"&amp;TEXT(I13+1/24,"yyyy-MM-DD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https://search-rtdc-monitor-bjffxe2xuh6vdkpspy63sjmuny.us-east-1.es.amazonaws.com/_plugin/kibana/#/discover/Steve-Slow-Train-Analysis-(2080s-and-2083s)?_g=(refreshInterval:(display:Off,section:0,value:0),time:(from:'2016-10-04 02:04:47-0600',mode:absolute,to:'2016-10-04 04:52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3" s="54" t="str">
        <f>IF(AA13&lt;IF(AG13="EC",23,5.65),"Y","N")</f>
        <v>N</v>
      </c>
      <c r="X13" s="164" t="e">
        <f>VALUE(LEFT(AD13,4))-VALUE(LEFT(AD12,4))</f>
        <v>#VALUE!</v>
      </c>
      <c r="Y13" s="69">
        <f>RIGHT(D13,LEN(D13)-4)/10000</f>
        <v>7.7499999999999999E-2</v>
      </c>
      <c r="Z13" s="69">
        <f>RIGHT(H13,LEN(H13)-4)/10000</f>
        <v>23.328800000000001</v>
      </c>
      <c r="AA13" s="69">
        <f>ABS(Z13-Y13)</f>
        <v>23.251300000000001</v>
      </c>
      <c r="AB13" s="66" t="e">
        <f>VLOOKUP(A13,Enforcements!$C$7:$K$21,8,0)</f>
        <v>#N/A</v>
      </c>
      <c r="AC13" s="62" t="e">
        <f>VLOOKUP(A13,Enforcements!$C$7:$E$21,3,0)</f>
        <v>#N/A</v>
      </c>
      <c r="AD13" s="63" t="str">
        <f>IF(LEN(A13)=6,"0"&amp;A13,A13)</f>
        <v>0101-04</v>
      </c>
      <c r="AE13" s="95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s3://rtdc.mdm.uploadarchive.raw/RTDC4053/ "%USERPROFILE%\AppData\Local\Temp\OnboardLogs"\RTDC4053\2016-10-04 --exclude "*" --recursive --include "*20161004*" &amp; "%USERPROFILE%\Documents\GitHub\mrs-test-scripts\Headless Mode &amp; Sideloading\WalkAndUnGZ.bat" "%USERPROFILE%\AppData\Local\Temp\OnboardLogs"\RTDC4053\2016-10-04 &amp; aws s3 cp s3://rtdc.mdm.uploadarchive.raw/RTDC4053/ "%USERPROFILE%\AppData\Local\Temp\OnboardLogs"\RTDC4053\2016-10-05 --exclude "*" --recursive --include "*20161005*" &amp; "%USERPROFILE%\Documents\GitHub\mrs-test-scripts\Headless Mode &amp; Sideloading\WalkAndUnGZ.bat" "%USERPROFILE%\AppData\Local\Temp\OnboardLogs"\RTDC4053\2016-10-05</v>
      </c>
      <c r="AF13" s="92" t="str">
        <f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/stypes="app*4053*20161004*" /stext=" 09:.+((SYSTEM_STATE.+slice.+state.+changed )|(ment ac)|(system.+state.+changed )|(\[timeout)|(PRM\|1\|D)|(kpr)|(kdp)|(\|lc)|(penalty))" /e /r /s</v>
      </c>
      <c r="AG13" s="1" t="str">
        <f>IFERROR(IF(VALUE(LEFT(AD13,2))&lt;=2,"EC",IF(OR(VALUE(LEFT(AD13,2))=8,VALUE(LEFT(AD13,2))=18),"NW","Other")),"Other")</f>
        <v>EC</v>
      </c>
      <c r="AH13" s="96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101-04 --locoid 4053 --swversion DE.1.0.7.0 --startMP 204:775 --initTime 2016-10-04T03:04:47 --startdatetime 2016-10-04T03:15:19 --delay 1 --endMP 204:233288 --enddatetime 2016-10-04T03:52:26 --enforcementcount 0 &gt;&gt;C:\Users\stu\Documents\GitHub\eaglep3-reporting\EC\2016-10-04-refined-times.txt</v>
      </c>
      <c r="AI13" s="130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{"issue":{"subject":"","project_id":79,"tracker_id":40,"status_id":1,"priority_id":2,"assigned_to_id":23,"start_date":"2016-10-04","description":"","custom_fields":[{"id":1,"name":"Subdivision","value":"EC"},{"id":4,"name":"Milepost","value":"23.3288"},{"id":17,"name":"Train ID","value":"101-04"},{"id":16,"name":"Locomotive ID","value":"4053"},{"id":130,"name":"Impact","value":""},{"id":150,"name":"Time of Event (Mountain Time)","value":"03:52:26"},{"id":151,"name":"Denver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5"/>
      <c r="AK13" s="55"/>
      <c r="AL13" s="55"/>
    </row>
    <row r="14" spans="1:91" s="1" customFormat="1" x14ac:dyDescent="0.25">
      <c r="A14" s="39" t="s">
        <v>368</v>
      </c>
      <c r="B14" s="7">
        <v>4015</v>
      </c>
      <c r="C14" s="24" t="s">
        <v>106</v>
      </c>
      <c r="D14" s="24" t="s">
        <v>603</v>
      </c>
      <c r="E14" s="15">
        <v>42647.167858796296</v>
      </c>
      <c r="F14" s="15">
        <v>42647.17459490741</v>
      </c>
      <c r="G14" s="7">
        <v>1</v>
      </c>
      <c r="H14" s="15" t="s">
        <v>223</v>
      </c>
      <c r="I14" s="15">
        <v>42647.201585648145</v>
      </c>
      <c r="J14" s="7">
        <v>0</v>
      </c>
      <c r="K14" s="117" t="str">
        <f>IF(ISEVEN(B14),(B14-1)&amp;"/"&amp;B14,B14&amp;"/"&amp;(B14+1))</f>
        <v>4015/4016</v>
      </c>
      <c r="L14" s="24" t="str">
        <f>VLOOKUP(A14,'Trips&amp;Operators'!$C$1:$E$10000,3,FALSE)</f>
        <v>KILLION</v>
      </c>
      <c r="M14" s="6">
        <f>I14-F14</f>
        <v>2.6990740734618157E-2</v>
      </c>
      <c r="N14" s="7">
        <f>24*60*SUM($M14:$M14)</f>
        <v>38.866666657850146</v>
      </c>
      <c r="O14" s="7"/>
      <c r="P14" s="7"/>
      <c r="Q14" s="25"/>
      <c r="R14" s="25"/>
      <c r="S14" s="37">
        <f>SUM(U14:U14)/IF(AG14="EC",12,1)</f>
        <v>1</v>
      </c>
      <c r="T14" s="52" t="str">
        <f>IF(ISEVEN(LEFT(AD14,4)),"Southbound","NorthBound")</f>
        <v>Southbound</v>
      </c>
      <c r="U14" s="159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02" t="str">
        <f>"https://search-rtdc-monitor-bjffxe2xuh6vdkpspy63sjmuny.us-east-1.es.amazonaws.com/_plugin/kibana/#/discover/Steve-Slow-Train-Analysis-(2080s-and-2083s)?_g=(refreshInterval:(display:Off,section:0,value:0),time:(from:'"&amp;TEXT(E14-1/24,"yyyy-MM-DD hh:mm:ss")&amp;"-0600',mode:absolute,to:'"&amp;TEXT(I14+1/24,"yyyy-MM-DD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&amp;"%22')),sort:!(Time,asc))"</f>
        <v>https://search-rtdc-monitor-bjffxe2xuh6vdkpspy63sjmuny.us-east-1.es.amazonaws.com/_plugin/kibana/#/discover/Steve-Slow-Train-Analysis-(2080s-and-2083s)?_g=(refreshInterval:(display:Off,section:0,value:0),time:(from:'2016-10-04 03:01:43-0600',mode:absolute,to:'2016-10-04 05:50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" s="54" t="str">
        <f>IF(AA14&lt;IF(AG14="EC",23,5.65),"Y","N")</f>
        <v>N</v>
      </c>
      <c r="X14" s="164">
        <f>VALUE(LEFT(AD14,4))-VALUE(LEFT(AD13,4))</f>
        <v>1</v>
      </c>
      <c r="Y14" s="69">
        <f>RIGHT(D14,LEN(D14)-4)/10000</f>
        <v>23.2654</v>
      </c>
      <c r="Z14" s="69">
        <f>RIGHT(H14,LEN(H14)-4)/10000</f>
        <v>1.43E-2</v>
      </c>
      <c r="AA14" s="69">
        <f>ABS(Z14-Y14)</f>
        <v>23.251100000000001</v>
      </c>
      <c r="AB14" s="66" t="e">
        <f>VLOOKUP(A14,Enforcements!$C$7:$K$21,8,0)</f>
        <v>#N/A</v>
      </c>
      <c r="AC14" s="62" t="e">
        <f>VLOOKUP(A14,Enforcements!$C$7:$E$21,3,0)</f>
        <v>#N/A</v>
      </c>
      <c r="AD14" s="63" t="str">
        <f>IF(LEN(A14)=6,"0"&amp;A14,A14)</f>
        <v>0102-04</v>
      </c>
      <c r="AE14" s="9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s3://rtdc.mdm.uploadarchive.raw/RTDC4015/ "%USERPROFILE%\AppData\Local\Temp\OnboardLogs"\RTDC4015\2016-10-04 --exclude "*" --recursive --include "*20161004*" &amp; "%USERPROFILE%\Documents\GitHub\mrs-test-scripts\Headless Mode &amp; Sideloading\WalkAndUnGZ.bat" "%USERPROFILE%\AppData\Local\Temp\OnboardLogs"\RTDC4015\2016-10-04 &amp; aws s3 cp s3://rtdc.mdm.uploadarchive.raw/RTDC4015/ "%USERPROFILE%\AppData\Local\Temp\OnboardLogs"\RTDC4015\2016-10-05 --exclude "*" --recursive --include "*20161005*" &amp; "%USERPROFILE%\Documents\GitHub\mrs-test-scripts\Headless Mode &amp; Sideloading\WalkAndUnGZ.bat" "%USERPROFILE%\AppData\Local\Temp\OnboardLogs"\RTDC4015\2016-10-05</v>
      </c>
      <c r="AF14" s="92" t="str">
        <f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/stypes="app*4015*20161004*" /stext=" 10:.+((SYSTEM_STATE.+slice.+state.+changed )|(ment ac)|(system.+state.+changed )|(\[timeout)|(PRM\|1\|D)|(kpr)|(kdp)|(\|lc)|(penalty))" /e /r /s</v>
      </c>
      <c r="AG14" s="1" t="str">
        <f>IFERROR(IF(VALUE(LEFT(AD14,2))&lt;=2,"EC",IF(OR(VALUE(LEFT(AD14,2))=8,VALUE(LEFT(AD14,2))=18),"NW","Other")),"Other")</f>
        <v>EC</v>
      </c>
      <c r="AH14" s="96" t="str">
        <f t="shared" ref="AH14:AH77" si="2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102-04 --locoid 4015 --swversion DE.1.0.7.0 --startMP 204:232654 --initTime 2016-10-04T04:01:43 --startdatetime 2016-10-04T04:11:25 --delay 1 --endMP 204:143 --enddatetime 2016-10-04T04:50:17 --enforcementcount 0 &gt;&gt;C:\Users\stu\Documents\GitHub\eaglep3-reporting\EC\2016-10-04-refined-times.txt</v>
      </c>
      <c r="AI14" s="130" t="str">
        <f t="shared" ref="AI14:AI77" si="3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{"issue":{"subject":"","project_id":79,"tracker_id":40,"status_id":1,"priority_id":2,"assigned_to_id":23,"start_date":"2016-10-04","description":"","custom_fields":[{"id":1,"name":"Subdivision","value":"EC"},{"id":4,"name":"Milepost","value":"0.0143"},{"id":17,"name":"Train ID","value":"102-04"},{"id":16,"name":"Locomotive ID","value":"4015"},{"id":130,"name":"Impact","value":""},{"id":150,"name":"Time of Event (Mountain Time)","value":"04:50:17"},{"id":151,"name":"Denver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5"/>
      <c r="AK14" s="55"/>
      <c r="AL14" s="55"/>
    </row>
    <row r="15" spans="1:91" s="1" customFormat="1" x14ac:dyDescent="0.25">
      <c r="A15" s="39" t="s">
        <v>366</v>
      </c>
      <c r="B15" s="7">
        <v>4044</v>
      </c>
      <c r="C15" s="24" t="s">
        <v>106</v>
      </c>
      <c r="D15" s="24" t="s">
        <v>604</v>
      </c>
      <c r="E15" s="15">
        <v>42647.153275462966</v>
      </c>
      <c r="F15" s="15">
        <v>42647.156504629631</v>
      </c>
      <c r="G15" s="7">
        <v>1</v>
      </c>
      <c r="H15" s="15" t="s">
        <v>605</v>
      </c>
      <c r="I15" s="15">
        <v>42647.182002314818</v>
      </c>
      <c r="J15" s="7">
        <v>0</v>
      </c>
      <c r="K15" s="117" t="str">
        <f>IF(ISEVEN(B15),(B15-1)&amp;"/"&amp;B15,B15&amp;"/"&amp;(B15+1))</f>
        <v>4043/4044</v>
      </c>
      <c r="L15" s="24" t="str">
        <f>VLOOKUP(A15,'Trips&amp;Operators'!$C$1:$E$10000,3,FALSE)</f>
        <v>ACKERMAN</v>
      </c>
      <c r="M15" s="6">
        <f>I15-F15</f>
        <v>2.5497685186564922E-2</v>
      </c>
      <c r="N15" s="7">
        <f>24*60*SUM($M15:$M15)</f>
        <v>36.716666668653488</v>
      </c>
      <c r="O15" s="7"/>
      <c r="P15" s="7"/>
      <c r="Q15" s="25"/>
      <c r="R15" s="25"/>
      <c r="S15" s="37">
        <f>SUM(U15:U15)/IF(AG15="EC",12,1)</f>
        <v>1</v>
      </c>
      <c r="T15" s="52" t="str">
        <f>IF(ISEVEN(LEFT(AD15,4)),"Southbound","NorthBound")</f>
        <v>NorthBound</v>
      </c>
      <c r="U15" s="159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02" t="str">
        <f>"https://search-rtdc-monitor-bjffxe2xuh6vdkpspy63sjmuny.us-east-1.es.amazonaws.com/_plugin/kibana/#/discover/Steve-Slow-Train-Analysis-(2080s-and-2083s)?_g=(refreshInterval:(display:Off,section:0,value:0),time:(from:'"&amp;TEXT(E15-1/24,"yyyy-MM-DD hh:mm:ss")&amp;"-0600',mode:absolute,to:'"&amp;TEXT(I15+1/24,"yyyy-MM-DD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&amp;"%22')),sort:!(Time,asc))"</f>
        <v>https://search-rtdc-monitor-bjffxe2xuh6vdkpspy63sjmuny.us-east-1.es.amazonaws.com/_plugin/kibana/#/discover/Steve-Slow-Train-Analysis-(2080s-and-2083s)?_g=(refreshInterval:(display:Off,section:0,value:0),time:(from:'2016-10-04 02:40:43-0600',mode:absolute,to:'2016-10-04 05:22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" s="54" t="str">
        <f>IF(AA15&lt;IF(AG15="EC",23,5.65),"Y","N")</f>
        <v>N</v>
      </c>
      <c r="X15" s="164">
        <f>VALUE(LEFT(AD15,4))-VALUE(LEFT(AD14,4))</f>
        <v>1</v>
      </c>
      <c r="Y15" s="69">
        <f>RIGHT(D15,LEN(D15)-4)/10000</f>
        <v>7.1199999999999999E-2</v>
      </c>
      <c r="Z15" s="69">
        <f>RIGHT(H15,LEN(H15)-4)/10000</f>
        <v>23.337199999999999</v>
      </c>
      <c r="AA15" s="69">
        <f>ABS(Z15-Y15)</f>
        <v>23.265999999999998</v>
      </c>
      <c r="AB15" s="66" t="e">
        <f>VLOOKUP(A15,Enforcements!$C$7:$K$21,8,0)</f>
        <v>#N/A</v>
      </c>
      <c r="AC15" s="62" t="e">
        <f>VLOOKUP(A15,Enforcements!$C$7:$E$21,3,0)</f>
        <v>#N/A</v>
      </c>
      <c r="AD15" s="63" t="str">
        <f>IF(LEN(A15)=6,"0"&amp;A15,A15)</f>
        <v>0103-04</v>
      </c>
      <c r="AE15" s="9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s3://rtdc.mdm.uploadarchive.raw/RTDC4044/ "%USERPROFILE%\AppData\Local\Temp\OnboardLogs"\RTDC4044\2016-10-04 --exclude "*" --recursive --include "*20161004*" &amp; "%USERPROFILE%\Documents\GitHub\mrs-test-scripts\Headless Mode &amp; Sideloading\WalkAndUnGZ.bat" "%USERPROFILE%\AppData\Local\Temp\OnboardLogs"\RTDC4044\2016-10-04 &amp; aws s3 cp s3://rtdc.mdm.uploadarchive.raw/RTDC4044/ "%USERPROFILE%\AppData\Local\Temp\OnboardLogs"\RTDC4044\2016-10-05 --exclude "*" --recursive --include "*20161005*" &amp; "%USERPROFILE%\Documents\GitHub\mrs-test-scripts\Headless Mode &amp; Sideloading\WalkAndUnGZ.bat" "%USERPROFILE%\AppData\Local\Temp\OnboardLogs"\RTDC4044\2016-10-05</v>
      </c>
      <c r="AF15" s="92" t="str">
        <f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/stypes="app*4044*20161004*" /stext=" 10:.+((SYSTEM_STATE.+slice.+state.+changed )|(ment ac)|(system.+state.+changed )|(\[timeout)|(PRM\|1\|D)|(kpr)|(kdp)|(\|lc)|(penalty))" /e /r /s</v>
      </c>
      <c r="AG15" s="1" t="str">
        <f>IFERROR(IF(VALUE(LEFT(AD15,2))&lt;=2,"EC",IF(OR(VALUE(LEFT(AD15,2))=8,VALUE(LEFT(AD15,2))=18),"NW","Other")),"Other")</f>
        <v>EC</v>
      </c>
      <c r="AH15" s="96" t="str">
        <f t="shared" si="2"/>
        <v>"%USERPROFILE%\Documents\GitHub\eaglep3\Utilities\RefineRTDCRunTimes.py" --tripid 103-04 --locoid 4044 --swversion DE.1.0.7.0 --startMP 204:712 --initTime 2016-10-04T03:40:43 --startdatetime 2016-10-04T03:45:22 --delay 1 --endMP 204:233372 --enddatetime 2016-10-04T04:22:05 --enforcementcount 0 &gt;&gt;C:\Users\stu\Documents\GitHub\eaglep3-reporting\EC\2016-10-04-refined-times.txt</v>
      </c>
      <c r="AI15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{"issue":{"subject":"","project_id":79,"tracker_id":40,"status_id":1,"priority_id":2,"assigned_to_id":23,"start_date":"2016-10-04","description":"","custom_fields":[{"id":1,"name":"Subdivision","value":"EC"},{"id":4,"name":"Milepost","value":"23.3372"},{"id":17,"name":"Train ID","value":"103-04"},{"id":16,"name":"Locomotive ID","value":"4044"},{"id":130,"name":"Impact","value":""},{"id":150,"name":"Time of Event (Mountain Time)","value":"04:22:05"},{"id":151,"name":"Denver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5"/>
      <c r="AK15" s="55"/>
      <c r="AL15" s="55"/>
    </row>
    <row r="16" spans="1:91" s="1" customFormat="1" x14ac:dyDescent="0.25">
      <c r="A16" s="39" t="s">
        <v>373</v>
      </c>
      <c r="B16" s="7">
        <v>4008</v>
      </c>
      <c r="C16" s="24" t="s">
        <v>106</v>
      </c>
      <c r="D16" s="24" t="s">
        <v>606</v>
      </c>
      <c r="E16" s="15">
        <v>42647.189606481479</v>
      </c>
      <c r="F16" s="15">
        <v>42647.195381944446</v>
      </c>
      <c r="G16" s="7">
        <v>1</v>
      </c>
      <c r="H16" s="15" t="s">
        <v>213</v>
      </c>
      <c r="I16" s="15">
        <v>42647.223703703705</v>
      </c>
      <c r="J16" s="7">
        <v>0</v>
      </c>
      <c r="K16" s="117" t="str">
        <f>IF(ISEVEN(B16),(B16-1)&amp;"/"&amp;B16,B16&amp;"/"&amp;(B16+1))</f>
        <v>4007/4008</v>
      </c>
      <c r="L16" s="24" t="str">
        <f>VLOOKUP(A16,'Trips&amp;Operators'!$C$1:$E$10000,3,FALSE)</f>
        <v>ACKERMAN</v>
      </c>
      <c r="M16" s="6">
        <f>I16-F16</f>
        <v>2.8321759258687962E-2</v>
      </c>
      <c r="N16" s="7">
        <f>24*60*SUM($M16:$M16)</f>
        <v>40.783333332510665</v>
      </c>
      <c r="O16" s="7"/>
      <c r="P16" s="7"/>
      <c r="Q16" s="25"/>
      <c r="R16" s="25"/>
      <c r="S16" s="37">
        <f>SUM(U16:U16)/IF(AG16="EC",12,1)</f>
        <v>1</v>
      </c>
      <c r="T16" s="52" t="str">
        <f>IF(ISEVEN(LEFT(AD16,4)),"Southbound","NorthBound")</f>
        <v>Southbound</v>
      </c>
      <c r="U16" s="159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02" t="str">
        <f>"https://search-rtdc-monitor-bjffxe2xuh6vdkpspy63sjmuny.us-east-1.es.amazonaws.com/_plugin/kibana/#/discover/Steve-Slow-Train-Analysis-(2080s-and-2083s)?_g=(refreshInterval:(display:Off,section:0,value:0),time:(from:'"&amp;TEXT(E16-1/24,"yyyy-MM-DD hh:mm:ss")&amp;"-0600',mode:absolute,to:'"&amp;TEXT(I16+1/24,"yyyy-MM-DD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&amp;"%22')),sort:!(Time,asc))"</f>
        <v>https://search-rtdc-monitor-bjffxe2xuh6vdkpspy63sjmuny.us-east-1.es.amazonaws.com/_plugin/kibana/#/discover/Steve-Slow-Train-Analysis-(2080s-and-2083s)?_g=(refreshInterval:(display:Off,section:0,value:0),time:(from:'2016-10-04 03:33:02-0600',mode:absolute,to:'2016-10-04 06:22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6" s="54" t="str">
        <f>IF(AA16&lt;IF(AG16="EC",23,5.65),"Y","N")</f>
        <v>N</v>
      </c>
      <c r="X16" s="164">
        <f>VALUE(LEFT(AD16,4))-VALUE(LEFT(AD15,4))</f>
        <v>1</v>
      </c>
      <c r="Y16" s="69">
        <f>RIGHT(D16,LEN(D16)-4)/10000</f>
        <v>23.2727</v>
      </c>
      <c r="Z16" s="69">
        <f>RIGHT(H16,LEN(H16)-4)/10000</f>
        <v>1.4500000000000001E-2</v>
      </c>
      <c r="AA16" s="69">
        <f>ABS(Z16-Y16)</f>
        <v>23.258199999999999</v>
      </c>
      <c r="AB16" s="66" t="e">
        <f>VLOOKUP(A16,Enforcements!$C$7:$K$21,8,0)</f>
        <v>#N/A</v>
      </c>
      <c r="AC16" s="62" t="e">
        <f>VLOOKUP(A16,Enforcements!$C$7:$E$21,3,0)</f>
        <v>#N/A</v>
      </c>
      <c r="AD16" s="63" t="str">
        <f>IF(LEN(A16)=6,"0"&amp;A16,A16)</f>
        <v>0104-04</v>
      </c>
      <c r="AE16" s="9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s3://rtdc.mdm.uploadarchive.raw/RTDC4008/ "%USERPROFILE%\AppData\Local\Temp\OnboardLogs"\RTDC4008\2016-10-04 --exclude "*" --recursive --include "*20161004*" &amp; "%USERPROFILE%\Documents\GitHub\mrs-test-scripts\Headless Mode &amp; Sideloading\WalkAndUnGZ.bat" "%USERPROFILE%\AppData\Local\Temp\OnboardLogs"\RTDC4008\2016-10-04 &amp; aws s3 cp s3://rtdc.mdm.uploadarchive.raw/RTDC4008/ "%USERPROFILE%\AppData\Local\Temp\OnboardLogs"\RTDC4008\2016-10-05 --exclude "*" --recursive --include "*20161005*" &amp; "%USERPROFILE%\Documents\GitHub\mrs-test-scripts\Headless Mode &amp; Sideloading\WalkAndUnGZ.bat" "%USERPROFILE%\AppData\Local\Temp\OnboardLogs"\RTDC4008\2016-10-05</v>
      </c>
      <c r="AF16" s="92" t="str">
        <f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/stypes="app*4008*20161004*" /stext=" 11:.+((SYSTEM_STATE.+slice.+state.+changed )|(ment ac)|(system.+state.+changed )|(\[timeout)|(PRM\|1\|D)|(kpr)|(kdp)|(\|lc)|(penalty))" /e /r /s</v>
      </c>
      <c r="AG16" s="1" t="str">
        <f>IFERROR(IF(VALUE(LEFT(AD16,2))&lt;=2,"EC",IF(OR(VALUE(LEFT(AD16,2))=8,VALUE(LEFT(AD16,2))=18),"NW","Other")),"Other")</f>
        <v>EC</v>
      </c>
      <c r="AH16" s="96" t="str">
        <f t="shared" si="2"/>
        <v>"%USERPROFILE%\Documents\GitHub\eaglep3\Utilities\RefineRTDCRunTimes.py" --tripid 104-04 --locoid 4008 --swversion DE.1.0.7.0 --startMP 204:232727 --initTime 2016-10-04T04:33:02 --startdatetime 2016-10-04T04:41:21 --delay 1 --endMP 204:145 --enddatetime 2016-10-04T05:22:08 --enforcementcount 0 &gt;&gt;C:\Users\stu\Documents\GitHub\eaglep3-reporting\EC\2016-10-04-refined-times.txt</v>
      </c>
      <c r="AI16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{"issue":{"subject":"","project_id":79,"tracker_id":40,"status_id":1,"priority_id":2,"assigned_to_id":23,"start_date":"2016-10-04","description":"","custom_fields":[{"id":1,"name":"Subdivision","value":"EC"},{"id":4,"name":"Milepost","value":"0.0145"},{"id":17,"name":"Train ID","value":"104-04"},{"id":16,"name":"Locomotive ID","value":"4008"},{"id":130,"name":"Impact","value":""},{"id":150,"name":"Time of Event (Mountain Time)","value":"05:22:08"},{"id":151,"name":"Denver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5"/>
      <c r="AK16" s="55"/>
      <c r="AL16" s="55"/>
    </row>
    <row r="17" spans="1:38" s="1" customFormat="1" x14ac:dyDescent="0.25">
      <c r="A17" s="39" t="s">
        <v>370</v>
      </c>
      <c r="B17" s="7">
        <v>4029</v>
      </c>
      <c r="C17" s="24" t="s">
        <v>106</v>
      </c>
      <c r="D17" s="24" t="s">
        <v>312</v>
      </c>
      <c r="E17" s="15">
        <v>42647.173472222225</v>
      </c>
      <c r="F17" s="15">
        <v>42647.17728009259</v>
      </c>
      <c r="G17" s="7">
        <v>1</v>
      </c>
      <c r="H17" s="15" t="s">
        <v>308</v>
      </c>
      <c r="I17" s="15">
        <v>42647.203182870369</v>
      </c>
      <c r="J17" s="7">
        <v>0</v>
      </c>
      <c r="K17" s="117" t="str">
        <f>IF(ISEVEN(B17),(B17-1)&amp;"/"&amp;B17,B17&amp;"/"&amp;(B17+1))</f>
        <v>4029/4030</v>
      </c>
      <c r="L17" s="24" t="str">
        <f>VLOOKUP(A17,'Trips&amp;Operators'!$C$1:$E$10000,3,FALSE)</f>
        <v>BRANNON</v>
      </c>
      <c r="M17" s="6">
        <f>I17-F17</f>
        <v>2.5902777779265307E-2</v>
      </c>
      <c r="N17" s="7">
        <f>24*60*SUM($M17:$M17)</f>
        <v>37.300000002142042</v>
      </c>
      <c r="O17" s="7"/>
      <c r="P17" s="7"/>
      <c r="Q17" s="25"/>
      <c r="R17" s="25"/>
      <c r="S17" s="37">
        <f>SUM(U17:U17)/IF(AG17="EC",12,1)</f>
        <v>1</v>
      </c>
      <c r="T17" s="52" t="str">
        <f>IF(ISEVEN(LEFT(AD17,4)),"Southbound","NorthBound")</f>
        <v>NorthBound</v>
      </c>
      <c r="U17" s="159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02" t="str">
        <f>"https://search-rtdc-monitor-bjffxe2xuh6vdkpspy63sjmuny.us-east-1.es.amazonaws.com/_plugin/kibana/#/discover/Steve-Slow-Train-Analysis-(2080s-and-2083s)?_g=(refreshInterval:(display:Off,section:0,value:0),time:(from:'"&amp;TEXT(E17-1/24,"yyyy-MM-DD hh:mm:ss")&amp;"-0600',mode:absolute,to:'"&amp;TEXT(I17+1/24,"yyyy-MM-DD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&amp;"%22')),sort:!(Time,asc))"</f>
        <v>https://search-rtdc-monitor-bjffxe2xuh6vdkpspy63sjmuny.us-east-1.es.amazonaws.com/_plugin/kibana/#/discover/Steve-Slow-Train-Analysis-(2080s-and-2083s)?_g=(refreshInterval:(display:Off,section:0,value:0),time:(from:'2016-10-04 03:09:48-0600',mode:absolute,to:'2016-10-04 05:52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7" s="54" t="str">
        <f>IF(AA17&lt;IF(AG17="EC",23,5.65),"Y","N")</f>
        <v>N</v>
      </c>
      <c r="X17" s="164">
        <f>VALUE(LEFT(AD17,4))-VALUE(LEFT(AD16,4))</f>
        <v>1</v>
      </c>
      <c r="Y17" s="69">
        <f>RIGHT(D17,LEN(D17)-4)/10000</f>
        <v>7.6300000000000007E-2</v>
      </c>
      <c r="Z17" s="69">
        <f>RIGHT(H17,LEN(H17)-4)/10000</f>
        <v>23.330100000000002</v>
      </c>
      <c r="AA17" s="69">
        <f>ABS(Z17-Y17)</f>
        <v>23.253800000000002</v>
      </c>
      <c r="AB17" s="66" t="e">
        <f>VLOOKUP(A17,Enforcements!$C$7:$K$21,8,0)</f>
        <v>#N/A</v>
      </c>
      <c r="AC17" s="62" t="e">
        <f>VLOOKUP(A17,Enforcements!$C$7:$E$21,3,0)</f>
        <v>#N/A</v>
      </c>
      <c r="AD17" s="63" t="str">
        <f>IF(LEN(A17)=6,"0"&amp;A17,A17)</f>
        <v>0105-04</v>
      </c>
      <c r="AE17" s="9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s3://rtdc.mdm.uploadarchive.raw/RTDC4029/ "%USERPROFILE%\AppData\Local\Temp\OnboardLogs"\RTDC4029\2016-10-04 --exclude "*" --recursive --include "*20161004*" &amp; "%USERPROFILE%\Documents\GitHub\mrs-test-scripts\Headless Mode &amp; Sideloading\WalkAndUnGZ.bat" "%USERPROFILE%\AppData\Local\Temp\OnboardLogs"\RTDC4029\2016-10-04 &amp; aws s3 cp s3://rtdc.mdm.uploadarchive.raw/RTDC4029/ "%USERPROFILE%\AppData\Local\Temp\OnboardLogs"\RTDC4029\2016-10-05 --exclude "*" --recursive --include "*20161005*" &amp; "%USERPROFILE%\Documents\GitHub\mrs-test-scripts\Headless Mode &amp; Sideloading\WalkAndUnGZ.bat" "%USERPROFILE%\AppData\Local\Temp\OnboardLogs"\RTDC4029\2016-10-05</v>
      </c>
      <c r="AF17" s="92" t="str">
        <f>astrogrep_path&amp;" /spath="&amp;search_path&amp;" /stypes=""app*"&amp;B17&amp;"*"&amp;TEXT(I17-utc_offset/24,"YYYYMMDD")&amp;"*"" /stext="" "&amp;TEXT(I17-utc_offset/24,"HH")&amp;search_regexp&amp;""" /e /r /s"</f>
        <v>"C:\Program Files (x86)\AstroGrep\AstroGrep.exe" /spath="%USERPROFILE%\AppData\Local\Temp\OnboardLogs" /stypes="app*4029*20161004*" /stext=" 10:.+((SYSTEM_STATE.+slice.+state.+changed )|(ment ac)|(system.+state.+changed )|(\[timeout)|(PRM\|1\|D)|(kpr)|(kdp)|(\|lc)|(penalty))" /e /r /s</v>
      </c>
      <c r="AG17" s="1" t="str">
        <f>IFERROR(IF(VALUE(LEFT(AD17,2))&lt;=2,"EC",IF(OR(VALUE(LEFT(AD17,2))=8,VALUE(LEFT(AD17,2))=18),"NW","Other")),"Other")</f>
        <v>EC</v>
      </c>
      <c r="AH17" s="96" t="str">
        <f t="shared" si="2"/>
        <v>"%USERPROFILE%\Documents\GitHub\eaglep3\Utilities\RefineRTDCRunTimes.py" --tripid 105-04 --locoid 4029 --swversion DE.1.0.7.0 --startMP 204:763 --initTime 2016-10-04T04:09:48 --startdatetime 2016-10-04T04:15:17 --delay 1 --endMP 204:233301 --enddatetime 2016-10-04T04:52:35 --enforcementcount 0 &gt;&gt;C:\Users\stu\Documents\GitHub\eaglep3-reporting\EC\2016-10-04-refined-times.txt</v>
      </c>
      <c r="AI17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{"issue":{"subject":"","project_id":79,"tracker_id":40,"status_id":1,"priority_id":2,"assigned_to_id":23,"start_date":"2016-10-04","description":"","custom_fields":[{"id":1,"name":"Subdivision","value":"EC"},{"id":4,"name":"Milepost","value":"23.3301"},{"id":17,"name":"Train ID","value":"105-04"},{"id":16,"name":"Locomotive ID","value":"4029"},{"id":130,"name":"Impact","value":""},{"id":150,"name":"Time of Event (Mountain Time)","value":"04:52:35"},{"id":151,"name":"Denver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5"/>
      <c r="AK17" s="55"/>
      <c r="AL17" s="55"/>
    </row>
    <row r="18" spans="1:38" s="1" customFormat="1" x14ac:dyDescent="0.25">
      <c r="A18" s="39" t="s">
        <v>377</v>
      </c>
      <c r="B18" s="7">
        <v>4041</v>
      </c>
      <c r="C18" s="24" t="s">
        <v>106</v>
      </c>
      <c r="D18" s="24" t="s">
        <v>607</v>
      </c>
      <c r="E18" s="15">
        <v>42647.205717592595</v>
      </c>
      <c r="F18" s="15">
        <v>42647.216377314813</v>
      </c>
      <c r="G18" s="7">
        <v>1</v>
      </c>
      <c r="H18" s="15" t="s">
        <v>214</v>
      </c>
      <c r="I18" s="15">
        <v>42647.243773148148</v>
      </c>
      <c r="J18" s="7">
        <v>0</v>
      </c>
      <c r="K18" s="117" t="str">
        <f>IF(ISEVEN(B18),(B18-1)&amp;"/"&amp;B18,B18&amp;"/"&amp;(B18+1))</f>
        <v>4041/4042</v>
      </c>
      <c r="L18" s="24" t="str">
        <f>VLOOKUP(A18,'Trips&amp;Operators'!$C$1:$E$10000,3,FALSE)</f>
        <v>BRANNON</v>
      </c>
      <c r="M18" s="6">
        <f>I18-F18</f>
        <v>2.7395833334594499E-2</v>
      </c>
      <c r="N18" s="7">
        <f>24*60*SUM($M18:$M18)</f>
        <v>39.450000001816079</v>
      </c>
      <c r="O18" s="7"/>
      <c r="P18" s="7"/>
      <c r="Q18" s="25"/>
      <c r="R18" s="25"/>
      <c r="S18" s="37">
        <f>SUM(U18:U18)/IF(AG18="EC",12,1)</f>
        <v>1</v>
      </c>
      <c r="T18" s="52" t="str">
        <f>IF(ISEVEN(LEFT(AD18,4)),"Southbound","NorthBound")</f>
        <v>Southbound</v>
      </c>
      <c r="U18" s="159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02" t="str">
        <f>"https://search-rtdc-monitor-bjffxe2xuh6vdkpspy63sjmuny.us-east-1.es.amazonaws.com/_plugin/kibana/#/discover/Steve-Slow-Train-Analysis-(2080s-and-2083s)?_g=(refreshInterval:(display:Off,section:0,value:0),time:(from:'"&amp;TEXT(E18-1/24,"yyyy-MM-DD hh:mm:ss")&amp;"-0600',mode:absolute,to:'"&amp;TEXT(I18+1/24,"yyyy-MM-DD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&amp;"%22')),sort:!(Time,asc))"</f>
        <v>https://search-rtdc-monitor-bjffxe2xuh6vdkpspy63sjmuny.us-east-1.es.amazonaws.com/_plugin/kibana/#/discover/Steve-Slow-Train-Analysis-(2080s-and-2083s)?_g=(refreshInterval:(display:Off,section:0,value:0),time:(from:'2016-10-04 03:56:14-0600',mode:absolute,to:'2016-10-04 06:51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" s="54" t="str">
        <f>IF(AA18&lt;IF(AG18="EC",23,5.65),"Y","N")</f>
        <v>N</v>
      </c>
      <c r="X18" s="164">
        <f>VALUE(LEFT(AD18,4))-VALUE(LEFT(AD17,4))</f>
        <v>1</v>
      </c>
      <c r="Y18" s="69">
        <f>RIGHT(D18,LEN(D18)-4)/10000</f>
        <v>23.2652</v>
      </c>
      <c r="Z18" s="69">
        <f>RIGHT(H18,LEN(H18)-4)/10000</f>
        <v>1.41E-2</v>
      </c>
      <c r="AA18" s="69">
        <f>ABS(Z18-Y18)</f>
        <v>23.251100000000001</v>
      </c>
      <c r="AB18" s="66" t="e">
        <f>VLOOKUP(A18,Enforcements!$C$7:$K$21,8,0)</f>
        <v>#N/A</v>
      </c>
      <c r="AC18" s="62" t="e">
        <f>VLOOKUP(A18,Enforcements!$C$7:$E$21,3,0)</f>
        <v>#N/A</v>
      </c>
      <c r="AD18" s="63" t="str">
        <f>IF(LEN(A18)=6,"0"&amp;A18,A18)</f>
        <v>0106-04</v>
      </c>
      <c r="AE18" s="9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s3://rtdc.mdm.uploadarchive.raw/RTDC4041/ "%USERPROFILE%\AppData\Local\Temp\OnboardLogs"\RTDC4041\2016-10-04 --exclude "*" --recursive --include "*20161004*" &amp; "%USERPROFILE%\Documents\GitHub\mrs-test-scripts\Headless Mode &amp; Sideloading\WalkAndUnGZ.bat" "%USERPROFILE%\AppData\Local\Temp\OnboardLogs"\RTDC4041\2016-10-04 &amp; aws s3 cp s3://rtdc.mdm.uploadarchive.raw/RTDC4041/ "%USERPROFILE%\AppData\Local\Temp\OnboardLogs"\RTDC4041\2016-10-05 --exclude "*" --recursive --include "*20161005*" &amp; "%USERPROFILE%\Documents\GitHub\mrs-test-scripts\Headless Mode &amp; Sideloading\WalkAndUnGZ.bat" "%USERPROFILE%\AppData\Local\Temp\OnboardLogs"\RTDC4041\2016-10-05</v>
      </c>
      <c r="AF18" s="92" t="str">
        <f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/stypes="app*4041*20161004*" /stext=" 11:.+((SYSTEM_STATE.+slice.+state.+changed )|(ment ac)|(system.+state.+changed )|(\[timeout)|(PRM\|1\|D)|(kpr)|(kdp)|(\|lc)|(penalty))" /e /r /s</v>
      </c>
      <c r="AG18" s="1" t="str">
        <f>IFERROR(IF(VALUE(LEFT(AD18,2))&lt;=2,"EC",IF(OR(VALUE(LEFT(AD18,2))=8,VALUE(LEFT(AD18,2))=18),"NW","Other")),"Other")</f>
        <v>EC</v>
      </c>
      <c r="AH18" s="96" t="str">
        <f t="shared" si="2"/>
        <v>"%USERPROFILE%\Documents\GitHub\eaglep3\Utilities\RefineRTDCRunTimes.py" --tripid 106-04 --locoid 4041 --swversion DE.1.0.7.0 --startMP 204:232652 --initTime 2016-10-04T04:56:14 --startdatetime 2016-10-04T05:11:35 --delay 1 --endMP 204:141 --enddatetime 2016-10-04T05:51:02 --enforcementcount 0 &gt;&gt;C:\Users\stu\Documents\GitHub\eaglep3-reporting\EC\2016-10-04-refined-times.txt</v>
      </c>
      <c r="AI18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{"issue":{"subject":"","project_id":79,"tracker_id":40,"status_id":1,"priority_id":2,"assigned_to_id":23,"start_date":"2016-10-04","description":"","custom_fields":[{"id":1,"name":"Subdivision","value":"EC"},{"id":4,"name":"Milepost","value":"0.0141"},{"id":17,"name":"Train ID","value":"106-04"},{"id":16,"name":"Locomotive ID","value":"4041"},{"id":130,"name":"Impact","value":""},{"id":150,"name":"Time of Event (Mountain Time)","value":"05:51:02"},{"id":151,"name":"Denver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5"/>
      <c r="AK18" s="55"/>
      <c r="AL18" s="55"/>
    </row>
    <row r="19" spans="1:38" s="1" customFormat="1" x14ac:dyDescent="0.25">
      <c r="A19" s="39" t="s">
        <v>372</v>
      </c>
      <c r="B19" s="7">
        <v>4025</v>
      </c>
      <c r="C19" s="24" t="s">
        <v>106</v>
      </c>
      <c r="D19" s="24" t="s">
        <v>204</v>
      </c>
      <c r="E19" s="15">
        <v>42647.186215277776</v>
      </c>
      <c r="F19" s="15">
        <v>42647.187685185185</v>
      </c>
      <c r="G19" s="7">
        <v>1</v>
      </c>
      <c r="H19" s="15" t="s">
        <v>300</v>
      </c>
      <c r="I19" s="15">
        <v>42647.213402777779</v>
      </c>
      <c r="J19" s="7">
        <v>0</v>
      </c>
      <c r="K19" s="117" t="str">
        <f>IF(ISEVEN(B19),(B19-1)&amp;"/"&amp;B19,B19&amp;"/"&amp;(B19+1))</f>
        <v>4025/4026</v>
      </c>
      <c r="L19" s="24" t="str">
        <f>VLOOKUP(A19,'Trips&amp;Operators'!$C$1:$E$10000,3,FALSE)</f>
        <v>SPECTOR</v>
      </c>
      <c r="M19" s="6">
        <f>I19-F19</f>
        <v>2.5717592594446614E-2</v>
      </c>
      <c r="N19" s="7">
        <f>24*60*SUM($M19:$M19)</f>
        <v>37.033333336003125</v>
      </c>
      <c r="O19" s="7"/>
      <c r="P19" s="7"/>
      <c r="Q19" s="25"/>
      <c r="R19" s="25"/>
      <c r="S19" s="37">
        <f>SUM(U19:U19)/IF(AG19="EC",12,1)</f>
        <v>1</v>
      </c>
      <c r="T19" s="52" t="str">
        <f>IF(ISEVEN(LEFT(AD19,4)),"Southbound","NorthBound")</f>
        <v>NorthBound</v>
      </c>
      <c r="U19" s="159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02" t="str">
        <f>"https://search-rtdc-monitor-bjffxe2xuh6vdkpspy63sjmuny.us-east-1.es.amazonaws.com/_plugin/kibana/#/discover/Steve-Slow-Train-Analysis-(2080s-and-2083s)?_g=(refreshInterval:(display:Off,section:0,value:0),time:(from:'"&amp;TEXT(E19-1/24,"yyyy-MM-DD hh:mm:ss")&amp;"-0600',mode:absolute,to:'"&amp;TEXT(I19+1/24,"yyyy-MM-DD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&amp;"%22')),sort:!(Time,asc))"</f>
        <v>https://search-rtdc-monitor-bjffxe2xuh6vdkpspy63sjmuny.us-east-1.es.amazonaws.com/_plugin/kibana/#/discover/Steve-Slow-Train-Analysis-(2080s-and-2083s)?_g=(refreshInterval:(display:Off,section:0,value:0),time:(from:'2016-10-04 03:28:09-0600',mode:absolute,to:'2016-10-04 06:07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" s="54" t="str">
        <f>IF(AA19&lt;IF(AG19="EC",23,5.65),"Y","N")</f>
        <v>N</v>
      </c>
      <c r="X19" s="164">
        <f>VALUE(LEFT(AD19,4))-VALUE(LEFT(AD18,4))</f>
        <v>1</v>
      </c>
      <c r="Y19" s="69">
        <f>RIGHT(D19,LEN(D19)-4)/10000</f>
        <v>4.58E-2</v>
      </c>
      <c r="Z19" s="69">
        <f>RIGHT(H19,LEN(H19)-4)/10000</f>
        <v>23.330400000000001</v>
      </c>
      <c r="AA19" s="69">
        <f>ABS(Z19-Y19)</f>
        <v>23.284600000000001</v>
      </c>
      <c r="AB19" s="66" t="e">
        <f>VLOOKUP(A19,Enforcements!$C$7:$K$21,8,0)</f>
        <v>#N/A</v>
      </c>
      <c r="AC19" s="62" t="e">
        <f>VLOOKUP(A19,Enforcements!$C$7:$E$21,3,0)</f>
        <v>#N/A</v>
      </c>
      <c r="AD19" s="63" t="str">
        <f>IF(LEN(A19)=6,"0"&amp;A19,A19)</f>
        <v>0107-04</v>
      </c>
      <c r="AE19" s="9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s3://rtdc.mdm.uploadarchive.raw/RTDC4025/ "%USERPROFILE%\AppData\Local\Temp\OnboardLogs"\RTDC4025\2016-10-04 --exclude "*" --recursive --include "*20161004*" &amp; "%USERPROFILE%\Documents\GitHub\mrs-test-scripts\Headless Mode &amp; Sideloading\WalkAndUnGZ.bat" "%USERPROFILE%\AppData\Local\Temp\OnboardLogs"\RTDC4025\2016-10-04 &amp; aws s3 cp s3://rtdc.mdm.uploadarchive.raw/RTDC4025/ "%USERPROFILE%\AppData\Local\Temp\OnboardLogs"\RTDC4025\2016-10-05 --exclude "*" --recursive --include "*20161005*" &amp; "%USERPROFILE%\Documents\GitHub\mrs-test-scripts\Headless Mode &amp; Sideloading\WalkAndUnGZ.bat" "%USERPROFILE%\AppData\Local\Temp\OnboardLogs"\RTDC4025\2016-10-05</v>
      </c>
      <c r="AF19" s="92" t="str">
        <f>astrogrep_path&amp;" /spath="&amp;search_path&amp;" /stypes=""app*"&amp;B19&amp;"*"&amp;TEXT(I19-utc_offset/24,"YYYYMMDD")&amp;"*"" /stext="" "&amp;TEXT(I19-utc_offset/24,"HH")&amp;search_regexp&amp;""" /e /r /s"</f>
        <v>"C:\Program Files (x86)\AstroGrep\AstroGrep.exe" /spath="%USERPROFILE%\AppData\Local\Temp\OnboardLogs" /stypes="app*4025*20161004*" /stext=" 11:.+((SYSTEM_STATE.+slice.+state.+changed )|(ment ac)|(system.+state.+changed )|(\[timeout)|(PRM\|1\|D)|(kpr)|(kdp)|(\|lc)|(penalty))" /e /r /s</v>
      </c>
      <c r="AG19" s="1" t="str">
        <f>IFERROR(IF(VALUE(LEFT(AD19,2))&lt;=2,"EC",IF(OR(VALUE(LEFT(AD19,2))=8,VALUE(LEFT(AD19,2))=18),"NW","Other")),"Other")</f>
        <v>EC</v>
      </c>
      <c r="AH19" s="96" t="str">
        <f t="shared" si="2"/>
        <v>"%USERPROFILE%\Documents\GitHub\eaglep3\Utilities\RefineRTDCRunTimes.py" --tripid 107-04 --locoid 4025 --swversion DE.1.0.7.0 --startMP 204:458 --initTime 2016-10-04T04:28:09 --startdatetime 2016-10-04T04:30:16 --delay 1 --endMP 204:233304 --enddatetime 2016-10-04T05:07:18 --enforcementcount 0 &gt;&gt;C:\Users\stu\Documents\GitHub\eaglep3-reporting\EC\2016-10-04-refined-times.txt</v>
      </c>
      <c r="AI19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{"issue":{"subject":"","project_id":79,"tracker_id":40,"status_id":1,"priority_id":2,"assigned_to_id":23,"start_date":"2016-10-04","description":"","custom_fields":[{"id":1,"name":"Subdivision","value":"EC"},{"id":4,"name":"Milepost","value":"23.3304"},{"id":17,"name":"Train ID","value":"107-04"},{"id":16,"name":"Locomotive ID","value":"4025"},{"id":130,"name":"Impact","value":""},{"id":150,"name":"Time of Event (Mountain Time)","value":"05:07:18"},{"id":151,"name":"Denver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5"/>
      <c r="AK19" s="55"/>
      <c r="AL19" s="55"/>
    </row>
    <row r="20" spans="1:38" s="1" customFormat="1" x14ac:dyDescent="0.25">
      <c r="A20" s="39" t="s">
        <v>381</v>
      </c>
      <c r="B20" s="7">
        <v>4026</v>
      </c>
      <c r="C20" s="24" t="s">
        <v>106</v>
      </c>
      <c r="D20" s="24" t="s">
        <v>318</v>
      </c>
      <c r="E20" s="15">
        <v>42647.222280092596</v>
      </c>
      <c r="F20" s="15">
        <v>42647.226574074077</v>
      </c>
      <c r="G20" s="7">
        <v>1</v>
      </c>
      <c r="H20" s="15" t="s">
        <v>126</v>
      </c>
      <c r="I20" s="15">
        <v>42647.25309027778</v>
      </c>
      <c r="J20" s="7">
        <v>0</v>
      </c>
      <c r="K20" s="117" t="str">
        <f>IF(ISEVEN(B20),(B20-1)&amp;"/"&amp;B20,B20&amp;"/"&amp;(B20+1))</f>
        <v>4025/4026</v>
      </c>
      <c r="L20" s="24" t="str">
        <f>VLOOKUP(A20,'Trips&amp;Operators'!$C$1:$E$10000,3,FALSE)</f>
        <v>SPECTOR</v>
      </c>
      <c r="M20" s="6">
        <f>I20-F20</f>
        <v>2.6516203703067731E-2</v>
      </c>
      <c r="N20" s="7">
        <f>24*60*SUM($M20:$M20)</f>
        <v>38.183333332417533</v>
      </c>
      <c r="O20" s="7"/>
      <c r="P20" s="7"/>
      <c r="Q20" s="25"/>
      <c r="R20" s="25"/>
      <c r="S20" s="37">
        <f>SUM(U20:U20)/IF(AG20="EC",12,1)</f>
        <v>1</v>
      </c>
      <c r="T20" s="52" t="str">
        <f>IF(ISEVEN(LEFT(AD20,4)),"Southbound","NorthBound")</f>
        <v>Southbound</v>
      </c>
      <c r="U20" s="159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02" t="str">
        <f>"https://search-rtdc-monitor-bjffxe2xuh6vdkpspy63sjmuny.us-east-1.es.amazonaws.com/_plugin/kibana/#/discover/Steve-Slow-Train-Analysis-(2080s-and-2083s)?_g=(refreshInterval:(display:Off,section:0,value:0),time:(from:'"&amp;TEXT(E20-1/24,"yyyy-MM-DD hh:mm:ss")&amp;"-0600',mode:absolute,to:'"&amp;TEXT(I20+1/24,"yyyy-MM-DD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&amp;"%22')),sort:!(Time,asc))"</f>
        <v>https://search-rtdc-monitor-bjffxe2xuh6vdkpspy63sjmuny.us-east-1.es.amazonaws.com/_plugin/kibana/#/discover/Steve-Slow-Train-Analysis-(2080s-and-2083s)?_g=(refreshInterval:(display:Off,section:0,value:0),time:(from:'2016-10-04 04:20:05-0600',mode:absolute,to:'2016-10-04 07:04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0" s="54" t="str">
        <f>IF(AA20&lt;IF(AG20="EC",23,5.65),"Y","N")</f>
        <v>N</v>
      </c>
      <c r="X20" s="164">
        <f>VALUE(LEFT(AD20,4))-VALUE(LEFT(AD19,4))</f>
        <v>1</v>
      </c>
      <c r="Y20" s="69">
        <f>RIGHT(D20,LEN(D20)-4)/10000</f>
        <v>23.298500000000001</v>
      </c>
      <c r="Z20" s="69">
        <f>RIGHT(H20,LEN(H20)-4)/10000</f>
        <v>1.54E-2</v>
      </c>
      <c r="AA20" s="69">
        <f>ABS(Z20-Y20)</f>
        <v>23.283100000000001</v>
      </c>
      <c r="AB20" s="66" t="e">
        <f>VLOOKUP(A20,Enforcements!$C$7:$K$21,8,0)</f>
        <v>#N/A</v>
      </c>
      <c r="AC20" s="62" t="e">
        <f>VLOOKUP(A20,Enforcements!$C$7:$E$21,3,0)</f>
        <v>#N/A</v>
      </c>
      <c r="AD20" s="63" t="str">
        <f>IF(LEN(A20)=6,"0"&amp;A20,A20)</f>
        <v>0108-04</v>
      </c>
      <c r="AE20" s="9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s3://rtdc.mdm.uploadarchive.raw/RTDC4026/ "%USERPROFILE%\AppData\Local\Temp\OnboardLogs"\RTDC4026\2016-10-04 --exclude "*" --recursive --include "*20161004*" &amp; "%USERPROFILE%\Documents\GitHub\mrs-test-scripts\Headless Mode &amp; Sideloading\WalkAndUnGZ.bat" "%USERPROFILE%\AppData\Local\Temp\OnboardLogs"\RTDC4026\2016-10-04 &amp; aws s3 cp s3://rtdc.mdm.uploadarchive.raw/RTDC4026/ "%USERPROFILE%\AppData\Local\Temp\OnboardLogs"\RTDC4026\2016-10-05 --exclude "*" --recursive --include "*20161005*" &amp; "%USERPROFILE%\Documents\GitHub\mrs-test-scripts\Headless Mode &amp; Sideloading\WalkAndUnGZ.bat" "%USERPROFILE%\AppData\Local\Temp\OnboardLogs"\RTDC4026\2016-10-05</v>
      </c>
      <c r="AF20" s="92" t="str">
        <f>astrogrep_path&amp;" /spath="&amp;search_path&amp;" /stypes=""app*"&amp;B20&amp;"*"&amp;TEXT(I20-utc_offset/24,"YYYYMMDD")&amp;"*"" /stext="" "&amp;TEXT(I20-utc_offset/24,"HH")&amp;search_regexp&amp;""" /e /r /s"</f>
        <v>"C:\Program Files (x86)\AstroGrep\AstroGrep.exe" /spath="%USERPROFILE%\AppData\Local\Temp\OnboardLogs" /stypes="app*4026*20161004*" /stext=" 12:.+((SYSTEM_STATE.+slice.+state.+changed )|(ment ac)|(system.+state.+changed )|(\[timeout)|(PRM\|1\|D)|(kpr)|(kdp)|(\|lc)|(penalty))" /e /r /s</v>
      </c>
      <c r="AG20" s="1" t="str">
        <f>IFERROR(IF(VALUE(LEFT(AD20,2))&lt;=2,"EC",IF(OR(VALUE(LEFT(AD20,2))=8,VALUE(LEFT(AD20,2))=18),"NW","Other")),"Other")</f>
        <v>EC</v>
      </c>
      <c r="AH20" s="96" t="str">
        <f t="shared" si="2"/>
        <v>"%USERPROFILE%\Documents\GitHub\eaglep3\Utilities\RefineRTDCRunTimes.py" --tripid 108-04 --locoid 4026 --swversion DE.1.0.7.0 --startMP 204:232985 --initTime 2016-10-04T05:20:05 --startdatetime 2016-10-04T05:26:16 --delay 1 --endMP 204:154 --enddatetime 2016-10-04T06:04:27 --enforcementcount 0 &gt;&gt;C:\Users\stu\Documents\GitHub\eaglep3-reporting\EC\2016-10-04-refined-times.txt</v>
      </c>
      <c r="AI20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{"issue":{"subject":"","project_id":79,"tracker_id":40,"status_id":1,"priority_id":2,"assigned_to_id":23,"start_date":"2016-10-04","description":"","custom_fields":[{"id":1,"name":"Subdivision","value":"EC"},{"id":4,"name":"Milepost","value":"0.0154"},{"id":17,"name":"Train ID","value":"108-04"},{"id":16,"name":"Locomotive ID","value":"4026"},{"id":130,"name":"Impact","value":""},{"id":150,"name":"Time of Event (Mountain Time)","value":"06:04:27"},{"id":151,"name":"Denver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5"/>
      <c r="AK20" s="55"/>
      <c r="AL20" s="55"/>
    </row>
    <row r="21" spans="1:38" s="1" customFormat="1" x14ac:dyDescent="0.25">
      <c r="A21" s="39" t="s">
        <v>374</v>
      </c>
      <c r="B21" s="7">
        <v>4031</v>
      </c>
      <c r="C21" s="24" t="s">
        <v>106</v>
      </c>
      <c r="D21" s="24" t="s">
        <v>608</v>
      </c>
      <c r="E21" s="15">
        <v>42647.193796296298</v>
      </c>
      <c r="F21" s="15">
        <v>42647.198067129626</v>
      </c>
      <c r="G21" s="7">
        <v>1</v>
      </c>
      <c r="H21" s="15" t="s">
        <v>609</v>
      </c>
      <c r="I21" s="15">
        <v>42647.223969907405</v>
      </c>
      <c r="J21" s="7">
        <v>0</v>
      </c>
      <c r="K21" s="117" t="str">
        <f>IF(ISEVEN(B21),(B21-1)&amp;"/"&amp;B21,B21&amp;"/"&amp;(B21+1))</f>
        <v>4031/4032</v>
      </c>
      <c r="L21" s="24" t="str">
        <f>VLOOKUP(A21,'Trips&amp;Operators'!$C$1:$E$10000,3,FALSE)</f>
        <v>DAVIS</v>
      </c>
      <c r="M21" s="6">
        <f>I21-F21</f>
        <v>2.5902777779265307E-2</v>
      </c>
      <c r="N21" s="7">
        <f>24*60*SUM($M21:$M21)</f>
        <v>37.300000002142042</v>
      </c>
      <c r="O21" s="7"/>
      <c r="P21" s="7"/>
      <c r="Q21" s="25"/>
      <c r="R21" s="25"/>
      <c r="S21" s="37">
        <f>SUM(U21:U21)/IF(AG21="EC",12,1)</f>
        <v>1</v>
      </c>
      <c r="T21" s="52" t="str">
        <f>IF(ISEVEN(LEFT(AD21,4)),"Southbound","NorthBound")</f>
        <v>NorthBound</v>
      </c>
      <c r="U21" s="159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02" t="str">
        <f>"https://search-rtdc-monitor-bjffxe2xuh6vdkpspy63sjmuny.us-east-1.es.amazonaws.com/_plugin/kibana/#/discover/Steve-Slow-Train-Analysis-(2080s-and-2083s)?_g=(refreshInterval:(display:Off,section:0,value:0),time:(from:'"&amp;TEXT(E21-1/24,"yyyy-MM-DD hh:mm:ss")&amp;"-0600',mode:absolute,to:'"&amp;TEXT(I21+1/24,"yyyy-MM-DD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&amp;"%22')),sort:!(Time,asc))"</f>
        <v>https://search-rtdc-monitor-bjffxe2xuh6vdkpspy63sjmuny.us-east-1.es.amazonaws.com/_plugin/kibana/#/discover/Steve-Slow-Train-Analysis-(2080s-and-2083s)?_g=(refreshInterval:(display:Off,section:0,value:0),time:(from:'2016-10-04 03:39:04-0600',mode:absolute,to:'2016-10-04 06:22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" s="54" t="str">
        <f>IF(AA21&lt;IF(AG21="EC",23,5.65),"Y","N")</f>
        <v>N</v>
      </c>
      <c r="X21" s="164">
        <f>VALUE(LEFT(AD21,4))-VALUE(LEFT(AD20,4))</f>
        <v>1</v>
      </c>
      <c r="Y21" s="69">
        <f>RIGHT(D21,LEN(D21)-4)/10000</f>
        <v>4.9299999999999997E-2</v>
      </c>
      <c r="Z21" s="69">
        <f>RIGHT(H21,LEN(H21)-4)/10000</f>
        <v>23.335699999999999</v>
      </c>
      <c r="AA21" s="69">
        <f>ABS(Z21-Y21)</f>
        <v>23.2864</v>
      </c>
      <c r="AB21" s="66" t="e">
        <f>VLOOKUP(A21,Enforcements!$C$7:$K$21,8,0)</f>
        <v>#N/A</v>
      </c>
      <c r="AC21" s="62" t="e">
        <f>VLOOKUP(A21,Enforcements!$C$7:$E$21,3,0)</f>
        <v>#N/A</v>
      </c>
      <c r="AD21" s="63" t="str">
        <f>IF(LEN(A21)=6,"0"&amp;A21,A21)</f>
        <v>0109-04</v>
      </c>
      <c r="AE21" s="9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s3://rtdc.mdm.uploadarchive.raw/RTDC4031/ "%USERPROFILE%\AppData\Local\Temp\OnboardLogs"\RTDC4031\2016-10-04 --exclude "*" --recursive --include "*20161004*" &amp; "%USERPROFILE%\Documents\GitHub\mrs-test-scripts\Headless Mode &amp; Sideloading\WalkAndUnGZ.bat" "%USERPROFILE%\AppData\Local\Temp\OnboardLogs"\RTDC4031\2016-10-04 &amp; aws s3 cp s3://rtdc.mdm.uploadarchive.raw/RTDC4031/ "%USERPROFILE%\AppData\Local\Temp\OnboardLogs"\RTDC4031\2016-10-05 --exclude "*" --recursive --include "*20161005*" &amp; "%USERPROFILE%\Documents\GitHub\mrs-test-scripts\Headless Mode &amp; Sideloading\WalkAndUnGZ.bat" "%USERPROFILE%\AppData\Local\Temp\OnboardLogs"\RTDC4031\2016-10-05</v>
      </c>
      <c r="AF21" s="92" t="str">
        <f>astrogrep_path&amp;" /spath="&amp;search_path&amp;" /stypes=""app*"&amp;B21&amp;"*"&amp;TEXT(I21-utc_offset/24,"YYYYMMDD")&amp;"*"" /stext="" "&amp;TEXT(I21-utc_offset/24,"HH")&amp;search_regexp&amp;""" /e /r /s"</f>
        <v>"C:\Program Files (x86)\AstroGrep\AstroGrep.exe" /spath="%USERPROFILE%\AppData\Local\Temp\OnboardLogs" /stypes="app*4031*20161004*" /stext=" 11:.+((SYSTEM_STATE.+slice.+state.+changed )|(ment ac)|(system.+state.+changed )|(\[timeout)|(PRM\|1\|D)|(kpr)|(kdp)|(\|lc)|(penalty))" /e /r /s</v>
      </c>
      <c r="AG21" s="1" t="str">
        <f>IFERROR(IF(VALUE(LEFT(AD21,2))&lt;=2,"EC",IF(OR(VALUE(LEFT(AD21,2))=8,VALUE(LEFT(AD21,2))=18),"NW","Other")),"Other")</f>
        <v>EC</v>
      </c>
      <c r="AH21" s="96" t="str">
        <f t="shared" si="2"/>
        <v>"%USERPROFILE%\Documents\GitHub\eaglep3\Utilities\RefineRTDCRunTimes.py" --tripid 109-04 --locoid 4031 --swversion DE.1.0.7.0 --startMP 204:493 --initTime 2016-10-04T04:39:04 --startdatetime 2016-10-04T04:45:13 --delay 1 --endMP 204:233357 --enddatetime 2016-10-04T05:22:31 --enforcementcount 0 &gt;&gt;C:\Users\stu\Documents\GitHub\eaglep3-reporting\EC\2016-10-04-refined-times.txt</v>
      </c>
      <c r="AI21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{"issue":{"subject":"","project_id":79,"tracker_id":40,"status_id":1,"priority_id":2,"assigned_to_id":23,"start_date":"2016-10-04","description":"","custom_fields":[{"id":1,"name":"Subdivision","value":"EC"},{"id":4,"name":"Milepost","value":"23.3357"},{"id":17,"name":"Train ID","value":"109-04"},{"id":16,"name":"Locomotive ID","value":"4031"},{"id":130,"name":"Impact","value":""},{"id":150,"name":"Time of Event (Mountain Time)","value":"05:22:31"},{"id":151,"name":"Denver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5"/>
      <c r="AK21" s="55"/>
      <c r="AL21" s="55"/>
    </row>
    <row r="22" spans="1:38" s="1" customFormat="1" x14ac:dyDescent="0.25">
      <c r="A22" s="39" t="s">
        <v>384</v>
      </c>
      <c r="B22" s="7">
        <v>4032</v>
      </c>
      <c r="C22" s="24" t="s">
        <v>106</v>
      </c>
      <c r="D22" s="24" t="s">
        <v>258</v>
      </c>
      <c r="E22" s="15">
        <v>42647.229513888888</v>
      </c>
      <c r="F22" s="15">
        <v>42647.236956018518</v>
      </c>
      <c r="G22" s="7">
        <v>1</v>
      </c>
      <c r="H22" s="15" t="s">
        <v>195</v>
      </c>
      <c r="I22" s="15">
        <v>42647.266423611109</v>
      </c>
      <c r="J22" s="7">
        <v>0</v>
      </c>
      <c r="K22" s="117" t="str">
        <f>IF(ISEVEN(B22),(B22-1)&amp;"/"&amp;B22,B22&amp;"/"&amp;(B22+1))</f>
        <v>4031/4032</v>
      </c>
      <c r="L22" s="24" t="str">
        <f>VLOOKUP(A22,'Trips&amp;Operators'!$C$1:$E$10000,3,FALSE)</f>
        <v>DAVIS</v>
      </c>
      <c r="M22" s="6">
        <f>I22-F22</f>
        <v>2.9467592590663116E-2</v>
      </c>
      <c r="N22" s="7">
        <f>24*60*SUM($M22:$M22)</f>
        <v>42.433333330554888</v>
      </c>
      <c r="O22" s="7"/>
      <c r="P22" s="7"/>
      <c r="Q22" s="25"/>
      <c r="R22" s="25"/>
      <c r="S22" s="37">
        <f>SUM(U22:U22)/IF(AG22="EC",12,1)</f>
        <v>1</v>
      </c>
      <c r="T22" s="52" t="str">
        <f>IF(ISEVEN(LEFT(AD22,4)),"Southbound","NorthBound")</f>
        <v>Southbound</v>
      </c>
      <c r="U22" s="159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02" t="str">
        <f>"https://search-rtdc-monitor-bjffxe2xuh6vdkpspy63sjmuny.us-east-1.es.amazonaws.com/_plugin/kibana/#/discover/Steve-Slow-Train-Analysis-(2080s-and-2083s)?_g=(refreshInterval:(display:Off,section:0,value:0),time:(from:'"&amp;TEXT(E22-1/24,"yyyy-MM-DD hh:mm:ss")&amp;"-0600',mode:absolute,to:'"&amp;TEXT(I22+1/24,"yyyy-MM-DD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&amp;"%22')),sort:!(Time,asc))"</f>
        <v>https://search-rtdc-monitor-bjffxe2xuh6vdkpspy63sjmuny.us-east-1.es.amazonaws.com/_plugin/kibana/#/discover/Steve-Slow-Train-Analysis-(2080s-and-2083s)?_g=(refreshInterval:(display:Off,section:0,value:0),time:(from:'2016-10-04 04:30:30-0600',mode:absolute,to:'2016-10-04 07:23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2" s="54" t="str">
        <f>IF(AA22&lt;IF(AG22="EC",23,5.65),"Y","N")</f>
        <v>N</v>
      </c>
      <c r="X22" s="164">
        <f>VALUE(LEFT(AD22,4))-VALUE(LEFT(AD21,4))</f>
        <v>1</v>
      </c>
      <c r="Y22" s="69">
        <f>RIGHT(D22,LEN(D22)-4)/10000</f>
        <v>23.299600000000002</v>
      </c>
      <c r="Z22" s="69">
        <f>RIGHT(H22,LEN(H22)-4)/10000</f>
        <v>1.47E-2</v>
      </c>
      <c r="AA22" s="69">
        <f>ABS(Z22-Y22)</f>
        <v>23.2849</v>
      </c>
      <c r="AB22" s="66" t="e">
        <f>VLOOKUP(A22,Enforcements!$C$7:$K$21,8,0)</f>
        <v>#N/A</v>
      </c>
      <c r="AC22" s="62" t="e">
        <f>VLOOKUP(A22,Enforcements!$C$7:$E$21,3,0)</f>
        <v>#N/A</v>
      </c>
      <c r="AD22" s="63" t="str">
        <f>IF(LEN(A22)=6,"0"&amp;A22,A22)</f>
        <v>0110-04</v>
      </c>
      <c r="AE22" s="9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s3://rtdc.mdm.uploadarchive.raw/RTDC4032/ "%USERPROFILE%\AppData\Local\Temp\OnboardLogs"\RTDC4032\2016-10-04 --exclude "*" --recursive --include "*20161004*" &amp; "%USERPROFILE%\Documents\GitHub\mrs-test-scripts\Headless Mode &amp; Sideloading\WalkAndUnGZ.bat" "%USERPROFILE%\AppData\Local\Temp\OnboardLogs"\RTDC4032\2016-10-04 &amp; aws s3 cp s3://rtdc.mdm.uploadarchive.raw/RTDC4032/ "%USERPROFILE%\AppData\Local\Temp\OnboardLogs"\RTDC4032\2016-10-05 --exclude "*" --recursive --include "*20161005*" &amp; "%USERPROFILE%\Documents\GitHub\mrs-test-scripts\Headless Mode &amp; Sideloading\WalkAndUnGZ.bat" "%USERPROFILE%\AppData\Local\Temp\OnboardLogs"\RTDC4032\2016-10-05</v>
      </c>
      <c r="AF22" s="92" t="str">
        <f>astrogrep_path&amp;" /spath="&amp;search_path&amp;" /stypes=""app*"&amp;B22&amp;"*"&amp;TEXT(I22-utc_offset/24,"YYYYMMDD")&amp;"*"" /stext="" "&amp;TEXT(I22-utc_offset/24,"HH")&amp;search_regexp&amp;""" /e /r /s"</f>
        <v>"C:\Program Files (x86)\AstroGrep\AstroGrep.exe" /spath="%USERPROFILE%\AppData\Local\Temp\OnboardLogs" /stypes="app*4032*20161004*" /stext=" 12:.+((SYSTEM_STATE.+slice.+state.+changed )|(ment ac)|(system.+state.+changed )|(\[timeout)|(PRM\|1\|D)|(kpr)|(kdp)|(\|lc)|(penalty))" /e /r /s</v>
      </c>
      <c r="AG22" s="1" t="str">
        <f>IFERROR(IF(VALUE(LEFT(AD22,2))&lt;=2,"EC",IF(OR(VALUE(LEFT(AD22,2))=8,VALUE(LEFT(AD22,2))=18),"NW","Other")),"Other")</f>
        <v>EC</v>
      </c>
      <c r="AH22" s="96" t="str">
        <f t="shared" si="2"/>
        <v>"%USERPROFILE%\Documents\GitHub\eaglep3\Utilities\RefineRTDCRunTimes.py" --tripid 110-04 --locoid 4032 --swversion DE.1.0.7.0 --startMP 204:232996 --initTime 2016-10-04T05:30:30 --startdatetime 2016-10-04T05:41:13 --delay 1 --endMP 204:147 --enddatetime 2016-10-04T06:23:39 --enforcementcount 0 &gt;&gt;C:\Users\stu\Documents\GitHub\eaglep3-reporting\EC\2016-10-04-refined-times.txt</v>
      </c>
      <c r="AI22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{"issue":{"subject":"","project_id":79,"tracker_id":40,"status_id":1,"priority_id":2,"assigned_to_id":23,"start_date":"2016-10-04","description":"","custom_fields":[{"id":1,"name":"Subdivision","value":"EC"},{"id":4,"name":"Milepost","value":"0.0147"},{"id":17,"name":"Train ID","value":"110-04"},{"id":16,"name":"Locomotive ID","value":"4032"},{"id":130,"name":"Impact","value":""},{"id":150,"name":"Time of Event (Mountain Time)","value":"06:23:39"},{"id":151,"name":"Denver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5"/>
      <c r="AK22" s="55"/>
      <c r="AL22" s="55"/>
    </row>
    <row r="23" spans="1:38" s="1" customFormat="1" x14ac:dyDescent="0.25">
      <c r="A23" s="39" t="s">
        <v>378</v>
      </c>
      <c r="B23" s="7">
        <v>4053</v>
      </c>
      <c r="C23" s="24" t="s">
        <v>106</v>
      </c>
      <c r="D23" s="24" t="s">
        <v>610</v>
      </c>
      <c r="E23" s="15">
        <v>42647.205046296294</v>
      </c>
      <c r="F23" s="15">
        <v>42647.208483796298</v>
      </c>
      <c r="G23" s="7">
        <v>2</v>
      </c>
      <c r="H23" s="15" t="s">
        <v>289</v>
      </c>
      <c r="I23" s="15">
        <v>42647.233946759261</v>
      </c>
      <c r="J23" s="7">
        <v>0</v>
      </c>
      <c r="K23" s="117" t="str">
        <f>IF(ISEVEN(B23),(B23-1)&amp;"/"&amp;B23,B23&amp;"/"&amp;(B23+1))</f>
        <v>4053/4054</v>
      </c>
      <c r="L23" s="24" t="str">
        <f>VLOOKUP(A23,'Trips&amp;Operators'!$C$1:$E$10000,3,FALSE)</f>
        <v>GEBRETEKLE</v>
      </c>
      <c r="M23" s="6">
        <f>I23-F23</f>
        <v>2.5462962963501923E-2</v>
      </c>
      <c r="N23" s="7">
        <f>24*60*SUM($M23:$M23)</f>
        <v>36.666666667442769</v>
      </c>
      <c r="O23" s="7"/>
      <c r="P23" s="7"/>
      <c r="Q23" s="25"/>
      <c r="R23" s="25"/>
      <c r="S23" s="37">
        <f>SUM(U23:U23)/IF(AG23="EC",12,1)</f>
        <v>1</v>
      </c>
      <c r="T23" s="52" t="str">
        <f>IF(ISEVEN(LEFT(AD23,4)),"Southbound","NorthBound")</f>
        <v>NorthBound</v>
      </c>
      <c r="U23" s="159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02" t="str">
        <f>"https://search-rtdc-monitor-bjffxe2xuh6vdkpspy63sjmuny.us-east-1.es.amazonaws.com/_plugin/kibana/#/discover/Steve-Slow-Train-Analysis-(2080s-and-2083s)?_g=(refreshInterval:(display:Off,section:0,value:0),time:(from:'"&amp;TEXT(E23-1/24,"yyyy-MM-DD hh:mm:ss")&amp;"-0600',mode:absolute,to:'"&amp;TEXT(I23+1/24,"yyyy-MM-DD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&amp;"%22')),sort:!(Time,asc))"</f>
        <v>https://search-rtdc-monitor-bjffxe2xuh6vdkpspy63sjmuny.us-east-1.es.amazonaws.com/_plugin/kibana/#/discover/Steve-Slow-Train-Analysis-(2080s-and-2083s)?_g=(refreshInterval:(display:Off,section:0,value:0),time:(from:'2016-10-04 03:55:16-0600',mode:absolute,to:'2016-10-04 06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3" s="54" t="str">
        <f>IF(AA23&lt;IF(AG23="EC",23,5.65),"Y","N")</f>
        <v>N</v>
      </c>
      <c r="X23" s="164">
        <f>VALUE(LEFT(AD23,4))-VALUE(LEFT(AD22,4))</f>
        <v>1</v>
      </c>
      <c r="Y23" s="69">
        <f>RIGHT(D23,LEN(D23)-4)/10000</f>
        <v>7.4999999999999997E-2</v>
      </c>
      <c r="Z23" s="69">
        <f>RIGHT(H23,LEN(H23)-4)/10000</f>
        <v>23.328700000000001</v>
      </c>
      <c r="AA23" s="69">
        <f>ABS(Z23-Y23)</f>
        <v>23.253700000000002</v>
      </c>
      <c r="AB23" s="66" t="e">
        <f>VLOOKUP(A23,Enforcements!$C$7:$K$21,8,0)</f>
        <v>#N/A</v>
      </c>
      <c r="AC23" s="62" t="e">
        <f>VLOOKUP(A23,Enforcements!$C$7:$E$21,3,0)</f>
        <v>#N/A</v>
      </c>
      <c r="AD23" s="63" t="str">
        <f>IF(LEN(A23)=6,"0"&amp;A23,A23)</f>
        <v>0111-04</v>
      </c>
      <c r="AE23" s="9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s3://rtdc.mdm.uploadarchive.raw/RTDC4053/ "%USERPROFILE%\AppData\Local\Temp\OnboardLogs"\RTDC4053\2016-10-04 --exclude "*" --recursive --include "*20161004*" &amp; "%USERPROFILE%\Documents\GitHub\mrs-test-scripts\Headless Mode &amp; Sideloading\WalkAndUnGZ.bat" "%USERPROFILE%\AppData\Local\Temp\OnboardLogs"\RTDC4053\2016-10-04 &amp; aws s3 cp s3://rtdc.mdm.uploadarchive.raw/RTDC4053/ "%USERPROFILE%\AppData\Local\Temp\OnboardLogs"\RTDC4053\2016-10-05 --exclude "*" --recursive --include "*20161005*" &amp; "%USERPROFILE%\Documents\GitHub\mrs-test-scripts\Headless Mode &amp; Sideloading\WalkAndUnGZ.bat" "%USERPROFILE%\AppData\Local\Temp\OnboardLogs"\RTDC4053\2016-10-05</v>
      </c>
      <c r="AF23" s="92" t="str">
        <f>astrogrep_path&amp;" /spath="&amp;search_path&amp;" /stypes=""app*"&amp;B23&amp;"*"&amp;TEXT(I23-utc_offset/24,"YYYYMMDD")&amp;"*"" /stext="" "&amp;TEXT(I23-utc_offset/24,"HH")&amp;search_regexp&amp;""" /e /r /s"</f>
        <v>"C:\Program Files (x86)\AstroGrep\AstroGrep.exe" /spath="%USERPROFILE%\AppData\Local\Temp\OnboardLogs" /stypes="app*4053*20161004*" /stext=" 11:.+((SYSTEM_STATE.+slice.+state.+changed )|(ment ac)|(system.+state.+changed )|(\[timeout)|(PRM\|1\|D)|(kpr)|(kdp)|(\|lc)|(penalty))" /e /r /s</v>
      </c>
      <c r="AG23" s="1" t="str">
        <f>IFERROR(IF(VALUE(LEFT(AD23,2))&lt;=2,"EC",IF(OR(VALUE(LEFT(AD23,2))=8,VALUE(LEFT(AD23,2))=18),"NW","Other")),"Other")</f>
        <v>EC</v>
      </c>
      <c r="AH23" s="96" t="str">
        <f t="shared" si="2"/>
        <v>"%USERPROFILE%\Documents\GitHub\eaglep3\Utilities\RefineRTDCRunTimes.py" --tripid 111-04 --locoid 4053 --swversion DE.1.0.7.0 --startMP 204:750 --initTime 2016-10-04T04:55:16 --startdatetime 2016-10-04T05:00:13 --delay 2 --endMP 204:233287 --enddatetime 2016-10-04T05:36:53 --enforcementcount 0 &gt;&gt;C:\Users\stu\Documents\GitHub\eaglep3-reporting\EC\2016-10-04-refined-times.txt</v>
      </c>
      <c r="AI23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{"issue":{"subject":"","project_id":79,"tracker_id":40,"status_id":1,"priority_id":2,"assigned_to_id":23,"start_date":"2016-10-04","description":"","custom_fields":[{"id":1,"name":"Subdivision","value":"EC"},{"id":4,"name":"Milepost","value":"23.3287"},{"id":17,"name":"Train ID","value":"111-04"},{"id":16,"name":"Locomotive ID","value":"4053"},{"id":130,"name":"Impact","value":""},{"id":150,"name":"Time of Event (Mountain Time)","value":"05:36:53"},{"id":151,"name":"Denver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5"/>
      <c r="AK23" s="55"/>
      <c r="AL23" s="55"/>
    </row>
    <row r="24" spans="1:38" s="1" customFormat="1" x14ac:dyDescent="0.25">
      <c r="A24" s="39" t="s">
        <v>388</v>
      </c>
      <c r="B24" s="7">
        <v>4054</v>
      </c>
      <c r="C24" s="24" t="s">
        <v>106</v>
      </c>
      <c r="D24" s="24" t="s">
        <v>304</v>
      </c>
      <c r="E24" s="15">
        <v>42647.242395833331</v>
      </c>
      <c r="F24" s="15">
        <v>42647.247407407405</v>
      </c>
      <c r="G24" s="7">
        <v>1</v>
      </c>
      <c r="H24" s="15" t="s">
        <v>214</v>
      </c>
      <c r="I24" s="15">
        <v>42647.274837962963</v>
      </c>
      <c r="J24" s="7">
        <v>0</v>
      </c>
      <c r="K24" s="117" t="str">
        <f>IF(ISEVEN(B24),(B24-1)&amp;"/"&amp;B24,B24&amp;"/"&amp;(B24+1))</f>
        <v>4053/4054</v>
      </c>
      <c r="L24" s="24" t="str">
        <f>VLOOKUP(A24,'Trips&amp;Operators'!$C$1:$E$10000,3,FALSE)</f>
        <v>GEBRETEKLE</v>
      </c>
      <c r="M24" s="6">
        <f>I24-F24</f>
        <v>2.7430555557657499E-2</v>
      </c>
      <c r="N24" s="7">
        <f>24*60*SUM($M24:$M24)</f>
        <v>39.500000003026798</v>
      </c>
      <c r="O24" s="7"/>
      <c r="P24" s="7"/>
      <c r="Q24" s="25"/>
      <c r="R24" s="25"/>
      <c r="S24" s="37">
        <f>SUM(U24:U24)/IF(AG24="EC",12,1)</f>
        <v>1</v>
      </c>
      <c r="T24" s="52" t="str">
        <f>IF(ISEVEN(LEFT(AD24,4)),"Southbound","NorthBound")</f>
        <v>Southbound</v>
      </c>
      <c r="U24" s="159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02" t="str">
        <f>"https://search-rtdc-monitor-bjffxe2xuh6vdkpspy63sjmuny.us-east-1.es.amazonaws.com/_plugin/kibana/#/discover/Steve-Slow-Train-Analysis-(2080s-and-2083s)?_g=(refreshInterval:(display:Off,section:0,value:0),time:(from:'"&amp;TEXT(E24-1/24,"yyyy-MM-DD hh:mm:ss")&amp;"-0600',mode:absolute,to:'"&amp;TEXT(I24+1/24,"yyyy-MM-DD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&amp;"%22')),sort:!(Time,asc))"</f>
        <v>https://search-rtdc-monitor-bjffxe2xuh6vdkpspy63sjmuny.us-east-1.es.amazonaws.com/_plugin/kibana/#/discover/Steve-Slow-Train-Analysis-(2080s-and-2083s)?_g=(refreshInterval:(display:Off,section:0,value:0),time:(from:'2016-10-04 04:49:03-0600',mode:absolute,to:'2016-10-04 07:35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4" s="54" t="str">
        <f>IF(AA24&lt;IF(AG24="EC",23,5.65),"Y","N")</f>
        <v>N</v>
      </c>
      <c r="X24" s="164">
        <f>VALUE(LEFT(AD24,4))-VALUE(LEFT(AD23,4))</f>
        <v>1</v>
      </c>
      <c r="Y24" s="69">
        <f>RIGHT(D24,LEN(D24)-4)/10000</f>
        <v>23.296399999999998</v>
      </c>
      <c r="Z24" s="69">
        <f>RIGHT(H24,LEN(H24)-4)/10000</f>
        <v>1.41E-2</v>
      </c>
      <c r="AA24" s="69">
        <f>ABS(Z24-Y24)</f>
        <v>23.282299999999999</v>
      </c>
      <c r="AB24" s="66" t="e">
        <f>VLOOKUP(A24,Enforcements!$C$7:$K$21,8,0)</f>
        <v>#N/A</v>
      </c>
      <c r="AC24" s="62" t="e">
        <f>VLOOKUP(A24,Enforcements!$C$7:$E$21,3,0)</f>
        <v>#N/A</v>
      </c>
      <c r="AD24" s="63" t="str">
        <f>IF(LEN(A24)=6,"0"&amp;A24,A24)</f>
        <v>0112-04</v>
      </c>
      <c r="AE24" s="9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s3://rtdc.mdm.uploadarchive.raw/RTDC4054/ "%USERPROFILE%\AppData\Local\Temp\OnboardLogs"\RTDC4054\2016-10-04 --exclude "*" --recursive --include "*20161004*" &amp; "%USERPROFILE%\Documents\GitHub\mrs-test-scripts\Headless Mode &amp; Sideloading\WalkAndUnGZ.bat" "%USERPROFILE%\AppData\Local\Temp\OnboardLogs"\RTDC4054\2016-10-04 &amp; aws s3 cp s3://rtdc.mdm.uploadarchive.raw/RTDC4054/ "%USERPROFILE%\AppData\Local\Temp\OnboardLogs"\RTDC4054\2016-10-05 --exclude "*" --recursive --include "*20161005*" &amp; "%USERPROFILE%\Documents\GitHub\mrs-test-scripts\Headless Mode &amp; Sideloading\WalkAndUnGZ.bat" "%USERPROFILE%\AppData\Local\Temp\OnboardLogs"\RTDC4054\2016-10-05</v>
      </c>
      <c r="AF24" s="92" t="str">
        <f>astrogrep_path&amp;" /spath="&amp;search_path&amp;" /stypes=""app*"&amp;B24&amp;"*"&amp;TEXT(I24-utc_offset/24,"YYYYMMDD")&amp;"*"" /stext="" "&amp;TEXT(I24-utc_offset/24,"HH")&amp;search_regexp&amp;""" /e /r /s"</f>
        <v>"C:\Program Files (x86)\AstroGrep\AstroGrep.exe" /spath="%USERPROFILE%\AppData\Local\Temp\OnboardLogs" /stypes="app*4054*20161004*" /stext=" 12:.+((SYSTEM_STATE.+slice.+state.+changed )|(ment ac)|(system.+state.+changed )|(\[timeout)|(PRM\|1\|D)|(kpr)|(kdp)|(\|lc)|(penalty))" /e /r /s</v>
      </c>
      <c r="AG24" s="1" t="str">
        <f>IFERROR(IF(VALUE(LEFT(AD24,2))&lt;=2,"EC",IF(OR(VALUE(LEFT(AD24,2))=8,VALUE(LEFT(AD24,2))=18),"NW","Other")),"Other")</f>
        <v>EC</v>
      </c>
      <c r="AH24" s="96" t="str">
        <f t="shared" si="2"/>
        <v>"%USERPROFILE%\Documents\GitHub\eaglep3\Utilities\RefineRTDCRunTimes.py" --tripid 112-04 --locoid 4054 --swversion DE.1.0.7.0 --startMP 204:232964 --initTime 2016-10-04T05:49:03 --startdatetime 2016-10-04T05:56:16 --delay 1 --endMP 204:141 --enddatetime 2016-10-04T06:35:46 --enforcementcount 0 &gt;&gt;C:\Users\stu\Documents\GitHub\eaglep3-reporting\EC\2016-10-04-refined-times.txt</v>
      </c>
      <c r="AI24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{"issue":{"subject":"","project_id":79,"tracker_id":40,"status_id":1,"priority_id":2,"assigned_to_id":23,"start_date":"2016-10-04","description":"","custom_fields":[{"id":1,"name":"Subdivision","value":"EC"},{"id":4,"name":"Milepost","value":"0.0141"},{"id":17,"name":"Train ID","value":"112-04"},{"id":16,"name":"Locomotive ID","value":"4054"},{"id":130,"name":"Impact","value":""},{"id":150,"name":"Time of Event (Mountain Time)","value":"06:35:46"},{"id":151,"name":"Denver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5"/>
      <c r="AK24" s="55"/>
      <c r="AL24" s="55"/>
    </row>
    <row r="25" spans="1:38" s="1" customFormat="1" x14ac:dyDescent="0.25">
      <c r="A25" s="39" t="s">
        <v>376</v>
      </c>
      <c r="B25" s="7">
        <v>4016</v>
      </c>
      <c r="C25" s="24" t="s">
        <v>106</v>
      </c>
      <c r="D25" s="24" t="s">
        <v>196</v>
      </c>
      <c r="E25" s="15">
        <v>42647.204409722224</v>
      </c>
      <c r="F25" s="15">
        <v>42647.218946759262</v>
      </c>
      <c r="G25" s="7">
        <v>1</v>
      </c>
      <c r="H25" s="15" t="s">
        <v>313</v>
      </c>
      <c r="I25" s="15">
        <v>42647.244537037041</v>
      </c>
      <c r="J25" s="7">
        <v>0</v>
      </c>
      <c r="K25" s="117" t="str">
        <f>IF(ISEVEN(B25),(B25-1)&amp;"/"&amp;B25,B25&amp;"/"&amp;(B25+1))</f>
        <v>4015/4016</v>
      </c>
      <c r="L25" s="24" t="str">
        <f>VLOOKUP(A25,'Trips&amp;Operators'!$C$1:$E$10000,3,FALSE)</f>
        <v>KILLION</v>
      </c>
      <c r="M25" s="6">
        <f>I25-F25</f>
        <v>2.5590277778974269E-2</v>
      </c>
      <c r="N25" s="7">
        <f>24*60*SUM($M25:$M25)</f>
        <v>36.850000001722947</v>
      </c>
      <c r="O25" s="7"/>
      <c r="P25" s="7"/>
      <c r="Q25" s="25"/>
      <c r="R25" s="25"/>
      <c r="S25" s="37">
        <f>SUM(U25:U25)/IF(AG25="EC",12,1)</f>
        <v>1</v>
      </c>
      <c r="T25" s="52" t="str">
        <f>IF(ISEVEN(LEFT(AD25,4)),"Southbound","NorthBound")</f>
        <v>NorthBound</v>
      </c>
      <c r="U25" s="159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02" t="str">
        <f>"https://search-rtdc-monitor-bjffxe2xuh6vdkpspy63sjmuny.us-east-1.es.amazonaws.com/_plugin/kibana/#/discover/Steve-Slow-Train-Analysis-(2080s-and-2083s)?_g=(refreshInterval:(display:Off,section:0,value:0),time:(from:'"&amp;TEXT(E25-1/24,"yyyy-MM-DD hh:mm:ss")&amp;"-0600',mode:absolute,to:'"&amp;TEXT(I25+1/24,"yyyy-MM-DD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25&amp;"%22')),sort:!(Time,asc))"</f>
        <v>https://search-rtdc-monitor-bjffxe2xuh6vdkpspy63sjmuny.us-east-1.es.amazonaws.com/_plugin/kibana/#/discover/Steve-Slow-Train-Analysis-(2080s-and-2083s)?_g=(refreshInterval:(display:Off,section:0,value:0),time:(from:'2016-10-04 03:54:21-0600',mode:absolute,to:'2016-10-04 06:52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5" s="54" t="str">
        <f>IF(AA25&lt;IF(AG25="EC",23,5.65),"Y","N")</f>
        <v>N</v>
      </c>
      <c r="X25" s="164">
        <f>VALUE(LEFT(AD25,4))-VALUE(LEFT(AD24,4))</f>
        <v>1</v>
      </c>
      <c r="Y25" s="69">
        <f>RIGHT(D25,LEN(D25)-4)/10000</f>
        <v>4.53E-2</v>
      </c>
      <c r="Z25" s="69">
        <f>RIGHT(H25,LEN(H25)-4)/10000</f>
        <v>23.3276</v>
      </c>
      <c r="AA25" s="69">
        <f>ABS(Z25-Y25)</f>
        <v>23.282299999999999</v>
      </c>
      <c r="AB25" s="66" t="e">
        <f>VLOOKUP(A25,Enforcements!$C$7:$K$21,8,0)</f>
        <v>#N/A</v>
      </c>
      <c r="AC25" s="62" t="e">
        <f>VLOOKUP(A25,Enforcements!$C$7:$E$21,3,0)</f>
        <v>#N/A</v>
      </c>
      <c r="AD25" s="63" t="str">
        <f>IF(LEN(A25)=6,"0"&amp;A25,A25)</f>
        <v>0113-04</v>
      </c>
      <c r="AE25" s="9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s3://rtdc.mdm.uploadarchive.raw/RTDC4016/ "%USERPROFILE%\AppData\Local\Temp\OnboardLogs"\RTDC4016\2016-10-04 --exclude "*" --recursive --include "*20161004*" &amp; "%USERPROFILE%\Documents\GitHub\mrs-test-scripts\Headless Mode &amp; Sideloading\WalkAndUnGZ.bat" "%USERPROFILE%\AppData\Local\Temp\OnboardLogs"\RTDC4016\2016-10-04 &amp; aws s3 cp s3://rtdc.mdm.uploadarchive.raw/RTDC4016/ "%USERPROFILE%\AppData\Local\Temp\OnboardLogs"\RTDC4016\2016-10-05 --exclude "*" --recursive --include "*20161005*" &amp; "%USERPROFILE%\Documents\GitHub\mrs-test-scripts\Headless Mode &amp; Sideloading\WalkAndUnGZ.bat" "%USERPROFILE%\AppData\Local\Temp\OnboardLogs"\RTDC4016\2016-10-05</v>
      </c>
      <c r="AF25" s="92" t="str">
        <f>astrogrep_path&amp;" /spath="&amp;search_path&amp;" /stypes=""app*"&amp;B25&amp;"*"&amp;TEXT(I25-utc_offset/24,"YYYYMMDD")&amp;"*"" /stext="" "&amp;TEXT(I25-utc_offset/24,"HH")&amp;search_regexp&amp;""" /e /r /s"</f>
        <v>"C:\Program Files (x86)\AstroGrep\AstroGrep.exe" /spath="%USERPROFILE%\AppData\Local\Temp\OnboardLogs" /stypes="app*4016*20161004*" /stext=" 11:.+((SYSTEM_STATE.+slice.+state.+changed )|(ment ac)|(system.+state.+changed )|(\[timeout)|(PRM\|1\|D)|(kpr)|(kdp)|(\|lc)|(penalty))" /e /r /s</v>
      </c>
      <c r="AG25" s="1" t="str">
        <f>IFERROR(IF(VALUE(LEFT(AD25,2))&lt;=2,"EC",IF(OR(VALUE(LEFT(AD25,2))=8,VALUE(LEFT(AD25,2))=18),"NW","Other")),"Other")</f>
        <v>EC</v>
      </c>
      <c r="AH25" s="96" t="str">
        <f t="shared" si="2"/>
        <v>"%USERPROFILE%\Documents\GitHub\eaglep3\Utilities\RefineRTDCRunTimes.py" --tripid 113-04 --locoid 4016 --swversion DE.1.0.7.0 --startMP 204:453 --initTime 2016-10-04T04:54:21 --startdatetime 2016-10-04T05:15:17 --delay 1 --endMP 204:233276 --enddatetime 2016-10-04T05:52:08 --enforcementcount 0 &gt;&gt;C:\Users\stu\Documents\GitHub\eaglep3-reporting\EC\2016-10-04-refined-times.txt</v>
      </c>
      <c r="AI25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{"issue":{"subject":"","project_id":79,"tracker_id":40,"status_id":1,"priority_id":2,"assigned_to_id":23,"start_date":"2016-10-04","description":"","custom_fields":[{"id":1,"name":"Subdivision","value":"EC"},{"id":4,"name":"Milepost","value":"23.3276"},{"id":17,"name":"Train ID","value":"113-04"},{"id":16,"name":"Locomotive ID","value":"4016"},{"id":130,"name":"Impact","value":""},{"id":150,"name":"Time of Event (Mountain Time)","value":"05:52:08"},{"id":151,"name":"Denver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5"/>
      <c r="AK25" s="55"/>
      <c r="AL25" s="55"/>
    </row>
    <row r="26" spans="1:38" s="1" customFormat="1" x14ac:dyDescent="0.25">
      <c r="A26" s="39" t="s">
        <v>391</v>
      </c>
      <c r="B26" s="7">
        <v>4015</v>
      </c>
      <c r="C26" s="24" t="s">
        <v>106</v>
      </c>
      <c r="D26" s="24" t="s">
        <v>305</v>
      </c>
      <c r="E26" s="15">
        <v>42647.251273148147</v>
      </c>
      <c r="F26" s="15">
        <v>42647.257835648146</v>
      </c>
      <c r="G26" s="7">
        <v>1</v>
      </c>
      <c r="H26" s="15" t="s">
        <v>287</v>
      </c>
      <c r="I26" s="15">
        <v>42647.285208333335</v>
      </c>
      <c r="J26" s="7">
        <v>0</v>
      </c>
      <c r="K26" s="117" t="str">
        <f>IF(ISEVEN(B26),(B26-1)&amp;"/"&amp;B26,B26&amp;"/"&amp;(B26+1))</f>
        <v>4015/4016</v>
      </c>
      <c r="L26" s="24" t="str">
        <f>VLOOKUP(A26,'Trips&amp;Operators'!$C$1:$E$10000,3,FALSE)</f>
        <v>KILLION</v>
      </c>
      <c r="M26" s="6">
        <f>I26-F26</f>
        <v>2.7372685188311152E-2</v>
      </c>
      <c r="N26" s="7">
        <f>24*60*SUM($M26:$M26)</f>
        <v>39.416666671168059</v>
      </c>
      <c r="O26" s="7"/>
      <c r="P26" s="7"/>
      <c r="Q26" s="25"/>
      <c r="R26" s="25"/>
      <c r="S26" s="37">
        <f>SUM(U26:U26)/IF(AG26="EC",12,1)</f>
        <v>1</v>
      </c>
      <c r="T26" s="52" t="str">
        <f>IF(ISEVEN(LEFT(AD26,4)),"Southbound","NorthBound")</f>
        <v>Southbound</v>
      </c>
      <c r="U26" s="159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02" t="str">
        <f>"https://search-rtdc-monitor-bjffxe2xuh6vdkpspy63sjmuny.us-east-1.es.amazonaws.com/_plugin/kibana/#/discover/Steve-Slow-Train-Analysis-(2080s-and-2083s)?_g=(refreshInterval:(display:Off,section:0,value:0),time:(from:'"&amp;TEXT(E26-1/24,"yyyy-MM-DD hh:mm:ss")&amp;"-0600',mode:absolute,to:'"&amp;TEXT(I26+1/24,"yyyy-MM-DD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26&amp;"%22')),sort:!(Time,asc))"</f>
        <v>https://search-rtdc-monitor-bjffxe2xuh6vdkpspy63sjmuny.us-east-1.es.amazonaws.com/_plugin/kibana/#/discover/Steve-Slow-Train-Analysis-(2080s-and-2083s)?_g=(refreshInterval:(display:Off,section:0,value:0),time:(from:'2016-10-04 05:01:50-0600',mode:absolute,to:'2016-10-04 07:50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6" s="54" t="str">
        <f>IF(AA26&lt;IF(AG26="EC",23,5.65),"Y","N")</f>
        <v>N</v>
      </c>
      <c r="X26" s="164">
        <f>VALUE(LEFT(AD26,4))-VALUE(LEFT(AD25,4))</f>
        <v>1</v>
      </c>
      <c r="Y26" s="69">
        <f>RIGHT(D26,LEN(D26)-4)/10000</f>
        <v>23.295500000000001</v>
      </c>
      <c r="Z26" s="69">
        <f>RIGHT(H26,LEN(H26)-4)/10000</f>
        <v>1.6299999999999999E-2</v>
      </c>
      <c r="AA26" s="69">
        <f>ABS(Z26-Y26)</f>
        <v>23.279199999999999</v>
      </c>
      <c r="AB26" s="66" t="str">
        <f>VLOOKUP(A26,Enforcements!$C$7:$K$21,8,0)</f>
        <v>Form based authority (4)</v>
      </c>
      <c r="AC26" s="62" t="str">
        <f>VLOOKUP(A26,Enforcements!$C$7:$E$21,3,0)</f>
        <v>TRACK WARRANT AUTHORITY</v>
      </c>
      <c r="AD26" s="63" t="str">
        <f>IF(LEN(A26)=6,"0"&amp;A26,A26)</f>
        <v>0114-04</v>
      </c>
      <c r="AE26" s="9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s3://rtdc.mdm.uploadarchive.raw/RTDC4015/ "%USERPROFILE%\AppData\Local\Temp\OnboardLogs"\RTDC4015\2016-10-04 --exclude "*" --recursive --include "*20161004*" &amp; "%USERPROFILE%\Documents\GitHub\mrs-test-scripts\Headless Mode &amp; Sideloading\WalkAndUnGZ.bat" "%USERPROFILE%\AppData\Local\Temp\OnboardLogs"\RTDC4015\2016-10-04 &amp; aws s3 cp s3://rtdc.mdm.uploadarchive.raw/RTDC4015/ "%USERPROFILE%\AppData\Local\Temp\OnboardLogs"\RTDC4015\2016-10-05 --exclude "*" --recursive --include "*20161005*" &amp; "%USERPROFILE%\Documents\GitHub\mrs-test-scripts\Headless Mode &amp; Sideloading\WalkAndUnGZ.bat" "%USERPROFILE%\AppData\Local\Temp\OnboardLogs"\RTDC4015\2016-10-05</v>
      </c>
      <c r="AF26" s="92" t="str">
        <f>astrogrep_path&amp;" /spath="&amp;search_path&amp;" /stypes=""app*"&amp;B26&amp;"*"&amp;TEXT(I26-utc_offset/24,"YYYYMMDD")&amp;"*"" /stext="" "&amp;TEXT(I26-utc_offset/24,"HH")&amp;search_regexp&amp;""" /e /r /s"</f>
        <v>"C:\Program Files (x86)\AstroGrep\AstroGrep.exe" /spath="%USERPROFILE%\AppData\Local\Temp\OnboardLogs" /stypes="app*4015*20161004*" /stext=" 12:.+((SYSTEM_STATE.+slice.+state.+changed )|(ment ac)|(system.+state.+changed )|(\[timeout)|(PRM\|1\|D)|(kpr)|(kdp)|(\|lc)|(penalty))" /e /r /s</v>
      </c>
      <c r="AG26" s="1" t="str">
        <f>IFERROR(IF(VALUE(LEFT(AD26,2))&lt;=2,"EC",IF(OR(VALUE(LEFT(AD26,2))=8,VALUE(LEFT(AD26,2))=18),"NW","Other")),"Other")</f>
        <v>EC</v>
      </c>
      <c r="AH26" s="96" t="str">
        <f t="shared" si="2"/>
        <v>"%USERPROFILE%\Documents\GitHub\eaglep3\Utilities\RefineRTDCRunTimes.py" --tripid 114-04 --locoid 4015 --swversion DE.1.0.7.0 --startMP 204:232955 --initTime 2016-10-04T06:01:50 --startdatetime 2016-10-04T06:11:17 --delay 1 --endMP 204:163 --enddatetime 2016-10-04T06:50:42 --enforcementcount 0 &gt;&gt;C:\Users\stu\Documents\GitHub\eaglep3-reporting\EC\2016-10-04-refined-times.txt</v>
      </c>
      <c r="AI26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{"issue":{"subject":"","project_id":79,"tracker_id":40,"status_id":1,"priority_id":2,"assigned_to_id":23,"start_date":"2016-10-04","description":"","custom_fields":[{"id":1,"name":"Subdivision","value":"EC"},{"id":4,"name":"Milepost","value":"0.0163"},{"id":17,"name":"Train ID","value":"114-04"},{"id":16,"name":"Locomotive ID","value":"4015"},{"id":130,"name":"Impact","value":""},{"id":150,"name":"Time of Event (Mountain Time)","value":"06:50:42"},{"id":151,"name":"Denver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5"/>
      <c r="AK26" s="55"/>
      <c r="AL26" s="55"/>
    </row>
    <row r="27" spans="1:38" s="1" customFormat="1" x14ac:dyDescent="0.25">
      <c r="A27" s="39" t="s">
        <v>382</v>
      </c>
      <c r="B27" s="7">
        <v>4044</v>
      </c>
      <c r="C27" s="24" t="s">
        <v>106</v>
      </c>
      <c r="D27" s="24" t="s">
        <v>611</v>
      </c>
      <c r="E27" s="15">
        <v>42647.226863425924</v>
      </c>
      <c r="F27" s="15">
        <v>42647.22960648148</v>
      </c>
      <c r="G27" s="7">
        <v>0</v>
      </c>
      <c r="H27" s="15" t="s">
        <v>323</v>
      </c>
      <c r="I27" s="15">
        <v>42647.254340277781</v>
      </c>
      <c r="J27" s="7">
        <v>0</v>
      </c>
      <c r="K27" s="117" t="str">
        <f>IF(ISEVEN(B27),(B27-1)&amp;"/"&amp;B27,B27&amp;"/"&amp;(B27+1))</f>
        <v>4043/4044</v>
      </c>
      <c r="L27" s="24" t="str">
        <f>VLOOKUP(A27,'Trips&amp;Operators'!$C$1:$E$10000,3,FALSE)</f>
        <v>BEAM</v>
      </c>
      <c r="M27" s="6">
        <f>I27-F27</f>
        <v>2.4733796301006805E-2</v>
      </c>
      <c r="N27" s="7">
        <f>24*60*SUM($M27:$M27)</f>
        <v>35.616666673449799</v>
      </c>
      <c r="O27" s="7"/>
      <c r="P27" s="7"/>
      <c r="Q27" s="25"/>
      <c r="R27" s="25"/>
      <c r="S27" s="37">
        <f>SUM(U27:U27)/IF(AG27="EC",12,1)</f>
        <v>1</v>
      </c>
      <c r="T27" s="52" t="str">
        <f>IF(ISEVEN(LEFT(AD27,4)),"Southbound","NorthBound")</f>
        <v>NorthBound</v>
      </c>
      <c r="U27" s="159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02" t="str">
        <f>"https://search-rtdc-monitor-bjffxe2xuh6vdkpspy63sjmuny.us-east-1.es.amazonaws.com/_plugin/kibana/#/discover/Steve-Slow-Train-Analysis-(2080s-and-2083s)?_g=(refreshInterval:(display:Off,section:0,value:0),time:(from:'"&amp;TEXT(E27-1/24,"yyyy-MM-DD hh:mm:ss")&amp;"-0600',mode:absolute,to:'"&amp;TEXT(I27+1/24,"yyyy-MM-DD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27&amp;"%22')),sort:!(Time,asc))"</f>
        <v>https://search-rtdc-monitor-bjffxe2xuh6vdkpspy63sjmuny.us-east-1.es.amazonaws.com/_plugin/kibana/#/discover/Steve-Slow-Train-Analysis-(2080s-and-2083s)?_g=(refreshInterval:(display:Off,section:0,value:0),time:(from:'2016-10-04 04:26:41-0600',mode:absolute,to:'2016-10-04 07:06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7" s="54" t="str">
        <f>IF(AA27&lt;IF(AG27="EC",23,5.65),"Y","N")</f>
        <v>N</v>
      </c>
      <c r="X27" s="164">
        <f>VALUE(LEFT(AD27,4))-VALUE(LEFT(AD26,4))</f>
        <v>1</v>
      </c>
      <c r="Y27" s="69">
        <f>RIGHT(D27,LEN(D27)-4)/10000</f>
        <v>7.5399999999999995E-2</v>
      </c>
      <c r="Z27" s="69">
        <f>RIGHT(H27,LEN(H27)-4)/10000</f>
        <v>23.331900000000001</v>
      </c>
      <c r="AA27" s="69">
        <f>ABS(Z27-Y27)</f>
        <v>23.256500000000003</v>
      </c>
      <c r="AB27" s="66" t="e">
        <f>VLOOKUP(A27,Enforcements!$C$7:$K$21,8,0)</f>
        <v>#N/A</v>
      </c>
      <c r="AC27" s="62" t="e">
        <f>VLOOKUP(A27,Enforcements!$C$7:$E$21,3,0)</f>
        <v>#N/A</v>
      </c>
      <c r="AD27" s="63" t="str">
        <f>IF(LEN(A27)=6,"0"&amp;A27,A27)</f>
        <v>0115-04</v>
      </c>
      <c r="AE27" s="9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s3://rtdc.mdm.uploadarchive.raw/RTDC4044/ "%USERPROFILE%\AppData\Local\Temp\OnboardLogs"\RTDC4044\2016-10-04 --exclude "*" --recursive --include "*20161004*" &amp; "%USERPROFILE%\Documents\GitHub\mrs-test-scripts\Headless Mode &amp; Sideloading\WalkAndUnGZ.bat" "%USERPROFILE%\AppData\Local\Temp\OnboardLogs"\RTDC4044\2016-10-04 &amp; aws s3 cp s3://rtdc.mdm.uploadarchive.raw/RTDC4044/ "%USERPROFILE%\AppData\Local\Temp\OnboardLogs"\RTDC4044\2016-10-05 --exclude "*" --recursive --include "*20161005*" &amp; "%USERPROFILE%\Documents\GitHub\mrs-test-scripts\Headless Mode &amp; Sideloading\WalkAndUnGZ.bat" "%USERPROFILE%\AppData\Local\Temp\OnboardLogs"\RTDC4044\2016-10-05</v>
      </c>
      <c r="AF27" s="92" t="str">
        <f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/stypes="app*4044*20161004*" /stext=" 12:.+((SYSTEM_STATE.+slice.+state.+changed )|(ment ac)|(system.+state.+changed )|(\[timeout)|(PRM\|1\|D)|(kpr)|(kdp)|(\|lc)|(penalty))" /e /r /s</v>
      </c>
      <c r="AG27" s="1" t="str">
        <f>IFERROR(IF(VALUE(LEFT(AD27,2))&lt;=2,"EC",IF(OR(VALUE(LEFT(AD27,2))=8,VALUE(LEFT(AD27,2))=18),"NW","Other")),"Other")</f>
        <v>EC</v>
      </c>
      <c r="AH27" s="96" t="str">
        <f t="shared" si="2"/>
        <v>"%USERPROFILE%\Documents\GitHub\eaglep3\Utilities\RefineRTDCRunTimes.py" --tripid 115-04 --locoid 4044 --swversion DE.1.0.7.0 --startMP 204:754 --initTime 2016-10-04T05:26:41 --startdatetime 2016-10-04T05:30:38 --delay 0 --endMP 204:233319 --enddatetime 2016-10-04T06:06:15 --enforcementcount 0 &gt;&gt;C:\Users\stu\Documents\GitHub\eaglep3-reporting\EC\2016-10-04-refined-times.txt</v>
      </c>
      <c r="AI27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{"issue":{"subject":"","project_id":79,"tracker_id":40,"status_id":1,"priority_id":2,"assigned_to_id":23,"start_date":"2016-10-04","description":"","custom_fields":[{"id":1,"name":"Subdivision","value":"EC"},{"id":4,"name":"Milepost","value":"23.3319"},{"id":17,"name":"Train ID","value":"115-04"},{"id":16,"name":"Locomotive ID","value":"4044"},{"id":130,"name":"Impact","value":""},{"id":150,"name":"Time of Event (Mountain Time)","value":"06:06:15"},{"id":151,"name":"Denver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5"/>
      <c r="AK27" s="55"/>
      <c r="AL27" s="55"/>
    </row>
    <row r="28" spans="1:38" s="1" customFormat="1" x14ac:dyDescent="0.25">
      <c r="A28" s="39" t="s">
        <v>395</v>
      </c>
      <c r="B28" s="7">
        <v>4043</v>
      </c>
      <c r="C28" s="24" t="s">
        <v>106</v>
      </c>
      <c r="D28" s="24" t="s">
        <v>258</v>
      </c>
      <c r="E28" s="15">
        <v>42647.259548611109</v>
      </c>
      <c r="F28" s="15">
        <v>42647.268240740741</v>
      </c>
      <c r="G28" s="7">
        <v>1</v>
      </c>
      <c r="H28" s="15" t="s">
        <v>194</v>
      </c>
      <c r="I28" s="15">
        <v>42647.295949074076</v>
      </c>
      <c r="J28" s="7">
        <v>0</v>
      </c>
      <c r="K28" s="117" t="str">
        <f>IF(ISEVEN(B28),(B28-1)&amp;"/"&amp;B28,B28&amp;"/"&amp;(B28+1))</f>
        <v>4043/4044</v>
      </c>
      <c r="L28" s="24" t="str">
        <f>VLOOKUP(A28,'Trips&amp;Operators'!$C$1:$E$10000,3,FALSE)</f>
        <v>BEAM</v>
      </c>
      <c r="M28" s="6">
        <f>I28-F28</f>
        <v>2.7708333334885538E-2</v>
      </c>
      <c r="N28" s="7">
        <f>24*60*SUM($M28:$M28)</f>
        <v>39.900000002235174</v>
      </c>
      <c r="O28" s="7"/>
      <c r="P28" s="7"/>
      <c r="Q28" s="25"/>
      <c r="R28" s="25"/>
      <c r="S28" s="37">
        <f>SUM(U28:U28)/IF(AG28="EC",12,1)</f>
        <v>1</v>
      </c>
      <c r="T28" s="52" t="str">
        <f>IF(ISEVEN(LEFT(AD28,4)),"Southbound","NorthBound")</f>
        <v>Southbound</v>
      </c>
      <c r="U28" s="159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02" t="str">
        <f>"https://search-rtdc-monitor-bjffxe2xuh6vdkpspy63sjmuny.us-east-1.es.amazonaws.com/_plugin/kibana/#/discover/Steve-Slow-Train-Analysis-(2080s-and-2083s)?_g=(refreshInterval:(display:Off,section:0,value:0),time:(from:'"&amp;TEXT(E28-1/24,"yyyy-MM-DD hh:mm:ss")&amp;"-0600',mode:absolute,to:'"&amp;TEXT(I28+1/24,"yyyy-MM-DD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28&amp;"%22')),sort:!(Time,asc))"</f>
        <v>https://search-rtdc-monitor-bjffxe2xuh6vdkpspy63sjmuny.us-east-1.es.amazonaws.com/_plugin/kibana/#/discover/Steve-Slow-Train-Analysis-(2080s-and-2083s)?_g=(refreshInterval:(display:Off,section:0,value:0),time:(from:'2016-10-04 05:13:45-0600',mode:absolute,to:'2016-10-04 08:06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8" s="54" t="str">
        <f>IF(AA28&lt;IF(AG28="EC",23,5.65),"Y","N")</f>
        <v>N</v>
      </c>
      <c r="X28" s="164">
        <f>VALUE(LEFT(AD28,4))-VALUE(LEFT(AD27,4))</f>
        <v>1</v>
      </c>
      <c r="Y28" s="69">
        <f>RIGHT(D28,LEN(D28)-4)/10000</f>
        <v>23.299600000000002</v>
      </c>
      <c r="Z28" s="69">
        <f>RIGHT(H28,LEN(H28)-4)/10000</f>
        <v>1.5800000000000002E-2</v>
      </c>
      <c r="AA28" s="69">
        <f>ABS(Z28-Y28)</f>
        <v>23.283800000000003</v>
      </c>
      <c r="AB28" s="66" t="e">
        <f>VLOOKUP(A28,Enforcements!$C$7:$K$21,8,0)</f>
        <v>#N/A</v>
      </c>
      <c r="AC28" s="62" t="e">
        <f>VLOOKUP(A28,Enforcements!$C$7:$E$21,3,0)</f>
        <v>#N/A</v>
      </c>
      <c r="AD28" s="63" t="str">
        <f>IF(LEN(A28)=6,"0"&amp;A28,A28)</f>
        <v>0116-04</v>
      </c>
      <c r="AE28" s="9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s3://rtdc.mdm.uploadarchive.raw/RTDC4043/ "%USERPROFILE%\AppData\Local\Temp\OnboardLogs"\RTDC4043\2016-10-04 --exclude "*" --recursive --include "*20161004*" &amp; "%USERPROFILE%\Documents\GitHub\mrs-test-scripts\Headless Mode &amp; Sideloading\WalkAndUnGZ.bat" "%USERPROFILE%\AppData\Local\Temp\OnboardLogs"\RTDC4043\2016-10-04 &amp; aws s3 cp s3://rtdc.mdm.uploadarchive.raw/RTDC4043/ "%USERPROFILE%\AppData\Local\Temp\OnboardLogs"\RTDC4043\2016-10-05 --exclude "*" --recursive --include "*20161005*" &amp; "%USERPROFILE%\Documents\GitHub\mrs-test-scripts\Headless Mode &amp; Sideloading\WalkAndUnGZ.bat" "%USERPROFILE%\AppData\Local\Temp\OnboardLogs"\RTDC4043\2016-10-05</v>
      </c>
      <c r="AF28" s="92" t="str">
        <f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/stypes="app*4043*20161004*" /stext=" 13:.+((SYSTEM_STATE.+slice.+state.+changed )|(ment ac)|(system.+state.+changed )|(\[timeout)|(PRM\|1\|D)|(kpr)|(kdp)|(\|lc)|(penalty))" /e /r /s</v>
      </c>
      <c r="AG28" s="1" t="str">
        <f>IFERROR(IF(VALUE(LEFT(AD28,2))&lt;=2,"EC",IF(OR(VALUE(LEFT(AD28,2))=8,VALUE(LEFT(AD28,2))=18),"NW","Other")),"Other")</f>
        <v>EC</v>
      </c>
      <c r="AH28" s="96" t="str">
        <f t="shared" si="2"/>
        <v>"%USERPROFILE%\Documents\GitHub\eaglep3\Utilities\RefineRTDCRunTimes.py" --tripid 116-04 --locoid 4043 --swversion DE.1.0.7.0 --startMP 204:232996 --initTime 2016-10-04T06:13:45 --startdatetime 2016-10-04T06:26:16 --delay 1 --endMP 204:158 --enddatetime 2016-10-04T07:06:10 --enforcementcount 0 &gt;&gt;C:\Users\stu\Documents\GitHub\eaglep3-reporting\EC\2016-10-04-refined-times.txt</v>
      </c>
      <c r="AI28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{"issue":{"subject":"","project_id":79,"tracker_id":40,"status_id":1,"priority_id":2,"assigned_to_id":23,"start_date":"2016-10-04","description":"","custom_fields":[{"id":1,"name":"Subdivision","value":"EC"},{"id":4,"name":"Milepost","value":"0.0158"},{"id":17,"name":"Train ID","value":"116-04"},{"id":16,"name":"Locomotive ID","value":"4043"},{"id":130,"name":"Impact","value":""},{"id":150,"name":"Time of Event (Mountain Time)","value":"07:06:10"},{"id":151,"name":"Denver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5"/>
      <c r="AK28" s="55"/>
      <c r="AL28" s="55"/>
    </row>
    <row r="29" spans="1:38" s="1" customFormat="1" x14ac:dyDescent="0.25">
      <c r="A29" s="39" t="s">
        <v>386</v>
      </c>
      <c r="B29" s="7">
        <v>4007</v>
      </c>
      <c r="C29" s="24" t="s">
        <v>106</v>
      </c>
      <c r="D29" s="24" t="s">
        <v>203</v>
      </c>
      <c r="E29" s="15">
        <v>42647.230624999997</v>
      </c>
      <c r="F29" s="15">
        <v>42647.239803240744</v>
      </c>
      <c r="G29" s="7">
        <v>1</v>
      </c>
      <c r="H29" s="15" t="s">
        <v>299</v>
      </c>
      <c r="I29" s="15">
        <v>42647.265949074077</v>
      </c>
      <c r="J29" s="7">
        <v>0</v>
      </c>
      <c r="K29" s="117" t="str">
        <f>IF(ISEVEN(B29),(B29-1)&amp;"/"&amp;B29,B29&amp;"/"&amp;(B29+1))</f>
        <v>4007/4008</v>
      </c>
      <c r="L29" s="24" t="str">
        <f>VLOOKUP(A29,'Trips&amp;Operators'!$C$1:$E$10000,3,FALSE)</f>
        <v>ACKERMAN</v>
      </c>
      <c r="M29" s="6">
        <f>I29-F29</f>
        <v>2.6145833333430346E-2</v>
      </c>
      <c r="N29" s="7">
        <f>24*60*SUM($M29:$M29)</f>
        <v>37.650000000139698</v>
      </c>
      <c r="O29" s="7"/>
      <c r="P29" s="7"/>
      <c r="Q29" s="25"/>
      <c r="R29" s="25"/>
      <c r="S29" s="37">
        <f>SUM(U29:U29)/IF(AG29="EC",12,1)</f>
        <v>1</v>
      </c>
      <c r="T29" s="52" t="str">
        <f>IF(ISEVEN(LEFT(AD29,4)),"Southbound","NorthBound")</f>
        <v>NorthBound</v>
      </c>
      <c r="U29" s="159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02" t="str">
        <f>"https://search-rtdc-monitor-bjffxe2xuh6vdkpspy63sjmuny.us-east-1.es.amazonaws.com/_plugin/kibana/#/discover/Steve-Slow-Train-Analysis-(2080s-and-2083s)?_g=(refreshInterval:(display:Off,section:0,value:0),time:(from:'"&amp;TEXT(E29-1/24,"yyyy-MM-DD hh:mm:ss")&amp;"-0600',mode:absolute,to:'"&amp;TEXT(I29+1/24,"yyyy-MM-DD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29&amp;"%22')),sort:!(Time,asc))"</f>
        <v>https://search-rtdc-monitor-bjffxe2xuh6vdkpspy63sjmuny.us-east-1.es.amazonaws.com/_plugin/kibana/#/discover/Steve-Slow-Train-Analysis-(2080s-and-2083s)?_g=(refreshInterval:(display:Off,section:0,value:0),time:(from:'2016-10-04 04:32:06-0600',mode:absolute,to:'2016-10-04 07:22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9" s="54" t="str">
        <f>IF(AA29&lt;IF(AG29="EC",23,5.65),"Y","N")</f>
        <v>N</v>
      </c>
      <c r="X29" s="164">
        <f>VALUE(LEFT(AD29,4))-VALUE(LEFT(AD28,4))</f>
        <v>1</v>
      </c>
      <c r="Y29" s="69">
        <f>RIGHT(D29,LEN(D29)-4)/10000</f>
        <v>4.5499999999999999E-2</v>
      </c>
      <c r="Z29" s="69">
        <f>RIGHT(H29,LEN(H29)-4)/10000</f>
        <v>23.329699999999999</v>
      </c>
      <c r="AA29" s="69">
        <f>ABS(Z29-Y29)</f>
        <v>23.284199999999998</v>
      </c>
      <c r="AB29" s="66" t="e">
        <f>VLOOKUP(A29,Enforcements!$C$7:$K$21,8,0)</f>
        <v>#N/A</v>
      </c>
      <c r="AC29" s="62" t="e">
        <f>VLOOKUP(A29,Enforcements!$C$7:$E$21,3,0)</f>
        <v>#N/A</v>
      </c>
      <c r="AD29" s="63" t="str">
        <f>IF(LEN(A29)=6,"0"&amp;A29,A29)</f>
        <v>0117-04</v>
      </c>
      <c r="AE29" s="9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s3://rtdc.mdm.uploadarchive.raw/RTDC4007/ "%USERPROFILE%\AppData\Local\Temp\OnboardLogs"\RTDC4007\2016-10-04 --exclude "*" --recursive --include "*20161004*" &amp; "%USERPROFILE%\Documents\GitHub\mrs-test-scripts\Headless Mode &amp; Sideloading\WalkAndUnGZ.bat" "%USERPROFILE%\AppData\Local\Temp\OnboardLogs"\RTDC4007\2016-10-04 &amp; aws s3 cp s3://rtdc.mdm.uploadarchive.raw/RTDC4007/ "%USERPROFILE%\AppData\Local\Temp\OnboardLogs"\RTDC4007\2016-10-05 --exclude "*" --recursive --include "*20161005*" &amp; "%USERPROFILE%\Documents\GitHub\mrs-test-scripts\Headless Mode &amp; Sideloading\WalkAndUnGZ.bat" "%USERPROFILE%\AppData\Local\Temp\OnboardLogs"\RTDC4007\2016-10-05</v>
      </c>
      <c r="AF29" s="92" t="str">
        <f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/stypes="app*4007*20161004*" /stext=" 12:.+((SYSTEM_STATE.+slice.+state.+changed )|(ment ac)|(system.+state.+changed )|(\[timeout)|(PRM\|1\|D)|(kpr)|(kdp)|(\|lc)|(penalty))" /e /r /s</v>
      </c>
      <c r="AG29" s="1" t="str">
        <f>IFERROR(IF(VALUE(LEFT(AD29,2))&lt;=2,"EC",IF(OR(VALUE(LEFT(AD29,2))=8,VALUE(LEFT(AD29,2))=18),"NW","Other")),"Other")</f>
        <v>EC</v>
      </c>
      <c r="AH29" s="96" t="str">
        <f t="shared" si="2"/>
        <v>"%USERPROFILE%\Documents\GitHub\eaglep3\Utilities\RefineRTDCRunTimes.py" --tripid 117-04 --locoid 4007 --swversion DE.1.0.7.0 --startMP 204:455 --initTime 2016-10-04T05:32:06 --startdatetime 2016-10-04T05:45:19 --delay 1 --endMP 204:233297 --enddatetime 2016-10-04T06:22:58 --enforcementcount 0 &gt;&gt;C:\Users\stu\Documents\GitHub\eaglep3-reporting\EC\2016-10-04-refined-times.txt</v>
      </c>
      <c r="AI29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{"issue":{"subject":"","project_id":79,"tracker_id":40,"status_id":1,"priority_id":2,"assigned_to_id":23,"start_date":"2016-10-04","description":"","custom_fields":[{"id":1,"name":"Subdivision","value":"EC"},{"id":4,"name":"Milepost","value":"23.3297"},{"id":17,"name":"Train ID","value":"117-04"},{"id":16,"name":"Locomotive ID","value":"4007"},{"id":130,"name":"Impact","value":""},{"id":150,"name":"Time of Event (Mountain Time)","value":"06:22:58"},{"id":151,"name":"Denver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5"/>
      <c r="AK29" s="55"/>
      <c r="AL29" s="55"/>
    </row>
    <row r="30" spans="1:38" s="1" customFormat="1" x14ac:dyDescent="0.25">
      <c r="A30" s="39" t="s">
        <v>398</v>
      </c>
      <c r="B30" s="7">
        <v>4008</v>
      </c>
      <c r="C30" s="24" t="s">
        <v>106</v>
      </c>
      <c r="D30" s="24" t="s">
        <v>307</v>
      </c>
      <c r="E30" s="15">
        <v>42647.272233796299</v>
      </c>
      <c r="F30" s="15">
        <v>42647.278958333336</v>
      </c>
      <c r="G30" s="7">
        <v>1</v>
      </c>
      <c r="H30" s="15" t="s">
        <v>250</v>
      </c>
      <c r="I30" s="15">
        <v>42647.306435185186</v>
      </c>
      <c r="J30" s="7">
        <v>0</v>
      </c>
      <c r="K30" s="117" t="str">
        <f>IF(ISEVEN(B30),(B30-1)&amp;"/"&amp;B30,B30&amp;"/"&amp;(B30+1))</f>
        <v>4007/4008</v>
      </c>
      <c r="L30" s="24" t="str">
        <f>VLOOKUP(A30,'Trips&amp;Operators'!$C$1:$E$10000,3,FALSE)</f>
        <v>ACKERMAN</v>
      </c>
      <c r="M30" s="6">
        <f>I30-F30</f>
        <v>2.7476851850224193E-2</v>
      </c>
      <c r="N30" s="7">
        <f>24*60*SUM($M30:$M30)</f>
        <v>39.566666664322838</v>
      </c>
      <c r="O30" s="7"/>
      <c r="P30" s="7"/>
      <c r="Q30" s="25"/>
      <c r="R30" s="25"/>
      <c r="S30" s="37">
        <f>SUM(U30:U30)/IF(AG30="EC",12,1)</f>
        <v>1</v>
      </c>
      <c r="T30" s="52" t="str">
        <f>IF(ISEVEN(LEFT(AD30,4)),"Southbound","NorthBound")</f>
        <v>Southbound</v>
      </c>
      <c r="U30" s="159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02" t="str">
        <f>"https://search-rtdc-monitor-bjffxe2xuh6vdkpspy63sjmuny.us-east-1.es.amazonaws.com/_plugin/kibana/#/discover/Steve-Slow-Train-Analysis-(2080s-and-2083s)?_g=(refreshInterval:(display:Off,section:0,value:0),time:(from:'"&amp;TEXT(E30-1/24,"yyyy-MM-DD hh:mm:ss")&amp;"-0600',mode:absolute,to:'"&amp;TEXT(I30+1/24,"yyyy-MM-DD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30&amp;"%22')),sort:!(Time,asc))"</f>
        <v>https://search-rtdc-monitor-bjffxe2xuh6vdkpspy63sjmuny.us-east-1.es.amazonaws.com/_plugin/kibana/#/discover/Steve-Slow-Train-Analysis-(2080s-and-2083s)?_g=(refreshInterval:(display:Off,section:0,value:0),time:(from:'2016-10-04 05:32:01-0600',mode:absolute,to:'2016-10-04 08:21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30" s="54" t="str">
        <f>IF(AA30&lt;IF(AG30="EC",23,5.65),"Y","N")</f>
        <v>N</v>
      </c>
      <c r="X30" s="164">
        <f>VALUE(LEFT(AD30,4))-VALUE(LEFT(AD29,4))</f>
        <v>1</v>
      </c>
      <c r="Y30" s="69">
        <f>RIGHT(D30,LEN(D30)-4)/10000</f>
        <v>23.297499999999999</v>
      </c>
      <c r="Z30" s="69">
        <f>RIGHT(H30,LEN(H30)-4)/10000</f>
        <v>1.61E-2</v>
      </c>
      <c r="AA30" s="69">
        <f>ABS(Z30-Y30)</f>
        <v>23.281399999999998</v>
      </c>
      <c r="AB30" s="66" t="e">
        <f>VLOOKUP(A30,Enforcements!$C$7:$K$21,8,0)</f>
        <v>#N/A</v>
      </c>
      <c r="AC30" s="62" t="e">
        <f>VLOOKUP(A30,Enforcements!$C$7:$E$21,3,0)</f>
        <v>#N/A</v>
      </c>
      <c r="AD30" s="63" t="str">
        <f>IF(LEN(A30)=6,"0"&amp;A30,A30)</f>
        <v>0118-04</v>
      </c>
      <c r="AE30" s="9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s3://rtdc.mdm.uploadarchive.raw/RTDC4008/ "%USERPROFILE%\AppData\Local\Temp\OnboardLogs"\RTDC4008\2016-10-04 --exclude "*" --recursive --include "*20161004*" &amp; "%USERPROFILE%\Documents\GitHub\mrs-test-scripts\Headless Mode &amp; Sideloading\WalkAndUnGZ.bat" "%USERPROFILE%\AppData\Local\Temp\OnboardLogs"\RTDC4008\2016-10-04 &amp; aws s3 cp s3://rtdc.mdm.uploadarchive.raw/RTDC4008/ "%USERPROFILE%\AppData\Local\Temp\OnboardLogs"\RTDC4008\2016-10-05 --exclude "*" --recursive --include "*20161005*" &amp; "%USERPROFILE%\Documents\GitHub\mrs-test-scripts\Headless Mode &amp; Sideloading\WalkAndUnGZ.bat" "%USERPROFILE%\AppData\Local\Temp\OnboardLogs"\RTDC4008\2016-10-05</v>
      </c>
      <c r="AF30" s="92" t="str">
        <f>astrogrep_path&amp;" /spath="&amp;search_path&amp;" /stypes=""app*"&amp;B30&amp;"*"&amp;TEXT(I30-utc_offset/24,"YYYYMMDD")&amp;"*"" /stext="" "&amp;TEXT(I30-utc_offset/24,"HH")&amp;search_regexp&amp;""" /e /r /s"</f>
        <v>"C:\Program Files (x86)\AstroGrep\AstroGrep.exe" /spath="%USERPROFILE%\AppData\Local\Temp\OnboardLogs" /stypes="app*4008*20161004*" /stext=" 13:.+((SYSTEM_STATE.+slice.+state.+changed )|(ment ac)|(system.+state.+changed )|(\[timeout)|(PRM\|1\|D)|(kpr)|(kdp)|(\|lc)|(penalty))" /e /r /s</v>
      </c>
      <c r="AG30" s="1" t="str">
        <f>IFERROR(IF(VALUE(LEFT(AD30,2))&lt;=2,"EC",IF(OR(VALUE(LEFT(AD30,2))=8,VALUE(LEFT(AD30,2))=18),"NW","Other")),"Other")</f>
        <v>EC</v>
      </c>
      <c r="AH30" s="96" t="str">
        <f t="shared" si="2"/>
        <v>"%USERPROFILE%\Documents\GitHub\eaglep3\Utilities\RefineRTDCRunTimes.py" --tripid 118-04 --locoid 4008 --swversion DE.1.0.7.0 --startMP 204:232975 --initTime 2016-10-04T06:32:01 --startdatetime 2016-10-04T06:41:42 --delay 1 --endMP 204:161 --enddatetime 2016-10-04T07:21:16 --enforcementcount 0 &gt;&gt;C:\Users\stu\Documents\GitHub\eaglep3-reporting\EC\2016-10-04-refined-times.txt</v>
      </c>
      <c r="AI30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{"issue":{"subject":"","project_id":79,"tracker_id":40,"status_id":1,"priority_id":2,"assigned_to_id":23,"start_date":"2016-10-04","description":"","custom_fields":[{"id":1,"name":"Subdivision","value":"EC"},{"id":4,"name":"Milepost","value":"0.0161"},{"id":17,"name":"Train ID","value":"118-04"},{"id":16,"name":"Locomotive ID","value":"4008"},{"id":130,"name":"Impact","value":""},{"id":150,"name":"Time of Event (Mountain Time)","value":"07:21:16"},{"id":151,"name":"Denver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5"/>
      <c r="AK30" s="55"/>
      <c r="AL30" s="55"/>
    </row>
    <row r="31" spans="1:38" s="1" customFormat="1" x14ac:dyDescent="0.25">
      <c r="A31" s="39" t="s">
        <v>390</v>
      </c>
      <c r="B31" s="7">
        <v>4029</v>
      </c>
      <c r="C31" s="24" t="s">
        <v>106</v>
      </c>
      <c r="D31" s="24" t="s">
        <v>612</v>
      </c>
      <c r="E31" s="15">
        <v>42647.246863425928</v>
      </c>
      <c r="F31" s="15">
        <v>42647.250185185185</v>
      </c>
      <c r="G31" s="7">
        <v>1</v>
      </c>
      <c r="H31" s="15" t="s">
        <v>323</v>
      </c>
      <c r="I31" s="15">
        <v>42647.276377314818</v>
      </c>
      <c r="J31" s="7">
        <v>0</v>
      </c>
      <c r="K31" s="117" t="str">
        <f>IF(ISEVEN(B31),(B31-1)&amp;"/"&amp;B31,B31&amp;"/"&amp;(B31+1))</f>
        <v>4029/4030</v>
      </c>
      <c r="L31" s="24" t="str">
        <f>VLOOKUP(A31,'Trips&amp;Operators'!$C$1:$E$10000,3,FALSE)</f>
        <v>BRANNON</v>
      </c>
      <c r="M31" s="6">
        <f>I31-F31</f>
        <v>2.6192129633272998E-2</v>
      </c>
      <c r="N31" s="7">
        <f>24*60*SUM($M31:$M31)</f>
        <v>37.716666671913117</v>
      </c>
      <c r="O31" s="7"/>
      <c r="P31" s="7"/>
      <c r="Q31" s="25"/>
      <c r="R31" s="25"/>
      <c r="S31" s="37">
        <f>SUM(U31:U31)/IF(AG31="EC",12,1)</f>
        <v>1</v>
      </c>
      <c r="T31" s="52" t="str">
        <f>IF(ISEVEN(LEFT(AD31,4)),"Southbound","NorthBound")</f>
        <v>NorthBound</v>
      </c>
      <c r="U31" s="159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02" t="str">
        <f>"https://search-rtdc-monitor-bjffxe2xuh6vdkpspy63sjmuny.us-east-1.es.amazonaws.com/_plugin/kibana/#/discover/Steve-Slow-Train-Analysis-(2080s-and-2083s)?_g=(refreshInterval:(display:Off,section:0,value:0),time:(from:'"&amp;TEXT(E31-1/24,"yyyy-MM-DD hh:mm:ss")&amp;"-0600',mode:absolute,to:'"&amp;TEXT(I31+1/24,"yyyy-MM-DD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31&amp;"%22')),sort:!(Time,asc))"</f>
        <v>https://search-rtdc-monitor-bjffxe2xuh6vdkpspy63sjmuny.us-east-1.es.amazonaws.com/_plugin/kibana/#/discover/Steve-Slow-Train-Analysis-(2080s-and-2083s)?_g=(refreshInterval:(display:Off,section:0,value:0),time:(from:'2016-10-04 04:55:29-0600',mode:absolute,to:'2016-10-04 07:37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31" s="54" t="str">
        <f>IF(AA31&lt;IF(AG31="EC",23,5.65),"Y","N")</f>
        <v>N</v>
      </c>
      <c r="X31" s="164">
        <f>VALUE(LEFT(AD31,4))-VALUE(LEFT(AD30,4))</f>
        <v>1</v>
      </c>
      <c r="Y31" s="69">
        <f>RIGHT(D31,LEN(D31)-4)/10000</f>
        <v>7.5499999999999998E-2</v>
      </c>
      <c r="Z31" s="69">
        <f>RIGHT(H31,LEN(H31)-4)/10000</f>
        <v>23.331900000000001</v>
      </c>
      <c r="AA31" s="69">
        <f>ABS(Z31-Y31)</f>
        <v>23.256399999999999</v>
      </c>
      <c r="AB31" s="66" t="e">
        <f>VLOOKUP(A31,Enforcements!$C$7:$K$21,8,0)</f>
        <v>#N/A</v>
      </c>
      <c r="AC31" s="62" t="e">
        <f>VLOOKUP(A31,Enforcements!$C$7:$E$21,3,0)</f>
        <v>#N/A</v>
      </c>
      <c r="AD31" s="63" t="str">
        <f>IF(LEN(A31)=6,"0"&amp;A31,A31)</f>
        <v>0119-04</v>
      </c>
      <c r="AE31" s="9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s3://rtdc.mdm.uploadarchive.raw/RTDC4029/ "%USERPROFILE%\AppData\Local\Temp\OnboardLogs"\RTDC4029\2016-10-04 --exclude "*" --recursive --include "*20161004*" &amp; "%USERPROFILE%\Documents\GitHub\mrs-test-scripts\Headless Mode &amp; Sideloading\WalkAndUnGZ.bat" "%USERPROFILE%\AppData\Local\Temp\OnboardLogs"\RTDC4029\2016-10-04 &amp; aws s3 cp s3://rtdc.mdm.uploadarchive.raw/RTDC4029/ "%USERPROFILE%\AppData\Local\Temp\OnboardLogs"\RTDC4029\2016-10-05 --exclude "*" --recursive --include "*20161005*" &amp; "%USERPROFILE%\Documents\GitHub\mrs-test-scripts\Headless Mode &amp; Sideloading\WalkAndUnGZ.bat" "%USERPROFILE%\AppData\Local\Temp\OnboardLogs"\RTDC4029\2016-10-05</v>
      </c>
      <c r="AF31" s="92" t="str">
        <f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/stypes="app*4029*20161004*" /stext=" 12:.+((SYSTEM_STATE.+slice.+state.+changed )|(ment ac)|(system.+state.+changed )|(\[timeout)|(PRM\|1\|D)|(kpr)|(kdp)|(\|lc)|(penalty))" /e /r /s</v>
      </c>
      <c r="AG31" s="1" t="str">
        <f>IFERROR(IF(VALUE(LEFT(AD31,2))&lt;=2,"EC",IF(OR(VALUE(LEFT(AD31,2))=8,VALUE(LEFT(AD31,2))=18),"NW","Other")),"Other")</f>
        <v>EC</v>
      </c>
      <c r="AH31" s="96" t="str">
        <f t="shared" si="2"/>
        <v>"%USERPROFILE%\Documents\GitHub\eaglep3\Utilities\RefineRTDCRunTimes.py" --tripid 119-04 --locoid 4029 --swversion DE.1.0.7.0 --startMP 204:755 --initTime 2016-10-04T05:55:29 --startdatetime 2016-10-04T06:00:16 --delay 1 --endMP 204:233319 --enddatetime 2016-10-04T06:37:59 --enforcementcount 0 &gt;&gt;C:\Users\stu\Documents\GitHub\eaglep3-reporting\EC\2016-10-04-refined-times.txt</v>
      </c>
      <c r="AI31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{"issue":{"subject":"","project_id":79,"tracker_id":40,"status_id":1,"priority_id":2,"assigned_to_id":23,"start_date":"2016-10-04","description":"","custom_fields":[{"id":1,"name":"Subdivision","value":"EC"},{"id":4,"name":"Milepost","value":"23.3319"},{"id":17,"name":"Train ID","value":"119-04"},{"id":16,"name":"Locomotive ID","value":"4029"},{"id":130,"name":"Impact","value":""},{"id":150,"name":"Time of Event (Mountain Time)","value":"06:37:59"},{"id":151,"name":"Denver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5"/>
      <c r="AK31" s="55"/>
      <c r="AL31" s="55"/>
    </row>
    <row r="32" spans="1:38" s="1" customFormat="1" x14ac:dyDescent="0.25">
      <c r="A32" s="39" t="s">
        <v>401</v>
      </c>
      <c r="B32" s="7">
        <v>4030</v>
      </c>
      <c r="C32" s="24" t="s">
        <v>106</v>
      </c>
      <c r="D32" s="24" t="s">
        <v>613</v>
      </c>
      <c r="E32" s="15">
        <v>42647.278055555558</v>
      </c>
      <c r="F32" s="15">
        <v>42647.2891087963</v>
      </c>
      <c r="G32" s="7">
        <v>1</v>
      </c>
      <c r="H32" s="15" t="s">
        <v>614</v>
      </c>
      <c r="I32" s="15">
        <v>42647.317314814813</v>
      </c>
      <c r="J32" s="7">
        <v>0</v>
      </c>
      <c r="K32" s="117" t="str">
        <f>IF(ISEVEN(B32),(B32-1)&amp;"/"&amp;B32,B32&amp;"/"&amp;(B32+1))</f>
        <v>4029/4030</v>
      </c>
      <c r="L32" s="24" t="str">
        <f>VLOOKUP(A32,'Trips&amp;Operators'!$C$1:$E$10000,3,FALSE)</f>
        <v>BRANNON</v>
      </c>
      <c r="M32" s="6">
        <f>I32-F32</f>
        <v>2.8206018512719311E-2</v>
      </c>
      <c r="N32" s="7">
        <f>24*60*SUM($M32:$M32)</f>
        <v>40.616666658315808</v>
      </c>
      <c r="O32" s="7"/>
      <c r="P32" s="7"/>
      <c r="Q32" s="25"/>
      <c r="R32" s="25"/>
      <c r="S32" s="37">
        <f>SUM(U32:U32)/IF(AG32="EC",12,1)</f>
        <v>1</v>
      </c>
      <c r="T32" s="52" t="str">
        <f>IF(ISEVEN(LEFT(AD32,4)),"Southbound","NorthBound")</f>
        <v>Southbound</v>
      </c>
      <c r="U32" s="159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02" t="str">
        <f>"https://search-rtdc-monitor-bjffxe2xuh6vdkpspy63sjmuny.us-east-1.es.amazonaws.com/_plugin/kibana/#/discover/Steve-Slow-Train-Analysis-(2080s-and-2083s)?_g=(refreshInterval:(display:Off,section:0,value:0),time:(from:'"&amp;TEXT(E32-1/24,"yyyy-MM-DD hh:mm:ss")&amp;"-0600',mode:absolute,to:'"&amp;TEXT(I32+1/24,"yyyy-MM-DD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32&amp;"%22')),sort:!(Time,asc))"</f>
        <v>https://search-rtdc-monitor-bjffxe2xuh6vdkpspy63sjmuny.us-east-1.es.amazonaws.com/_plugin/kibana/#/discover/Steve-Slow-Train-Analysis-(2080s-and-2083s)?_g=(refreshInterval:(display:Off,section:0,value:0),time:(from:'2016-10-04 05:40:24-0600',mode:absolute,to:'2016-10-04 08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32" s="54" t="str">
        <f>IF(AA32&lt;IF(AG32="EC",23,5.65),"Y","N")</f>
        <v>N</v>
      </c>
      <c r="X32" s="164">
        <f>VALUE(LEFT(AD32,4))-VALUE(LEFT(AD31,4))</f>
        <v>1</v>
      </c>
      <c r="Y32" s="69">
        <f>RIGHT(D32,LEN(D32)-4)/10000</f>
        <v>23.3002</v>
      </c>
      <c r="Z32" s="69">
        <f>RIGHT(H32,LEN(H32)-4)/10000</f>
        <v>1.7399999999999999E-2</v>
      </c>
      <c r="AA32" s="69">
        <f>ABS(Z32-Y32)</f>
        <v>23.282800000000002</v>
      </c>
      <c r="AB32" s="66" t="e">
        <f>VLOOKUP(A32,Enforcements!$C$7:$K$21,8,0)</f>
        <v>#N/A</v>
      </c>
      <c r="AC32" s="62" t="e">
        <f>VLOOKUP(A32,Enforcements!$C$7:$E$21,3,0)</f>
        <v>#N/A</v>
      </c>
      <c r="AD32" s="63" t="str">
        <f>IF(LEN(A32)=6,"0"&amp;A32,A32)</f>
        <v>0120-04</v>
      </c>
      <c r="AE32" s="9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s3://rtdc.mdm.uploadarchive.raw/RTDC4030/ "%USERPROFILE%\AppData\Local\Temp\OnboardLogs"\RTDC4030\2016-10-04 --exclude "*" --recursive --include "*20161004*" &amp; "%USERPROFILE%\Documents\GitHub\mrs-test-scripts\Headless Mode &amp; Sideloading\WalkAndUnGZ.bat" "%USERPROFILE%\AppData\Local\Temp\OnboardLogs"\RTDC4030\2016-10-04 &amp; aws s3 cp s3://rtdc.mdm.uploadarchive.raw/RTDC4030/ "%USERPROFILE%\AppData\Local\Temp\OnboardLogs"\RTDC4030\2016-10-05 --exclude "*" --recursive --include "*20161005*" &amp; "%USERPROFILE%\Documents\GitHub\mrs-test-scripts\Headless Mode &amp; Sideloading\WalkAndUnGZ.bat" "%USERPROFILE%\AppData\Local\Temp\OnboardLogs"\RTDC4030\2016-10-05</v>
      </c>
      <c r="AF32" s="92" t="str">
        <f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/stypes="app*4030*20161004*" /stext=" 13:.+((SYSTEM_STATE.+slice.+state.+changed )|(ment ac)|(system.+state.+changed )|(\[timeout)|(PRM\|1\|D)|(kpr)|(kdp)|(\|lc)|(penalty))" /e /r /s</v>
      </c>
      <c r="AG32" s="1" t="str">
        <f>IFERROR(IF(VALUE(LEFT(AD32,2))&lt;=2,"EC",IF(OR(VALUE(LEFT(AD32,2))=8,VALUE(LEFT(AD32,2))=18),"NW","Other")),"Other")</f>
        <v>EC</v>
      </c>
      <c r="AH32" s="96" t="str">
        <f t="shared" si="2"/>
        <v>"%USERPROFILE%\Documents\GitHub\eaglep3\Utilities\RefineRTDCRunTimes.py" --tripid 120-04 --locoid 4030 --swversion DE.1.0.7.0 --startMP 204:233002 --initTime 2016-10-04T06:40:24 --startdatetime 2016-10-04T06:56:19 --delay 1 --endMP 204:174 --enddatetime 2016-10-04T07:36:56 --enforcementcount 0 &gt;&gt;C:\Users\stu\Documents\GitHub\eaglep3-reporting\EC\2016-10-04-refined-times.txt</v>
      </c>
      <c r="AI32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{"issue":{"subject":"","project_id":79,"tracker_id":40,"status_id":1,"priority_id":2,"assigned_to_id":23,"start_date":"2016-10-04","description":"","custom_fields":[{"id":1,"name":"Subdivision","value":"EC"},{"id":4,"name":"Milepost","value":"0.0174"},{"id":17,"name":"Train ID","value":"120-04"},{"id":16,"name":"Locomotive ID","value":"4030"},{"id":130,"name":"Impact","value":""},{"id":150,"name":"Time of Event (Mountain Time)","value":"07:36:56"},{"id":151,"name":"Denver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5"/>
      <c r="AK32" s="55"/>
      <c r="AL32" s="55"/>
    </row>
    <row r="33" spans="1:38" s="1" customFormat="1" x14ac:dyDescent="0.25">
      <c r="A33" s="39" t="s">
        <v>393</v>
      </c>
      <c r="B33" s="7">
        <v>4025</v>
      </c>
      <c r="C33" s="24" t="s">
        <v>106</v>
      </c>
      <c r="D33" s="24" t="s">
        <v>200</v>
      </c>
      <c r="E33" s="15">
        <v>42647.257777777777</v>
      </c>
      <c r="F33" s="15">
        <v>42647.260613425926</v>
      </c>
      <c r="G33" s="7">
        <v>1</v>
      </c>
      <c r="H33" s="15" t="s">
        <v>615</v>
      </c>
      <c r="I33" s="15">
        <v>42647.285775462966</v>
      </c>
      <c r="J33" s="7">
        <v>0</v>
      </c>
      <c r="K33" s="117" t="str">
        <f>IF(ISEVEN(B33),(B33-1)&amp;"/"&amp;B33,B33&amp;"/"&amp;(B33+1))</f>
        <v>4025/4026</v>
      </c>
      <c r="L33" s="24" t="str">
        <f>VLOOKUP(A33,'Trips&amp;Operators'!$C$1:$E$10000,3,FALSE)</f>
        <v>SPECTOR</v>
      </c>
      <c r="M33" s="6">
        <f>I33-F33</f>
        <v>2.5162037039990537E-2</v>
      </c>
      <c r="N33" s="7">
        <f>24*60*SUM($M33:$M33)</f>
        <v>36.233333337586373</v>
      </c>
      <c r="O33" s="7"/>
      <c r="P33" s="7"/>
      <c r="Q33" s="25"/>
      <c r="R33" s="25"/>
      <c r="S33" s="37">
        <f>SUM(U33:U33)/IF(AG33="EC",12,1)</f>
        <v>1</v>
      </c>
      <c r="T33" s="52" t="str">
        <f>IF(ISEVEN(LEFT(AD33,4)),"Southbound","NorthBound")</f>
        <v>NorthBound</v>
      </c>
      <c r="U33" s="159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02" t="str">
        <f>"https://search-rtdc-monitor-bjffxe2xuh6vdkpspy63sjmuny.us-east-1.es.amazonaws.com/_plugin/kibana/#/discover/Steve-Slow-Train-Analysis-(2080s-and-2083s)?_g=(refreshInterval:(display:Off,section:0,value:0),time:(from:'"&amp;TEXT(E33-1/24,"yyyy-MM-DD hh:mm:ss")&amp;"-0600',mode:absolute,to:'"&amp;TEXT(I33+1/24,"yyyy-MM-DD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33&amp;"%22')),sort:!(Time,asc))"</f>
        <v>https://search-rtdc-monitor-bjffxe2xuh6vdkpspy63sjmuny.us-east-1.es.amazonaws.com/_plugin/kibana/#/discover/Steve-Slow-Train-Analysis-(2080s-and-2083s)?_g=(refreshInterval:(display:Off,section:0,value:0),time:(from:'2016-10-04 05:11:12-0600',mode:absolute,to:'2016-10-04 07:51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33" s="54" t="str">
        <f>IF(AA33&lt;IF(AG33="EC",23,5.65),"Y","N")</f>
        <v>N</v>
      </c>
      <c r="X33" s="164">
        <f>VALUE(LEFT(AD33,4))-VALUE(LEFT(AD32,4))</f>
        <v>1</v>
      </c>
      <c r="Y33" s="69">
        <f>RIGHT(D33,LEN(D33)-4)/10000</f>
        <v>4.5699999999999998E-2</v>
      </c>
      <c r="Z33" s="69">
        <f>RIGHT(H33,LEN(H33)-4)/10000</f>
        <v>23.3324</v>
      </c>
      <c r="AA33" s="69">
        <f>ABS(Z33-Y33)</f>
        <v>23.2867</v>
      </c>
      <c r="AB33" s="66" t="e">
        <f>VLOOKUP(A33,Enforcements!$C$7:$K$21,8,0)</f>
        <v>#N/A</v>
      </c>
      <c r="AC33" s="62" t="e">
        <f>VLOOKUP(A33,Enforcements!$C$7:$E$21,3,0)</f>
        <v>#N/A</v>
      </c>
      <c r="AD33" s="63" t="str">
        <f>IF(LEN(A33)=6,"0"&amp;A33,A33)</f>
        <v>0121-04</v>
      </c>
      <c r="AE33" s="9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s3://rtdc.mdm.uploadarchive.raw/RTDC4025/ "%USERPROFILE%\AppData\Local\Temp\OnboardLogs"\RTDC4025\2016-10-04 --exclude "*" --recursive --include "*20161004*" &amp; "%USERPROFILE%\Documents\GitHub\mrs-test-scripts\Headless Mode &amp; Sideloading\WalkAndUnGZ.bat" "%USERPROFILE%\AppData\Local\Temp\OnboardLogs"\RTDC4025\2016-10-04 &amp; aws s3 cp s3://rtdc.mdm.uploadarchive.raw/RTDC4025/ "%USERPROFILE%\AppData\Local\Temp\OnboardLogs"\RTDC4025\2016-10-05 --exclude "*" --recursive --include "*20161005*" &amp; "%USERPROFILE%\Documents\GitHub\mrs-test-scripts\Headless Mode &amp; Sideloading\WalkAndUnGZ.bat" "%USERPROFILE%\AppData\Local\Temp\OnboardLogs"\RTDC4025\2016-10-05</v>
      </c>
      <c r="AF33" s="92" t="str">
        <f>astrogrep_path&amp;" /spath="&amp;search_path&amp;" /stypes=""app*"&amp;B33&amp;"*"&amp;TEXT(I33-utc_offset/24,"YYYYMMDD")&amp;"*"" /stext="" "&amp;TEXT(I33-utc_offset/24,"HH")&amp;search_regexp&amp;""" /e /r /s"</f>
        <v>"C:\Program Files (x86)\AstroGrep\AstroGrep.exe" /spath="%USERPROFILE%\AppData\Local\Temp\OnboardLogs" /stypes="app*4025*20161004*" /stext=" 12:.+((SYSTEM_STATE.+slice.+state.+changed )|(ment ac)|(system.+state.+changed )|(\[timeout)|(PRM\|1\|D)|(kpr)|(kdp)|(\|lc)|(penalty))" /e /r /s</v>
      </c>
      <c r="AG33" s="1" t="str">
        <f>IFERROR(IF(VALUE(LEFT(AD33,2))&lt;=2,"EC",IF(OR(VALUE(LEFT(AD33,2))=8,VALUE(LEFT(AD33,2))=18),"NW","Other")),"Other")</f>
        <v>EC</v>
      </c>
      <c r="AH33" s="96" t="str">
        <f t="shared" si="2"/>
        <v>"%USERPROFILE%\Documents\GitHub\eaglep3\Utilities\RefineRTDCRunTimes.py" --tripid 121-04 --locoid 4025 --swversion DE.1.0.7.0 --startMP 204:457 --initTime 2016-10-04T06:11:12 --startdatetime 2016-10-04T06:15:17 --delay 1 --endMP 204:233324 --enddatetime 2016-10-04T06:51:31 --enforcementcount 0 &gt;&gt;C:\Users\stu\Documents\GitHub\eaglep3-reporting\EC\2016-10-04-refined-times.txt</v>
      </c>
      <c r="AI33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{"issue":{"subject":"","project_id":79,"tracker_id":40,"status_id":1,"priority_id":2,"assigned_to_id":23,"start_date":"2016-10-04","description":"","custom_fields":[{"id":1,"name":"Subdivision","value":"EC"},{"id":4,"name":"Milepost","value":"23.3324"},{"id":17,"name":"Train ID","value":"121-04"},{"id":16,"name":"Locomotive ID","value":"4025"},{"id":130,"name":"Impact","value":""},{"id":150,"name":"Time of Event (Mountain Time)","value":"06:51:31"},{"id":151,"name":"Denver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5"/>
      <c r="AK33" s="55"/>
      <c r="AL33" s="55"/>
    </row>
    <row r="34" spans="1:38" s="1" customFormat="1" x14ac:dyDescent="0.25">
      <c r="A34" s="39" t="s">
        <v>404</v>
      </c>
      <c r="B34" s="7">
        <v>4026</v>
      </c>
      <c r="C34" s="24" t="s">
        <v>106</v>
      </c>
      <c r="D34" s="24" t="s">
        <v>258</v>
      </c>
      <c r="E34" s="15">
        <v>42647.293888888889</v>
      </c>
      <c r="F34" s="15">
        <v>42647.294803240744</v>
      </c>
      <c r="G34" s="7">
        <v>1</v>
      </c>
      <c r="H34" s="15" t="s">
        <v>616</v>
      </c>
      <c r="I34" s="15">
        <v>42647.314016203702</v>
      </c>
      <c r="J34" s="7">
        <v>0</v>
      </c>
      <c r="K34" s="117" t="str">
        <f>IF(ISEVEN(B34),(B34-1)&amp;"/"&amp;B34,B34&amp;"/"&amp;(B34+1))</f>
        <v>4025/4026</v>
      </c>
      <c r="L34" s="24" t="str">
        <f>VLOOKUP(A34,'Trips&amp;Operators'!$C$1:$E$10000,3,FALSE)</f>
        <v>SPECTOR</v>
      </c>
      <c r="M34" s="6">
        <f>I34-F34</f>
        <v>1.9212962957681157E-2</v>
      </c>
      <c r="N34" s="7"/>
      <c r="O34" s="7"/>
      <c r="P34" s="7">
        <f>24*60*SUM($M34:$M35)</f>
        <v>48.916666660225019</v>
      </c>
      <c r="Q34" s="25"/>
      <c r="R34" s="25" t="s">
        <v>785</v>
      </c>
      <c r="S34" s="37">
        <f>SUM(U34:U35)/IF(AG34="EC",12,1)</f>
        <v>0.83333333333333337</v>
      </c>
      <c r="T34" s="52" t="str">
        <f>IF(ISEVEN(LEFT(AD34,4)),"Southbound","NorthBound")</f>
        <v>Southbound</v>
      </c>
      <c r="U34" s="159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0</v>
      </c>
      <c r="V34" s="102" t="str">
        <f>"https://search-rtdc-monitor-bjffxe2xuh6vdkpspy63sjmuny.us-east-1.es.amazonaws.com/_plugin/kibana/#/discover/Steve-Slow-Train-Analysis-(2080s-and-2083s)?_g=(refreshInterval:(display:Off,section:0,value:0),time:(from:'"&amp;TEXT(E34-1/24,"yyyy-MM-DD hh:mm:ss")&amp;"-0600',mode:absolute,to:'"&amp;TEXT(I34+1/24,"yyyy-MM-DD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34&amp;"%22')),sort:!(Time,asc))"</f>
        <v>https://search-rtdc-monitor-bjffxe2xuh6vdkpspy63sjmuny.us-east-1.es.amazonaws.com/_plugin/kibana/#/discover/Steve-Slow-Train-Analysis-(2080s-and-2083s)?_g=(refreshInterval:(display:Off,section:0,value:0),time:(from:'2016-10-04 06:03:12-0600',mode:absolute,to:'2016-10-04 08:32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4" s="54" t="str">
        <f>IF(AA34&lt;IF(AG34="EC",23,5.65),"Y","N")</f>
        <v>Y</v>
      </c>
      <c r="X34" s="164">
        <f>VALUE(LEFT(AD34,4))-VALUE(LEFT(AD33,4))</f>
        <v>1</v>
      </c>
      <c r="Y34" s="69">
        <f>RIGHT(D34,LEN(D34)-4)/10000</f>
        <v>23.299600000000002</v>
      </c>
      <c r="Z34" s="69">
        <f>RIGHT(H34,LEN(H34)-4)/10000</f>
        <v>11.1662</v>
      </c>
      <c r="AA34" s="69">
        <f>ABS(Z34-Y34)</f>
        <v>12.133400000000002</v>
      </c>
      <c r="AB34" s="66" t="e">
        <f>VLOOKUP(A34,Enforcements!$C$7:$K$21,8,0)</f>
        <v>#N/A</v>
      </c>
      <c r="AC34" s="62" t="e">
        <f>VLOOKUP(A34,Enforcements!$C$7:$E$21,3,0)</f>
        <v>#N/A</v>
      </c>
      <c r="AD34" s="63" t="str">
        <f>IF(LEN(A34)=6,"0"&amp;A34,A34)</f>
        <v>0122-04</v>
      </c>
      <c r="AE34" s="9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s3://rtdc.mdm.uploadarchive.raw/RTDC4026/ "%USERPROFILE%\AppData\Local\Temp\OnboardLogs"\RTDC4026\2016-10-04 --exclude "*" --recursive --include "*20161004*" &amp; "%USERPROFILE%\Documents\GitHub\mrs-test-scripts\Headless Mode &amp; Sideloading\WalkAndUnGZ.bat" "%USERPROFILE%\AppData\Local\Temp\OnboardLogs"\RTDC4026\2016-10-04 &amp; aws s3 cp s3://rtdc.mdm.uploadarchive.raw/RTDC4026/ "%USERPROFILE%\AppData\Local\Temp\OnboardLogs"\RTDC4026\2016-10-05 --exclude "*" --recursive --include "*20161005*" &amp; "%USERPROFILE%\Documents\GitHub\mrs-test-scripts\Headless Mode &amp; Sideloading\WalkAndUnGZ.bat" "%USERPROFILE%\AppData\Local\Temp\OnboardLogs"\RTDC4026\2016-10-05</v>
      </c>
      <c r="AF34" s="92" t="str">
        <f>astrogrep_path&amp;" /spath="&amp;search_path&amp;" /stypes=""app*"&amp;B34&amp;"*"&amp;TEXT(I34-utc_offset/24,"YYYYMMDD")&amp;"*"" /stext="" "&amp;TEXT(I34-utc_offset/24,"HH")&amp;search_regexp&amp;""" /e /r /s"</f>
        <v>"C:\Program Files (x86)\AstroGrep\AstroGrep.exe" /spath="%USERPROFILE%\AppData\Local\Temp\OnboardLogs" /stypes="app*4026*20161004*" /stext=" 13:.+((SYSTEM_STATE.+slice.+state.+changed )|(ment ac)|(system.+state.+changed )|(\[timeout)|(PRM\|1\|D)|(kpr)|(kdp)|(\|lc)|(penalty))" /e /r /s</v>
      </c>
      <c r="AG34" s="1" t="str">
        <f>IFERROR(IF(VALUE(LEFT(AD34,2))&lt;=2,"EC",IF(OR(VALUE(LEFT(AD34,2))=8,VALUE(LEFT(AD34,2))=18),"NW","Other")),"Other")</f>
        <v>EC</v>
      </c>
      <c r="AH34" s="96" t="str">
        <f t="shared" si="2"/>
        <v>"%USERPROFILE%\Documents\GitHub\eaglep3\Utilities\RefineRTDCRunTimes.py" --tripid 122-04 --locoid 4026 --swversion DE.1.0.7.0 --startMP 204:232996 --initTime 2016-10-04T07:03:12 --startdatetime 2016-10-04T07:04:31 --delay 1 --endMP 204:111662 --enddatetime 2016-10-04T07:32:11 --enforcementcount 0 &gt;&gt;C:\Users\stu\Documents\GitHub\eaglep3-reporting\EC\2016-10-04-refined-times.txt</v>
      </c>
      <c r="AI34" s="130" t="str">
        <f t="shared" si="3"/>
        <v>echo {"issue":{"subject":"Chambers 2S stuck at STOP - didn't clear until 7 min after request - link failure?","project_id":79,"tracker_id":40,"status_id":1,"priority_id":2,"assigned_to_id":23,"start_date":"2016-10-04","description":"At 07:29:51.960, Chambers 2S received a clear request. Did not clear until 07:37:23.773. Was something wrong with the location, or does it look more like dispatcher error?","custom_fields":[{"id":1,"name":"Subdivision","value":"EC"},{"id":4,"name":"Milepost","value":"11.1662"},{"id":17,"name":"Train ID","value":"122-04"},{"id":16,"name":"Locomotive ID","value":"4026"},{"id":130,"name":"Impact","value":"Unexpected Cut-Out or Disengaged"},{"id":150,"name":"Time of Event (Mountain Time)","value":"07:32:11"},{"id":151,"name":"Denver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34" s="55" t="s">
        <v>784</v>
      </c>
      <c r="AK34" s="55" t="s">
        <v>140</v>
      </c>
      <c r="AL34" s="55" t="s">
        <v>139</v>
      </c>
    </row>
    <row r="35" spans="1:38" s="1" customFormat="1" x14ac:dyDescent="0.25">
      <c r="A35" s="39" t="s">
        <v>404</v>
      </c>
      <c r="B35" s="7">
        <v>4026</v>
      </c>
      <c r="C35" s="24" t="s">
        <v>106</v>
      </c>
      <c r="D35" s="24" t="s">
        <v>617</v>
      </c>
      <c r="E35" s="15">
        <v>42647.319351851853</v>
      </c>
      <c r="F35" s="15">
        <v>42647.320439814815</v>
      </c>
      <c r="G35" s="7">
        <v>1</v>
      </c>
      <c r="H35" s="15" t="s">
        <v>197</v>
      </c>
      <c r="I35" s="15">
        <v>42647.335196759261</v>
      </c>
      <c r="J35" s="7">
        <v>0</v>
      </c>
      <c r="K35" s="117" t="str">
        <f>IF(ISEVEN(B35),(B35-1)&amp;"/"&amp;B35,B35&amp;"/"&amp;(B35+1))</f>
        <v>4025/4026</v>
      </c>
      <c r="L35" s="24" t="str">
        <f>VLOOKUP(A35,'Trips&amp;Operators'!$C$1:$E$10000,3,FALSE)</f>
        <v>SPECTOR</v>
      </c>
      <c r="M35" s="6">
        <f>I35-F35</f>
        <v>1.4756944445252884E-2</v>
      </c>
      <c r="N35" s="7"/>
      <c r="O35" s="7"/>
      <c r="P35" s="7"/>
      <c r="Q35" s="25"/>
      <c r="R35" s="25"/>
      <c r="S35" s="37"/>
      <c r="T35" s="52" t="str">
        <f>IF(ISEVEN(LEFT(AD35,4)),"Southbound","NorthBound")</f>
        <v>Southbound</v>
      </c>
      <c r="U35" s="159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10</v>
      </c>
      <c r="V35" s="102" t="str">
        <f>"https://search-rtdc-monitor-bjffxe2xuh6vdkpspy63sjmuny.us-east-1.es.amazonaws.com/_plugin/kibana/#/discover/Steve-Slow-Train-Analysis-(2080s-and-2083s)?_g=(refreshInterval:(display:Off,section:0,value:0),time:(from:'"&amp;TEXT(E35-1/24,"yyyy-MM-DD hh:mm:ss")&amp;"-0600',mode:absolute,to:'"&amp;TEXT(I35+1/24,"yyyy-MM-DD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35&amp;"%22')),sort:!(Time,asc))"</f>
        <v>https://search-rtdc-monitor-bjffxe2xuh6vdkpspy63sjmuny.us-east-1.es.amazonaws.com/_plugin/kibana/#/discover/Steve-Slow-Train-Analysis-(2080s-and-2083s)?_g=(refreshInterval:(display:Off,section:0,value:0),time:(from:'2016-10-04 06:39:52-0600',mode:absolute,to:'2016-10-04 09:02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5" s="54" t="str">
        <f>IF(AA35&lt;IF(AG35="EC",23,5.65),"Y","N")</f>
        <v>Y</v>
      </c>
      <c r="X35" s="164">
        <f>VALUE(LEFT(AD35,4))-VALUE(LEFT(AD34,4))</f>
        <v>0</v>
      </c>
      <c r="Y35" s="69">
        <f>RIGHT(D35,LEN(D35)-4)/10000</f>
        <v>8.6351999999999993</v>
      </c>
      <c r="Z35" s="69">
        <f>RIGHT(H35,LEN(H35)-4)/10000</f>
        <v>1.4999999999999999E-2</v>
      </c>
      <c r="AA35" s="69">
        <f>ABS(Z35-Y35)</f>
        <v>8.6201999999999988</v>
      </c>
      <c r="AB35" s="66" t="e">
        <f>VLOOKUP(A35,Enforcements!$C$7:$K$21,8,0)</f>
        <v>#N/A</v>
      </c>
      <c r="AC35" s="62" t="e">
        <f>VLOOKUP(A35,Enforcements!$C$7:$E$21,3,0)</f>
        <v>#N/A</v>
      </c>
      <c r="AD35" s="63" t="str">
        <f>IF(LEN(A35)=6,"0"&amp;A35,A35)</f>
        <v>0122-04</v>
      </c>
      <c r="AE35" s="9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s3://rtdc.mdm.uploadarchive.raw/RTDC4026/ "%USERPROFILE%\AppData\Local\Temp\OnboardLogs"\RTDC4026\2016-10-04 --exclude "*" --recursive --include "*20161004*" &amp; "%USERPROFILE%\Documents\GitHub\mrs-test-scripts\Headless Mode &amp; Sideloading\WalkAndUnGZ.bat" "%USERPROFILE%\AppData\Local\Temp\OnboardLogs"\RTDC4026\2016-10-04 &amp; aws s3 cp s3://rtdc.mdm.uploadarchive.raw/RTDC4026/ "%USERPROFILE%\AppData\Local\Temp\OnboardLogs"\RTDC4026\2016-10-05 --exclude "*" --recursive --include "*20161005*" &amp; "%USERPROFILE%\Documents\GitHub\mrs-test-scripts\Headless Mode &amp; Sideloading\WalkAndUnGZ.bat" "%USERPROFILE%\AppData\Local\Temp\OnboardLogs"\RTDC4026\2016-10-05</v>
      </c>
      <c r="AF35" s="92" t="str">
        <f>astrogrep_path&amp;" /spath="&amp;search_path&amp;" /stypes=""app*"&amp;B35&amp;"*"&amp;TEXT(I35-utc_offset/24,"YYYYMMDD")&amp;"*"" /stext="" "&amp;TEXT(I35-utc_offset/24,"HH")&amp;search_regexp&amp;""" /e /r /s"</f>
        <v>"C:\Program Files (x86)\AstroGrep\AstroGrep.exe" /spath="%USERPROFILE%\AppData\Local\Temp\OnboardLogs" /stypes="app*4026*20161004*" /stext=" 14:.+((SYSTEM_STATE.+slice.+state.+changed )|(ment ac)|(system.+state.+changed )|(\[timeout)|(PRM\|1\|D)|(kpr)|(kdp)|(\|lc)|(penalty))" /e /r /s</v>
      </c>
      <c r="AG35" s="1" t="str">
        <f>IFERROR(IF(VALUE(LEFT(AD35,2))&lt;=2,"EC",IF(OR(VALUE(LEFT(AD35,2))=8,VALUE(LEFT(AD35,2))=18),"NW","Other")),"Other")</f>
        <v>EC</v>
      </c>
      <c r="AH35" s="96" t="str">
        <f t="shared" si="2"/>
        <v>"%USERPROFILE%\Documents\GitHub\eaglep3\Utilities\RefineRTDCRunTimes.py" --tripid 122-04 --locoid 4026 --swversion DE.1.0.7.0 --startMP 204:86352 --initTime 2016-10-04T07:39:52 --startdatetime 2016-10-04T07:41:26 --delay 1 --endMP 204:150 --enddatetime 2016-10-04T08:02:41 --enforcementcount 0 &gt;&gt;C:\Users\stu\Documents\GitHub\eaglep3-reporting\EC\2016-10-04-refined-times.txt</v>
      </c>
      <c r="AI35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{"issue":{"subject":"","project_id":79,"tracker_id":40,"status_id":1,"priority_id":2,"assigned_to_id":23,"start_date":"2016-10-04","description":"","custom_fields":[{"id":1,"name":"Subdivision","value":"EC"},{"id":4,"name":"Milepost","value":"0.015"},{"id":17,"name":"Train ID","value":"122-04"},{"id":16,"name":"Locomotive ID","value":"4026"},{"id":130,"name":"Impact","value":""},{"id":150,"name":"Time of Event (Mountain Time)","value":"08:02:41"},{"id":151,"name":"Denver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5"/>
      <c r="AK35" s="55"/>
      <c r="AL35" s="55"/>
    </row>
    <row r="36" spans="1:38" s="1" customFormat="1" x14ac:dyDescent="0.25">
      <c r="A36" s="39" t="s">
        <v>397</v>
      </c>
      <c r="B36" s="7">
        <v>4031</v>
      </c>
      <c r="C36" s="24" t="s">
        <v>106</v>
      </c>
      <c r="D36" s="24" t="s">
        <v>204</v>
      </c>
      <c r="E36" s="15">
        <v>42647.268333333333</v>
      </c>
      <c r="F36" s="15">
        <v>42647.271006944444</v>
      </c>
      <c r="G36" s="7">
        <v>1</v>
      </c>
      <c r="H36" s="15" t="s">
        <v>264</v>
      </c>
      <c r="I36" s="15">
        <v>42647.2971412037</v>
      </c>
      <c r="J36" s="7">
        <v>0</v>
      </c>
      <c r="K36" s="117" t="str">
        <f>IF(ISEVEN(B36),(B36-1)&amp;"/"&amp;B36,B36&amp;"/"&amp;(B36+1))</f>
        <v>4031/4032</v>
      </c>
      <c r="L36" s="24" t="str">
        <f>VLOOKUP(A36,'Trips&amp;Operators'!$C$1:$E$10000,3,FALSE)</f>
        <v>DAVIS</v>
      </c>
      <c r="M36" s="6">
        <f>I36-F36</f>
        <v>2.6134259256650694E-2</v>
      </c>
      <c r="N36" s="7">
        <f>24*60*SUM($M36:$M36)</f>
        <v>37.633333329576999</v>
      </c>
      <c r="O36" s="7"/>
      <c r="P36" s="7"/>
      <c r="Q36" s="25"/>
      <c r="R36" s="25"/>
      <c r="S36" s="37">
        <f>SUM(U36:U36)/IF(AG36="EC",12,1)</f>
        <v>1</v>
      </c>
      <c r="T36" s="52" t="str">
        <f>IF(ISEVEN(LEFT(AD36,4)),"Southbound","NorthBound")</f>
        <v>NorthBound</v>
      </c>
      <c r="U36" s="159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02" t="str">
        <f>"https://search-rtdc-monitor-bjffxe2xuh6vdkpspy63sjmuny.us-east-1.es.amazonaws.com/_plugin/kibana/#/discover/Steve-Slow-Train-Analysis-(2080s-and-2083s)?_g=(refreshInterval:(display:Off,section:0,value:0),time:(from:'"&amp;TEXT(E36-1/24,"yyyy-MM-DD hh:mm:ss")&amp;"-0600',mode:absolute,to:'"&amp;TEXT(I36+1/24,"yyyy-MM-DD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36&amp;"%22')),sort:!(Time,asc))"</f>
        <v>https://search-rtdc-monitor-bjffxe2xuh6vdkpspy63sjmuny.us-east-1.es.amazonaws.com/_plugin/kibana/#/discover/Steve-Slow-Train-Analysis-(2080s-and-2083s)?_g=(refreshInterval:(display:Off,section:0,value:0),time:(from:'2016-10-04 05:26:24-0600',mode:absolute,to:'2016-10-04 08:07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6" s="54" t="str">
        <f>IF(AA36&lt;IF(AG36="EC",23,5.65),"Y","N")</f>
        <v>N</v>
      </c>
      <c r="X36" s="164">
        <f>VALUE(LEFT(AD36,4))-VALUE(LEFT(AD35,4))</f>
        <v>1</v>
      </c>
      <c r="Y36" s="69">
        <f>RIGHT(D36,LEN(D36)-4)/10000</f>
        <v>4.58E-2</v>
      </c>
      <c r="Z36" s="69">
        <f>RIGHT(H36,LEN(H36)-4)/10000</f>
        <v>23.3306</v>
      </c>
      <c r="AA36" s="69">
        <f>ABS(Z36-Y36)</f>
        <v>23.284800000000001</v>
      </c>
      <c r="AB36" s="66" t="e">
        <f>VLOOKUP(A36,Enforcements!$C$7:$K$21,8,0)</f>
        <v>#N/A</v>
      </c>
      <c r="AC36" s="62" t="e">
        <f>VLOOKUP(A36,Enforcements!$C$7:$E$21,3,0)</f>
        <v>#N/A</v>
      </c>
      <c r="AD36" s="63" t="str">
        <f>IF(LEN(A36)=6,"0"&amp;A36,A36)</f>
        <v>0123-04</v>
      </c>
      <c r="AE36" s="9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s3://rtdc.mdm.uploadarchive.raw/RTDC4031/ "%USERPROFILE%\AppData\Local\Temp\OnboardLogs"\RTDC4031\2016-10-04 --exclude "*" --recursive --include "*20161004*" &amp; "%USERPROFILE%\Documents\GitHub\mrs-test-scripts\Headless Mode &amp; Sideloading\WalkAndUnGZ.bat" "%USERPROFILE%\AppData\Local\Temp\OnboardLogs"\RTDC4031\2016-10-04 &amp; aws s3 cp s3://rtdc.mdm.uploadarchive.raw/RTDC4031/ "%USERPROFILE%\AppData\Local\Temp\OnboardLogs"\RTDC4031\2016-10-05 --exclude "*" --recursive --include "*20161005*" &amp; "%USERPROFILE%\Documents\GitHub\mrs-test-scripts\Headless Mode &amp; Sideloading\WalkAndUnGZ.bat" "%USERPROFILE%\AppData\Local\Temp\OnboardLogs"\RTDC4031\2016-10-05</v>
      </c>
      <c r="AF36" s="92" t="str">
        <f>astrogrep_path&amp;" /spath="&amp;search_path&amp;" /stypes=""app*"&amp;B36&amp;"*"&amp;TEXT(I36-utc_offset/24,"YYYYMMDD")&amp;"*"" /stext="" "&amp;TEXT(I36-utc_offset/24,"HH")&amp;search_regexp&amp;""" /e /r /s"</f>
        <v>"C:\Program Files (x86)\AstroGrep\AstroGrep.exe" /spath="%USERPROFILE%\AppData\Local\Temp\OnboardLogs" /stypes="app*4031*20161004*" /stext=" 13:.+((SYSTEM_STATE.+slice.+state.+changed )|(ment ac)|(system.+state.+changed )|(\[timeout)|(PRM\|1\|D)|(kpr)|(kdp)|(\|lc)|(penalty))" /e /r /s</v>
      </c>
      <c r="AG36" s="1" t="str">
        <f>IFERROR(IF(VALUE(LEFT(AD36,2))&lt;=2,"EC",IF(OR(VALUE(LEFT(AD36,2))=8,VALUE(LEFT(AD36,2))=18),"NW","Other")),"Other")</f>
        <v>EC</v>
      </c>
      <c r="AH36" s="96" t="str">
        <f t="shared" si="2"/>
        <v>"%USERPROFILE%\Documents\GitHub\eaglep3\Utilities\RefineRTDCRunTimes.py" --tripid 123-04 --locoid 4031 --swversion DE.1.0.7.0 --startMP 204:458 --initTime 2016-10-04T06:26:24 --startdatetime 2016-10-04T06:30:15 --delay 1 --endMP 204:233306 --enddatetime 2016-10-04T07:07:53 --enforcementcount 0 &gt;&gt;C:\Users\stu\Documents\GitHub\eaglep3-reporting\EC\2016-10-04-refined-times.txt</v>
      </c>
      <c r="AI36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{"issue":{"subject":"","project_id":79,"tracker_id":40,"status_id":1,"priority_id":2,"assigned_to_id":23,"start_date":"2016-10-04","description":"","custom_fields":[{"id":1,"name":"Subdivision","value":"EC"},{"id":4,"name":"Milepost","value":"23.3306"},{"id":17,"name":"Train ID","value":"123-04"},{"id":16,"name":"Locomotive ID","value":"4031"},{"id":130,"name":"Impact","value":""},{"id":150,"name":"Time of Event (Mountain Time)","value":"07:07:53"},{"id":151,"name":"Denver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5"/>
      <c r="AK36" s="55"/>
      <c r="AL36" s="55"/>
    </row>
    <row r="37" spans="1:38" s="1" customFormat="1" x14ac:dyDescent="0.25">
      <c r="A37" s="39" t="s">
        <v>407</v>
      </c>
      <c r="B37" s="7">
        <v>4032</v>
      </c>
      <c r="C37" s="24" t="s">
        <v>106</v>
      </c>
      <c r="D37" s="24" t="s">
        <v>258</v>
      </c>
      <c r="E37" s="15">
        <v>42647.303229166668</v>
      </c>
      <c r="F37" s="15">
        <v>42647.309918981482</v>
      </c>
      <c r="G37" s="7">
        <v>1</v>
      </c>
      <c r="H37" s="15" t="s">
        <v>126</v>
      </c>
      <c r="I37" s="15">
        <v>42647.337939814817</v>
      </c>
      <c r="J37" s="7">
        <v>0</v>
      </c>
      <c r="K37" s="117" t="str">
        <f>IF(ISEVEN(B37),(B37-1)&amp;"/"&amp;B37,B37&amp;"/"&amp;(B37+1))</f>
        <v>4031/4032</v>
      </c>
      <c r="L37" s="24" t="str">
        <f>VLOOKUP(A37,'Trips&amp;Operators'!$C$1:$E$10000,3,FALSE)</f>
        <v>DAVIS</v>
      </c>
      <c r="M37" s="6">
        <f>I37-F37</f>
        <v>2.8020833335176576E-2</v>
      </c>
      <c r="N37" s="7">
        <f>24*60*SUM($M37:$M37)</f>
        <v>40.350000002654269</v>
      </c>
      <c r="O37" s="7"/>
      <c r="P37" s="7"/>
      <c r="Q37" s="25"/>
      <c r="R37" s="25"/>
      <c r="S37" s="37">
        <f>SUM(U37:U37)/IF(AG37="EC",12,1)</f>
        <v>1</v>
      </c>
      <c r="T37" s="52" t="str">
        <f>IF(ISEVEN(LEFT(AD37,4)),"Southbound","NorthBound")</f>
        <v>Southbound</v>
      </c>
      <c r="U37" s="159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02" t="str">
        <f>"https://search-rtdc-monitor-bjffxe2xuh6vdkpspy63sjmuny.us-east-1.es.amazonaws.com/_plugin/kibana/#/discover/Steve-Slow-Train-Analysis-(2080s-and-2083s)?_g=(refreshInterval:(display:Off,section:0,value:0),time:(from:'"&amp;TEXT(E37-1/24,"yyyy-MM-DD hh:mm:ss")&amp;"-0600',mode:absolute,to:'"&amp;TEXT(I37+1/24,"yyyy-MM-DD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37&amp;"%22')),sort:!(Time,asc))"</f>
        <v>https://search-rtdc-monitor-bjffxe2xuh6vdkpspy63sjmuny.us-east-1.es.amazonaws.com/_plugin/kibana/#/discover/Steve-Slow-Train-Analysis-(2080s-and-2083s)?_g=(refreshInterval:(display:Off,section:0,value:0),time:(from:'2016-10-04 06:16:39-0600',mode:absolute,to:'2016-10-04 09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7" s="54" t="str">
        <f>IF(AA37&lt;IF(AG37="EC",23,5.65),"Y","N")</f>
        <v>N</v>
      </c>
      <c r="X37" s="164">
        <f>VALUE(LEFT(AD37,4))-VALUE(LEFT(AD36,4))</f>
        <v>1</v>
      </c>
      <c r="Y37" s="69">
        <f>RIGHT(D37,LEN(D37)-4)/10000</f>
        <v>23.299600000000002</v>
      </c>
      <c r="Z37" s="69">
        <f>RIGHT(H37,LEN(H37)-4)/10000</f>
        <v>1.54E-2</v>
      </c>
      <c r="AA37" s="69">
        <f>ABS(Z37-Y37)</f>
        <v>23.284200000000002</v>
      </c>
      <c r="AB37" s="66" t="e">
        <f>VLOOKUP(A37,Enforcements!$C$7:$K$21,8,0)</f>
        <v>#N/A</v>
      </c>
      <c r="AC37" s="62" t="e">
        <f>VLOOKUP(A37,Enforcements!$C$7:$E$21,3,0)</f>
        <v>#N/A</v>
      </c>
      <c r="AD37" s="63" t="str">
        <f>IF(LEN(A37)=6,"0"&amp;A37,A37)</f>
        <v>0124-04</v>
      </c>
      <c r="AE37" s="9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s3://rtdc.mdm.uploadarchive.raw/RTDC4032/ "%USERPROFILE%\AppData\Local\Temp\OnboardLogs"\RTDC4032\2016-10-04 --exclude "*" --recursive --include "*20161004*" &amp; "%USERPROFILE%\Documents\GitHub\mrs-test-scripts\Headless Mode &amp; Sideloading\WalkAndUnGZ.bat" "%USERPROFILE%\AppData\Local\Temp\OnboardLogs"\RTDC4032\2016-10-04 &amp; aws s3 cp s3://rtdc.mdm.uploadarchive.raw/RTDC4032/ "%USERPROFILE%\AppData\Local\Temp\OnboardLogs"\RTDC4032\2016-10-05 --exclude "*" --recursive --include "*20161005*" &amp; "%USERPROFILE%\Documents\GitHub\mrs-test-scripts\Headless Mode &amp; Sideloading\WalkAndUnGZ.bat" "%USERPROFILE%\AppData\Local\Temp\OnboardLogs"\RTDC4032\2016-10-05</v>
      </c>
      <c r="AF37" s="92" t="str">
        <f>astrogrep_path&amp;" /spath="&amp;search_path&amp;" /stypes=""app*"&amp;B37&amp;"*"&amp;TEXT(I37-utc_offset/24,"YYYYMMDD")&amp;"*"" /stext="" "&amp;TEXT(I37-utc_offset/24,"HH")&amp;search_regexp&amp;""" /e /r /s"</f>
        <v>"C:\Program Files (x86)\AstroGrep\AstroGrep.exe" /spath="%USERPROFILE%\AppData\Local\Temp\OnboardLogs" /stypes="app*4032*20161004*" /stext=" 14:.+((SYSTEM_STATE.+slice.+state.+changed )|(ment ac)|(system.+state.+changed )|(\[timeout)|(PRM\|1\|D)|(kpr)|(kdp)|(\|lc)|(penalty))" /e /r /s</v>
      </c>
      <c r="AG37" s="1" t="str">
        <f>IFERROR(IF(VALUE(LEFT(AD37,2))&lt;=2,"EC",IF(OR(VALUE(LEFT(AD37,2))=8,VALUE(LEFT(AD37,2))=18),"NW","Other")),"Other")</f>
        <v>EC</v>
      </c>
      <c r="AH37" s="96" t="str">
        <f t="shared" si="2"/>
        <v>"%USERPROFILE%\Documents\GitHub\eaglep3\Utilities\RefineRTDCRunTimes.py" --tripid 124-04 --locoid 4032 --swversion DE.1.0.7.0 --startMP 204:232996 --initTime 2016-10-04T07:16:39 --startdatetime 2016-10-04T07:26:17 --delay 1 --endMP 204:154 --enddatetime 2016-10-04T08:06:38 --enforcementcount 0 &gt;&gt;C:\Users\stu\Documents\GitHub\eaglep3-reporting\EC\2016-10-04-refined-times.txt</v>
      </c>
      <c r="AI37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{"issue":{"subject":"","project_id":79,"tracker_id":40,"status_id":1,"priority_id":2,"assigned_to_id":23,"start_date":"2016-10-04","description":"","custom_fields":[{"id":1,"name":"Subdivision","value":"EC"},{"id":4,"name":"Milepost","value":"0.0154"},{"id":17,"name":"Train ID","value":"124-04"},{"id":16,"name":"Locomotive ID","value":"4032"},{"id":130,"name":"Impact","value":""},{"id":150,"name":"Time of Event (Mountain Time)","value":"08:06:38"},{"id":151,"name":"Denver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5"/>
      <c r="AK37" s="55"/>
      <c r="AL37" s="55"/>
    </row>
    <row r="38" spans="1:38" s="1" customFormat="1" x14ac:dyDescent="0.25">
      <c r="A38" s="39" t="s">
        <v>400</v>
      </c>
      <c r="B38" s="7">
        <v>4053</v>
      </c>
      <c r="C38" s="24" t="s">
        <v>106</v>
      </c>
      <c r="D38" s="24" t="s">
        <v>322</v>
      </c>
      <c r="E38" s="15">
        <v>42647.277083333334</v>
      </c>
      <c r="F38" s="15">
        <v>42647.281481481485</v>
      </c>
      <c r="G38" s="7">
        <v>1</v>
      </c>
      <c r="H38" s="15" t="s">
        <v>618</v>
      </c>
      <c r="I38" s="15">
        <v>42647.307395833333</v>
      </c>
      <c r="J38" s="7">
        <v>0</v>
      </c>
      <c r="K38" s="117" t="str">
        <f>IF(ISEVEN(B38),(B38-1)&amp;"/"&amp;B38,B38&amp;"/"&amp;(B38+1))</f>
        <v>4053/4054</v>
      </c>
      <c r="L38" s="24" t="str">
        <f>VLOOKUP(A38,'Trips&amp;Operators'!$C$1:$E$10000,3,FALSE)</f>
        <v>GEBRETEKLE</v>
      </c>
      <c r="M38" s="6">
        <f>I38-F38</f>
        <v>2.5914351848769002E-2</v>
      </c>
      <c r="N38" s="7">
        <f>24*60*SUM($M38:$M38)</f>
        <v>37.316666662227362</v>
      </c>
      <c r="O38" s="7"/>
      <c r="P38" s="7"/>
      <c r="Q38" s="25"/>
      <c r="R38" s="25"/>
      <c r="S38" s="37">
        <f>SUM(U38:U38)/IF(AG38="EC",12,1)</f>
        <v>1</v>
      </c>
      <c r="T38" s="52" t="str">
        <f>IF(ISEVEN(LEFT(AD38,4)),"Southbound","NorthBound")</f>
        <v>NorthBound</v>
      </c>
      <c r="U38" s="159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02" t="str">
        <f>"https://search-rtdc-monitor-bjffxe2xuh6vdkpspy63sjmuny.us-east-1.es.amazonaws.com/_plugin/kibana/#/discover/Steve-Slow-Train-Analysis-(2080s-and-2083s)?_g=(refreshInterval:(display:Off,section:0,value:0),time:(from:'"&amp;TEXT(E38-1/24,"yyyy-MM-DD hh:mm:ss")&amp;"-0600',mode:absolute,to:'"&amp;TEXT(I38+1/24,"yyyy-MM-DD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38&amp;"%22')),sort:!(Time,asc))"</f>
        <v>https://search-rtdc-monitor-bjffxe2xuh6vdkpspy63sjmuny.us-east-1.es.amazonaws.com/_plugin/kibana/#/discover/Steve-Slow-Train-Analysis-(2080s-and-2083s)?_g=(refreshInterval:(display:Off,section:0,value:0),time:(from:'2016-10-04 05:39:00-0600',mode:absolute,to:'2016-10-04 08:22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38" s="54" t="str">
        <f>IF(AA38&lt;IF(AG38="EC",23,5.65),"Y","N")</f>
        <v>N</v>
      </c>
      <c r="X38" s="164">
        <f>VALUE(LEFT(AD38,4))-VALUE(LEFT(AD37,4))</f>
        <v>1</v>
      </c>
      <c r="Y38" s="69">
        <f>RIGHT(D38,LEN(D38)-4)/10000</f>
        <v>4.4600000000000001E-2</v>
      </c>
      <c r="Z38" s="69">
        <f>RIGHT(H38,LEN(H38)-4)/10000</f>
        <v>23.331099999999999</v>
      </c>
      <c r="AA38" s="69">
        <f>ABS(Z38-Y38)</f>
        <v>23.2865</v>
      </c>
      <c r="AB38" s="66" t="e">
        <f>VLOOKUP(A38,Enforcements!$C$7:$K$21,8,0)</f>
        <v>#N/A</v>
      </c>
      <c r="AC38" s="62" t="e">
        <f>VLOOKUP(A38,Enforcements!$C$7:$E$21,3,0)</f>
        <v>#N/A</v>
      </c>
      <c r="AD38" s="63" t="str">
        <f>IF(LEN(A38)=6,"0"&amp;A38,A38)</f>
        <v>0125-04</v>
      </c>
      <c r="AE38" s="9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s3://rtdc.mdm.uploadarchive.raw/RTDC4053/ "%USERPROFILE%\AppData\Local\Temp\OnboardLogs"\RTDC4053\2016-10-04 --exclude "*" --recursive --include "*20161004*" &amp; "%USERPROFILE%\Documents\GitHub\mrs-test-scripts\Headless Mode &amp; Sideloading\WalkAndUnGZ.bat" "%USERPROFILE%\AppData\Local\Temp\OnboardLogs"\RTDC4053\2016-10-04 &amp; aws s3 cp s3://rtdc.mdm.uploadarchive.raw/RTDC4053/ "%USERPROFILE%\AppData\Local\Temp\OnboardLogs"\RTDC4053\2016-10-05 --exclude "*" --recursive --include "*20161005*" &amp; "%USERPROFILE%\Documents\GitHub\mrs-test-scripts\Headless Mode &amp; Sideloading\WalkAndUnGZ.bat" "%USERPROFILE%\AppData\Local\Temp\OnboardLogs"\RTDC4053\2016-10-05</v>
      </c>
      <c r="AF38" s="92" t="str">
        <f>astrogrep_path&amp;" /spath="&amp;search_path&amp;" /stypes=""app*"&amp;B38&amp;"*"&amp;TEXT(I38-utc_offset/24,"YYYYMMDD")&amp;"*"" /stext="" "&amp;TEXT(I38-utc_offset/24,"HH")&amp;search_regexp&amp;""" /e /r /s"</f>
        <v>"C:\Program Files (x86)\AstroGrep\AstroGrep.exe" /spath="%USERPROFILE%\AppData\Local\Temp\OnboardLogs" /stypes="app*4053*20161004*" /stext=" 13:.+((SYSTEM_STATE.+slice.+state.+changed )|(ment ac)|(system.+state.+changed )|(\[timeout)|(PRM\|1\|D)|(kpr)|(kdp)|(\|lc)|(penalty))" /e /r /s</v>
      </c>
      <c r="AG38" s="1" t="str">
        <f>IFERROR(IF(VALUE(LEFT(AD38,2))&lt;=2,"EC",IF(OR(VALUE(LEFT(AD38,2))=8,VALUE(LEFT(AD38,2))=18),"NW","Other")),"Other")</f>
        <v>EC</v>
      </c>
      <c r="AH38" s="96" t="str">
        <f t="shared" si="2"/>
        <v>"%USERPROFILE%\Documents\GitHub\eaglep3\Utilities\RefineRTDCRunTimes.py" --tripid 125-04 --locoid 4053 --swversion DE.1.0.7.0 --startMP 204:446 --initTime 2016-10-04T06:39:00 --startdatetime 2016-10-04T06:45:20 --delay 1 --endMP 204:233311 --enddatetime 2016-10-04T07:22:39 --enforcementcount 0 &gt;&gt;C:\Users\stu\Documents\GitHub\eaglep3-reporting\EC\2016-10-04-refined-times.txt</v>
      </c>
      <c r="AI38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{"issue":{"subject":"","project_id":79,"tracker_id":40,"status_id":1,"priority_id":2,"assigned_to_id":23,"start_date":"2016-10-04","description":"","custom_fields":[{"id":1,"name":"Subdivision","value":"EC"},{"id":4,"name":"Milepost","value":"23.3311"},{"id":17,"name":"Train ID","value":"125-04"},{"id":16,"name":"Locomotive ID","value":"4053"},{"id":130,"name":"Impact","value":""},{"id":150,"name":"Time of Event (Mountain Time)","value":"07:22:39"},{"id":151,"name":"Denver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5"/>
      <c r="AK38" s="55"/>
      <c r="AL38" s="55"/>
    </row>
    <row r="39" spans="1:38" s="1" customFormat="1" x14ac:dyDescent="0.25">
      <c r="A39" s="39" t="s">
        <v>410</v>
      </c>
      <c r="B39" s="7">
        <v>4054</v>
      </c>
      <c r="C39" s="24" t="s">
        <v>106</v>
      </c>
      <c r="D39" s="24" t="s">
        <v>329</v>
      </c>
      <c r="E39" s="15">
        <v>42647.3128125</v>
      </c>
      <c r="F39" s="15">
        <v>42647.320335648146</v>
      </c>
      <c r="G39" s="7">
        <v>1</v>
      </c>
      <c r="H39" s="15" t="s">
        <v>195</v>
      </c>
      <c r="I39" s="15">
        <v>42647.348553240743</v>
      </c>
      <c r="J39" s="7">
        <v>0</v>
      </c>
      <c r="K39" s="117" t="str">
        <f>IF(ISEVEN(B39),(B39-1)&amp;"/"&amp;B39,B39&amp;"/"&amp;(B39+1))</f>
        <v>4053/4054</v>
      </c>
      <c r="L39" s="24" t="str">
        <f>VLOOKUP(A39,'Trips&amp;Operators'!$C$1:$E$10000,3,FALSE)</f>
        <v>GEBRETEKLE</v>
      </c>
      <c r="M39" s="6">
        <f>I39-F39</f>
        <v>2.8217592596774921E-2</v>
      </c>
      <c r="N39" s="7">
        <f>24*60*SUM($M39:$M39)</f>
        <v>40.633333339355886</v>
      </c>
      <c r="O39" s="7"/>
      <c r="P39" s="7"/>
      <c r="Q39" s="25"/>
      <c r="R39" s="25"/>
      <c r="S39" s="37">
        <f>SUM(U39:U39)/IF(AG39="EC",12,1)</f>
        <v>1</v>
      </c>
      <c r="T39" s="52" t="str">
        <f>IF(ISEVEN(LEFT(AD39,4)),"Southbound","NorthBound")</f>
        <v>Southbound</v>
      </c>
      <c r="U39" s="159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02" t="str">
        <f>"https://search-rtdc-monitor-bjffxe2xuh6vdkpspy63sjmuny.us-east-1.es.amazonaws.com/_plugin/kibana/#/discover/Steve-Slow-Train-Analysis-(2080s-and-2083s)?_g=(refreshInterval:(display:Off,section:0,value:0),time:(from:'"&amp;TEXT(E39-1/24,"yyyy-MM-DD hh:mm:ss")&amp;"-0600',mode:absolute,to:'"&amp;TEXT(I39+1/24,"yyyy-MM-DD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39&amp;"%22')),sort:!(Time,asc))"</f>
        <v>https://search-rtdc-monitor-bjffxe2xuh6vdkpspy63sjmuny.us-east-1.es.amazonaws.com/_plugin/kibana/#/discover/Steve-Slow-Train-Analysis-(2080s-and-2083s)?_g=(refreshInterval:(display:Off,section:0,value:0),time:(from:'2016-10-04 06:30:27-0600',mode:absolute,to:'2016-10-04 09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39" s="54" t="str">
        <f>IF(AA39&lt;IF(AG39="EC",23,5.65),"Y","N")</f>
        <v>N</v>
      </c>
      <c r="X39" s="164">
        <f>VALUE(LEFT(AD39,4))-VALUE(LEFT(AD38,4))</f>
        <v>1</v>
      </c>
      <c r="Y39" s="69">
        <f>RIGHT(D39,LEN(D39)-4)/10000</f>
        <v>23.298200000000001</v>
      </c>
      <c r="Z39" s="69">
        <f>RIGHT(H39,LEN(H39)-4)/10000</f>
        <v>1.47E-2</v>
      </c>
      <c r="AA39" s="69">
        <f>ABS(Z39-Y39)</f>
        <v>23.2835</v>
      </c>
      <c r="AB39" s="66" t="str">
        <f>VLOOKUP(A39,Enforcements!$C$7:$K$21,8,0)</f>
        <v>Form based authority (4)</v>
      </c>
      <c r="AC39" s="62" t="str">
        <f>VLOOKUP(A39,Enforcements!$C$7:$E$21,3,0)</f>
        <v>TRACK WARRANT AUTHORITY</v>
      </c>
      <c r="AD39" s="63" t="str">
        <f>IF(LEN(A39)=6,"0"&amp;A39,A39)</f>
        <v>0126-04</v>
      </c>
      <c r="AE39" s="9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s3://rtdc.mdm.uploadarchive.raw/RTDC4054/ "%USERPROFILE%\AppData\Local\Temp\OnboardLogs"\RTDC4054\2016-10-04 --exclude "*" --recursive --include "*20161004*" &amp; "%USERPROFILE%\Documents\GitHub\mrs-test-scripts\Headless Mode &amp; Sideloading\WalkAndUnGZ.bat" "%USERPROFILE%\AppData\Local\Temp\OnboardLogs"\RTDC4054\2016-10-04 &amp; aws s3 cp s3://rtdc.mdm.uploadarchive.raw/RTDC4054/ "%USERPROFILE%\AppData\Local\Temp\OnboardLogs"\RTDC4054\2016-10-05 --exclude "*" --recursive --include "*20161005*" &amp; "%USERPROFILE%\Documents\GitHub\mrs-test-scripts\Headless Mode &amp; Sideloading\WalkAndUnGZ.bat" "%USERPROFILE%\AppData\Local\Temp\OnboardLogs"\RTDC4054\2016-10-05</v>
      </c>
      <c r="AF39" s="92" t="str">
        <f>astrogrep_path&amp;" /spath="&amp;search_path&amp;" /stypes=""app*"&amp;B39&amp;"*"&amp;TEXT(I39-utc_offset/24,"YYYYMMDD")&amp;"*"" /stext="" "&amp;TEXT(I39-utc_offset/24,"HH")&amp;search_regexp&amp;""" /e /r /s"</f>
        <v>"C:\Program Files (x86)\AstroGrep\AstroGrep.exe" /spath="%USERPROFILE%\AppData\Local\Temp\OnboardLogs" /stypes="app*4054*20161004*" /stext=" 14:.+((SYSTEM_STATE.+slice.+state.+changed )|(ment ac)|(system.+state.+changed )|(\[timeout)|(PRM\|1\|D)|(kpr)|(kdp)|(\|lc)|(penalty))" /e /r /s</v>
      </c>
      <c r="AG39" s="1" t="str">
        <f>IFERROR(IF(VALUE(LEFT(AD39,2))&lt;=2,"EC",IF(OR(VALUE(LEFT(AD39,2))=8,VALUE(LEFT(AD39,2))=18),"NW","Other")),"Other")</f>
        <v>EC</v>
      </c>
      <c r="AH39" s="96" t="str">
        <f t="shared" si="2"/>
        <v>"%USERPROFILE%\Documents\GitHub\eaglep3\Utilities\RefineRTDCRunTimes.py" --tripid 126-04 --locoid 4054 --swversion DE.1.0.7.0 --startMP 204:232982 --initTime 2016-10-04T07:30:27 --startdatetime 2016-10-04T07:41:17 --delay 1 --endMP 204:147 --enddatetime 2016-10-04T08:21:55 --enforcementcount 0 &gt;&gt;C:\Users\stu\Documents\GitHub\eaglep3-reporting\EC\2016-10-04-refined-times.txt</v>
      </c>
      <c r="AI39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{"issue":{"subject":"","project_id":79,"tracker_id":40,"status_id":1,"priority_id":2,"assigned_to_id":23,"start_date":"2016-10-04","description":"","custom_fields":[{"id":1,"name":"Subdivision","value":"EC"},{"id":4,"name":"Milepost","value":"0.0147"},{"id":17,"name":"Train ID","value":"126-04"},{"id":16,"name":"Locomotive ID","value":"4054"},{"id":130,"name":"Impact","value":""},{"id":150,"name":"Time of Event (Mountain Time)","value":"08:21:55"},{"id":151,"name":"Denver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5"/>
      <c r="AK39" s="55"/>
      <c r="AL39" s="55"/>
    </row>
    <row r="40" spans="1:38" s="1" customFormat="1" x14ac:dyDescent="0.25">
      <c r="A40" s="39" t="s">
        <v>403</v>
      </c>
      <c r="B40" s="7">
        <v>4016</v>
      </c>
      <c r="C40" s="24" t="s">
        <v>106</v>
      </c>
      <c r="D40" s="24" t="s">
        <v>319</v>
      </c>
      <c r="E40" s="15">
        <v>42647.28665509259</v>
      </c>
      <c r="F40" s="15">
        <v>42647.291863425926</v>
      </c>
      <c r="G40" s="7">
        <v>1</v>
      </c>
      <c r="H40" s="15" t="s">
        <v>619</v>
      </c>
      <c r="I40" s="15">
        <v>42647.316620370373</v>
      </c>
      <c r="J40" s="7">
        <v>0</v>
      </c>
      <c r="K40" s="117" t="str">
        <f>IF(ISEVEN(B40),(B40-1)&amp;"/"&amp;B40,B40&amp;"/"&amp;(B40+1))</f>
        <v>4015/4016</v>
      </c>
      <c r="L40" s="24" t="str">
        <f>VLOOKUP(A40,'Trips&amp;Operators'!$C$1:$E$10000,3,FALSE)</f>
        <v>KILLION</v>
      </c>
      <c r="M40" s="6">
        <f>I40-F40</f>
        <v>2.4756944447290152E-2</v>
      </c>
      <c r="N40" s="7">
        <f>24*60*SUM($M40:$M40)</f>
        <v>35.650000004097819</v>
      </c>
      <c r="O40" s="7"/>
      <c r="P40" s="7"/>
      <c r="Q40" s="25"/>
      <c r="R40" s="25"/>
      <c r="S40" s="37">
        <f>SUM(U40:U40)/IF(AG40="EC",12,1)</f>
        <v>1</v>
      </c>
      <c r="T40" s="52" t="str">
        <f>IF(ISEVEN(LEFT(AD40,4)),"Southbound","NorthBound")</f>
        <v>NorthBound</v>
      </c>
      <c r="U40" s="159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02" t="str">
        <f>"https://search-rtdc-monitor-bjffxe2xuh6vdkpspy63sjmuny.us-east-1.es.amazonaws.com/_plugin/kibana/#/discover/Steve-Slow-Train-Analysis-(2080s-and-2083s)?_g=(refreshInterval:(display:Off,section:0,value:0),time:(from:'"&amp;TEXT(E40-1/24,"yyyy-MM-DD hh:mm:ss")&amp;"-0600',mode:absolute,to:'"&amp;TEXT(I40+1/24,"yyyy-MM-DD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40&amp;"%22')),sort:!(Time,asc))"</f>
        <v>https://search-rtdc-monitor-bjffxe2xuh6vdkpspy63sjmuny.us-east-1.es.amazonaws.com/_plugin/kibana/#/discover/Steve-Slow-Train-Analysis-(2080s-and-2083s)?_g=(refreshInterval:(display:Off,section:0,value:0),time:(from:'2016-10-04 05:52:47-0600',mode:absolute,to:'2016-10-04 08:35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0" s="54" t="str">
        <f>IF(AA40&lt;IF(AG40="EC",23,5.65),"Y","N")</f>
        <v>N</v>
      </c>
      <c r="X40" s="164">
        <f>VALUE(LEFT(AD40,4))-VALUE(LEFT(AD39,4))</f>
        <v>1</v>
      </c>
      <c r="Y40" s="69">
        <f>RIGHT(D40,LEN(D40)-4)/10000</f>
        <v>4.82E-2</v>
      </c>
      <c r="Z40" s="69">
        <f>RIGHT(H40,LEN(H40)-4)/10000</f>
        <v>23.329799999999999</v>
      </c>
      <c r="AA40" s="69">
        <f>ABS(Z40-Y40)</f>
        <v>23.281599999999997</v>
      </c>
      <c r="AB40" s="66" t="e">
        <f>VLOOKUP(A40,Enforcements!$C$7:$K$21,8,0)</f>
        <v>#N/A</v>
      </c>
      <c r="AC40" s="62" t="e">
        <f>VLOOKUP(A40,Enforcements!$C$7:$E$21,3,0)</f>
        <v>#N/A</v>
      </c>
      <c r="AD40" s="63" t="str">
        <f>IF(LEN(A40)=6,"0"&amp;A40,A40)</f>
        <v>0127-04</v>
      </c>
      <c r="AE40" s="9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s3://rtdc.mdm.uploadarchive.raw/RTDC4016/ "%USERPROFILE%\AppData\Local\Temp\OnboardLogs"\RTDC4016\2016-10-04 --exclude "*" --recursive --include "*20161004*" &amp; "%USERPROFILE%\Documents\GitHub\mrs-test-scripts\Headless Mode &amp; Sideloading\WalkAndUnGZ.bat" "%USERPROFILE%\AppData\Local\Temp\OnboardLogs"\RTDC4016\2016-10-04 &amp; aws s3 cp s3://rtdc.mdm.uploadarchive.raw/RTDC4016/ "%USERPROFILE%\AppData\Local\Temp\OnboardLogs"\RTDC4016\2016-10-05 --exclude "*" --recursive --include "*20161005*" &amp; "%USERPROFILE%\Documents\GitHub\mrs-test-scripts\Headless Mode &amp; Sideloading\WalkAndUnGZ.bat" "%USERPROFILE%\AppData\Local\Temp\OnboardLogs"\RTDC4016\2016-10-05</v>
      </c>
      <c r="AF40" s="92" t="str">
        <f>astrogrep_path&amp;" /spath="&amp;search_path&amp;" /stypes=""app*"&amp;B40&amp;"*"&amp;TEXT(I40-utc_offset/24,"YYYYMMDD")&amp;"*"" /stext="" "&amp;TEXT(I40-utc_offset/24,"HH")&amp;search_regexp&amp;""" /e /r /s"</f>
        <v>"C:\Program Files (x86)\AstroGrep\AstroGrep.exe" /spath="%USERPROFILE%\AppData\Local\Temp\OnboardLogs" /stypes="app*4016*20161004*" /stext=" 13:.+((SYSTEM_STATE.+slice.+state.+changed )|(ment ac)|(system.+state.+changed )|(\[timeout)|(PRM\|1\|D)|(kpr)|(kdp)|(\|lc)|(penalty))" /e /r /s</v>
      </c>
      <c r="AG40" s="1" t="str">
        <f>IFERROR(IF(VALUE(LEFT(AD40,2))&lt;=2,"EC",IF(OR(VALUE(LEFT(AD40,2))=8,VALUE(LEFT(AD40,2))=18),"NW","Other")),"Other")</f>
        <v>EC</v>
      </c>
      <c r="AH40" s="96" t="str">
        <f t="shared" si="2"/>
        <v>"%USERPROFILE%\Documents\GitHub\eaglep3\Utilities\RefineRTDCRunTimes.py" --tripid 127-04 --locoid 4016 --swversion DE.1.0.7.0 --startMP 204:482 --initTime 2016-10-04T06:52:47 --startdatetime 2016-10-04T07:00:17 --delay 1 --endMP 204:233298 --enddatetime 2016-10-04T07:35:56 --enforcementcount 0 &gt;&gt;C:\Users\stu\Documents\GitHub\eaglep3-reporting\EC\2016-10-04-refined-times.txt</v>
      </c>
      <c r="AI40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{"issue":{"subject":"","project_id":79,"tracker_id":40,"status_id":1,"priority_id":2,"assigned_to_id":23,"start_date":"2016-10-04","description":"","custom_fields":[{"id":1,"name":"Subdivision","value":"EC"},{"id":4,"name":"Milepost","value":"23.3298"},{"id":17,"name":"Train ID","value":"127-04"},{"id":16,"name":"Locomotive ID","value":"4016"},{"id":130,"name":"Impact","value":""},{"id":150,"name":"Time of Event (Mountain Time)","value":"07:35:56"},{"id":151,"name":"Denver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5"/>
      <c r="AK40" s="55"/>
      <c r="AL40" s="55"/>
    </row>
    <row r="41" spans="1:38" s="1" customFormat="1" x14ac:dyDescent="0.25">
      <c r="A41" s="39" t="s">
        <v>413</v>
      </c>
      <c r="B41" s="7">
        <v>4015</v>
      </c>
      <c r="C41" s="24" t="s">
        <v>106</v>
      </c>
      <c r="D41" s="24" t="s">
        <v>318</v>
      </c>
      <c r="E41" s="15">
        <v>42647.32267361111</v>
      </c>
      <c r="F41" s="15">
        <v>42647.330960648149</v>
      </c>
      <c r="G41" s="7">
        <v>1</v>
      </c>
      <c r="H41" s="15" t="s">
        <v>214</v>
      </c>
      <c r="I41" s="15">
        <v>42647.358067129629</v>
      </c>
      <c r="J41" s="7">
        <v>0</v>
      </c>
      <c r="K41" s="117" t="str">
        <f>IF(ISEVEN(B41),(B41-1)&amp;"/"&amp;B41,B41&amp;"/"&amp;(B41+1))</f>
        <v>4015/4016</v>
      </c>
      <c r="L41" s="24" t="str">
        <f>VLOOKUP(A41,'Trips&amp;Operators'!$C$1:$E$10000,3,FALSE)</f>
        <v>KILLION</v>
      </c>
      <c r="M41" s="6">
        <f>I41-F41</f>
        <v>2.7106481480586808E-2</v>
      </c>
      <c r="N41" s="7">
        <f>24*60*SUM($M41:$M41)</f>
        <v>39.033333332045004</v>
      </c>
      <c r="O41" s="7"/>
      <c r="P41" s="7"/>
      <c r="Q41" s="25"/>
      <c r="R41" s="25"/>
      <c r="S41" s="37">
        <f>SUM(U41:U41)/IF(AG41="EC",12,1)</f>
        <v>1</v>
      </c>
      <c r="T41" s="52" t="str">
        <f>IF(ISEVEN(LEFT(AD41,4)),"Southbound","NorthBound")</f>
        <v>Southbound</v>
      </c>
      <c r="U41" s="159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02" t="str">
        <f>"https://search-rtdc-monitor-bjffxe2xuh6vdkpspy63sjmuny.us-east-1.es.amazonaws.com/_plugin/kibana/#/discover/Steve-Slow-Train-Analysis-(2080s-and-2083s)?_g=(refreshInterval:(display:Off,section:0,value:0),time:(from:'"&amp;TEXT(E41-1/24,"yyyy-MM-DD hh:mm:ss")&amp;"-0600',mode:absolute,to:'"&amp;TEXT(I41+1/24,"yyyy-MM-DD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41&amp;"%22')),sort:!(Time,asc))"</f>
        <v>https://search-rtdc-monitor-bjffxe2xuh6vdkpspy63sjmuny.us-east-1.es.amazonaws.com/_plugin/kibana/#/discover/Steve-Slow-Train-Analysis-(2080s-and-2083s)?_g=(refreshInterval:(display:Off,section:0,value:0),time:(from:'2016-10-04 06:44:39-0600',mode:absolute,to:'2016-10-04 09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1" s="54" t="str">
        <f>IF(AA41&lt;IF(AG41="EC",23,5.65),"Y","N")</f>
        <v>N</v>
      </c>
      <c r="X41" s="164">
        <f>VALUE(LEFT(AD41,4))-VALUE(LEFT(AD40,4))</f>
        <v>1</v>
      </c>
      <c r="Y41" s="69">
        <f>RIGHT(D41,LEN(D41)-4)/10000</f>
        <v>23.298500000000001</v>
      </c>
      <c r="Z41" s="69">
        <f>RIGHT(H41,LEN(H41)-4)/10000</f>
        <v>1.41E-2</v>
      </c>
      <c r="AA41" s="69">
        <f>ABS(Z41-Y41)</f>
        <v>23.284400000000002</v>
      </c>
      <c r="AB41" s="66" t="str">
        <f>VLOOKUP(A41,Enforcements!$C$7:$K$21,8,0)</f>
        <v>Bulletin (2)</v>
      </c>
      <c r="AC41" s="62" t="str">
        <f>VLOOKUP(A41,Enforcements!$C$7:$E$21,3,0)</f>
        <v>GRADE CROSSING</v>
      </c>
      <c r="AD41" s="63" t="str">
        <f>IF(LEN(A41)=6,"0"&amp;A41,A41)</f>
        <v>0128-04</v>
      </c>
      <c r="AE41" s="9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s3://rtdc.mdm.uploadarchive.raw/RTDC4015/ "%USERPROFILE%\AppData\Local\Temp\OnboardLogs"\RTDC4015\2016-10-04 --exclude "*" --recursive --include "*20161004*" &amp; "%USERPROFILE%\Documents\GitHub\mrs-test-scripts\Headless Mode &amp; Sideloading\WalkAndUnGZ.bat" "%USERPROFILE%\AppData\Local\Temp\OnboardLogs"\RTDC4015\2016-10-04 &amp; aws s3 cp s3://rtdc.mdm.uploadarchive.raw/RTDC4015/ "%USERPROFILE%\AppData\Local\Temp\OnboardLogs"\RTDC4015\2016-10-05 --exclude "*" --recursive --include "*20161005*" &amp; "%USERPROFILE%\Documents\GitHub\mrs-test-scripts\Headless Mode &amp; Sideloading\WalkAndUnGZ.bat" "%USERPROFILE%\AppData\Local\Temp\OnboardLogs"\RTDC4015\2016-10-05</v>
      </c>
      <c r="AF41" s="92" t="str">
        <f>astrogrep_path&amp;" /spath="&amp;search_path&amp;" /stypes=""app*"&amp;B41&amp;"*"&amp;TEXT(I41-utc_offset/24,"YYYYMMDD")&amp;"*"" /stext="" "&amp;TEXT(I41-utc_offset/24,"HH")&amp;search_regexp&amp;""" /e /r /s"</f>
        <v>"C:\Program Files (x86)\AstroGrep\AstroGrep.exe" /spath="%USERPROFILE%\AppData\Local\Temp\OnboardLogs" /stypes="app*4015*20161004*" /stext=" 14:.+((SYSTEM_STATE.+slice.+state.+changed )|(ment ac)|(system.+state.+changed )|(\[timeout)|(PRM\|1\|D)|(kpr)|(kdp)|(\|lc)|(penalty))" /e /r /s</v>
      </c>
      <c r="AG41" s="1" t="str">
        <f>IFERROR(IF(VALUE(LEFT(AD41,2))&lt;=2,"EC",IF(OR(VALUE(LEFT(AD41,2))=8,VALUE(LEFT(AD41,2))=18),"NW","Other")),"Other")</f>
        <v>EC</v>
      </c>
      <c r="AH41" s="96" t="str">
        <f t="shared" si="2"/>
        <v>"%USERPROFILE%\Documents\GitHub\eaglep3\Utilities\RefineRTDCRunTimes.py" --tripid 128-04 --locoid 4015 --swversion DE.1.0.7.0 --startMP 204:232985 --initTime 2016-10-04T07:44:39 --startdatetime 2016-10-04T07:56:35 --delay 1 --endMP 204:141 --enddatetime 2016-10-04T08:35:37 --enforcementcount 0 &gt;&gt;C:\Users\stu\Documents\GitHub\eaglep3-reporting\EC\2016-10-04-refined-times.txt</v>
      </c>
      <c r="AI41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{"issue":{"subject":"","project_id":79,"tracker_id":40,"status_id":1,"priority_id":2,"assigned_to_id":23,"start_date":"2016-10-04","description":"","custom_fields":[{"id":1,"name":"Subdivision","value":"EC"},{"id":4,"name":"Milepost","value":"0.0141"},{"id":17,"name":"Train ID","value":"128-04"},{"id":16,"name":"Locomotive ID","value":"4015"},{"id":130,"name":"Impact","value":""},{"id":150,"name":"Time of Event (Mountain Time)","value":"08:35:37"},{"id":151,"name":"Denver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5"/>
      <c r="AK41" s="55"/>
      <c r="AL41" s="55"/>
    </row>
    <row r="42" spans="1:38" s="1" customFormat="1" x14ac:dyDescent="0.25">
      <c r="A42" s="39" t="s">
        <v>406</v>
      </c>
      <c r="B42" s="7">
        <v>4044</v>
      </c>
      <c r="C42" s="24" t="s">
        <v>106</v>
      </c>
      <c r="D42" s="24" t="s">
        <v>620</v>
      </c>
      <c r="E42" s="15">
        <v>42647.331122685187</v>
      </c>
      <c r="F42" s="15">
        <v>42647.331689814811</v>
      </c>
      <c r="G42" s="7">
        <v>0</v>
      </c>
      <c r="H42" s="15" t="s">
        <v>198</v>
      </c>
      <c r="I42" s="15">
        <v>42647.3434375</v>
      </c>
      <c r="J42" s="7">
        <v>0</v>
      </c>
      <c r="K42" s="117" t="str">
        <f>IF(ISEVEN(B42),(B42-1)&amp;"/"&amp;B42,B42&amp;"/"&amp;(B42+1))</f>
        <v>4043/4044</v>
      </c>
      <c r="L42" s="24" t="str">
        <f>VLOOKUP(A42,'Trips&amp;Operators'!$C$1:$E$10000,3,FALSE)</f>
        <v>BEAM</v>
      </c>
      <c r="M42" s="6">
        <f>I42-F42</f>
        <v>1.1747685188311152E-2</v>
      </c>
      <c r="N42" s="7"/>
      <c r="O42" s="7"/>
      <c r="P42" s="7">
        <f>24*60*SUM($M42:$M44)</f>
        <v>43.283333330182359</v>
      </c>
      <c r="Q42" s="25"/>
      <c r="R42" s="25" t="s">
        <v>786</v>
      </c>
      <c r="S42" s="37">
        <f>SUM(U42:U44)/IF(AG42="EC",12,1)</f>
        <v>0.75</v>
      </c>
      <c r="T42" s="52" t="str">
        <f>IF(ISEVEN(LEFT(AD42,4)),"Southbound","NorthBound")</f>
        <v>NorthBound</v>
      </c>
      <c r="U42" s="159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0</v>
      </c>
      <c r="V42" s="102" t="str">
        <f>"https://search-rtdc-monitor-bjffxe2xuh6vdkpspy63sjmuny.us-east-1.es.amazonaws.com/_plugin/kibana/#/discover/Steve-Slow-Train-Analysis-(2080s-and-2083s)?_g=(refreshInterval:(display:Off,section:0,value:0),time:(from:'"&amp;TEXT(E42-1/24,"yyyy-MM-DD hh:mm:ss")&amp;"-0600',mode:absolute,to:'"&amp;TEXT(I42+1/24,"yyyy-MM-DD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42&amp;"%22')),sort:!(Time,asc))"</f>
        <v>https://search-rtdc-monitor-bjffxe2xuh6vdkpspy63sjmuny.us-east-1.es.amazonaws.com/_plugin/kibana/#/discover/Steve-Slow-Train-Analysis-(2080s-and-2083s)?_g=(refreshInterval:(display:Off,section:0,value:0),time:(from:'2016-10-04 06:56:49-0600',mode:absolute,to:'2016-10-04 09:14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2" s="54" t="str">
        <f>IF(AA42&lt;IF(AG42="EC",23,5.65),"Y","N")</f>
        <v>Y</v>
      </c>
      <c r="X42" s="164">
        <f>VALUE(LEFT(AD42,4))-VALUE(LEFT(AD41,4))</f>
        <v>1</v>
      </c>
      <c r="Y42" s="69">
        <f>RIGHT(D42,LEN(D42)-4)/10000</f>
        <v>12.826599999999999</v>
      </c>
      <c r="Z42" s="69">
        <f>RIGHT(H42,LEN(H42)-4)/10000</f>
        <v>23.3291</v>
      </c>
      <c r="AA42" s="69">
        <f>ABS(Z42-Y42)</f>
        <v>10.502500000000001</v>
      </c>
      <c r="AB42" s="66" t="e">
        <f>VLOOKUP(A42,Enforcements!$C$7:$K$21,8,0)</f>
        <v>#N/A</v>
      </c>
      <c r="AC42" s="62" t="e">
        <f>VLOOKUP(A42,Enforcements!$C$7:$E$21,3,0)</f>
        <v>#N/A</v>
      </c>
      <c r="AD42" s="63" t="str">
        <f>IF(LEN(A42)=6,"0"&amp;A42,A42)</f>
        <v>0129-04</v>
      </c>
      <c r="AE42" s="9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s3://rtdc.mdm.uploadarchive.raw/RTDC4044/ "%USERPROFILE%\AppData\Local\Temp\OnboardLogs"\RTDC4044\2016-10-04 --exclude "*" --recursive --include "*20161004*" &amp; "%USERPROFILE%\Documents\GitHub\mrs-test-scripts\Headless Mode &amp; Sideloading\WalkAndUnGZ.bat" "%USERPROFILE%\AppData\Local\Temp\OnboardLogs"\RTDC4044\2016-10-04 &amp; aws s3 cp s3://rtdc.mdm.uploadarchive.raw/RTDC4044/ "%USERPROFILE%\AppData\Local\Temp\OnboardLogs"\RTDC4044\2016-10-05 --exclude "*" --recursive --include "*20161005*" &amp; "%USERPROFILE%\Documents\GitHub\mrs-test-scripts\Headless Mode &amp; Sideloading\WalkAndUnGZ.bat" "%USERPROFILE%\AppData\Local\Temp\OnboardLogs"\RTDC4044\2016-10-05</v>
      </c>
      <c r="AF42" s="92" t="str">
        <f>astrogrep_path&amp;" /spath="&amp;search_path&amp;" /stypes=""app*"&amp;B42&amp;"*"&amp;TEXT(I42-utc_offset/24,"YYYYMMDD")&amp;"*"" /stext="" "&amp;TEXT(I42-utc_offset/24,"HH")&amp;search_regexp&amp;""" /e /r /s"</f>
        <v>"C:\Program Files (x86)\AstroGrep\AstroGrep.exe" /spath="%USERPROFILE%\AppData\Local\Temp\OnboardLogs" /stypes="app*4044*20161004*" /stext=" 14:.+((SYSTEM_STATE.+slice.+state.+changed )|(ment ac)|(system.+state.+changed )|(\[timeout)|(PRM\|1\|D)|(kpr)|(kdp)|(\|lc)|(penalty))" /e /r /s</v>
      </c>
      <c r="AG42" s="1" t="str">
        <f>IFERROR(IF(VALUE(LEFT(AD42,2))&lt;=2,"EC",IF(OR(VALUE(LEFT(AD42,2))=8,VALUE(LEFT(AD42,2))=18),"NW","Other")),"Other")</f>
        <v>EC</v>
      </c>
      <c r="AH42" s="96" t="str">
        <f t="shared" si="2"/>
        <v>"%USERPROFILE%\Documents\GitHub\eaglep3\Utilities\RefineRTDCRunTimes.py" --tripid 129-04 --locoid 4044 --swversion DE.1.0.7.0 --startMP 204:128266 --initTime 2016-10-04T07:56:49 --startdatetime 2016-10-04T07:57:38 --delay 0 --endMP 204:233291 --enddatetime 2016-10-04T08:14:33 --enforcementcount 0 &gt;&gt;C:\Users\stu\Documents\GitHub\eaglep3-reporting\EC\2016-10-04-refined-times.txt</v>
      </c>
      <c r="AI42" s="130" t="str">
        <f t="shared" si="3"/>
        <v>echo {"issue":{"subject":"Sand Creek 2N stuck at STOP - link failure?","project_id":79,"tracker_id":40,"status_id":1,"priority_id":2,"assigned_to_id":23,"start_date":"2016-10-04","description":"","custom_fields":[{"id":1,"name":"Subdivision","value":"EC"},{"id":4,"name":"Milepost","value":"23.3291"},{"id":17,"name":"Train ID","value":"129-04"},{"id":16,"name":"Locomotive ID","value":"4044"},{"id":130,"name":"Impact","value":""},{"id":150,"name":"Time of Event (Mountain Time)","value":"08:14:33"},{"id":151,"name":"Denver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5"/>
      <c r="AK42" s="55"/>
      <c r="AL42" s="55"/>
    </row>
    <row r="43" spans="1:38" s="1" customFormat="1" x14ac:dyDescent="0.25">
      <c r="A43" s="39" t="s">
        <v>406</v>
      </c>
      <c r="B43" s="7">
        <v>4044</v>
      </c>
      <c r="C43" s="24" t="s">
        <v>106</v>
      </c>
      <c r="D43" s="24" t="s">
        <v>256</v>
      </c>
      <c r="E43" s="15">
        <v>42647.299305555556</v>
      </c>
      <c r="F43" s="15">
        <v>42647.300266203703</v>
      </c>
      <c r="G43" s="7">
        <v>1</v>
      </c>
      <c r="H43" s="15" t="s">
        <v>621</v>
      </c>
      <c r="I43" s="15">
        <v>42647.316203703704</v>
      </c>
      <c r="J43" s="7">
        <v>0</v>
      </c>
      <c r="K43" s="117" t="str">
        <f>IF(ISEVEN(B43),(B43-1)&amp;"/"&amp;B43,B43&amp;"/"&amp;(B43+1))</f>
        <v>4043/4044</v>
      </c>
      <c r="L43" s="24" t="str">
        <f>VLOOKUP(A43,'Trips&amp;Operators'!$C$1:$E$10000,3,FALSE)</f>
        <v>BEAM</v>
      </c>
      <c r="M43" s="6">
        <f>I43-F43</f>
        <v>1.5937500000291038E-2</v>
      </c>
      <c r="N43" s="7"/>
      <c r="O43" s="7"/>
      <c r="P43" s="7"/>
      <c r="Q43" s="25"/>
      <c r="R43" s="25"/>
      <c r="S43" s="37"/>
      <c r="T43" s="52" t="str">
        <f>IF(ISEVEN(LEFT(AD43,4)),"Southbound","NorthBound")</f>
        <v>NorthBound</v>
      </c>
      <c r="U43" s="159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9</v>
      </c>
      <c r="V43" s="102" t="str">
        <f>"https://search-rtdc-monitor-bjffxe2xuh6vdkpspy63sjmuny.us-east-1.es.amazonaws.com/_plugin/kibana/#/discover/Steve-Slow-Train-Analysis-(2080s-and-2083s)?_g=(refreshInterval:(display:Off,section:0,value:0),time:(from:'"&amp;TEXT(E43-1/24,"yyyy-MM-DD hh:mm:ss")&amp;"-0600',mode:absolute,to:'"&amp;TEXT(I43+1/24,"yyyy-MM-DD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43&amp;"%22')),sort:!(Time,asc))"</f>
        <v>https://search-rtdc-monitor-bjffxe2xuh6vdkpspy63sjmuny.us-east-1.es.amazonaws.com/_plugin/kibana/#/discover/Steve-Slow-Train-Analysis-(2080s-and-2083s)?_g=(refreshInterval:(display:Off,section:0,value:0),time:(from:'2016-10-04 06:11:00-0600',mode:absolute,to:'2016-10-04 08:35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3" s="54" t="str">
        <f>IF(AA43&lt;IF(AG43="EC",23,5.65),"Y","N")</f>
        <v>Y</v>
      </c>
      <c r="X43" s="164">
        <f>VALUE(LEFT(AD43,4))-VALUE(LEFT(AD42,4))</f>
        <v>0</v>
      </c>
      <c r="Y43" s="69">
        <f>RIGHT(D43,LEN(D43)-4)/10000</f>
        <v>4.4900000000000002E-2</v>
      </c>
      <c r="Z43" s="69">
        <f>RIGHT(H43,LEN(H43)-4)/10000</f>
        <v>6.8072999999999997</v>
      </c>
      <c r="AA43" s="69">
        <f>ABS(Z43-Y43)</f>
        <v>6.7623999999999995</v>
      </c>
      <c r="AB43" s="66" t="e">
        <f>VLOOKUP(A43,Enforcements!$C$7:$K$21,8,0)</f>
        <v>#N/A</v>
      </c>
      <c r="AC43" s="62" t="e">
        <f>VLOOKUP(A43,Enforcements!$C$7:$E$21,3,0)</f>
        <v>#N/A</v>
      </c>
      <c r="AD43" s="63" t="str">
        <f>IF(LEN(A43)=6,"0"&amp;A43,A43)</f>
        <v>0129-04</v>
      </c>
      <c r="AE43" s="9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s3://rtdc.mdm.uploadarchive.raw/RTDC4044/ "%USERPROFILE%\AppData\Local\Temp\OnboardLogs"\RTDC4044\2016-10-04 --exclude "*" --recursive --include "*20161004*" &amp; "%USERPROFILE%\Documents\GitHub\mrs-test-scripts\Headless Mode &amp; Sideloading\WalkAndUnGZ.bat" "%USERPROFILE%\AppData\Local\Temp\OnboardLogs"\RTDC4044\2016-10-04 &amp; aws s3 cp s3://rtdc.mdm.uploadarchive.raw/RTDC4044/ "%USERPROFILE%\AppData\Local\Temp\OnboardLogs"\RTDC4044\2016-10-05 --exclude "*" --recursive --include "*20161005*" &amp; "%USERPROFILE%\Documents\GitHub\mrs-test-scripts\Headless Mode &amp; Sideloading\WalkAndUnGZ.bat" "%USERPROFILE%\AppData\Local\Temp\OnboardLogs"\RTDC4044\2016-10-05</v>
      </c>
      <c r="AF43" s="92" t="str">
        <f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/stypes="app*4044*20161004*" /stext=" 13:.+((SYSTEM_STATE.+slice.+state.+changed )|(ment ac)|(system.+state.+changed )|(\[timeout)|(PRM\|1\|D)|(kpr)|(kdp)|(\|lc)|(penalty))" /e /r /s</v>
      </c>
      <c r="AG43" s="1" t="str">
        <f>IFERROR(IF(VALUE(LEFT(AD43,2))&lt;=2,"EC",IF(OR(VALUE(LEFT(AD43,2))=8,VALUE(LEFT(AD43,2))=18),"NW","Other")),"Other")</f>
        <v>EC</v>
      </c>
      <c r="AH43" s="96" t="str">
        <f t="shared" si="2"/>
        <v>"%USERPROFILE%\Documents\GitHub\eaglep3\Utilities\RefineRTDCRunTimes.py" --tripid 129-04 --locoid 4044 --swversion DE.1.0.7.0 --startMP 204:449 --initTime 2016-10-04T07:11:00 --startdatetime 2016-10-04T07:12:23 --delay 1 --endMP 204:68073 --enddatetime 2016-10-04T07:35:20 --enforcementcount 0 &gt;&gt;C:\Users\stu\Documents\GitHub\eaglep3-reporting\EC\2016-10-04-refined-times.txt</v>
      </c>
      <c r="AI43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{"issue":{"subject":"","project_id":79,"tracker_id":40,"status_id":1,"priority_id":2,"assigned_to_id":23,"start_date":"2016-10-04","description":"","custom_fields":[{"id":1,"name":"Subdivision","value":"EC"},{"id":4,"name":"Milepost","value":"6.8073"},{"id":17,"name":"Train ID","value":"129-04"},{"id":16,"name":"Locomotive ID","value":"4044"},{"id":130,"name":"Impact","value":""},{"id":150,"name":"Time of Event (Mountain Time)","value":"07:35:20"},{"id":151,"name":"Denver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5"/>
      <c r="AK43" s="55"/>
      <c r="AL43" s="55"/>
    </row>
    <row r="44" spans="1:38" s="31" customFormat="1" x14ac:dyDescent="0.25">
      <c r="A44" s="39" t="s">
        <v>406</v>
      </c>
      <c r="B44" s="7">
        <v>4044</v>
      </c>
      <c r="C44" s="24" t="s">
        <v>106</v>
      </c>
      <c r="D44" s="24" t="s">
        <v>622</v>
      </c>
      <c r="E44" s="15">
        <v>42647.321863425925</v>
      </c>
      <c r="F44" s="15">
        <v>42647.322500000002</v>
      </c>
      <c r="G44" s="7">
        <v>0</v>
      </c>
      <c r="H44" s="15" t="s">
        <v>623</v>
      </c>
      <c r="I44" s="15">
        <v>42647.324872685182</v>
      </c>
      <c r="J44" s="7">
        <v>0</v>
      </c>
      <c r="K44" s="117" t="str">
        <f>IF(ISEVEN(B44),(B44-1)&amp;"/"&amp;B44,B44&amp;"/"&amp;(B44+1))</f>
        <v>4043/4044</v>
      </c>
      <c r="L44" s="24" t="str">
        <f>VLOOKUP(A44,'Trips&amp;Operators'!$C$1:$E$10000,3,FALSE)</f>
        <v>BEAM</v>
      </c>
      <c r="M44" s="6">
        <f>I44-F44</f>
        <v>2.372685179580003E-3</v>
      </c>
      <c r="N44" s="7"/>
      <c r="O44" s="7"/>
      <c r="P44" s="7"/>
      <c r="Q44" s="25"/>
      <c r="R44" s="25"/>
      <c r="S44" s="37"/>
      <c r="T44" s="52" t="str">
        <f>IF(ISEVEN(LEFT(AD44,4)),"Southbound","NorthBound")</f>
        <v>NorthBound</v>
      </c>
      <c r="U44" s="159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0</v>
      </c>
      <c r="V44" s="102" t="str">
        <f>"https://search-rtdc-monitor-bjffxe2xuh6vdkpspy63sjmuny.us-east-1.es.amazonaws.com/_plugin/kibana/#/discover/Steve-Slow-Train-Analysis-(2080s-and-2083s)?_g=(refreshInterval:(display:Off,section:0,value:0),time:(from:'"&amp;TEXT(E44-1/24,"yyyy-MM-DD hh:mm:ss")&amp;"-0600',mode:absolute,to:'"&amp;TEXT(I44+1/24,"yyyy-MM-DD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44&amp;"%22')),sort:!(Time,asc))"</f>
        <v>https://search-rtdc-monitor-bjffxe2xuh6vdkpspy63sjmuny.us-east-1.es.amazonaws.com/_plugin/kibana/#/discover/Steve-Slow-Train-Analysis-(2080s-and-2083s)?_g=(refreshInterval:(display:Off,section:0,value:0),time:(from:'2016-10-04 06:43:29-0600',mode:absolute,to:'2016-10-04 08:47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4" s="54" t="str">
        <f>IF(AA44&lt;IF(AG44="EC",23,5.65),"Y","N")</f>
        <v>Y</v>
      </c>
      <c r="X44" s="164">
        <f>VALUE(LEFT(AD44,4))-VALUE(LEFT(AD43,4))</f>
        <v>0</v>
      </c>
      <c r="Y44" s="69">
        <f>RIGHT(D44,LEN(D44)-4)/10000</f>
        <v>8.5345999999999993</v>
      </c>
      <c r="Z44" s="69">
        <f>RIGHT(H44,LEN(H44)-4)/10000</f>
        <v>8.7355999999999998</v>
      </c>
      <c r="AA44" s="69">
        <f>ABS(Z44-Y44)</f>
        <v>0.20100000000000051</v>
      </c>
      <c r="AB44" s="66" t="e">
        <f>VLOOKUP(A44,Enforcements!$C$7:$K$21,8,0)</f>
        <v>#N/A</v>
      </c>
      <c r="AC44" s="62" t="e">
        <f>VLOOKUP(A44,Enforcements!$C$7:$E$21,3,0)</f>
        <v>#N/A</v>
      </c>
      <c r="AD44" s="63" t="str">
        <f>IF(LEN(A44)=6,"0"&amp;A44,A44)</f>
        <v>0129-04</v>
      </c>
      <c r="AE44" s="9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s3://rtdc.mdm.uploadarchive.raw/RTDC4044/ "%USERPROFILE%\AppData\Local\Temp\OnboardLogs"\RTDC4044\2016-10-04 --exclude "*" --recursive --include "*20161004*" &amp; "%USERPROFILE%\Documents\GitHub\mrs-test-scripts\Headless Mode &amp; Sideloading\WalkAndUnGZ.bat" "%USERPROFILE%\AppData\Local\Temp\OnboardLogs"\RTDC4044\2016-10-04 &amp; aws s3 cp s3://rtdc.mdm.uploadarchive.raw/RTDC4044/ "%USERPROFILE%\AppData\Local\Temp\OnboardLogs"\RTDC4044\2016-10-05 --exclude "*" --recursive --include "*20161005*" &amp; "%USERPROFILE%\Documents\GitHub\mrs-test-scripts\Headless Mode &amp; Sideloading\WalkAndUnGZ.bat" "%USERPROFILE%\AppData\Local\Temp\OnboardLogs"\RTDC4044\2016-10-05</v>
      </c>
      <c r="AF44" s="92" t="str">
        <f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/stypes="app*4044*20161004*" /stext=" 13:.+((SYSTEM_STATE.+slice.+state.+changed )|(ment ac)|(system.+state.+changed )|(\[timeout)|(PRM\|1\|D)|(kpr)|(kdp)|(\|lc)|(penalty))" /e /r /s</v>
      </c>
      <c r="AG44" s="1" t="str">
        <f>IFERROR(IF(VALUE(LEFT(AD44,2))&lt;=2,"EC",IF(OR(VALUE(LEFT(AD44,2))=8,VALUE(LEFT(AD44,2))=18),"NW","Other")),"Other")</f>
        <v>EC</v>
      </c>
      <c r="AH44" s="96" t="str">
        <f t="shared" si="2"/>
        <v>"%USERPROFILE%\Documents\GitHub\eaglep3\Utilities\RefineRTDCRunTimes.py" --tripid 129-04 --locoid 4044 --swversion DE.1.0.7.0 --startMP 204:85346 --initTime 2016-10-04T07:43:29 --startdatetime 2016-10-04T07:44:24 --delay 0 --endMP 204:87356 --enddatetime 2016-10-04T07:47:49 --enforcementcount 0 &gt;&gt;C:\Users\stu\Documents\GitHub\eaglep3-reporting\EC\2016-10-04-refined-times.txt</v>
      </c>
      <c r="AI44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{"issue":{"subject":"","project_id":79,"tracker_id":40,"status_id":1,"priority_id":2,"assigned_to_id":23,"start_date":"2016-10-04","description":"","custom_fields":[{"id":1,"name":"Subdivision","value":"EC"},{"id":4,"name":"Milepost","value":"8.7356"},{"id":17,"name":"Train ID","value":"129-04"},{"id":16,"name":"Locomotive ID","value":"4044"},{"id":130,"name":"Impact","value":""},{"id":150,"name":"Time of Event (Mountain Time)","value":"07:47:49"},{"id":151,"name":"Denver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5"/>
      <c r="AK44" s="55"/>
      <c r="AL44" s="55"/>
    </row>
    <row r="45" spans="1:38" s="1" customFormat="1" x14ac:dyDescent="0.25">
      <c r="A45" s="39" t="s">
        <v>418</v>
      </c>
      <c r="B45" s="7">
        <v>4043</v>
      </c>
      <c r="C45" s="24" t="s">
        <v>106</v>
      </c>
      <c r="D45" s="24" t="s">
        <v>307</v>
      </c>
      <c r="E45" s="15">
        <v>42647.344988425924</v>
      </c>
      <c r="F45" s="15">
        <v>42647.346099537041</v>
      </c>
      <c r="G45" s="7">
        <v>0</v>
      </c>
      <c r="H45" s="15" t="s">
        <v>195</v>
      </c>
      <c r="I45" s="15">
        <v>42647.373506944445</v>
      </c>
      <c r="J45" s="7">
        <v>0</v>
      </c>
      <c r="K45" s="117" t="str">
        <f>IF(ISEVEN(B45),(B45-1)&amp;"/"&amp;B45,B45&amp;"/"&amp;(B45+1))</f>
        <v>4043/4044</v>
      </c>
      <c r="L45" s="24" t="str">
        <f>VLOOKUP(A45,'Trips&amp;Operators'!$C$1:$E$10000,3,FALSE)</f>
        <v>BEAM</v>
      </c>
      <c r="M45" s="6">
        <f>I45-F45</f>
        <v>2.7407407404098194E-2</v>
      </c>
      <c r="N45" s="7">
        <f>24*60*SUM($M45:$M45)</f>
        <v>39.466666661901399</v>
      </c>
      <c r="O45" s="7"/>
      <c r="P45" s="7"/>
      <c r="Q45" s="25"/>
      <c r="R45" s="25"/>
      <c r="S45" s="37">
        <f>SUM(U45:U45)/IF(AG45="EC",12,1)</f>
        <v>1</v>
      </c>
      <c r="T45" s="52" t="str">
        <f>IF(ISEVEN(LEFT(AD45,4)),"Southbound","NorthBound")</f>
        <v>Southbound</v>
      </c>
      <c r="U45" s="159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02" t="str">
        <f>"https://search-rtdc-monitor-bjffxe2xuh6vdkpspy63sjmuny.us-east-1.es.amazonaws.com/_plugin/kibana/#/discover/Steve-Slow-Train-Analysis-(2080s-and-2083s)?_g=(refreshInterval:(display:Off,section:0,value:0),time:(from:'"&amp;TEXT(E45-1/24,"yyyy-MM-DD hh:mm:ss")&amp;"-0600',mode:absolute,to:'"&amp;TEXT(I45+1/24,"yyyy-MM-DD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45&amp;"%22')),sort:!(Time,asc))"</f>
        <v>https://search-rtdc-monitor-bjffxe2xuh6vdkpspy63sjmuny.us-east-1.es.amazonaws.com/_plugin/kibana/#/discover/Steve-Slow-Train-Analysis-(2080s-and-2083s)?_g=(refreshInterval:(display:Off,section:0,value:0),time:(from:'2016-10-04 07:16:47-0600',mode:absolute,to:'2016-10-04 09:57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5" s="54" t="str">
        <f>IF(AA45&lt;IF(AG45="EC",23,5.65),"Y","N")</f>
        <v>N</v>
      </c>
      <c r="X45" s="164">
        <f>VALUE(LEFT(AD45,4))-VALUE(LEFT(AD44,4))</f>
        <v>1</v>
      </c>
      <c r="Y45" s="69">
        <f>RIGHT(D45,LEN(D45)-4)/10000</f>
        <v>23.297499999999999</v>
      </c>
      <c r="Z45" s="69">
        <f>RIGHT(H45,LEN(H45)-4)/10000</f>
        <v>1.47E-2</v>
      </c>
      <c r="AA45" s="69">
        <f>ABS(Z45-Y45)</f>
        <v>23.282799999999998</v>
      </c>
      <c r="AB45" s="66" t="e">
        <f>VLOOKUP(A45,Enforcements!$C$7:$K$21,8,0)</f>
        <v>#N/A</v>
      </c>
      <c r="AC45" s="62" t="e">
        <f>VLOOKUP(A45,Enforcements!$C$7:$E$21,3,0)</f>
        <v>#N/A</v>
      </c>
      <c r="AD45" s="63" t="str">
        <f>IF(LEN(A45)=6,"0"&amp;A45,A45)</f>
        <v>0130-04</v>
      </c>
      <c r="AE45" s="9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s3://rtdc.mdm.uploadarchive.raw/RTDC4043/ "%USERPROFILE%\AppData\Local\Temp\OnboardLogs"\RTDC4043\2016-10-04 --exclude "*" --recursive --include "*20161004*" &amp; "%USERPROFILE%\Documents\GitHub\mrs-test-scripts\Headless Mode &amp; Sideloading\WalkAndUnGZ.bat" "%USERPROFILE%\AppData\Local\Temp\OnboardLogs"\RTDC4043\2016-10-04 &amp; aws s3 cp s3://rtdc.mdm.uploadarchive.raw/RTDC4043/ "%USERPROFILE%\AppData\Local\Temp\OnboardLogs"\RTDC4043\2016-10-05 --exclude "*" --recursive --include "*20161005*" &amp; "%USERPROFILE%\Documents\GitHub\mrs-test-scripts\Headless Mode &amp; Sideloading\WalkAndUnGZ.bat" "%USERPROFILE%\AppData\Local\Temp\OnboardLogs"\RTDC4043\2016-10-05</v>
      </c>
      <c r="AF45" s="92" t="str">
        <f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/stypes="app*4043*20161004*" /stext=" 14:.+((SYSTEM_STATE.+slice.+state.+changed )|(ment ac)|(system.+state.+changed )|(\[timeout)|(PRM\|1\|D)|(kpr)|(kdp)|(\|lc)|(penalty))" /e /r /s</v>
      </c>
      <c r="AG45" s="1" t="str">
        <f>IFERROR(IF(VALUE(LEFT(AD45,2))&lt;=2,"EC",IF(OR(VALUE(LEFT(AD45,2))=8,VALUE(LEFT(AD45,2))=18),"NW","Other")),"Other")</f>
        <v>EC</v>
      </c>
      <c r="AH45" s="96" t="str">
        <f t="shared" si="2"/>
        <v>"%USERPROFILE%\Documents\GitHub\eaglep3\Utilities\RefineRTDCRunTimes.py" --tripid 130-04 --locoid 4043 --swversion DE.1.0.7.0 --startMP 204:232975 --initTime 2016-10-04T08:16:47 --startdatetime 2016-10-04T08:18:23 --delay 0 --endMP 204:147 --enddatetime 2016-10-04T08:57:51 --enforcementcount 0 &gt;&gt;C:\Users\stu\Documents\GitHub\eaglep3-reporting\EC\2016-10-04-refined-times.txt</v>
      </c>
      <c r="AI45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{"issue":{"subject":"","project_id":79,"tracker_id":40,"status_id":1,"priority_id":2,"assigned_to_id":23,"start_date":"2016-10-04","description":"","custom_fields":[{"id":1,"name":"Subdivision","value":"EC"},{"id":4,"name":"Milepost","value":"0.0147"},{"id":17,"name":"Train ID","value":"130-04"},{"id":16,"name":"Locomotive ID","value":"4043"},{"id":130,"name":"Impact","value":""},{"id":150,"name":"Time of Event (Mountain Time)","value":"08:57:51"},{"id":151,"name":"Denver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5"/>
      <c r="AK45" s="55"/>
      <c r="AL45" s="55"/>
    </row>
    <row r="46" spans="1:38" s="1" customFormat="1" x14ac:dyDescent="0.25">
      <c r="A46" s="39" t="s">
        <v>409</v>
      </c>
      <c r="B46" s="7">
        <v>4007</v>
      </c>
      <c r="C46" s="24" t="s">
        <v>106</v>
      </c>
      <c r="D46" s="24" t="s">
        <v>207</v>
      </c>
      <c r="E46" s="15">
        <v>42647.308368055557</v>
      </c>
      <c r="F46" s="15">
        <v>42647.312696759262</v>
      </c>
      <c r="G46" s="7">
        <v>1</v>
      </c>
      <c r="H46" s="15" t="s">
        <v>299</v>
      </c>
      <c r="I46" s="15">
        <v>42647.354895833334</v>
      </c>
      <c r="J46" s="7">
        <v>0</v>
      </c>
      <c r="K46" s="117" t="str">
        <f>IF(ISEVEN(B46),(B46-1)&amp;"/"&amp;B46,B46&amp;"/"&amp;(B46+1))</f>
        <v>4007/4008</v>
      </c>
      <c r="L46" s="24" t="str">
        <f>VLOOKUP(A46,'Trips&amp;Operators'!$C$1:$E$10000,3,FALSE)</f>
        <v>ACKERMAN</v>
      </c>
      <c r="M46" s="6">
        <f>I46-F46</f>
        <v>4.2199074072414078E-2</v>
      </c>
      <c r="N46" s="7">
        <f>24*60*SUM($M46:$M46)</f>
        <v>60.766666664276272</v>
      </c>
      <c r="O46" s="7"/>
      <c r="P46" s="7"/>
      <c r="Q46" s="25"/>
      <c r="R46" s="25" t="s">
        <v>787</v>
      </c>
      <c r="S46" s="37">
        <f>SUM(U46:U46)/IF(AG46="EC",12,1)</f>
        <v>1</v>
      </c>
      <c r="T46" s="52" t="str">
        <f>IF(ISEVEN(LEFT(AD46,4)),"Southbound","NorthBound")</f>
        <v>NorthBound</v>
      </c>
      <c r="U46" s="159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02" t="str">
        <f>"https://search-rtdc-monitor-bjffxe2xuh6vdkpspy63sjmuny.us-east-1.es.amazonaws.com/_plugin/kibana/#/discover/Steve-Slow-Train-Analysis-(2080s-and-2083s)?_g=(refreshInterval:(display:Off,section:0,value:0),time:(from:'"&amp;TEXT(E46-1/24,"yyyy-MM-DD hh:mm:ss")&amp;"-0600',mode:absolute,to:'"&amp;TEXT(I46+1/24,"yyyy-MM-DD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46&amp;"%22')),sort:!(Time,asc))"</f>
        <v>https://search-rtdc-monitor-bjffxe2xuh6vdkpspy63sjmuny.us-east-1.es.amazonaws.com/_plugin/kibana/#/discover/Steve-Slow-Train-Analysis-(2080s-and-2083s)?_g=(refreshInterval:(display:Off,section:0,value:0),time:(from:'2016-10-04 06:24:03-0600',mode:absolute,to:'2016-10-04 09:31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46" s="54" t="str">
        <f>IF(AA46&lt;IF(AG46="EC",23,5.65),"Y","N")</f>
        <v>N</v>
      </c>
      <c r="X46" s="164">
        <f>VALUE(LEFT(AD46,4))-VALUE(LEFT(AD45,4))</f>
        <v>1</v>
      </c>
      <c r="Y46" s="69">
        <f>RIGHT(D46,LEN(D46)-4)/10000</f>
        <v>4.6199999999999998E-2</v>
      </c>
      <c r="Z46" s="69">
        <f>RIGHT(H46,LEN(H46)-4)/10000</f>
        <v>23.329699999999999</v>
      </c>
      <c r="AA46" s="69">
        <f>ABS(Z46-Y46)</f>
        <v>23.2835</v>
      </c>
      <c r="AB46" s="66" t="e">
        <f>VLOOKUP(A46,Enforcements!$C$7:$K$21,8,0)</f>
        <v>#N/A</v>
      </c>
      <c r="AC46" s="62" t="e">
        <f>VLOOKUP(A46,Enforcements!$C$7:$E$21,3,0)</f>
        <v>#N/A</v>
      </c>
      <c r="AD46" s="63" t="str">
        <f>IF(LEN(A46)=6,"0"&amp;A46,A46)</f>
        <v>0131-04</v>
      </c>
      <c r="AE46" s="9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s3://rtdc.mdm.uploadarchive.raw/RTDC4007/ "%USERPROFILE%\AppData\Local\Temp\OnboardLogs"\RTDC4007\2016-10-04 --exclude "*" --recursive --include "*20161004*" &amp; "%USERPROFILE%\Documents\GitHub\mrs-test-scripts\Headless Mode &amp; Sideloading\WalkAndUnGZ.bat" "%USERPROFILE%\AppData\Local\Temp\OnboardLogs"\RTDC4007\2016-10-04 &amp; aws s3 cp s3://rtdc.mdm.uploadarchive.raw/RTDC4007/ "%USERPROFILE%\AppData\Local\Temp\OnboardLogs"\RTDC4007\2016-10-05 --exclude "*" --recursive --include "*20161005*" &amp; "%USERPROFILE%\Documents\GitHub\mrs-test-scripts\Headless Mode &amp; Sideloading\WalkAndUnGZ.bat" "%USERPROFILE%\AppData\Local\Temp\OnboardLogs"\RTDC4007\2016-10-05</v>
      </c>
      <c r="AF46" s="92" t="str">
        <f>astrogrep_path&amp;" /spath="&amp;search_path&amp;" /stypes=""app*"&amp;B46&amp;"*"&amp;TEXT(I46-utc_offset/24,"YYYYMMDD")&amp;"*"" /stext="" "&amp;TEXT(I46-utc_offset/24,"HH")&amp;search_regexp&amp;""" /e /r /s"</f>
        <v>"C:\Program Files (x86)\AstroGrep\AstroGrep.exe" /spath="%USERPROFILE%\AppData\Local\Temp\OnboardLogs" /stypes="app*4007*20161004*" /stext=" 14:.+((SYSTEM_STATE.+slice.+state.+changed )|(ment ac)|(system.+state.+changed )|(\[timeout)|(PRM\|1\|D)|(kpr)|(kdp)|(\|lc)|(penalty))" /e /r /s</v>
      </c>
      <c r="AG46" s="1" t="str">
        <f>IFERROR(IF(VALUE(LEFT(AD46,2))&lt;=2,"EC",IF(OR(VALUE(LEFT(AD46,2))=8,VALUE(LEFT(AD46,2))=18),"NW","Other")),"Other")</f>
        <v>EC</v>
      </c>
      <c r="AH46" s="96" t="str">
        <f t="shared" si="2"/>
        <v>"%USERPROFILE%\Documents\GitHub\eaglep3\Utilities\RefineRTDCRunTimes.py" --tripid 131-04 --locoid 4007 --swversion DE.1.0.7.0 --startMP 204:462 --initTime 2016-10-04T07:24:03 --startdatetime 2016-10-04T07:30:17 --delay 1 --endMP 204:233297 --enddatetime 2016-10-04T08:31:03 --enforcementcount 0 &gt;&gt;C:\Users\stu\Documents\GitHub\eaglep3-reporting\EC\2016-10-04-refined-times.txt</v>
      </c>
      <c r="AI46" s="130" t="str">
        <f t="shared" si="3"/>
        <v>echo {"issue":{"subject":"Delayed at Sand Creek 2N","project_id":79,"tracker_id":40,"status_id":1,"priority_id":2,"assigned_to_id":23,"start_date":"2016-10-04","description":"","custom_fields":[{"id":1,"name":"Subdivision","value":"EC"},{"id":4,"name":"Milepost","value":"23.3297"},{"id":17,"name":"Train ID","value":"131-04"},{"id":16,"name":"Locomotive ID","value":"4007"},{"id":130,"name":"Impact","value":""},{"id":150,"name":"Time of Event (Mountain Time)","value":"08:31:03"},{"id":151,"name":"Denver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5"/>
      <c r="AK46" s="55"/>
      <c r="AL46" s="55"/>
    </row>
    <row r="47" spans="1:38" s="1" customFormat="1" x14ac:dyDescent="0.25">
      <c r="A47" s="39" t="s">
        <v>422</v>
      </c>
      <c r="B47" s="7">
        <v>4008</v>
      </c>
      <c r="C47" s="24" t="s">
        <v>106</v>
      </c>
      <c r="D47" s="24" t="s">
        <v>261</v>
      </c>
      <c r="E47" s="15">
        <v>42647.356134259258</v>
      </c>
      <c r="F47" s="15">
        <v>42647.358136574076</v>
      </c>
      <c r="G47" s="7">
        <v>1</v>
      </c>
      <c r="H47" s="15" t="s">
        <v>247</v>
      </c>
      <c r="I47" s="15">
        <v>42647.386423611111</v>
      </c>
      <c r="J47" s="7">
        <v>0</v>
      </c>
      <c r="K47" s="117" t="str">
        <f>IF(ISEVEN(B47),(B47-1)&amp;"/"&amp;B47,B47&amp;"/"&amp;(B47+1))</f>
        <v>4007/4008</v>
      </c>
      <c r="L47" s="24" t="str">
        <f>VLOOKUP(A47,'Trips&amp;Operators'!$C$1:$E$10000,3,FALSE)</f>
        <v>ACKERMAN</v>
      </c>
      <c r="M47" s="6">
        <f>I47-F47</f>
        <v>2.8287037035624962E-2</v>
      </c>
      <c r="N47" s="7">
        <f>24*60*SUM($M47:$M47)</f>
        <v>40.733333331299946</v>
      </c>
      <c r="O47" s="7"/>
      <c r="P47" s="7"/>
      <c r="Q47" s="25"/>
      <c r="R47" s="25"/>
      <c r="S47" s="37">
        <f>SUM(U47:U47)/IF(AG47="EC",12,1)</f>
        <v>1</v>
      </c>
      <c r="T47" s="52" t="str">
        <f>IF(ISEVEN(LEFT(AD47,4)),"Southbound","NorthBound")</f>
        <v>Southbound</v>
      </c>
      <c r="U47" s="159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02" t="str">
        <f>"https://search-rtdc-monitor-bjffxe2xuh6vdkpspy63sjmuny.us-east-1.es.amazonaws.com/_plugin/kibana/#/discover/Steve-Slow-Train-Analysis-(2080s-and-2083s)?_g=(refreshInterval:(display:Off,section:0,value:0),time:(from:'"&amp;TEXT(E47-1/24,"yyyy-MM-DD hh:mm:ss")&amp;"-0600',mode:absolute,to:'"&amp;TEXT(I47+1/24,"yyyy-MM-DD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47&amp;"%22')),sort:!(Time,asc))"</f>
        <v>https://search-rtdc-monitor-bjffxe2xuh6vdkpspy63sjmuny.us-east-1.es.amazonaws.com/_plugin/kibana/#/discover/Steve-Slow-Train-Analysis-(2080s-and-2083s)?_g=(refreshInterval:(display:Off,section:0,value:0),time:(from:'2016-10-04 07:32:50-0600',mode:absolute,to:'2016-10-04 10:16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47" s="54" t="str">
        <f>IF(AA47&lt;IF(AG47="EC",23,5.65),"Y","N")</f>
        <v>N</v>
      </c>
      <c r="X47" s="164">
        <f>VALUE(LEFT(AD47,4))-VALUE(LEFT(AD46,4))</f>
        <v>1</v>
      </c>
      <c r="Y47" s="69">
        <f>RIGHT(D47,LEN(D47)-4)/10000</f>
        <v>23.296900000000001</v>
      </c>
      <c r="Z47" s="69">
        <f>RIGHT(H47,LEN(H47)-4)/10000</f>
        <v>1.3899999999999999E-2</v>
      </c>
      <c r="AA47" s="69">
        <f>ABS(Z47-Y47)</f>
        <v>23.283000000000001</v>
      </c>
      <c r="AB47" s="66" t="e">
        <f>VLOOKUP(A47,Enforcements!$C$7:$K$21,8,0)</f>
        <v>#N/A</v>
      </c>
      <c r="AC47" s="62" t="e">
        <f>VLOOKUP(A47,Enforcements!$C$7:$E$21,3,0)</f>
        <v>#N/A</v>
      </c>
      <c r="AD47" s="63" t="str">
        <f>IF(LEN(A47)=6,"0"&amp;A47,A47)</f>
        <v>0132-04</v>
      </c>
      <c r="AE47" s="9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s3://rtdc.mdm.uploadarchive.raw/RTDC4008/ "%USERPROFILE%\AppData\Local\Temp\OnboardLogs"\RTDC4008\2016-10-04 --exclude "*" --recursive --include "*20161004*" &amp; "%USERPROFILE%\Documents\GitHub\mrs-test-scripts\Headless Mode &amp; Sideloading\WalkAndUnGZ.bat" "%USERPROFILE%\AppData\Local\Temp\OnboardLogs"\RTDC4008\2016-10-04 &amp; aws s3 cp s3://rtdc.mdm.uploadarchive.raw/RTDC4008/ "%USERPROFILE%\AppData\Local\Temp\OnboardLogs"\RTDC4008\2016-10-05 --exclude "*" --recursive --include "*20161005*" &amp; "%USERPROFILE%\Documents\GitHub\mrs-test-scripts\Headless Mode &amp; Sideloading\WalkAndUnGZ.bat" "%USERPROFILE%\AppData\Local\Temp\OnboardLogs"\RTDC4008\2016-10-05</v>
      </c>
      <c r="AF47" s="92" t="str">
        <f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/stypes="app*4008*20161004*" /stext=" 15:.+((SYSTEM_STATE.+slice.+state.+changed )|(ment ac)|(system.+state.+changed )|(\[timeout)|(PRM\|1\|D)|(kpr)|(kdp)|(\|lc)|(penalty))" /e /r /s</v>
      </c>
      <c r="AG47" s="1" t="str">
        <f>IFERROR(IF(VALUE(LEFT(AD47,2))&lt;=2,"EC",IF(OR(VALUE(LEFT(AD47,2))=8,VALUE(LEFT(AD47,2))=18),"NW","Other")),"Other")</f>
        <v>EC</v>
      </c>
      <c r="AH47" s="96" t="str">
        <f t="shared" si="2"/>
        <v>"%USERPROFILE%\Documents\GitHub\eaglep3\Utilities\RefineRTDCRunTimes.py" --tripid 132-04 --locoid 4008 --swversion DE.1.0.7.0 --startMP 204:232969 --initTime 2016-10-04T08:32:50 --startdatetime 2016-10-04T08:35:43 --delay 1 --endMP 204:139 --enddatetime 2016-10-04T09:16:27 --enforcementcount 0 &gt;&gt;C:\Users\stu\Documents\GitHub\eaglep3-reporting\EC\2016-10-04-refined-times.txt</v>
      </c>
      <c r="AI47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{"issue":{"subject":"","project_id":79,"tracker_id":40,"status_id":1,"priority_id":2,"assigned_to_id":23,"start_date":"2016-10-04","description":"","custom_fields":[{"id":1,"name":"Subdivision","value":"EC"},{"id":4,"name":"Milepost","value":"0.0139"},{"id":17,"name":"Train ID","value":"132-04"},{"id":16,"name":"Locomotive ID","value":"4008"},{"id":130,"name":"Impact","value":""},{"id":150,"name":"Time of Event (Mountain Time)","value":"09:16:27"},{"id":151,"name":"Denver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5"/>
      <c r="AK47" s="55"/>
      <c r="AL47" s="55"/>
    </row>
    <row r="48" spans="1:38" s="1" customFormat="1" x14ac:dyDescent="0.25">
      <c r="A48" s="39" t="s">
        <v>412</v>
      </c>
      <c r="B48" s="7">
        <v>4029</v>
      </c>
      <c r="C48" s="24" t="s">
        <v>106</v>
      </c>
      <c r="D48" s="24" t="s">
        <v>624</v>
      </c>
      <c r="E48" s="15">
        <v>42647.31863425926</v>
      </c>
      <c r="F48" s="15">
        <v>42647.323113425926</v>
      </c>
      <c r="G48" s="7">
        <v>1</v>
      </c>
      <c r="H48" s="15" t="s">
        <v>299</v>
      </c>
      <c r="I48" s="15">
        <v>42647.361342592594</v>
      </c>
      <c r="J48" s="7">
        <v>0</v>
      </c>
      <c r="K48" s="117" t="str">
        <f>IF(ISEVEN(B48),(B48-1)&amp;"/"&amp;B48,B48&amp;"/"&amp;(B48+1))</f>
        <v>4029/4030</v>
      </c>
      <c r="L48" s="24" t="str">
        <f>VLOOKUP(A48,'Trips&amp;Operators'!$C$1:$E$10000,3,FALSE)</f>
        <v>BRANNON</v>
      </c>
      <c r="M48" s="6">
        <f>I48-F48</f>
        <v>3.8229166668315884E-2</v>
      </c>
      <c r="N48" s="7">
        <f>24*60*SUM($M48:$M48)</f>
        <v>55.050000002374873</v>
      </c>
      <c r="O48" s="7"/>
      <c r="P48" s="7"/>
      <c r="Q48" s="25"/>
      <c r="R48" s="25" t="s">
        <v>788</v>
      </c>
      <c r="S48" s="37">
        <f>SUM(U48:U48)/IF(AG48="EC",12,1)</f>
        <v>1</v>
      </c>
      <c r="T48" s="52" t="str">
        <f>IF(ISEVEN(LEFT(AD48,4)),"Southbound","NorthBound")</f>
        <v>NorthBound</v>
      </c>
      <c r="U48" s="159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02" t="str">
        <f>"https://search-rtdc-monitor-bjffxe2xuh6vdkpspy63sjmuny.us-east-1.es.amazonaws.com/_plugin/kibana/#/discover/Steve-Slow-Train-Analysis-(2080s-and-2083s)?_g=(refreshInterval:(display:Off,section:0,value:0),time:(from:'"&amp;TEXT(E48-1/24,"yyyy-MM-DD hh:mm:ss")&amp;"-0600',mode:absolute,to:'"&amp;TEXT(I48+1/24,"yyyy-MM-DD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48&amp;"%22')),sort:!(Time,asc))"</f>
        <v>https://search-rtdc-monitor-bjffxe2xuh6vdkpspy63sjmuny.us-east-1.es.amazonaws.com/_plugin/kibana/#/discover/Steve-Slow-Train-Analysis-(2080s-and-2083s)?_g=(refreshInterval:(display:Off,section:0,value:0),time:(from:'2016-10-04 06:38:50-0600',mode:absolute,to:'2016-10-04 09:40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48" s="54" t="str">
        <f>IF(AA48&lt;IF(AG48="EC",23,5.65),"Y","N")</f>
        <v>N</v>
      </c>
      <c r="X48" s="164">
        <f>VALUE(LEFT(AD48,4))-VALUE(LEFT(AD47,4))</f>
        <v>1</v>
      </c>
      <c r="Y48" s="69">
        <f>RIGHT(D48,LEN(D48)-4)/10000</f>
        <v>4.2700000000000002E-2</v>
      </c>
      <c r="Z48" s="69">
        <f>RIGHT(H48,LEN(H48)-4)/10000</f>
        <v>23.329699999999999</v>
      </c>
      <c r="AA48" s="69">
        <f>ABS(Z48-Y48)</f>
        <v>23.286999999999999</v>
      </c>
      <c r="AB48" s="66" t="e">
        <f>VLOOKUP(A48,Enforcements!$C$7:$K$21,8,0)</f>
        <v>#N/A</v>
      </c>
      <c r="AC48" s="62" t="e">
        <f>VLOOKUP(A48,Enforcements!$C$7:$E$21,3,0)</f>
        <v>#N/A</v>
      </c>
      <c r="AD48" s="63" t="str">
        <f>IF(LEN(A48)=6,"0"&amp;A48,A48)</f>
        <v>0133-04</v>
      </c>
      <c r="AE48" s="9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s3://rtdc.mdm.uploadarchive.raw/RTDC4029/ "%USERPROFILE%\AppData\Local\Temp\OnboardLogs"\RTDC4029\2016-10-04 --exclude "*" --recursive --include "*20161004*" &amp; "%USERPROFILE%\Documents\GitHub\mrs-test-scripts\Headless Mode &amp; Sideloading\WalkAndUnGZ.bat" "%USERPROFILE%\AppData\Local\Temp\OnboardLogs"\RTDC4029\2016-10-04 &amp; aws s3 cp s3://rtdc.mdm.uploadarchive.raw/RTDC4029/ "%USERPROFILE%\AppData\Local\Temp\OnboardLogs"\RTDC4029\2016-10-05 --exclude "*" --recursive --include "*20161005*" &amp; "%USERPROFILE%\Documents\GitHub\mrs-test-scripts\Headless Mode &amp; Sideloading\WalkAndUnGZ.bat" "%USERPROFILE%\AppData\Local\Temp\OnboardLogs"\RTDC4029\2016-10-05</v>
      </c>
      <c r="AF48" s="92" t="str">
        <f>astrogrep_path&amp;" /spath="&amp;search_path&amp;" /stypes=""app*"&amp;B48&amp;"*"&amp;TEXT(I48-utc_offset/24,"YYYYMMDD")&amp;"*"" /stext="" "&amp;TEXT(I48-utc_offset/24,"HH")&amp;search_regexp&amp;""" /e /r /s"</f>
        <v>"C:\Program Files (x86)\AstroGrep\AstroGrep.exe" /spath="%USERPROFILE%\AppData\Local\Temp\OnboardLogs" /stypes="app*4029*20161004*" /stext=" 14:.+((SYSTEM_STATE.+slice.+state.+changed )|(ment ac)|(system.+state.+changed )|(\[timeout)|(PRM\|1\|D)|(kpr)|(kdp)|(\|lc)|(penalty))" /e /r /s</v>
      </c>
      <c r="AG48" s="1" t="str">
        <f>IFERROR(IF(VALUE(LEFT(AD48,2))&lt;=2,"EC",IF(OR(VALUE(LEFT(AD48,2))=8,VALUE(LEFT(AD48,2))=18),"NW","Other")),"Other")</f>
        <v>EC</v>
      </c>
      <c r="AH48" s="96" t="str">
        <f t="shared" si="2"/>
        <v>"%USERPROFILE%\Documents\GitHub\eaglep3\Utilities\RefineRTDCRunTimes.py" --tripid 133-04 --locoid 4029 --swversion DE.1.0.7.0 --startMP 204:427 --initTime 2016-10-04T07:38:50 --startdatetime 2016-10-04T07:45:17 --delay 1 --endMP 204:233297 --enddatetime 2016-10-04T08:40:20 --enforcementcount 0 &gt;&gt;C:\Users\stu\Documents\GitHub\eaglep3-reporting\EC\2016-10-04-refined-times.txt</v>
      </c>
      <c r="AI48" s="130" t="str">
        <f t="shared" si="3"/>
        <v>echo {"issue":{"subject":"Delayed at Sand Creek and 61st 2N","project_id":79,"tracker_id":40,"status_id":1,"priority_id":2,"assigned_to_id":23,"start_date":"2016-10-04","description":"","custom_fields":[{"id":1,"name":"Subdivision","value":"EC"},{"id":4,"name":"Milepost","value":"23.3297"},{"id":17,"name":"Train ID","value":"133-04"},{"id":16,"name":"Locomotive ID","value":"4029"},{"id":130,"name":"Impact","value":""},{"id":150,"name":"Time of Event (Mountain Time)","value":"08:40:20"},{"id":151,"name":"Denver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5"/>
      <c r="AK48" s="55"/>
      <c r="AL48" s="55"/>
    </row>
    <row r="49" spans="1:38" s="1" customFormat="1" x14ac:dyDescent="0.25">
      <c r="A49" s="39" t="s">
        <v>425</v>
      </c>
      <c r="B49" s="7">
        <v>4030</v>
      </c>
      <c r="C49" s="24" t="s">
        <v>106</v>
      </c>
      <c r="D49" s="24" t="s">
        <v>239</v>
      </c>
      <c r="E49" s="15">
        <v>42647.366782407407</v>
      </c>
      <c r="F49" s="15">
        <v>42647.368148148147</v>
      </c>
      <c r="G49" s="7">
        <v>1</v>
      </c>
      <c r="H49" s="15" t="s">
        <v>206</v>
      </c>
      <c r="I49" s="15">
        <v>42647.399236111109</v>
      </c>
      <c r="J49" s="7">
        <v>0</v>
      </c>
      <c r="K49" s="117" t="str">
        <f>IF(ISEVEN(B49),(B49-1)&amp;"/"&amp;B49,B49&amp;"/"&amp;(B49+1))</f>
        <v>4029/4030</v>
      </c>
      <c r="L49" s="24" t="str">
        <f>VLOOKUP(A49,'Trips&amp;Operators'!$C$1:$E$10000,3,FALSE)</f>
        <v>BRANNON</v>
      </c>
      <c r="M49" s="6">
        <f>I49-F49</f>
        <v>3.1087962961464655E-2</v>
      </c>
      <c r="N49" s="7">
        <f>24*60*SUM($M49:$M49)</f>
        <v>44.766666664509103</v>
      </c>
      <c r="O49" s="7"/>
      <c r="P49" s="7"/>
      <c r="Q49" s="25"/>
      <c r="R49" s="25"/>
      <c r="S49" s="37">
        <f>SUM(U49:U49)/IF(AG49="EC",12,1)</f>
        <v>1</v>
      </c>
      <c r="T49" s="52" t="str">
        <f>IF(ISEVEN(LEFT(AD49,4)),"Southbound","NorthBound")</f>
        <v>Southbound</v>
      </c>
      <c r="U49" s="159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02" t="str">
        <f>"https://search-rtdc-monitor-bjffxe2xuh6vdkpspy63sjmuny.us-east-1.es.amazonaws.com/_plugin/kibana/#/discover/Steve-Slow-Train-Analysis-(2080s-and-2083s)?_g=(refreshInterval:(display:Off,section:0,value:0),time:(from:'"&amp;TEXT(E49-1/24,"yyyy-MM-DD hh:mm:ss")&amp;"-0600',mode:absolute,to:'"&amp;TEXT(I49+1/24,"yyyy-MM-DD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49&amp;"%22')),sort:!(Time,asc))"</f>
        <v>https://search-rtdc-monitor-bjffxe2xuh6vdkpspy63sjmuny.us-east-1.es.amazonaws.com/_plugin/kibana/#/discover/Steve-Slow-Train-Analysis-(2080s-and-2083s)?_g=(refreshInterval:(display:Off,section:0,value:0),time:(from:'2016-10-04 07:48:10-0600',mode:absolute,to:'2016-10-04 10:34:54-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49" s="54" t="str">
        <f>IF(AA49&lt;IF(AG49="EC",23,5.65),"Y","N")</f>
        <v>N</v>
      </c>
      <c r="X49" s="164">
        <f>VALUE(LEFT(AD49,4))-VALUE(LEFT(AD48,4))</f>
        <v>1</v>
      </c>
      <c r="Y49" s="69">
        <f>RIGHT(D49,LEN(D49)-4)/10000</f>
        <v>23.2988</v>
      </c>
      <c r="Z49" s="69">
        <f>RIGHT(H49,LEN(H49)-4)/10000</f>
        <v>1.38E-2</v>
      </c>
      <c r="AA49" s="69">
        <f>ABS(Z49-Y49)</f>
        <v>23.285</v>
      </c>
      <c r="AB49" s="66" t="e">
        <f>VLOOKUP(A49,Enforcements!$C$7:$K$21,8,0)</f>
        <v>#N/A</v>
      </c>
      <c r="AC49" s="62" t="e">
        <f>VLOOKUP(A49,Enforcements!$C$7:$E$21,3,0)</f>
        <v>#N/A</v>
      </c>
      <c r="AD49" s="63" t="str">
        <f>IF(LEN(A49)=6,"0"&amp;A49,A49)</f>
        <v>0134-04</v>
      </c>
      <c r="AE49" s="9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s3://rtdc.mdm.uploadarchive.raw/RTDC4030/ "%USERPROFILE%\AppData\Local\Temp\OnboardLogs"\RTDC4030\2016-10-04 --exclude "*" --recursive --include "*20161004*" &amp; "%USERPROFILE%\Documents\GitHub\mrs-test-scripts\Headless Mode &amp; Sideloading\WalkAndUnGZ.bat" "%USERPROFILE%\AppData\Local\Temp\OnboardLogs"\RTDC4030\2016-10-04 &amp; aws s3 cp s3://rtdc.mdm.uploadarchive.raw/RTDC4030/ "%USERPROFILE%\AppData\Local\Temp\OnboardLogs"\RTDC4030\2016-10-05 --exclude "*" --recursive --include "*20161005*" &amp; "%USERPROFILE%\Documents\GitHub\mrs-test-scripts\Headless Mode &amp; Sideloading\WalkAndUnGZ.bat" "%USERPROFILE%\AppData\Local\Temp\OnboardLogs"\RTDC4030\2016-10-05</v>
      </c>
      <c r="AF49" s="92" t="str">
        <f>astrogrep_path&amp;" /spath="&amp;search_path&amp;" /stypes=""app*"&amp;B49&amp;"*"&amp;TEXT(I49-utc_offset/24,"YYYYMMDD")&amp;"*"" /stext="" "&amp;TEXT(I49-utc_offset/24,"HH")&amp;search_regexp&amp;""" /e /r /s"</f>
        <v>"C:\Program Files (x86)\AstroGrep\AstroGrep.exe" /spath="%USERPROFILE%\AppData\Local\Temp\OnboardLogs" /stypes="app*4030*20161004*" /stext=" 15:.+((SYSTEM_STATE.+slice.+state.+changed )|(ment ac)|(system.+state.+changed )|(\[timeout)|(PRM\|1\|D)|(kpr)|(kdp)|(\|lc)|(penalty))" /e /r /s</v>
      </c>
      <c r="AG49" s="1" t="str">
        <f>IFERROR(IF(VALUE(LEFT(AD49,2))&lt;=2,"EC",IF(OR(VALUE(LEFT(AD49,2))=8,VALUE(LEFT(AD49,2))=18),"NW","Other")),"Other")</f>
        <v>EC</v>
      </c>
      <c r="AH49" s="96" t="str">
        <f t="shared" si="2"/>
        <v>"%USERPROFILE%\Documents\GitHub\eaglep3\Utilities\RefineRTDCRunTimes.py" --tripid 134-04 --locoid 4030 --swversion DE.1.0.7.0 --startMP 204:232988 --initTime 2016-10-04T08:48:10 --startdatetime 2016-10-04T08:50:08 --delay 1 --endMP 204:138 --enddatetime 2016-10-04T09:34:54 --enforcementcount 0 &gt;&gt;C:\Users\stu\Documents\GitHub\eaglep3-reporting\EC\2016-10-04-refined-times.txt</v>
      </c>
      <c r="AI49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{"issue":{"subject":"","project_id":79,"tracker_id":40,"status_id":1,"priority_id":2,"assigned_to_id":23,"start_date":"2016-10-04","description":"","custom_fields":[{"id":1,"name":"Subdivision","value":"EC"},{"id":4,"name":"Milepost","value":"0.0138"},{"id":17,"name":"Train ID","value":"134-04"},{"id":16,"name":"Locomotive ID","value":"4030"},{"id":130,"name":"Impact","value":""},{"id":150,"name":"Time of Event (Mountain Time)","value":"09:34:54"},{"id":151,"name":"Denver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5"/>
      <c r="AK49" s="55"/>
      <c r="AL49" s="55"/>
    </row>
    <row r="50" spans="1:38" s="1" customFormat="1" x14ac:dyDescent="0.25">
      <c r="A50" s="39" t="s">
        <v>415</v>
      </c>
      <c r="B50" s="7">
        <v>4025</v>
      </c>
      <c r="C50" s="24" t="s">
        <v>106</v>
      </c>
      <c r="D50" s="24" t="s">
        <v>625</v>
      </c>
      <c r="E50" s="15">
        <v>42647.367800925924</v>
      </c>
      <c r="F50" s="15">
        <v>42647.368298611109</v>
      </c>
      <c r="G50" s="7">
        <v>0</v>
      </c>
      <c r="H50" s="15" t="s">
        <v>626</v>
      </c>
      <c r="I50" s="15">
        <v>42647.378310185188</v>
      </c>
      <c r="J50" s="7">
        <v>0</v>
      </c>
      <c r="K50" s="117" t="str">
        <f>IF(ISEVEN(B50),(B50-1)&amp;"/"&amp;B50,B50&amp;"/"&amp;(B50+1))</f>
        <v>4025/4026</v>
      </c>
      <c r="L50" s="24" t="str">
        <f>VLOOKUP(A50,'Trips&amp;Operators'!$C$1:$E$10000,3,FALSE)</f>
        <v>SPECTOR</v>
      </c>
      <c r="M50" s="6">
        <f>I50-F50</f>
        <v>1.0011574078816921E-2</v>
      </c>
      <c r="N50" s="7"/>
      <c r="O50" s="7"/>
      <c r="P50" s="7">
        <f>24*60*SUM($M50:$M51)</f>
        <v>43.533333336235955</v>
      </c>
      <c r="Q50" s="25"/>
      <c r="R50" s="25" t="s">
        <v>789</v>
      </c>
      <c r="S50" s="37">
        <f>SUM(U50:U51)/IF(AG50="EC",12,1)</f>
        <v>0.75</v>
      </c>
      <c r="T50" s="52" t="str">
        <f>IF(ISEVEN(LEFT(AD50,4)),"Southbound","NorthBound")</f>
        <v>NorthBound</v>
      </c>
      <c r="U50" s="159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0</v>
      </c>
      <c r="V50" s="102" t="str">
        <f>"https://search-rtdc-monitor-bjffxe2xuh6vdkpspy63sjmuny.us-east-1.es.amazonaws.com/_plugin/kibana/#/discover/Steve-Slow-Train-Analysis-(2080s-and-2083s)?_g=(refreshInterval:(display:Off,section:0,value:0),time:(from:'"&amp;TEXT(E50-1/24,"yyyy-MM-DD hh:mm:ss")&amp;"-0600',mode:absolute,to:'"&amp;TEXT(I50+1/24,"yyyy-MM-DD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50&amp;"%22')),sort:!(Time,asc))"</f>
        <v>https://search-rtdc-monitor-bjffxe2xuh6vdkpspy63sjmuny.us-east-1.es.amazonaws.com/_plugin/kibana/#/discover/Steve-Slow-Train-Analysis-(2080s-and-2083s)?_g=(refreshInterval:(display:Off,section:0,value:0),time:(from:'2016-10-04 07:49:38-0600',mode:absolute,to:'2016-10-04 10:04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0" s="54" t="str">
        <f>IF(AA50&lt;IF(AG50="EC",23,5.65),"Y","N")</f>
        <v>Y</v>
      </c>
      <c r="X50" s="164">
        <f>VALUE(LEFT(AD50,4))-VALUE(LEFT(AD49,4))</f>
        <v>1</v>
      </c>
      <c r="Y50" s="69">
        <f>RIGHT(D50,LEN(D50)-4)/10000</f>
        <v>12.8283</v>
      </c>
      <c r="Z50" s="69">
        <f>RIGHT(H50,LEN(H50)-4)/10000</f>
        <v>23.331700000000001</v>
      </c>
      <c r="AA50" s="69">
        <f>ABS(Z50-Y50)</f>
        <v>10.503400000000001</v>
      </c>
      <c r="AB50" s="66" t="e">
        <f>VLOOKUP(A50,Enforcements!$C$7:$K$21,8,0)</f>
        <v>#N/A</v>
      </c>
      <c r="AC50" s="62" t="e">
        <f>VLOOKUP(A50,Enforcements!$C$7:$E$21,3,0)</f>
        <v>#N/A</v>
      </c>
      <c r="AD50" s="63" t="str">
        <f>IF(LEN(A50)=6,"0"&amp;A50,A50)</f>
        <v>0135-04</v>
      </c>
      <c r="AE50" s="9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s3://rtdc.mdm.uploadarchive.raw/RTDC4025/ "%USERPROFILE%\AppData\Local\Temp\OnboardLogs"\RTDC4025\2016-10-04 --exclude "*" --recursive --include "*20161004*" &amp; "%USERPROFILE%\Documents\GitHub\mrs-test-scripts\Headless Mode &amp; Sideloading\WalkAndUnGZ.bat" "%USERPROFILE%\AppData\Local\Temp\OnboardLogs"\RTDC4025\2016-10-04 &amp; aws s3 cp s3://rtdc.mdm.uploadarchive.raw/RTDC4025/ "%USERPROFILE%\AppData\Local\Temp\OnboardLogs"\RTDC4025\2016-10-05 --exclude "*" --recursive --include "*20161005*" &amp; "%USERPROFILE%\Documents\GitHub\mrs-test-scripts\Headless Mode &amp; Sideloading\WalkAndUnGZ.bat" "%USERPROFILE%\AppData\Local\Temp\OnboardLogs"\RTDC4025\2016-10-05</v>
      </c>
      <c r="AF50" s="92" t="str">
        <f>astrogrep_path&amp;" /spath="&amp;search_path&amp;" /stypes=""app*"&amp;B50&amp;"*"&amp;TEXT(I50-utc_offset/24,"YYYYMMDD")&amp;"*"" /stext="" "&amp;TEXT(I50-utc_offset/24,"HH")&amp;search_regexp&amp;""" /e /r /s"</f>
        <v>"C:\Program Files (x86)\AstroGrep\AstroGrep.exe" /spath="%USERPROFILE%\AppData\Local\Temp\OnboardLogs" /stypes="app*4025*20161004*" /stext=" 15:.+((SYSTEM_STATE.+slice.+state.+changed )|(ment ac)|(system.+state.+changed )|(\[timeout)|(PRM\|1\|D)|(kpr)|(kdp)|(\|lc)|(penalty))" /e /r /s</v>
      </c>
      <c r="AG50" s="1" t="str">
        <f>IFERROR(IF(VALUE(LEFT(AD50,2))&lt;=2,"EC",IF(OR(VALUE(LEFT(AD50,2))=8,VALUE(LEFT(AD50,2))=18),"NW","Other")),"Other")</f>
        <v>EC</v>
      </c>
      <c r="AH50" s="96" t="str">
        <f t="shared" si="2"/>
        <v>"%USERPROFILE%\Documents\GitHub\eaglep3\Utilities\RefineRTDCRunTimes.py" --tripid 135-04 --locoid 4025 --swversion DE.1.0.7.0 --startMP 204:128283 --initTime 2016-10-04T08:49:38 --startdatetime 2016-10-04T08:50:21 --delay 0 --endMP 204:233317 --enddatetime 2016-10-04T09:04:46 --enforcementcount 0 &gt;&gt;C:\Users\stu\Documents\GitHub\eaglep3-reporting\EC\2016-10-04-refined-times.txt</v>
      </c>
      <c r="AI50" s="130" t="str">
        <f t="shared" si="3"/>
        <v>echo {"issue":{"subject":"Chambers 2S stuck at STOP - link failure?","project_id":79,"tracker_id":40,"status_id":1,"priority_id":2,"assigned_to_id":23,"start_date":"2016-10-04","description":"","custom_fields":[{"id":1,"name":"Subdivision","value":"EC"},{"id":4,"name":"Milepost","value":"23.3317"},{"id":17,"name":"Train ID","value":"135-04"},{"id":16,"name":"Locomotive ID","value":"4025"},{"id":130,"name":"Impact","value":""},{"id":150,"name":"Time of Event (Mountain Time)","value":"09:04:46"},{"id":151,"name":"Denver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5"/>
      <c r="AK50" s="55"/>
      <c r="AL50" s="55"/>
    </row>
    <row r="51" spans="1:38" s="1" customFormat="1" x14ac:dyDescent="0.25">
      <c r="A51" s="39" t="s">
        <v>415</v>
      </c>
      <c r="B51" s="7">
        <v>4025</v>
      </c>
      <c r="C51" s="24" t="s">
        <v>106</v>
      </c>
      <c r="D51" s="24" t="s">
        <v>202</v>
      </c>
      <c r="E51" s="15">
        <v>42647.337754629632</v>
      </c>
      <c r="F51" s="15">
        <v>42647.338564814818</v>
      </c>
      <c r="G51" s="7">
        <v>1</v>
      </c>
      <c r="H51" s="15" t="s">
        <v>627</v>
      </c>
      <c r="I51" s="15">
        <v>42647.358784722222</v>
      </c>
      <c r="J51" s="7">
        <v>0</v>
      </c>
      <c r="K51" s="117" t="str">
        <f>IF(ISEVEN(B51),(B51-1)&amp;"/"&amp;B51,B51&amp;"/"&amp;(B51+1))</f>
        <v>4025/4026</v>
      </c>
      <c r="L51" s="24" t="str">
        <f>VLOOKUP(A51,'Trips&amp;Operators'!$C$1:$E$10000,3,FALSE)</f>
        <v>SPECTOR</v>
      </c>
      <c r="M51" s="6">
        <f>I51-F51</f>
        <v>2.0219907404680271E-2</v>
      </c>
      <c r="N51" s="7"/>
      <c r="O51" s="7"/>
      <c r="P51" s="7"/>
      <c r="Q51" s="25"/>
      <c r="R51" s="25"/>
      <c r="S51" s="37"/>
      <c r="T51" s="52" t="str">
        <f>IF(ISEVEN(LEFT(AD51,4)),"Southbound","NorthBound")</f>
        <v>NorthBound</v>
      </c>
      <c r="U51" s="159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9</v>
      </c>
      <c r="V51" s="102" t="str">
        <f>"https://search-rtdc-monitor-bjffxe2xuh6vdkpspy63sjmuny.us-east-1.es.amazonaws.com/_plugin/kibana/#/discover/Steve-Slow-Train-Analysis-(2080s-and-2083s)?_g=(refreshInterval:(display:Off,section:0,value:0),time:(from:'"&amp;TEXT(E51-1/24,"yyyy-MM-DD hh:mm:ss")&amp;"-0600',mode:absolute,to:'"&amp;TEXT(I51+1/24,"yyyy-MM-DD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51&amp;"%22')),sort:!(Time,asc))"</f>
        <v>https://search-rtdc-monitor-bjffxe2xuh6vdkpspy63sjmuny.us-east-1.es.amazonaws.com/_plugin/kibana/#/discover/Steve-Slow-Train-Analysis-(2080s-and-2083s)?_g=(refreshInterval:(display:Off,section:0,value:0),time:(from:'2016-10-04 07:06:22-0600',mode:absolute,to:'2016-10-04 09:36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1" s="54" t="str">
        <f>IF(AA51&lt;IF(AG51="EC",23,5.65),"Y","N")</f>
        <v>Y</v>
      </c>
      <c r="X51" s="164">
        <f>VALUE(LEFT(AD51,4))-VALUE(LEFT(AD50,4))</f>
        <v>0</v>
      </c>
      <c r="Y51" s="69">
        <f>RIGHT(D51,LEN(D51)-4)/10000</f>
        <v>4.5100000000000001E-2</v>
      </c>
      <c r="Z51" s="69">
        <f>RIGHT(H51,LEN(H51)-4)/10000</f>
        <v>6.4728000000000003</v>
      </c>
      <c r="AA51" s="69">
        <f>ABS(Z51-Y51)</f>
        <v>6.4277000000000006</v>
      </c>
      <c r="AB51" s="66" t="e">
        <f>VLOOKUP(A51,Enforcements!$C$7:$K$21,8,0)</f>
        <v>#N/A</v>
      </c>
      <c r="AC51" s="62" t="e">
        <f>VLOOKUP(A51,Enforcements!$C$7:$E$21,3,0)</f>
        <v>#N/A</v>
      </c>
      <c r="AD51" s="63" t="str">
        <f>IF(LEN(A51)=6,"0"&amp;A51,A51)</f>
        <v>0135-04</v>
      </c>
      <c r="AE51" s="9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s3://rtdc.mdm.uploadarchive.raw/RTDC4025/ "%USERPROFILE%\AppData\Local\Temp\OnboardLogs"\RTDC4025\2016-10-04 --exclude "*" --recursive --include "*20161004*" &amp; "%USERPROFILE%\Documents\GitHub\mrs-test-scripts\Headless Mode &amp; Sideloading\WalkAndUnGZ.bat" "%USERPROFILE%\AppData\Local\Temp\OnboardLogs"\RTDC4025\2016-10-04 &amp; aws s3 cp s3://rtdc.mdm.uploadarchive.raw/RTDC4025/ "%USERPROFILE%\AppData\Local\Temp\OnboardLogs"\RTDC4025\2016-10-05 --exclude "*" --recursive --include "*20161005*" &amp; "%USERPROFILE%\Documents\GitHub\mrs-test-scripts\Headless Mode &amp; Sideloading\WalkAndUnGZ.bat" "%USERPROFILE%\AppData\Local\Temp\OnboardLogs"\RTDC4025\2016-10-05</v>
      </c>
      <c r="AF51" s="92" t="str">
        <f>astrogrep_path&amp;" /spath="&amp;search_path&amp;" /stypes=""app*"&amp;B51&amp;"*"&amp;TEXT(I51-utc_offset/24,"YYYYMMDD")&amp;"*"" /stext="" "&amp;TEXT(I51-utc_offset/24,"HH")&amp;search_regexp&amp;""" /e /r /s"</f>
        <v>"C:\Program Files (x86)\AstroGrep\AstroGrep.exe" /spath="%USERPROFILE%\AppData\Local\Temp\OnboardLogs" /stypes="app*4025*20161004*" /stext=" 14:.+((SYSTEM_STATE.+slice.+state.+changed )|(ment ac)|(system.+state.+changed )|(\[timeout)|(PRM\|1\|D)|(kpr)|(kdp)|(\|lc)|(penalty))" /e /r /s</v>
      </c>
      <c r="AG51" s="1" t="str">
        <f>IFERROR(IF(VALUE(LEFT(AD51,2))&lt;=2,"EC",IF(OR(VALUE(LEFT(AD51,2))=8,VALUE(LEFT(AD51,2))=18),"NW","Other")),"Other")</f>
        <v>EC</v>
      </c>
      <c r="AH51" s="96" t="str">
        <f t="shared" si="2"/>
        <v>"%USERPROFILE%\Documents\GitHub\eaglep3\Utilities\RefineRTDCRunTimes.py" --tripid 135-04 --locoid 4025 --swversion DE.1.0.7.0 --startMP 204:451 --initTime 2016-10-04T08:06:22 --startdatetime 2016-10-04T08:07:32 --delay 1 --endMP 204:64728 --enddatetime 2016-10-04T08:36:39 --enforcementcount 0 &gt;&gt;C:\Users\stu\Documents\GitHub\eaglep3-reporting\EC\2016-10-04-refined-times.txt</v>
      </c>
      <c r="AI51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{"issue":{"subject":"","project_id":79,"tracker_id":40,"status_id":1,"priority_id":2,"assigned_to_id":23,"start_date":"2016-10-04","description":"","custom_fields":[{"id":1,"name":"Subdivision","value":"EC"},{"id":4,"name":"Milepost","value":"6.4728"},{"id":17,"name":"Train ID","value":"135-04"},{"id":16,"name":"Locomotive ID","value":"4025"},{"id":130,"name":"Impact","value":""},{"id":150,"name":"Time of Event (Mountain Time)","value":"08:36:39"},{"id":151,"name":"Denver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5"/>
      <c r="AK51" s="55"/>
      <c r="AL51" s="55"/>
    </row>
    <row r="52" spans="1:38" s="1" customFormat="1" x14ac:dyDescent="0.25">
      <c r="A52" s="39" t="s">
        <v>429</v>
      </c>
      <c r="B52" s="7">
        <v>4026</v>
      </c>
      <c r="C52" s="24" t="s">
        <v>106</v>
      </c>
      <c r="D52" s="24" t="s">
        <v>283</v>
      </c>
      <c r="E52" s="15">
        <v>42647.383553240739</v>
      </c>
      <c r="F52" s="15">
        <v>42647.384965277779</v>
      </c>
      <c r="G52" s="7">
        <v>1</v>
      </c>
      <c r="H52" s="15" t="s">
        <v>213</v>
      </c>
      <c r="I52" s="15">
        <v>42647.412083333336</v>
      </c>
      <c r="J52" s="7">
        <v>0</v>
      </c>
      <c r="K52" s="117" t="str">
        <f>IF(ISEVEN(B52),(B52-1)&amp;"/"&amp;B52,B52&amp;"/"&amp;(B52+1))</f>
        <v>4025/4026</v>
      </c>
      <c r="L52" s="24" t="str">
        <f>VLOOKUP(A52,'Trips&amp;Operators'!$C$1:$E$10000,3,FALSE)</f>
        <v>SPECTOR</v>
      </c>
      <c r="M52" s="6">
        <f>I52-F52</f>
        <v>2.7118055557366461E-2</v>
      </c>
      <c r="N52" s="7">
        <f>24*60*SUM($M52:$M52)</f>
        <v>39.050000002607703</v>
      </c>
      <c r="O52" s="7"/>
      <c r="P52" s="7"/>
      <c r="Q52" s="25"/>
      <c r="R52" s="25"/>
      <c r="S52" s="37">
        <f>SUM(U52:U52)/IF(AG52="EC",12,1)</f>
        <v>1</v>
      </c>
      <c r="T52" s="52" t="str">
        <f>IF(ISEVEN(LEFT(AD52,4)),"Southbound","NorthBound")</f>
        <v>Southbound</v>
      </c>
      <c r="U52" s="159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02" t="str">
        <f>"https://search-rtdc-monitor-bjffxe2xuh6vdkpspy63sjmuny.us-east-1.es.amazonaws.com/_plugin/kibana/#/discover/Steve-Slow-Train-Analysis-(2080s-and-2083s)?_g=(refreshInterval:(display:Off,section:0,value:0),time:(from:'"&amp;TEXT(E52-1/24,"yyyy-MM-DD hh:mm:ss")&amp;"-0600',mode:absolute,to:'"&amp;TEXT(I52+1/24,"yyyy-MM-DD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52&amp;"%22')),sort:!(Time,asc))"</f>
        <v>https://search-rtdc-monitor-bjffxe2xuh6vdkpspy63sjmuny.us-east-1.es.amazonaws.com/_plugin/kibana/#/discover/Steve-Slow-Train-Analysis-(2080s-and-2083s)?_g=(refreshInterval:(display:Off,section:0,value:0),time:(from:'2016-10-04 08:12:19-0600',mode:absolute,to:'2016-10-04 10:53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2" s="54" t="str">
        <f>IF(AA52&lt;IF(AG52="EC",23,5.65),"Y","N")</f>
        <v>N</v>
      </c>
      <c r="X52" s="164">
        <f>VALUE(LEFT(AD52,4))-VALUE(LEFT(AD51,4))</f>
        <v>1</v>
      </c>
      <c r="Y52" s="69">
        <f>RIGHT(D52,LEN(D52)-4)/10000</f>
        <v>23.300599999999999</v>
      </c>
      <c r="Z52" s="69">
        <f>RIGHT(H52,LEN(H52)-4)/10000</f>
        <v>1.4500000000000001E-2</v>
      </c>
      <c r="AA52" s="69">
        <f>ABS(Z52-Y52)</f>
        <v>23.286099999999998</v>
      </c>
      <c r="AB52" s="66" t="str">
        <f>VLOOKUP(A52,Enforcements!$C$7:$K$21,8,0)</f>
        <v>Signal based authority (5)</v>
      </c>
      <c r="AC52" s="62" t="str">
        <f>VLOOKUP(A52,Enforcements!$C$7:$E$21,3,0)</f>
        <v>SIGNAL</v>
      </c>
      <c r="AD52" s="63" t="str">
        <f>IF(LEN(A52)=6,"0"&amp;A52,A52)</f>
        <v>0136-04</v>
      </c>
      <c r="AE52" s="9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s3://rtdc.mdm.uploadarchive.raw/RTDC4026/ "%USERPROFILE%\AppData\Local\Temp\OnboardLogs"\RTDC4026\2016-10-04 --exclude "*" --recursive --include "*20161004*" &amp; "%USERPROFILE%\Documents\GitHub\mrs-test-scripts\Headless Mode &amp; Sideloading\WalkAndUnGZ.bat" "%USERPROFILE%\AppData\Local\Temp\OnboardLogs"\RTDC4026\2016-10-04 &amp; aws s3 cp s3://rtdc.mdm.uploadarchive.raw/RTDC4026/ "%USERPROFILE%\AppData\Local\Temp\OnboardLogs"\RTDC4026\2016-10-05 --exclude "*" --recursive --include "*20161005*" &amp; "%USERPROFILE%\Documents\GitHub\mrs-test-scripts\Headless Mode &amp; Sideloading\WalkAndUnGZ.bat" "%USERPROFILE%\AppData\Local\Temp\OnboardLogs"\RTDC4026\2016-10-05</v>
      </c>
      <c r="AF52" s="92" t="str">
        <f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/stypes="app*4026*20161004*" /stext=" 15:.+((SYSTEM_STATE.+slice.+state.+changed )|(ment ac)|(system.+state.+changed )|(\[timeout)|(PRM\|1\|D)|(kpr)|(kdp)|(\|lc)|(penalty))" /e /r /s</v>
      </c>
      <c r="AG52" s="1" t="str">
        <f>IFERROR(IF(VALUE(LEFT(AD52,2))&lt;=2,"EC",IF(OR(VALUE(LEFT(AD52,2))=8,VALUE(LEFT(AD52,2))=18),"NW","Other")),"Other")</f>
        <v>EC</v>
      </c>
      <c r="AH52" s="96" t="str">
        <f t="shared" si="2"/>
        <v>"%USERPROFILE%\Documents\GitHub\eaglep3\Utilities\RefineRTDCRunTimes.py" --tripid 136-04 --locoid 4026 --swversion DE.1.0.7.0 --startMP 204:233006 --initTime 2016-10-04T09:12:19 --startdatetime 2016-10-04T09:14:21 --delay 1 --endMP 204:145 --enddatetime 2016-10-04T09:53:24 --enforcementcount 0 &gt;&gt;C:\Users\stu\Documents\GitHub\eaglep3-reporting\EC\2016-10-04-refined-times.txt</v>
      </c>
      <c r="AI52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{"issue":{"subject":"","project_id":79,"tracker_id":40,"status_id":1,"priority_id":2,"assigned_to_id":23,"start_date":"2016-10-04","description":"","custom_fields":[{"id":1,"name":"Subdivision","value":"EC"},{"id":4,"name":"Milepost","value":"0.0145"},{"id":17,"name":"Train ID","value":"136-04"},{"id":16,"name":"Locomotive ID","value":"4026"},{"id":130,"name":"Impact","value":""},{"id":150,"name":"Time of Event (Mountain Time)","value":"09:53:24"},{"id":151,"name":"Denver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5"/>
      <c r="AK52" s="55"/>
      <c r="AL52" s="55"/>
    </row>
    <row r="53" spans="1:38" s="1" customFormat="1" x14ac:dyDescent="0.25">
      <c r="A53" s="39" t="s">
        <v>416</v>
      </c>
      <c r="B53" s="7">
        <v>4031</v>
      </c>
      <c r="C53" s="24" t="s">
        <v>106</v>
      </c>
      <c r="D53" s="24" t="s">
        <v>193</v>
      </c>
      <c r="E53" s="15">
        <v>42647.339097222219</v>
      </c>
      <c r="F53" s="15">
        <v>42647.34412037037</v>
      </c>
      <c r="G53" s="7">
        <v>1</v>
      </c>
      <c r="H53" s="15" t="s">
        <v>308</v>
      </c>
      <c r="I53" s="15">
        <v>42647.385081018518</v>
      </c>
      <c r="J53" s="7">
        <v>0</v>
      </c>
      <c r="K53" s="117" t="str">
        <f>IF(ISEVEN(B53),(B53-1)&amp;"/"&amp;B53,B53&amp;"/"&amp;(B53+1))</f>
        <v>4031/4032</v>
      </c>
      <c r="L53" s="24" t="str">
        <f>VLOOKUP(A53,'Trips&amp;Operators'!$C$1:$E$10000,3,FALSE)</f>
        <v>DAVIS</v>
      </c>
      <c r="M53" s="6">
        <f>I53-F53</f>
        <v>4.0960648148029577E-2</v>
      </c>
      <c r="N53" s="7">
        <f>24*60*SUM($M53:$M53)</f>
        <v>58.983333333162591</v>
      </c>
      <c r="O53" s="7"/>
      <c r="P53" s="7"/>
      <c r="Q53" s="25"/>
      <c r="R53" s="25" t="s">
        <v>787</v>
      </c>
      <c r="S53" s="37">
        <f>SUM(U53:U53)/IF(AG53="EC",12,1)</f>
        <v>1</v>
      </c>
      <c r="T53" s="52" t="str">
        <f>IF(ISEVEN(LEFT(AD53,4)),"Southbound","NorthBound")</f>
        <v>NorthBound</v>
      </c>
      <c r="U53" s="159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02" t="str">
        <f>"https://search-rtdc-monitor-bjffxe2xuh6vdkpspy63sjmuny.us-east-1.es.amazonaws.com/_plugin/kibana/#/discover/Steve-Slow-Train-Analysis-(2080s-and-2083s)?_g=(refreshInterval:(display:Off,section:0,value:0),time:(from:'"&amp;TEXT(E53-1/24,"yyyy-MM-DD hh:mm:ss")&amp;"-0600',mode:absolute,to:'"&amp;TEXT(I53+1/24,"yyyy-MM-DD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53&amp;"%22')),sort:!(Time,asc))"</f>
        <v>https://search-rtdc-monitor-bjffxe2xuh6vdkpspy63sjmuny.us-east-1.es.amazonaws.com/_plugin/kibana/#/discover/Steve-Slow-Train-Analysis-(2080s-and-2083s)?_g=(refreshInterval:(display:Off,section:0,value:0),time:(from:'2016-10-04 07:08:18-0600',mode:absolute,to:'2016-10-04 10:14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3" s="54" t="str">
        <f>IF(AA53&lt;IF(AG53="EC",23,5.65),"Y","N")</f>
        <v>N</v>
      </c>
      <c r="X53" s="164">
        <f>VALUE(LEFT(AD53,4))-VALUE(LEFT(AD52,4))</f>
        <v>1</v>
      </c>
      <c r="Y53" s="69">
        <f>RIGHT(D53,LEN(D53)-4)/10000</f>
        <v>4.7100000000000003E-2</v>
      </c>
      <c r="Z53" s="69">
        <f>RIGHT(H53,LEN(H53)-4)/10000</f>
        <v>23.330100000000002</v>
      </c>
      <c r="AA53" s="69">
        <f>ABS(Z53-Y53)</f>
        <v>23.283000000000001</v>
      </c>
      <c r="AB53" s="66" t="e">
        <f>VLOOKUP(A53,Enforcements!$C$7:$K$21,8,0)</f>
        <v>#N/A</v>
      </c>
      <c r="AC53" s="62" t="e">
        <f>VLOOKUP(A53,Enforcements!$C$7:$E$21,3,0)</f>
        <v>#N/A</v>
      </c>
      <c r="AD53" s="63" t="str">
        <f>IF(LEN(A53)=6,"0"&amp;A53,A53)</f>
        <v>0137-04</v>
      </c>
      <c r="AE53" s="9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s3://rtdc.mdm.uploadarchive.raw/RTDC4031/ "%USERPROFILE%\AppData\Local\Temp\OnboardLogs"\RTDC4031\2016-10-04 --exclude "*" --recursive --include "*20161004*" &amp; "%USERPROFILE%\Documents\GitHub\mrs-test-scripts\Headless Mode &amp; Sideloading\WalkAndUnGZ.bat" "%USERPROFILE%\AppData\Local\Temp\OnboardLogs"\RTDC4031\2016-10-04 &amp; aws s3 cp s3://rtdc.mdm.uploadarchive.raw/RTDC4031/ "%USERPROFILE%\AppData\Local\Temp\OnboardLogs"\RTDC4031\2016-10-05 --exclude "*" --recursive --include "*20161005*" &amp; "%USERPROFILE%\Documents\GitHub\mrs-test-scripts\Headless Mode &amp; Sideloading\WalkAndUnGZ.bat" "%USERPROFILE%\AppData\Local\Temp\OnboardLogs"\RTDC4031\2016-10-05</v>
      </c>
      <c r="AF53" s="92" t="str">
        <f>astrogrep_path&amp;" /spath="&amp;search_path&amp;" /stypes=""app*"&amp;B53&amp;"*"&amp;TEXT(I53-utc_offset/24,"YYYYMMDD")&amp;"*"" /stext="" "&amp;TEXT(I53-utc_offset/24,"HH")&amp;search_regexp&amp;""" /e /r /s"</f>
        <v>"C:\Program Files (x86)\AstroGrep\AstroGrep.exe" /spath="%USERPROFILE%\AppData\Local\Temp\OnboardLogs" /stypes="app*4031*20161004*" /stext=" 15:.+((SYSTEM_STATE.+slice.+state.+changed )|(ment ac)|(system.+state.+changed )|(\[timeout)|(PRM\|1\|D)|(kpr)|(kdp)|(\|lc)|(penalty))" /e /r /s</v>
      </c>
      <c r="AG53" s="1" t="str">
        <f>IFERROR(IF(VALUE(LEFT(AD53,2))&lt;=2,"EC",IF(OR(VALUE(LEFT(AD53,2))=8,VALUE(LEFT(AD53,2))=18),"NW","Other")),"Other")</f>
        <v>EC</v>
      </c>
      <c r="AH53" s="96" t="str">
        <f t="shared" si="2"/>
        <v>"%USERPROFILE%\Documents\GitHub\eaglep3\Utilities\RefineRTDCRunTimes.py" --tripid 137-04 --locoid 4031 --swversion DE.1.0.7.0 --startMP 204:471 --initTime 2016-10-04T08:08:18 --startdatetime 2016-10-04T08:15:32 --delay 1 --endMP 204:233301 --enddatetime 2016-10-04T09:14:31 --enforcementcount 0 &gt;&gt;C:\Users\stu\Documents\GitHub\eaglep3-reporting\EC\2016-10-04-refined-times.txt</v>
      </c>
      <c r="AI53" s="130" t="str">
        <f t="shared" si="3"/>
        <v>echo {"issue":{"subject":"Delayed at Sand Creek 2N","project_id":79,"tracker_id":40,"status_id":1,"priority_id":2,"assigned_to_id":23,"start_date":"2016-10-04","description":"","custom_fields":[{"id":1,"name":"Subdivision","value":"EC"},{"id":4,"name":"Milepost","value":"23.3301"},{"id":17,"name":"Train ID","value":"137-04"},{"id":16,"name":"Locomotive ID","value":"4031"},{"id":130,"name":"Impact","value":""},{"id":150,"name":"Time of Event (Mountain Time)","value":"09:14:31"},{"id":151,"name":"Denver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5"/>
      <c r="AK53" s="55"/>
      <c r="AL53" s="55"/>
    </row>
    <row r="54" spans="1:38" s="1" customFormat="1" x14ac:dyDescent="0.25">
      <c r="A54" s="39" t="s">
        <v>431</v>
      </c>
      <c r="B54" s="7">
        <v>4032</v>
      </c>
      <c r="C54" s="24" t="s">
        <v>106</v>
      </c>
      <c r="D54" s="24" t="s">
        <v>246</v>
      </c>
      <c r="E54" s="15">
        <v>42647.387349537035</v>
      </c>
      <c r="F54" s="15">
        <v>42647.388668981483</v>
      </c>
      <c r="G54" s="7">
        <v>1</v>
      </c>
      <c r="H54" s="15" t="s">
        <v>628</v>
      </c>
      <c r="I54" s="15">
        <v>42647.416608796295</v>
      </c>
      <c r="J54" s="7">
        <v>0</v>
      </c>
      <c r="K54" s="117" t="str">
        <f>IF(ISEVEN(B54),(B54-1)&amp;"/"&amp;B54,B54&amp;"/"&amp;(B54+1))</f>
        <v>4031/4032</v>
      </c>
      <c r="L54" s="24" t="str">
        <f>VLOOKUP(A54,'Trips&amp;Operators'!$C$1:$E$10000,3,FALSE)</f>
        <v>DAVIS</v>
      </c>
      <c r="M54" s="6">
        <f>I54-F54</f>
        <v>2.7939814812270924E-2</v>
      </c>
      <c r="N54" s="7">
        <f>24*60*SUM($M54:$M54)</f>
        <v>40.233333329670131</v>
      </c>
      <c r="O54" s="7"/>
      <c r="P54" s="7"/>
      <c r="Q54" s="25"/>
      <c r="R54" s="25"/>
      <c r="S54" s="37">
        <f>SUM(U54:U54)/IF(AG54="EC",12,1)</f>
        <v>1</v>
      </c>
      <c r="T54" s="52" t="str">
        <f>IF(ISEVEN(LEFT(AD54,4)),"Southbound","NorthBound")</f>
        <v>Southbound</v>
      </c>
      <c r="U54" s="159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02" t="str">
        <f>"https://search-rtdc-monitor-bjffxe2xuh6vdkpspy63sjmuny.us-east-1.es.amazonaws.com/_plugin/kibana/#/discover/Steve-Slow-Train-Analysis-(2080s-and-2083s)?_g=(refreshInterval:(display:Off,section:0,value:0),time:(from:'"&amp;TEXT(E54-1/24,"yyyy-MM-DD hh:mm:ss")&amp;"-0600',mode:absolute,to:'"&amp;TEXT(I54+1/24,"yyyy-MM-DD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54&amp;"%22')),sort:!(Time,asc))"</f>
        <v>https://search-rtdc-monitor-bjffxe2xuh6vdkpspy63sjmuny.us-east-1.es.amazonaws.com/_plugin/kibana/#/discover/Steve-Slow-Train-Analysis-(2080s-and-2083s)?_g=(refreshInterval:(display:Off,section:0,value:0),time:(from:'2016-10-04 08:17:47-0600',mode:absolute,to:'2016-10-04 10:59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4" s="54" t="str">
        <f>IF(AA54&lt;IF(AG54="EC",23,5.65),"Y","N")</f>
        <v>N</v>
      </c>
      <c r="X54" s="164">
        <f>VALUE(LEFT(AD54,4))-VALUE(LEFT(AD53,4))</f>
        <v>1</v>
      </c>
      <c r="Y54" s="69">
        <f>RIGHT(D54,LEN(D54)-4)/10000</f>
        <v>23.298400000000001</v>
      </c>
      <c r="Z54" s="69">
        <f>RIGHT(H54,LEN(H54)-4)/10000</f>
        <v>0.1173</v>
      </c>
      <c r="AA54" s="69">
        <f>ABS(Z54-Y54)</f>
        <v>23.181100000000001</v>
      </c>
      <c r="AB54" s="66" t="e">
        <f>VLOOKUP(A54,Enforcements!$C$7:$K$21,8,0)</f>
        <v>#N/A</v>
      </c>
      <c r="AC54" s="62" t="e">
        <f>VLOOKUP(A54,Enforcements!$C$7:$E$21,3,0)</f>
        <v>#N/A</v>
      </c>
      <c r="AD54" s="63" t="str">
        <f>IF(LEN(A54)=6,"0"&amp;A54,A54)</f>
        <v>0138-04</v>
      </c>
      <c r="AE54" s="9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s3://rtdc.mdm.uploadarchive.raw/RTDC4032/ "%USERPROFILE%\AppData\Local\Temp\OnboardLogs"\RTDC4032\2016-10-04 --exclude "*" --recursive --include "*20161004*" &amp; "%USERPROFILE%\Documents\GitHub\mrs-test-scripts\Headless Mode &amp; Sideloading\WalkAndUnGZ.bat" "%USERPROFILE%\AppData\Local\Temp\OnboardLogs"\RTDC4032\2016-10-04 &amp; aws s3 cp s3://rtdc.mdm.uploadarchive.raw/RTDC4032/ "%USERPROFILE%\AppData\Local\Temp\OnboardLogs"\RTDC4032\2016-10-05 --exclude "*" --recursive --include "*20161005*" &amp; "%USERPROFILE%\Documents\GitHub\mrs-test-scripts\Headless Mode &amp; Sideloading\WalkAndUnGZ.bat" "%USERPROFILE%\AppData\Local\Temp\OnboardLogs"\RTDC4032\2016-10-05</v>
      </c>
      <c r="AF54" s="92" t="str">
        <f>astrogrep_path&amp;" /spath="&amp;search_path&amp;" /stypes=""app*"&amp;B54&amp;"*"&amp;TEXT(I54-utc_offset/24,"YYYYMMDD")&amp;"*"" /stext="" "&amp;TEXT(I54-utc_offset/24,"HH")&amp;search_regexp&amp;""" /e /r /s"</f>
        <v>"C:\Program Files (x86)\AstroGrep\AstroGrep.exe" /spath="%USERPROFILE%\AppData\Local\Temp\OnboardLogs" /stypes="app*4032*20161004*" /stext=" 15:.+((SYSTEM_STATE.+slice.+state.+changed )|(ment ac)|(system.+state.+changed )|(\[timeout)|(PRM\|1\|D)|(kpr)|(kdp)|(\|lc)|(penalty))" /e /r /s</v>
      </c>
      <c r="AG54" s="1" t="str">
        <f>IFERROR(IF(VALUE(LEFT(AD54,2))&lt;=2,"EC",IF(OR(VALUE(LEFT(AD54,2))=8,VALUE(LEFT(AD54,2))=18),"NW","Other")),"Other")</f>
        <v>EC</v>
      </c>
      <c r="AH54" s="96" t="str">
        <f t="shared" si="2"/>
        <v>"%USERPROFILE%\Documents\GitHub\eaglep3\Utilities\RefineRTDCRunTimes.py" --tripid 138-04 --locoid 4032 --swversion DE.1.0.7.0 --startMP 204:232984 --initTime 2016-10-04T09:17:47 --startdatetime 2016-10-04T09:19:41 --delay 1 --endMP 204:1173 --enddatetime 2016-10-04T09:59:55 --enforcementcount 0 &gt;&gt;C:\Users\stu\Documents\GitHub\eaglep3-reporting\EC\2016-10-04-refined-times.txt</v>
      </c>
      <c r="AI54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{"issue":{"subject":"","project_id":79,"tracker_id":40,"status_id":1,"priority_id":2,"assigned_to_id":23,"start_date":"2016-10-04","description":"","custom_fields":[{"id":1,"name":"Subdivision","value":"EC"},{"id":4,"name":"Milepost","value":"0.1173"},{"id":17,"name":"Train ID","value":"138-04"},{"id":16,"name":"Locomotive ID","value":"4032"},{"id":130,"name":"Impact","value":""},{"id":150,"name":"Time of Event (Mountain Time)","value":"09:59:55"},{"id":151,"name":"Denver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5"/>
      <c r="AK54" s="55"/>
      <c r="AL54" s="55"/>
    </row>
    <row r="55" spans="1:38" s="1" customFormat="1" x14ac:dyDescent="0.25">
      <c r="A55" s="39" t="s">
        <v>420</v>
      </c>
      <c r="B55" s="7">
        <v>4053</v>
      </c>
      <c r="C55" s="24" t="s">
        <v>106</v>
      </c>
      <c r="D55" s="24" t="s">
        <v>193</v>
      </c>
      <c r="E55" s="15">
        <v>42647.351076388892</v>
      </c>
      <c r="F55" s="15">
        <v>42647.354351851849</v>
      </c>
      <c r="G55" s="7">
        <v>4</v>
      </c>
      <c r="H55" s="15" t="s">
        <v>278</v>
      </c>
      <c r="I55" s="15">
        <v>42647.388101851851</v>
      </c>
      <c r="J55" s="7">
        <v>0</v>
      </c>
      <c r="K55" s="117" t="str">
        <f>IF(ISEVEN(B55),(B55-1)&amp;"/"&amp;B55,B55&amp;"/"&amp;(B55+1))</f>
        <v>4053/4054</v>
      </c>
      <c r="L55" s="24" t="str">
        <f>VLOOKUP(A55,'Trips&amp;Operators'!$C$1:$E$10000,3,FALSE)</f>
        <v>GEBRETEKLE</v>
      </c>
      <c r="M55" s="6">
        <f>I55-F55</f>
        <v>3.3750000002328306E-2</v>
      </c>
      <c r="N55" s="7">
        <f>24*60*SUM($M55:$M55)</f>
        <v>48.600000003352761</v>
      </c>
      <c r="O55" s="7"/>
      <c r="P55" s="7"/>
      <c r="Q55" s="25"/>
      <c r="R55" s="25"/>
      <c r="S55" s="37">
        <f>SUM(U55:U55)/IF(AG55="EC",12,1)</f>
        <v>1</v>
      </c>
      <c r="T55" s="52" t="str">
        <f>IF(ISEVEN(LEFT(AD55,4)),"Southbound","NorthBound")</f>
        <v>NorthBound</v>
      </c>
      <c r="U55" s="159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02" t="str">
        <f>"https://search-rtdc-monitor-bjffxe2xuh6vdkpspy63sjmuny.us-east-1.es.amazonaws.com/_plugin/kibana/#/discover/Steve-Slow-Train-Analysis-(2080s-and-2083s)?_g=(refreshInterval:(display:Off,section:0,value:0),time:(from:'"&amp;TEXT(E55-1/24,"yyyy-MM-DD hh:mm:ss")&amp;"-0600',mode:absolute,to:'"&amp;TEXT(I55+1/24,"yyyy-MM-DD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55&amp;"%22')),sort:!(Time,asc))"</f>
        <v>https://search-rtdc-monitor-bjffxe2xuh6vdkpspy63sjmuny.us-east-1.es.amazonaws.com/_plugin/kibana/#/discover/Steve-Slow-Train-Analysis-(2080s-and-2083s)?_g=(refreshInterval:(display:Off,section:0,value:0),time:(from:'2016-10-04 07:25:33-0600',mode:absolute,to:'2016-10-04 10:18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55" s="54" t="str">
        <f>IF(AA55&lt;IF(AG55="EC",23,5.65),"Y","N")</f>
        <v>N</v>
      </c>
      <c r="X55" s="164">
        <f>VALUE(LEFT(AD55,4))-VALUE(LEFT(AD54,4))</f>
        <v>1</v>
      </c>
      <c r="Y55" s="69">
        <f>RIGHT(D55,LEN(D55)-4)/10000</f>
        <v>4.7100000000000003E-2</v>
      </c>
      <c r="Z55" s="69">
        <f>RIGHT(H55,LEN(H55)-4)/10000</f>
        <v>23.330200000000001</v>
      </c>
      <c r="AA55" s="69">
        <f>ABS(Z55-Y55)</f>
        <v>23.283100000000001</v>
      </c>
      <c r="AB55" s="66" t="str">
        <f>VLOOKUP(A55,Enforcements!$C$7:$K$21,8,0)</f>
        <v>Signal based authority (5)</v>
      </c>
      <c r="AC55" s="62" t="str">
        <f>VLOOKUP(A55,Enforcements!$C$7:$E$21,3,0)</f>
        <v>SIGNAL</v>
      </c>
      <c r="AD55" s="63" t="str">
        <f>IF(LEN(A55)=6,"0"&amp;A55,A55)</f>
        <v>0139-04</v>
      </c>
      <c r="AE55" s="9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s3://rtdc.mdm.uploadarchive.raw/RTDC4053/ "%USERPROFILE%\AppData\Local\Temp\OnboardLogs"\RTDC4053\2016-10-04 --exclude "*" --recursive --include "*20161004*" &amp; "%USERPROFILE%\Documents\GitHub\mrs-test-scripts\Headless Mode &amp; Sideloading\WalkAndUnGZ.bat" "%USERPROFILE%\AppData\Local\Temp\OnboardLogs"\RTDC4053\2016-10-04 &amp; aws s3 cp s3://rtdc.mdm.uploadarchive.raw/RTDC4053/ "%USERPROFILE%\AppData\Local\Temp\OnboardLogs"\RTDC4053\2016-10-05 --exclude "*" --recursive --include "*20161005*" &amp; "%USERPROFILE%\Documents\GitHub\mrs-test-scripts\Headless Mode &amp; Sideloading\WalkAndUnGZ.bat" "%USERPROFILE%\AppData\Local\Temp\OnboardLogs"\RTDC4053\2016-10-05</v>
      </c>
      <c r="AF55" s="92" t="str">
        <f>astrogrep_path&amp;" /spath="&amp;search_path&amp;" /stypes=""app*"&amp;B55&amp;"*"&amp;TEXT(I55-utc_offset/24,"YYYYMMDD")&amp;"*"" /stext="" "&amp;TEXT(I55-utc_offset/24,"HH")&amp;search_regexp&amp;""" /e /r /s"</f>
        <v>"C:\Program Files (x86)\AstroGrep\AstroGrep.exe" /spath="%USERPROFILE%\AppData\Local\Temp\OnboardLogs" /stypes="app*4053*20161004*" /stext=" 15:.+((SYSTEM_STATE.+slice.+state.+changed )|(ment ac)|(system.+state.+changed )|(\[timeout)|(PRM\|1\|D)|(kpr)|(kdp)|(\|lc)|(penalty))" /e /r /s</v>
      </c>
      <c r="AG55" s="1" t="str">
        <f>IFERROR(IF(VALUE(LEFT(AD55,2))&lt;=2,"EC",IF(OR(VALUE(LEFT(AD55,2))=8,VALUE(LEFT(AD55,2))=18),"NW","Other")),"Other")</f>
        <v>EC</v>
      </c>
      <c r="AH55" s="96" t="str">
        <f t="shared" si="2"/>
        <v>"%USERPROFILE%\Documents\GitHub\eaglep3\Utilities\RefineRTDCRunTimes.py" --tripid 139-04 --locoid 4053 --swversion DE.1.0.7.0 --startMP 204:471 --initTime 2016-10-04T08:25:33 --startdatetime 2016-10-04T08:30:16 --delay 4 --endMP 204:233302 --enddatetime 2016-10-04T09:18:52 --enforcementcount 0 &gt;&gt;C:\Users\stu\Documents\GitHub\eaglep3-reporting\EC\2016-10-04-refined-times.txt</v>
      </c>
      <c r="AI55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{"issue":{"subject":"","project_id":79,"tracker_id":40,"status_id":1,"priority_id":2,"assigned_to_id":23,"start_date":"2016-10-04","description":"","custom_fields":[{"id":1,"name":"Subdivision","value":"EC"},{"id":4,"name":"Milepost","value":"23.3302"},{"id":17,"name":"Train ID","value":"139-04"},{"id":16,"name":"Locomotive ID","value":"4053"},{"id":130,"name":"Impact","value":""},{"id":150,"name":"Time of Event (Mountain Time)","value":"09:18:52"},{"id":151,"name":"Denver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5"/>
      <c r="AK55" s="55"/>
      <c r="AL55" s="55"/>
    </row>
    <row r="56" spans="1:38" s="1" customFormat="1" x14ac:dyDescent="0.25">
      <c r="A56" s="39" t="s">
        <v>433</v>
      </c>
      <c r="B56" s="7">
        <v>4054</v>
      </c>
      <c r="C56" s="24" t="s">
        <v>106</v>
      </c>
      <c r="D56" s="24" t="s">
        <v>318</v>
      </c>
      <c r="E56" s="15">
        <v>42647.390706018516</v>
      </c>
      <c r="F56" s="15">
        <v>42647.393240740741</v>
      </c>
      <c r="G56" s="7">
        <v>1</v>
      </c>
      <c r="H56" s="15" t="s">
        <v>223</v>
      </c>
      <c r="I56" s="15">
        <v>42647.419861111113</v>
      </c>
      <c r="J56" s="7">
        <v>0</v>
      </c>
      <c r="K56" s="117" t="str">
        <f>IF(ISEVEN(B56),(B56-1)&amp;"/"&amp;B56,B56&amp;"/"&amp;(B56+1))</f>
        <v>4053/4054</v>
      </c>
      <c r="L56" s="24" t="str">
        <f>VLOOKUP(A56,'Trips&amp;Operators'!$C$1:$E$10000,3,FALSE)</f>
        <v>GEBRETEKLE</v>
      </c>
      <c r="M56" s="6">
        <f>I56-F56</f>
        <v>2.662037037225673E-2</v>
      </c>
      <c r="N56" s="7">
        <f>24*60*SUM($M56:$M56)</f>
        <v>38.333333336049691</v>
      </c>
      <c r="O56" s="7"/>
      <c r="P56" s="7"/>
      <c r="Q56" s="25"/>
      <c r="R56" s="25"/>
      <c r="S56" s="37">
        <f>SUM(U56:U56)/IF(AG56="EC",12,1)</f>
        <v>1</v>
      </c>
      <c r="T56" s="52" t="str">
        <f>IF(ISEVEN(LEFT(AD56,4)),"Southbound","NorthBound")</f>
        <v>Southbound</v>
      </c>
      <c r="U56" s="159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02" t="str">
        <f>"https://search-rtdc-monitor-bjffxe2xuh6vdkpspy63sjmuny.us-east-1.es.amazonaws.com/_plugin/kibana/#/discover/Steve-Slow-Train-Analysis-(2080s-and-2083s)?_g=(refreshInterval:(display:Off,section:0,value:0),time:(from:'"&amp;TEXT(E56-1/24,"yyyy-MM-DD hh:mm:ss")&amp;"-0600',mode:absolute,to:'"&amp;TEXT(I56+1/24,"yyyy-MM-DD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56&amp;"%22')),sort:!(Time,asc))"</f>
        <v>https://search-rtdc-monitor-bjffxe2xuh6vdkpspy63sjmuny.us-east-1.es.amazonaws.com/_plugin/kibana/#/discover/Steve-Slow-Train-Analysis-(2080s-and-2083s)?_g=(refreshInterval:(display:Off,section:0,value:0),time:(from:'2016-10-04 08:22:37-0600',mode:absolute,to:'2016-10-04 11:04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56" s="54" t="str">
        <f>IF(AA56&lt;IF(AG56="EC",23,5.65),"Y","N")</f>
        <v>N</v>
      </c>
      <c r="X56" s="164">
        <f>VALUE(LEFT(AD56,4))-VALUE(LEFT(AD55,4))</f>
        <v>1</v>
      </c>
      <c r="Y56" s="69">
        <f>RIGHT(D56,LEN(D56)-4)/10000</f>
        <v>23.298500000000001</v>
      </c>
      <c r="Z56" s="69">
        <f>RIGHT(H56,LEN(H56)-4)/10000</f>
        <v>1.43E-2</v>
      </c>
      <c r="AA56" s="69">
        <f>ABS(Z56-Y56)</f>
        <v>23.284200000000002</v>
      </c>
      <c r="AB56" s="66" t="e">
        <f>VLOOKUP(A56,Enforcements!$C$7:$K$21,8,0)</f>
        <v>#N/A</v>
      </c>
      <c r="AC56" s="62" t="e">
        <f>VLOOKUP(A56,Enforcements!$C$7:$E$21,3,0)</f>
        <v>#N/A</v>
      </c>
      <c r="AD56" s="63" t="str">
        <f>IF(LEN(A56)=6,"0"&amp;A56,A56)</f>
        <v>0140-04</v>
      </c>
      <c r="AE56" s="9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s3://rtdc.mdm.uploadarchive.raw/RTDC4054/ "%USERPROFILE%\AppData\Local\Temp\OnboardLogs"\RTDC4054\2016-10-04 --exclude "*" --recursive --include "*20161004*" &amp; "%USERPROFILE%\Documents\GitHub\mrs-test-scripts\Headless Mode &amp; Sideloading\WalkAndUnGZ.bat" "%USERPROFILE%\AppData\Local\Temp\OnboardLogs"\RTDC4054\2016-10-04 &amp; aws s3 cp s3://rtdc.mdm.uploadarchive.raw/RTDC4054/ "%USERPROFILE%\AppData\Local\Temp\OnboardLogs"\RTDC4054\2016-10-05 --exclude "*" --recursive --include "*20161005*" &amp; "%USERPROFILE%\Documents\GitHub\mrs-test-scripts\Headless Mode &amp; Sideloading\WalkAndUnGZ.bat" "%USERPROFILE%\AppData\Local\Temp\OnboardLogs"\RTDC4054\2016-10-05</v>
      </c>
      <c r="AF56" s="92" t="str">
        <f>astrogrep_path&amp;" /spath="&amp;search_path&amp;" /stypes=""app*"&amp;B56&amp;"*"&amp;TEXT(I56-utc_offset/24,"YYYYMMDD")&amp;"*"" /stext="" "&amp;TEXT(I56-utc_offset/24,"HH")&amp;search_regexp&amp;""" /e /r /s"</f>
        <v>"C:\Program Files (x86)\AstroGrep\AstroGrep.exe" /spath="%USERPROFILE%\AppData\Local\Temp\OnboardLogs" /stypes="app*4054*20161004*" /stext=" 16:.+((SYSTEM_STATE.+slice.+state.+changed )|(ment ac)|(system.+state.+changed )|(\[timeout)|(PRM\|1\|D)|(kpr)|(kdp)|(\|lc)|(penalty))" /e /r /s</v>
      </c>
      <c r="AG56" s="1" t="str">
        <f>IFERROR(IF(VALUE(LEFT(AD56,2))&lt;=2,"EC",IF(OR(VALUE(LEFT(AD56,2))=8,VALUE(LEFT(AD56,2))=18),"NW","Other")),"Other")</f>
        <v>EC</v>
      </c>
      <c r="AH56" s="96" t="str">
        <f t="shared" si="2"/>
        <v>"%USERPROFILE%\Documents\GitHub\eaglep3\Utilities\RefineRTDCRunTimes.py" --tripid 140-04 --locoid 4054 --swversion DE.1.0.7.0 --startMP 204:232985 --initTime 2016-10-04T09:22:37 --startdatetime 2016-10-04T09:26:16 --delay 1 --endMP 204:143 --enddatetime 2016-10-04T10:04:36 --enforcementcount 0 &gt;&gt;C:\Users\stu\Documents\GitHub\eaglep3-reporting\EC\2016-10-04-refined-times.txt</v>
      </c>
      <c r="AI56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{"issue":{"subject":"","project_id":79,"tracker_id":40,"status_id":1,"priority_id":2,"assigned_to_id":23,"start_date":"2016-10-04","description":"","custom_fields":[{"id":1,"name":"Subdivision","value":"EC"},{"id":4,"name":"Milepost","value":"0.0143"},{"id":17,"name":"Train ID","value":"140-04"},{"id":16,"name":"Locomotive ID","value":"4054"},{"id":130,"name":"Impact","value":""},{"id":150,"name":"Time of Event (Mountain Time)","value":"10:04:36"},{"id":151,"name":"Denver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5"/>
      <c r="AK56" s="55"/>
      <c r="AL56" s="55"/>
    </row>
    <row r="57" spans="1:38" s="1" customFormat="1" x14ac:dyDescent="0.25">
      <c r="A57" s="39" t="s">
        <v>424</v>
      </c>
      <c r="B57" s="7">
        <v>4016</v>
      </c>
      <c r="C57" s="24" t="s">
        <v>106</v>
      </c>
      <c r="D57" s="24" t="s">
        <v>202</v>
      </c>
      <c r="E57" s="15">
        <v>42647.360972222225</v>
      </c>
      <c r="F57" s="15">
        <v>42647.365104166667</v>
      </c>
      <c r="G57" s="7">
        <v>1</v>
      </c>
      <c r="H57" s="15" t="s">
        <v>308</v>
      </c>
      <c r="I57" s="15">
        <v>42647.392048611109</v>
      </c>
      <c r="J57" s="7">
        <v>0</v>
      </c>
      <c r="K57" s="117" t="str">
        <f>IF(ISEVEN(B57),(B57-1)&amp;"/"&amp;B57,B57&amp;"/"&amp;(B57+1))</f>
        <v>4015/4016</v>
      </c>
      <c r="L57" s="24" t="str">
        <f>VLOOKUP(A57,'Trips&amp;Operators'!$C$1:$E$10000,3,FALSE)</f>
        <v>KILLION</v>
      </c>
      <c r="M57" s="6">
        <f>I57-F57</f>
        <v>2.6944444442051463E-2</v>
      </c>
      <c r="N57" s="7">
        <f>24*60*SUM($M57:$M57)</f>
        <v>38.799999996554106</v>
      </c>
      <c r="O57" s="7"/>
      <c r="P57" s="7"/>
      <c r="Q57" s="25"/>
      <c r="R57" s="25"/>
      <c r="S57" s="37">
        <f>SUM(U57:U57)/IF(AG57="EC",12,1)</f>
        <v>1</v>
      </c>
      <c r="T57" s="52" t="str">
        <f>IF(ISEVEN(LEFT(AD57,4)),"Southbound","NorthBound")</f>
        <v>NorthBound</v>
      </c>
      <c r="U57" s="159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02" t="str">
        <f>"https://search-rtdc-monitor-bjffxe2xuh6vdkpspy63sjmuny.us-east-1.es.amazonaws.com/_plugin/kibana/#/discover/Steve-Slow-Train-Analysis-(2080s-and-2083s)?_g=(refreshInterval:(display:Off,section:0,value:0),time:(from:'"&amp;TEXT(E57-1/24,"yyyy-MM-DD hh:mm:ss")&amp;"-0600',mode:absolute,to:'"&amp;TEXT(I57+1/24,"yyyy-MM-DD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57&amp;"%22')),sort:!(Time,asc))"</f>
        <v>https://search-rtdc-monitor-bjffxe2xuh6vdkpspy63sjmuny.us-east-1.es.amazonaws.com/_plugin/kibana/#/discover/Steve-Slow-Train-Analysis-(2080s-and-2083s)?_g=(refreshInterval:(display:Off,section:0,value:0),time:(from:'2016-10-04 07:39:48-0600',mode:absolute,to:'2016-10-04 10:24:33-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7" s="54" t="str">
        <f>IF(AA57&lt;IF(AG57="EC",23,5.65),"Y","N")</f>
        <v>N</v>
      </c>
      <c r="X57" s="164">
        <f>VALUE(LEFT(AD57,4))-VALUE(LEFT(AD56,4))</f>
        <v>1</v>
      </c>
      <c r="Y57" s="69">
        <f>RIGHT(D57,LEN(D57)-4)/10000</f>
        <v>4.5100000000000001E-2</v>
      </c>
      <c r="Z57" s="69">
        <f>RIGHT(H57,LEN(H57)-4)/10000</f>
        <v>23.330100000000002</v>
      </c>
      <c r="AA57" s="69">
        <f>ABS(Z57-Y57)</f>
        <v>23.285</v>
      </c>
      <c r="AB57" s="66" t="e">
        <f>VLOOKUP(A57,Enforcements!$C$7:$K$21,8,0)</f>
        <v>#N/A</v>
      </c>
      <c r="AC57" s="62" t="e">
        <f>VLOOKUP(A57,Enforcements!$C$7:$E$21,3,0)</f>
        <v>#N/A</v>
      </c>
      <c r="AD57" s="63" t="str">
        <f>IF(LEN(A57)=6,"0"&amp;A57,A57)</f>
        <v>0141-04</v>
      </c>
      <c r="AE57" s="9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s3://rtdc.mdm.uploadarchive.raw/RTDC4016/ "%USERPROFILE%\AppData\Local\Temp\OnboardLogs"\RTDC4016\2016-10-04 --exclude "*" --recursive --include "*20161004*" &amp; "%USERPROFILE%\Documents\GitHub\mrs-test-scripts\Headless Mode &amp; Sideloading\WalkAndUnGZ.bat" "%USERPROFILE%\AppData\Local\Temp\OnboardLogs"\RTDC4016\2016-10-04 &amp; aws s3 cp s3://rtdc.mdm.uploadarchive.raw/RTDC4016/ "%USERPROFILE%\AppData\Local\Temp\OnboardLogs"\RTDC4016\2016-10-05 --exclude "*" --recursive --include "*20161005*" &amp; "%USERPROFILE%\Documents\GitHub\mrs-test-scripts\Headless Mode &amp; Sideloading\WalkAndUnGZ.bat" "%USERPROFILE%\AppData\Local\Temp\OnboardLogs"\RTDC4016\2016-10-05</v>
      </c>
      <c r="AF57" s="92" t="str">
        <f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/stypes="app*4016*20161004*" /stext=" 15:.+((SYSTEM_STATE.+slice.+state.+changed )|(ment ac)|(system.+state.+changed )|(\[timeout)|(PRM\|1\|D)|(kpr)|(kdp)|(\|lc)|(penalty))" /e /r /s</v>
      </c>
      <c r="AG57" s="1" t="str">
        <f>IFERROR(IF(VALUE(LEFT(AD57,2))&lt;=2,"EC",IF(OR(VALUE(LEFT(AD57,2))=8,VALUE(LEFT(AD57,2))=18),"NW","Other")),"Other")</f>
        <v>EC</v>
      </c>
      <c r="AH57" s="96" t="str">
        <f t="shared" si="2"/>
        <v>"%USERPROFILE%\Documents\GitHub\eaglep3\Utilities\RefineRTDCRunTimes.py" --tripid 141-04 --locoid 4016 --swversion DE.1.0.7.0 --startMP 204:451 --initTime 2016-10-04T08:39:48 --startdatetime 2016-10-04T08:45:45 --delay 1 --endMP 204:233301 --enddatetime 2016-10-04T09:24:33 --enforcementcount 0 &gt;&gt;C:\Users\stu\Documents\GitHub\eaglep3-reporting\EC\2016-10-04-refined-times.txt</v>
      </c>
      <c r="AI57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{"issue":{"subject":"","project_id":79,"tracker_id":40,"status_id":1,"priority_id":2,"assigned_to_id":23,"start_date":"2016-10-04","description":"","custom_fields":[{"id":1,"name":"Subdivision","value":"EC"},{"id":4,"name":"Milepost","value":"23.3301"},{"id":17,"name":"Train ID","value":"141-04"},{"id":16,"name":"Locomotive ID","value":"4016"},{"id":130,"name":"Impact","value":""},{"id":150,"name":"Time of Event (Mountain Time)","value":"09:24:33"},{"id":151,"name":"Denver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5"/>
      <c r="AK57" s="55"/>
      <c r="AL57" s="55"/>
    </row>
    <row r="58" spans="1:38" s="1" customFormat="1" x14ac:dyDescent="0.25">
      <c r="A58" s="39" t="s">
        <v>437</v>
      </c>
      <c r="B58" s="7">
        <v>4015</v>
      </c>
      <c r="C58" s="24" t="s">
        <v>106</v>
      </c>
      <c r="D58" s="24" t="s">
        <v>301</v>
      </c>
      <c r="E58" s="15">
        <v>42647.398206018515</v>
      </c>
      <c r="F58" s="15">
        <v>42647.403865740744</v>
      </c>
      <c r="G58" s="7">
        <v>1</v>
      </c>
      <c r="H58" s="15" t="s">
        <v>247</v>
      </c>
      <c r="I58" s="15">
        <v>42647.430555555555</v>
      </c>
      <c r="J58" s="7">
        <v>0</v>
      </c>
      <c r="K58" s="117" t="str">
        <f>IF(ISEVEN(B58),(B58-1)&amp;"/"&amp;B58,B58&amp;"/"&amp;(B58+1))</f>
        <v>4015/4016</v>
      </c>
      <c r="L58" s="24" t="str">
        <f>VLOOKUP(A58,'Trips&amp;Operators'!$C$1:$E$10000,3,FALSE)</f>
        <v>KILLION</v>
      </c>
      <c r="M58" s="6">
        <f>I58-F58</f>
        <v>2.6689814811106771E-2</v>
      </c>
      <c r="N58" s="7">
        <f>24*60*SUM($M58:$M58)</f>
        <v>38.433333327993751</v>
      </c>
      <c r="O58" s="7"/>
      <c r="P58" s="7"/>
      <c r="Q58" s="25"/>
      <c r="R58" s="25"/>
      <c r="S58" s="37">
        <f>SUM(U58:U58)/IF(AG58="EC",12,1)</f>
        <v>1</v>
      </c>
      <c r="T58" s="52" t="str">
        <f>IF(ISEVEN(LEFT(AD58,4)),"Southbound","NorthBound")</f>
        <v>Southbound</v>
      </c>
      <c r="U58" s="159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02" t="str">
        <f>"https://search-rtdc-monitor-bjffxe2xuh6vdkpspy63sjmuny.us-east-1.es.amazonaws.com/_plugin/kibana/#/discover/Steve-Slow-Train-Analysis-(2080s-and-2083s)?_g=(refreshInterval:(display:Off,section:0,value:0),time:(from:'"&amp;TEXT(E58-1/24,"yyyy-MM-DD hh:mm:ss")&amp;"-0600',mode:absolute,to:'"&amp;TEXT(I58+1/24,"yyyy-MM-DD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58&amp;"%22')),sort:!(Time,asc))"</f>
        <v>https://search-rtdc-monitor-bjffxe2xuh6vdkpspy63sjmuny.us-east-1.es.amazonaws.com/_plugin/kibana/#/discover/Steve-Slow-Train-Analysis-(2080s-and-2083s)?_g=(refreshInterval:(display:Off,section:0,value:0),time:(from:'2016-10-04 08:33:25-0600',mode:absolute,to:'2016-10-04 11:20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8" s="54" t="str">
        <f>IF(AA58&lt;IF(AG58="EC",23,5.65),"Y","N")</f>
        <v>N</v>
      </c>
      <c r="X58" s="164">
        <f>VALUE(LEFT(AD58,4))-VALUE(LEFT(AD57,4))</f>
        <v>1</v>
      </c>
      <c r="Y58" s="69">
        <f>RIGHT(D58,LEN(D58)-4)/10000</f>
        <v>23.2973</v>
      </c>
      <c r="Z58" s="69">
        <f>RIGHT(H58,LEN(H58)-4)/10000</f>
        <v>1.3899999999999999E-2</v>
      </c>
      <c r="AA58" s="69">
        <f>ABS(Z58-Y58)</f>
        <v>23.2834</v>
      </c>
      <c r="AB58" s="66" t="str">
        <f>VLOOKUP(A58,Enforcements!$C$7:$K$21,8,0)</f>
        <v>Form based authority (4)</v>
      </c>
      <c r="AC58" s="62" t="str">
        <f>VLOOKUP(A58,Enforcements!$C$7:$E$21,3,0)</f>
        <v>TRACK WARRANT AUTHORITY</v>
      </c>
      <c r="AD58" s="63" t="str">
        <f>IF(LEN(A58)=6,"0"&amp;A58,A58)</f>
        <v>0142-04</v>
      </c>
      <c r="AE58" s="9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s3://rtdc.mdm.uploadarchive.raw/RTDC4015/ "%USERPROFILE%\AppData\Local\Temp\OnboardLogs"\RTDC4015\2016-10-04 --exclude "*" --recursive --include "*20161004*" &amp; "%USERPROFILE%\Documents\GitHub\mrs-test-scripts\Headless Mode &amp; Sideloading\WalkAndUnGZ.bat" "%USERPROFILE%\AppData\Local\Temp\OnboardLogs"\RTDC4015\2016-10-04 &amp; aws s3 cp s3://rtdc.mdm.uploadarchive.raw/RTDC4015/ "%USERPROFILE%\AppData\Local\Temp\OnboardLogs"\RTDC4015\2016-10-05 --exclude "*" --recursive --include "*20161005*" &amp; "%USERPROFILE%\Documents\GitHub\mrs-test-scripts\Headless Mode &amp; Sideloading\WalkAndUnGZ.bat" "%USERPROFILE%\AppData\Local\Temp\OnboardLogs"\RTDC4015\2016-10-05</v>
      </c>
      <c r="AF58" s="92" t="str">
        <f>astrogrep_path&amp;" /spath="&amp;search_path&amp;" /stypes=""app*"&amp;B58&amp;"*"&amp;TEXT(I58-utc_offset/24,"YYYYMMDD")&amp;"*"" /stext="" "&amp;TEXT(I58-utc_offset/24,"HH")&amp;search_regexp&amp;""" /e /r /s"</f>
        <v>"C:\Program Files (x86)\AstroGrep\AstroGrep.exe" /spath="%USERPROFILE%\AppData\Local\Temp\OnboardLogs" /stypes="app*4015*20161004*" /stext=" 16:.+((SYSTEM_STATE.+slice.+state.+changed )|(ment ac)|(system.+state.+changed )|(\[timeout)|(PRM\|1\|D)|(kpr)|(kdp)|(\|lc)|(penalty))" /e /r /s</v>
      </c>
      <c r="AG58" s="1" t="str">
        <f>IFERROR(IF(VALUE(LEFT(AD58,2))&lt;=2,"EC",IF(OR(VALUE(LEFT(AD58,2))=8,VALUE(LEFT(AD58,2))=18),"NW","Other")),"Other")</f>
        <v>EC</v>
      </c>
      <c r="AH58" s="96" t="str">
        <f t="shared" si="2"/>
        <v>"%USERPROFILE%\Documents\GitHub\eaglep3\Utilities\RefineRTDCRunTimes.py" --tripid 142-04 --locoid 4015 --swversion DE.1.0.7.0 --startMP 204:232973 --initTime 2016-10-04T09:33:25 --startdatetime 2016-10-04T09:41:34 --delay 1 --endMP 204:139 --enddatetime 2016-10-04T10:20:00 --enforcementcount 0 &gt;&gt;C:\Users\stu\Documents\GitHub\eaglep3-reporting\EC\2016-10-04-refined-times.txt</v>
      </c>
      <c r="AI58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{"issue":{"subject":"","project_id":79,"tracker_id":40,"status_id":1,"priority_id":2,"assigned_to_id":23,"start_date":"2016-10-04","description":"","custom_fields":[{"id":1,"name":"Subdivision","value":"EC"},{"id":4,"name":"Milepost","value":"0.0139"},{"id":17,"name":"Train ID","value":"142-04"},{"id":16,"name":"Locomotive ID","value":"4015"},{"id":130,"name":"Impact","value":""},{"id":150,"name":"Time of Event (Mountain Time)","value":"10:20:00"},{"id":151,"name":"Denver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5"/>
      <c r="AK58" s="55"/>
      <c r="AL58" s="55"/>
    </row>
    <row r="59" spans="1:38" s="1" customFormat="1" x14ac:dyDescent="0.25">
      <c r="A59" s="39" t="s">
        <v>428</v>
      </c>
      <c r="B59" s="7">
        <v>4044</v>
      </c>
      <c r="C59" s="24" t="s">
        <v>106</v>
      </c>
      <c r="D59" s="24" t="s">
        <v>196</v>
      </c>
      <c r="E59" s="15">
        <v>42647.374872685185</v>
      </c>
      <c r="F59" s="15">
        <v>42647.377569444441</v>
      </c>
      <c r="G59" s="7">
        <v>1</v>
      </c>
      <c r="H59" s="15" t="s">
        <v>277</v>
      </c>
      <c r="I59" s="15">
        <v>42647.407199074078</v>
      </c>
      <c r="J59" s="7">
        <v>0</v>
      </c>
      <c r="K59" s="117" t="str">
        <f>IF(ISEVEN(B59),(B59-1)&amp;"/"&amp;B59,B59&amp;"/"&amp;(B59+1))</f>
        <v>4043/4044</v>
      </c>
      <c r="L59" s="24" t="str">
        <f>VLOOKUP(A59,'Trips&amp;Operators'!$C$1:$E$10000,3,FALSE)</f>
        <v>BEAM</v>
      </c>
      <c r="M59" s="6">
        <f>I59-F59</f>
        <v>2.9629629636474419E-2</v>
      </c>
      <c r="N59" s="7">
        <f>24*60*SUM($M59:$M59)</f>
        <v>42.666666676523164</v>
      </c>
      <c r="O59" s="7"/>
      <c r="P59" s="7"/>
      <c r="Q59" s="25"/>
      <c r="R59" s="25"/>
      <c r="S59" s="37">
        <f>SUM(U59:U59)/IF(AG59="EC",12,1)</f>
        <v>1</v>
      </c>
      <c r="T59" s="52" t="str">
        <f>IF(ISEVEN(LEFT(AD59,4)),"Southbound","NorthBound")</f>
        <v>NorthBound</v>
      </c>
      <c r="U59" s="159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02" t="str">
        <f>"https://search-rtdc-monitor-bjffxe2xuh6vdkpspy63sjmuny.us-east-1.es.amazonaws.com/_plugin/kibana/#/discover/Steve-Slow-Train-Analysis-(2080s-and-2083s)?_g=(refreshInterval:(display:Off,section:0,value:0),time:(from:'"&amp;TEXT(E59-1/24,"yyyy-MM-DD hh:mm:ss")&amp;"-0600',mode:absolute,to:'"&amp;TEXT(I59+1/24,"yyyy-MM-DD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59&amp;"%22')),sort:!(Time,asc))"</f>
        <v>https://search-rtdc-monitor-bjffxe2xuh6vdkpspy63sjmuny.us-east-1.es.amazonaws.com/_plugin/kibana/#/discover/Steve-Slow-Train-Analysis-(2080s-and-2083s)?_g=(refreshInterval:(display:Off,section:0,value:0),time:(from:'2016-10-04 07:59:49-0600',mode:absolute,to:'2016-10-04 10:46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9" s="54" t="str">
        <f>IF(AA59&lt;IF(AG59="EC",23,5.65),"Y","N")</f>
        <v>N</v>
      </c>
      <c r="X59" s="164">
        <f>VALUE(LEFT(AD59,4))-VALUE(LEFT(AD58,4))</f>
        <v>1</v>
      </c>
      <c r="Y59" s="69">
        <f>RIGHT(D59,LEN(D59)-4)/10000</f>
        <v>4.53E-2</v>
      </c>
      <c r="Z59" s="69">
        <f>RIGHT(H59,LEN(H59)-4)/10000</f>
        <v>23.3308</v>
      </c>
      <c r="AA59" s="69">
        <f>ABS(Z59-Y59)</f>
        <v>23.285499999999999</v>
      </c>
      <c r="AB59" s="66" t="e">
        <f>VLOOKUP(A59,Enforcements!$C$7:$K$21,8,0)</f>
        <v>#N/A</v>
      </c>
      <c r="AC59" s="62" t="e">
        <f>VLOOKUP(A59,Enforcements!$C$7:$E$21,3,0)</f>
        <v>#N/A</v>
      </c>
      <c r="AD59" s="63" t="str">
        <f>IF(LEN(A59)=6,"0"&amp;A59,A59)</f>
        <v>0143-04</v>
      </c>
      <c r="AE59" s="9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s3://rtdc.mdm.uploadarchive.raw/RTDC4044/ "%USERPROFILE%\AppData\Local\Temp\OnboardLogs"\RTDC4044\2016-10-04 --exclude "*" --recursive --include "*20161004*" &amp; "%USERPROFILE%\Documents\GitHub\mrs-test-scripts\Headless Mode &amp; Sideloading\WalkAndUnGZ.bat" "%USERPROFILE%\AppData\Local\Temp\OnboardLogs"\RTDC4044\2016-10-04 &amp; aws s3 cp s3://rtdc.mdm.uploadarchive.raw/RTDC4044/ "%USERPROFILE%\AppData\Local\Temp\OnboardLogs"\RTDC4044\2016-10-05 --exclude "*" --recursive --include "*20161005*" &amp; "%USERPROFILE%\Documents\GitHub\mrs-test-scripts\Headless Mode &amp; Sideloading\WalkAndUnGZ.bat" "%USERPROFILE%\AppData\Local\Temp\OnboardLogs"\RTDC4044\2016-10-05</v>
      </c>
      <c r="AF59" s="92" t="str">
        <f>astrogrep_path&amp;" /spath="&amp;search_path&amp;" /stypes=""app*"&amp;B59&amp;"*"&amp;TEXT(I59-utc_offset/24,"YYYYMMDD")&amp;"*"" /stext="" "&amp;TEXT(I59-utc_offset/24,"HH")&amp;search_regexp&amp;""" /e /r /s"</f>
        <v>"C:\Program Files (x86)\AstroGrep\AstroGrep.exe" /spath="%USERPROFILE%\AppData\Local\Temp\OnboardLogs" /stypes="app*4044*20161004*" /stext=" 15:.+((SYSTEM_STATE.+slice.+state.+changed )|(ment ac)|(system.+state.+changed )|(\[timeout)|(PRM\|1\|D)|(kpr)|(kdp)|(\|lc)|(penalty))" /e /r /s</v>
      </c>
      <c r="AG59" s="1" t="str">
        <f>IFERROR(IF(VALUE(LEFT(AD59,2))&lt;=2,"EC",IF(OR(VALUE(LEFT(AD59,2))=8,VALUE(LEFT(AD59,2))=18),"NW","Other")),"Other")</f>
        <v>EC</v>
      </c>
      <c r="AH59" s="96" t="str">
        <f t="shared" si="2"/>
        <v>"%USERPROFILE%\Documents\GitHub\eaglep3\Utilities\RefineRTDCRunTimes.py" --tripid 143-04 --locoid 4044 --swversion DE.1.0.7.0 --startMP 204:453 --initTime 2016-10-04T08:59:49 --startdatetime 2016-10-04T09:03:42 --delay 1 --endMP 204:233308 --enddatetime 2016-10-04T09:46:22 --enforcementcount 0 &gt;&gt;C:\Users\stu\Documents\GitHub\eaglep3-reporting\EC\2016-10-04-refined-times.txt</v>
      </c>
      <c r="AI59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{"issue":{"subject":"","project_id":79,"tracker_id":40,"status_id":1,"priority_id":2,"assigned_to_id":23,"start_date":"2016-10-04","description":"","custom_fields":[{"id":1,"name":"Subdivision","value":"EC"},{"id":4,"name":"Milepost","value":"23.3308"},{"id":17,"name":"Train ID","value":"143-04"},{"id":16,"name":"Locomotive ID","value":"4044"},{"id":130,"name":"Impact","value":""},{"id":150,"name":"Time of Event (Mountain Time)","value":"09:46:22"},{"id":151,"name":"Denver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5"/>
      <c r="AK59" s="55"/>
      <c r="AL59" s="55"/>
    </row>
    <row r="60" spans="1:38" s="1" customFormat="1" x14ac:dyDescent="0.25">
      <c r="A60" s="39" t="s">
        <v>440</v>
      </c>
      <c r="B60" s="7">
        <v>4043</v>
      </c>
      <c r="C60" s="24" t="s">
        <v>106</v>
      </c>
      <c r="D60" s="24" t="s">
        <v>629</v>
      </c>
      <c r="E60" s="15">
        <v>42647.412685185183</v>
      </c>
      <c r="F60" s="15">
        <v>42647.414375</v>
      </c>
      <c r="G60" s="7">
        <v>1</v>
      </c>
      <c r="H60" s="15" t="s">
        <v>191</v>
      </c>
      <c r="I60" s="15">
        <v>42647.441053240742</v>
      </c>
      <c r="J60" s="7">
        <v>0</v>
      </c>
      <c r="K60" s="117" t="str">
        <f>IF(ISEVEN(B60),(B60-1)&amp;"/"&amp;B60,B60&amp;"/"&amp;(B60+1))</f>
        <v>4043/4044</v>
      </c>
      <c r="L60" s="24" t="str">
        <f>VLOOKUP(A60,'Trips&amp;Operators'!$C$1:$E$10000,3,FALSE)</f>
        <v>BEAM</v>
      </c>
      <c r="M60" s="6">
        <f>I60-F60</f>
        <v>2.6678240741603076E-2</v>
      </c>
      <c r="N60" s="7">
        <f>24*60*SUM($M60:$M60)</f>
        <v>38.41666666790843</v>
      </c>
      <c r="O60" s="7"/>
      <c r="P60" s="7"/>
      <c r="Q60" s="25"/>
      <c r="R60" s="25"/>
      <c r="S60" s="37">
        <f>SUM(U60:U60)/IF(AG60="EC",12,1)</f>
        <v>1</v>
      </c>
      <c r="T60" s="52" t="str">
        <f>IF(ISEVEN(LEFT(AD60,4)),"Southbound","NorthBound")</f>
        <v>Southbound</v>
      </c>
      <c r="U60" s="159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02" t="str">
        <f>"https://search-rtdc-monitor-bjffxe2xuh6vdkpspy63sjmuny.us-east-1.es.amazonaws.com/_plugin/kibana/#/discover/Steve-Slow-Train-Analysis-(2080s-and-2083s)?_g=(refreshInterval:(display:Off,section:0,value:0),time:(from:'"&amp;TEXT(E60-1/24,"yyyy-MM-DD hh:mm:ss")&amp;"-0600',mode:absolute,to:'"&amp;TEXT(I60+1/24,"yyyy-MM-DD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60&amp;"%22')),sort:!(Time,asc))"</f>
        <v>https://search-rtdc-monitor-bjffxe2xuh6vdkpspy63sjmuny.us-east-1.es.amazonaws.com/_plugin/kibana/#/discover/Steve-Slow-Train-Analysis-(2080s-and-2083s)?_g=(refreshInterval:(display:Off,section:0,value:0),time:(from:'2016-10-04 08:54:16-0600',mode:absolute,to:'2016-10-04 11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0" s="54" t="str">
        <f>IF(AA60&lt;IF(AG60="EC",23,5.65),"Y","N")</f>
        <v>N</v>
      </c>
      <c r="X60" s="164">
        <f>VALUE(LEFT(AD60,4))-VALUE(LEFT(AD59,4))</f>
        <v>1</v>
      </c>
      <c r="Y60" s="69">
        <f>RIGHT(D60,LEN(D60)-4)/10000</f>
        <v>23.299299999999999</v>
      </c>
      <c r="Z60" s="69">
        <f>RIGHT(H60,LEN(H60)-4)/10000</f>
        <v>1.49E-2</v>
      </c>
      <c r="AA60" s="69">
        <f>ABS(Z60-Y60)</f>
        <v>23.284399999999998</v>
      </c>
      <c r="AB60" s="66" t="e">
        <f>VLOOKUP(A60,Enforcements!$C$7:$K$21,8,0)</f>
        <v>#N/A</v>
      </c>
      <c r="AC60" s="62" t="e">
        <f>VLOOKUP(A60,Enforcements!$C$7:$E$21,3,0)</f>
        <v>#N/A</v>
      </c>
      <c r="AD60" s="63" t="str">
        <f>IF(LEN(A60)=6,"0"&amp;A60,A60)</f>
        <v>0144-04</v>
      </c>
      <c r="AE60" s="9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s3://rtdc.mdm.uploadarchive.raw/RTDC4043/ "%USERPROFILE%\AppData\Local\Temp\OnboardLogs"\RTDC4043\2016-10-04 --exclude "*" --recursive --include "*20161004*" &amp; "%USERPROFILE%\Documents\GitHub\mrs-test-scripts\Headless Mode &amp; Sideloading\WalkAndUnGZ.bat" "%USERPROFILE%\AppData\Local\Temp\OnboardLogs"\RTDC4043\2016-10-04 &amp; aws s3 cp s3://rtdc.mdm.uploadarchive.raw/RTDC4043/ "%USERPROFILE%\AppData\Local\Temp\OnboardLogs"\RTDC4043\2016-10-05 --exclude "*" --recursive --include "*20161005*" &amp; "%USERPROFILE%\Documents\GitHub\mrs-test-scripts\Headless Mode &amp; Sideloading\WalkAndUnGZ.bat" "%USERPROFILE%\AppData\Local\Temp\OnboardLogs"\RTDC4043\2016-10-05</v>
      </c>
      <c r="AF60" s="92" t="str">
        <f>astrogrep_path&amp;" /spath="&amp;search_path&amp;" /stypes=""app*"&amp;B60&amp;"*"&amp;TEXT(I60-utc_offset/24,"YYYYMMDD")&amp;"*"" /stext="" "&amp;TEXT(I60-utc_offset/24,"HH")&amp;search_regexp&amp;""" /e /r /s"</f>
        <v>"C:\Program Files (x86)\AstroGrep\AstroGrep.exe" /spath="%USERPROFILE%\AppData\Local\Temp\OnboardLogs" /stypes="app*4043*20161004*" /stext=" 16:.+((SYSTEM_STATE.+slice.+state.+changed )|(ment ac)|(system.+state.+changed )|(\[timeout)|(PRM\|1\|D)|(kpr)|(kdp)|(\|lc)|(penalty))" /e /r /s</v>
      </c>
      <c r="AG60" s="1" t="str">
        <f>IFERROR(IF(VALUE(LEFT(AD60,2))&lt;=2,"EC",IF(OR(VALUE(LEFT(AD60,2))=8,VALUE(LEFT(AD60,2))=18),"NW","Other")),"Other")</f>
        <v>EC</v>
      </c>
      <c r="AH60" s="96" t="str">
        <f t="shared" si="2"/>
        <v>"%USERPROFILE%\Documents\GitHub\eaglep3\Utilities\RefineRTDCRunTimes.py" --tripid 144-04 --locoid 4043 --swversion DE.1.0.7.0 --startMP 204:232993 --initTime 2016-10-04T09:54:16 --startdatetime 2016-10-04T09:56:42 --delay 1 --endMP 204:149 --enddatetime 2016-10-04T10:35:07 --enforcementcount 0 &gt;&gt;C:\Users\stu\Documents\GitHub\eaglep3-reporting\EC\2016-10-04-refined-times.txt</v>
      </c>
      <c r="AI60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{"issue":{"subject":"","project_id":79,"tracker_id":40,"status_id":1,"priority_id":2,"assigned_to_id":23,"start_date":"2016-10-04","description":"","custom_fields":[{"id":1,"name":"Subdivision","value":"EC"},{"id":4,"name":"Milepost","value":"0.0149"},{"id":17,"name":"Train ID","value":"144-04"},{"id":16,"name":"Locomotive ID","value":"4043"},{"id":130,"name":"Impact","value":""},{"id":150,"name":"Time of Event (Mountain Time)","value":"10:35:07"},{"id":151,"name":"Denver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5"/>
      <c r="AK60" s="55"/>
      <c r="AL60" s="55"/>
    </row>
    <row r="61" spans="1:38" s="1" customFormat="1" x14ac:dyDescent="0.25">
      <c r="A61" s="39" t="s">
        <v>432</v>
      </c>
      <c r="B61" s="7">
        <v>4007</v>
      </c>
      <c r="C61" s="24" t="s">
        <v>106</v>
      </c>
      <c r="D61" s="24" t="s">
        <v>256</v>
      </c>
      <c r="E61" s="15">
        <v>42647.387916666667</v>
      </c>
      <c r="F61" s="15">
        <v>42647.38957175926</v>
      </c>
      <c r="G61" s="7">
        <v>1</v>
      </c>
      <c r="H61" s="15" t="s">
        <v>315</v>
      </c>
      <c r="I61" s="15">
        <v>42647.418206018519</v>
      </c>
      <c r="J61" s="7">
        <v>0</v>
      </c>
      <c r="K61" s="117" t="str">
        <f>IF(ISEVEN(B61),(B61-1)&amp;"/"&amp;B61,B61&amp;"/"&amp;(B61+1))</f>
        <v>4007/4008</v>
      </c>
      <c r="L61" s="24" t="str">
        <f>VLOOKUP(A61,'Trips&amp;Operators'!$C$1:$E$10000,3,FALSE)</f>
        <v>ACKERMAN</v>
      </c>
      <c r="M61" s="6">
        <f>I61-F61</f>
        <v>2.8634259258979E-2</v>
      </c>
      <c r="N61" s="7">
        <f>24*60*SUM($M61:$M61)</f>
        <v>41.23333333292976</v>
      </c>
      <c r="O61" s="7"/>
      <c r="P61" s="7"/>
      <c r="Q61" s="25"/>
      <c r="R61" s="25"/>
      <c r="S61" s="37">
        <f>SUM(U61:U61)/IF(AG61="EC",12,1)</f>
        <v>1</v>
      </c>
      <c r="T61" s="52" t="str">
        <f>IF(ISEVEN(LEFT(AD61,4)),"Southbound","NorthBound")</f>
        <v>NorthBound</v>
      </c>
      <c r="U61" s="159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02" t="str">
        <f>"https://search-rtdc-monitor-bjffxe2xuh6vdkpspy63sjmuny.us-east-1.es.amazonaws.com/_plugin/kibana/#/discover/Steve-Slow-Train-Analysis-(2080s-and-2083s)?_g=(refreshInterval:(display:Off,section:0,value:0),time:(from:'"&amp;TEXT(E61-1/24,"yyyy-MM-DD hh:mm:ss")&amp;"-0600',mode:absolute,to:'"&amp;TEXT(I61+1/24,"yyyy-MM-DD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61&amp;"%22')),sort:!(Time,asc))"</f>
        <v>https://search-rtdc-monitor-bjffxe2xuh6vdkpspy63sjmuny.us-east-1.es.amazonaws.com/_plugin/kibana/#/discover/Steve-Slow-Train-Analysis-(2080s-and-2083s)?_g=(refreshInterval:(display:Off,section:0,value:0),time:(from:'2016-10-04 08:18:36-0600',mode:absolute,to:'2016-10-04 11:02:13-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61" s="54" t="str">
        <f>IF(AA61&lt;IF(AG61="EC",23,5.65),"Y","N")</f>
        <v>N</v>
      </c>
      <c r="X61" s="164">
        <f>VALUE(LEFT(AD61,4))-VALUE(LEFT(AD60,4))</f>
        <v>1</v>
      </c>
      <c r="Y61" s="69">
        <f>RIGHT(D61,LEN(D61)-4)/10000</f>
        <v>4.4900000000000002E-2</v>
      </c>
      <c r="Z61" s="69">
        <f>RIGHT(H61,LEN(H61)-4)/10000</f>
        <v>23.329499999999999</v>
      </c>
      <c r="AA61" s="69">
        <f>ABS(Z61-Y61)</f>
        <v>23.284600000000001</v>
      </c>
      <c r="AB61" s="66" t="e">
        <f>VLOOKUP(A61,Enforcements!$C$7:$K$21,8,0)</f>
        <v>#N/A</v>
      </c>
      <c r="AC61" s="62" t="e">
        <f>VLOOKUP(A61,Enforcements!$C$7:$E$21,3,0)</f>
        <v>#N/A</v>
      </c>
      <c r="AD61" s="63" t="str">
        <f>IF(LEN(A61)=6,"0"&amp;A61,A61)</f>
        <v>0145-04</v>
      </c>
      <c r="AE61" s="9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s3://rtdc.mdm.uploadarchive.raw/RTDC4007/ "%USERPROFILE%\AppData\Local\Temp\OnboardLogs"\RTDC4007\2016-10-04 --exclude "*" --recursive --include "*20161004*" &amp; "%USERPROFILE%\Documents\GitHub\mrs-test-scripts\Headless Mode &amp; Sideloading\WalkAndUnGZ.bat" "%USERPROFILE%\AppData\Local\Temp\OnboardLogs"\RTDC4007\2016-10-04 &amp; aws s3 cp s3://rtdc.mdm.uploadarchive.raw/RTDC4007/ "%USERPROFILE%\AppData\Local\Temp\OnboardLogs"\RTDC4007\2016-10-05 --exclude "*" --recursive --include "*20161005*" &amp; "%USERPROFILE%\Documents\GitHub\mrs-test-scripts\Headless Mode &amp; Sideloading\WalkAndUnGZ.bat" "%USERPROFILE%\AppData\Local\Temp\OnboardLogs"\RTDC4007\2016-10-05</v>
      </c>
      <c r="AF61" s="92" t="str">
        <f>astrogrep_path&amp;" /spath="&amp;search_path&amp;" /stypes=""app*"&amp;B61&amp;"*"&amp;TEXT(I61-utc_offset/24,"YYYYMMDD")&amp;"*"" /stext="" "&amp;TEXT(I61-utc_offset/24,"HH")&amp;search_regexp&amp;""" /e /r /s"</f>
        <v>"C:\Program Files (x86)\AstroGrep\AstroGrep.exe" /spath="%USERPROFILE%\AppData\Local\Temp\OnboardLogs" /stypes="app*4007*20161004*" /stext=" 16:.+((SYSTEM_STATE.+slice.+state.+changed )|(ment ac)|(system.+state.+changed )|(\[timeout)|(PRM\|1\|D)|(kpr)|(kdp)|(\|lc)|(penalty))" /e /r /s</v>
      </c>
      <c r="AG61" s="1" t="str">
        <f>IFERROR(IF(VALUE(LEFT(AD61,2))&lt;=2,"EC",IF(OR(VALUE(LEFT(AD61,2))=8,VALUE(LEFT(AD61,2))=18),"NW","Other")),"Other")</f>
        <v>EC</v>
      </c>
      <c r="AH61" s="96" t="str">
        <f t="shared" si="2"/>
        <v>"%USERPROFILE%\Documents\GitHub\eaglep3\Utilities\RefineRTDCRunTimes.py" --tripid 145-04 --locoid 4007 --swversion DE.1.0.7.0 --startMP 204:449 --initTime 2016-10-04T09:18:36 --startdatetime 2016-10-04T09:20:59 --delay 1 --endMP 204:233295 --enddatetime 2016-10-04T10:02:13 --enforcementcount 0 &gt;&gt;C:\Users\stu\Documents\GitHub\eaglep3-reporting\EC\2016-10-04-refined-times.txt</v>
      </c>
      <c r="AI61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{"issue":{"subject":"","project_id":79,"tracker_id":40,"status_id":1,"priority_id":2,"assigned_to_id":23,"start_date":"2016-10-04","description":"","custom_fields":[{"id":1,"name":"Subdivision","value":"EC"},{"id":4,"name":"Milepost","value":"23.3295"},{"id":17,"name":"Train ID","value":"145-04"},{"id":16,"name":"Locomotive ID","value":"4007"},{"id":130,"name":"Impact","value":""},{"id":150,"name":"Time of Event (Mountain Time)","value":"10:02:13"},{"id":151,"name":"Denver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5"/>
      <c r="AK61" s="55"/>
      <c r="AL61" s="55"/>
    </row>
    <row r="62" spans="1:38" s="1" customFormat="1" x14ac:dyDescent="0.25">
      <c r="A62" s="39" t="s">
        <v>443</v>
      </c>
      <c r="B62" s="7">
        <v>4008</v>
      </c>
      <c r="C62" s="24" t="s">
        <v>106</v>
      </c>
      <c r="D62" s="24" t="s">
        <v>301</v>
      </c>
      <c r="E62" s="15">
        <v>42647.420648148145</v>
      </c>
      <c r="F62" s="15">
        <v>42647.424571759257</v>
      </c>
      <c r="G62" s="7">
        <v>1</v>
      </c>
      <c r="H62" s="15" t="s">
        <v>213</v>
      </c>
      <c r="I62" s="15">
        <v>42647.452650462961</v>
      </c>
      <c r="J62" s="7">
        <v>0</v>
      </c>
      <c r="K62" s="117" t="str">
        <f>IF(ISEVEN(B62),(B62-1)&amp;"/"&amp;B62,B62&amp;"/"&amp;(B62+1))</f>
        <v>4007/4008</v>
      </c>
      <c r="L62" s="24" t="str">
        <f>VLOOKUP(A62,'Trips&amp;Operators'!$C$1:$E$10000,3,FALSE)</f>
        <v>ACKERMAN</v>
      </c>
      <c r="M62" s="6">
        <f>I62-F62</f>
        <v>2.8078703704522923E-2</v>
      </c>
      <c r="N62" s="7">
        <f>24*60*SUM($M62:$M62)</f>
        <v>40.433333334513009</v>
      </c>
      <c r="O62" s="7"/>
      <c r="P62" s="7"/>
      <c r="Q62" s="25"/>
      <c r="R62" s="25"/>
      <c r="S62" s="37">
        <f>SUM(U62:U62)/IF(AG62="EC",12,1)</f>
        <v>1</v>
      </c>
      <c r="T62" s="52" t="str">
        <f>IF(ISEVEN(LEFT(AD62,4)),"Southbound","NorthBound")</f>
        <v>Southbound</v>
      </c>
      <c r="U62" s="159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02" t="str">
        <f>"https://search-rtdc-monitor-bjffxe2xuh6vdkpspy63sjmuny.us-east-1.es.amazonaws.com/_plugin/kibana/#/discover/Steve-Slow-Train-Analysis-(2080s-and-2083s)?_g=(refreshInterval:(display:Off,section:0,value:0),time:(from:'"&amp;TEXT(E62-1/24,"yyyy-MM-DD hh:mm:ss")&amp;"-0600',mode:absolute,to:'"&amp;TEXT(I62+1/24,"yyyy-MM-DD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62&amp;"%22')),sort:!(Time,asc))"</f>
        <v>https://search-rtdc-monitor-bjffxe2xuh6vdkpspy63sjmuny.us-east-1.es.amazonaws.com/_plugin/kibana/#/discover/Steve-Slow-Train-Analysis-(2080s-and-2083s)?_g=(refreshInterval:(display:Off,section:0,value:0),time:(from:'2016-10-04 09:05:44-0600',mode:absolute,to:'2016-10-04 11:51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62" s="54" t="str">
        <f>IF(AA62&lt;IF(AG62="EC",23,5.65),"Y","N")</f>
        <v>N</v>
      </c>
      <c r="X62" s="164">
        <f>VALUE(LEFT(AD62,4))-VALUE(LEFT(AD61,4))</f>
        <v>1</v>
      </c>
      <c r="Y62" s="69">
        <f>RIGHT(D62,LEN(D62)-4)/10000</f>
        <v>23.2973</v>
      </c>
      <c r="Z62" s="69">
        <f>RIGHT(H62,LEN(H62)-4)/10000</f>
        <v>1.4500000000000001E-2</v>
      </c>
      <c r="AA62" s="69">
        <f>ABS(Z62-Y62)</f>
        <v>23.282799999999998</v>
      </c>
      <c r="AB62" s="66" t="e">
        <f>VLOOKUP(A62,Enforcements!$C$7:$K$21,8,0)</f>
        <v>#N/A</v>
      </c>
      <c r="AC62" s="62" t="e">
        <f>VLOOKUP(A62,Enforcements!$C$7:$E$21,3,0)</f>
        <v>#N/A</v>
      </c>
      <c r="AD62" s="63" t="str">
        <f>IF(LEN(A62)=6,"0"&amp;A62,A62)</f>
        <v>0146-04</v>
      </c>
      <c r="AE62" s="9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s3://rtdc.mdm.uploadarchive.raw/RTDC4008/ "%USERPROFILE%\AppData\Local\Temp\OnboardLogs"\RTDC4008\2016-10-04 --exclude "*" --recursive --include "*20161004*" &amp; "%USERPROFILE%\Documents\GitHub\mrs-test-scripts\Headless Mode &amp; Sideloading\WalkAndUnGZ.bat" "%USERPROFILE%\AppData\Local\Temp\OnboardLogs"\RTDC4008\2016-10-04 &amp; aws s3 cp s3://rtdc.mdm.uploadarchive.raw/RTDC4008/ "%USERPROFILE%\AppData\Local\Temp\OnboardLogs"\RTDC4008\2016-10-05 --exclude "*" --recursive --include "*20161005*" &amp; "%USERPROFILE%\Documents\GitHub\mrs-test-scripts\Headless Mode &amp; Sideloading\WalkAndUnGZ.bat" "%USERPROFILE%\AppData\Local\Temp\OnboardLogs"\RTDC4008\2016-10-05</v>
      </c>
      <c r="AF62" s="92" t="str">
        <f>astrogrep_path&amp;" /spath="&amp;search_path&amp;" /stypes=""app*"&amp;B62&amp;"*"&amp;TEXT(I62-utc_offset/24,"YYYYMMDD")&amp;"*"" /stext="" "&amp;TEXT(I62-utc_offset/24,"HH")&amp;search_regexp&amp;""" /e /r /s"</f>
        <v>"C:\Program Files (x86)\AstroGrep\AstroGrep.exe" /spath="%USERPROFILE%\AppData\Local\Temp\OnboardLogs" /stypes="app*4008*20161004*" /stext=" 16:.+((SYSTEM_STATE.+slice.+state.+changed )|(ment ac)|(system.+state.+changed )|(\[timeout)|(PRM\|1\|D)|(kpr)|(kdp)|(\|lc)|(penalty))" /e /r /s</v>
      </c>
      <c r="AG62" s="1" t="str">
        <f>IFERROR(IF(VALUE(LEFT(AD62,2))&lt;=2,"EC",IF(OR(VALUE(LEFT(AD62,2))=8,VALUE(LEFT(AD62,2))=18),"NW","Other")),"Other")</f>
        <v>EC</v>
      </c>
      <c r="AH62" s="96" t="str">
        <f t="shared" si="2"/>
        <v>"%USERPROFILE%\Documents\GitHub\eaglep3\Utilities\RefineRTDCRunTimes.py" --tripid 146-04 --locoid 4008 --swversion DE.1.0.7.0 --startMP 204:232973 --initTime 2016-10-04T10:05:44 --startdatetime 2016-10-04T10:11:23 --delay 1 --endMP 204:145 --enddatetime 2016-10-04T10:51:49 --enforcementcount 0 &gt;&gt;C:\Users\stu\Documents\GitHub\eaglep3-reporting\EC\2016-10-04-refined-times.txt</v>
      </c>
      <c r="AI62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{"issue":{"subject":"","project_id":79,"tracker_id":40,"status_id":1,"priority_id":2,"assigned_to_id":23,"start_date":"2016-10-04","description":"","custom_fields":[{"id":1,"name":"Subdivision","value":"EC"},{"id":4,"name":"Milepost","value":"0.0145"},{"id":17,"name":"Train ID","value":"146-04"},{"id":16,"name":"Locomotive ID","value":"4008"},{"id":130,"name":"Impact","value":""},{"id":150,"name":"Time of Event (Mountain Time)","value":"10:51:49"},{"id":151,"name":"Denver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5"/>
      <c r="AK62" s="55"/>
      <c r="AL62" s="55"/>
    </row>
    <row r="63" spans="1:38" s="1" customFormat="1" x14ac:dyDescent="0.25">
      <c r="A63" s="39" t="s">
        <v>435</v>
      </c>
      <c r="B63" s="7">
        <v>4042</v>
      </c>
      <c r="C63" s="24" t="s">
        <v>106</v>
      </c>
      <c r="D63" s="24" t="s">
        <v>322</v>
      </c>
      <c r="E63" s="15">
        <v>42647.39738425926</v>
      </c>
      <c r="F63" s="15">
        <v>42647.398981481485</v>
      </c>
      <c r="G63" s="7">
        <v>1</v>
      </c>
      <c r="H63" s="15" t="s">
        <v>630</v>
      </c>
      <c r="I63" s="15">
        <v>42647.428715277776</v>
      </c>
      <c r="J63" s="7">
        <v>0</v>
      </c>
      <c r="K63" s="117" t="str">
        <f>IF(ISEVEN(B63),(B63-1)&amp;"/"&amp;B63,B63&amp;"/"&amp;(B63+1))</f>
        <v>4041/4042</v>
      </c>
      <c r="L63" s="24" t="str">
        <f>VLOOKUP(A63,'Trips&amp;Operators'!$C$1:$E$10000,3,FALSE)</f>
        <v>SANTIZO</v>
      </c>
      <c r="M63" s="6">
        <f>I63-F63</f>
        <v>2.9733796291111503E-2</v>
      </c>
      <c r="N63" s="7">
        <f>24*60*SUM($M63:$M63)</f>
        <v>42.816666659200564</v>
      </c>
      <c r="O63" s="7"/>
      <c r="P63" s="7"/>
      <c r="Q63" s="25"/>
      <c r="R63" s="25"/>
      <c r="S63" s="37">
        <f>SUM(U63:U63)/IF(AG63="EC",12,1)</f>
        <v>1</v>
      </c>
      <c r="T63" s="52" t="str">
        <f>IF(ISEVEN(LEFT(AD63,4)),"Southbound","NorthBound")</f>
        <v>NorthBound</v>
      </c>
      <c r="U63" s="159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02" t="str">
        <f>"https://search-rtdc-monitor-bjffxe2xuh6vdkpspy63sjmuny.us-east-1.es.amazonaws.com/_plugin/kibana/#/discover/Steve-Slow-Train-Analysis-(2080s-and-2083s)?_g=(refreshInterval:(display:Off,section:0,value:0),time:(from:'"&amp;TEXT(E63-1/24,"yyyy-MM-DD hh:mm:ss")&amp;"-0600',mode:absolute,to:'"&amp;TEXT(I63+1/24,"yyyy-MM-DD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63&amp;"%22')),sort:!(Time,asc))"</f>
        <v>https://search-rtdc-monitor-bjffxe2xuh6vdkpspy63sjmuny.us-east-1.es.amazonaws.com/_plugin/kibana/#/discover/Steve-Slow-Train-Analysis-(2080s-and-2083s)?_g=(refreshInterval:(display:Off,section:0,value:0),time:(from:'2016-10-04 08:32:14-0600',mode:absolute,to:'2016-10-04 11:17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63" s="54" t="str">
        <f>IF(AA63&lt;IF(AG63="EC",23,5.65),"Y","N")</f>
        <v>N</v>
      </c>
      <c r="X63" s="164">
        <f>VALUE(LEFT(AD63,4))-VALUE(LEFT(AD62,4))</f>
        <v>1</v>
      </c>
      <c r="Y63" s="69">
        <f>RIGHT(D63,LEN(D63)-4)/10000</f>
        <v>4.4600000000000001E-2</v>
      </c>
      <c r="Z63" s="69">
        <f>RIGHT(H63,LEN(H63)-4)/10000</f>
        <v>23.3325</v>
      </c>
      <c r="AA63" s="69">
        <f>ABS(Z63-Y63)</f>
        <v>23.2879</v>
      </c>
      <c r="AB63" s="66" t="e">
        <f>VLOOKUP(A63,Enforcements!$C$7:$K$21,8,0)</f>
        <v>#N/A</v>
      </c>
      <c r="AC63" s="62" t="e">
        <f>VLOOKUP(A63,Enforcements!$C$7:$E$21,3,0)</f>
        <v>#N/A</v>
      </c>
      <c r="AD63" s="63" t="str">
        <f>IF(LEN(A63)=6,"0"&amp;A63,A63)</f>
        <v>0147-04</v>
      </c>
      <c r="AE63" s="9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s3://rtdc.mdm.uploadarchive.raw/RTDC4042/ "%USERPROFILE%\AppData\Local\Temp\OnboardLogs"\RTDC4042\2016-10-04 --exclude "*" --recursive --include "*20161004*" &amp; "%USERPROFILE%\Documents\GitHub\mrs-test-scripts\Headless Mode &amp; Sideloading\WalkAndUnGZ.bat" "%USERPROFILE%\AppData\Local\Temp\OnboardLogs"\RTDC4042\2016-10-04 &amp; aws s3 cp s3://rtdc.mdm.uploadarchive.raw/RTDC4042/ "%USERPROFILE%\AppData\Local\Temp\OnboardLogs"\RTDC4042\2016-10-05 --exclude "*" --recursive --include "*20161005*" &amp; "%USERPROFILE%\Documents\GitHub\mrs-test-scripts\Headless Mode &amp; Sideloading\WalkAndUnGZ.bat" "%USERPROFILE%\AppData\Local\Temp\OnboardLogs"\RTDC4042\2016-10-05</v>
      </c>
      <c r="AF63" s="92" t="str">
        <f>astrogrep_path&amp;" /spath="&amp;search_path&amp;" /stypes=""app*"&amp;B63&amp;"*"&amp;TEXT(I63-utc_offset/24,"YYYYMMDD")&amp;"*"" /stext="" "&amp;TEXT(I63-utc_offset/24,"HH")&amp;search_regexp&amp;""" /e /r /s"</f>
        <v>"C:\Program Files (x86)\AstroGrep\AstroGrep.exe" /spath="%USERPROFILE%\AppData\Local\Temp\OnboardLogs" /stypes="app*4042*20161004*" /stext=" 16:.+((SYSTEM_STATE.+slice.+state.+changed )|(ment ac)|(system.+state.+changed )|(\[timeout)|(PRM\|1\|D)|(kpr)|(kdp)|(\|lc)|(penalty))" /e /r /s</v>
      </c>
      <c r="AG63" s="1" t="str">
        <f>IFERROR(IF(VALUE(LEFT(AD63,2))&lt;=2,"EC",IF(OR(VALUE(LEFT(AD63,2))=8,VALUE(LEFT(AD63,2))=18),"NW","Other")),"Other")</f>
        <v>EC</v>
      </c>
      <c r="AH63" s="96" t="str">
        <f t="shared" si="2"/>
        <v>"%USERPROFILE%\Documents\GitHub\eaglep3\Utilities\RefineRTDCRunTimes.py" --tripid 147-04 --locoid 4042 --swversion DE.1.0.7.0 --startMP 204:446 --initTime 2016-10-04T09:32:14 --startdatetime 2016-10-04T09:34:32 --delay 1 --endMP 204:233325 --enddatetime 2016-10-04T10:17:21 --enforcementcount 0 &gt;&gt;C:\Users\stu\Documents\GitHub\eaglep3-reporting\EC\2016-10-04-refined-times.txt</v>
      </c>
      <c r="AI63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{"issue":{"subject":"","project_id":79,"tracker_id":40,"status_id":1,"priority_id":2,"assigned_to_id":23,"start_date":"2016-10-04","description":"","custom_fields":[{"id":1,"name":"Subdivision","value":"EC"},{"id":4,"name":"Milepost","value":"23.3325"},{"id":17,"name":"Train ID","value":"147-04"},{"id":16,"name":"Locomotive ID","value":"4042"},{"id":130,"name":"Impact","value":""},{"id":150,"name":"Time of Event (Mountain Time)","value":"10:17:21"},{"id":151,"name":"Denver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5"/>
      <c r="AK63" s="55"/>
      <c r="AL63" s="55"/>
    </row>
    <row r="64" spans="1:38" s="1" customFormat="1" x14ac:dyDescent="0.25">
      <c r="A64" s="39" t="s">
        <v>446</v>
      </c>
      <c r="B64" s="7">
        <v>4041</v>
      </c>
      <c r="C64" s="24" t="s">
        <v>106</v>
      </c>
      <c r="D64" s="24" t="s">
        <v>631</v>
      </c>
      <c r="E64" s="15">
        <v>42647.431979166664</v>
      </c>
      <c r="F64" s="15">
        <v>42647.434976851851</v>
      </c>
      <c r="G64" s="7">
        <v>1</v>
      </c>
      <c r="H64" s="15" t="s">
        <v>223</v>
      </c>
      <c r="I64" s="15">
        <v>42647.461516203701</v>
      </c>
      <c r="J64" s="7">
        <v>0</v>
      </c>
      <c r="K64" s="117" t="str">
        <f>IF(ISEVEN(B64),(B64-1)&amp;"/"&amp;B64,B64&amp;"/"&amp;(B64+1))</f>
        <v>4041/4042</v>
      </c>
      <c r="L64" s="24" t="str">
        <f>VLOOKUP(A64,'Trips&amp;Operators'!$C$1:$E$10000,3,FALSE)</f>
        <v>SANTIZO</v>
      </c>
      <c r="M64" s="6">
        <f>I64-F64</f>
        <v>2.6539351849351078E-2</v>
      </c>
      <c r="N64" s="7">
        <f>24*60*SUM($M64:$M64)</f>
        <v>38.216666663065553</v>
      </c>
      <c r="O64" s="7"/>
      <c r="P64" s="7"/>
      <c r="Q64" s="25"/>
      <c r="R64" s="25"/>
      <c r="S64" s="37">
        <f>SUM(U64:U64)/IF(AG64="EC",12,1)</f>
        <v>1</v>
      </c>
      <c r="T64" s="52" t="str">
        <f>IF(ISEVEN(LEFT(AD64,4)),"Southbound","NorthBound")</f>
        <v>Southbound</v>
      </c>
      <c r="U64" s="159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02" t="str">
        <f>"https://search-rtdc-monitor-bjffxe2xuh6vdkpspy63sjmuny.us-east-1.es.amazonaws.com/_plugin/kibana/#/discover/Steve-Slow-Train-Analysis-(2080s-and-2083s)?_g=(refreshInterval:(display:Off,section:0,value:0),time:(from:'"&amp;TEXT(E64-1/24,"yyyy-MM-DD hh:mm:ss")&amp;"-0600',mode:absolute,to:'"&amp;TEXT(I64+1/24,"yyyy-MM-DD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64&amp;"%22')),sort:!(Time,asc))"</f>
        <v>https://search-rtdc-monitor-bjffxe2xuh6vdkpspy63sjmuny.us-east-1.es.amazonaws.com/_plugin/kibana/#/discover/Steve-Slow-Train-Analysis-(2080s-and-2083s)?_g=(refreshInterval:(display:Off,section:0,value:0),time:(from:'2016-10-04 09:22:03-0600',mode:absolute,to:'2016-10-04 12:04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64" s="54" t="str">
        <f>IF(AA64&lt;IF(AG64="EC",23,5.65),"Y","N")</f>
        <v>N</v>
      </c>
      <c r="X64" s="164">
        <f>VALUE(LEFT(AD64,4))-VALUE(LEFT(AD63,4))</f>
        <v>1</v>
      </c>
      <c r="Y64" s="69">
        <f>RIGHT(D64,LEN(D64)-4)/10000</f>
        <v>23.300799999999999</v>
      </c>
      <c r="Z64" s="69">
        <f>RIGHT(H64,LEN(H64)-4)/10000</f>
        <v>1.43E-2</v>
      </c>
      <c r="AA64" s="69">
        <f>ABS(Z64-Y64)</f>
        <v>23.2865</v>
      </c>
      <c r="AB64" s="66" t="e">
        <f>VLOOKUP(A64,Enforcements!$C$7:$K$21,8,0)</f>
        <v>#N/A</v>
      </c>
      <c r="AC64" s="62" t="e">
        <f>VLOOKUP(A64,Enforcements!$C$7:$E$21,3,0)</f>
        <v>#N/A</v>
      </c>
      <c r="AD64" s="63" t="str">
        <f>IF(LEN(A64)=6,"0"&amp;A64,A64)</f>
        <v>0148-04</v>
      </c>
      <c r="AE64" s="9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s3://rtdc.mdm.uploadarchive.raw/RTDC4041/ "%USERPROFILE%\AppData\Local\Temp\OnboardLogs"\RTDC4041\2016-10-04 --exclude "*" --recursive --include "*20161004*" &amp; "%USERPROFILE%\Documents\GitHub\mrs-test-scripts\Headless Mode &amp; Sideloading\WalkAndUnGZ.bat" "%USERPROFILE%\AppData\Local\Temp\OnboardLogs"\RTDC4041\2016-10-04 &amp; aws s3 cp s3://rtdc.mdm.uploadarchive.raw/RTDC4041/ "%USERPROFILE%\AppData\Local\Temp\OnboardLogs"\RTDC4041\2016-10-05 --exclude "*" --recursive --include "*20161005*" &amp; "%USERPROFILE%\Documents\GitHub\mrs-test-scripts\Headless Mode &amp; Sideloading\WalkAndUnGZ.bat" "%USERPROFILE%\AppData\Local\Temp\OnboardLogs"\RTDC4041\2016-10-05</v>
      </c>
      <c r="AF64" s="92" t="str">
        <f>astrogrep_path&amp;" /spath="&amp;search_path&amp;" /stypes=""app*"&amp;B64&amp;"*"&amp;TEXT(I64-utc_offset/24,"YYYYMMDD")&amp;"*"" /stext="" "&amp;TEXT(I64-utc_offset/24,"HH")&amp;search_regexp&amp;""" /e /r /s"</f>
        <v>"C:\Program Files (x86)\AstroGrep\AstroGrep.exe" /spath="%USERPROFILE%\AppData\Local\Temp\OnboardLogs" /stypes="app*4041*20161004*" /stext=" 17:.+((SYSTEM_STATE.+slice.+state.+changed )|(ment ac)|(system.+state.+changed )|(\[timeout)|(PRM\|1\|D)|(kpr)|(kdp)|(\|lc)|(penalty))" /e /r /s</v>
      </c>
      <c r="AG64" s="1" t="str">
        <f>IFERROR(IF(VALUE(LEFT(AD64,2))&lt;=2,"EC",IF(OR(VALUE(LEFT(AD64,2))=8,VALUE(LEFT(AD64,2))=18),"NW","Other")),"Other")</f>
        <v>EC</v>
      </c>
      <c r="AH64" s="96" t="str">
        <f t="shared" si="2"/>
        <v>"%USERPROFILE%\Documents\GitHub\eaglep3\Utilities\RefineRTDCRunTimes.py" --tripid 148-04 --locoid 4041 --swversion DE.1.0.7.0 --startMP 204:233008 --initTime 2016-10-04T10:22:03 --startdatetime 2016-10-04T10:26:22 --delay 1 --endMP 204:143 --enddatetime 2016-10-04T11:04:35 --enforcementcount 0 &gt;&gt;C:\Users\stu\Documents\GitHub\eaglep3-reporting\EC\2016-10-04-refined-times.txt</v>
      </c>
      <c r="AI64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{"issue":{"subject":"","project_id":79,"tracker_id":40,"status_id":1,"priority_id":2,"assigned_to_id":23,"start_date":"2016-10-04","description":"","custom_fields":[{"id":1,"name":"Subdivision","value":"EC"},{"id":4,"name":"Milepost","value":"0.0143"},{"id":17,"name":"Train ID","value":"148-04"},{"id":16,"name":"Locomotive ID","value":"4041"},{"id":130,"name":"Impact","value":""},{"id":150,"name":"Time of Event (Mountain Time)","value":"11:04:35"},{"id":151,"name":"Denver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5"/>
      <c r="AK64" s="55"/>
      <c r="AL64" s="55"/>
    </row>
    <row r="65" spans="1:38" s="1" customFormat="1" x14ac:dyDescent="0.25">
      <c r="A65" s="39" t="s">
        <v>439</v>
      </c>
      <c r="B65" s="7">
        <v>4029</v>
      </c>
      <c r="C65" s="24" t="s">
        <v>106</v>
      </c>
      <c r="D65" s="24" t="s">
        <v>200</v>
      </c>
      <c r="E65" s="15">
        <v>42647.400787037041</v>
      </c>
      <c r="F65" s="15">
        <v>42647.406539351854</v>
      </c>
      <c r="G65" s="7">
        <v>1</v>
      </c>
      <c r="H65" s="15" t="s">
        <v>308</v>
      </c>
      <c r="I65" s="15">
        <v>42647.432916666665</v>
      </c>
      <c r="J65" s="7">
        <v>0</v>
      </c>
      <c r="K65" s="117" t="str">
        <f>IF(ISEVEN(B65),(B65-1)&amp;"/"&amp;B65,B65&amp;"/"&amp;(B65+1))</f>
        <v>4029/4030</v>
      </c>
      <c r="L65" s="24" t="str">
        <f>VLOOKUP(A65,'Trips&amp;Operators'!$C$1:$E$10000,3,FALSE)</f>
        <v>BRANNON</v>
      </c>
      <c r="M65" s="6">
        <f>I65-F65</f>
        <v>2.6377314810815733E-2</v>
      </c>
      <c r="N65" s="7">
        <f>24*60*SUM($M65:$M65)</f>
        <v>37.983333327574655</v>
      </c>
      <c r="O65" s="7"/>
      <c r="P65" s="7"/>
      <c r="Q65" s="25"/>
      <c r="R65" s="25"/>
      <c r="S65" s="37">
        <f>SUM(U65:U65)/IF(AG65="EC",12,1)</f>
        <v>1</v>
      </c>
      <c r="T65" s="52" t="str">
        <f>IF(ISEVEN(LEFT(AD65,4)),"Southbound","NorthBound")</f>
        <v>NorthBound</v>
      </c>
      <c r="U65" s="159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02" t="str">
        <f>"https://search-rtdc-monitor-bjffxe2xuh6vdkpspy63sjmuny.us-east-1.es.amazonaws.com/_plugin/kibana/#/discover/Steve-Slow-Train-Analysis-(2080s-and-2083s)?_g=(refreshInterval:(display:Off,section:0,value:0),time:(from:'"&amp;TEXT(E65-1/24,"yyyy-MM-DD hh:mm:ss")&amp;"-0600',mode:absolute,to:'"&amp;TEXT(I65+1/24,"yyyy-MM-DD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65&amp;"%22')),sort:!(Time,asc))"</f>
        <v>https://search-rtdc-monitor-bjffxe2xuh6vdkpspy63sjmuny.us-east-1.es.amazonaws.com/_plugin/kibana/#/discover/Steve-Slow-Train-Analysis-(2080s-and-2083s)?_g=(refreshInterval:(display:Off,section:0,value:0),time:(from:'2016-10-04 08:37:08-0600',mode:absolute,to:'2016-10-04 11:23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5" s="54" t="str">
        <f>IF(AA65&lt;IF(AG65="EC",23,5.65),"Y","N")</f>
        <v>N</v>
      </c>
      <c r="X65" s="164">
        <f>VALUE(LEFT(AD65,4))-VALUE(LEFT(AD64,4))</f>
        <v>1</v>
      </c>
      <c r="Y65" s="69">
        <f>RIGHT(D65,LEN(D65)-4)/10000</f>
        <v>4.5699999999999998E-2</v>
      </c>
      <c r="Z65" s="69">
        <f>RIGHT(H65,LEN(H65)-4)/10000</f>
        <v>23.330100000000002</v>
      </c>
      <c r="AA65" s="69">
        <f>ABS(Z65-Y65)</f>
        <v>23.284400000000002</v>
      </c>
      <c r="AB65" s="66" t="str">
        <f>VLOOKUP(A65,Enforcements!$C$7:$K$21,8,0)</f>
        <v>Speed (6)</v>
      </c>
      <c r="AC65" s="62" t="str">
        <f>VLOOKUP(A65,Enforcements!$C$7:$E$21,3,0)</f>
        <v>PERMANENT SPEED RESTRICTION</v>
      </c>
      <c r="AD65" s="63" t="str">
        <f>IF(LEN(A65)=6,"0"&amp;A65,A65)</f>
        <v>0149-04</v>
      </c>
      <c r="AE65" s="9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s3://rtdc.mdm.uploadarchive.raw/RTDC4029/ "%USERPROFILE%\AppData\Local\Temp\OnboardLogs"\RTDC4029\2016-10-04 --exclude "*" --recursive --include "*20161004*" &amp; "%USERPROFILE%\Documents\GitHub\mrs-test-scripts\Headless Mode &amp; Sideloading\WalkAndUnGZ.bat" "%USERPROFILE%\AppData\Local\Temp\OnboardLogs"\RTDC4029\2016-10-04 &amp; aws s3 cp s3://rtdc.mdm.uploadarchive.raw/RTDC4029/ "%USERPROFILE%\AppData\Local\Temp\OnboardLogs"\RTDC4029\2016-10-05 --exclude "*" --recursive --include "*20161005*" &amp; "%USERPROFILE%\Documents\GitHub\mrs-test-scripts\Headless Mode &amp; Sideloading\WalkAndUnGZ.bat" "%USERPROFILE%\AppData\Local\Temp\OnboardLogs"\RTDC4029\2016-10-05</v>
      </c>
      <c r="AF65" s="92" t="str">
        <f>astrogrep_path&amp;" /spath="&amp;search_path&amp;" /stypes=""app*"&amp;B65&amp;"*"&amp;TEXT(I65-utc_offset/24,"YYYYMMDD")&amp;"*"" /stext="" "&amp;TEXT(I65-utc_offset/24,"HH")&amp;search_regexp&amp;""" /e /r /s"</f>
        <v>"C:\Program Files (x86)\AstroGrep\AstroGrep.exe" /spath="%USERPROFILE%\AppData\Local\Temp\OnboardLogs" /stypes="app*4029*20161004*" /stext=" 16:.+((SYSTEM_STATE.+slice.+state.+changed )|(ment ac)|(system.+state.+changed )|(\[timeout)|(PRM\|1\|D)|(kpr)|(kdp)|(\|lc)|(penalty))" /e /r /s</v>
      </c>
      <c r="AG65" s="1" t="str">
        <f>IFERROR(IF(VALUE(LEFT(AD65,2))&lt;=2,"EC",IF(OR(VALUE(LEFT(AD65,2))=8,VALUE(LEFT(AD65,2))=18),"NW","Other")),"Other")</f>
        <v>EC</v>
      </c>
      <c r="AH65" s="96" t="str">
        <f t="shared" si="2"/>
        <v>"%USERPROFILE%\Documents\GitHub\eaglep3\Utilities\RefineRTDCRunTimes.py" --tripid 149-04 --locoid 4029 --swversion DE.1.0.7.0 --startMP 204:457 --initTime 2016-10-04T09:37:08 --startdatetime 2016-10-04T09:45:25 --delay 1 --endMP 204:233301 --enddatetime 2016-10-04T10:23:24 --enforcementcount 0 &gt;&gt;C:\Users\stu\Documents\GitHub\eaglep3-reporting\EC\2016-10-04-refined-times.txt</v>
      </c>
      <c r="AI65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{"issue":{"subject":"","project_id":79,"tracker_id":40,"status_id":1,"priority_id":2,"assigned_to_id":23,"start_date":"2016-10-04","description":"","custom_fields":[{"id":1,"name":"Subdivision","value":"EC"},{"id":4,"name":"Milepost","value":"23.3301"},{"id":17,"name":"Train ID","value":"149-04"},{"id":16,"name":"Locomotive ID","value":"4029"},{"id":130,"name":"Impact","value":""},{"id":150,"name":"Time of Event (Mountain Time)","value":"10:23:24"},{"id":151,"name":"Denver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5"/>
      <c r="AK65" s="55"/>
      <c r="AL65" s="55"/>
    </row>
    <row r="66" spans="1:38" s="1" customFormat="1" x14ac:dyDescent="0.25">
      <c r="A66" s="39" t="s">
        <v>449</v>
      </c>
      <c r="B66" s="7">
        <v>4030</v>
      </c>
      <c r="C66" s="24" t="s">
        <v>106</v>
      </c>
      <c r="D66" s="24" t="s">
        <v>224</v>
      </c>
      <c r="E66" s="15">
        <v>42647.43886574074</v>
      </c>
      <c r="F66" s="15">
        <v>42647.445300925923</v>
      </c>
      <c r="G66" s="7">
        <v>1</v>
      </c>
      <c r="H66" s="15" t="s">
        <v>206</v>
      </c>
      <c r="I66" s="15">
        <v>42647.472743055558</v>
      </c>
      <c r="J66" s="7">
        <v>0</v>
      </c>
      <c r="K66" s="117" t="str">
        <f>IF(ISEVEN(B66),(B66-1)&amp;"/"&amp;B66,B66&amp;"/"&amp;(B66+1))</f>
        <v>4029/4030</v>
      </c>
      <c r="L66" s="24" t="str">
        <f>VLOOKUP(A66,'Trips&amp;Operators'!$C$1:$E$10000,3,FALSE)</f>
        <v>BRANNON</v>
      </c>
      <c r="M66" s="6">
        <f>I66-F66</f>
        <v>2.7442129634437151E-2</v>
      </c>
      <c r="N66" s="7">
        <f>24*60*SUM($M66:$M66)</f>
        <v>39.516666673589498</v>
      </c>
      <c r="O66" s="7"/>
      <c r="P66" s="7"/>
      <c r="Q66" s="25"/>
      <c r="R66" s="25"/>
      <c r="S66" s="37">
        <f>SUM(U66:U66)/IF(AG66="EC",12,1)</f>
        <v>1</v>
      </c>
      <c r="T66" s="52" t="str">
        <f>IF(ISEVEN(LEFT(AD66,4)),"Southbound","NorthBound")</f>
        <v>Southbound</v>
      </c>
      <c r="U66" s="159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02" t="str">
        <f>"https://search-rtdc-monitor-bjffxe2xuh6vdkpspy63sjmuny.us-east-1.es.amazonaws.com/_plugin/kibana/#/discover/Steve-Slow-Train-Analysis-(2080s-and-2083s)?_g=(refreshInterval:(display:Off,section:0,value:0),time:(from:'"&amp;TEXT(E66-1/24,"yyyy-MM-DD hh:mm:ss")&amp;"-0600',mode:absolute,to:'"&amp;TEXT(I66+1/24,"yyyy-MM-DD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66&amp;"%22')),sort:!(Time,asc))"</f>
        <v>https://search-rtdc-monitor-bjffxe2xuh6vdkpspy63sjmuny.us-east-1.es.amazonaws.com/_plugin/kibana/#/discover/Steve-Slow-Train-Analysis-(2080s-and-2083s)?_g=(refreshInterval:(display:Off,section:0,value:0),time:(from:'2016-10-04 09:31:58-0600',mode:absolute,to:'2016-10-04 12:20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66" s="54" t="str">
        <f>IF(AA66&lt;IF(AG66="EC",23,5.65),"Y","N")</f>
        <v>N</v>
      </c>
      <c r="X66" s="164">
        <f>VALUE(LEFT(AD66,4))-VALUE(LEFT(AD65,4))</f>
        <v>1</v>
      </c>
      <c r="Y66" s="69">
        <f>RIGHT(D66,LEN(D66)-4)/10000</f>
        <v>23.297699999999999</v>
      </c>
      <c r="Z66" s="69">
        <f>RIGHT(H66,LEN(H66)-4)/10000</f>
        <v>1.38E-2</v>
      </c>
      <c r="AA66" s="69">
        <f>ABS(Z66-Y66)</f>
        <v>23.283899999999999</v>
      </c>
      <c r="AB66" s="66" t="e">
        <f>VLOOKUP(A66,Enforcements!$C$7:$K$21,8,0)</f>
        <v>#N/A</v>
      </c>
      <c r="AC66" s="62" t="e">
        <f>VLOOKUP(A66,Enforcements!$C$7:$E$21,3,0)</f>
        <v>#N/A</v>
      </c>
      <c r="AD66" s="63" t="str">
        <f>IF(LEN(A66)=6,"0"&amp;A66,A66)</f>
        <v>0150-04</v>
      </c>
      <c r="AE66" s="9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s3://rtdc.mdm.uploadarchive.raw/RTDC4030/ "%USERPROFILE%\AppData\Local\Temp\OnboardLogs"\RTDC4030\2016-10-04 --exclude "*" --recursive --include "*20161004*" &amp; "%USERPROFILE%\Documents\GitHub\mrs-test-scripts\Headless Mode &amp; Sideloading\WalkAndUnGZ.bat" "%USERPROFILE%\AppData\Local\Temp\OnboardLogs"\RTDC4030\2016-10-04 &amp; aws s3 cp s3://rtdc.mdm.uploadarchive.raw/RTDC4030/ "%USERPROFILE%\AppData\Local\Temp\OnboardLogs"\RTDC4030\2016-10-05 --exclude "*" --recursive --include "*20161005*" &amp; "%USERPROFILE%\Documents\GitHub\mrs-test-scripts\Headless Mode &amp; Sideloading\WalkAndUnGZ.bat" "%USERPROFILE%\AppData\Local\Temp\OnboardLogs"\RTDC4030\2016-10-05</v>
      </c>
      <c r="AF66" s="92" t="str">
        <f>astrogrep_path&amp;" /spath="&amp;search_path&amp;" /stypes=""app*"&amp;B66&amp;"*"&amp;TEXT(I66-utc_offset/24,"YYYYMMDD")&amp;"*"" /stext="" "&amp;TEXT(I66-utc_offset/24,"HH")&amp;search_regexp&amp;""" /e /r /s"</f>
        <v>"C:\Program Files (x86)\AstroGrep\AstroGrep.exe" /spath="%USERPROFILE%\AppData\Local\Temp\OnboardLogs" /stypes="app*4030*20161004*" /stext=" 17:.+((SYSTEM_STATE.+slice.+state.+changed )|(ment ac)|(system.+state.+changed )|(\[timeout)|(PRM\|1\|D)|(kpr)|(kdp)|(\|lc)|(penalty))" /e /r /s</v>
      </c>
      <c r="AG66" s="1" t="str">
        <f>IFERROR(IF(VALUE(LEFT(AD66,2))&lt;=2,"EC",IF(OR(VALUE(LEFT(AD66,2))=8,VALUE(LEFT(AD66,2))=18),"NW","Other")),"Other")</f>
        <v>EC</v>
      </c>
      <c r="AH66" s="96" t="str">
        <f t="shared" si="2"/>
        <v>"%USERPROFILE%\Documents\GitHub\eaglep3\Utilities\RefineRTDCRunTimes.py" --tripid 150-04 --locoid 4030 --swversion DE.1.0.7.0 --startMP 204:232977 --initTime 2016-10-04T10:31:58 --startdatetime 2016-10-04T10:41:14 --delay 1 --endMP 204:138 --enddatetime 2016-10-04T11:20:45 --enforcementcount 0 &gt;&gt;C:\Users\stu\Documents\GitHub\eaglep3-reporting\EC\2016-10-04-refined-times.txt</v>
      </c>
      <c r="AI66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{"issue":{"subject":"","project_id":79,"tracker_id":40,"status_id":1,"priority_id":2,"assigned_to_id":23,"start_date":"2016-10-04","description":"","custom_fields":[{"id":1,"name":"Subdivision","value":"EC"},{"id":4,"name":"Milepost","value":"0.0138"},{"id":17,"name":"Train ID","value":"150-04"},{"id":16,"name":"Locomotive ID","value":"4030"},{"id":130,"name":"Impact","value":""},{"id":150,"name":"Time of Event (Mountain Time)","value":"11:20:45"},{"id":151,"name":"Denver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5"/>
      <c r="AK66" s="55"/>
      <c r="AL66" s="55"/>
    </row>
    <row r="67" spans="1:38" s="1" customFormat="1" x14ac:dyDescent="0.25">
      <c r="A67" s="39" t="s">
        <v>441</v>
      </c>
      <c r="B67" s="7">
        <v>4025</v>
      </c>
      <c r="C67" s="24" t="s">
        <v>106</v>
      </c>
      <c r="D67" s="24" t="s">
        <v>327</v>
      </c>
      <c r="E67" s="15">
        <v>42647.41474537037</v>
      </c>
      <c r="F67" s="15">
        <v>42647.416851851849</v>
      </c>
      <c r="G67" s="7">
        <v>1</v>
      </c>
      <c r="H67" s="15" t="s">
        <v>300</v>
      </c>
      <c r="I67" s="15">
        <v>42647.441574074073</v>
      </c>
      <c r="J67" s="7">
        <v>0</v>
      </c>
      <c r="K67" s="117" t="str">
        <f>IF(ISEVEN(B67),(B67-1)&amp;"/"&amp;B67,B67&amp;"/"&amp;(B67+1))</f>
        <v>4025/4026</v>
      </c>
      <c r="L67" s="24" t="str">
        <f>VLOOKUP(A67,'Trips&amp;Operators'!$C$1:$E$10000,3,FALSE)</f>
        <v>SPECTOR</v>
      </c>
      <c r="M67" s="6">
        <f>I67-F67</f>
        <v>2.4722222224227153E-2</v>
      </c>
      <c r="N67" s="7">
        <f>24*60*SUM($M67:$M67)</f>
        <v>35.6000000028871</v>
      </c>
      <c r="O67" s="7"/>
      <c r="P67" s="7"/>
      <c r="Q67" s="25"/>
      <c r="R67" s="25"/>
      <c r="S67" s="37">
        <f>SUM(U67:U67)/IF(AG67="EC",12,1)</f>
        <v>1</v>
      </c>
      <c r="T67" s="52" t="str">
        <f>IF(ISEVEN(LEFT(AD67,4)),"Southbound","NorthBound")</f>
        <v>NorthBound</v>
      </c>
      <c r="U67" s="159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02" t="str">
        <f>"https://search-rtdc-monitor-bjffxe2xuh6vdkpspy63sjmuny.us-east-1.es.amazonaws.com/_plugin/kibana/#/discover/Steve-Slow-Train-Analysis-(2080s-and-2083s)?_g=(refreshInterval:(display:Off,section:0,value:0),time:(from:'"&amp;TEXT(E67-1/24,"yyyy-MM-DD hh:mm:ss")&amp;"-0600',mode:absolute,to:'"&amp;TEXT(I67+1/24,"yyyy-MM-DD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67&amp;"%22')),sort:!(Time,asc))"</f>
        <v>https://search-rtdc-monitor-bjffxe2xuh6vdkpspy63sjmuny.us-east-1.es.amazonaws.com/_plugin/kibana/#/discover/Steve-Slow-Train-Analysis-(2080s-and-2083s)?_g=(refreshInterval:(display:Off,section:0,value:0),time:(from:'2016-10-04 08:57:14-0600',mode:absolute,to:'2016-10-04 11:35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67" s="54" t="str">
        <f>IF(AA67&lt;IF(AG67="EC",23,5.65),"Y","N")</f>
        <v>N</v>
      </c>
      <c r="X67" s="164">
        <f>VALUE(LEFT(AD67,4))-VALUE(LEFT(AD66,4))</f>
        <v>1</v>
      </c>
      <c r="Y67" s="69">
        <f>RIGHT(D67,LEN(D67)-4)/10000</f>
        <v>4.8000000000000001E-2</v>
      </c>
      <c r="Z67" s="69">
        <f>RIGHT(H67,LEN(H67)-4)/10000</f>
        <v>23.330400000000001</v>
      </c>
      <c r="AA67" s="69">
        <f>ABS(Z67-Y67)</f>
        <v>23.282400000000003</v>
      </c>
      <c r="AB67" s="66" t="e">
        <f>VLOOKUP(A67,Enforcements!$C$7:$K$21,8,0)</f>
        <v>#N/A</v>
      </c>
      <c r="AC67" s="62" t="e">
        <f>VLOOKUP(A67,Enforcements!$C$7:$E$21,3,0)</f>
        <v>#N/A</v>
      </c>
      <c r="AD67" s="63" t="str">
        <f>IF(LEN(A67)=6,"0"&amp;A67,A67)</f>
        <v>0151-04</v>
      </c>
      <c r="AE67" s="9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s3://rtdc.mdm.uploadarchive.raw/RTDC4025/ "%USERPROFILE%\AppData\Local\Temp\OnboardLogs"\RTDC4025\2016-10-04 --exclude "*" --recursive --include "*20161004*" &amp; "%USERPROFILE%\Documents\GitHub\mrs-test-scripts\Headless Mode &amp; Sideloading\WalkAndUnGZ.bat" "%USERPROFILE%\AppData\Local\Temp\OnboardLogs"\RTDC4025\2016-10-04 &amp; aws s3 cp s3://rtdc.mdm.uploadarchive.raw/RTDC4025/ "%USERPROFILE%\AppData\Local\Temp\OnboardLogs"\RTDC4025\2016-10-05 --exclude "*" --recursive --include "*20161005*" &amp; "%USERPROFILE%\Documents\GitHub\mrs-test-scripts\Headless Mode &amp; Sideloading\WalkAndUnGZ.bat" "%USERPROFILE%\AppData\Local\Temp\OnboardLogs"\RTDC4025\2016-10-05</v>
      </c>
      <c r="AF67" s="92" t="str">
        <f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/stypes="app*4025*20161004*" /stext=" 16:.+((SYSTEM_STATE.+slice.+state.+changed )|(ment ac)|(system.+state.+changed )|(\[timeout)|(PRM\|1\|D)|(kpr)|(kdp)|(\|lc)|(penalty))" /e /r /s</v>
      </c>
      <c r="AG67" s="1" t="str">
        <f>IFERROR(IF(VALUE(LEFT(AD67,2))&lt;=2,"EC",IF(OR(VALUE(LEFT(AD67,2))=8,VALUE(LEFT(AD67,2))=18),"NW","Other")),"Other")</f>
        <v>EC</v>
      </c>
      <c r="AH67" s="96" t="str">
        <f t="shared" si="2"/>
        <v>"%USERPROFILE%\Documents\GitHub\eaglep3\Utilities\RefineRTDCRunTimes.py" --tripid 151-04 --locoid 4025 --swversion DE.1.0.7.0 --startMP 204:480 --initTime 2016-10-04T09:57:14 --startdatetime 2016-10-04T10:00:16 --delay 1 --endMP 204:233304 --enddatetime 2016-10-04T10:35:52 --enforcementcount 0 &gt;&gt;C:\Users\stu\Documents\GitHub\eaglep3-reporting\EC\2016-10-04-refined-times.txt</v>
      </c>
      <c r="AI67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{"issue":{"subject":"","project_id":79,"tracker_id":40,"status_id":1,"priority_id":2,"assigned_to_id":23,"start_date":"2016-10-04","description":"","custom_fields":[{"id":1,"name":"Subdivision","value":"EC"},{"id":4,"name":"Milepost","value":"23.3304"},{"id":17,"name":"Train ID","value":"151-04"},{"id":16,"name":"Locomotive ID","value":"4025"},{"id":130,"name":"Impact","value":""},{"id":150,"name":"Time of Event (Mountain Time)","value":"10:35:52"},{"id":151,"name":"Denver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5"/>
      <c r="AK67" s="55"/>
      <c r="AL67" s="55"/>
    </row>
    <row r="68" spans="1:38" s="1" customFormat="1" x14ac:dyDescent="0.25">
      <c r="A68" s="39" t="s">
        <v>453</v>
      </c>
      <c r="B68" s="7">
        <v>4026</v>
      </c>
      <c r="C68" s="24" t="s">
        <v>106</v>
      </c>
      <c r="D68" s="24" t="s">
        <v>632</v>
      </c>
      <c r="E68" s="15">
        <v>42647.452222222222</v>
      </c>
      <c r="F68" s="15">
        <v>42647.455925925926</v>
      </c>
      <c r="G68" s="7">
        <v>1</v>
      </c>
      <c r="H68" s="15" t="s">
        <v>260</v>
      </c>
      <c r="I68" s="15">
        <v>42647.483124999999</v>
      </c>
      <c r="J68" s="7">
        <v>0</v>
      </c>
      <c r="K68" s="117" t="str">
        <f>IF(ISEVEN(B68),(B68-1)&amp;"/"&amp;B68,B68&amp;"/"&amp;(B68+1))</f>
        <v>4025/4026</v>
      </c>
      <c r="L68" s="24" t="str">
        <f>VLOOKUP(A68,'Trips&amp;Operators'!$C$1:$E$10000,3,FALSE)</f>
        <v>SPECTOR</v>
      </c>
      <c r="M68" s="6">
        <f>I68-F68</f>
        <v>2.7199074072996154E-2</v>
      </c>
      <c r="N68" s="7">
        <f>24*60*SUM($M68:$M68)</f>
        <v>39.166666665114462</v>
      </c>
      <c r="O68" s="7"/>
      <c r="P68" s="7"/>
      <c r="Q68" s="25"/>
      <c r="R68" s="25"/>
      <c r="S68" s="37">
        <f>SUM(U68:U68)/IF(AG68="EC",12,1)</f>
        <v>1</v>
      </c>
      <c r="T68" s="52" t="str">
        <f>IF(ISEVEN(LEFT(AD68,4)),"Southbound","NorthBound")</f>
        <v>Southbound</v>
      </c>
      <c r="U68" s="159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02" t="str">
        <f>"https://search-rtdc-monitor-bjffxe2xuh6vdkpspy63sjmuny.us-east-1.es.amazonaws.com/_plugin/kibana/#/discover/Steve-Slow-Train-Analysis-(2080s-and-2083s)?_g=(refreshInterval:(display:Off,section:0,value:0),time:(from:'"&amp;TEXT(E68-1/24,"yyyy-MM-DD hh:mm:ss")&amp;"-0600',mode:absolute,to:'"&amp;TEXT(I68+1/24,"yyyy-MM-DD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68&amp;"%22')),sort:!(Time,asc))"</f>
        <v>https://search-rtdc-monitor-bjffxe2xuh6vdkpspy63sjmuny.us-east-1.es.amazonaws.com/_plugin/kibana/#/discover/Steve-Slow-Train-Analysis-(2080s-and-2083s)?_g=(refreshInterval:(display:Off,section:0,value:0),time:(from:'2016-10-04 09:51:12-0600',mode:absolute,to:'2016-10-04 12:35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68" s="54" t="str">
        <f>IF(AA68&lt;IF(AG68="EC",23,5.65),"Y","N")</f>
        <v>N</v>
      </c>
      <c r="X68" s="164">
        <f>VALUE(LEFT(AD68,4))-VALUE(LEFT(AD67,4))</f>
        <v>1</v>
      </c>
      <c r="Y68" s="69">
        <f>RIGHT(D68,LEN(D68)-4)/10000</f>
        <v>23.300999999999998</v>
      </c>
      <c r="Z68" s="69">
        <f>RIGHT(H68,LEN(H68)-4)/10000</f>
        <v>1.3599999999999999E-2</v>
      </c>
      <c r="AA68" s="69">
        <f>ABS(Z68-Y68)</f>
        <v>23.287399999999998</v>
      </c>
      <c r="AB68" s="66" t="e">
        <f>VLOOKUP(A68,Enforcements!$C$7:$K$21,8,0)</f>
        <v>#N/A</v>
      </c>
      <c r="AC68" s="62" t="e">
        <f>VLOOKUP(A68,Enforcements!$C$7:$E$21,3,0)</f>
        <v>#N/A</v>
      </c>
      <c r="AD68" s="63" t="str">
        <f>IF(LEN(A68)=6,"0"&amp;A68,A68)</f>
        <v>0152-04</v>
      </c>
      <c r="AE68" s="9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s3://rtdc.mdm.uploadarchive.raw/RTDC4026/ "%USERPROFILE%\AppData\Local\Temp\OnboardLogs"\RTDC4026\2016-10-04 --exclude "*" --recursive --include "*20161004*" &amp; "%USERPROFILE%\Documents\GitHub\mrs-test-scripts\Headless Mode &amp; Sideloading\WalkAndUnGZ.bat" "%USERPROFILE%\AppData\Local\Temp\OnboardLogs"\RTDC4026\2016-10-04 &amp; aws s3 cp s3://rtdc.mdm.uploadarchive.raw/RTDC4026/ "%USERPROFILE%\AppData\Local\Temp\OnboardLogs"\RTDC4026\2016-10-05 --exclude "*" --recursive --include "*20161005*" &amp; "%USERPROFILE%\Documents\GitHub\mrs-test-scripts\Headless Mode &amp; Sideloading\WalkAndUnGZ.bat" "%USERPROFILE%\AppData\Local\Temp\OnboardLogs"\RTDC4026\2016-10-05</v>
      </c>
      <c r="AF68" s="92" t="str">
        <f>astrogrep_path&amp;" /spath="&amp;search_path&amp;" /stypes=""app*"&amp;B68&amp;"*"&amp;TEXT(I68-utc_offset/24,"YYYYMMDD")&amp;"*"" /stext="" "&amp;TEXT(I68-utc_offset/24,"HH")&amp;search_regexp&amp;""" /e /r /s"</f>
        <v>"C:\Program Files (x86)\AstroGrep\AstroGrep.exe" /spath="%USERPROFILE%\AppData\Local\Temp\OnboardLogs" /stypes="app*4026*20161004*" /stext=" 17:.+((SYSTEM_STATE.+slice.+state.+changed )|(ment ac)|(system.+state.+changed )|(\[timeout)|(PRM\|1\|D)|(kpr)|(kdp)|(\|lc)|(penalty))" /e /r /s</v>
      </c>
      <c r="AG68" s="1" t="str">
        <f>IFERROR(IF(VALUE(LEFT(AD68,2))&lt;=2,"EC",IF(OR(VALUE(LEFT(AD68,2))=8,VALUE(LEFT(AD68,2))=18),"NW","Other")),"Other")</f>
        <v>EC</v>
      </c>
      <c r="AH68" s="96" t="str">
        <f t="shared" si="2"/>
        <v>"%USERPROFILE%\Documents\GitHub\eaglep3\Utilities\RefineRTDCRunTimes.py" --tripid 152-04 --locoid 4026 --swversion DE.1.0.7.0 --startMP 204:233010 --initTime 2016-10-04T10:51:12 --startdatetime 2016-10-04T10:56:32 --delay 1 --endMP 204:136 --enddatetime 2016-10-04T11:35:42 --enforcementcount 0 &gt;&gt;C:\Users\stu\Documents\GitHub\eaglep3-reporting\EC\2016-10-04-refined-times.txt</v>
      </c>
      <c r="AI68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{"issue":{"subject":"","project_id":79,"tracker_id":40,"status_id":1,"priority_id":2,"assigned_to_id":23,"start_date":"2016-10-04","description":"","custom_fields":[{"id":1,"name":"Subdivision","value":"EC"},{"id":4,"name":"Milepost","value":"0.0136"},{"id":17,"name":"Train ID","value":"152-04"},{"id":16,"name":"Locomotive ID","value":"4026"},{"id":130,"name":"Impact","value":""},{"id":150,"name":"Time of Event (Mountain Time)","value":"11:35:42"},{"id":151,"name":"Denver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5"/>
      <c r="AK68" s="55"/>
      <c r="AL68" s="55"/>
    </row>
    <row r="69" spans="1:38" s="1" customFormat="1" x14ac:dyDescent="0.25">
      <c r="A69" s="39" t="s">
        <v>444</v>
      </c>
      <c r="B69" s="7">
        <v>4053</v>
      </c>
      <c r="C69" s="24" t="s">
        <v>106</v>
      </c>
      <c r="D69" s="24" t="s">
        <v>281</v>
      </c>
      <c r="E69" s="15">
        <v>42647.421435185184</v>
      </c>
      <c r="F69" s="15">
        <v>42647.427256944444</v>
      </c>
      <c r="G69" s="7">
        <v>1</v>
      </c>
      <c r="H69" s="15" t="s">
        <v>241</v>
      </c>
      <c r="I69" s="15">
        <v>42647.452523148146</v>
      </c>
      <c r="J69" s="7">
        <v>0</v>
      </c>
      <c r="K69" s="117" t="str">
        <f>IF(ISEVEN(B69),(B69-1)&amp;"/"&amp;B69,B69&amp;"/"&amp;(B69+1))</f>
        <v>4053/4054</v>
      </c>
      <c r="L69" s="24" t="str">
        <f>VLOOKUP(A69,'Trips&amp;Operators'!$C$1:$E$10000,3,FALSE)</f>
        <v>GEBRETEKLE</v>
      </c>
      <c r="M69" s="6">
        <f>I69-F69</f>
        <v>2.5266203701903578E-2</v>
      </c>
      <c r="N69" s="7">
        <f>24*60*SUM($M69:$M69)</f>
        <v>36.383333330741152</v>
      </c>
      <c r="O69" s="7"/>
      <c r="P69" s="7"/>
      <c r="Q69" s="25"/>
      <c r="R69" s="25"/>
      <c r="S69" s="37">
        <f>SUM(U69:U69)/IF(AG69="EC",12,1)</f>
        <v>1</v>
      </c>
      <c r="T69" s="52" t="str">
        <f>IF(ISEVEN(LEFT(AD69,4)),"Southbound","NorthBound")</f>
        <v>NorthBound</v>
      </c>
      <c r="U69" s="159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02" t="str">
        <f>"https://search-rtdc-monitor-bjffxe2xuh6vdkpspy63sjmuny.us-east-1.es.amazonaws.com/_plugin/kibana/#/discover/Steve-Slow-Train-Analysis-(2080s-and-2083s)?_g=(refreshInterval:(display:Off,section:0,value:0),time:(from:'"&amp;TEXT(E69-1/24,"yyyy-MM-DD hh:mm:ss")&amp;"-0600',mode:absolute,to:'"&amp;TEXT(I69+1/24,"yyyy-MM-DD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69&amp;"%22')),sort:!(Time,asc))"</f>
        <v>https://search-rtdc-monitor-bjffxe2xuh6vdkpspy63sjmuny.us-east-1.es.amazonaws.com/_plugin/kibana/#/discover/Steve-Slow-Train-Analysis-(2080s-and-2083s)?_g=(refreshInterval:(display:Off,section:0,value:0),time:(from:'2016-10-04 09:06:52-0600',mode:absolute,to:'2016-10-04 11:51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69" s="54" t="str">
        <f>IF(AA69&lt;IF(AG69="EC",23,5.65),"Y","N")</f>
        <v>N</v>
      </c>
      <c r="X69" s="164">
        <f>VALUE(LEFT(AD69,4))-VALUE(LEFT(AD68,4))</f>
        <v>1</v>
      </c>
      <c r="Y69" s="69">
        <f>RIGHT(D69,LEN(D69)-4)/10000</f>
        <v>4.6699999999999998E-2</v>
      </c>
      <c r="Z69" s="69">
        <f>RIGHT(H69,LEN(H69)-4)/10000</f>
        <v>23.3309</v>
      </c>
      <c r="AA69" s="69">
        <f>ABS(Z69-Y69)</f>
        <v>23.284199999999998</v>
      </c>
      <c r="AB69" s="66" t="e">
        <f>VLOOKUP(A69,Enforcements!$C$7:$K$21,8,0)</f>
        <v>#N/A</v>
      </c>
      <c r="AC69" s="62" t="e">
        <f>VLOOKUP(A69,Enforcements!$C$7:$E$21,3,0)</f>
        <v>#N/A</v>
      </c>
      <c r="AD69" s="63" t="str">
        <f>IF(LEN(A69)=6,"0"&amp;A69,A69)</f>
        <v>0153-04</v>
      </c>
      <c r="AE69" s="9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s3://rtdc.mdm.uploadarchive.raw/RTDC4053/ "%USERPROFILE%\AppData\Local\Temp\OnboardLogs"\RTDC4053\2016-10-04 --exclude "*" --recursive --include "*20161004*" &amp; "%USERPROFILE%\Documents\GitHub\mrs-test-scripts\Headless Mode &amp; Sideloading\WalkAndUnGZ.bat" "%USERPROFILE%\AppData\Local\Temp\OnboardLogs"\RTDC4053\2016-10-04 &amp; aws s3 cp s3://rtdc.mdm.uploadarchive.raw/RTDC4053/ "%USERPROFILE%\AppData\Local\Temp\OnboardLogs"\RTDC4053\2016-10-05 --exclude "*" --recursive --include "*20161005*" &amp; "%USERPROFILE%\Documents\GitHub\mrs-test-scripts\Headless Mode &amp; Sideloading\WalkAndUnGZ.bat" "%USERPROFILE%\AppData\Local\Temp\OnboardLogs"\RTDC4053\2016-10-05</v>
      </c>
      <c r="AF69" s="92" t="str">
        <f>astrogrep_path&amp;" /spath="&amp;search_path&amp;" /stypes=""app*"&amp;B69&amp;"*"&amp;TEXT(I69-utc_offset/24,"YYYYMMDD")&amp;"*"" /stext="" "&amp;TEXT(I69-utc_offset/24,"HH")&amp;search_regexp&amp;""" /e /r /s"</f>
        <v>"C:\Program Files (x86)\AstroGrep\AstroGrep.exe" /spath="%USERPROFILE%\AppData\Local\Temp\OnboardLogs" /stypes="app*4053*20161004*" /stext=" 16:.+((SYSTEM_STATE.+slice.+state.+changed )|(ment ac)|(system.+state.+changed )|(\[timeout)|(PRM\|1\|D)|(kpr)|(kdp)|(\|lc)|(penalty))" /e /r /s</v>
      </c>
      <c r="AG69" s="1" t="str">
        <f>IFERROR(IF(VALUE(LEFT(AD69,2))&lt;=2,"EC",IF(OR(VALUE(LEFT(AD69,2))=8,VALUE(LEFT(AD69,2))=18),"NW","Other")),"Other")</f>
        <v>EC</v>
      </c>
      <c r="AH69" s="96" t="str">
        <f t="shared" si="2"/>
        <v>"%USERPROFILE%\Documents\GitHub\eaglep3\Utilities\RefineRTDCRunTimes.py" --tripid 153-04 --locoid 4053 --swversion DE.1.0.7.0 --startMP 204:467 --initTime 2016-10-04T10:06:52 --startdatetime 2016-10-04T10:15:15 --delay 1 --endMP 204:233309 --enddatetime 2016-10-04T10:51:38 --enforcementcount 0 &gt;&gt;C:\Users\stu\Documents\GitHub\eaglep3-reporting\EC\2016-10-04-refined-times.txt</v>
      </c>
      <c r="AI69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{"issue":{"subject":"","project_id":79,"tracker_id":40,"status_id":1,"priority_id":2,"assigned_to_id":23,"start_date":"2016-10-04","description":"","custom_fields":[{"id":1,"name":"Subdivision","value":"EC"},{"id":4,"name":"Milepost","value":"23.3309"},{"id":17,"name":"Train ID","value":"153-04"},{"id":16,"name":"Locomotive ID","value":"4053"},{"id":130,"name":"Impact","value":""},{"id":150,"name":"Time of Event (Mountain Time)","value":"10:51:38"},{"id":151,"name":"Denver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5"/>
      <c r="AK69" s="55"/>
      <c r="AL69" s="55"/>
    </row>
    <row r="70" spans="1:38" s="1" customFormat="1" x14ac:dyDescent="0.25">
      <c r="A70" s="39" t="s">
        <v>455</v>
      </c>
      <c r="B70" s="7">
        <v>4054</v>
      </c>
      <c r="C70" s="24" t="s">
        <v>106</v>
      </c>
      <c r="D70" s="24" t="s">
        <v>239</v>
      </c>
      <c r="E70" s="15">
        <v>42647.458599537036</v>
      </c>
      <c r="F70" s="15">
        <v>42647.466377314813</v>
      </c>
      <c r="G70" s="7">
        <v>1</v>
      </c>
      <c r="H70" s="15" t="s">
        <v>126</v>
      </c>
      <c r="I70" s="15">
        <v>42647.493761574071</v>
      </c>
      <c r="J70" s="7">
        <v>0</v>
      </c>
      <c r="K70" s="117" t="str">
        <f>IF(ISEVEN(B70),(B70-1)&amp;"/"&amp;B70,B70&amp;"/"&amp;(B70+1))</f>
        <v>4053/4054</v>
      </c>
      <c r="L70" s="24" t="str">
        <f>VLOOKUP(A70,'Trips&amp;Operators'!$C$1:$E$10000,3,FALSE)</f>
        <v>GEBRETEKLE</v>
      </c>
      <c r="M70" s="6">
        <f>I70-F70</f>
        <v>2.7384259257814847E-2</v>
      </c>
      <c r="N70" s="7">
        <f>24*60*SUM($M70:$M70)</f>
        <v>39.43333333125338</v>
      </c>
      <c r="O70" s="7"/>
      <c r="P70" s="7"/>
      <c r="Q70" s="25"/>
      <c r="R70" s="25"/>
      <c r="S70" s="37">
        <f>SUM(U70:U70)/IF(AG70="EC",12,1)</f>
        <v>1</v>
      </c>
      <c r="T70" s="52" t="str">
        <f>IF(ISEVEN(LEFT(AD70,4)),"Southbound","NorthBound")</f>
        <v>Southbound</v>
      </c>
      <c r="U70" s="159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02" t="str">
        <f>"https://search-rtdc-monitor-bjffxe2xuh6vdkpspy63sjmuny.us-east-1.es.amazonaws.com/_plugin/kibana/#/discover/Steve-Slow-Train-Analysis-(2080s-and-2083s)?_g=(refreshInterval:(display:Off,section:0,value:0),time:(from:'"&amp;TEXT(E70-1/24,"yyyy-MM-DD hh:mm:ss")&amp;"-0600',mode:absolute,to:'"&amp;TEXT(I70+1/24,"yyyy-MM-DD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70&amp;"%22')),sort:!(Time,asc))"</f>
        <v>https://search-rtdc-monitor-bjffxe2xuh6vdkpspy63sjmuny.us-east-1.es.amazonaws.com/_plugin/kibana/#/discover/Steve-Slow-Train-Analysis-(2080s-and-2083s)?_g=(refreshInterval:(display:Off,section:0,value:0),time:(from:'2016-10-04 10:00:23-0600',mode:absolute,to:'2016-10-04 12:51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70" s="54" t="str">
        <f>IF(AA70&lt;IF(AG70="EC",23,5.65),"Y","N")</f>
        <v>N</v>
      </c>
      <c r="X70" s="164">
        <f>VALUE(LEFT(AD70,4))-VALUE(LEFT(AD69,4))</f>
        <v>1</v>
      </c>
      <c r="Y70" s="69">
        <f>RIGHT(D70,LEN(D70)-4)/10000</f>
        <v>23.2988</v>
      </c>
      <c r="Z70" s="69">
        <f>RIGHT(H70,LEN(H70)-4)/10000</f>
        <v>1.54E-2</v>
      </c>
      <c r="AA70" s="69">
        <f>ABS(Z70-Y70)</f>
        <v>23.2834</v>
      </c>
      <c r="AB70" s="66" t="e">
        <f>VLOOKUP(A70,Enforcements!$C$7:$K$21,8,0)</f>
        <v>#N/A</v>
      </c>
      <c r="AC70" s="62" t="e">
        <f>VLOOKUP(A70,Enforcements!$C$7:$E$21,3,0)</f>
        <v>#N/A</v>
      </c>
      <c r="AD70" s="63" t="str">
        <f>IF(LEN(A70)=6,"0"&amp;A70,A70)</f>
        <v>0154-04</v>
      </c>
      <c r="AE70" s="9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s3://rtdc.mdm.uploadarchive.raw/RTDC4054/ "%USERPROFILE%\AppData\Local\Temp\OnboardLogs"\RTDC4054\2016-10-04 --exclude "*" --recursive --include "*20161004*" &amp; "%USERPROFILE%\Documents\GitHub\mrs-test-scripts\Headless Mode &amp; Sideloading\WalkAndUnGZ.bat" "%USERPROFILE%\AppData\Local\Temp\OnboardLogs"\RTDC4054\2016-10-04 &amp; aws s3 cp s3://rtdc.mdm.uploadarchive.raw/RTDC4054/ "%USERPROFILE%\AppData\Local\Temp\OnboardLogs"\RTDC4054\2016-10-05 --exclude "*" --recursive --include "*20161005*" &amp; "%USERPROFILE%\Documents\GitHub\mrs-test-scripts\Headless Mode &amp; Sideloading\WalkAndUnGZ.bat" "%USERPROFILE%\AppData\Local\Temp\OnboardLogs"\RTDC4054\2016-10-05</v>
      </c>
      <c r="AF70" s="92" t="str">
        <f>astrogrep_path&amp;" /spath="&amp;search_path&amp;" /stypes=""app*"&amp;B70&amp;"*"&amp;TEXT(I70-utc_offset/24,"YYYYMMDD")&amp;"*"" /stext="" "&amp;TEXT(I70-utc_offset/24,"HH")&amp;search_regexp&amp;""" /e /r /s"</f>
        <v>"C:\Program Files (x86)\AstroGrep\AstroGrep.exe" /spath="%USERPROFILE%\AppData\Local\Temp\OnboardLogs" /stypes="app*4054*20161004*" /stext=" 17:.+((SYSTEM_STATE.+slice.+state.+changed )|(ment ac)|(system.+state.+changed )|(\[timeout)|(PRM\|1\|D)|(kpr)|(kdp)|(\|lc)|(penalty))" /e /r /s</v>
      </c>
      <c r="AG70" s="1" t="str">
        <f>IFERROR(IF(VALUE(LEFT(AD70,2))&lt;=2,"EC",IF(OR(VALUE(LEFT(AD70,2))=8,VALUE(LEFT(AD70,2))=18),"NW","Other")),"Other")</f>
        <v>EC</v>
      </c>
      <c r="AH70" s="96" t="str">
        <f t="shared" si="2"/>
        <v>"%USERPROFILE%\Documents\GitHub\eaglep3\Utilities\RefineRTDCRunTimes.py" --tripid 154-04 --locoid 4054 --swversion DE.1.0.7.0 --startMP 204:232988 --initTime 2016-10-04T11:00:23 --startdatetime 2016-10-04T11:11:35 --delay 1 --endMP 204:154 --enddatetime 2016-10-04T11:51:01 --enforcementcount 0 &gt;&gt;C:\Users\stu\Documents\GitHub\eaglep3-reporting\EC\2016-10-04-refined-times.txt</v>
      </c>
      <c r="AI70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{"issue":{"subject":"","project_id":79,"tracker_id":40,"status_id":1,"priority_id":2,"assigned_to_id":23,"start_date":"2016-10-04","description":"","custom_fields":[{"id":1,"name":"Subdivision","value":"EC"},{"id":4,"name":"Milepost","value":"0.0154"},{"id":17,"name":"Train ID","value":"154-04"},{"id":16,"name":"Locomotive ID","value":"4054"},{"id":130,"name":"Impact","value":""},{"id":150,"name":"Time of Event (Mountain Time)","value":"11:51:01"},{"id":151,"name":"Denver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5"/>
      <c r="AK70" s="55"/>
      <c r="AL70" s="55"/>
    </row>
    <row r="71" spans="1:38" s="1" customFormat="1" x14ac:dyDescent="0.25">
      <c r="A71" s="39" t="s">
        <v>447</v>
      </c>
      <c r="B71" s="7">
        <v>4016</v>
      </c>
      <c r="C71" s="24" t="s">
        <v>106</v>
      </c>
      <c r="D71" s="24" t="s">
        <v>256</v>
      </c>
      <c r="E71" s="15">
        <v>42647.432812500003</v>
      </c>
      <c r="F71" s="15">
        <v>42647.437696759262</v>
      </c>
      <c r="G71" s="7">
        <v>6</v>
      </c>
      <c r="H71" s="15" t="s">
        <v>315</v>
      </c>
      <c r="I71" s="15">
        <v>42647.462777777779</v>
      </c>
      <c r="J71" s="7">
        <v>0</v>
      </c>
      <c r="K71" s="117" t="str">
        <f>IF(ISEVEN(B71),(B71-1)&amp;"/"&amp;B71,B71&amp;"/"&amp;(B71+1))</f>
        <v>4015/4016</v>
      </c>
      <c r="L71" s="24" t="str">
        <f>VLOOKUP(A71,'Trips&amp;Operators'!$C$1:$E$10000,3,FALSE)</f>
        <v>STARKS</v>
      </c>
      <c r="M71" s="6">
        <f>I71-F71</f>
        <v>2.5081018517084885E-2</v>
      </c>
      <c r="N71" s="7">
        <f>24*60*SUM($M71:$M71)</f>
        <v>36.116666664602235</v>
      </c>
      <c r="O71" s="7"/>
      <c r="P71" s="7"/>
      <c r="Q71" s="25"/>
      <c r="R71" s="25"/>
      <c r="S71" s="37">
        <f>SUM(U71:U71)/IF(AG71="EC",12,1)</f>
        <v>1</v>
      </c>
      <c r="T71" s="52" t="str">
        <f>IF(ISEVEN(LEFT(AD71,4)),"Southbound","NorthBound")</f>
        <v>NorthBound</v>
      </c>
      <c r="U71" s="159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02" t="str">
        <f>"https://search-rtdc-monitor-bjffxe2xuh6vdkpspy63sjmuny.us-east-1.es.amazonaws.com/_plugin/kibana/#/discover/Steve-Slow-Train-Analysis-(2080s-and-2083s)?_g=(refreshInterval:(display:Off,section:0,value:0),time:(from:'"&amp;TEXT(E71-1/24,"yyyy-MM-DD hh:mm:ss")&amp;"-0600',mode:absolute,to:'"&amp;TEXT(I71+1/24,"yyyy-MM-DD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71&amp;"%22')),sort:!(Time,asc))"</f>
        <v>https://search-rtdc-monitor-bjffxe2xuh6vdkpspy63sjmuny.us-east-1.es.amazonaws.com/_plugin/kibana/#/discover/Steve-Slow-Train-Analysis-(2080s-and-2083s)?_g=(refreshInterval:(display:Off,section:0,value:0),time:(from:'2016-10-04 09:23:15-0600',mode:absolute,to:'2016-10-04 12:06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1" s="54" t="str">
        <f>IF(AA71&lt;IF(AG71="EC",23,5.65),"Y","N")</f>
        <v>N</v>
      </c>
      <c r="X71" s="164">
        <f>VALUE(LEFT(AD71,4))-VALUE(LEFT(AD70,4))</f>
        <v>1</v>
      </c>
      <c r="Y71" s="69">
        <f>RIGHT(D71,LEN(D71)-4)/10000</f>
        <v>4.4900000000000002E-2</v>
      </c>
      <c r="Z71" s="69">
        <f>RIGHT(H71,LEN(H71)-4)/10000</f>
        <v>23.329499999999999</v>
      </c>
      <c r="AA71" s="69">
        <f>ABS(Z71-Y71)</f>
        <v>23.284600000000001</v>
      </c>
      <c r="AB71" s="66" t="e">
        <f>VLOOKUP(A71,Enforcements!$C$7:$K$21,8,0)</f>
        <v>#N/A</v>
      </c>
      <c r="AC71" s="62" t="e">
        <f>VLOOKUP(A71,Enforcements!$C$7:$E$21,3,0)</f>
        <v>#N/A</v>
      </c>
      <c r="AD71" s="63" t="str">
        <f>IF(LEN(A71)=6,"0"&amp;A71,A71)</f>
        <v>0155-04</v>
      </c>
      <c r="AE71" s="9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s3://rtdc.mdm.uploadarchive.raw/RTDC4016/ "%USERPROFILE%\AppData\Local\Temp\OnboardLogs"\RTDC4016\2016-10-04 --exclude "*" --recursive --include "*20161004*" &amp; "%USERPROFILE%\Documents\GitHub\mrs-test-scripts\Headless Mode &amp; Sideloading\WalkAndUnGZ.bat" "%USERPROFILE%\AppData\Local\Temp\OnboardLogs"\RTDC4016\2016-10-04 &amp; aws s3 cp s3://rtdc.mdm.uploadarchive.raw/RTDC4016/ "%USERPROFILE%\AppData\Local\Temp\OnboardLogs"\RTDC4016\2016-10-05 --exclude "*" --recursive --include "*20161005*" &amp; "%USERPROFILE%\Documents\GitHub\mrs-test-scripts\Headless Mode &amp; Sideloading\WalkAndUnGZ.bat" "%USERPROFILE%\AppData\Local\Temp\OnboardLogs"\RTDC4016\2016-10-05</v>
      </c>
      <c r="AF71" s="92" t="str">
        <f>astrogrep_path&amp;" /spath="&amp;search_path&amp;" /stypes=""app*"&amp;B71&amp;"*"&amp;TEXT(I71-utc_offset/24,"YYYYMMDD")&amp;"*"" /stext="" "&amp;TEXT(I71-utc_offset/24,"HH")&amp;search_regexp&amp;""" /e /r /s"</f>
        <v>"C:\Program Files (x86)\AstroGrep\AstroGrep.exe" /spath="%USERPROFILE%\AppData\Local\Temp\OnboardLogs" /stypes="app*4016*20161004*" /stext=" 17:.+((SYSTEM_STATE.+slice.+state.+changed )|(ment ac)|(system.+state.+changed )|(\[timeout)|(PRM\|1\|D)|(kpr)|(kdp)|(\|lc)|(penalty))" /e /r /s</v>
      </c>
      <c r="AG71" s="1" t="str">
        <f>IFERROR(IF(VALUE(LEFT(AD71,2))&lt;=2,"EC",IF(OR(VALUE(LEFT(AD71,2))=8,VALUE(LEFT(AD71,2))=18),"NW","Other")),"Other")</f>
        <v>EC</v>
      </c>
      <c r="AH71" s="96" t="str">
        <f t="shared" si="2"/>
        <v>"%USERPROFILE%\Documents\GitHub\eaglep3\Utilities\RefineRTDCRunTimes.py" --tripid 155-04 --locoid 4016 --swversion DE.1.0.7.0 --startMP 204:449 --initTime 2016-10-04T10:23:15 --startdatetime 2016-10-04T10:30:17 --delay 6 --endMP 204:233295 --enddatetime 2016-10-04T11:06:24 --enforcementcount 0 &gt;&gt;C:\Users\stu\Documents\GitHub\eaglep3-reporting\EC\2016-10-04-refined-times.txt</v>
      </c>
      <c r="AI71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{"issue":{"subject":"","project_id":79,"tracker_id":40,"status_id":1,"priority_id":2,"assigned_to_id":23,"start_date":"2016-10-04","description":"","custom_fields":[{"id":1,"name":"Subdivision","value":"EC"},{"id":4,"name":"Milepost","value":"23.3295"},{"id":17,"name":"Train ID","value":"155-04"},{"id":16,"name":"Locomotive ID","value":"4016"},{"id":130,"name":"Impact","value":""},{"id":150,"name":"Time of Event (Mountain Time)","value":"11:06:24"},{"id":151,"name":"Denver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5"/>
      <c r="AK71" s="55"/>
      <c r="AL71" s="55"/>
    </row>
    <row r="72" spans="1:38" s="1" customFormat="1" x14ac:dyDescent="0.25">
      <c r="A72" s="39" t="s">
        <v>459</v>
      </c>
      <c r="B72" s="7">
        <v>4015</v>
      </c>
      <c r="C72" s="24" t="s">
        <v>106</v>
      </c>
      <c r="D72" s="24" t="s">
        <v>633</v>
      </c>
      <c r="E72" s="15">
        <v>42647.473935185182</v>
      </c>
      <c r="F72" s="15">
        <v>42647.476550925923</v>
      </c>
      <c r="G72" s="7">
        <v>1</v>
      </c>
      <c r="H72" s="15" t="s">
        <v>195</v>
      </c>
      <c r="I72" s="15">
        <v>42647.503263888888</v>
      </c>
      <c r="J72" s="7">
        <v>0</v>
      </c>
      <c r="K72" s="117" t="str">
        <f>IF(ISEVEN(B72),(B72-1)&amp;"/"&amp;B72,B72&amp;"/"&amp;(B72+1))</f>
        <v>4015/4016</v>
      </c>
      <c r="L72" s="24" t="str">
        <f>VLOOKUP(A72,'Trips&amp;Operators'!$C$1:$E$10000,3,FALSE)</f>
        <v>STARKS</v>
      </c>
      <c r="M72" s="6">
        <f>I72-F72</f>
        <v>2.6712962964666076E-2</v>
      </c>
      <c r="N72" s="7">
        <f>24*60*SUM($M72:$M72)</f>
        <v>38.466666669119149</v>
      </c>
      <c r="O72" s="7"/>
      <c r="P72" s="7"/>
      <c r="Q72" s="25"/>
      <c r="R72" s="25"/>
      <c r="S72" s="37">
        <f>SUM(U72:U72)/IF(AG72="EC",12,1)</f>
        <v>1</v>
      </c>
      <c r="T72" s="52" t="str">
        <f>IF(ISEVEN(LEFT(AD72,4)),"Southbound","NorthBound")</f>
        <v>Southbound</v>
      </c>
      <c r="U72" s="159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02" t="str">
        <f>"https://search-rtdc-monitor-bjffxe2xuh6vdkpspy63sjmuny.us-east-1.es.amazonaws.com/_plugin/kibana/#/discover/Steve-Slow-Train-Analysis-(2080s-and-2083s)?_g=(refreshInterval:(display:Off,section:0,value:0),time:(from:'"&amp;TEXT(E72-1/24,"yyyy-MM-DD hh:mm:ss")&amp;"-0600',mode:absolute,to:'"&amp;TEXT(I72+1/24,"yyyy-MM-DD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72&amp;"%22')),sort:!(Time,asc))"</f>
        <v>https://search-rtdc-monitor-bjffxe2xuh6vdkpspy63sjmuny.us-east-1.es.amazonaws.com/_plugin/kibana/#/discover/Steve-Slow-Train-Analysis-(2080s-and-2083s)?_g=(refreshInterval:(display:Off,section:0,value:0),time:(from:'2016-10-04 10:22:28-0600',mode:absolute,to:'2016-10-04 13:04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2" s="54" t="str">
        <f>IF(AA72&lt;IF(AG72="EC",23,5.65),"Y","N")</f>
        <v>N</v>
      </c>
      <c r="X72" s="164">
        <f>VALUE(LEFT(AD72,4))-VALUE(LEFT(AD71,4))</f>
        <v>1</v>
      </c>
      <c r="Y72" s="69">
        <f>RIGHT(D72,LEN(D72)-4)/10000</f>
        <v>23.2974</v>
      </c>
      <c r="Z72" s="69">
        <f>RIGHT(H72,LEN(H72)-4)/10000</f>
        <v>1.47E-2</v>
      </c>
      <c r="AA72" s="69">
        <f>ABS(Z72-Y72)</f>
        <v>23.282699999999998</v>
      </c>
      <c r="AB72" s="66" t="e">
        <f>VLOOKUP(A72,Enforcements!$C$7:$K$21,8,0)</f>
        <v>#N/A</v>
      </c>
      <c r="AC72" s="62" t="e">
        <f>VLOOKUP(A72,Enforcements!$C$7:$E$21,3,0)</f>
        <v>#N/A</v>
      </c>
      <c r="AD72" s="63" t="str">
        <f>IF(LEN(A72)=6,"0"&amp;A72,A72)</f>
        <v>0156-04</v>
      </c>
      <c r="AE72" s="9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s3://rtdc.mdm.uploadarchive.raw/RTDC4015/ "%USERPROFILE%\AppData\Local\Temp\OnboardLogs"\RTDC4015\2016-10-04 --exclude "*" --recursive --include "*20161004*" &amp; "%USERPROFILE%\Documents\GitHub\mrs-test-scripts\Headless Mode &amp; Sideloading\WalkAndUnGZ.bat" "%USERPROFILE%\AppData\Local\Temp\OnboardLogs"\RTDC4015\2016-10-04 &amp; aws s3 cp s3://rtdc.mdm.uploadarchive.raw/RTDC4015/ "%USERPROFILE%\AppData\Local\Temp\OnboardLogs"\RTDC4015\2016-10-05 --exclude "*" --recursive --include "*20161005*" &amp; "%USERPROFILE%\Documents\GitHub\mrs-test-scripts\Headless Mode &amp; Sideloading\WalkAndUnGZ.bat" "%USERPROFILE%\AppData\Local\Temp\OnboardLogs"\RTDC4015\2016-10-05</v>
      </c>
      <c r="AF72" s="92" t="str">
        <f>astrogrep_path&amp;" /spath="&amp;search_path&amp;" /stypes=""app*"&amp;B72&amp;"*"&amp;TEXT(I72-utc_offset/24,"YYYYMMDD")&amp;"*"" /stext="" "&amp;TEXT(I72-utc_offset/24,"HH")&amp;search_regexp&amp;""" /e /r /s"</f>
        <v>"C:\Program Files (x86)\AstroGrep\AstroGrep.exe" /spath="%USERPROFILE%\AppData\Local\Temp\OnboardLogs" /stypes="app*4015*20161004*" /stext=" 18:.+((SYSTEM_STATE.+slice.+state.+changed )|(ment ac)|(system.+state.+changed )|(\[timeout)|(PRM\|1\|D)|(kpr)|(kdp)|(\|lc)|(penalty))" /e /r /s</v>
      </c>
      <c r="AG72" s="1" t="str">
        <f>IFERROR(IF(VALUE(LEFT(AD72,2))&lt;=2,"EC",IF(OR(VALUE(LEFT(AD72,2))=8,VALUE(LEFT(AD72,2))=18),"NW","Other")),"Other")</f>
        <v>EC</v>
      </c>
      <c r="AH72" s="96" t="str">
        <f t="shared" si="2"/>
        <v>"%USERPROFILE%\Documents\GitHub\eaglep3\Utilities\RefineRTDCRunTimes.py" --tripid 156-04 --locoid 4015 --swversion DE.1.0.7.0 --startMP 204:232974 --initTime 2016-10-04T11:22:28 --startdatetime 2016-10-04T11:26:14 --delay 1 --endMP 204:147 --enddatetime 2016-10-04T12:04:42 --enforcementcount 0 &gt;&gt;C:\Users\stu\Documents\GitHub\eaglep3-reporting\EC\2016-10-04-refined-times.txt</v>
      </c>
      <c r="AI72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{"issue":{"subject":"","project_id":79,"tracker_id":40,"status_id":1,"priority_id":2,"assigned_to_id":23,"start_date":"2016-10-04","description":"","custom_fields":[{"id":1,"name":"Subdivision","value":"EC"},{"id":4,"name":"Milepost","value":"0.0147"},{"id":17,"name":"Train ID","value":"156-04"},{"id":16,"name":"Locomotive ID","value":"4015"},{"id":130,"name":"Impact","value":""},{"id":150,"name":"Time of Event (Mountain Time)","value":"12:04:42"},{"id":151,"name":"Denver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5"/>
      <c r="AK72" s="55"/>
      <c r="AL72" s="55"/>
    </row>
    <row r="73" spans="1:38" s="1" customFormat="1" x14ac:dyDescent="0.25">
      <c r="A73" s="39" t="s">
        <v>451</v>
      </c>
      <c r="B73" s="7">
        <v>4044</v>
      </c>
      <c r="C73" s="24" t="s">
        <v>106</v>
      </c>
      <c r="D73" s="24" t="s">
        <v>203</v>
      </c>
      <c r="E73" s="15">
        <v>42647.447372685187</v>
      </c>
      <c r="F73" s="15">
        <v>42647.448379629626</v>
      </c>
      <c r="G73" s="7">
        <v>1</v>
      </c>
      <c r="H73" s="15" t="s">
        <v>618</v>
      </c>
      <c r="I73" s="15">
        <v>42647.474016203705</v>
      </c>
      <c r="J73" s="7">
        <v>0</v>
      </c>
      <c r="K73" s="117" t="str">
        <f>IF(ISEVEN(B73),(B73-1)&amp;"/"&amp;B73,B73&amp;"/"&amp;(B73+1))</f>
        <v>4043/4044</v>
      </c>
      <c r="L73" s="24" t="str">
        <f>VLOOKUP(A73,'Trips&amp;Operators'!$C$1:$E$10000,3,FALSE)</f>
        <v>BEAM</v>
      </c>
      <c r="M73" s="6">
        <f>I73-F73</f>
        <v>2.5636574078816921E-2</v>
      </c>
      <c r="N73" s="7">
        <f>24*60*SUM($M73:$M73)</f>
        <v>36.916666673496366</v>
      </c>
      <c r="O73" s="7"/>
      <c r="P73" s="7"/>
      <c r="Q73" s="25"/>
      <c r="R73" s="25"/>
      <c r="S73" s="37">
        <f>SUM(U73:U73)/IF(AG73="EC",12,1)</f>
        <v>1</v>
      </c>
      <c r="T73" s="52" t="str">
        <f>IF(ISEVEN(LEFT(AD73,4)),"Southbound","NorthBound")</f>
        <v>NorthBound</v>
      </c>
      <c r="U73" s="159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02" t="str">
        <f>"https://search-rtdc-monitor-bjffxe2xuh6vdkpspy63sjmuny.us-east-1.es.amazonaws.com/_plugin/kibana/#/discover/Steve-Slow-Train-Analysis-(2080s-and-2083s)?_g=(refreshInterval:(display:Off,section:0,value:0),time:(from:'"&amp;TEXT(E73-1/24,"yyyy-MM-DD hh:mm:ss")&amp;"-0600',mode:absolute,to:'"&amp;TEXT(I73+1/24,"yyyy-MM-DD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73&amp;"%22')),sort:!(Time,asc))"</f>
        <v>https://search-rtdc-monitor-bjffxe2xuh6vdkpspy63sjmuny.us-east-1.es.amazonaws.com/_plugin/kibana/#/discover/Steve-Slow-Train-Analysis-(2080s-and-2083s)?_g=(refreshInterval:(display:Off,section:0,value:0),time:(from:'2016-10-04 09:44:13-0600',mode:absolute,to:'2016-10-04 12:22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73" s="54" t="str">
        <f>IF(AA73&lt;IF(AG73="EC",23,5.65),"Y","N")</f>
        <v>N</v>
      </c>
      <c r="X73" s="164">
        <f>VALUE(LEFT(AD73,4))-VALUE(LEFT(AD72,4))</f>
        <v>1</v>
      </c>
      <c r="Y73" s="69">
        <f>RIGHT(D73,LEN(D73)-4)/10000</f>
        <v>4.5499999999999999E-2</v>
      </c>
      <c r="Z73" s="69">
        <f>RIGHT(H73,LEN(H73)-4)/10000</f>
        <v>23.331099999999999</v>
      </c>
      <c r="AA73" s="69">
        <f>ABS(Z73-Y73)</f>
        <v>23.285599999999999</v>
      </c>
      <c r="AB73" s="66" t="e">
        <f>VLOOKUP(A73,Enforcements!$C$7:$K$21,8,0)</f>
        <v>#N/A</v>
      </c>
      <c r="AC73" s="62" t="e">
        <f>VLOOKUP(A73,Enforcements!$C$7:$E$21,3,0)</f>
        <v>#N/A</v>
      </c>
      <c r="AD73" s="63" t="str">
        <f>IF(LEN(A73)=6,"0"&amp;A73,A73)</f>
        <v>0157-04</v>
      </c>
      <c r="AE73" s="9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s3://rtdc.mdm.uploadarchive.raw/RTDC4044/ "%USERPROFILE%\AppData\Local\Temp\OnboardLogs"\RTDC4044\2016-10-04 --exclude "*" --recursive --include "*20161004*" &amp; "%USERPROFILE%\Documents\GitHub\mrs-test-scripts\Headless Mode &amp; Sideloading\WalkAndUnGZ.bat" "%USERPROFILE%\AppData\Local\Temp\OnboardLogs"\RTDC4044\2016-10-04 &amp; aws s3 cp s3://rtdc.mdm.uploadarchive.raw/RTDC4044/ "%USERPROFILE%\AppData\Local\Temp\OnboardLogs"\RTDC4044\2016-10-05 --exclude "*" --recursive --include "*20161005*" &amp; "%USERPROFILE%\Documents\GitHub\mrs-test-scripts\Headless Mode &amp; Sideloading\WalkAndUnGZ.bat" "%USERPROFILE%\AppData\Local\Temp\OnboardLogs"\RTDC4044\2016-10-05</v>
      </c>
      <c r="AF73" s="92" t="str">
        <f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/stypes="app*4044*20161004*" /stext=" 17:.+((SYSTEM_STATE.+slice.+state.+changed )|(ment ac)|(system.+state.+changed )|(\[timeout)|(PRM\|1\|D)|(kpr)|(kdp)|(\|lc)|(penalty))" /e /r /s</v>
      </c>
      <c r="AG73" s="1" t="str">
        <f>IFERROR(IF(VALUE(LEFT(AD73,2))&lt;=2,"EC",IF(OR(VALUE(LEFT(AD73,2))=8,VALUE(LEFT(AD73,2))=18),"NW","Other")),"Other")</f>
        <v>EC</v>
      </c>
      <c r="AH73" s="96" t="str">
        <f t="shared" si="2"/>
        <v>"%USERPROFILE%\Documents\GitHub\eaglep3\Utilities\RefineRTDCRunTimes.py" --tripid 157-04 --locoid 4044 --swversion DE.1.0.7.0 --startMP 204:455 --initTime 2016-10-04T10:44:13 --startdatetime 2016-10-04T10:45:40 --delay 1 --endMP 204:233311 --enddatetime 2016-10-04T11:22:35 --enforcementcount 0 &gt;&gt;C:\Users\stu\Documents\GitHub\eaglep3-reporting\EC\2016-10-04-refined-times.txt</v>
      </c>
      <c r="AI73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{"issue":{"subject":"","project_id":79,"tracker_id":40,"status_id":1,"priority_id":2,"assigned_to_id":23,"start_date":"2016-10-04","description":"","custom_fields":[{"id":1,"name":"Subdivision","value":"EC"},{"id":4,"name":"Milepost","value":"23.3311"},{"id":17,"name":"Train ID","value":"157-04"},{"id":16,"name":"Locomotive ID","value":"4044"},{"id":130,"name":"Impact","value":""},{"id":150,"name":"Time of Event (Mountain Time)","value":"11:22:35"},{"id":151,"name":"Denver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5"/>
      <c r="AK73" s="55"/>
      <c r="AL73" s="55"/>
    </row>
    <row r="74" spans="1:38" s="1" customFormat="1" x14ac:dyDescent="0.25">
      <c r="A74" s="39" t="s">
        <v>462</v>
      </c>
      <c r="B74" s="7">
        <v>4043</v>
      </c>
      <c r="C74" s="24" t="s">
        <v>106</v>
      </c>
      <c r="D74" s="24" t="s">
        <v>329</v>
      </c>
      <c r="E74" s="15">
        <v>42647.484085648146</v>
      </c>
      <c r="F74" s="15">
        <v>42647.486990740741</v>
      </c>
      <c r="G74" s="7">
        <v>1</v>
      </c>
      <c r="H74" s="15" t="s">
        <v>194</v>
      </c>
      <c r="I74" s="15">
        <v>42647.513032407405</v>
      </c>
      <c r="J74" s="7">
        <v>0</v>
      </c>
      <c r="K74" s="117" t="str">
        <f>IF(ISEVEN(B74),(B74-1)&amp;"/"&amp;B74,B74&amp;"/"&amp;(B74+1))</f>
        <v>4043/4044</v>
      </c>
      <c r="L74" s="24" t="str">
        <f>VLOOKUP(A74,'Trips&amp;Operators'!$C$1:$E$10000,3,FALSE)</f>
        <v>BEAM</v>
      </c>
      <c r="M74" s="6">
        <f>I74-F74</f>
        <v>2.6041666664241347E-2</v>
      </c>
      <c r="N74" s="7">
        <f>24*60*SUM($M74:$M74)</f>
        <v>37.49999999650754</v>
      </c>
      <c r="O74" s="7"/>
      <c r="P74" s="7"/>
      <c r="Q74" s="25"/>
      <c r="R74" s="25"/>
      <c r="S74" s="37">
        <f>SUM(U74:U74)/IF(AG74="EC",12,1)</f>
        <v>1</v>
      </c>
      <c r="T74" s="52" t="str">
        <f>IF(ISEVEN(LEFT(AD74,4)),"Southbound","NorthBound")</f>
        <v>Southbound</v>
      </c>
      <c r="U74" s="159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02" t="str">
        <f>"https://search-rtdc-monitor-bjffxe2xuh6vdkpspy63sjmuny.us-east-1.es.amazonaws.com/_plugin/kibana/#/discover/Steve-Slow-Train-Analysis-(2080s-and-2083s)?_g=(refreshInterval:(display:Off,section:0,value:0),time:(from:'"&amp;TEXT(E74-1/24,"yyyy-MM-DD hh:mm:ss")&amp;"-0600',mode:absolute,to:'"&amp;TEXT(I74+1/24,"yyyy-MM-DD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74&amp;"%22')),sort:!(Time,asc))"</f>
        <v>https://search-rtdc-monitor-bjffxe2xuh6vdkpspy63sjmuny.us-east-1.es.amazonaws.com/_plugin/kibana/#/discover/Steve-Slow-Train-Analysis-(2080s-and-2083s)?_g=(refreshInterval:(display:Off,section:0,value:0),time:(from:'2016-10-04 10:37:05-0600',mode:absolute,to:'2016-10-04 13:18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74" s="54" t="str">
        <f>IF(AA74&lt;IF(AG74="EC",23,5.65),"Y","N")</f>
        <v>N</v>
      </c>
      <c r="X74" s="164">
        <f>VALUE(LEFT(AD74,4))-VALUE(LEFT(AD73,4))</f>
        <v>1</v>
      </c>
      <c r="Y74" s="69">
        <f>RIGHT(D74,LEN(D74)-4)/10000</f>
        <v>23.298200000000001</v>
      </c>
      <c r="Z74" s="69">
        <f>RIGHT(H74,LEN(H74)-4)/10000</f>
        <v>1.5800000000000002E-2</v>
      </c>
      <c r="AA74" s="69">
        <f>ABS(Z74-Y74)</f>
        <v>23.282400000000003</v>
      </c>
      <c r="AB74" s="66" t="e">
        <f>VLOOKUP(A74,Enforcements!$C$7:$K$21,8,0)</f>
        <v>#N/A</v>
      </c>
      <c r="AC74" s="62" t="e">
        <f>VLOOKUP(A74,Enforcements!$C$7:$E$21,3,0)</f>
        <v>#N/A</v>
      </c>
      <c r="AD74" s="63" t="str">
        <f>IF(LEN(A74)=6,"0"&amp;A74,A74)</f>
        <v>0158-04</v>
      </c>
      <c r="AE74" s="9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s3://rtdc.mdm.uploadarchive.raw/RTDC4043/ "%USERPROFILE%\AppData\Local\Temp\OnboardLogs"\RTDC4043\2016-10-04 --exclude "*" --recursive --include "*20161004*" &amp; "%USERPROFILE%\Documents\GitHub\mrs-test-scripts\Headless Mode &amp; Sideloading\WalkAndUnGZ.bat" "%USERPROFILE%\AppData\Local\Temp\OnboardLogs"\RTDC4043\2016-10-04 &amp; aws s3 cp s3://rtdc.mdm.uploadarchive.raw/RTDC4043/ "%USERPROFILE%\AppData\Local\Temp\OnboardLogs"\RTDC4043\2016-10-05 --exclude "*" --recursive --include "*20161005*" &amp; "%USERPROFILE%\Documents\GitHub\mrs-test-scripts\Headless Mode &amp; Sideloading\WalkAndUnGZ.bat" "%USERPROFILE%\AppData\Local\Temp\OnboardLogs"\RTDC4043\2016-10-05</v>
      </c>
      <c r="AF74" s="92" t="str">
        <f>astrogrep_path&amp;" /spath="&amp;search_path&amp;" /stypes=""app*"&amp;B74&amp;"*"&amp;TEXT(I74-utc_offset/24,"YYYYMMDD")&amp;"*"" /stext="" "&amp;TEXT(I74-utc_offset/24,"HH")&amp;search_regexp&amp;""" /e /r /s"</f>
        <v>"C:\Program Files (x86)\AstroGrep\AstroGrep.exe" /spath="%USERPROFILE%\AppData\Local\Temp\OnboardLogs" /stypes="app*4043*20161004*" /stext=" 18:.+((SYSTEM_STATE.+slice.+state.+changed )|(ment ac)|(system.+state.+changed )|(\[timeout)|(PRM\|1\|D)|(kpr)|(kdp)|(\|lc)|(penalty))" /e /r /s</v>
      </c>
      <c r="AG74" s="1" t="str">
        <f>IFERROR(IF(VALUE(LEFT(AD74,2))&lt;=2,"EC",IF(OR(VALUE(LEFT(AD74,2))=8,VALUE(LEFT(AD74,2))=18),"NW","Other")),"Other")</f>
        <v>EC</v>
      </c>
      <c r="AH74" s="96" t="str">
        <f t="shared" si="2"/>
        <v>"%USERPROFILE%\Documents\GitHub\eaglep3\Utilities\RefineRTDCRunTimes.py" --tripid 158-04 --locoid 4043 --swversion DE.1.0.7.0 --startMP 204:232982 --initTime 2016-10-04T11:37:05 --startdatetime 2016-10-04T11:41:16 --delay 1 --endMP 204:158 --enddatetime 2016-10-04T12:18:46 --enforcementcount 0 &gt;&gt;C:\Users\stu\Documents\GitHub\eaglep3-reporting\EC\2016-10-04-refined-times.txt</v>
      </c>
      <c r="AI74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{"issue":{"subject":"","project_id":79,"tracker_id":40,"status_id":1,"priority_id":2,"assigned_to_id":23,"start_date":"2016-10-04","description":"","custom_fields":[{"id":1,"name":"Subdivision","value":"EC"},{"id":4,"name":"Milepost","value":"0.0158"},{"id":17,"name":"Train ID","value":"158-04"},{"id":16,"name":"Locomotive ID","value":"4043"},{"id":130,"name":"Impact","value":""},{"id":150,"name":"Time of Event (Mountain Time)","value":"12:18:46"},{"id":151,"name":"Denver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5"/>
      <c r="AK74" s="55"/>
      <c r="AL74" s="55"/>
    </row>
    <row r="75" spans="1:38" s="1" customFormat="1" x14ac:dyDescent="0.25">
      <c r="A75" s="39" t="s">
        <v>454</v>
      </c>
      <c r="B75" s="7">
        <v>4007</v>
      </c>
      <c r="C75" s="24" t="s">
        <v>106</v>
      </c>
      <c r="D75" s="24" t="s">
        <v>256</v>
      </c>
      <c r="E75" s="15">
        <v>42647.454652777778</v>
      </c>
      <c r="F75" s="15">
        <v>42647.458587962959</v>
      </c>
      <c r="G75" s="7">
        <v>1</v>
      </c>
      <c r="H75" s="15" t="s">
        <v>323</v>
      </c>
      <c r="I75" s="15">
        <v>42647.484097222223</v>
      </c>
      <c r="J75" s="7">
        <v>0</v>
      </c>
      <c r="K75" s="117" t="str">
        <f>IF(ISEVEN(B75),(B75-1)&amp;"/"&amp;B75,B75&amp;"/"&amp;(B75+1))</f>
        <v>4007/4008</v>
      </c>
      <c r="L75" s="24" t="str">
        <f>VLOOKUP(A75,'Trips&amp;Operators'!$C$1:$E$10000,3,FALSE)</f>
        <v>BARTLETT</v>
      </c>
      <c r="M75" s="6">
        <f>I75-F75</f>
        <v>2.5509259263344575E-2</v>
      </c>
      <c r="N75" s="7">
        <f>24*60*SUM($M75:$M75)</f>
        <v>36.733333339216188</v>
      </c>
      <c r="O75" s="7"/>
      <c r="P75" s="7"/>
      <c r="Q75" s="25"/>
      <c r="R75" s="25"/>
      <c r="S75" s="37">
        <f>SUM(U75:U75)/IF(AG75="EC",12,1)</f>
        <v>1</v>
      </c>
      <c r="T75" s="52" t="str">
        <f>IF(ISEVEN(LEFT(AD75,4)),"Southbound","NorthBound")</f>
        <v>NorthBound</v>
      </c>
      <c r="U75" s="159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02" t="str">
        <f>"https://search-rtdc-monitor-bjffxe2xuh6vdkpspy63sjmuny.us-east-1.es.amazonaws.com/_plugin/kibana/#/discover/Steve-Slow-Train-Analysis-(2080s-and-2083s)?_g=(refreshInterval:(display:Off,section:0,value:0),time:(from:'"&amp;TEXT(E75-1/24,"yyyy-MM-DD hh:mm:ss")&amp;"-0600',mode:absolute,to:'"&amp;TEXT(I75+1/24,"yyyy-MM-DD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75&amp;"%22')),sort:!(Time,asc))"</f>
        <v>https://search-rtdc-monitor-bjffxe2xuh6vdkpspy63sjmuny.us-east-1.es.amazonaws.com/_plugin/kibana/#/discover/Steve-Slow-Train-Analysis-(2080s-and-2083s)?_g=(refreshInterval:(display:Off,section:0,value:0),time:(from:'2016-10-04 09:54:42-0600',mode:absolute,to:'2016-10-04 12:37:06-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75" s="54" t="str">
        <f>IF(AA75&lt;IF(AG75="EC",23,5.65),"Y","N")</f>
        <v>N</v>
      </c>
      <c r="X75" s="164">
        <f>VALUE(LEFT(AD75,4))-VALUE(LEFT(AD74,4))</f>
        <v>1</v>
      </c>
      <c r="Y75" s="69">
        <f>RIGHT(D75,LEN(D75)-4)/10000</f>
        <v>4.4900000000000002E-2</v>
      </c>
      <c r="Z75" s="69">
        <f>RIGHT(H75,LEN(H75)-4)/10000</f>
        <v>23.331900000000001</v>
      </c>
      <c r="AA75" s="69">
        <f>ABS(Z75-Y75)</f>
        <v>23.287000000000003</v>
      </c>
      <c r="AB75" s="66" t="e">
        <f>VLOOKUP(A75,Enforcements!$C$7:$K$21,8,0)</f>
        <v>#N/A</v>
      </c>
      <c r="AC75" s="62" t="e">
        <f>VLOOKUP(A75,Enforcements!$C$7:$E$21,3,0)</f>
        <v>#N/A</v>
      </c>
      <c r="AD75" s="63" t="str">
        <f>IF(LEN(A75)=6,"0"&amp;A75,A75)</f>
        <v>0159-04</v>
      </c>
      <c r="AE75" s="9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s3://rtdc.mdm.uploadarchive.raw/RTDC4007/ "%USERPROFILE%\AppData\Local\Temp\OnboardLogs"\RTDC4007\2016-10-04 --exclude "*" --recursive --include "*20161004*" &amp; "%USERPROFILE%\Documents\GitHub\mrs-test-scripts\Headless Mode &amp; Sideloading\WalkAndUnGZ.bat" "%USERPROFILE%\AppData\Local\Temp\OnboardLogs"\RTDC4007\2016-10-04 &amp; aws s3 cp s3://rtdc.mdm.uploadarchive.raw/RTDC4007/ "%USERPROFILE%\AppData\Local\Temp\OnboardLogs"\RTDC4007\2016-10-05 --exclude "*" --recursive --include "*20161005*" &amp; "%USERPROFILE%\Documents\GitHub\mrs-test-scripts\Headless Mode &amp; Sideloading\WalkAndUnGZ.bat" "%USERPROFILE%\AppData\Local\Temp\OnboardLogs"\RTDC4007\2016-10-05</v>
      </c>
      <c r="AF75" s="92" t="str">
        <f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/stypes="app*4007*20161004*" /stext=" 17:.+((SYSTEM_STATE.+slice.+state.+changed )|(ment ac)|(system.+state.+changed )|(\[timeout)|(PRM\|1\|D)|(kpr)|(kdp)|(\|lc)|(penalty))" /e /r /s</v>
      </c>
      <c r="AG75" s="1" t="str">
        <f>IFERROR(IF(VALUE(LEFT(AD75,2))&lt;=2,"EC",IF(OR(VALUE(LEFT(AD75,2))=8,VALUE(LEFT(AD75,2))=18),"NW","Other")),"Other")</f>
        <v>EC</v>
      </c>
      <c r="AH75" s="96" t="str">
        <f t="shared" si="2"/>
        <v>"%USERPROFILE%\Documents\GitHub\eaglep3\Utilities\RefineRTDCRunTimes.py" --tripid 159-04 --locoid 4007 --swversion DE.1.0.7.0 --startMP 204:449 --initTime 2016-10-04T10:54:42 --startdatetime 2016-10-04T11:00:22 --delay 1 --endMP 204:233319 --enddatetime 2016-10-04T11:37:06 --enforcementcount 0 &gt;&gt;C:\Users\stu\Documents\GitHub\eaglep3-reporting\EC\2016-10-04-refined-times.txt</v>
      </c>
      <c r="AI75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{"issue":{"subject":"","project_id":79,"tracker_id":40,"status_id":1,"priority_id":2,"assigned_to_id":23,"start_date":"2016-10-04","description":"","custom_fields":[{"id":1,"name":"Subdivision","value":"EC"},{"id":4,"name":"Milepost","value":"23.3319"},{"id":17,"name":"Train ID","value":"159-04"},{"id":16,"name":"Locomotive ID","value":"4007"},{"id":130,"name":"Impact","value":""},{"id":150,"name":"Time of Event (Mountain Time)","value":"11:37:06"},{"id":151,"name":"Denver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5"/>
      <c r="AK75" s="55"/>
      <c r="AL75" s="55"/>
    </row>
    <row r="76" spans="1:38" s="1" customFormat="1" x14ac:dyDescent="0.25">
      <c r="A76" s="39" t="s">
        <v>465</v>
      </c>
      <c r="B76" s="7">
        <v>4008</v>
      </c>
      <c r="C76" s="24" t="s">
        <v>106</v>
      </c>
      <c r="D76" s="24" t="s">
        <v>240</v>
      </c>
      <c r="E76" s="15">
        <v>42647.487210648149</v>
      </c>
      <c r="F76" s="15">
        <v>42647.497384259259</v>
      </c>
      <c r="G76" s="7">
        <v>2</v>
      </c>
      <c r="H76" s="15" t="s">
        <v>223</v>
      </c>
      <c r="I76" s="15">
        <v>42647.524224537039</v>
      </c>
      <c r="J76" s="7">
        <v>0</v>
      </c>
      <c r="K76" s="117" t="str">
        <f>IF(ISEVEN(B76),(B76-1)&amp;"/"&amp;B76,B76&amp;"/"&amp;(B76+1))</f>
        <v>4007/4008</v>
      </c>
      <c r="L76" s="24" t="str">
        <f>VLOOKUP(A76,'Trips&amp;Operators'!$C$1:$E$10000,3,FALSE)</f>
        <v>BARTLETT</v>
      </c>
      <c r="M76" s="6">
        <f>I76-F76</f>
        <v>2.6840277780138422E-2</v>
      </c>
      <c r="N76" s="7">
        <f>24*60*SUM($M76:$M76)</f>
        <v>38.650000003399327</v>
      </c>
      <c r="O76" s="7"/>
      <c r="P76" s="7"/>
      <c r="Q76" s="25"/>
      <c r="R76" s="25"/>
      <c r="S76" s="37">
        <f>SUM(U76:U76)/IF(AG76="EC",12,1)</f>
        <v>1</v>
      </c>
      <c r="T76" s="52" t="str">
        <f>IF(ISEVEN(LEFT(AD76,4)),"Southbound","NorthBound")</f>
        <v>Southbound</v>
      </c>
      <c r="U76" s="159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02" t="str">
        <f>"https://search-rtdc-monitor-bjffxe2xuh6vdkpspy63sjmuny.us-east-1.es.amazonaws.com/_plugin/kibana/#/discover/Steve-Slow-Train-Analysis-(2080s-and-2083s)?_g=(refreshInterval:(display:Off,section:0,value:0),time:(from:'"&amp;TEXT(E76-1/24,"yyyy-MM-DD hh:mm:ss")&amp;"-0600',mode:absolute,to:'"&amp;TEXT(I76+1/24,"yyyy-MM-DD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76&amp;"%22')),sort:!(Time,asc))"</f>
        <v>https://search-rtdc-monitor-bjffxe2xuh6vdkpspy63sjmuny.us-east-1.es.amazonaws.com/_plugin/kibana/#/discover/Steve-Slow-Train-Analysis-(2080s-and-2083s)?_g=(refreshInterval:(display:Off,section:0,value:0),time:(from:'2016-10-04 10:41:35-0600',mode:absolute,to:'2016-10-04 13:34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76" s="54" t="str">
        <f>IF(AA76&lt;IF(AG76="EC",23,5.65),"Y","N")</f>
        <v>N</v>
      </c>
      <c r="X76" s="164">
        <f>VALUE(LEFT(AD76,4))-VALUE(LEFT(AD75,4))</f>
        <v>1</v>
      </c>
      <c r="Y76" s="69">
        <f>RIGHT(D76,LEN(D76)-4)/10000</f>
        <v>23.299099999999999</v>
      </c>
      <c r="Z76" s="69">
        <f>RIGHT(H76,LEN(H76)-4)/10000</f>
        <v>1.43E-2</v>
      </c>
      <c r="AA76" s="69">
        <f>ABS(Z76-Y76)</f>
        <v>23.284800000000001</v>
      </c>
      <c r="AB76" s="66" t="e">
        <f>VLOOKUP(A76,Enforcements!$C$7:$K$21,8,0)</f>
        <v>#N/A</v>
      </c>
      <c r="AC76" s="62" t="e">
        <f>VLOOKUP(A76,Enforcements!$C$7:$E$21,3,0)</f>
        <v>#N/A</v>
      </c>
      <c r="AD76" s="63" t="str">
        <f>IF(LEN(A76)=6,"0"&amp;A76,A76)</f>
        <v>0160-04</v>
      </c>
      <c r="AE76" s="9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s3://rtdc.mdm.uploadarchive.raw/RTDC4008/ "%USERPROFILE%\AppData\Local\Temp\OnboardLogs"\RTDC4008\2016-10-04 --exclude "*" --recursive --include "*20161004*" &amp; "%USERPROFILE%\Documents\GitHub\mrs-test-scripts\Headless Mode &amp; Sideloading\WalkAndUnGZ.bat" "%USERPROFILE%\AppData\Local\Temp\OnboardLogs"\RTDC4008\2016-10-04 &amp; aws s3 cp s3://rtdc.mdm.uploadarchive.raw/RTDC4008/ "%USERPROFILE%\AppData\Local\Temp\OnboardLogs"\RTDC4008\2016-10-05 --exclude "*" --recursive --include "*20161005*" &amp; "%USERPROFILE%\Documents\GitHub\mrs-test-scripts\Headless Mode &amp; Sideloading\WalkAndUnGZ.bat" "%USERPROFILE%\AppData\Local\Temp\OnboardLogs"\RTDC4008\2016-10-05</v>
      </c>
      <c r="AF76" s="92" t="str">
        <f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/stypes="app*4008*20161004*" /stext=" 18:.+((SYSTEM_STATE.+slice.+state.+changed )|(ment ac)|(system.+state.+changed )|(\[timeout)|(PRM\|1\|D)|(kpr)|(kdp)|(\|lc)|(penalty))" /e /r /s</v>
      </c>
      <c r="AG76" s="1" t="str">
        <f>IFERROR(IF(VALUE(LEFT(AD76,2))&lt;=2,"EC",IF(OR(VALUE(LEFT(AD76,2))=8,VALUE(LEFT(AD76,2))=18),"NW","Other")),"Other")</f>
        <v>EC</v>
      </c>
      <c r="AH76" s="96" t="str">
        <f t="shared" si="2"/>
        <v>"%USERPROFILE%\Documents\GitHub\eaglep3\Utilities\RefineRTDCRunTimes.py" --tripid 160-04 --locoid 4008 --swversion DE.1.0.7.0 --startMP 204:232991 --initTime 2016-10-04T11:41:35 --startdatetime 2016-10-04T11:56:14 --delay 2 --endMP 204:143 --enddatetime 2016-10-04T12:34:53 --enforcementcount 0 &gt;&gt;C:\Users\stu\Documents\GitHub\eaglep3-reporting\EC\2016-10-04-refined-times.txt</v>
      </c>
      <c r="AI76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{"issue":{"subject":"","project_id":79,"tracker_id":40,"status_id":1,"priority_id":2,"assigned_to_id":23,"start_date":"2016-10-04","description":"","custom_fields":[{"id":1,"name":"Subdivision","value":"EC"},{"id":4,"name":"Milepost","value":"0.0143"},{"id":17,"name":"Train ID","value":"160-04"},{"id":16,"name":"Locomotive ID","value":"4008"},{"id":130,"name":"Impact","value":""},{"id":150,"name":"Time of Event (Mountain Time)","value":"12:34:53"},{"id":151,"name":"Denver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5"/>
      <c r="AK76" s="55"/>
      <c r="AL76" s="55"/>
    </row>
    <row r="77" spans="1:38" s="1" customFormat="1" x14ac:dyDescent="0.25">
      <c r="A77" s="39" t="s">
        <v>456</v>
      </c>
      <c r="B77" s="7">
        <v>4042</v>
      </c>
      <c r="C77" s="24" t="s">
        <v>106</v>
      </c>
      <c r="D77" s="24" t="s">
        <v>207</v>
      </c>
      <c r="E77" s="15">
        <v>42647.463506944441</v>
      </c>
      <c r="F77" s="15">
        <v>42647.469224537039</v>
      </c>
      <c r="G77" s="7">
        <v>2</v>
      </c>
      <c r="H77" s="15" t="s">
        <v>215</v>
      </c>
      <c r="I77" s="15">
        <v>42647.494212962964</v>
      </c>
      <c r="J77" s="7">
        <v>0</v>
      </c>
      <c r="K77" s="117" t="str">
        <f>IF(ISEVEN(B77),(B77-1)&amp;"/"&amp;B77,B77&amp;"/"&amp;(B77+1))</f>
        <v>4041/4042</v>
      </c>
      <c r="L77" s="24" t="str">
        <f>VLOOKUP(A77,'Trips&amp;Operators'!$C$1:$E$10000,3,FALSE)</f>
        <v>STEWART</v>
      </c>
      <c r="M77" s="6">
        <f>I77-F77</f>
        <v>2.4988425924675539E-2</v>
      </c>
      <c r="N77" s="7">
        <f>24*60*SUM($M77:$M77)</f>
        <v>35.983333331532776</v>
      </c>
      <c r="O77" s="7"/>
      <c r="P77" s="7"/>
      <c r="Q77" s="25"/>
      <c r="R77" s="25"/>
      <c r="S77" s="37">
        <f>SUM(U77:U77)/IF(AG77="EC",12,1)</f>
        <v>1</v>
      </c>
      <c r="T77" s="52" t="str">
        <f>IF(ISEVEN(LEFT(AD77,4)),"Southbound","NorthBound")</f>
        <v>NorthBound</v>
      </c>
      <c r="U77" s="159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02" t="str">
        <f>"https://search-rtdc-monitor-bjffxe2xuh6vdkpspy63sjmuny.us-east-1.es.amazonaws.com/_plugin/kibana/#/discover/Steve-Slow-Train-Analysis-(2080s-and-2083s)?_g=(refreshInterval:(display:Off,section:0,value:0),time:(from:'"&amp;TEXT(E77-1/24,"yyyy-MM-DD hh:mm:ss")&amp;"-0600',mode:absolute,to:'"&amp;TEXT(I77+1/24,"yyyy-MM-DD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https://search-rtdc-monitor-bjffxe2xuh6vdkpspy63sjmuny.us-east-1.es.amazonaws.com/_plugin/kibana/#/discover/Steve-Slow-Train-Analysis-(2080s-and-2083s)?_g=(refreshInterval:(display:Off,section:0,value:0),time:(from:'2016-10-04 10:07:27-0600',mode:absolute,to:'2016-10-04 12:51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7" s="54" t="str">
        <f>IF(AA77&lt;IF(AG77="EC",23,5.65),"Y","N")</f>
        <v>N</v>
      </c>
      <c r="X77" s="164">
        <f>VALUE(LEFT(AD77,4))-VALUE(LEFT(AD76,4))</f>
        <v>1</v>
      </c>
      <c r="Y77" s="69">
        <f>RIGHT(D77,LEN(D77)-4)/10000</f>
        <v>4.6199999999999998E-2</v>
      </c>
      <c r="Z77" s="69">
        <f>RIGHT(H77,LEN(H77)-4)/10000</f>
        <v>23.331199999999999</v>
      </c>
      <c r="AA77" s="69">
        <f>ABS(Z77-Y77)</f>
        <v>23.285</v>
      </c>
      <c r="AB77" s="66" t="e">
        <f>VLOOKUP(A77,Enforcements!$C$7:$K$21,8,0)</f>
        <v>#N/A</v>
      </c>
      <c r="AC77" s="62" t="e">
        <f>VLOOKUP(A77,Enforcements!$C$7:$E$21,3,0)</f>
        <v>#N/A</v>
      </c>
      <c r="AD77" s="63" t="str">
        <f>IF(LEN(A77)=6,"0"&amp;A77,A77)</f>
        <v>0161-04</v>
      </c>
      <c r="AE77" s="9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s3://rtdc.mdm.uploadarchive.raw/RTDC4042/ "%USERPROFILE%\AppData\Local\Temp\OnboardLogs"\RTDC4042\2016-10-04 --exclude "*" --recursive --include "*20161004*" &amp; "%USERPROFILE%\Documents\GitHub\mrs-test-scripts\Headless Mode &amp; Sideloading\WalkAndUnGZ.bat" "%USERPROFILE%\AppData\Local\Temp\OnboardLogs"\RTDC4042\2016-10-04 &amp; aws s3 cp s3://rtdc.mdm.uploadarchive.raw/RTDC4042/ "%USERPROFILE%\AppData\Local\Temp\OnboardLogs"\RTDC4042\2016-10-05 --exclude "*" --recursive --include "*20161005*" &amp; "%USERPROFILE%\Documents\GitHub\mrs-test-scripts\Headless Mode &amp; Sideloading\WalkAndUnGZ.bat" "%USERPROFILE%\AppData\Local\Temp\OnboardLogs"\RTDC4042\2016-10-05</v>
      </c>
      <c r="AF77" s="92" t="str">
        <f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/stypes="app*4042*20161004*" /stext=" 17:.+((SYSTEM_STATE.+slice.+state.+changed )|(ment ac)|(system.+state.+changed )|(\[timeout)|(PRM\|1\|D)|(kpr)|(kdp)|(\|lc)|(penalty))" /e /r /s</v>
      </c>
      <c r="AG77" s="1" t="str">
        <f>IFERROR(IF(VALUE(LEFT(AD77,2))&lt;=2,"EC",IF(OR(VALUE(LEFT(AD77,2))=8,VALUE(LEFT(AD77,2))=18),"NW","Other")),"Other")</f>
        <v>EC</v>
      </c>
      <c r="AH77" s="96" t="str">
        <f t="shared" si="2"/>
        <v>"%USERPROFILE%\Documents\GitHub\eaglep3\Utilities\RefineRTDCRunTimes.py" --tripid 161-04 --locoid 4042 --swversion DE.1.0.7.0 --startMP 204:462 --initTime 2016-10-04T11:07:27 --startdatetime 2016-10-04T11:15:41 --delay 2 --endMP 204:233312 --enddatetime 2016-10-04T11:51:40 --enforcementcount 0 &gt;&gt;C:\Users\stu\Documents\GitHub\eaglep3-reporting\EC\2016-10-04-refined-times.txt</v>
      </c>
      <c r="AI77" s="130" t="str">
        <f t="shared" si="3"/>
        <v>echo {"issue":{"subject":"","project_id":79,"tracker_id":40,"status_id":1,"priority_id":2,"assigned_to_id":23,"start_date":"2016-10-04","description":"","custom_fields":[{"id":1,"name":"Subdivision","value":"EC"},{"id":4,"name":"Milepost","value":"23.3312"},{"id":17,"name":"Train ID","value":"161-04"},{"id":16,"name":"Locomotive ID","value":"4042"},{"id":130,"name":"Impact","value":""},{"id":150,"name":"Time of Event (Mountain Time)","value":"11:51:40"},{"id":151,"name":"Denver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5"/>
      <c r="AK77" s="55"/>
      <c r="AL77" s="55"/>
    </row>
    <row r="78" spans="1:38" s="1" customFormat="1" x14ac:dyDescent="0.25">
      <c r="A78" s="39" t="s">
        <v>469</v>
      </c>
      <c r="B78" s="7">
        <v>4041</v>
      </c>
      <c r="C78" s="24" t="s">
        <v>106</v>
      </c>
      <c r="D78" s="24" t="s">
        <v>248</v>
      </c>
      <c r="E78" s="15">
        <v>42647.503564814811</v>
      </c>
      <c r="F78" s="15">
        <v>42647.507870370369</v>
      </c>
      <c r="G78" s="7">
        <v>2</v>
      </c>
      <c r="H78" s="15" t="s">
        <v>197</v>
      </c>
      <c r="I78" s="15">
        <v>42647.534282407411</v>
      </c>
      <c r="J78" s="7">
        <v>0</v>
      </c>
      <c r="K78" s="117" t="str">
        <f>IF(ISEVEN(B78),(B78-1)&amp;"/"&amp;B78,B78&amp;"/"&amp;(B78+1))</f>
        <v>4041/4042</v>
      </c>
      <c r="L78" s="24" t="str">
        <f>VLOOKUP(A78,'Trips&amp;Operators'!$C$1:$E$10000,3,FALSE)</f>
        <v>STEWART</v>
      </c>
      <c r="M78" s="6">
        <f>I78-F78</f>
        <v>2.641203704115469E-2</v>
      </c>
      <c r="N78" s="7">
        <f>24*60*SUM($M78:$M78)</f>
        <v>38.033333339262754</v>
      </c>
      <c r="O78" s="7"/>
      <c r="P78" s="7"/>
      <c r="Q78" s="25"/>
      <c r="R78" s="25"/>
      <c r="S78" s="37">
        <f>SUM(U78:U78)/IF(AG78="EC",12,1)</f>
        <v>1</v>
      </c>
      <c r="T78" s="52" t="str">
        <f>IF(ISEVEN(LEFT(AD78,4)),"Southbound","NorthBound")</f>
        <v>Southbound</v>
      </c>
      <c r="U78" s="159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02" t="str">
        <f>"https://search-rtdc-monitor-bjffxe2xuh6vdkpspy63sjmuny.us-east-1.es.amazonaws.com/_plugin/kibana/#/discover/Steve-Slow-Train-Analysis-(2080s-and-2083s)?_g=(refreshInterval:(display:Off,section:0,value:0),time:(from:'"&amp;TEXT(E78-1/24,"yyyy-MM-DD hh:mm:ss")&amp;"-0600',mode:absolute,to:'"&amp;TEXT(I78+1/24,"yyyy-MM-DD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78&amp;"%22')),sort:!(Time,asc))"</f>
        <v>https://search-rtdc-monitor-bjffxe2xuh6vdkpspy63sjmuny.us-east-1.es.amazonaws.com/_plugin/kibana/#/discover/Steve-Slow-Train-Analysis-(2080s-and-2083s)?_g=(refreshInterval:(display:Off,section:0,value:0),time:(from:'2016-10-04 11:05:08-0600',mode:absolute,to:'2016-10-04 13:49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8" s="54" t="str">
        <f>IF(AA78&lt;IF(AG78="EC",23,5.65),"Y","N")</f>
        <v>N</v>
      </c>
      <c r="X78" s="164">
        <f>VALUE(LEFT(AD78,4))-VALUE(LEFT(AD77,4))</f>
        <v>1</v>
      </c>
      <c r="Y78" s="69">
        <f>RIGHT(D78,LEN(D78)-4)/10000</f>
        <v>23.297799999999999</v>
      </c>
      <c r="Z78" s="69">
        <f>RIGHT(H78,LEN(H78)-4)/10000</f>
        <v>1.4999999999999999E-2</v>
      </c>
      <c r="AA78" s="69">
        <f>ABS(Z78-Y78)</f>
        <v>23.282799999999998</v>
      </c>
      <c r="AB78" s="66" t="e">
        <f>VLOOKUP(A78,Enforcements!$C$7:$K$21,8,0)</f>
        <v>#N/A</v>
      </c>
      <c r="AC78" s="62" t="e">
        <f>VLOOKUP(A78,Enforcements!$C$7:$E$21,3,0)</f>
        <v>#N/A</v>
      </c>
      <c r="AD78" s="63" t="str">
        <f>IF(LEN(A78)=6,"0"&amp;A78,A78)</f>
        <v>0162-04</v>
      </c>
      <c r="AE78" s="9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s3://rtdc.mdm.uploadarchive.raw/RTDC4041/ "%USERPROFILE%\AppData\Local\Temp\OnboardLogs"\RTDC4041\2016-10-04 --exclude "*" --recursive --include "*20161004*" &amp; "%USERPROFILE%\Documents\GitHub\mrs-test-scripts\Headless Mode &amp; Sideloading\WalkAndUnGZ.bat" "%USERPROFILE%\AppData\Local\Temp\OnboardLogs"\RTDC4041\2016-10-04 &amp; aws s3 cp s3://rtdc.mdm.uploadarchive.raw/RTDC4041/ "%USERPROFILE%\AppData\Local\Temp\OnboardLogs"\RTDC4041\2016-10-05 --exclude "*" --recursive --include "*20161005*" &amp; "%USERPROFILE%\Documents\GitHub\mrs-test-scripts\Headless Mode &amp; Sideloading\WalkAndUnGZ.bat" "%USERPROFILE%\AppData\Local\Temp\OnboardLogs"\RTDC4041\2016-10-05</v>
      </c>
      <c r="AF78" s="92" t="str">
        <f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/stypes="app*4041*20161004*" /stext=" 18:.+((SYSTEM_STATE.+slice.+state.+changed )|(ment ac)|(system.+state.+changed )|(\[timeout)|(PRM\|1\|D)|(kpr)|(kdp)|(\|lc)|(penalty))" /e /r /s</v>
      </c>
      <c r="AG78" s="1" t="str">
        <f>IFERROR(IF(VALUE(LEFT(AD78,2))&lt;=2,"EC",IF(OR(VALUE(LEFT(AD78,2))=8,VALUE(LEFT(AD78,2))=18),"NW","Other")),"Other")</f>
        <v>EC</v>
      </c>
      <c r="AH78" s="96" t="str">
        <f t="shared" ref="AH78:AH141" si="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162-04 --locoid 4041 --swversion DE.1.0.7.0 --startMP 204:232978 --initTime 2016-10-04T12:05:08 --startdatetime 2016-10-04T12:11:20 --delay 2 --endMP 204:150 --enddatetime 2016-10-04T12:49:22 --enforcementcount 0 &gt;&gt;C:\Users\stu\Documents\GitHub\eaglep3-reporting\EC\2016-10-04-refined-times.txt</v>
      </c>
      <c r="AI78" s="130" t="str">
        <f t="shared" ref="AI78:AI141" si="5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{"issue":{"subject":"","project_id":79,"tracker_id":40,"status_id":1,"priority_id":2,"assigned_to_id":23,"start_date":"2016-10-04","description":"","custom_fields":[{"id":1,"name":"Subdivision","value":"EC"},{"id":4,"name":"Milepost","value":"0.015"},{"id":17,"name":"Train ID","value":"162-04"},{"id":16,"name":"Locomotive ID","value":"4041"},{"id":130,"name":"Impact","value":""},{"id":150,"name":"Time of Event (Mountain Time)","value":"12:49:22"},{"id":151,"name":"Denver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5"/>
      <c r="AK78" s="55"/>
      <c r="AL78" s="55"/>
    </row>
    <row r="79" spans="1:38" s="1" customFormat="1" x14ac:dyDescent="0.25">
      <c r="A79" s="39" t="s">
        <v>460</v>
      </c>
      <c r="B79" s="7">
        <v>4029</v>
      </c>
      <c r="C79" s="24" t="s">
        <v>106</v>
      </c>
      <c r="D79" s="24" t="s">
        <v>286</v>
      </c>
      <c r="E79" s="15">
        <v>42647.475231481483</v>
      </c>
      <c r="F79" s="15">
        <v>42647.479328703703</v>
      </c>
      <c r="G79" s="7">
        <v>1</v>
      </c>
      <c r="H79" s="15" t="s">
        <v>278</v>
      </c>
      <c r="I79" s="15">
        <v>42647.503888888888</v>
      </c>
      <c r="J79" s="7">
        <v>0</v>
      </c>
      <c r="K79" s="117" t="str">
        <f>IF(ISEVEN(B79),(B79-1)&amp;"/"&amp;B79,B79&amp;"/"&amp;(B79+1))</f>
        <v>4029/4030</v>
      </c>
      <c r="L79" s="24" t="str">
        <f>VLOOKUP(A79,'Trips&amp;Operators'!$C$1:$E$10000,3,FALSE)</f>
        <v>HELVIE</v>
      </c>
      <c r="M79" s="6">
        <f>I79-F79</f>
        <v>2.4560185185691807E-2</v>
      </c>
      <c r="N79" s="7">
        <f>24*60*SUM($M79:$M79)</f>
        <v>35.366666667396203</v>
      </c>
      <c r="O79" s="7"/>
      <c r="P79" s="7"/>
      <c r="Q79" s="25"/>
      <c r="R79" s="25"/>
      <c r="S79" s="37">
        <f>SUM(U79:U79)/IF(AG79="EC",12,1)</f>
        <v>1</v>
      </c>
      <c r="T79" s="52" t="str">
        <f>IF(ISEVEN(LEFT(AD79,4)),"Southbound","NorthBound")</f>
        <v>NorthBound</v>
      </c>
      <c r="U79" s="159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02" t="str">
        <f>"https://search-rtdc-monitor-bjffxe2xuh6vdkpspy63sjmuny.us-east-1.es.amazonaws.com/_plugin/kibana/#/discover/Steve-Slow-Train-Analysis-(2080s-and-2083s)?_g=(refreshInterval:(display:Off,section:0,value:0),time:(from:'"&amp;TEXT(E79-1/24,"yyyy-MM-DD hh:mm:ss")&amp;"-0600',mode:absolute,to:'"&amp;TEXT(I79+1/24,"yyyy-MM-DD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79&amp;"%22')),sort:!(Time,asc))"</f>
        <v>https://search-rtdc-monitor-bjffxe2xuh6vdkpspy63sjmuny.us-east-1.es.amazonaws.com/_plugin/kibana/#/discover/Steve-Slow-Train-Analysis-(2080s-and-2083s)?_g=(refreshInterval:(display:Off,section:0,value:0),time:(from:'2016-10-04 10:24:20-0600',mode:absolute,to:'2016-10-04 13:05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79" s="54" t="str">
        <f>IF(AA79&lt;IF(AG79="EC",23,5.65),"Y","N")</f>
        <v>N</v>
      </c>
      <c r="X79" s="164">
        <f>VALUE(LEFT(AD79,4))-VALUE(LEFT(AD78,4))</f>
        <v>1</v>
      </c>
      <c r="Y79" s="69">
        <f>RIGHT(D79,LEN(D79)-4)/10000</f>
        <v>4.4699999999999997E-2</v>
      </c>
      <c r="Z79" s="69">
        <f>RIGHT(H79,LEN(H79)-4)/10000</f>
        <v>23.330200000000001</v>
      </c>
      <c r="AA79" s="69">
        <f>ABS(Z79-Y79)</f>
        <v>23.285500000000003</v>
      </c>
      <c r="AB79" s="66" t="e">
        <f>VLOOKUP(A79,Enforcements!$C$7:$K$21,8,0)</f>
        <v>#N/A</v>
      </c>
      <c r="AC79" s="62" t="e">
        <f>VLOOKUP(A79,Enforcements!$C$7:$E$21,3,0)</f>
        <v>#N/A</v>
      </c>
      <c r="AD79" s="63" t="str">
        <f>IF(LEN(A79)=6,"0"&amp;A79,A79)</f>
        <v>0163-04</v>
      </c>
      <c r="AE79" s="9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s3://rtdc.mdm.uploadarchive.raw/RTDC4029/ "%USERPROFILE%\AppData\Local\Temp\OnboardLogs"\RTDC4029\2016-10-04 --exclude "*" --recursive --include "*20161004*" &amp; "%USERPROFILE%\Documents\GitHub\mrs-test-scripts\Headless Mode &amp; Sideloading\WalkAndUnGZ.bat" "%USERPROFILE%\AppData\Local\Temp\OnboardLogs"\RTDC4029\2016-10-04 &amp; aws s3 cp s3://rtdc.mdm.uploadarchive.raw/RTDC4029/ "%USERPROFILE%\AppData\Local\Temp\OnboardLogs"\RTDC4029\2016-10-05 --exclude "*" --recursive --include "*20161005*" &amp; "%USERPROFILE%\Documents\GitHub\mrs-test-scripts\Headless Mode &amp; Sideloading\WalkAndUnGZ.bat" "%USERPROFILE%\AppData\Local\Temp\OnboardLogs"\RTDC4029\2016-10-05</v>
      </c>
      <c r="AF79" s="92" t="str">
        <f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/stypes="app*4029*20161004*" /stext=" 18:.+((SYSTEM_STATE.+slice.+state.+changed )|(ment ac)|(system.+state.+changed )|(\[timeout)|(PRM\|1\|D)|(kpr)|(kdp)|(\|lc)|(penalty))" /e /r /s</v>
      </c>
      <c r="AG79" s="1" t="str">
        <f>IFERROR(IF(VALUE(LEFT(AD79,2))&lt;=2,"EC",IF(OR(VALUE(LEFT(AD79,2))=8,VALUE(LEFT(AD79,2))=18),"NW","Other")),"Other")</f>
        <v>EC</v>
      </c>
      <c r="AH79" s="96" t="str">
        <f t="shared" si="4"/>
        <v>"%USERPROFILE%\Documents\GitHub\eaglep3\Utilities\RefineRTDCRunTimes.py" --tripid 163-04 --locoid 4029 --swversion DE.1.0.7.0 --startMP 204:447 --initTime 2016-10-04T11:24:20 --startdatetime 2016-10-04T11:30:14 --delay 1 --endMP 204:233302 --enddatetime 2016-10-04T12:05:36 --enforcementcount 0 &gt;&gt;C:\Users\stu\Documents\GitHub\eaglep3-reporting\EC\2016-10-04-refined-times.txt</v>
      </c>
      <c r="AI79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{"issue":{"subject":"","project_id":79,"tracker_id":40,"status_id":1,"priority_id":2,"assigned_to_id":23,"start_date":"2016-10-04","description":"","custom_fields":[{"id":1,"name":"Subdivision","value":"EC"},{"id":4,"name":"Milepost","value":"23.3302"},{"id":17,"name":"Train ID","value":"163-04"},{"id":16,"name":"Locomotive ID","value":"4029"},{"id":130,"name":"Impact","value":""},{"id":150,"name":"Time of Event (Mountain Time)","value":"12:05:36"},{"id":151,"name":"Denver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5"/>
      <c r="AK79" s="55"/>
      <c r="AL79" s="55"/>
    </row>
    <row r="80" spans="1:38" s="1" customFormat="1" x14ac:dyDescent="0.25">
      <c r="A80" s="39" t="s">
        <v>475</v>
      </c>
      <c r="B80" s="7">
        <v>4030</v>
      </c>
      <c r="C80" s="24" t="s">
        <v>106</v>
      </c>
      <c r="D80" s="24" t="s">
        <v>302</v>
      </c>
      <c r="E80" s="15">
        <v>42647.516087962962</v>
      </c>
      <c r="F80" s="15">
        <v>42647.518414351849</v>
      </c>
      <c r="G80" s="7">
        <v>3</v>
      </c>
      <c r="H80" s="15" t="s">
        <v>199</v>
      </c>
      <c r="I80" s="15">
        <v>42647.545428240737</v>
      </c>
      <c r="J80" s="7">
        <v>0</v>
      </c>
      <c r="K80" s="117" t="str">
        <f>IF(ISEVEN(B80),(B80-1)&amp;"/"&amp;B80,B80&amp;"/"&amp;(B80+1))</f>
        <v>4029/4030</v>
      </c>
      <c r="L80" s="24" t="str">
        <f>VLOOKUP(A80,'Trips&amp;Operators'!$C$1:$E$10000,3,FALSE)</f>
        <v>HELVIE</v>
      </c>
      <c r="M80" s="6">
        <f>I80-F80</f>
        <v>2.7013888888177462E-2</v>
      </c>
      <c r="N80" s="7">
        <f>24*60*SUM($M80:$M80)</f>
        <v>38.899999998975545</v>
      </c>
      <c r="O80" s="7"/>
      <c r="P80" s="7"/>
      <c r="Q80" s="25"/>
      <c r="R80" s="25"/>
      <c r="S80" s="37">
        <f>SUM(U80:U80)/IF(AG80="EC",12,1)</f>
        <v>1</v>
      </c>
      <c r="T80" s="52" t="str">
        <f>IF(ISEVEN(LEFT(AD80,4)),"Southbound","NorthBound")</f>
        <v>Southbound</v>
      </c>
      <c r="U80" s="159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02" t="str">
        <f>"https://search-rtdc-monitor-bjffxe2xuh6vdkpspy63sjmuny.us-east-1.es.amazonaws.com/_plugin/kibana/#/discover/Steve-Slow-Train-Analysis-(2080s-and-2083s)?_g=(refreshInterval:(display:Off,section:0,value:0),time:(from:'"&amp;TEXT(E80-1/24,"yyyy-MM-DD hh:mm:ss")&amp;"-0600',mode:absolute,to:'"&amp;TEXT(I80+1/24,"yyyy-MM-DD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80&amp;"%22')),sort:!(Time,asc))"</f>
        <v>https://search-rtdc-monitor-bjffxe2xuh6vdkpspy63sjmuny.us-east-1.es.amazonaws.com/_plugin/kibana/#/discover/Steve-Slow-Train-Analysis-(2080s-and-2083s)?_g=(refreshInterval:(display:Off,section:0,value:0),time:(from:'2016-10-04 11:23:10-0600',mode:absolute,to:'2016-10-04 14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80" s="54" t="str">
        <f>IF(AA80&lt;IF(AG80="EC",23,5.65),"Y","N")</f>
        <v>N</v>
      </c>
      <c r="X80" s="164">
        <f>VALUE(LEFT(AD80,4))-VALUE(LEFT(AD79,4))</f>
        <v>1</v>
      </c>
      <c r="Y80" s="69">
        <f>RIGHT(D80,LEN(D80)-4)/10000</f>
        <v>23.299399999999999</v>
      </c>
      <c r="Z80" s="69">
        <f>RIGHT(H80,LEN(H80)-4)/10000</f>
        <v>1.52E-2</v>
      </c>
      <c r="AA80" s="69">
        <f>ABS(Z80-Y80)</f>
        <v>23.284199999999998</v>
      </c>
      <c r="AB80" s="66" t="str">
        <f>VLOOKUP(A80,Enforcements!$C$7:$K$21,8,0)</f>
        <v>Bulletin (2)</v>
      </c>
      <c r="AC80" s="62" t="str">
        <f>VLOOKUP(A80,Enforcements!$C$7:$E$21,3,0)</f>
        <v>GRADE CROSSING</v>
      </c>
      <c r="AD80" s="63" t="str">
        <f>IF(LEN(A80)=6,"0"&amp;A80,A80)</f>
        <v>0164-04</v>
      </c>
      <c r="AE80" s="9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s3://rtdc.mdm.uploadarchive.raw/RTDC4030/ "%USERPROFILE%\AppData\Local\Temp\OnboardLogs"\RTDC4030\2016-10-04 --exclude "*" --recursive --include "*20161004*" &amp; "%USERPROFILE%\Documents\GitHub\mrs-test-scripts\Headless Mode &amp; Sideloading\WalkAndUnGZ.bat" "%USERPROFILE%\AppData\Local\Temp\OnboardLogs"\RTDC4030\2016-10-04 &amp; aws s3 cp s3://rtdc.mdm.uploadarchive.raw/RTDC4030/ "%USERPROFILE%\AppData\Local\Temp\OnboardLogs"\RTDC4030\2016-10-05 --exclude "*" --recursive --include "*20161005*" &amp; "%USERPROFILE%\Documents\GitHub\mrs-test-scripts\Headless Mode &amp; Sideloading\WalkAndUnGZ.bat" "%USERPROFILE%\AppData\Local\Temp\OnboardLogs"\RTDC4030\2016-10-05</v>
      </c>
      <c r="AF80" s="92" t="str">
        <f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/stypes="app*4030*20161004*" /stext=" 19:.+((SYSTEM_STATE.+slice.+state.+changed )|(ment ac)|(system.+state.+changed )|(\[timeout)|(PRM\|1\|D)|(kpr)|(kdp)|(\|lc)|(penalty))" /e /r /s</v>
      </c>
      <c r="AG80" s="1" t="str">
        <f>IFERROR(IF(VALUE(LEFT(AD80,2))&lt;=2,"EC",IF(OR(VALUE(LEFT(AD80,2))=8,VALUE(LEFT(AD80,2))=18),"NW","Other")),"Other")</f>
        <v>EC</v>
      </c>
      <c r="AH80" s="96" t="str">
        <f t="shared" si="4"/>
        <v>"%USERPROFILE%\Documents\GitHub\eaglep3\Utilities\RefineRTDCRunTimes.py" --tripid 164-04 --locoid 4030 --swversion DE.1.0.7.0 --startMP 204:232994 --initTime 2016-10-04T12:23:10 --startdatetime 2016-10-04T12:26:31 --delay 3 --endMP 204:152 --enddatetime 2016-10-04T13:05:25 --enforcementcount 0 &gt;&gt;C:\Users\stu\Documents\GitHub\eaglep3-reporting\EC\2016-10-04-refined-times.txt</v>
      </c>
      <c r="AI80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{"issue":{"subject":"","project_id":79,"tracker_id":40,"status_id":1,"priority_id":2,"assigned_to_id":23,"start_date":"2016-10-04","description":"","custom_fields":[{"id":1,"name":"Subdivision","value":"EC"},{"id":4,"name":"Milepost","value":"0.0152"},{"id":17,"name":"Train ID","value":"164-04"},{"id":16,"name":"Locomotive ID","value":"4030"},{"id":130,"name":"Impact","value":""},{"id":150,"name":"Time of Event (Mountain Time)","value":"13:05:25"},{"id":151,"name":"Denver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5"/>
      <c r="AK80" s="55"/>
      <c r="AL80" s="55"/>
    </row>
    <row r="81" spans="1:38" s="1" customFormat="1" x14ac:dyDescent="0.25">
      <c r="A81" s="39" t="s">
        <v>464</v>
      </c>
      <c r="B81" s="7">
        <v>4025</v>
      </c>
      <c r="C81" s="24" t="s">
        <v>106</v>
      </c>
      <c r="D81" s="24" t="s">
        <v>193</v>
      </c>
      <c r="E81" s="15">
        <v>42647.487650462965</v>
      </c>
      <c r="F81" s="15">
        <v>42647.489884259259</v>
      </c>
      <c r="G81" s="7">
        <v>1</v>
      </c>
      <c r="H81" s="15" t="s">
        <v>634</v>
      </c>
      <c r="I81" s="15">
        <v>42647.515138888892</v>
      </c>
      <c r="J81" s="7">
        <v>0</v>
      </c>
      <c r="K81" s="117" t="str">
        <f>IF(ISEVEN(B81),(B81-1)&amp;"/"&amp;B81,B81&amp;"/"&amp;(B81+1))</f>
        <v>4025/4026</v>
      </c>
      <c r="L81" s="24" t="str">
        <f>VLOOKUP(A81,'Trips&amp;Operators'!$C$1:$E$10000,3,FALSE)</f>
        <v>BONDS</v>
      </c>
      <c r="M81" s="6">
        <f>I81-F81</f>
        <v>2.5254629632399883E-2</v>
      </c>
      <c r="N81" s="7">
        <f>24*60*SUM($M81:$M81)</f>
        <v>36.366666670655832</v>
      </c>
      <c r="O81" s="7"/>
      <c r="P81" s="7"/>
      <c r="Q81" s="25"/>
      <c r="R81" s="25"/>
      <c r="S81" s="37">
        <f>SUM(U81:U81)/IF(AG81="EC",12,1)</f>
        <v>1</v>
      </c>
      <c r="T81" s="52" t="str">
        <f>IF(ISEVEN(LEFT(AD81,4)),"Southbound","NorthBound")</f>
        <v>NorthBound</v>
      </c>
      <c r="U81" s="159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02" t="str">
        <f>"https://search-rtdc-monitor-bjffxe2xuh6vdkpspy63sjmuny.us-east-1.es.amazonaws.com/_plugin/kibana/#/discover/Steve-Slow-Train-Analysis-(2080s-and-2083s)?_g=(refreshInterval:(display:Off,section:0,value:0),time:(from:'"&amp;TEXT(E81-1/24,"yyyy-MM-DD hh:mm:ss")&amp;"-0600',mode:absolute,to:'"&amp;TEXT(I81+1/24,"yyyy-MM-DD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81&amp;"%22')),sort:!(Time,asc))"</f>
        <v>https://search-rtdc-monitor-bjffxe2xuh6vdkpspy63sjmuny.us-east-1.es.amazonaws.com/_plugin/kibana/#/discover/Steve-Slow-Train-Analysis-(2080s-and-2083s)?_g=(refreshInterval:(display:Off,section:0,value:0),time:(from:'2016-10-04 10:42:13-0600',mode:absolute,to:'2016-10-04 13:21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1" s="54" t="str">
        <f>IF(AA81&lt;IF(AG81="EC",23,5.65),"Y","N")</f>
        <v>N</v>
      </c>
      <c r="X81" s="164">
        <f>VALUE(LEFT(AD81,4))-VALUE(LEFT(AD80,4))</f>
        <v>1</v>
      </c>
      <c r="Y81" s="69">
        <f>RIGHT(D81,LEN(D81)-4)/10000</f>
        <v>4.7100000000000003E-2</v>
      </c>
      <c r="Z81" s="69">
        <f>RIGHT(H81,LEN(H81)-4)/10000</f>
        <v>23.332000000000001</v>
      </c>
      <c r="AA81" s="69">
        <f>ABS(Z81-Y81)</f>
        <v>23.2849</v>
      </c>
      <c r="AB81" s="66" t="e">
        <f>VLOOKUP(A81,Enforcements!$C$7:$K$21,8,0)</f>
        <v>#N/A</v>
      </c>
      <c r="AC81" s="62" t="e">
        <f>VLOOKUP(A81,Enforcements!$C$7:$E$21,3,0)</f>
        <v>#N/A</v>
      </c>
      <c r="AD81" s="63" t="str">
        <f>IF(LEN(A81)=6,"0"&amp;A81,A81)</f>
        <v>0165-04</v>
      </c>
      <c r="AE81" s="9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s3://rtdc.mdm.uploadarchive.raw/RTDC4025/ "%USERPROFILE%\AppData\Local\Temp\OnboardLogs"\RTDC4025\2016-10-04 --exclude "*" --recursive --include "*20161004*" &amp; "%USERPROFILE%\Documents\GitHub\mrs-test-scripts\Headless Mode &amp; Sideloading\WalkAndUnGZ.bat" "%USERPROFILE%\AppData\Local\Temp\OnboardLogs"\RTDC4025\2016-10-04 &amp; aws s3 cp s3://rtdc.mdm.uploadarchive.raw/RTDC4025/ "%USERPROFILE%\AppData\Local\Temp\OnboardLogs"\RTDC4025\2016-10-05 --exclude "*" --recursive --include "*20161005*" &amp; "%USERPROFILE%\Documents\GitHub\mrs-test-scripts\Headless Mode &amp; Sideloading\WalkAndUnGZ.bat" "%USERPROFILE%\AppData\Local\Temp\OnboardLogs"\RTDC4025\2016-10-05</v>
      </c>
      <c r="AF81" s="92" t="str">
        <f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/stypes="app*4025*20161004*" /stext=" 18:.+((SYSTEM_STATE.+slice.+state.+changed )|(ment ac)|(system.+state.+changed )|(\[timeout)|(PRM\|1\|D)|(kpr)|(kdp)|(\|lc)|(penalty))" /e /r /s</v>
      </c>
      <c r="AG81" s="1" t="str">
        <f>IFERROR(IF(VALUE(LEFT(AD81,2))&lt;=2,"EC",IF(OR(VALUE(LEFT(AD81,2))=8,VALUE(LEFT(AD81,2))=18),"NW","Other")),"Other")</f>
        <v>EC</v>
      </c>
      <c r="AH81" s="96" t="str">
        <f t="shared" si="4"/>
        <v>"%USERPROFILE%\Documents\GitHub\eaglep3\Utilities\RefineRTDCRunTimes.py" --tripid 165-04 --locoid 4025 --swversion DE.1.0.7.0 --startMP 204:471 --initTime 2016-10-04T11:42:13 --startdatetime 2016-10-04T11:45:26 --delay 1 --endMP 204:233320 --enddatetime 2016-10-04T12:21:48 --enforcementcount 0 &gt;&gt;C:\Users\stu\Documents\GitHub\eaglep3-reporting\EC\2016-10-04-refined-times.txt</v>
      </c>
      <c r="AI81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{"issue":{"subject":"","project_id":79,"tracker_id":40,"status_id":1,"priority_id":2,"assigned_to_id":23,"start_date":"2016-10-04","description":"","custom_fields":[{"id":1,"name":"Subdivision","value":"EC"},{"id":4,"name":"Milepost","value":"23.332"},{"id":17,"name":"Train ID","value":"165-04"},{"id":16,"name":"Locomotive ID","value":"4025"},{"id":130,"name":"Impact","value":""},{"id":150,"name":"Time of Event (Mountain Time)","value":"12:21:48"},{"id":151,"name":"Denver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5"/>
      <c r="AK81" s="55"/>
      <c r="AL81" s="55"/>
    </row>
    <row r="82" spans="1:38" s="1" customFormat="1" x14ac:dyDescent="0.25">
      <c r="A82" s="39" t="s">
        <v>476</v>
      </c>
      <c r="B82" s="7">
        <v>4026</v>
      </c>
      <c r="C82" s="24" t="s">
        <v>106</v>
      </c>
      <c r="D82" s="24" t="s">
        <v>301</v>
      </c>
      <c r="E82" s="15">
        <v>42647.520462962966</v>
      </c>
      <c r="F82" s="15">
        <v>42647.528657407405</v>
      </c>
      <c r="G82" s="7">
        <v>1</v>
      </c>
      <c r="H82" s="15" t="s">
        <v>206</v>
      </c>
      <c r="I82" s="15">
        <v>42647.555613425924</v>
      </c>
      <c r="J82" s="7">
        <v>0</v>
      </c>
      <c r="K82" s="117" t="str">
        <f>IF(ISEVEN(B82),(B82-1)&amp;"/"&amp;B82,B82&amp;"/"&amp;(B82+1))</f>
        <v>4025/4026</v>
      </c>
      <c r="L82" s="24" t="str">
        <f>VLOOKUP(A82,'Trips&amp;Operators'!$C$1:$E$10000,3,FALSE)</f>
        <v>BONDS</v>
      </c>
      <c r="M82" s="6">
        <f>I82-F82</f>
        <v>2.6956018518831115E-2</v>
      </c>
      <c r="N82" s="7">
        <f>24*60*SUM($M82:$M82)</f>
        <v>38.816666667116806</v>
      </c>
      <c r="O82" s="7"/>
      <c r="P82" s="7"/>
      <c r="Q82" s="25"/>
      <c r="R82" s="25"/>
      <c r="S82" s="37">
        <f>SUM(U82:U82)/IF(AG82="EC",12,1)</f>
        <v>1</v>
      </c>
      <c r="T82" s="52" t="str">
        <f>IF(ISEVEN(LEFT(AD82,4)),"Southbound","NorthBound")</f>
        <v>Southbound</v>
      </c>
      <c r="U82" s="159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02" t="str">
        <f>"https://search-rtdc-monitor-bjffxe2xuh6vdkpspy63sjmuny.us-east-1.es.amazonaws.com/_plugin/kibana/#/discover/Steve-Slow-Train-Analysis-(2080s-and-2083s)?_g=(refreshInterval:(display:Off,section:0,value:0),time:(from:'"&amp;TEXT(E82-1/24,"yyyy-MM-DD hh:mm:ss")&amp;"-0600',mode:absolute,to:'"&amp;TEXT(I82+1/24,"yyyy-MM-DD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82&amp;"%22')),sort:!(Time,asc))"</f>
        <v>https://search-rtdc-monitor-bjffxe2xuh6vdkpspy63sjmuny.us-east-1.es.amazonaws.com/_plugin/kibana/#/discover/Steve-Slow-Train-Analysis-(2080s-and-2083s)?_g=(refreshInterval:(display:Off,section:0,value:0),time:(from:'2016-10-04 11:29:28-0600',mode:absolute,to:'2016-10-04 14:20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2" s="54" t="str">
        <f>IF(AA82&lt;IF(AG82="EC",23,5.65),"Y","N")</f>
        <v>N</v>
      </c>
      <c r="X82" s="164">
        <f>VALUE(LEFT(AD82,4))-VALUE(LEFT(AD81,4))</f>
        <v>1</v>
      </c>
      <c r="Y82" s="69">
        <f>RIGHT(D82,LEN(D82)-4)/10000</f>
        <v>23.2973</v>
      </c>
      <c r="Z82" s="69">
        <f>RIGHT(H82,LEN(H82)-4)/10000</f>
        <v>1.38E-2</v>
      </c>
      <c r="AA82" s="69">
        <f>ABS(Z82-Y82)</f>
        <v>23.2835</v>
      </c>
      <c r="AB82" s="66" t="e">
        <f>VLOOKUP(A82,Enforcements!$C$7:$K$21,8,0)</f>
        <v>#N/A</v>
      </c>
      <c r="AC82" s="62" t="e">
        <f>VLOOKUP(A82,Enforcements!$C$7:$E$21,3,0)</f>
        <v>#N/A</v>
      </c>
      <c r="AD82" s="63" t="str">
        <f>IF(LEN(A82)=6,"0"&amp;A82,A82)</f>
        <v>0166-04</v>
      </c>
      <c r="AE82" s="9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s3://rtdc.mdm.uploadarchive.raw/RTDC4026/ "%USERPROFILE%\AppData\Local\Temp\OnboardLogs"\RTDC4026\2016-10-04 --exclude "*" --recursive --include "*20161004*" &amp; "%USERPROFILE%\Documents\GitHub\mrs-test-scripts\Headless Mode &amp; Sideloading\WalkAndUnGZ.bat" "%USERPROFILE%\AppData\Local\Temp\OnboardLogs"\RTDC4026\2016-10-04 &amp; aws s3 cp s3://rtdc.mdm.uploadarchive.raw/RTDC4026/ "%USERPROFILE%\AppData\Local\Temp\OnboardLogs"\RTDC4026\2016-10-05 --exclude "*" --recursive --include "*20161005*" &amp; "%USERPROFILE%\Documents\GitHub\mrs-test-scripts\Headless Mode &amp; Sideloading\WalkAndUnGZ.bat" "%USERPROFILE%\AppData\Local\Temp\OnboardLogs"\RTDC4026\2016-10-05</v>
      </c>
      <c r="AF82" s="92" t="str">
        <f>astrogrep_path&amp;" /spath="&amp;search_path&amp;" /stypes=""app*"&amp;B82&amp;"*"&amp;TEXT(I82-utc_offset/24,"YYYYMMDD")&amp;"*"" /stext="" "&amp;TEXT(I82-utc_offset/24,"HH")&amp;search_regexp&amp;""" /e /r /s"</f>
        <v>"C:\Program Files (x86)\AstroGrep\AstroGrep.exe" /spath="%USERPROFILE%\AppData\Local\Temp\OnboardLogs" /stypes="app*4026*20161004*" /stext=" 19:.+((SYSTEM_STATE.+slice.+state.+changed )|(ment ac)|(system.+state.+changed )|(\[timeout)|(PRM\|1\|D)|(kpr)|(kdp)|(\|lc)|(penalty))" /e /r /s</v>
      </c>
      <c r="AG82" s="1" t="str">
        <f>IFERROR(IF(VALUE(LEFT(AD82,2))&lt;=2,"EC",IF(OR(VALUE(LEFT(AD82,2))=8,VALUE(LEFT(AD82,2))=18),"NW","Other")),"Other")</f>
        <v>EC</v>
      </c>
      <c r="AH82" s="96" t="str">
        <f t="shared" si="4"/>
        <v>"%USERPROFILE%\Documents\GitHub\eaglep3\Utilities\RefineRTDCRunTimes.py" --tripid 166-04 --locoid 4026 --swversion DE.1.0.7.0 --startMP 204:232973 --initTime 2016-10-04T12:29:28 --startdatetime 2016-10-04T12:41:16 --delay 1 --endMP 204:138 --enddatetime 2016-10-04T13:20:05 --enforcementcount 0 &gt;&gt;C:\Users\stu\Documents\GitHub\eaglep3-reporting\EC\2016-10-04-refined-times.txt</v>
      </c>
      <c r="AI82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{"issue":{"subject":"","project_id":79,"tracker_id":40,"status_id":1,"priority_id":2,"assigned_to_id":23,"start_date":"2016-10-04","description":"","custom_fields":[{"id":1,"name":"Subdivision","value":"EC"},{"id":4,"name":"Milepost","value":"0.0138"},{"id":17,"name":"Train ID","value":"166-04"},{"id":16,"name":"Locomotive ID","value":"4026"},{"id":130,"name":"Impact","value":""},{"id":150,"name":"Time of Event (Mountain Time)","value":"13:20:05"},{"id":151,"name":"Denver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5"/>
      <c r="AK82" s="55"/>
      <c r="AL82" s="55"/>
    </row>
    <row r="83" spans="1:38" s="1" customFormat="1" x14ac:dyDescent="0.25">
      <c r="A83" s="39" t="s">
        <v>466</v>
      </c>
      <c r="B83" s="7">
        <v>4053</v>
      </c>
      <c r="C83" s="24" t="s">
        <v>106</v>
      </c>
      <c r="D83" s="24" t="s">
        <v>221</v>
      </c>
      <c r="E83" s="15">
        <v>42647.495937500003</v>
      </c>
      <c r="F83" s="15">
        <v>42647.500150462962</v>
      </c>
      <c r="G83" s="7">
        <v>2</v>
      </c>
      <c r="H83" s="15" t="s">
        <v>630</v>
      </c>
      <c r="I83" s="15">
        <v>42647.525833333333</v>
      </c>
      <c r="J83" s="7">
        <v>0</v>
      </c>
      <c r="K83" s="117" t="str">
        <f>IF(ISEVEN(B83),(B83-1)&amp;"/"&amp;B83,B83&amp;"/"&amp;(B83+1))</f>
        <v>4053/4054</v>
      </c>
      <c r="L83" s="24" t="str">
        <f>VLOOKUP(A83,'Trips&amp;Operators'!$C$1:$E$10000,3,FALSE)</f>
        <v>ROBINSON</v>
      </c>
      <c r="M83" s="6">
        <f>I83-F83</f>
        <v>2.5682870371383615E-2</v>
      </c>
      <c r="N83" s="7">
        <f>24*60*SUM($M83:$M83)</f>
        <v>36.983333334792405</v>
      </c>
      <c r="O83" s="7"/>
      <c r="P83" s="7"/>
      <c r="Q83" s="25"/>
      <c r="R83" s="25"/>
      <c r="S83" s="37">
        <f>SUM(U83:U83)/IF(AG83="EC",12,1)</f>
        <v>1</v>
      </c>
      <c r="T83" s="52" t="str">
        <f>IF(ISEVEN(LEFT(AD83,4)),"Southbound","NorthBound")</f>
        <v>NorthBound</v>
      </c>
      <c r="U83" s="159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02" t="str">
        <f>"https://search-rtdc-monitor-bjffxe2xuh6vdkpspy63sjmuny.us-east-1.es.amazonaws.com/_plugin/kibana/#/discover/Steve-Slow-Train-Analysis-(2080s-and-2083s)?_g=(refreshInterval:(display:Off,section:0,value:0),time:(from:'"&amp;TEXT(E83-1/24,"yyyy-MM-DD hh:mm:ss")&amp;"-0600',mode:absolute,to:'"&amp;TEXT(I83+1/24,"yyyy-MM-DD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83&amp;"%22')),sort:!(Time,asc))"</f>
        <v>https://search-rtdc-monitor-bjffxe2xuh6vdkpspy63sjmuny.us-east-1.es.amazonaws.com/_plugin/kibana/#/discover/Steve-Slow-Train-Analysis-(2080s-and-2083s)?_g=(refreshInterval:(display:Off,section:0,value:0),time:(from:'2016-10-04 10:54:09-0600',mode:absolute,to:'2016-10-04 13:37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83" s="54" t="str">
        <f>IF(AA83&lt;IF(AG83="EC",23,5.65),"Y","N")</f>
        <v>N</v>
      </c>
      <c r="X83" s="164">
        <f>VALUE(LEFT(AD83,4))-VALUE(LEFT(AD82,4))</f>
        <v>1</v>
      </c>
      <c r="Y83" s="69">
        <f>RIGHT(D83,LEN(D83)-4)/10000</f>
        <v>4.6399999999999997E-2</v>
      </c>
      <c r="Z83" s="69">
        <f>RIGHT(H83,LEN(H83)-4)/10000</f>
        <v>23.3325</v>
      </c>
      <c r="AA83" s="69">
        <f>ABS(Z83-Y83)</f>
        <v>23.286100000000001</v>
      </c>
      <c r="AB83" s="66" t="e">
        <f>VLOOKUP(A83,Enforcements!$C$7:$K$21,8,0)</f>
        <v>#N/A</v>
      </c>
      <c r="AC83" s="62" t="e">
        <f>VLOOKUP(A83,Enforcements!$C$7:$E$21,3,0)</f>
        <v>#N/A</v>
      </c>
      <c r="AD83" s="63" t="str">
        <f>IF(LEN(A83)=6,"0"&amp;A83,A83)</f>
        <v>0167-04</v>
      </c>
      <c r="AE83" s="9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s3://rtdc.mdm.uploadarchive.raw/RTDC4053/ "%USERPROFILE%\AppData\Local\Temp\OnboardLogs"\RTDC4053\2016-10-04 --exclude "*" --recursive --include "*20161004*" &amp; "%USERPROFILE%\Documents\GitHub\mrs-test-scripts\Headless Mode &amp; Sideloading\WalkAndUnGZ.bat" "%USERPROFILE%\AppData\Local\Temp\OnboardLogs"\RTDC4053\2016-10-04 &amp; aws s3 cp s3://rtdc.mdm.uploadarchive.raw/RTDC4053/ "%USERPROFILE%\AppData\Local\Temp\OnboardLogs"\RTDC4053\2016-10-05 --exclude "*" --recursive --include "*20161005*" &amp; "%USERPROFILE%\Documents\GitHub\mrs-test-scripts\Headless Mode &amp; Sideloading\WalkAndUnGZ.bat" "%USERPROFILE%\AppData\Local\Temp\OnboardLogs"\RTDC4053\2016-10-05</v>
      </c>
      <c r="AF83" s="92" t="str">
        <f>astrogrep_path&amp;" /spath="&amp;search_path&amp;" /stypes=""app*"&amp;B83&amp;"*"&amp;TEXT(I83-utc_offset/24,"YYYYMMDD")&amp;"*"" /stext="" "&amp;TEXT(I83-utc_offset/24,"HH")&amp;search_regexp&amp;""" /e /r /s"</f>
        <v>"C:\Program Files (x86)\AstroGrep\AstroGrep.exe" /spath="%USERPROFILE%\AppData\Local\Temp\OnboardLogs" /stypes="app*4053*20161004*" /stext=" 18:.+((SYSTEM_STATE.+slice.+state.+changed )|(ment ac)|(system.+state.+changed )|(\[timeout)|(PRM\|1\|D)|(kpr)|(kdp)|(\|lc)|(penalty))" /e /r /s</v>
      </c>
      <c r="AG83" s="1" t="str">
        <f>IFERROR(IF(VALUE(LEFT(AD83,2))&lt;=2,"EC",IF(OR(VALUE(LEFT(AD83,2))=8,VALUE(LEFT(AD83,2))=18),"NW","Other")),"Other")</f>
        <v>EC</v>
      </c>
      <c r="AH83" s="96" t="str">
        <f t="shared" si="4"/>
        <v>"%USERPROFILE%\Documents\GitHub\eaglep3\Utilities\RefineRTDCRunTimes.py" --tripid 167-04 --locoid 4053 --swversion DE.1.0.7.0 --startMP 204:464 --initTime 2016-10-04T11:54:09 --startdatetime 2016-10-04T12:00:13 --delay 2 --endMP 204:233325 --enddatetime 2016-10-04T12:37:12 --enforcementcount 0 &gt;&gt;C:\Users\stu\Documents\GitHub\eaglep3-reporting\EC\2016-10-04-refined-times.txt</v>
      </c>
      <c r="AI83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{"issue":{"subject":"","project_id":79,"tracker_id":40,"status_id":1,"priority_id":2,"assigned_to_id":23,"start_date":"2016-10-04","description":"","custom_fields":[{"id":1,"name":"Subdivision","value":"EC"},{"id":4,"name":"Milepost","value":"23.3325"},{"id":17,"name":"Train ID","value":"167-04"},{"id":16,"name":"Locomotive ID","value":"4053"},{"id":130,"name":"Impact","value":""},{"id":150,"name":"Time of Event (Mountain Time)","value":"12:37:12"},{"id":151,"name":"Denver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5"/>
      <c r="AK83" s="55"/>
      <c r="AL83" s="55"/>
    </row>
    <row r="84" spans="1:38" s="1" customFormat="1" x14ac:dyDescent="0.25">
      <c r="A84" s="39" t="s">
        <v>479</v>
      </c>
      <c r="B84" s="7">
        <v>4054</v>
      </c>
      <c r="C84" s="24" t="s">
        <v>106</v>
      </c>
      <c r="D84" s="24" t="s">
        <v>306</v>
      </c>
      <c r="E84" s="15">
        <v>42647.532048611109</v>
      </c>
      <c r="F84" s="15">
        <v>42647.539039351854</v>
      </c>
      <c r="G84" s="7">
        <v>1</v>
      </c>
      <c r="H84" s="15" t="s">
        <v>197</v>
      </c>
      <c r="I84" s="15">
        <v>42647.565844907411</v>
      </c>
      <c r="J84" s="7">
        <v>0</v>
      </c>
      <c r="K84" s="117" t="str">
        <f>IF(ISEVEN(B84),(B84-1)&amp;"/"&amp;B84,B84&amp;"/"&amp;(B84+1))</f>
        <v>4053/4054</v>
      </c>
      <c r="L84" s="24" t="str">
        <f>VLOOKUP(A84,'Trips&amp;Operators'!$C$1:$E$10000,3,FALSE)</f>
        <v>ROBINSON</v>
      </c>
      <c r="M84" s="6">
        <f>I84-F84</f>
        <v>2.6805555557075422E-2</v>
      </c>
      <c r="N84" s="7">
        <f>24*60*SUM($M84:$M84)</f>
        <v>38.600000002188608</v>
      </c>
      <c r="O84" s="7"/>
      <c r="P84" s="7"/>
      <c r="Q84" s="25"/>
      <c r="R84" s="25"/>
      <c r="S84" s="37">
        <f>SUM(U84:U84)/IF(AG84="EC",12,1)</f>
        <v>1</v>
      </c>
      <c r="T84" s="52" t="str">
        <f>IF(ISEVEN(LEFT(AD84,4)),"Southbound","NorthBound")</f>
        <v>Southbound</v>
      </c>
      <c r="U84" s="159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02" t="str">
        <f>"https://search-rtdc-monitor-bjffxe2xuh6vdkpspy63sjmuny.us-east-1.es.amazonaws.com/_plugin/kibana/#/discover/Steve-Slow-Train-Analysis-(2080s-and-2083s)?_g=(refreshInterval:(display:Off,section:0,value:0),time:(from:'"&amp;TEXT(E84-1/24,"yyyy-MM-DD hh:mm:ss")&amp;"-0600',mode:absolute,to:'"&amp;TEXT(I84+1/24,"yyyy-MM-DD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84&amp;"%22')),sort:!(Time,asc))"</f>
        <v>https://search-rtdc-monitor-bjffxe2xuh6vdkpspy63sjmuny.us-east-1.es.amazonaws.com/_plugin/kibana/#/discover/Steve-Slow-Train-Analysis-(2080s-and-2083s)?_g=(refreshInterval:(display:Off,section:0,value:0),time:(from:'2016-10-04 11:46:09-0600',mode:absolute,to:'2016-10-04 14:34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84" s="54" t="str">
        <f>IF(AA84&lt;IF(AG84="EC",23,5.65),"Y","N")</f>
        <v>N</v>
      </c>
      <c r="X84" s="164">
        <f>VALUE(LEFT(AD84,4))-VALUE(LEFT(AD83,4))</f>
        <v>1</v>
      </c>
      <c r="Y84" s="69">
        <f>RIGHT(D84,LEN(D84)-4)/10000</f>
        <v>23.302099999999999</v>
      </c>
      <c r="Z84" s="69">
        <f>RIGHT(H84,LEN(H84)-4)/10000</f>
        <v>1.4999999999999999E-2</v>
      </c>
      <c r="AA84" s="69">
        <f>ABS(Z84-Y84)</f>
        <v>23.287099999999999</v>
      </c>
      <c r="AB84" s="66" t="e">
        <f>VLOOKUP(A84,Enforcements!$C$7:$K$21,8,0)</f>
        <v>#N/A</v>
      </c>
      <c r="AC84" s="62" t="e">
        <f>VLOOKUP(A84,Enforcements!$C$7:$E$21,3,0)</f>
        <v>#N/A</v>
      </c>
      <c r="AD84" s="63" t="str">
        <f>IF(LEN(A84)=6,"0"&amp;A84,A84)</f>
        <v>0168-04</v>
      </c>
      <c r="AE84" s="9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s3://rtdc.mdm.uploadarchive.raw/RTDC4054/ "%USERPROFILE%\AppData\Local\Temp\OnboardLogs"\RTDC4054\2016-10-04 --exclude "*" --recursive --include "*20161004*" &amp; "%USERPROFILE%\Documents\GitHub\mrs-test-scripts\Headless Mode &amp; Sideloading\WalkAndUnGZ.bat" "%USERPROFILE%\AppData\Local\Temp\OnboardLogs"\RTDC4054\2016-10-04 &amp; aws s3 cp s3://rtdc.mdm.uploadarchive.raw/RTDC4054/ "%USERPROFILE%\AppData\Local\Temp\OnboardLogs"\RTDC4054\2016-10-05 --exclude "*" --recursive --include "*20161005*" &amp; "%USERPROFILE%\Documents\GitHub\mrs-test-scripts\Headless Mode &amp; Sideloading\WalkAndUnGZ.bat" "%USERPROFILE%\AppData\Local\Temp\OnboardLogs"\RTDC4054\2016-10-05</v>
      </c>
      <c r="AF84" s="92" t="str">
        <f>astrogrep_path&amp;" /spath="&amp;search_path&amp;" /stypes=""app*"&amp;B84&amp;"*"&amp;TEXT(I84-utc_offset/24,"YYYYMMDD")&amp;"*"" /stext="" "&amp;TEXT(I84-utc_offset/24,"HH")&amp;search_regexp&amp;""" /e /r /s"</f>
        <v>"C:\Program Files (x86)\AstroGrep\AstroGrep.exe" /spath="%USERPROFILE%\AppData\Local\Temp\OnboardLogs" /stypes="app*4054*20161004*" /stext=" 19:.+((SYSTEM_STATE.+slice.+state.+changed )|(ment ac)|(system.+state.+changed )|(\[timeout)|(PRM\|1\|D)|(kpr)|(kdp)|(\|lc)|(penalty))" /e /r /s</v>
      </c>
      <c r="AG84" s="1" t="str">
        <f>IFERROR(IF(VALUE(LEFT(AD84,2))&lt;=2,"EC",IF(OR(VALUE(LEFT(AD84,2))=8,VALUE(LEFT(AD84,2))=18),"NW","Other")),"Other")</f>
        <v>EC</v>
      </c>
      <c r="AH84" s="96" t="str">
        <f t="shared" si="4"/>
        <v>"%USERPROFILE%\Documents\GitHub\eaglep3\Utilities\RefineRTDCRunTimes.py" --tripid 168-04 --locoid 4054 --swversion DE.1.0.7.0 --startMP 204:233021 --initTime 2016-10-04T12:46:09 --startdatetime 2016-10-04T12:56:13 --delay 1 --endMP 204:150 --enddatetime 2016-10-04T13:34:49 --enforcementcount 0 &gt;&gt;C:\Users\stu\Documents\GitHub\eaglep3-reporting\EC\2016-10-04-refined-times.txt</v>
      </c>
      <c r="AI84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{"issue":{"subject":"","project_id":79,"tracker_id":40,"status_id":1,"priority_id":2,"assigned_to_id":23,"start_date":"2016-10-04","description":"","custom_fields":[{"id":1,"name":"Subdivision","value":"EC"},{"id":4,"name":"Milepost","value":"0.015"},{"id":17,"name":"Train ID","value":"168-04"},{"id":16,"name":"Locomotive ID","value":"4054"},{"id":130,"name":"Impact","value":""},{"id":150,"name":"Time of Event (Mountain Time)","value":"13:34:49"},{"id":151,"name":"Denver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5"/>
      <c r="AK84" s="55"/>
      <c r="AL84" s="55"/>
    </row>
    <row r="85" spans="1:38" s="1" customFormat="1" x14ac:dyDescent="0.25">
      <c r="A85" s="39" t="s">
        <v>470</v>
      </c>
      <c r="B85" s="7">
        <v>4016</v>
      </c>
      <c r="C85" s="24" t="s">
        <v>106</v>
      </c>
      <c r="D85" s="24" t="s">
        <v>193</v>
      </c>
      <c r="E85" s="15">
        <v>42647.505868055552</v>
      </c>
      <c r="F85" s="15">
        <v>42647.510625000003</v>
      </c>
      <c r="G85" s="7">
        <v>2</v>
      </c>
      <c r="H85" s="15" t="s">
        <v>238</v>
      </c>
      <c r="I85" s="15">
        <v>42647.536516203705</v>
      </c>
      <c r="J85" s="7">
        <v>0</v>
      </c>
      <c r="K85" s="117" t="str">
        <f>IF(ISEVEN(B85),(B85-1)&amp;"/"&amp;B85,B85&amp;"/"&amp;(B85+1))</f>
        <v>4015/4016</v>
      </c>
      <c r="L85" s="24" t="str">
        <f>VLOOKUP(A85,'Trips&amp;Operators'!$C$1:$E$10000,3,FALSE)</f>
        <v>CLARK</v>
      </c>
      <c r="M85" s="6">
        <f>I85-F85</f>
        <v>2.5891203702485655E-2</v>
      </c>
      <c r="N85" s="7">
        <f>24*60*SUM($M85:$M85)</f>
        <v>37.283333331579342</v>
      </c>
      <c r="O85" s="7"/>
      <c r="P85" s="7"/>
      <c r="Q85" s="25"/>
      <c r="R85" s="25"/>
      <c r="S85" s="37">
        <f>SUM(U85:U85)/IF(AG85="EC",12,1)</f>
        <v>1</v>
      </c>
      <c r="T85" s="52" t="str">
        <f>IF(ISEVEN(LEFT(AD85,4)),"Southbound","NorthBound")</f>
        <v>NorthBound</v>
      </c>
      <c r="U85" s="159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02" t="str">
        <f>"https://search-rtdc-monitor-bjffxe2xuh6vdkpspy63sjmuny.us-east-1.es.amazonaws.com/_plugin/kibana/#/discover/Steve-Slow-Train-Analysis-(2080s-and-2083s)?_g=(refreshInterval:(display:Off,section:0,value:0),time:(from:'"&amp;TEXT(E85-1/24,"yyyy-MM-DD hh:mm:ss")&amp;"-0600',mode:absolute,to:'"&amp;TEXT(I85+1/24,"yyyy-MM-DD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85&amp;"%22')),sort:!(Time,asc))"</f>
        <v>https://search-rtdc-monitor-bjffxe2xuh6vdkpspy63sjmuny.us-east-1.es.amazonaws.com/_plugin/kibana/#/discover/Steve-Slow-Train-Analysis-(2080s-and-2083s)?_g=(refreshInterval:(display:Off,section:0,value:0),time:(from:'2016-10-04 11:08:27-0600',mode:absolute,to:'2016-10-04 13:52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5" s="54" t="str">
        <f>IF(AA85&lt;IF(AG85="EC",23,5.65),"Y","N")</f>
        <v>N</v>
      </c>
      <c r="X85" s="164">
        <f>VALUE(LEFT(AD85,4))-VALUE(LEFT(AD84,4))</f>
        <v>1</v>
      </c>
      <c r="Y85" s="69">
        <f>RIGHT(D85,LEN(D85)-4)/10000</f>
        <v>4.7100000000000003E-2</v>
      </c>
      <c r="Z85" s="69">
        <f>RIGHT(H85,LEN(H85)-4)/10000</f>
        <v>23.328800000000001</v>
      </c>
      <c r="AA85" s="69">
        <f>ABS(Z85-Y85)</f>
        <v>23.281700000000001</v>
      </c>
      <c r="AB85" s="66" t="e">
        <f>VLOOKUP(A85,Enforcements!$C$7:$K$21,8,0)</f>
        <v>#N/A</v>
      </c>
      <c r="AC85" s="62" t="e">
        <f>VLOOKUP(A85,Enforcements!$C$7:$E$21,3,0)</f>
        <v>#N/A</v>
      </c>
      <c r="AD85" s="63" t="str">
        <f>IF(LEN(A85)=6,"0"&amp;A85,A85)</f>
        <v>0169-04</v>
      </c>
      <c r="AE85" s="9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s3://rtdc.mdm.uploadarchive.raw/RTDC4016/ "%USERPROFILE%\AppData\Local\Temp\OnboardLogs"\RTDC4016\2016-10-04 --exclude "*" --recursive --include "*20161004*" &amp; "%USERPROFILE%\Documents\GitHub\mrs-test-scripts\Headless Mode &amp; Sideloading\WalkAndUnGZ.bat" "%USERPROFILE%\AppData\Local\Temp\OnboardLogs"\RTDC4016\2016-10-04 &amp; aws s3 cp s3://rtdc.mdm.uploadarchive.raw/RTDC4016/ "%USERPROFILE%\AppData\Local\Temp\OnboardLogs"\RTDC4016\2016-10-05 --exclude "*" --recursive --include "*20161005*" &amp; "%USERPROFILE%\Documents\GitHub\mrs-test-scripts\Headless Mode &amp; Sideloading\WalkAndUnGZ.bat" "%USERPROFILE%\AppData\Local\Temp\OnboardLogs"\RTDC4016\2016-10-05</v>
      </c>
      <c r="AF85" s="92" t="str">
        <f>astrogrep_path&amp;" /spath="&amp;search_path&amp;" /stypes=""app*"&amp;B85&amp;"*"&amp;TEXT(I85-utc_offset/24,"YYYYMMDD")&amp;"*"" /stext="" "&amp;TEXT(I85-utc_offset/24,"HH")&amp;search_regexp&amp;""" /e /r /s"</f>
        <v>"C:\Program Files (x86)\AstroGrep\AstroGrep.exe" /spath="%USERPROFILE%\AppData\Local\Temp\OnboardLogs" /stypes="app*4016*20161004*" /stext=" 18:.+((SYSTEM_STATE.+slice.+state.+changed )|(ment ac)|(system.+state.+changed )|(\[timeout)|(PRM\|1\|D)|(kpr)|(kdp)|(\|lc)|(penalty))" /e /r /s</v>
      </c>
      <c r="AG85" s="1" t="str">
        <f>IFERROR(IF(VALUE(LEFT(AD85,2))&lt;=2,"EC",IF(OR(VALUE(LEFT(AD85,2))=8,VALUE(LEFT(AD85,2))=18),"NW","Other")),"Other")</f>
        <v>EC</v>
      </c>
      <c r="AH85" s="96" t="str">
        <f t="shared" si="4"/>
        <v>"%USERPROFILE%\Documents\GitHub\eaglep3\Utilities\RefineRTDCRunTimes.py" --tripid 169-04 --locoid 4016 --swversion DE.1.0.7.0 --startMP 204:471 --initTime 2016-10-04T12:08:27 --startdatetime 2016-10-04T12:15:18 --delay 2 --endMP 204:233288 --enddatetime 2016-10-04T12:52:35 --enforcementcount 0 &gt;&gt;C:\Users\stu\Documents\GitHub\eaglep3-reporting\EC\2016-10-04-refined-times.txt</v>
      </c>
      <c r="AI85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{"issue":{"subject":"","project_id":79,"tracker_id":40,"status_id":1,"priority_id":2,"assigned_to_id":23,"start_date":"2016-10-04","description":"","custom_fields":[{"id":1,"name":"Subdivision","value":"EC"},{"id":4,"name":"Milepost","value":"23.3288"},{"id":17,"name":"Train ID","value":"169-04"},{"id":16,"name":"Locomotive ID","value":"4016"},{"id":130,"name":"Impact","value":""},{"id":150,"name":"Time of Event (Mountain Time)","value":"12:52:35"},{"id":151,"name":"Denver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5"/>
      <c r="AK85" s="55"/>
      <c r="AL85" s="55"/>
    </row>
    <row r="86" spans="1:38" s="1" customFormat="1" x14ac:dyDescent="0.25">
      <c r="A86" s="39" t="s">
        <v>481</v>
      </c>
      <c r="B86" s="7">
        <v>4015</v>
      </c>
      <c r="C86" s="24" t="s">
        <v>106</v>
      </c>
      <c r="D86" s="24" t="s">
        <v>635</v>
      </c>
      <c r="E86" s="15">
        <v>42647.544861111113</v>
      </c>
      <c r="F86" s="15">
        <v>42647.549479166664</v>
      </c>
      <c r="G86" s="7">
        <v>1</v>
      </c>
      <c r="H86" s="15" t="s">
        <v>195</v>
      </c>
      <c r="I86" s="15">
        <v>42647.578101851854</v>
      </c>
      <c r="J86" s="7">
        <v>0</v>
      </c>
      <c r="K86" s="117" t="str">
        <f>IF(ISEVEN(B86),(B86-1)&amp;"/"&amp;B86,B86&amp;"/"&amp;(B86+1))</f>
        <v>4015/4016</v>
      </c>
      <c r="L86" s="24" t="str">
        <f>VLOOKUP(A86,'Trips&amp;Operators'!$C$1:$E$10000,3,FALSE)</f>
        <v>CLARK</v>
      </c>
      <c r="M86" s="6">
        <f>I86-F86</f>
        <v>2.8622685189475305E-2</v>
      </c>
      <c r="N86" s="7">
        <f>24*60*SUM($M86:$M86)</f>
        <v>41.21666667284444</v>
      </c>
      <c r="O86" s="7"/>
      <c r="P86" s="7"/>
      <c r="Q86" s="25"/>
      <c r="R86" s="25"/>
      <c r="S86" s="37">
        <f>SUM(U86:U86)/IF(AG86="EC",12,1)</f>
        <v>1</v>
      </c>
      <c r="T86" s="52" t="str">
        <f>IF(ISEVEN(LEFT(AD86,4)),"Southbound","NorthBound")</f>
        <v>Southbound</v>
      </c>
      <c r="U86" s="159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02" t="str">
        <f>"https://search-rtdc-monitor-bjffxe2xuh6vdkpspy63sjmuny.us-east-1.es.amazonaws.com/_plugin/kibana/#/discover/Steve-Slow-Train-Analysis-(2080s-and-2083s)?_g=(refreshInterval:(display:Off,section:0,value:0),time:(from:'"&amp;TEXT(E86-1/24,"yyyy-MM-DD hh:mm:ss")&amp;"-0600',mode:absolute,to:'"&amp;TEXT(I86+1/24,"yyyy-MM-DD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86&amp;"%22')),sort:!(Time,asc))"</f>
        <v>https://search-rtdc-monitor-bjffxe2xuh6vdkpspy63sjmuny.us-east-1.es.amazonaws.com/_plugin/kibana/#/discover/Steve-Slow-Train-Analysis-(2080s-and-2083s)?_g=(refreshInterval:(display:Off,section:0,value:0),time:(from:'2016-10-04 12:04:36-0600',mode:absolute,to:'2016-10-04 14:52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6" s="54" t="str">
        <f>IF(AA86&lt;IF(AG86="EC",23,5.65),"Y","N")</f>
        <v>N</v>
      </c>
      <c r="X86" s="164">
        <f>VALUE(LEFT(AD86,4))-VALUE(LEFT(AD85,4))</f>
        <v>1</v>
      </c>
      <c r="Y86" s="69">
        <f>RIGHT(D86,LEN(D86)-4)/10000</f>
        <v>23.296299999999999</v>
      </c>
      <c r="Z86" s="69">
        <f>RIGHT(H86,LEN(H86)-4)/10000</f>
        <v>1.47E-2</v>
      </c>
      <c r="AA86" s="69">
        <f>ABS(Z86-Y86)</f>
        <v>23.281599999999997</v>
      </c>
      <c r="AB86" s="66" t="e">
        <f>VLOOKUP(A86,Enforcements!$C$7:$K$21,8,0)</f>
        <v>#N/A</v>
      </c>
      <c r="AC86" s="62" t="e">
        <f>VLOOKUP(A86,Enforcements!$C$7:$E$21,3,0)</f>
        <v>#N/A</v>
      </c>
      <c r="AD86" s="63" t="str">
        <f>IF(LEN(A86)=6,"0"&amp;A86,A86)</f>
        <v>0170-04</v>
      </c>
      <c r="AE86" s="9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s3://rtdc.mdm.uploadarchive.raw/RTDC4015/ "%USERPROFILE%\AppData\Local\Temp\OnboardLogs"\RTDC4015\2016-10-04 --exclude "*" --recursive --include "*20161004*" &amp; "%USERPROFILE%\Documents\GitHub\mrs-test-scripts\Headless Mode &amp; Sideloading\WalkAndUnGZ.bat" "%USERPROFILE%\AppData\Local\Temp\OnboardLogs"\RTDC4015\2016-10-04 &amp; aws s3 cp s3://rtdc.mdm.uploadarchive.raw/RTDC4015/ "%USERPROFILE%\AppData\Local\Temp\OnboardLogs"\RTDC4015\2016-10-05 --exclude "*" --recursive --include "*20161005*" &amp; "%USERPROFILE%\Documents\GitHub\mrs-test-scripts\Headless Mode &amp; Sideloading\WalkAndUnGZ.bat" "%USERPROFILE%\AppData\Local\Temp\OnboardLogs"\RTDC4015\2016-10-05</v>
      </c>
      <c r="AF86" s="92" t="str">
        <f>astrogrep_path&amp;" /spath="&amp;search_path&amp;" /stypes=""app*"&amp;B86&amp;"*"&amp;TEXT(I86-utc_offset/24,"YYYYMMDD")&amp;"*"" /stext="" "&amp;TEXT(I86-utc_offset/24,"HH")&amp;search_regexp&amp;""" /e /r /s"</f>
        <v>"C:\Program Files (x86)\AstroGrep\AstroGrep.exe" /spath="%USERPROFILE%\AppData\Local\Temp\OnboardLogs" /stypes="app*4015*20161004*" /stext=" 19:.+((SYSTEM_STATE.+slice.+state.+changed )|(ment ac)|(system.+state.+changed )|(\[timeout)|(PRM\|1\|D)|(kpr)|(kdp)|(\|lc)|(penalty))" /e /r /s</v>
      </c>
      <c r="AG86" s="1" t="str">
        <f>IFERROR(IF(VALUE(LEFT(AD86,2))&lt;=2,"EC",IF(OR(VALUE(LEFT(AD86,2))=8,VALUE(LEFT(AD86,2))=18),"NW","Other")),"Other")</f>
        <v>EC</v>
      </c>
      <c r="AH86" s="96" t="str">
        <f t="shared" si="4"/>
        <v>"%USERPROFILE%\Documents\GitHub\eaglep3\Utilities\RefineRTDCRunTimes.py" --tripid 170-04 --locoid 4015 --swversion DE.1.0.7.0 --startMP 204:232963 --initTime 2016-10-04T13:04:36 --startdatetime 2016-10-04T13:11:15 --delay 1 --endMP 204:147 --enddatetime 2016-10-04T13:52:28 --enforcementcount 0 &gt;&gt;C:\Users\stu\Documents\GitHub\eaglep3-reporting\EC\2016-10-04-refined-times.txt</v>
      </c>
      <c r="AI86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{"issue":{"subject":"","project_id":79,"tracker_id":40,"status_id":1,"priority_id":2,"assigned_to_id":23,"start_date":"2016-10-04","description":"","custom_fields":[{"id":1,"name":"Subdivision","value":"EC"},{"id":4,"name":"Milepost","value":"0.0147"},{"id":17,"name":"Train ID","value":"170-04"},{"id":16,"name":"Locomotive ID","value":"4015"},{"id":130,"name":"Impact","value":""},{"id":150,"name":"Time of Event (Mountain Time)","value":"13:52:28"},{"id":151,"name":"Denver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5"/>
      <c r="AK86" s="55"/>
      <c r="AL86" s="55"/>
    </row>
    <row r="87" spans="1:38" s="1" customFormat="1" x14ac:dyDescent="0.25">
      <c r="A87" s="39" t="s">
        <v>473</v>
      </c>
      <c r="B87" s="7">
        <v>4044</v>
      </c>
      <c r="C87" s="24" t="s">
        <v>106</v>
      </c>
      <c r="D87" s="24" t="s">
        <v>286</v>
      </c>
      <c r="E87" s="15">
        <v>42647.515474537038</v>
      </c>
      <c r="F87" s="15">
        <v>42647.521099537036</v>
      </c>
      <c r="G87" s="7">
        <v>6</v>
      </c>
      <c r="H87" s="15" t="s">
        <v>288</v>
      </c>
      <c r="I87" s="15">
        <v>42647.546550925923</v>
      </c>
      <c r="J87" s="7">
        <v>0</v>
      </c>
      <c r="K87" s="117" t="str">
        <f>IF(ISEVEN(B87),(B87-1)&amp;"/"&amp;B87,B87&amp;"/"&amp;(B87+1))</f>
        <v>4043/4044</v>
      </c>
      <c r="L87" s="24" t="str">
        <f>VLOOKUP(A87,'Trips&amp;Operators'!$C$1:$E$10000,3,FALSE)</f>
        <v>STORY</v>
      </c>
      <c r="M87" s="6">
        <f>I87-F87</f>
        <v>2.545138888672227E-2</v>
      </c>
      <c r="N87" s="7">
        <f>24*60*SUM($M87:$M87)</f>
        <v>36.649999996880069</v>
      </c>
      <c r="O87" s="7"/>
      <c r="P87" s="7"/>
      <c r="Q87" s="25"/>
      <c r="R87" s="25"/>
      <c r="S87" s="37">
        <f>SUM(U87:U87)/IF(AG87="EC",12,1)</f>
        <v>1</v>
      </c>
      <c r="T87" s="52" t="str">
        <f>IF(ISEVEN(LEFT(AD87,4)),"Southbound","NorthBound")</f>
        <v>NorthBound</v>
      </c>
      <c r="U87" s="159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02" t="str">
        <f>"https://search-rtdc-monitor-bjffxe2xuh6vdkpspy63sjmuny.us-east-1.es.amazonaws.com/_plugin/kibana/#/discover/Steve-Slow-Train-Analysis-(2080s-and-2083s)?_g=(refreshInterval:(display:Off,section:0,value:0),time:(from:'"&amp;TEXT(E87-1/24,"yyyy-MM-DD hh:mm:ss")&amp;"-0600',mode:absolute,to:'"&amp;TEXT(I87+1/24,"yyyy-MM-DD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87&amp;"%22')),sort:!(Time,asc))"</f>
        <v>https://search-rtdc-monitor-bjffxe2xuh6vdkpspy63sjmuny.us-east-1.es.amazonaws.com/_plugin/kibana/#/discover/Steve-Slow-Train-Analysis-(2080s-and-2083s)?_g=(refreshInterval:(display:Off,section:0,value:0),time:(from:'2016-10-04 11:22:17-0600',mode:absolute,to:'2016-10-04 14:07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7" s="54" t="str">
        <f>IF(AA87&lt;IF(AG87="EC",23,5.65),"Y","N")</f>
        <v>N</v>
      </c>
      <c r="X87" s="164">
        <f>VALUE(LEFT(AD87,4))-VALUE(LEFT(AD86,4))</f>
        <v>1</v>
      </c>
      <c r="Y87" s="69">
        <f>RIGHT(D87,LEN(D87)-4)/10000</f>
        <v>4.4699999999999997E-2</v>
      </c>
      <c r="Z87" s="69">
        <f>RIGHT(H87,LEN(H87)-4)/10000</f>
        <v>23.332100000000001</v>
      </c>
      <c r="AA87" s="69">
        <f>ABS(Z87-Y87)</f>
        <v>23.287400000000002</v>
      </c>
      <c r="AB87" s="66" t="e">
        <f>VLOOKUP(A87,Enforcements!$C$7:$K$21,8,0)</f>
        <v>#N/A</v>
      </c>
      <c r="AC87" s="62" t="e">
        <f>VLOOKUP(A87,Enforcements!$C$7:$E$21,3,0)</f>
        <v>#N/A</v>
      </c>
      <c r="AD87" s="63" t="str">
        <f>IF(LEN(A87)=6,"0"&amp;A87,A87)</f>
        <v>0171-04</v>
      </c>
      <c r="AE87" s="9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s3://rtdc.mdm.uploadarchive.raw/RTDC4044/ "%USERPROFILE%\AppData\Local\Temp\OnboardLogs"\RTDC4044\2016-10-04 --exclude "*" --recursive --include "*20161004*" &amp; "%USERPROFILE%\Documents\GitHub\mrs-test-scripts\Headless Mode &amp; Sideloading\WalkAndUnGZ.bat" "%USERPROFILE%\AppData\Local\Temp\OnboardLogs"\RTDC4044\2016-10-04 &amp; aws s3 cp s3://rtdc.mdm.uploadarchive.raw/RTDC4044/ "%USERPROFILE%\AppData\Local\Temp\OnboardLogs"\RTDC4044\2016-10-05 --exclude "*" --recursive --include "*20161005*" &amp; "%USERPROFILE%\Documents\GitHub\mrs-test-scripts\Headless Mode &amp; Sideloading\WalkAndUnGZ.bat" "%USERPROFILE%\AppData\Local\Temp\OnboardLogs"\RTDC4044\2016-10-05</v>
      </c>
      <c r="AF87" s="92" t="str">
        <f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/stypes="app*4044*20161004*" /stext=" 19:.+((SYSTEM_STATE.+slice.+state.+changed )|(ment ac)|(system.+state.+changed )|(\[timeout)|(PRM\|1\|D)|(kpr)|(kdp)|(\|lc)|(penalty))" /e /r /s</v>
      </c>
      <c r="AG87" s="1" t="str">
        <f>IFERROR(IF(VALUE(LEFT(AD87,2))&lt;=2,"EC",IF(OR(VALUE(LEFT(AD87,2))=8,VALUE(LEFT(AD87,2))=18),"NW","Other")),"Other")</f>
        <v>EC</v>
      </c>
      <c r="AH87" s="96" t="str">
        <f t="shared" si="4"/>
        <v>"%USERPROFILE%\Documents\GitHub\eaglep3\Utilities\RefineRTDCRunTimes.py" --tripid 171-04 --locoid 4044 --swversion DE.1.0.7.0 --startMP 204:447 --initTime 2016-10-04T12:22:17 --startdatetime 2016-10-04T12:30:23 --delay 6 --endMP 204:233321 --enddatetime 2016-10-04T13:07:02 --enforcementcount 0 &gt;&gt;C:\Users\stu\Documents\GitHub\eaglep3-reporting\EC\2016-10-04-refined-times.txt</v>
      </c>
      <c r="AI87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{"issue":{"subject":"","project_id":79,"tracker_id":40,"status_id":1,"priority_id":2,"assigned_to_id":23,"start_date":"2016-10-04","description":"","custom_fields":[{"id":1,"name":"Subdivision","value":"EC"},{"id":4,"name":"Milepost","value":"23.3321"},{"id":17,"name":"Train ID","value":"171-04"},{"id":16,"name":"Locomotive ID","value":"4044"},{"id":130,"name":"Impact","value":""},{"id":150,"name":"Time of Event (Mountain Time)","value":"13:07:02"},{"id":151,"name":"Denver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5"/>
      <c r="AK87" s="55"/>
      <c r="AL87" s="55"/>
    </row>
    <row r="88" spans="1:38" s="1" customFormat="1" x14ac:dyDescent="0.25">
      <c r="A88" s="39" t="s">
        <v>486</v>
      </c>
      <c r="B88" s="7">
        <v>4043</v>
      </c>
      <c r="C88" s="24" t="s">
        <v>106</v>
      </c>
      <c r="D88" s="24" t="s">
        <v>631</v>
      </c>
      <c r="E88" s="15">
        <v>42647.556296296294</v>
      </c>
      <c r="F88" s="15">
        <v>42647.559988425928</v>
      </c>
      <c r="G88" s="7">
        <v>1</v>
      </c>
      <c r="H88" s="15" t="s">
        <v>195</v>
      </c>
      <c r="I88" s="15">
        <v>42647.587557870371</v>
      </c>
      <c r="J88" s="7">
        <v>0</v>
      </c>
      <c r="K88" s="117" t="str">
        <f>IF(ISEVEN(B88),(B88-1)&amp;"/"&amp;B88,B88&amp;"/"&amp;(B88+1))</f>
        <v>4043/4044</v>
      </c>
      <c r="L88" s="24" t="str">
        <f>VLOOKUP(A88,'Trips&amp;Operators'!$C$1:$E$10000,3,FALSE)</f>
        <v>STORY</v>
      </c>
      <c r="M88" s="6">
        <f>I88-F88</f>
        <v>2.7569444442633539E-2</v>
      </c>
      <c r="N88" s="7">
        <f>24*60*SUM($M88:$M88)</f>
        <v>39.699999997392297</v>
      </c>
      <c r="O88" s="7"/>
      <c r="P88" s="7"/>
      <c r="Q88" s="25"/>
      <c r="R88" s="25"/>
      <c r="S88" s="37">
        <f>SUM(U88:U88)/IF(AG88="EC",12,1)</f>
        <v>1</v>
      </c>
      <c r="T88" s="52" t="str">
        <f>IF(ISEVEN(LEFT(AD88,4)),"Southbound","NorthBound")</f>
        <v>Southbound</v>
      </c>
      <c r="U88" s="159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02" t="str">
        <f>"https://search-rtdc-monitor-bjffxe2xuh6vdkpspy63sjmuny.us-east-1.es.amazonaws.com/_plugin/kibana/#/discover/Steve-Slow-Train-Analysis-(2080s-and-2083s)?_g=(refreshInterval:(display:Off,section:0,value:0),time:(from:'"&amp;TEXT(E88-1/24,"yyyy-MM-DD hh:mm:ss")&amp;"-0600',mode:absolute,to:'"&amp;TEXT(I88+1/24,"yyyy-MM-DD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88&amp;"%22')),sort:!(Time,asc))"</f>
        <v>https://search-rtdc-monitor-bjffxe2xuh6vdkpspy63sjmuny.us-east-1.es.amazonaws.com/_plugin/kibana/#/discover/Steve-Slow-Train-Analysis-(2080s-and-2083s)?_g=(refreshInterval:(display:Off,section:0,value:0),time:(from:'2016-10-04 12:21:04-0600',mode:absolute,to:'2016-10-04 15:06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8" s="54" t="str">
        <f>IF(AA88&lt;IF(AG88="EC",23,5.65),"Y","N")</f>
        <v>N</v>
      </c>
      <c r="X88" s="164">
        <f>VALUE(LEFT(AD88,4))-VALUE(LEFT(AD87,4))</f>
        <v>1</v>
      </c>
      <c r="Y88" s="69">
        <f>RIGHT(D88,LEN(D88)-4)/10000</f>
        <v>23.300799999999999</v>
      </c>
      <c r="Z88" s="69">
        <f>RIGHT(H88,LEN(H88)-4)/10000</f>
        <v>1.47E-2</v>
      </c>
      <c r="AA88" s="69">
        <f>ABS(Z88-Y88)</f>
        <v>23.286099999999998</v>
      </c>
      <c r="AB88" s="66" t="e">
        <f>VLOOKUP(A88,Enforcements!$C$7:$K$21,8,0)</f>
        <v>#N/A</v>
      </c>
      <c r="AC88" s="62" t="e">
        <f>VLOOKUP(A88,Enforcements!$C$7:$E$21,3,0)</f>
        <v>#N/A</v>
      </c>
      <c r="AD88" s="63" t="str">
        <f>IF(LEN(A88)=6,"0"&amp;A88,A88)</f>
        <v>0172-04</v>
      </c>
      <c r="AE88" s="9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s3://rtdc.mdm.uploadarchive.raw/RTDC4043/ "%USERPROFILE%\AppData\Local\Temp\OnboardLogs"\RTDC4043\2016-10-04 --exclude "*" --recursive --include "*20161004*" &amp; "%USERPROFILE%\Documents\GitHub\mrs-test-scripts\Headless Mode &amp; Sideloading\WalkAndUnGZ.bat" "%USERPROFILE%\AppData\Local\Temp\OnboardLogs"\RTDC4043\2016-10-04 &amp; aws s3 cp s3://rtdc.mdm.uploadarchive.raw/RTDC4043/ "%USERPROFILE%\AppData\Local\Temp\OnboardLogs"\RTDC4043\2016-10-05 --exclude "*" --recursive --include "*20161005*" &amp; "%USERPROFILE%\Documents\GitHub\mrs-test-scripts\Headless Mode &amp; Sideloading\WalkAndUnGZ.bat" "%USERPROFILE%\AppData\Local\Temp\OnboardLogs"\RTDC4043\2016-10-05</v>
      </c>
      <c r="AF88" s="92" t="str">
        <f>astrogrep_path&amp;" /spath="&amp;search_path&amp;" /stypes=""app*"&amp;B88&amp;"*"&amp;TEXT(I88-utc_offset/24,"YYYYMMDD")&amp;"*"" /stext="" "&amp;TEXT(I88-utc_offset/24,"HH")&amp;search_regexp&amp;""" /e /r /s"</f>
        <v>"C:\Program Files (x86)\AstroGrep\AstroGrep.exe" /spath="%USERPROFILE%\AppData\Local\Temp\OnboardLogs" /stypes="app*4043*20161004*" /stext=" 20:.+((SYSTEM_STATE.+slice.+state.+changed )|(ment ac)|(system.+state.+changed )|(\[timeout)|(PRM\|1\|D)|(kpr)|(kdp)|(\|lc)|(penalty))" /e /r /s</v>
      </c>
      <c r="AG88" s="1" t="str">
        <f>IFERROR(IF(VALUE(LEFT(AD88,2))&lt;=2,"EC",IF(OR(VALUE(LEFT(AD88,2))=8,VALUE(LEFT(AD88,2))=18),"NW","Other")),"Other")</f>
        <v>EC</v>
      </c>
      <c r="AH88" s="96" t="str">
        <f t="shared" si="4"/>
        <v>"%USERPROFILE%\Documents\GitHub\eaglep3\Utilities\RefineRTDCRunTimes.py" --tripid 172-04 --locoid 4043 --swversion DE.1.0.7.0 --startMP 204:233008 --initTime 2016-10-04T13:21:04 --startdatetime 2016-10-04T13:26:23 --delay 1 --endMP 204:147 --enddatetime 2016-10-04T14:06:05 --enforcementcount 0 &gt;&gt;C:\Users\stu\Documents\GitHub\eaglep3-reporting\EC\2016-10-04-refined-times.txt</v>
      </c>
      <c r="AI88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{"issue":{"subject":"","project_id":79,"tracker_id":40,"status_id":1,"priority_id":2,"assigned_to_id":23,"start_date":"2016-10-04","description":"","custom_fields":[{"id":1,"name":"Subdivision","value":"EC"},{"id":4,"name":"Milepost","value":"0.0147"},{"id":17,"name":"Train ID","value":"172-04"},{"id":16,"name":"Locomotive ID","value":"4043"},{"id":130,"name":"Impact","value":""},{"id":150,"name":"Time of Event (Mountain Time)","value":"14:06:05"},{"id":151,"name":"Denver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5"/>
      <c r="AK88" s="55"/>
      <c r="AL88" s="55"/>
    </row>
    <row r="89" spans="1:38" s="1" customFormat="1" x14ac:dyDescent="0.25">
      <c r="A89" s="39" t="s">
        <v>478</v>
      </c>
      <c r="B89" s="7">
        <v>4007</v>
      </c>
      <c r="C89" s="24" t="s">
        <v>106</v>
      </c>
      <c r="D89" s="24" t="s">
        <v>200</v>
      </c>
      <c r="E89" s="15">
        <v>42647.526921296296</v>
      </c>
      <c r="F89" s="15">
        <v>42647.531747685185</v>
      </c>
      <c r="G89" s="7">
        <v>2</v>
      </c>
      <c r="H89" s="15" t="s">
        <v>308</v>
      </c>
      <c r="I89" s="15">
        <v>42647.55736111111</v>
      </c>
      <c r="J89" s="7">
        <v>0</v>
      </c>
      <c r="K89" s="117" t="str">
        <f>IF(ISEVEN(B89),(B89-1)&amp;"/"&amp;B89,B89&amp;"/"&amp;(B89+1))</f>
        <v>4007/4008</v>
      </c>
      <c r="L89" s="24" t="str">
        <f>VLOOKUP(A89,'Trips&amp;Operators'!$C$1:$E$10000,3,FALSE)</f>
        <v>BARTLETT</v>
      </c>
      <c r="M89" s="6">
        <f>I89-F89</f>
        <v>2.5613425925257616E-2</v>
      </c>
      <c r="N89" s="7">
        <f>24*60*SUM($M89:$M89)</f>
        <v>36.883333332370967</v>
      </c>
      <c r="O89" s="7"/>
      <c r="P89" s="7"/>
      <c r="Q89" s="25"/>
      <c r="R89" s="25"/>
      <c r="S89" s="37">
        <f>SUM(U89:U89)/IF(AG89="EC",12,1)</f>
        <v>1</v>
      </c>
      <c r="T89" s="52" t="str">
        <f>IF(ISEVEN(LEFT(AD89,4)),"Southbound","NorthBound")</f>
        <v>NorthBound</v>
      </c>
      <c r="U89" s="159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02" t="str">
        <f>"https://search-rtdc-monitor-bjffxe2xuh6vdkpspy63sjmuny.us-east-1.es.amazonaws.com/_plugin/kibana/#/discover/Steve-Slow-Train-Analysis-(2080s-and-2083s)?_g=(refreshInterval:(display:Off,section:0,value:0),time:(from:'"&amp;TEXT(E89-1/24,"yyyy-MM-DD hh:mm:ss")&amp;"-0600',mode:absolute,to:'"&amp;TEXT(I89+1/24,"yyyy-MM-DD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89&amp;"%22')),sort:!(Time,asc))"</f>
        <v>https://search-rtdc-monitor-bjffxe2xuh6vdkpspy63sjmuny.us-east-1.es.amazonaws.com/_plugin/kibana/#/discover/Steve-Slow-Train-Analysis-(2080s-and-2083s)?_g=(refreshInterval:(display:Off,section:0,value:0),time:(from:'2016-10-04 11:38:46-0600',mode:absolute,to:'2016-10-04 14:22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89" s="54" t="str">
        <f>IF(AA89&lt;IF(AG89="EC",23,5.65),"Y","N")</f>
        <v>N</v>
      </c>
      <c r="X89" s="164">
        <f>VALUE(LEFT(AD89,4))-VALUE(LEFT(AD88,4))</f>
        <v>1</v>
      </c>
      <c r="Y89" s="69">
        <f>RIGHT(D89,LEN(D89)-4)/10000</f>
        <v>4.5699999999999998E-2</v>
      </c>
      <c r="Z89" s="69">
        <f>RIGHT(H89,LEN(H89)-4)/10000</f>
        <v>23.330100000000002</v>
      </c>
      <c r="AA89" s="69">
        <f>ABS(Z89-Y89)</f>
        <v>23.284400000000002</v>
      </c>
      <c r="AB89" s="66" t="e">
        <f>VLOOKUP(A89,Enforcements!$C$7:$K$21,8,0)</f>
        <v>#N/A</v>
      </c>
      <c r="AC89" s="62" t="e">
        <f>VLOOKUP(A89,Enforcements!$C$7:$E$21,3,0)</f>
        <v>#N/A</v>
      </c>
      <c r="AD89" s="63" t="str">
        <f>IF(LEN(A89)=6,"0"&amp;A89,A89)</f>
        <v>0173-04</v>
      </c>
      <c r="AE89" s="9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s3://rtdc.mdm.uploadarchive.raw/RTDC4007/ "%USERPROFILE%\AppData\Local\Temp\OnboardLogs"\RTDC4007\2016-10-04 --exclude "*" --recursive --include "*20161004*" &amp; "%USERPROFILE%\Documents\GitHub\mrs-test-scripts\Headless Mode &amp; Sideloading\WalkAndUnGZ.bat" "%USERPROFILE%\AppData\Local\Temp\OnboardLogs"\RTDC4007\2016-10-04 &amp; aws s3 cp s3://rtdc.mdm.uploadarchive.raw/RTDC4007/ "%USERPROFILE%\AppData\Local\Temp\OnboardLogs"\RTDC4007\2016-10-05 --exclude "*" --recursive --include "*20161005*" &amp; "%USERPROFILE%\Documents\GitHub\mrs-test-scripts\Headless Mode &amp; Sideloading\WalkAndUnGZ.bat" "%USERPROFILE%\AppData\Local\Temp\OnboardLogs"\RTDC4007\2016-10-05</v>
      </c>
      <c r="AF89" s="92" t="str">
        <f>astrogrep_path&amp;" /spath="&amp;search_path&amp;" /stypes=""app*"&amp;B89&amp;"*"&amp;TEXT(I89-utc_offset/24,"YYYYMMDD")&amp;"*"" /stext="" "&amp;TEXT(I89-utc_offset/24,"HH")&amp;search_regexp&amp;""" /e /r /s"</f>
        <v>"C:\Program Files (x86)\AstroGrep\AstroGrep.exe" /spath="%USERPROFILE%\AppData\Local\Temp\OnboardLogs" /stypes="app*4007*20161004*" /stext=" 19:.+((SYSTEM_STATE.+slice.+state.+changed )|(ment ac)|(system.+state.+changed )|(\[timeout)|(PRM\|1\|D)|(kpr)|(kdp)|(\|lc)|(penalty))" /e /r /s</v>
      </c>
      <c r="AG89" s="1" t="str">
        <f>IFERROR(IF(VALUE(LEFT(AD89,2))&lt;=2,"EC",IF(OR(VALUE(LEFT(AD89,2))=8,VALUE(LEFT(AD89,2))=18),"NW","Other")),"Other")</f>
        <v>EC</v>
      </c>
      <c r="AH89" s="96" t="str">
        <f t="shared" si="4"/>
        <v>"%USERPROFILE%\Documents\GitHub\eaglep3\Utilities\RefineRTDCRunTimes.py" --tripid 173-04 --locoid 4007 --swversion DE.1.0.7.0 --startMP 204:457 --initTime 2016-10-04T12:38:46 --startdatetime 2016-10-04T12:45:43 --delay 2 --endMP 204:233301 --enddatetime 2016-10-04T13:22:36 --enforcementcount 0 &gt;&gt;C:\Users\stu\Documents\GitHub\eaglep3-reporting\EC\2016-10-04-refined-times.txt</v>
      </c>
      <c r="AI89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{"issue":{"subject":"","project_id":79,"tracker_id":40,"status_id":1,"priority_id":2,"assigned_to_id":23,"start_date":"2016-10-04","description":"","custom_fields":[{"id":1,"name":"Subdivision","value":"EC"},{"id":4,"name":"Milepost","value":"23.3301"},{"id":17,"name":"Train ID","value":"173-04"},{"id":16,"name":"Locomotive ID","value":"4007"},{"id":130,"name":"Impact","value":""},{"id":150,"name":"Time of Event (Mountain Time)","value":"13:22:36"},{"id":151,"name":"Denver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5"/>
      <c r="AK89" s="55"/>
      <c r="AL89" s="55"/>
    </row>
    <row r="90" spans="1:38" s="1" customFormat="1" x14ac:dyDescent="0.25">
      <c r="A90" s="39" t="s">
        <v>490</v>
      </c>
      <c r="B90" s="7">
        <v>4008</v>
      </c>
      <c r="C90" s="24" t="s">
        <v>106</v>
      </c>
      <c r="D90" s="24" t="s">
        <v>239</v>
      </c>
      <c r="E90" s="15">
        <v>42647.569502314815</v>
      </c>
      <c r="F90" s="15">
        <v>42647.57068287037</v>
      </c>
      <c r="G90" s="7">
        <v>1</v>
      </c>
      <c r="H90" s="15" t="s">
        <v>636</v>
      </c>
      <c r="I90" s="15">
        <v>42647.583553240744</v>
      </c>
      <c r="J90" s="7">
        <v>0</v>
      </c>
      <c r="K90" s="117" t="str">
        <f>IF(ISEVEN(B90),(B90-1)&amp;"/"&amp;B90,B90&amp;"/"&amp;(B90+1))</f>
        <v>4007/4008</v>
      </c>
      <c r="L90" s="24" t="str">
        <f>VLOOKUP(A90,'Trips&amp;Operators'!$C$1:$E$10000,3,FALSE)</f>
        <v>BARTLETT</v>
      </c>
      <c r="M90" s="6">
        <f>I90-F90</f>
        <v>1.287037037400296E-2</v>
      </c>
      <c r="N90" s="7"/>
      <c r="O90" s="7"/>
      <c r="P90" s="7">
        <f>24*60*SUM($M90:$M90)</f>
        <v>18.533333338564262</v>
      </c>
      <c r="Q90" s="25"/>
      <c r="R90" s="25" t="s">
        <v>790</v>
      </c>
      <c r="S90" s="37">
        <f>SUM(U90:U90)/IF(AG90="EC",12,1)</f>
        <v>0</v>
      </c>
      <c r="T90" s="52" t="str">
        <f>IF(ISEVEN(LEFT(AD90,4)),"Southbound","NorthBound")</f>
        <v>Southbound</v>
      </c>
      <c r="U90" s="159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0</v>
      </c>
      <c r="V90" s="102" t="str">
        <f>"https://search-rtdc-monitor-bjffxe2xuh6vdkpspy63sjmuny.us-east-1.es.amazonaws.com/_plugin/kibana/#/discover/Steve-Slow-Train-Analysis-(2080s-and-2083s)?_g=(refreshInterval:(display:Off,section:0,value:0),time:(from:'"&amp;TEXT(E90-1/24,"yyyy-MM-DD hh:mm:ss")&amp;"-0600',mode:absolute,to:'"&amp;TEXT(I90+1/24,"yyyy-MM-DD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90&amp;"%22')),sort:!(Time,asc))"</f>
        <v>https://search-rtdc-monitor-bjffxe2xuh6vdkpspy63sjmuny.us-east-1.es.amazonaws.com/_plugin/kibana/#/discover/Steve-Slow-Train-Analysis-(2080s-and-2083s)?_g=(refreshInterval:(display:Off,section:0,value:0),time:(from:'2016-10-04 12:40:05-0600',mode:absolute,to:'2016-10-04 15:00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90" s="54" t="str">
        <f>IF(AA90&lt;IF(AG90="EC",23,5.65),"Y","N")</f>
        <v>Y</v>
      </c>
      <c r="X90" s="164">
        <f>VALUE(LEFT(AD90,4))-VALUE(LEFT(AD89,4))</f>
        <v>1</v>
      </c>
      <c r="Y90" s="69">
        <f>RIGHT(D90,LEN(D90)-4)/10000</f>
        <v>23.2988</v>
      </c>
      <c r="Z90" s="69">
        <f>RIGHT(H90,LEN(H90)-4)/10000</f>
        <v>14.489100000000001</v>
      </c>
      <c r="AA90" s="69">
        <f>ABS(Z90-Y90)</f>
        <v>8.8096999999999994</v>
      </c>
      <c r="AB90" s="66" t="e">
        <f>VLOOKUP(A90,Enforcements!$C$7:$K$21,8,0)</f>
        <v>#N/A</v>
      </c>
      <c r="AC90" s="62" t="e">
        <f>VLOOKUP(A90,Enforcements!$C$7:$E$21,3,0)</f>
        <v>#N/A</v>
      </c>
      <c r="AD90" s="63" t="str">
        <f>IF(LEN(A90)=6,"0"&amp;A90,A90)</f>
        <v>0174-04</v>
      </c>
      <c r="AE90" s="9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s3://rtdc.mdm.uploadarchive.raw/RTDC4008/ "%USERPROFILE%\AppData\Local\Temp\OnboardLogs"\RTDC4008\2016-10-04 --exclude "*" --recursive --include "*20161004*" &amp; "%USERPROFILE%\Documents\GitHub\mrs-test-scripts\Headless Mode &amp; Sideloading\WalkAndUnGZ.bat" "%USERPROFILE%\AppData\Local\Temp\OnboardLogs"\RTDC4008\2016-10-04 &amp; aws s3 cp s3://rtdc.mdm.uploadarchive.raw/RTDC4008/ "%USERPROFILE%\AppData\Local\Temp\OnboardLogs"\RTDC4008\2016-10-05 --exclude "*" --recursive --include "*20161005*" &amp; "%USERPROFILE%\Documents\GitHub\mrs-test-scripts\Headless Mode &amp; Sideloading\WalkAndUnGZ.bat" "%USERPROFILE%\AppData\Local\Temp\OnboardLogs"\RTDC4008\2016-10-05</v>
      </c>
      <c r="AF90" s="92" t="str">
        <f>astrogrep_path&amp;" /spath="&amp;search_path&amp;" /stypes=""app*"&amp;B90&amp;"*"&amp;TEXT(I90-utc_offset/24,"YYYYMMDD")&amp;"*"" /stext="" "&amp;TEXT(I90-utc_offset/24,"HH")&amp;search_regexp&amp;""" /e /r /s"</f>
        <v>"C:\Program Files (x86)\AstroGrep\AstroGrep.exe" /spath="%USERPROFILE%\AppData\Local\Temp\OnboardLogs" /stypes="app*4008*20161004*" /stext=" 20:.+((SYSTEM_STATE.+slice.+state.+changed )|(ment ac)|(system.+state.+changed )|(\[timeout)|(PRM\|1\|D)|(kpr)|(kdp)|(\|lc)|(penalty))" /e /r /s</v>
      </c>
      <c r="AG90" s="1" t="str">
        <f>IFERROR(IF(VALUE(LEFT(AD90,2))&lt;=2,"EC",IF(OR(VALUE(LEFT(AD90,2))=8,VALUE(LEFT(AD90,2))=18),"NW","Other")),"Other")</f>
        <v>EC</v>
      </c>
      <c r="AH90" s="96" t="str">
        <f t="shared" si="4"/>
        <v>"%USERPROFILE%\Documents\GitHub\eaglep3\Utilities\RefineRTDCRunTimes.py" --tripid 174-04 --locoid 4008 --swversion DE.1.0.7.0 --startMP 204:232988 --initTime 2016-10-04T13:40:05 --startdatetime 2016-10-04T13:41:47 --delay 1 --endMP 204:144891 --enddatetime 2016-10-04T14:00:19 --enforcementcount 0 &gt;&gt;C:\Users\stu\Documents\GitHub\eaglep3-reporting\EC\2016-10-04-refined-times.txt</v>
      </c>
      <c r="AI90" s="130" t="str">
        <f t="shared" si="5"/>
        <v>echo {"issue":{"subject":"Long Wi-MAX outage with RTDC 4008","project_id":79,"tracker_id":40,"status_id":1,"priority_id":2,"assigned_to_id":23,"start_date":"2016-10-04","description":"http://stevetu21.github.io/eaglep3/load_kml.html?kml=http://rtdc.gmaps-snips.s3.amazonaws.com/3358a5c1-8535-42c6-a3fe-1b6cef009ce8.kml","custom_fields":[{"id":1,"name":"Subdivision","value":"EC"},{"id":4,"name":"Milepost","value":"14.4891"},{"id":17,"name":"Train ID","value":"174-04"},{"id":16,"name":"Locomotive ID","value":"4008"},{"id":130,"name":"Impact","value":"Unexpected Cut-Out or Disengaged"},{"id":150,"name":"Time of Event (Mountain Time)","value":"14:00:19"},{"id":151,"name":"Denver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90" s="187" t="s">
        <v>791</v>
      </c>
      <c r="AK90" s="55" t="s">
        <v>140</v>
      </c>
      <c r="AL90" s="55" t="s">
        <v>147</v>
      </c>
    </row>
    <row r="91" spans="1:38" s="1" customFormat="1" x14ac:dyDescent="0.25">
      <c r="A91" s="39" t="s">
        <v>480</v>
      </c>
      <c r="B91" s="7">
        <v>4042</v>
      </c>
      <c r="C91" s="24" t="s">
        <v>106</v>
      </c>
      <c r="D91" s="24" t="s">
        <v>284</v>
      </c>
      <c r="E91" s="15">
        <v>42647.537303240744</v>
      </c>
      <c r="F91" s="15">
        <v>42647.542071759257</v>
      </c>
      <c r="G91" s="7">
        <v>1</v>
      </c>
      <c r="H91" s="15" t="s">
        <v>211</v>
      </c>
      <c r="I91" s="15">
        <v>42647.567893518521</v>
      </c>
      <c r="J91" s="7">
        <v>0</v>
      </c>
      <c r="K91" s="117" t="str">
        <f>IF(ISEVEN(B91),(B91-1)&amp;"/"&amp;B91,B91&amp;"/"&amp;(B91+1))</f>
        <v>4041/4042</v>
      </c>
      <c r="L91" s="24" t="str">
        <f>VLOOKUP(A91,'Trips&amp;Operators'!$C$1:$E$10000,3,FALSE)</f>
        <v>STEWART</v>
      </c>
      <c r="M91" s="6">
        <f>I91-F91</f>
        <v>2.5821759263635613E-2</v>
      </c>
      <c r="N91" s="7">
        <f>24*60*SUM($M91:$M91)</f>
        <v>37.183333339635283</v>
      </c>
      <c r="O91" s="7"/>
      <c r="P91" s="7"/>
      <c r="Q91" s="25"/>
      <c r="R91" s="25"/>
      <c r="S91" s="37">
        <f>SUM(U91:U91)/IF(AG91="EC",12,1)</f>
        <v>1</v>
      </c>
      <c r="T91" s="52" t="str">
        <f>IF(ISEVEN(LEFT(AD91,4)),"Southbound","NorthBound")</f>
        <v>NorthBound</v>
      </c>
      <c r="U91" s="159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02" t="str">
        <f>"https://search-rtdc-monitor-bjffxe2xuh6vdkpspy63sjmuny.us-east-1.es.amazonaws.com/_plugin/kibana/#/discover/Steve-Slow-Train-Analysis-(2080s-and-2083s)?_g=(refreshInterval:(display:Off,section:0,value:0),time:(from:'"&amp;TEXT(E91-1/24,"yyyy-MM-DD hh:mm:ss")&amp;"-0600',mode:absolute,to:'"&amp;TEXT(I91+1/24,"yyyy-MM-DD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91&amp;"%22')),sort:!(Time,asc))"</f>
        <v>https://search-rtdc-monitor-bjffxe2xuh6vdkpspy63sjmuny.us-east-1.es.amazonaws.com/_plugin/kibana/#/discover/Steve-Slow-Train-Analysis-(2080s-and-2083s)?_g=(refreshInterval:(display:Off,section:0,value:0),time:(from:'2016-10-04 11:53:43-0600',mode:absolute,to:'2016-10-04 14:37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1" s="54" t="str">
        <f>IF(AA91&lt;IF(AG91="EC",23,5.65),"Y","N")</f>
        <v>N</v>
      </c>
      <c r="X91" s="164">
        <f>VALUE(LEFT(AD91,4))-VALUE(LEFT(AD90,4))</f>
        <v>1</v>
      </c>
      <c r="Y91" s="69">
        <f>RIGHT(D91,LEN(D91)-4)/10000</f>
        <v>4.7500000000000001E-2</v>
      </c>
      <c r="Z91" s="69">
        <f>RIGHT(H91,LEN(H91)-4)/10000</f>
        <v>23.331399999999999</v>
      </c>
      <c r="AA91" s="69">
        <f>ABS(Z91-Y91)</f>
        <v>23.283899999999999</v>
      </c>
      <c r="AB91" s="66" t="e">
        <f>VLOOKUP(A91,Enforcements!$C$7:$K$21,8,0)</f>
        <v>#N/A</v>
      </c>
      <c r="AC91" s="62" t="e">
        <f>VLOOKUP(A91,Enforcements!$C$7:$E$21,3,0)</f>
        <v>#N/A</v>
      </c>
      <c r="AD91" s="63" t="str">
        <f>IF(LEN(A91)=6,"0"&amp;A91,A91)</f>
        <v>0175-04</v>
      </c>
      <c r="AE91" s="9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s3://rtdc.mdm.uploadarchive.raw/RTDC4042/ "%USERPROFILE%\AppData\Local\Temp\OnboardLogs"\RTDC4042\2016-10-04 --exclude "*" --recursive --include "*20161004*" &amp; "%USERPROFILE%\Documents\GitHub\mrs-test-scripts\Headless Mode &amp; Sideloading\WalkAndUnGZ.bat" "%USERPROFILE%\AppData\Local\Temp\OnboardLogs"\RTDC4042\2016-10-04 &amp; aws s3 cp s3://rtdc.mdm.uploadarchive.raw/RTDC4042/ "%USERPROFILE%\AppData\Local\Temp\OnboardLogs"\RTDC4042\2016-10-05 --exclude "*" --recursive --include "*20161005*" &amp; "%USERPROFILE%\Documents\GitHub\mrs-test-scripts\Headless Mode &amp; Sideloading\WalkAndUnGZ.bat" "%USERPROFILE%\AppData\Local\Temp\OnboardLogs"\RTDC4042\2016-10-05</v>
      </c>
      <c r="AF91" s="92" t="str">
        <f>astrogrep_path&amp;" /spath="&amp;search_path&amp;" /stypes=""app*"&amp;B91&amp;"*"&amp;TEXT(I91-utc_offset/24,"YYYYMMDD")&amp;"*"" /stext="" "&amp;TEXT(I91-utc_offset/24,"HH")&amp;search_regexp&amp;""" /e /r /s"</f>
        <v>"C:\Program Files (x86)\AstroGrep\AstroGrep.exe" /spath="%USERPROFILE%\AppData\Local\Temp\OnboardLogs" /stypes="app*4042*20161004*" /stext=" 19:.+((SYSTEM_STATE.+slice.+state.+changed )|(ment ac)|(system.+state.+changed )|(\[timeout)|(PRM\|1\|D)|(kpr)|(kdp)|(\|lc)|(penalty))" /e /r /s</v>
      </c>
      <c r="AG91" s="1" t="str">
        <f>IFERROR(IF(VALUE(LEFT(AD91,2))&lt;=2,"EC",IF(OR(VALUE(LEFT(AD91,2))=8,VALUE(LEFT(AD91,2))=18),"NW","Other")),"Other")</f>
        <v>EC</v>
      </c>
      <c r="AH91" s="96" t="str">
        <f t="shared" si="4"/>
        <v>"%USERPROFILE%\Documents\GitHub\eaglep3\Utilities\RefineRTDCRunTimes.py" --tripid 175-04 --locoid 4042 --swversion DE.1.0.7.0 --startMP 204:475 --initTime 2016-10-04T12:53:43 --startdatetime 2016-10-04T13:00:35 --delay 1 --endMP 204:233314 --enddatetime 2016-10-04T13:37:46 --enforcementcount 0 &gt;&gt;C:\Users\stu\Documents\GitHub\eaglep3-reporting\EC\2016-10-04-refined-times.txt</v>
      </c>
      <c r="AI91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{"issue":{"subject":"","project_id":79,"tracker_id":40,"status_id":1,"priority_id":2,"assigned_to_id":23,"start_date":"2016-10-04","description":"","custom_fields":[{"id":1,"name":"Subdivision","value":"EC"},{"id":4,"name":"Milepost","value":"23.3314"},{"id":17,"name":"Train ID","value":"175-04"},{"id":16,"name":"Locomotive ID","value":"4042"},{"id":130,"name":"Impact","value":""},{"id":150,"name":"Time of Event (Mountain Time)","value":"13:37:46"},{"id":151,"name":"Denver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5"/>
      <c r="AK91" s="55"/>
      <c r="AL91" s="55"/>
    </row>
    <row r="92" spans="1:38" s="1" customFormat="1" x14ac:dyDescent="0.25">
      <c r="A92" s="39" t="s">
        <v>492</v>
      </c>
      <c r="B92" s="7">
        <v>4041</v>
      </c>
      <c r="C92" s="24" t="s">
        <v>106</v>
      </c>
      <c r="D92" s="24" t="s">
        <v>613</v>
      </c>
      <c r="E92" s="15">
        <v>42647.576261574075</v>
      </c>
      <c r="F92" s="15">
        <v>42647.58084490741</v>
      </c>
      <c r="G92" s="7">
        <v>1</v>
      </c>
      <c r="H92" s="15" t="s">
        <v>192</v>
      </c>
      <c r="I92" s="15">
        <v>42647.607372685183</v>
      </c>
      <c r="J92" s="7">
        <v>0</v>
      </c>
      <c r="K92" s="117" t="str">
        <f>IF(ISEVEN(B92),(B92-1)&amp;"/"&amp;B92,B92&amp;"/"&amp;(B92+1))</f>
        <v>4041/4042</v>
      </c>
      <c r="L92" s="24" t="str">
        <f>VLOOKUP(A92,'Trips&amp;Operators'!$C$1:$E$10000,3,FALSE)</f>
        <v>STEWART</v>
      </c>
      <c r="M92" s="6">
        <f>I92-F92</f>
        <v>2.6527777772571426E-2</v>
      </c>
      <c r="N92" s="7">
        <f>24*60*SUM($M92:$M92)</f>
        <v>38.199999992502853</v>
      </c>
      <c r="O92" s="7"/>
      <c r="P92" s="7"/>
      <c r="Q92" s="25"/>
      <c r="R92" s="25"/>
      <c r="S92" s="37">
        <f>SUM(U92:U92)/IF(AG92="EC",12,1)</f>
        <v>1</v>
      </c>
      <c r="T92" s="52" t="str">
        <f>IF(ISEVEN(LEFT(AD92,4)),"Southbound","NorthBound")</f>
        <v>Southbound</v>
      </c>
      <c r="U92" s="159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02" t="str">
        <f>"https://search-rtdc-monitor-bjffxe2xuh6vdkpspy63sjmuny.us-east-1.es.amazonaws.com/_plugin/kibana/#/discover/Steve-Slow-Train-Analysis-(2080s-and-2083s)?_g=(refreshInterval:(display:Off,section:0,value:0),time:(from:'"&amp;TEXT(E92-1/24,"yyyy-MM-DD hh:mm:ss")&amp;"-0600',mode:absolute,to:'"&amp;TEXT(I92+1/24,"yyyy-MM-DD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92&amp;"%22')),sort:!(Time,asc))"</f>
        <v>https://search-rtdc-monitor-bjffxe2xuh6vdkpspy63sjmuny.us-east-1.es.amazonaws.com/_plugin/kibana/#/discover/Steve-Slow-Train-Analysis-(2080s-and-2083s)?_g=(refreshInterval:(display:Off,section:0,value:0),time:(from:'2016-10-04 12:49:49-0600',mode:absolute,to:'2016-10-04 15:34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92" s="54" t="str">
        <f>IF(AA92&lt;IF(AG92="EC",23,5.65),"Y","N")</f>
        <v>N</v>
      </c>
      <c r="X92" s="164">
        <f>VALUE(LEFT(AD92,4))-VALUE(LEFT(AD91,4))</f>
        <v>1</v>
      </c>
      <c r="Y92" s="69">
        <f>RIGHT(D92,LEN(D92)-4)/10000</f>
        <v>23.3002</v>
      </c>
      <c r="Z92" s="69">
        <f>RIGHT(H92,LEN(H92)-4)/10000</f>
        <v>1.6E-2</v>
      </c>
      <c r="AA92" s="69">
        <f>ABS(Z92-Y92)</f>
        <v>23.284200000000002</v>
      </c>
      <c r="AB92" s="66" t="e">
        <f>VLOOKUP(A92,Enforcements!$C$7:$K$21,8,0)</f>
        <v>#N/A</v>
      </c>
      <c r="AC92" s="62" t="e">
        <f>VLOOKUP(A92,Enforcements!$C$7:$E$21,3,0)</f>
        <v>#N/A</v>
      </c>
      <c r="AD92" s="63" t="str">
        <f>IF(LEN(A92)=6,"0"&amp;A92,A92)</f>
        <v>0176-04</v>
      </c>
      <c r="AE92" s="9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s3://rtdc.mdm.uploadarchive.raw/RTDC4041/ "%USERPROFILE%\AppData\Local\Temp\OnboardLogs"\RTDC4041\2016-10-04 --exclude "*" --recursive --include "*20161004*" &amp; "%USERPROFILE%\Documents\GitHub\mrs-test-scripts\Headless Mode &amp; Sideloading\WalkAndUnGZ.bat" "%USERPROFILE%\AppData\Local\Temp\OnboardLogs"\RTDC4041\2016-10-04 &amp; aws s3 cp s3://rtdc.mdm.uploadarchive.raw/RTDC4041/ "%USERPROFILE%\AppData\Local\Temp\OnboardLogs"\RTDC4041\2016-10-05 --exclude "*" --recursive --include "*20161005*" &amp; "%USERPROFILE%\Documents\GitHub\mrs-test-scripts\Headless Mode &amp; Sideloading\WalkAndUnGZ.bat" "%USERPROFILE%\AppData\Local\Temp\OnboardLogs"\RTDC4041\2016-10-05</v>
      </c>
      <c r="AF92" s="92" t="str">
        <f>astrogrep_path&amp;" /spath="&amp;search_path&amp;" /stypes=""app*"&amp;B92&amp;"*"&amp;TEXT(I92-utc_offset/24,"YYYYMMDD")&amp;"*"" /stext="" "&amp;TEXT(I92-utc_offset/24,"HH")&amp;search_regexp&amp;""" /e /r /s"</f>
        <v>"C:\Program Files (x86)\AstroGrep\AstroGrep.exe" /spath="%USERPROFILE%\AppData\Local\Temp\OnboardLogs" /stypes="app*4041*20161004*" /stext=" 20:.+((SYSTEM_STATE.+slice.+state.+changed )|(ment ac)|(system.+state.+changed )|(\[timeout)|(PRM\|1\|D)|(kpr)|(kdp)|(\|lc)|(penalty))" /e /r /s</v>
      </c>
      <c r="AG92" s="1" t="str">
        <f>IFERROR(IF(VALUE(LEFT(AD92,2))&lt;=2,"EC",IF(OR(VALUE(LEFT(AD92,2))=8,VALUE(LEFT(AD92,2))=18),"NW","Other")),"Other")</f>
        <v>EC</v>
      </c>
      <c r="AH92" s="96" t="str">
        <f t="shared" si="4"/>
        <v>"%USERPROFILE%\Documents\GitHub\eaglep3\Utilities\RefineRTDCRunTimes.py" --tripid 176-04 --locoid 4041 --swversion DE.1.0.7.0 --startMP 204:233002 --initTime 2016-10-04T13:49:49 --startdatetime 2016-10-04T13:56:25 --delay 1 --endMP 204:160 --enddatetime 2016-10-04T14:34:37 --enforcementcount 0 &gt;&gt;C:\Users\stu\Documents\GitHub\eaglep3-reporting\EC\2016-10-04-refined-times.txt</v>
      </c>
      <c r="AI92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{"issue":{"subject":"","project_id":79,"tracker_id":40,"status_id":1,"priority_id":2,"assigned_to_id":23,"start_date":"2016-10-04","description":"","custom_fields":[{"id":1,"name":"Subdivision","value":"EC"},{"id":4,"name":"Milepost","value":"0.016"},{"id":17,"name":"Train ID","value":"176-04"},{"id":16,"name":"Locomotive ID","value":"4041"},{"id":130,"name":"Impact","value":""},{"id":150,"name":"Time of Event (Mountain Time)","value":"14:34:37"},{"id":151,"name":"Denver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5"/>
      <c r="AK92" s="55"/>
      <c r="AL92" s="55"/>
    </row>
    <row r="93" spans="1:38" s="1" customFormat="1" x14ac:dyDescent="0.25">
      <c r="A93" s="39" t="s">
        <v>484</v>
      </c>
      <c r="B93" s="7">
        <v>4029</v>
      </c>
      <c r="C93" s="24" t="s">
        <v>106</v>
      </c>
      <c r="D93" s="24" t="s">
        <v>201</v>
      </c>
      <c r="E93" s="15">
        <v>42647.549953703703</v>
      </c>
      <c r="F93" s="15">
        <v>42647.552256944444</v>
      </c>
      <c r="G93" s="7">
        <v>1</v>
      </c>
      <c r="H93" s="15" t="s">
        <v>315</v>
      </c>
      <c r="I93" s="15">
        <v>42647.576331018521</v>
      </c>
      <c r="J93" s="7">
        <v>0</v>
      </c>
      <c r="K93" s="117" t="str">
        <f>IF(ISEVEN(B93),(B93-1)&amp;"/"&amp;B93,B93&amp;"/"&amp;(B93+1))</f>
        <v>4029/4030</v>
      </c>
      <c r="L93" s="24" t="str">
        <f>VLOOKUP(A93,'Trips&amp;Operators'!$C$1:$E$10000,3,FALSE)</f>
        <v>HELVIE</v>
      </c>
      <c r="M93" s="6">
        <f>I93-F93</f>
        <v>2.4074074077361729E-2</v>
      </c>
      <c r="N93" s="7">
        <f>24*60*SUM($M93:$M93)</f>
        <v>34.66666667140089</v>
      </c>
      <c r="O93" s="7"/>
      <c r="P93" s="7"/>
      <c r="Q93" s="25"/>
      <c r="R93" s="25"/>
      <c r="S93" s="37">
        <f>SUM(U93:U93)/IF(AG93="EC",12,1)</f>
        <v>1</v>
      </c>
      <c r="T93" s="52" t="str">
        <f>IF(ISEVEN(LEFT(AD93,4)),"Southbound","NorthBound")</f>
        <v>NorthBound</v>
      </c>
      <c r="U93" s="159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02" t="str">
        <f>"https://search-rtdc-monitor-bjffxe2xuh6vdkpspy63sjmuny.us-east-1.es.amazonaws.com/_plugin/kibana/#/discover/Steve-Slow-Train-Analysis-(2080s-and-2083s)?_g=(refreshInterval:(display:Off,section:0,value:0),time:(from:'"&amp;TEXT(E93-1/24,"yyyy-MM-DD hh:mm:ss")&amp;"-0600',mode:absolute,to:'"&amp;TEXT(I93+1/24,"yyyy-MM-DD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93&amp;"%22')),sort:!(Time,asc))"</f>
        <v>https://search-rtdc-monitor-bjffxe2xuh6vdkpspy63sjmuny.us-east-1.es.amazonaws.com/_plugin/kibana/#/discover/Steve-Slow-Train-Analysis-(2080s-and-2083s)?_g=(refreshInterval:(display:Off,section:0,value:0),time:(from:'2016-10-04 12:11:56-0600',mode:absolute,to:'2016-10-04 14:49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3" s="54" t="str">
        <f>IF(AA93&lt;IF(AG93="EC",23,5.65),"Y","N")</f>
        <v>N</v>
      </c>
      <c r="X93" s="164">
        <f>VALUE(LEFT(AD93,4))-VALUE(LEFT(AD92,4))</f>
        <v>1</v>
      </c>
      <c r="Y93" s="69">
        <f>RIGHT(D93,LEN(D93)-4)/10000</f>
        <v>4.6600000000000003E-2</v>
      </c>
      <c r="Z93" s="69">
        <f>RIGHT(H93,LEN(H93)-4)/10000</f>
        <v>23.329499999999999</v>
      </c>
      <c r="AA93" s="69">
        <f>ABS(Z93-Y93)</f>
        <v>23.282899999999998</v>
      </c>
      <c r="AB93" s="66" t="e">
        <f>VLOOKUP(A93,Enforcements!$C$7:$K$21,8,0)</f>
        <v>#N/A</v>
      </c>
      <c r="AC93" s="62" t="e">
        <f>VLOOKUP(A93,Enforcements!$C$7:$E$21,3,0)</f>
        <v>#N/A</v>
      </c>
      <c r="AD93" s="63" t="str">
        <f>IF(LEN(A93)=6,"0"&amp;A93,A93)</f>
        <v>0177-04</v>
      </c>
      <c r="AE93" s="9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s3://rtdc.mdm.uploadarchive.raw/RTDC4029/ "%USERPROFILE%\AppData\Local\Temp\OnboardLogs"\RTDC4029\2016-10-04 --exclude "*" --recursive --include "*20161004*" &amp; "%USERPROFILE%\Documents\GitHub\mrs-test-scripts\Headless Mode &amp; Sideloading\WalkAndUnGZ.bat" "%USERPROFILE%\AppData\Local\Temp\OnboardLogs"\RTDC4029\2016-10-04 &amp; aws s3 cp s3://rtdc.mdm.uploadarchive.raw/RTDC4029/ "%USERPROFILE%\AppData\Local\Temp\OnboardLogs"\RTDC4029\2016-10-05 --exclude "*" --recursive --include "*20161005*" &amp; "%USERPROFILE%\Documents\GitHub\mrs-test-scripts\Headless Mode &amp; Sideloading\WalkAndUnGZ.bat" "%USERPROFILE%\AppData\Local\Temp\OnboardLogs"\RTDC4029\2016-10-05</v>
      </c>
      <c r="AF93" s="92" t="str">
        <f>astrogrep_path&amp;" /spath="&amp;search_path&amp;" /stypes=""app*"&amp;B93&amp;"*"&amp;TEXT(I93-utc_offset/24,"YYYYMMDD")&amp;"*"" /stext="" "&amp;TEXT(I93-utc_offset/24,"HH")&amp;search_regexp&amp;""" /e /r /s"</f>
        <v>"C:\Program Files (x86)\AstroGrep\AstroGrep.exe" /spath="%USERPROFILE%\AppData\Local\Temp\OnboardLogs" /stypes="app*4029*20161004*" /stext=" 19:.+((SYSTEM_STATE.+slice.+state.+changed )|(ment ac)|(system.+state.+changed )|(\[timeout)|(PRM\|1\|D)|(kpr)|(kdp)|(\|lc)|(penalty))" /e /r /s</v>
      </c>
      <c r="AG93" s="1" t="str">
        <f>IFERROR(IF(VALUE(LEFT(AD93,2))&lt;=2,"EC",IF(OR(VALUE(LEFT(AD93,2))=8,VALUE(LEFT(AD93,2))=18),"NW","Other")),"Other")</f>
        <v>EC</v>
      </c>
      <c r="AH93" s="96" t="str">
        <f t="shared" si="4"/>
        <v>"%USERPROFILE%\Documents\GitHub\eaglep3\Utilities\RefineRTDCRunTimes.py" --tripid 177-04 --locoid 4029 --swversion DE.1.0.7.0 --startMP 204:466 --initTime 2016-10-04T13:11:56 --startdatetime 2016-10-04T13:15:15 --delay 1 --endMP 204:233295 --enddatetime 2016-10-04T13:49:55 --enforcementcount 0 &gt;&gt;C:\Users\stu\Documents\GitHub\eaglep3-reporting\EC\2016-10-04-refined-times.txt</v>
      </c>
      <c r="AI93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{"issue":{"subject":"","project_id":79,"tracker_id":40,"status_id":1,"priority_id":2,"assigned_to_id":23,"start_date":"2016-10-04","description":"","custom_fields":[{"id":1,"name":"Subdivision","value":"EC"},{"id":4,"name":"Milepost","value":"23.3295"},{"id":17,"name":"Train ID","value":"177-04"},{"id":16,"name":"Locomotive ID","value":"4029"},{"id":130,"name":"Impact","value":""},{"id":150,"name":"Time of Event (Mountain Time)","value":"13:49:55"},{"id":151,"name":"Denver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5"/>
      <c r="AK93" s="55"/>
      <c r="AL93" s="55"/>
    </row>
    <row r="94" spans="1:38" s="23" customFormat="1" x14ac:dyDescent="0.25">
      <c r="A94" s="39" t="s">
        <v>494</v>
      </c>
      <c r="B94" s="7">
        <v>4030</v>
      </c>
      <c r="C94" s="24" t="s">
        <v>106</v>
      </c>
      <c r="D94" s="24" t="s">
        <v>246</v>
      </c>
      <c r="E94" s="15">
        <v>42647.587650462963</v>
      </c>
      <c r="F94" s="15">
        <v>42647.591157407405</v>
      </c>
      <c r="G94" s="7">
        <v>1</v>
      </c>
      <c r="H94" s="15" t="s">
        <v>287</v>
      </c>
      <c r="I94" s="15">
        <v>42647.617523148147</v>
      </c>
      <c r="J94" s="7">
        <v>0</v>
      </c>
      <c r="K94" s="117" t="str">
        <f>IF(ISEVEN(B94),(B94-1)&amp;"/"&amp;B94,B94&amp;"/"&amp;(B94+1))</f>
        <v>4029/4030</v>
      </c>
      <c r="L94" s="24" t="str">
        <f>VLOOKUP(A94,'Trips&amp;Operators'!$C$1:$E$10000,3,FALSE)</f>
        <v>HELVIE</v>
      </c>
      <c r="M94" s="6">
        <f>I94-F94</f>
        <v>2.6365740741312038E-2</v>
      </c>
      <c r="N94" s="7">
        <f>24*60*SUM($M94:$M94)</f>
        <v>37.966666667489335</v>
      </c>
      <c r="O94" s="7"/>
      <c r="P94" s="7"/>
      <c r="Q94" s="25"/>
      <c r="R94" s="25"/>
      <c r="S94" s="37">
        <f>SUM(U94:U94)/IF(AG94="EC",12,1)</f>
        <v>1</v>
      </c>
      <c r="T94" s="52" t="str">
        <f>IF(ISEVEN(LEFT(AD94,4)),"Southbound","NorthBound")</f>
        <v>Southbound</v>
      </c>
      <c r="U94" s="159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02" t="str">
        <f>"https://search-rtdc-monitor-bjffxe2xuh6vdkpspy63sjmuny.us-east-1.es.amazonaws.com/_plugin/kibana/#/discover/Steve-Slow-Train-Analysis-(2080s-and-2083s)?_g=(refreshInterval:(display:Off,section:0,value:0),time:(from:'"&amp;TEXT(E94-1/24,"yyyy-MM-DD hh:mm:ss")&amp;"-0600',mode:absolute,to:'"&amp;TEXT(I94+1/24,"yyyy-MM-DD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94&amp;"%22')),sort:!(Time,asc))"</f>
        <v>https://search-rtdc-monitor-bjffxe2xuh6vdkpspy63sjmuny.us-east-1.es.amazonaws.com/_plugin/kibana/#/discover/Steve-Slow-Train-Analysis-(2080s-and-2083s)?_g=(refreshInterval:(display:Off,section:0,value:0),time:(from:'2016-10-04 13:06:13-0600',mode:absolute,to:'2016-10-04 15:49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4" s="54" t="str">
        <f>IF(AA94&lt;IF(AG94="EC",23,5.65),"Y","N")</f>
        <v>N</v>
      </c>
      <c r="X94" s="164">
        <f>VALUE(LEFT(AD94,4))-VALUE(LEFT(AD93,4))</f>
        <v>1</v>
      </c>
      <c r="Y94" s="69">
        <f>RIGHT(D94,LEN(D94)-4)/10000</f>
        <v>23.298400000000001</v>
      </c>
      <c r="Z94" s="69">
        <f>RIGHT(H94,LEN(H94)-4)/10000</f>
        <v>1.6299999999999999E-2</v>
      </c>
      <c r="AA94" s="69">
        <f>ABS(Z94-Y94)</f>
        <v>23.2821</v>
      </c>
      <c r="AB94" s="66" t="e">
        <f>VLOOKUP(A94,Enforcements!$C$7:$K$21,8,0)</f>
        <v>#N/A</v>
      </c>
      <c r="AC94" s="62" t="e">
        <f>VLOOKUP(A94,Enforcements!$C$7:$E$21,3,0)</f>
        <v>#N/A</v>
      </c>
      <c r="AD94" s="63" t="str">
        <f>IF(LEN(A94)=6,"0"&amp;A94,A94)</f>
        <v>0178-04</v>
      </c>
      <c r="AE94" s="9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s3://rtdc.mdm.uploadarchive.raw/RTDC4030/ "%USERPROFILE%\AppData\Local\Temp\OnboardLogs"\RTDC4030\2016-10-04 --exclude "*" --recursive --include "*20161004*" &amp; "%USERPROFILE%\Documents\GitHub\mrs-test-scripts\Headless Mode &amp; Sideloading\WalkAndUnGZ.bat" "%USERPROFILE%\AppData\Local\Temp\OnboardLogs"\RTDC4030\2016-10-04 &amp; aws s3 cp s3://rtdc.mdm.uploadarchive.raw/RTDC4030/ "%USERPROFILE%\AppData\Local\Temp\OnboardLogs"\RTDC4030\2016-10-05 --exclude "*" --recursive --include "*20161005*" &amp; "%USERPROFILE%\Documents\GitHub\mrs-test-scripts\Headless Mode &amp; Sideloading\WalkAndUnGZ.bat" "%USERPROFILE%\AppData\Local\Temp\OnboardLogs"\RTDC4030\2016-10-05</v>
      </c>
      <c r="AF94" s="92" t="str">
        <f>astrogrep_path&amp;" /spath="&amp;search_path&amp;" /stypes=""app*"&amp;B94&amp;"*"&amp;TEXT(I94-utc_offset/24,"YYYYMMDD")&amp;"*"" /stext="" "&amp;TEXT(I94-utc_offset/24,"HH")&amp;search_regexp&amp;""" /e /r /s"</f>
        <v>"C:\Program Files (x86)\AstroGrep\AstroGrep.exe" /spath="%USERPROFILE%\AppData\Local\Temp\OnboardLogs" /stypes="app*4030*20161004*" /stext=" 20:.+((SYSTEM_STATE.+slice.+state.+changed )|(ment ac)|(system.+state.+changed )|(\[timeout)|(PRM\|1\|D)|(kpr)|(kdp)|(\|lc)|(penalty))" /e /r /s</v>
      </c>
      <c r="AG94" s="1" t="str">
        <f>IFERROR(IF(VALUE(LEFT(AD94,2))&lt;=2,"EC",IF(OR(VALUE(LEFT(AD94,2))=8,VALUE(LEFT(AD94,2))=18),"NW","Other")),"Other")</f>
        <v>EC</v>
      </c>
      <c r="AH94" s="96" t="str">
        <f t="shared" si="4"/>
        <v>"%USERPROFILE%\Documents\GitHub\eaglep3\Utilities\RefineRTDCRunTimes.py" --tripid 178-04 --locoid 4030 --swversion DE.1.0.7.0 --startMP 204:232984 --initTime 2016-10-04T14:06:13 --startdatetime 2016-10-04T14:11:16 --delay 1 --endMP 204:163 --enddatetime 2016-10-04T14:49:14 --enforcementcount 0 &gt;&gt;C:\Users\stu\Documents\GitHub\eaglep3-reporting\EC\2016-10-04-refined-times.txt</v>
      </c>
      <c r="AI94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{"issue":{"subject":"","project_id":79,"tracker_id":40,"status_id":1,"priority_id":2,"assigned_to_id":23,"start_date":"2016-10-04","description":"","custom_fields":[{"id":1,"name":"Subdivision","value":"EC"},{"id":4,"name":"Milepost","value":"0.0163"},{"id":17,"name":"Train ID","value":"178-04"},{"id":16,"name":"Locomotive ID","value":"4030"},{"id":130,"name":"Impact","value":""},{"id":150,"name":"Time of Event (Mountain Time)","value":"14:49:14"},{"id":151,"name":"Denver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5"/>
      <c r="AK94" s="55"/>
      <c r="AL94" s="55"/>
    </row>
    <row r="95" spans="1:38" s="23" customFormat="1" x14ac:dyDescent="0.25">
      <c r="A95" s="39" t="s">
        <v>487</v>
      </c>
      <c r="B95" s="7">
        <v>4025</v>
      </c>
      <c r="C95" s="24" t="s">
        <v>106</v>
      </c>
      <c r="D95" s="24" t="s">
        <v>202</v>
      </c>
      <c r="E95" s="15">
        <v>42647.558483796296</v>
      </c>
      <c r="F95" s="15">
        <v>42647.562754629631</v>
      </c>
      <c r="G95" s="7">
        <v>1</v>
      </c>
      <c r="H95" s="15" t="s">
        <v>198</v>
      </c>
      <c r="I95" s="15">
        <v>42647.587673611109</v>
      </c>
      <c r="J95" s="7">
        <v>0</v>
      </c>
      <c r="K95" s="117" t="str">
        <f>IF(ISEVEN(B95),(B95-1)&amp;"/"&amp;B95,B95&amp;"/"&amp;(B95+1))</f>
        <v>4025/4026</v>
      </c>
      <c r="L95" s="24" t="str">
        <f>VLOOKUP(A95,'Trips&amp;Operators'!$C$1:$E$10000,3,FALSE)</f>
        <v>BONDS</v>
      </c>
      <c r="M95" s="6">
        <f>I95-F95</f>
        <v>2.491898147854954E-2</v>
      </c>
      <c r="N95" s="7">
        <f>24*60*SUM($M95:$M95)</f>
        <v>35.883333329111338</v>
      </c>
      <c r="O95" s="7"/>
      <c r="P95" s="7"/>
      <c r="Q95" s="25"/>
      <c r="R95" s="25"/>
      <c r="S95" s="37">
        <f>SUM(U95:U95)/IF(AG95="EC",12,1)</f>
        <v>1</v>
      </c>
      <c r="T95" s="52" t="str">
        <f>IF(ISEVEN(LEFT(AD95,4)),"Southbound","NorthBound")</f>
        <v>NorthBound</v>
      </c>
      <c r="U95" s="159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02" t="str">
        <f>"https://search-rtdc-monitor-bjffxe2xuh6vdkpspy63sjmuny.us-east-1.es.amazonaws.com/_plugin/kibana/#/discover/Steve-Slow-Train-Analysis-(2080s-and-2083s)?_g=(refreshInterval:(display:Off,section:0,value:0),time:(from:'"&amp;TEXT(E95-1/24,"yyyy-MM-DD hh:mm:ss")&amp;"-0600',mode:absolute,to:'"&amp;TEXT(I95+1/24,"yyyy-MM-DD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95&amp;"%22')),sort:!(Time,asc))"</f>
        <v>https://search-rtdc-monitor-bjffxe2xuh6vdkpspy63sjmuny.us-east-1.es.amazonaws.com/_plugin/kibana/#/discover/Steve-Slow-Train-Analysis-(2080s-and-2083s)?_g=(refreshInterval:(display:Off,section:0,value:0),time:(from:'2016-10-04 12:24:13-0600',mode:absolute,to:'2016-10-04 15:06:15-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5" s="54" t="str">
        <f>IF(AA95&lt;IF(AG95="EC",23,5.65),"Y","N")</f>
        <v>N</v>
      </c>
      <c r="X95" s="164">
        <f>VALUE(LEFT(AD95,4))-VALUE(LEFT(AD94,4))</f>
        <v>1</v>
      </c>
      <c r="Y95" s="69">
        <f>RIGHT(D95,LEN(D95)-4)/10000</f>
        <v>4.5100000000000001E-2</v>
      </c>
      <c r="Z95" s="69">
        <f>RIGHT(H95,LEN(H95)-4)/10000</f>
        <v>23.3291</v>
      </c>
      <c r="AA95" s="69">
        <f>ABS(Z95-Y95)</f>
        <v>23.283999999999999</v>
      </c>
      <c r="AB95" s="66" t="e">
        <f>VLOOKUP(A95,Enforcements!$C$7:$K$21,8,0)</f>
        <v>#N/A</v>
      </c>
      <c r="AC95" s="62" t="e">
        <f>VLOOKUP(A95,Enforcements!$C$7:$E$21,3,0)</f>
        <v>#N/A</v>
      </c>
      <c r="AD95" s="63" t="str">
        <f>IF(LEN(A95)=6,"0"&amp;A95,A95)</f>
        <v>0179-04</v>
      </c>
      <c r="AE95" s="9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s3://rtdc.mdm.uploadarchive.raw/RTDC4025/ "%USERPROFILE%\AppData\Local\Temp\OnboardLogs"\RTDC4025\2016-10-04 --exclude "*" --recursive --include "*20161004*" &amp; "%USERPROFILE%\Documents\GitHub\mrs-test-scripts\Headless Mode &amp; Sideloading\WalkAndUnGZ.bat" "%USERPROFILE%\AppData\Local\Temp\OnboardLogs"\RTDC4025\2016-10-04 &amp; aws s3 cp s3://rtdc.mdm.uploadarchive.raw/RTDC4025/ "%USERPROFILE%\AppData\Local\Temp\OnboardLogs"\RTDC4025\2016-10-05 --exclude "*" --recursive --include "*20161005*" &amp; "%USERPROFILE%\Documents\GitHub\mrs-test-scripts\Headless Mode &amp; Sideloading\WalkAndUnGZ.bat" "%USERPROFILE%\AppData\Local\Temp\OnboardLogs"\RTDC4025\2016-10-05</v>
      </c>
      <c r="AF95" s="92" t="str">
        <f>astrogrep_path&amp;" /spath="&amp;search_path&amp;" /stypes=""app*"&amp;B95&amp;"*"&amp;TEXT(I95-utc_offset/24,"YYYYMMDD")&amp;"*"" /stext="" "&amp;TEXT(I95-utc_offset/24,"HH")&amp;search_regexp&amp;""" /e /r /s"</f>
        <v>"C:\Program Files (x86)\AstroGrep\AstroGrep.exe" /spath="%USERPROFILE%\AppData\Local\Temp\OnboardLogs" /stypes="app*4025*20161004*" /stext=" 20:.+((SYSTEM_STATE.+slice.+state.+changed )|(ment ac)|(system.+state.+changed )|(\[timeout)|(PRM\|1\|D)|(kpr)|(kdp)|(\|lc)|(penalty))" /e /r /s</v>
      </c>
      <c r="AG95" s="1" t="str">
        <f>IFERROR(IF(VALUE(LEFT(AD95,2))&lt;=2,"EC",IF(OR(VALUE(LEFT(AD95,2))=8,VALUE(LEFT(AD95,2))=18),"NW","Other")),"Other")</f>
        <v>EC</v>
      </c>
      <c r="AH95" s="96" t="str">
        <f t="shared" si="4"/>
        <v>"%USERPROFILE%\Documents\GitHub\eaglep3\Utilities\RefineRTDCRunTimes.py" --tripid 179-04 --locoid 4025 --swversion DE.1.0.7.0 --startMP 204:451 --initTime 2016-10-04T13:24:13 --startdatetime 2016-10-04T13:30:22 --delay 1 --endMP 204:233291 --enddatetime 2016-10-04T14:06:15 --enforcementcount 0 &gt;&gt;C:\Users\stu\Documents\GitHub\eaglep3-reporting\EC\2016-10-04-refined-times.txt</v>
      </c>
      <c r="AI95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{"issue":{"subject":"","project_id":79,"tracker_id":40,"status_id":1,"priority_id":2,"assigned_to_id":23,"start_date":"2016-10-04","description":"","custom_fields":[{"id":1,"name":"Subdivision","value":"EC"},{"id":4,"name":"Milepost","value":"23.3291"},{"id":17,"name":"Train ID","value":"179-04"},{"id":16,"name":"Locomotive ID","value":"4025"},{"id":130,"name":"Impact","value":""},{"id":150,"name":"Time of Event (Mountain Time)","value":"14:06:15"},{"id":151,"name":"Denver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5"/>
      <c r="AK95" s="55"/>
      <c r="AL95" s="55"/>
    </row>
    <row r="96" spans="1:38" x14ac:dyDescent="0.25">
      <c r="A96" s="39" t="s">
        <v>497</v>
      </c>
      <c r="B96" s="7">
        <v>4026</v>
      </c>
      <c r="C96" s="24" t="s">
        <v>106</v>
      </c>
      <c r="D96" s="24" t="s">
        <v>629</v>
      </c>
      <c r="E96" s="15">
        <v>42647.591944444444</v>
      </c>
      <c r="F96" s="15">
        <v>42647.601585648146</v>
      </c>
      <c r="G96" s="7">
        <v>1</v>
      </c>
      <c r="H96" s="15" t="s">
        <v>197</v>
      </c>
      <c r="I96" s="15">
        <v>42647.629363425927</v>
      </c>
      <c r="J96" s="7">
        <v>0</v>
      </c>
      <c r="K96" s="117" t="str">
        <f>IF(ISEVEN(B96),(B96-1)&amp;"/"&amp;B96,B96&amp;"/"&amp;(B96+1))</f>
        <v>4025/4026</v>
      </c>
      <c r="L96" s="24" t="str">
        <f>VLOOKUP(A96,'Trips&amp;Operators'!$C$1:$E$10000,3,FALSE)</f>
        <v>BONDS</v>
      </c>
      <c r="M96" s="6">
        <f>I96-F96</f>
        <v>2.7777777781011537E-2</v>
      </c>
      <c r="N96" s="7">
        <f>24*60*SUM($M96:$M96)</f>
        <v>40.000000004656613</v>
      </c>
      <c r="O96" s="7"/>
      <c r="P96" s="7"/>
      <c r="Q96" s="25"/>
      <c r="R96" s="25"/>
      <c r="S96" s="37">
        <f>SUM(U96:U96)/IF(AG96="EC",12,1)</f>
        <v>1</v>
      </c>
      <c r="T96" s="52" t="str">
        <f>IF(ISEVEN(LEFT(AD96,4)),"Southbound","NorthBound")</f>
        <v>Southbound</v>
      </c>
      <c r="U96" s="159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02" t="str">
        <f>"https://search-rtdc-monitor-bjffxe2xuh6vdkpspy63sjmuny.us-east-1.es.amazonaws.com/_plugin/kibana/#/discover/Steve-Slow-Train-Analysis-(2080s-and-2083s)?_g=(refreshInterval:(display:Off,section:0,value:0),time:(from:'"&amp;TEXT(E96-1/24,"yyyy-MM-DD hh:mm:ss")&amp;"-0600',mode:absolute,to:'"&amp;TEXT(I96+1/24,"yyyy-MM-DD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96&amp;"%22')),sort:!(Time,asc))"</f>
        <v>https://search-rtdc-monitor-bjffxe2xuh6vdkpspy63sjmuny.us-east-1.es.amazonaws.com/_plugin/kibana/#/discover/Steve-Slow-Train-Analysis-(2080s-and-2083s)?_g=(refreshInterval:(display:Off,section:0,value:0),time:(from:'2016-10-04 13:12:24-0600',mode:absolute,to:'2016-10-04 16:06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6" s="54" t="str">
        <f>IF(AA96&lt;IF(AG96="EC",23,5.65),"Y","N")</f>
        <v>N</v>
      </c>
      <c r="X96" s="164">
        <f>VALUE(LEFT(AD96,4))-VALUE(LEFT(AD95,4))</f>
        <v>1</v>
      </c>
      <c r="Y96" s="69">
        <f>RIGHT(D96,LEN(D96)-4)/10000</f>
        <v>23.299299999999999</v>
      </c>
      <c r="Z96" s="69">
        <f>RIGHT(H96,LEN(H96)-4)/10000</f>
        <v>1.4999999999999999E-2</v>
      </c>
      <c r="AA96" s="69">
        <f>ABS(Z96-Y96)</f>
        <v>23.284299999999998</v>
      </c>
      <c r="AB96" s="66" t="e">
        <f>VLOOKUP(A96,Enforcements!$C$7:$K$21,8,0)</f>
        <v>#N/A</v>
      </c>
      <c r="AC96" s="62" t="e">
        <f>VLOOKUP(A96,Enforcements!$C$7:$E$21,3,0)</f>
        <v>#N/A</v>
      </c>
      <c r="AD96" s="63" t="str">
        <f>IF(LEN(A96)=6,"0"&amp;A96,A96)</f>
        <v>0180-04</v>
      </c>
      <c r="AE96" s="9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s3://rtdc.mdm.uploadarchive.raw/RTDC4026/ "%USERPROFILE%\AppData\Local\Temp\OnboardLogs"\RTDC4026\2016-10-04 --exclude "*" --recursive --include "*20161004*" &amp; "%USERPROFILE%\Documents\GitHub\mrs-test-scripts\Headless Mode &amp; Sideloading\WalkAndUnGZ.bat" "%USERPROFILE%\AppData\Local\Temp\OnboardLogs"\RTDC4026\2016-10-04 &amp; aws s3 cp s3://rtdc.mdm.uploadarchive.raw/RTDC4026/ "%USERPROFILE%\AppData\Local\Temp\OnboardLogs"\RTDC4026\2016-10-05 --exclude "*" --recursive --include "*20161005*" &amp; "%USERPROFILE%\Documents\GitHub\mrs-test-scripts\Headless Mode &amp; Sideloading\WalkAndUnGZ.bat" "%USERPROFILE%\AppData\Local\Temp\OnboardLogs"\RTDC4026\2016-10-05</v>
      </c>
      <c r="AF96" s="92" t="str">
        <f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/stypes="app*4026*20161004*" /stext=" 21:.+((SYSTEM_STATE.+slice.+state.+changed )|(ment ac)|(system.+state.+changed )|(\[timeout)|(PRM\|1\|D)|(kpr)|(kdp)|(\|lc)|(penalty))" /e /r /s</v>
      </c>
      <c r="AG96" s="1" t="str">
        <f>IFERROR(IF(VALUE(LEFT(AD96,2))&lt;=2,"EC",IF(OR(VALUE(LEFT(AD96,2))=8,VALUE(LEFT(AD96,2))=18),"NW","Other")),"Other")</f>
        <v>EC</v>
      </c>
      <c r="AH96" s="96" t="str">
        <f t="shared" si="4"/>
        <v>"%USERPROFILE%\Documents\GitHub\eaglep3\Utilities\RefineRTDCRunTimes.py" --tripid 180-04 --locoid 4026 --swversion DE.1.0.7.0 --startMP 204:232993 --initTime 2016-10-04T14:12:24 --startdatetime 2016-10-04T14:26:17 --delay 1 --endMP 204:150 --enddatetime 2016-10-04T15:06:17 --enforcementcount 0 &gt;&gt;C:\Users\stu\Documents\GitHub\eaglep3-reporting\EC\2016-10-04-refined-times.txt</v>
      </c>
      <c r="AI96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{"issue":{"subject":"","project_id":79,"tracker_id":40,"status_id":1,"priority_id":2,"assigned_to_id":23,"start_date":"2016-10-04","description":"","custom_fields":[{"id":1,"name":"Subdivision","value":"EC"},{"id":4,"name":"Milepost","value":"0.015"},{"id":17,"name":"Train ID","value":"180-04"},{"id":16,"name":"Locomotive ID","value":"4026"},{"id":130,"name":"Impact","value":""},{"id":150,"name":"Time of Event (Mountain Time)","value":"15:06:17"},{"id":151,"name":"Denver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5"/>
      <c r="AK96" s="55"/>
      <c r="AL96" s="55"/>
    </row>
    <row r="97" spans="1:38" s="23" customFormat="1" x14ac:dyDescent="0.25">
      <c r="A97" s="39" t="s">
        <v>488</v>
      </c>
      <c r="B97" s="7">
        <v>4053</v>
      </c>
      <c r="C97" s="24" t="s">
        <v>106</v>
      </c>
      <c r="D97" s="24" t="s">
        <v>196</v>
      </c>
      <c r="E97" s="15">
        <v>42647.568171296298</v>
      </c>
      <c r="F97" s="15">
        <v>42647.573078703703</v>
      </c>
      <c r="G97" s="7">
        <v>1</v>
      </c>
      <c r="H97" s="15" t="s">
        <v>215</v>
      </c>
      <c r="I97" s="15">
        <v>42647.597916666666</v>
      </c>
      <c r="J97" s="7">
        <v>0</v>
      </c>
      <c r="K97" s="117" t="str">
        <f>IF(ISEVEN(B97),(B97-1)&amp;"/"&amp;B97,B97&amp;"/"&amp;(B97+1))</f>
        <v>4053/4054</v>
      </c>
      <c r="L97" s="24" t="str">
        <f>VLOOKUP(A97,'Trips&amp;Operators'!$C$1:$E$10000,3,FALSE)</f>
        <v>ROBINSON</v>
      </c>
      <c r="M97" s="6">
        <f>I97-F97</f>
        <v>2.4837962962919846E-2</v>
      </c>
      <c r="N97" s="7">
        <f>24*60*SUM($M97:$M97)</f>
        <v>35.766666666604578</v>
      </c>
      <c r="O97" s="7"/>
      <c r="P97" s="7"/>
      <c r="Q97" s="25"/>
      <c r="R97" s="25"/>
      <c r="S97" s="37">
        <f>SUM(U97:U97)/IF(AG97="EC",12,1)</f>
        <v>1</v>
      </c>
      <c r="T97" s="52" t="str">
        <f>IF(ISEVEN(LEFT(AD97,4)),"Southbound","NorthBound")</f>
        <v>NorthBound</v>
      </c>
      <c r="U97" s="159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02" t="str">
        <f>"https://search-rtdc-monitor-bjffxe2xuh6vdkpspy63sjmuny.us-east-1.es.amazonaws.com/_plugin/kibana/#/discover/Steve-Slow-Train-Analysis-(2080s-and-2083s)?_g=(refreshInterval:(display:Off,section:0,value:0),time:(from:'"&amp;TEXT(E97-1/24,"yyyy-MM-DD hh:mm:ss")&amp;"-0600',mode:absolute,to:'"&amp;TEXT(I97+1/24,"yyyy-MM-DD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97&amp;"%22')),sort:!(Time,asc))"</f>
        <v>https://search-rtdc-monitor-bjffxe2xuh6vdkpspy63sjmuny.us-east-1.es.amazonaws.com/_plugin/kibana/#/discover/Steve-Slow-Train-Analysis-(2080s-and-2083s)?_g=(refreshInterval:(display:Off,section:0,value:0),time:(from:'2016-10-04 12:38:10-0600',mode:absolute,to:'2016-10-04 15:21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97" s="54" t="str">
        <f>IF(AA97&lt;IF(AG97="EC",23,5.65),"Y","N")</f>
        <v>N</v>
      </c>
      <c r="X97" s="164">
        <f>VALUE(LEFT(AD97,4))-VALUE(LEFT(AD96,4))</f>
        <v>1</v>
      </c>
      <c r="Y97" s="69">
        <f>RIGHT(D97,LEN(D97)-4)/10000</f>
        <v>4.53E-2</v>
      </c>
      <c r="Z97" s="69">
        <f>RIGHT(H97,LEN(H97)-4)/10000</f>
        <v>23.331199999999999</v>
      </c>
      <c r="AA97" s="69">
        <f>ABS(Z97-Y97)</f>
        <v>23.285899999999998</v>
      </c>
      <c r="AB97" s="66" t="e">
        <f>VLOOKUP(A97,Enforcements!$C$7:$K$21,8,0)</f>
        <v>#N/A</v>
      </c>
      <c r="AC97" s="62" t="e">
        <f>VLOOKUP(A97,Enforcements!$C$7:$E$21,3,0)</f>
        <v>#N/A</v>
      </c>
      <c r="AD97" s="63" t="str">
        <f>IF(LEN(A97)=6,"0"&amp;A97,A97)</f>
        <v>0181-04</v>
      </c>
      <c r="AE97" s="9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s3://rtdc.mdm.uploadarchive.raw/RTDC4053/ "%USERPROFILE%\AppData\Local\Temp\OnboardLogs"\RTDC4053\2016-10-04 --exclude "*" --recursive --include "*20161004*" &amp; "%USERPROFILE%\Documents\GitHub\mrs-test-scripts\Headless Mode &amp; Sideloading\WalkAndUnGZ.bat" "%USERPROFILE%\AppData\Local\Temp\OnboardLogs"\RTDC4053\2016-10-04 &amp; aws s3 cp s3://rtdc.mdm.uploadarchive.raw/RTDC4053/ "%USERPROFILE%\AppData\Local\Temp\OnboardLogs"\RTDC4053\2016-10-05 --exclude "*" --recursive --include "*20161005*" &amp; "%USERPROFILE%\Documents\GitHub\mrs-test-scripts\Headless Mode &amp; Sideloading\WalkAndUnGZ.bat" "%USERPROFILE%\AppData\Local\Temp\OnboardLogs"\RTDC4053\2016-10-05</v>
      </c>
      <c r="AF97" s="92" t="str">
        <f>astrogrep_path&amp;" /spath="&amp;search_path&amp;" /stypes=""app*"&amp;B97&amp;"*"&amp;TEXT(I97-utc_offset/24,"YYYYMMDD")&amp;"*"" /stext="" "&amp;TEXT(I97-utc_offset/24,"HH")&amp;search_regexp&amp;""" /e /r /s"</f>
        <v>"C:\Program Files (x86)\AstroGrep\AstroGrep.exe" /spath="%USERPROFILE%\AppData\Local\Temp\OnboardLogs" /stypes="app*4053*20161004*" /stext=" 20:.+((SYSTEM_STATE.+slice.+state.+changed )|(ment ac)|(system.+state.+changed )|(\[timeout)|(PRM\|1\|D)|(kpr)|(kdp)|(\|lc)|(penalty))" /e /r /s</v>
      </c>
      <c r="AG97" s="1" t="str">
        <f>IFERROR(IF(VALUE(LEFT(AD97,2))&lt;=2,"EC",IF(OR(VALUE(LEFT(AD97,2))=8,VALUE(LEFT(AD97,2))=18),"NW","Other")),"Other")</f>
        <v>EC</v>
      </c>
      <c r="AH97" s="96" t="str">
        <f t="shared" si="4"/>
        <v>"%USERPROFILE%\Documents\GitHub\eaglep3\Utilities\RefineRTDCRunTimes.py" --tripid 181-04 --locoid 4053 --swversion DE.1.0.7.0 --startMP 204:453 --initTime 2016-10-04T13:38:10 --startdatetime 2016-10-04T13:45:14 --delay 1 --endMP 204:233312 --enddatetime 2016-10-04T14:21:00 --enforcementcount 0 &gt;&gt;C:\Users\stu\Documents\GitHub\eaglep3-reporting\EC\2016-10-04-refined-times.txt</v>
      </c>
      <c r="AI97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{"issue":{"subject":"","project_id":79,"tracker_id":40,"status_id":1,"priority_id":2,"assigned_to_id":23,"start_date":"2016-10-04","description":"","custom_fields":[{"id":1,"name":"Subdivision","value":"EC"},{"id":4,"name":"Milepost","value":"23.3312"},{"id":17,"name":"Train ID","value":"181-04"},{"id":16,"name":"Locomotive ID","value":"4053"},{"id":130,"name":"Impact","value":""},{"id":150,"name":"Time of Event (Mountain Time)","value":"14:21:00"},{"id":151,"name":"Denver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5"/>
      <c r="AK97" s="55"/>
      <c r="AL97" s="55"/>
    </row>
    <row r="98" spans="1:38" s="23" customFormat="1" x14ac:dyDescent="0.25">
      <c r="A98" s="39" t="s">
        <v>500</v>
      </c>
      <c r="B98" s="7">
        <v>4054</v>
      </c>
      <c r="C98" s="24" t="s">
        <v>106</v>
      </c>
      <c r="D98" s="24" t="s">
        <v>637</v>
      </c>
      <c r="E98" s="15">
        <v>42647.605752314812</v>
      </c>
      <c r="F98" s="15">
        <v>42647.612002314818</v>
      </c>
      <c r="G98" s="7">
        <v>0</v>
      </c>
      <c r="H98" s="15" t="s">
        <v>195</v>
      </c>
      <c r="I98" s="15">
        <v>42647.640104166669</v>
      </c>
      <c r="J98" s="7">
        <v>0</v>
      </c>
      <c r="K98" s="117" t="str">
        <f>IF(ISEVEN(B98),(B98-1)&amp;"/"&amp;B98,B98&amp;"/"&amp;(B98+1))</f>
        <v>4053/4054</v>
      </c>
      <c r="L98" s="24" t="str">
        <f>VLOOKUP(A98,'Trips&amp;Operators'!$C$1:$E$10000,3,FALSE)</f>
        <v>ROBINSON</v>
      </c>
      <c r="M98" s="6">
        <f>I98-F98</f>
        <v>2.810185185080627E-2</v>
      </c>
      <c r="N98" s="7">
        <f>24*60*SUM($M98:$M98)</f>
        <v>40.466666665161029</v>
      </c>
      <c r="O98" s="7"/>
      <c r="P98" s="7"/>
      <c r="Q98" s="25"/>
      <c r="R98" s="25"/>
      <c r="S98" s="37">
        <f>SUM(U98:U98)/IF(AG98="EC",12,1)</f>
        <v>1</v>
      </c>
      <c r="T98" s="52" t="str">
        <f>IF(ISEVEN(LEFT(AD98,4)),"Southbound","NorthBound")</f>
        <v>Southbound</v>
      </c>
      <c r="U98" s="159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02" t="str">
        <f>"https://search-rtdc-monitor-bjffxe2xuh6vdkpspy63sjmuny.us-east-1.es.amazonaws.com/_plugin/kibana/#/discover/Steve-Slow-Train-Analysis-(2080s-and-2083s)?_g=(refreshInterval:(display:Off,section:0,value:0),time:(from:'"&amp;TEXT(E98-1/24,"yyyy-MM-DD hh:mm:ss")&amp;"-0600',mode:absolute,to:'"&amp;TEXT(I98+1/24,"yyyy-MM-DD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98&amp;"%22')),sort:!(Time,asc))"</f>
        <v>https://search-rtdc-monitor-bjffxe2xuh6vdkpspy63sjmuny.us-east-1.es.amazonaws.com/_plugin/kibana/#/discover/Steve-Slow-Train-Analysis-(2080s-and-2083s)?_g=(refreshInterval:(display:Off,section:0,value:0),time:(from:'2016-10-04 13:32:17-0600',mode:absolute,to:'2016-10-04 16:21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98" s="54" t="str">
        <f>IF(AA98&lt;IF(AG98="EC",23,5.65),"Y","N")</f>
        <v>N</v>
      </c>
      <c r="X98" s="164">
        <f>VALUE(LEFT(AD98,4))-VALUE(LEFT(AD97,4))</f>
        <v>1</v>
      </c>
      <c r="Y98" s="69">
        <f>RIGHT(D98,LEN(D98)-4)/10000</f>
        <v>23.301300000000001</v>
      </c>
      <c r="Z98" s="69">
        <f>RIGHT(H98,LEN(H98)-4)/10000</f>
        <v>1.47E-2</v>
      </c>
      <c r="AA98" s="69">
        <f>ABS(Z98-Y98)</f>
        <v>23.2866</v>
      </c>
      <c r="AB98" s="66" t="str">
        <f>VLOOKUP(A98,Enforcements!$C$7:$K$21,8,0)</f>
        <v>Bulletin (2)</v>
      </c>
      <c r="AC98" s="62" t="str">
        <f>VLOOKUP(A98,Enforcements!$C$7:$E$21,3,0)</f>
        <v>GRADE CROSSING</v>
      </c>
      <c r="AD98" s="63" t="str">
        <f>IF(LEN(A98)=6,"0"&amp;A98,A98)</f>
        <v>0182-04</v>
      </c>
      <c r="AE98" s="9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s3://rtdc.mdm.uploadarchive.raw/RTDC4054/ "%USERPROFILE%\AppData\Local\Temp\OnboardLogs"\RTDC4054\2016-10-04 --exclude "*" --recursive --include "*20161004*" &amp; "%USERPROFILE%\Documents\GitHub\mrs-test-scripts\Headless Mode &amp; Sideloading\WalkAndUnGZ.bat" "%USERPROFILE%\AppData\Local\Temp\OnboardLogs"\RTDC4054\2016-10-04 &amp; aws s3 cp s3://rtdc.mdm.uploadarchive.raw/RTDC4054/ "%USERPROFILE%\AppData\Local\Temp\OnboardLogs"\RTDC4054\2016-10-05 --exclude "*" --recursive --include "*20161005*" &amp; "%USERPROFILE%\Documents\GitHub\mrs-test-scripts\Headless Mode &amp; Sideloading\WalkAndUnGZ.bat" "%USERPROFILE%\AppData\Local\Temp\OnboardLogs"\RTDC4054\2016-10-05</v>
      </c>
      <c r="AF98" s="92" t="str">
        <f>astrogrep_path&amp;" /spath="&amp;search_path&amp;" /stypes=""app*"&amp;B98&amp;"*"&amp;TEXT(I98-utc_offset/24,"YYYYMMDD")&amp;"*"" /stext="" "&amp;TEXT(I98-utc_offset/24,"HH")&amp;search_regexp&amp;""" /e /r /s"</f>
        <v>"C:\Program Files (x86)\AstroGrep\AstroGrep.exe" /spath="%USERPROFILE%\AppData\Local\Temp\OnboardLogs" /stypes="app*4054*20161004*" /stext=" 21:.+((SYSTEM_STATE.+slice.+state.+changed )|(ment ac)|(system.+state.+changed )|(\[timeout)|(PRM\|1\|D)|(kpr)|(kdp)|(\|lc)|(penalty))" /e /r /s</v>
      </c>
      <c r="AG98" s="1" t="str">
        <f>IFERROR(IF(VALUE(LEFT(AD98,2))&lt;=2,"EC",IF(OR(VALUE(LEFT(AD98,2))=8,VALUE(LEFT(AD98,2))=18),"NW","Other")),"Other")</f>
        <v>EC</v>
      </c>
      <c r="AH98" s="96" t="str">
        <f t="shared" si="4"/>
        <v>"%USERPROFILE%\Documents\GitHub\eaglep3\Utilities\RefineRTDCRunTimes.py" --tripid 182-04 --locoid 4054 --swversion DE.1.0.7.0 --startMP 204:233013 --initTime 2016-10-04T14:32:17 --startdatetime 2016-10-04T14:41:17 --delay 0 --endMP 204:147 --enddatetime 2016-10-04T15:21:45 --enforcementcount 0 &gt;&gt;C:\Users\stu\Documents\GitHub\eaglep3-reporting\EC\2016-10-04-refined-times.txt</v>
      </c>
      <c r="AI98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{"issue":{"subject":"","project_id":79,"tracker_id":40,"status_id":1,"priority_id":2,"assigned_to_id":23,"start_date":"2016-10-04","description":"","custom_fields":[{"id":1,"name":"Subdivision","value":"EC"},{"id":4,"name":"Milepost","value":"0.0147"},{"id":17,"name":"Train ID","value":"182-04"},{"id":16,"name":"Locomotive ID","value":"4054"},{"id":130,"name":"Impact","value":""},{"id":150,"name":"Time of Event (Mountain Time)","value":"15:21:45"},{"id":151,"name":"Denver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5"/>
      <c r="AK98" s="55"/>
      <c r="AL98" s="55"/>
    </row>
    <row r="99" spans="1:38" s="23" customFormat="1" x14ac:dyDescent="0.25">
      <c r="A99" s="39" t="s">
        <v>493</v>
      </c>
      <c r="B99" s="7">
        <v>4016</v>
      </c>
      <c r="C99" s="24" t="s">
        <v>106</v>
      </c>
      <c r="D99" s="24" t="s">
        <v>638</v>
      </c>
      <c r="E99" s="15">
        <v>42647.579791666663</v>
      </c>
      <c r="F99" s="15">
        <v>42647.583506944444</v>
      </c>
      <c r="G99" s="7">
        <v>1</v>
      </c>
      <c r="H99" s="15" t="s">
        <v>320</v>
      </c>
      <c r="I99" s="15">
        <v>42647.609236111108</v>
      </c>
      <c r="J99" s="7">
        <v>0</v>
      </c>
      <c r="K99" s="117" t="str">
        <f>IF(ISEVEN(B99),(B99-1)&amp;"/"&amp;B99,B99&amp;"/"&amp;(B99+1))</f>
        <v>4015/4016</v>
      </c>
      <c r="L99" s="24" t="str">
        <f>VLOOKUP(A99,'Trips&amp;Operators'!$C$1:$E$10000,3,FALSE)</f>
        <v>CLARK</v>
      </c>
      <c r="M99" s="6">
        <f>I99-F99</f>
        <v>2.5729166663950309E-2</v>
      </c>
      <c r="N99" s="7">
        <f>24*60*SUM($M99:$M99)</f>
        <v>37.049999996088445</v>
      </c>
      <c r="O99" s="7"/>
      <c r="P99" s="7"/>
      <c r="Q99" s="25"/>
      <c r="R99" s="25"/>
      <c r="S99" s="37">
        <f>SUM(U99:U99)/IF(AG99="EC",12,1)</f>
        <v>1</v>
      </c>
      <c r="T99" s="52" t="str">
        <f>IF(ISEVEN(LEFT(AD99,4)),"Southbound","NorthBound")</f>
        <v>NorthBound</v>
      </c>
      <c r="U99" s="159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02" t="str">
        <f>"https://search-rtdc-monitor-bjffxe2xuh6vdkpspy63sjmuny.us-east-1.es.amazonaws.com/_plugin/kibana/#/discover/Steve-Slow-Train-Analysis-(2080s-and-2083s)?_g=(refreshInterval:(display:Off,section:0,value:0),time:(from:'"&amp;TEXT(E99-1/24,"yyyy-MM-DD hh:mm:ss")&amp;"-0600',mode:absolute,to:'"&amp;TEXT(I99+1/24,"yyyy-MM-DD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99&amp;"%22')),sort:!(Time,asc))"</f>
        <v>https://search-rtdc-monitor-bjffxe2xuh6vdkpspy63sjmuny.us-east-1.es.amazonaws.com/_plugin/kibana/#/discover/Steve-Slow-Train-Analysis-(2080s-and-2083s)?_g=(refreshInterval:(display:Off,section:0,value:0),time:(from:'2016-10-04 12:54:54-0600',mode:absolute,to:'2016-10-04 15:37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9" s="54" t="str">
        <f>IF(AA99&lt;IF(AG99="EC",23,5.65),"Y","N")</f>
        <v>N</v>
      </c>
      <c r="X99" s="164">
        <f>VALUE(LEFT(AD99,4))-VALUE(LEFT(AD98,4))</f>
        <v>1</v>
      </c>
      <c r="Y99" s="69">
        <f>RIGHT(D99,LEN(D99)-4)/10000</f>
        <v>4.8399999999999999E-2</v>
      </c>
      <c r="Z99" s="69">
        <f>RIGHT(H99,LEN(H99)-4)/10000</f>
        <v>23.326799999999999</v>
      </c>
      <c r="AA99" s="69">
        <f>ABS(Z99-Y99)</f>
        <v>23.278399999999998</v>
      </c>
      <c r="AB99" s="66" t="e">
        <f>VLOOKUP(A99,Enforcements!$C$7:$K$21,8,0)</f>
        <v>#N/A</v>
      </c>
      <c r="AC99" s="62" t="e">
        <f>VLOOKUP(A99,Enforcements!$C$7:$E$21,3,0)</f>
        <v>#N/A</v>
      </c>
      <c r="AD99" s="63" t="str">
        <f>IF(LEN(A99)=6,"0"&amp;A99,A99)</f>
        <v>0183-04</v>
      </c>
      <c r="AE99" s="9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s3://rtdc.mdm.uploadarchive.raw/RTDC4016/ "%USERPROFILE%\AppData\Local\Temp\OnboardLogs"\RTDC4016\2016-10-04 --exclude "*" --recursive --include "*20161004*" &amp; "%USERPROFILE%\Documents\GitHub\mrs-test-scripts\Headless Mode &amp; Sideloading\WalkAndUnGZ.bat" "%USERPROFILE%\AppData\Local\Temp\OnboardLogs"\RTDC4016\2016-10-04 &amp; aws s3 cp s3://rtdc.mdm.uploadarchive.raw/RTDC4016/ "%USERPROFILE%\AppData\Local\Temp\OnboardLogs"\RTDC4016\2016-10-05 --exclude "*" --recursive --include "*20161005*" &amp; "%USERPROFILE%\Documents\GitHub\mrs-test-scripts\Headless Mode &amp; Sideloading\WalkAndUnGZ.bat" "%USERPROFILE%\AppData\Local\Temp\OnboardLogs"\RTDC4016\2016-10-05</v>
      </c>
      <c r="AF99" s="92" t="str">
        <f>astrogrep_path&amp;" /spath="&amp;search_path&amp;" /stypes=""app*"&amp;B99&amp;"*"&amp;TEXT(I99-utc_offset/24,"YYYYMMDD")&amp;"*"" /stext="" "&amp;TEXT(I99-utc_offset/24,"HH")&amp;search_regexp&amp;""" /e /r /s"</f>
        <v>"C:\Program Files (x86)\AstroGrep\AstroGrep.exe" /spath="%USERPROFILE%\AppData\Local\Temp\OnboardLogs" /stypes="app*4016*20161004*" /stext=" 20:.+((SYSTEM_STATE.+slice.+state.+changed )|(ment ac)|(system.+state.+changed )|(\[timeout)|(PRM\|1\|D)|(kpr)|(kdp)|(\|lc)|(penalty))" /e /r /s</v>
      </c>
      <c r="AG99" s="1" t="str">
        <f>IFERROR(IF(VALUE(LEFT(AD99,2))&lt;=2,"EC",IF(OR(VALUE(LEFT(AD99,2))=8,VALUE(LEFT(AD99,2))=18),"NW","Other")),"Other")</f>
        <v>EC</v>
      </c>
      <c r="AH99" s="96" t="str">
        <f t="shared" si="4"/>
        <v>"%USERPROFILE%\Documents\GitHub\eaglep3\Utilities\RefineRTDCRunTimes.py" --tripid 183-04 --locoid 4016 --swversion DE.1.0.7.0 --startMP 204:484 --initTime 2016-10-04T13:54:54 --startdatetime 2016-10-04T14:00:15 --delay 1 --endMP 204:233268 --enddatetime 2016-10-04T14:37:18 --enforcementcount 0 &gt;&gt;C:\Users\stu\Documents\GitHub\eaglep3-reporting\EC\2016-10-04-refined-times.txt</v>
      </c>
      <c r="AI99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{"issue":{"subject":"","project_id":79,"tracker_id":40,"status_id":1,"priority_id":2,"assigned_to_id":23,"start_date":"2016-10-04","description":"","custom_fields":[{"id":1,"name":"Subdivision","value":"EC"},{"id":4,"name":"Milepost","value":"23.3268"},{"id":17,"name":"Train ID","value":"183-04"},{"id":16,"name":"Locomotive ID","value":"4016"},{"id":130,"name":"Impact","value":""},{"id":150,"name":"Time of Event (Mountain Time)","value":"14:37:18"},{"id":151,"name":"Denver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5"/>
      <c r="AK99" s="55"/>
      <c r="AL99" s="55"/>
    </row>
    <row r="100" spans="1:38" s="23" customFormat="1" x14ac:dyDescent="0.25">
      <c r="A100" s="39" t="s">
        <v>503</v>
      </c>
      <c r="B100" s="7">
        <v>4015</v>
      </c>
      <c r="C100" s="24" t="s">
        <v>106</v>
      </c>
      <c r="D100" s="24" t="s">
        <v>326</v>
      </c>
      <c r="E100" s="15">
        <v>42647.616261574076</v>
      </c>
      <c r="F100" s="15">
        <v>42647.622476851851</v>
      </c>
      <c r="G100" s="7">
        <v>1</v>
      </c>
      <c r="H100" s="15" t="s">
        <v>192</v>
      </c>
      <c r="I100" s="15">
        <v>42647.650821759256</v>
      </c>
      <c r="J100" s="7">
        <v>0</v>
      </c>
      <c r="K100" s="117" t="str">
        <f>IF(ISEVEN(B100),(B100-1)&amp;"/"&amp;B100,B100&amp;"/"&amp;(B100+1))</f>
        <v>4015/4016</v>
      </c>
      <c r="L100" s="24" t="str">
        <f>VLOOKUP(A100,'Trips&amp;Operators'!$C$1:$E$10000,3,FALSE)</f>
        <v>CLARK</v>
      </c>
      <c r="M100" s="6">
        <f>I100-F100</f>
        <v>2.8344907404971309E-2</v>
      </c>
      <c r="N100" s="7">
        <f>24*60*SUM($M100:$M100)</f>
        <v>40.816666663158685</v>
      </c>
      <c r="O100" s="7"/>
      <c r="P100" s="7"/>
      <c r="Q100" s="25"/>
      <c r="R100" s="25"/>
      <c r="S100" s="37">
        <f>SUM(U100:U100)/IF(AG100="EC",12,1)</f>
        <v>1</v>
      </c>
      <c r="T100" s="52" t="str">
        <f>IF(ISEVEN(LEFT(AD100,4)),"Southbound","NorthBound")</f>
        <v>Southbound</v>
      </c>
      <c r="U100" s="159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02" t="str">
        <f>"https://search-rtdc-monitor-bjffxe2xuh6vdkpspy63sjmuny.us-east-1.es.amazonaws.com/_plugin/kibana/#/discover/Steve-Slow-Train-Analysis-(2080s-and-2083s)?_g=(refreshInterval:(display:Off,section:0,value:0),time:(from:'"&amp;TEXT(E100-1/24,"yyyy-MM-DD hh:mm:ss")&amp;"-0600',mode:absolute,to:'"&amp;TEXT(I100+1/24,"yyyy-MM-DD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100&amp;"%22')),sort:!(Time,asc))"</f>
        <v>https://search-rtdc-monitor-bjffxe2xuh6vdkpspy63sjmuny.us-east-1.es.amazonaws.com/_plugin/kibana/#/discover/Steve-Slow-Train-Analysis-(2080s-and-2083s)?_g=(refreshInterval:(display:Off,section:0,value:0),time:(from:'2016-10-04 13:47:25-0600',mode:absolute,to:'2016-10-04 16:37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0" s="54" t="str">
        <f>IF(AA100&lt;IF(AG100="EC",23,5.65),"Y","N")</f>
        <v>N</v>
      </c>
      <c r="X100" s="164">
        <f>VALUE(LEFT(AD100,4))-VALUE(LEFT(AD99,4))</f>
        <v>1</v>
      </c>
      <c r="Y100" s="69">
        <f>RIGHT(D100,LEN(D100)-4)/10000</f>
        <v>23.295300000000001</v>
      </c>
      <c r="Z100" s="69">
        <f>RIGHT(H100,LEN(H100)-4)/10000</f>
        <v>1.6E-2</v>
      </c>
      <c r="AA100" s="69">
        <f>ABS(Z100-Y100)</f>
        <v>23.279300000000003</v>
      </c>
      <c r="AB100" s="66" t="e">
        <f>VLOOKUP(A100,Enforcements!$C$7:$K$21,8,0)</f>
        <v>#N/A</v>
      </c>
      <c r="AC100" s="62" t="e">
        <f>VLOOKUP(A100,Enforcements!$C$7:$E$21,3,0)</f>
        <v>#N/A</v>
      </c>
      <c r="AD100" s="63" t="str">
        <f>IF(LEN(A100)=6,"0"&amp;A100,A100)</f>
        <v>0184-04</v>
      </c>
      <c r="AE100" s="9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s3://rtdc.mdm.uploadarchive.raw/RTDC4015/ "%USERPROFILE%\AppData\Local\Temp\OnboardLogs"\RTDC4015\2016-10-04 --exclude "*" --recursive --include "*20161004*" &amp; "%USERPROFILE%\Documents\GitHub\mrs-test-scripts\Headless Mode &amp; Sideloading\WalkAndUnGZ.bat" "%USERPROFILE%\AppData\Local\Temp\OnboardLogs"\RTDC4015\2016-10-04 &amp; aws s3 cp s3://rtdc.mdm.uploadarchive.raw/RTDC4015/ "%USERPROFILE%\AppData\Local\Temp\OnboardLogs"\RTDC4015\2016-10-05 --exclude "*" --recursive --include "*20161005*" &amp; "%USERPROFILE%\Documents\GitHub\mrs-test-scripts\Headless Mode &amp; Sideloading\WalkAndUnGZ.bat" "%USERPROFILE%\AppData\Local\Temp\OnboardLogs"\RTDC4015\2016-10-05</v>
      </c>
      <c r="AF100" s="92" t="str">
        <f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/stypes="app*4015*20161004*" /stext=" 21:.+((SYSTEM_STATE.+slice.+state.+changed )|(ment ac)|(system.+state.+changed )|(\[timeout)|(PRM\|1\|D)|(kpr)|(kdp)|(\|lc)|(penalty))" /e /r /s</v>
      </c>
      <c r="AG100" s="1" t="str">
        <f>IFERROR(IF(VALUE(LEFT(AD100,2))&lt;=2,"EC",IF(OR(VALUE(LEFT(AD100,2))=8,VALUE(LEFT(AD100,2))=18),"NW","Other")),"Other")</f>
        <v>EC</v>
      </c>
      <c r="AH100" s="96" t="str">
        <f t="shared" si="4"/>
        <v>"%USERPROFILE%\Documents\GitHub\eaglep3\Utilities\RefineRTDCRunTimes.py" --tripid 184-04 --locoid 4015 --swversion DE.1.0.7.0 --startMP 204:232953 --initTime 2016-10-04T14:47:25 --startdatetime 2016-10-04T14:56:22 --delay 1 --endMP 204:160 --enddatetime 2016-10-04T15:37:11 --enforcementcount 0 &gt;&gt;C:\Users\stu\Documents\GitHub\eaglep3-reporting\EC\2016-10-04-refined-times.txt</v>
      </c>
      <c r="AI100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{"issue":{"subject":"","project_id":79,"tracker_id":40,"status_id":1,"priority_id":2,"assigned_to_id":23,"start_date":"2016-10-04","description":"","custom_fields":[{"id":1,"name":"Subdivision","value":"EC"},{"id":4,"name":"Milepost","value":"0.016"},{"id":17,"name":"Train ID","value":"184-04"},{"id":16,"name":"Locomotive ID","value":"4015"},{"id":130,"name":"Impact","value":""},{"id":150,"name":"Time of Event (Mountain Time)","value":"15:37:11"},{"id":151,"name":"Denver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5"/>
      <c r="AK100" s="55"/>
      <c r="AL100" s="55"/>
    </row>
    <row r="101" spans="1:38" s="23" customFormat="1" x14ac:dyDescent="0.25">
      <c r="A101" s="39" t="s">
        <v>495</v>
      </c>
      <c r="B101" s="7">
        <v>4044</v>
      </c>
      <c r="C101" s="24" t="s">
        <v>106</v>
      </c>
      <c r="D101" s="24" t="s">
        <v>204</v>
      </c>
      <c r="E101" s="15">
        <v>42647.589201388888</v>
      </c>
      <c r="F101" s="15">
        <v>42647.594039351854</v>
      </c>
      <c r="G101" s="7">
        <v>2</v>
      </c>
      <c r="H101" s="15" t="s">
        <v>320</v>
      </c>
      <c r="I101" s="15">
        <v>42647.619745370372</v>
      </c>
      <c r="J101" s="7">
        <v>0</v>
      </c>
      <c r="K101" s="117" t="str">
        <f>IF(ISEVEN(B101),(B101-1)&amp;"/"&amp;B101,B101&amp;"/"&amp;(B101+1))</f>
        <v>4043/4044</v>
      </c>
      <c r="L101" s="24" t="str">
        <f>VLOOKUP(A101,'Trips&amp;Operators'!$C$1:$E$10000,3,FALSE)</f>
        <v>STORY</v>
      </c>
      <c r="M101" s="6">
        <f>I101-F101</f>
        <v>2.5706018517666962E-2</v>
      </c>
      <c r="N101" s="7">
        <f>24*60*SUM($M101:$M101)</f>
        <v>37.016666665440425</v>
      </c>
      <c r="O101" s="7"/>
      <c r="P101" s="7"/>
      <c r="Q101" s="25"/>
      <c r="R101" s="25"/>
      <c r="S101" s="37">
        <f>SUM(U101:U101)/IF(AG101="EC",12,1)</f>
        <v>1</v>
      </c>
      <c r="T101" s="52" t="str">
        <f>IF(ISEVEN(LEFT(AD101,4)),"Southbound","NorthBound")</f>
        <v>NorthBound</v>
      </c>
      <c r="U101" s="159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02" t="str">
        <f>"https://search-rtdc-monitor-bjffxe2xuh6vdkpspy63sjmuny.us-east-1.es.amazonaws.com/_plugin/kibana/#/discover/Steve-Slow-Train-Analysis-(2080s-and-2083s)?_g=(refreshInterval:(display:Off,section:0,value:0),time:(from:'"&amp;TEXT(E101-1/24,"yyyy-MM-DD hh:mm:ss")&amp;"-0600',mode:absolute,to:'"&amp;TEXT(I101+1/24,"yyyy-MM-DD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101&amp;"%22')),sort:!(Time,asc))"</f>
        <v>https://search-rtdc-monitor-bjffxe2xuh6vdkpspy63sjmuny.us-east-1.es.amazonaws.com/_plugin/kibana/#/discover/Steve-Slow-Train-Analysis-(2080s-and-2083s)?_g=(refreshInterval:(display:Off,section:0,value:0),time:(from:'2016-10-04 13:08:27-0600',mode:absolute,to:'2016-10-04 15:52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1" s="54" t="str">
        <f>IF(AA101&lt;IF(AG101="EC",23,5.65),"Y","N")</f>
        <v>N</v>
      </c>
      <c r="X101" s="164">
        <f>VALUE(LEFT(AD101,4))-VALUE(LEFT(AD100,4))</f>
        <v>1</v>
      </c>
      <c r="Y101" s="69">
        <f>RIGHT(D101,LEN(D101)-4)/10000</f>
        <v>4.58E-2</v>
      </c>
      <c r="Z101" s="69">
        <f>RIGHT(H101,LEN(H101)-4)/10000</f>
        <v>23.326799999999999</v>
      </c>
      <c r="AA101" s="69">
        <f>ABS(Z101-Y101)</f>
        <v>23.280999999999999</v>
      </c>
      <c r="AB101" s="66" t="e">
        <f>VLOOKUP(A101,Enforcements!$C$7:$K$21,8,0)</f>
        <v>#N/A</v>
      </c>
      <c r="AC101" s="62" t="e">
        <f>VLOOKUP(A101,Enforcements!$C$7:$E$21,3,0)</f>
        <v>#N/A</v>
      </c>
      <c r="AD101" s="63" t="str">
        <f>IF(LEN(A101)=6,"0"&amp;A101,A101)</f>
        <v>0185-04</v>
      </c>
      <c r="AE101" s="9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s3://rtdc.mdm.uploadarchive.raw/RTDC4044/ "%USERPROFILE%\AppData\Local\Temp\OnboardLogs"\RTDC4044\2016-10-04 --exclude "*" --recursive --include "*20161004*" &amp; "%USERPROFILE%\Documents\GitHub\mrs-test-scripts\Headless Mode &amp; Sideloading\WalkAndUnGZ.bat" "%USERPROFILE%\AppData\Local\Temp\OnboardLogs"\RTDC4044\2016-10-04 &amp; aws s3 cp s3://rtdc.mdm.uploadarchive.raw/RTDC4044/ "%USERPROFILE%\AppData\Local\Temp\OnboardLogs"\RTDC4044\2016-10-05 --exclude "*" --recursive --include "*20161005*" &amp; "%USERPROFILE%\Documents\GitHub\mrs-test-scripts\Headless Mode &amp; Sideloading\WalkAndUnGZ.bat" "%USERPROFILE%\AppData\Local\Temp\OnboardLogs"\RTDC4044\2016-10-05</v>
      </c>
      <c r="AF101" s="92" t="str">
        <f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/stypes="app*4044*20161004*" /stext=" 20:.+((SYSTEM_STATE.+slice.+state.+changed )|(ment ac)|(system.+state.+changed )|(\[timeout)|(PRM\|1\|D)|(kpr)|(kdp)|(\|lc)|(penalty))" /e /r /s</v>
      </c>
      <c r="AG101" s="1" t="str">
        <f>IFERROR(IF(VALUE(LEFT(AD101,2))&lt;=2,"EC",IF(OR(VALUE(LEFT(AD101,2))=8,VALUE(LEFT(AD101,2))=18),"NW","Other")),"Other")</f>
        <v>EC</v>
      </c>
      <c r="AH101" s="96" t="str">
        <f t="shared" si="4"/>
        <v>"%USERPROFILE%\Documents\GitHub\eaglep3\Utilities\RefineRTDCRunTimes.py" --tripid 185-04 --locoid 4044 --swversion DE.1.0.7.0 --startMP 204:458 --initTime 2016-10-04T14:08:27 --startdatetime 2016-10-04T14:15:25 --delay 2 --endMP 204:233268 --enddatetime 2016-10-04T14:52:26 --enforcementcount 0 &gt;&gt;C:\Users\stu\Documents\GitHub\eaglep3-reporting\EC\2016-10-04-refined-times.txt</v>
      </c>
      <c r="AI101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{"issue":{"subject":"","project_id":79,"tracker_id":40,"status_id":1,"priority_id":2,"assigned_to_id":23,"start_date":"2016-10-04","description":"","custom_fields":[{"id":1,"name":"Subdivision","value":"EC"},{"id":4,"name":"Milepost","value":"23.3268"},{"id":17,"name":"Train ID","value":"185-04"},{"id":16,"name":"Locomotive ID","value":"4044"},{"id":130,"name":"Impact","value":""},{"id":150,"name":"Time of Event (Mountain Time)","value":"14:52:26"},{"id":151,"name":"Denver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5"/>
      <c r="AK101" s="55"/>
      <c r="AL101" s="55"/>
    </row>
    <row r="102" spans="1:38" x14ac:dyDescent="0.25">
      <c r="A102" s="39" t="s">
        <v>505</v>
      </c>
      <c r="B102" s="7">
        <v>4043</v>
      </c>
      <c r="C102" s="24" t="s">
        <v>106</v>
      </c>
      <c r="D102" s="24" t="s">
        <v>639</v>
      </c>
      <c r="E102" s="15">
        <v>42647.624085648145</v>
      </c>
      <c r="F102" s="15">
        <v>42647.63318287037</v>
      </c>
      <c r="G102" s="7">
        <v>1</v>
      </c>
      <c r="H102" s="15" t="s">
        <v>214</v>
      </c>
      <c r="I102" s="15">
        <v>42647.661076388889</v>
      </c>
      <c r="J102" s="7">
        <v>0</v>
      </c>
      <c r="K102" s="117" t="str">
        <f>IF(ISEVEN(B102),(B102-1)&amp;"/"&amp;B102,B102&amp;"/"&amp;(B102+1))</f>
        <v>4043/4044</v>
      </c>
      <c r="L102" s="24" t="str">
        <f>VLOOKUP(A102,'Trips&amp;Operators'!$C$1:$E$10000,3,FALSE)</f>
        <v>STORY</v>
      </c>
      <c r="M102" s="6">
        <f>I102-F102</f>
        <v>2.789351851970423E-2</v>
      </c>
      <c r="N102" s="7">
        <f>24*60*SUM($M102:$M102)</f>
        <v>40.166666668374091</v>
      </c>
      <c r="O102" s="7"/>
      <c r="P102" s="7"/>
      <c r="Q102" s="25"/>
      <c r="R102" s="25"/>
      <c r="S102" s="37">
        <f>SUM(U102:U102)/IF(AG102="EC",12,1)</f>
        <v>1</v>
      </c>
      <c r="T102" s="52" t="str">
        <f>IF(ISEVEN(LEFT(AD102,4)),"Southbound","NorthBound")</f>
        <v>Southbound</v>
      </c>
      <c r="U102" s="159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02" t="str">
        <f>"https://search-rtdc-monitor-bjffxe2xuh6vdkpspy63sjmuny.us-east-1.es.amazonaws.com/_plugin/kibana/#/discover/Steve-Slow-Train-Analysis-(2080s-and-2083s)?_g=(refreshInterval:(display:Off,section:0,value:0),time:(from:'"&amp;TEXT(E102-1/24,"yyyy-MM-DD hh:mm:ss")&amp;"-0600',mode:absolute,to:'"&amp;TEXT(I102+1/24,"yyyy-MM-DD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102&amp;"%22')),sort:!(Time,asc))"</f>
        <v>https://search-rtdc-monitor-bjffxe2xuh6vdkpspy63sjmuny.us-east-1.es.amazonaws.com/_plugin/kibana/#/discover/Steve-Slow-Train-Analysis-(2080s-and-2083s)?_g=(refreshInterval:(display:Off,section:0,value:0),time:(from:'2016-10-04 13:58:41-0600',mode:absolute,to:'2016-10-04 16:51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02" s="54" t="str">
        <f>IF(AA102&lt;IF(AG102="EC",23,5.65),"Y","N")</f>
        <v>N</v>
      </c>
      <c r="X102" s="164">
        <f>VALUE(LEFT(AD102,4))-VALUE(LEFT(AD101,4))</f>
        <v>1</v>
      </c>
      <c r="Y102" s="69">
        <f>RIGHT(D102,LEN(D102)-4)/10000</f>
        <v>23.294599999999999</v>
      </c>
      <c r="Z102" s="69">
        <f>RIGHT(H102,LEN(H102)-4)/10000</f>
        <v>1.41E-2</v>
      </c>
      <c r="AA102" s="69">
        <f>ABS(Z102-Y102)</f>
        <v>23.2805</v>
      </c>
      <c r="AB102" s="66" t="str">
        <f>VLOOKUP(A102,Enforcements!$C$7:$K$21,8,0)</f>
        <v>Speed (6)</v>
      </c>
      <c r="AC102" s="62" t="str">
        <f>VLOOKUP(A102,Enforcements!$C$7:$E$21,3,0)</f>
        <v>PERMANENT SPEED RESTRICTION</v>
      </c>
      <c r="AD102" s="63" t="str">
        <f>IF(LEN(A102)=6,"0"&amp;A102,A102)</f>
        <v>0186-04</v>
      </c>
      <c r="AE102" s="9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s3://rtdc.mdm.uploadarchive.raw/RTDC4043/ "%USERPROFILE%\AppData\Local\Temp\OnboardLogs"\RTDC4043\2016-10-04 --exclude "*" --recursive --include "*20161004*" &amp; "%USERPROFILE%\Documents\GitHub\mrs-test-scripts\Headless Mode &amp; Sideloading\WalkAndUnGZ.bat" "%USERPROFILE%\AppData\Local\Temp\OnboardLogs"\RTDC4043\2016-10-04 &amp; aws s3 cp s3://rtdc.mdm.uploadarchive.raw/RTDC4043/ "%USERPROFILE%\AppData\Local\Temp\OnboardLogs"\RTDC4043\2016-10-05 --exclude "*" --recursive --include "*20161005*" &amp; "%USERPROFILE%\Documents\GitHub\mrs-test-scripts\Headless Mode &amp; Sideloading\WalkAndUnGZ.bat" "%USERPROFILE%\AppData\Local\Temp\OnboardLogs"\RTDC4043\2016-10-05</v>
      </c>
      <c r="AF102" s="92" t="str">
        <f>astrogrep_path&amp;" /spath="&amp;search_path&amp;" /stypes=""app*"&amp;B102&amp;"*"&amp;TEXT(I102-utc_offset/24,"YYYYMMDD")&amp;"*"" /stext="" "&amp;TEXT(I102-utc_offset/24,"HH")&amp;search_regexp&amp;""" /e /r /s"</f>
        <v>"C:\Program Files (x86)\AstroGrep\AstroGrep.exe" /spath="%USERPROFILE%\AppData\Local\Temp\OnboardLogs" /stypes="app*4043*20161004*" /stext=" 21:.+((SYSTEM_STATE.+slice.+state.+changed )|(ment ac)|(system.+state.+changed )|(\[timeout)|(PRM\|1\|D)|(kpr)|(kdp)|(\|lc)|(penalty))" /e /r /s</v>
      </c>
      <c r="AG102" s="1" t="str">
        <f>IFERROR(IF(VALUE(LEFT(AD102,2))&lt;=2,"EC",IF(OR(VALUE(LEFT(AD102,2))=8,VALUE(LEFT(AD102,2))=18),"NW","Other")),"Other")</f>
        <v>EC</v>
      </c>
      <c r="AH102" s="96" t="str">
        <f t="shared" si="4"/>
        <v>"%USERPROFILE%\Documents\GitHub\eaglep3\Utilities\RefineRTDCRunTimes.py" --tripid 186-04 --locoid 4043 --swversion DE.1.0.7.0 --startMP 204:232946 --initTime 2016-10-04T14:58:41 --startdatetime 2016-10-04T15:11:47 --delay 1 --endMP 204:141 --enddatetime 2016-10-04T15:51:57 --enforcementcount 0 &gt;&gt;C:\Users\stu\Documents\GitHub\eaglep3-reporting\EC\2016-10-04-refined-times.txt</v>
      </c>
      <c r="AI102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{"issue":{"subject":"","project_id":79,"tracker_id":40,"status_id":1,"priority_id":2,"assigned_to_id":23,"start_date":"2016-10-04","description":"","custom_fields":[{"id":1,"name":"Subdivision","value":"EC"},{"id":4,"name":"Milepost","value":"0.0141"},{"id":17,"name":"Train ID","value":"186-04"},{"id":16,"name":"Locomotive ID","value":"4043"},{"id":130,"name":"Impact","value":""},{"id":150,"name":"Time of Event (Mountain Time)","value":"15:51:57"},{"id":151,"name":"Denver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5"/>
      <c r="AK102" s="55"/>
      <c r="AL102" s="55"/>
    </row>
    <row r="103" spans="1:38" x14ac:dyDescent="0.25">
      <c r="A103" s="39" t="s">
        <v>499</v>
      </c>
      <c r="B103" s="7">
        <v>4007</v>
      </c>
      <c r="C103" s="24" t="s">
        <v>106</v>
      </c>
      <c r="D103" s="24" t="s">
        <v>207</v>
      </c>
      <c r="E103" s="15">
        <v>42647.601331018515</v>
      </c>
      <c r="F103" s="15">
        <v>42647.604456018518</v>
      </c>
      <c r="G103" s="7">
        <v>1</v>
      </c>
      <c r="H103" s="15" t="s">
        <v>640</v>
      </c>
      <c r="I103" s="15">
        <v>42647.630208333336</v>
      </c>
      <c r="J103" s="7">
        <v>0</v>
      </c>
      <c r="K103" s="117" t="str">
        <f>IF(ISEVEN(B103),(B103-1)&amp;"/"&amp;B103,B103&amp;"/"&amp;(B103+1))</f>
        <v>4007/4008</v>
      </c>
      <c r="L103" s="24" t="str">
        <f>VLOOKUP(A103,'Trips&amp;Operators'!$C$1:$E$10000,3,FALSE)</f>
        <v>BARTLETT</v>
      </c>
      <c r="M103" s="6">
        <f>I103-F103</f>
        <v>2.5752314817509614E-2</v>
      </c>
      <c r="N103" s="7">
        <f>24*60*SUM($M103:$M103)</f>
        <v>37.083333337213844</v>
      </c>
      <c r="O103" s="7"/>
      <c r="P103" s="7"/>
      <c r="Q103" s="25"/>
      <c r="R103" s="25"/>
      <c r="S103" s="37">
        <f>SUM(U103:U103)/IF(AG103="EC",12,1)</f>
        <v>1</v>
      </c>
      <c r="T103" s="52" t="str">
        <f>IF(ISEVEN(LEFT(AD103,4)),"Southbound","NorthBound")</f>
        <v>NorthBound</v>
      </c>
      <c r="U103" s="159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02" t="str">
        <f>"https://search-rtdc-monitor-bjffxe2xuh6vdkpspy63sjmuny.us-east-1.es.amazonaws.com/_plugin/kibana/#/discover/Steve-Slow-Train-Analysis-(2080s-and-2083s)?_g=(refreshInterval:(display:Off,section:0,value:0),time:(from:'"&amp;TEXT(E103-1/24,"yyyy-MM-DD hh:mm:ss")&amp;"-0600',mode:absolute,to:'"&amp;TEXT(I103+1/24,"yyyy-MM-DD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103&amp;"%22')),sort:!(Time,asc))"</f>
        <v>https://search-rtdc-monitor-bjffxe2xuh6vdkpspy63sjmuny.us-east-1.es.amazonaws.com/_plugin/kibana/#/discover/Steve-Slow-Train-Analysis-(2080s-and-2083s)?_g=(refreshInterval:(display:Off,section:0,value:0),time:(from:'2016-10-04 13:25:55-0600',mode:absolute,to:'2016-10-04 16:07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03" s="54" t="str">
        <f>IF(AA103&lt;IF(AG103="EC",23,5.65),"Y","N")</f>
        <v>N</v>
      </c>
      <c r="X103" s="164">
        <f>VALUE(LEFT(AD103,4))-VALUE(LEFT(AD102,4))</f>
        <v>1</v>
      </c>
      <c r="Y103" s="69">
        <f>RIGHT(D103,LEN(D103)-4)/10000</f>
        <v>4.6199999999999998E-2</v>
      </c>
      <c r="Z103" s="69">
        <f>RIGHT(H103,LEN(H103)-4)/10000</f>
        <v>23.331499999999998</v>
      </c>
      <c r="AA103" s="69">
        <f>ABS(Z103-Y103)</f>
        <v>23.285299999999999</v>
      </c>
      <c r="AB103" s="66" t="e">
        <f>VLOOKUP(A103,Enforcements!$C$7:$K$21,8,0)</f>
        <v>#N/A</v>
      </c>
      <c r="AC103" s="62" t="e">
        <f>VLOOKUP(A103,Enforcements!$C$7:$E$21,3,0)</f>
        <v>#N/A</v>
      </c>
      <c r="AD103" s="63" t="str">
        <f>IF(LEN(A103)=6,"0"&amp;A103,A103)</f>
        <v>0187-04</v>
      </c>
      <c r="AE103" s="9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s3://rtdc.mdm.uploadarchive.raw/RTDC4007/ "%USERPROFILE%\AppData\Local\Temp\OnboardLogs"\RTDC4007\2016-10-04 --exclude "*" --recursive --include "*20161004*" &amp; "%USERPROFILE%\Documents\GitHub\mrs-test-scripts\Headless Mode &amp; Sideloading\WalkAndUnGZ.bat" "%USERPROFILE%\AppData\Local\Temp\OnboardLogs"\RTDC4007\2016-10-04 &amp; aws s3 cp s3://rtdc.mdm.uploadarchive.raw/RTDC4007/ "%USERPROFILE%\AppData\Local\Temp\OnboardLogs"\RTDC4007\2016-10-05 --exclude "*" --recursive --include "*20161005*" &amp; "%USERPROFILE%\Documents\GitHub\mrs-test-scripts\Headless Mode &amp; Sideloading\WalkAndUnGZ.bat" "%USERPROFILE%\AppData\Local\Temp\OnboardLogs"\RTDC4007\2016-10-05</v>
      </c>
      <c r="AF103" s="92" t="str">
        <f>astrogrep_path&amp;" /spath="&amp;search_path&amp;" /stypes=""app*"&amp;B103&amp;"*"&amp;TEXT(I103-utc_offset/24,"YYYYMMDD")&amp;"*"" /stext="" "&amp;TEXT(I103-utc_offset/24,"HH")&amp;search_regexp&amp;""" /e /r /s"</f>
        <v>"C:\Program Files (x86)\AstroGrep\AstroGrep.exe" /spath="%USERPROFILE%\AppData\Local\Temp\OnboardLogs" /stypes="app*4007*20161004*" /stext=" 21:.+((SYSTEM_STATE.+slice.+state.+changed )|(ment ac)|(system.+state.+changed )|(\[timeout)|(PRM\|1\|D)|(kpr)|(kdp)|(\|lc)|(penalty))" /e /r /s</v>
      </c>
      <c r="AG103" s="1" t="str">
        <f>IFERROR(IF(VALUE(LEFT(AD103,2))&lt;=2,"EC",IF(OR(VALUE(LEFT(AD103,2))=8,VALUE(LEFT(AD103,2))=18),"NW","Other")),"Other")</f>
        <v>EC</v>
      </c>
      <c r="AH103" s="96" t="str">
        <f t="shared" si="4"/>
        <v>"%USERPROFILE%\Documents\GitHub\eaglep3\Utilities\RefineRTDCRunTimes.py" --tripid 187-04 --locoid 4007 --swversion DE.1.0.7.0 --startMP 204:462 --initTime 2016-10-04T14:25:55 --startdatetime 2016-10-04T14:30:25 --delay 1 --endMP 204:233315 --enddatetime 2016-10-04T15:07:30 --enforcementcount 0 &gt;&gt;C:\Users\stu\Documents\GitHub\eaglep3-reporting\EC\2016-10-04-refined-times.txt</v>
      </c>
      <c r="AI103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{"issue":{"subject":"","project_id":79,"tracker_id":40,"status_id":1,"priority_id":2,"assigned_to_id":23,"start_date":"2016-10-04","description":"","custom_fields":[{"id":1,"name":"Subdivision","value":"EC"},{"id":4,"name":"Milepost","value":"23.3315"},{"id":17,"name":"Train ID","value":"187-04"},{"id":16,"name":"Locomotive ID","value":"4007"},{"id":130,"name":"Impact","value":""},{"id":150,"name":"Time of Event (Mountain Time)","value":"15:07:30"},{"id":151,"name":"Denver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5"/>
      <c r="AK103" s="55"/>
      <c r="AL103" s="55"/>
    </row>
    <row r="104" spans="1:38" s="23" customFormat="1" x14ac:dyDescent="0.25">
      <c r="A104" s="39" t="s">
        <v>510</v>
      </c>
      <c r="B104" s="7">
        <v>4008</v>
      </c>
      <c r="C104" s="24" t="s">
        <v>106</v>
      </c>
      <c r="D104" s="24" t="s">
        <v>641</v>
      </c>
      <c r="E104" s="15">
        <v>42647.657280092593</v>
      </c>
      <c r="F104" s="15">
        <v>42647.658854166664</v>
      </c>
      <c r="G104" s="7">
        <v>2</v>
      </c>
      <c r="H104" s="15" t="s">
        <v>192</v>
      </c>
      <c r="I104" s="15">
        <v>42647.678217592591</v>
      </c>
      <c r="J104" s="7">
        <v>0</v>
      </c>
      <c r="K104" s="117" t="str">
        <f>IF(ISEVEN(B104),(B104-1)&amp;"/"&amp;B104,B104&amp;"/"&amp;(B104+1))</f>
        <v>4007/4008</v>
      </c>
      <c r="L104" s="24" t="str">
        <f>VLOOKUP(A104,'Trips&amp;Operators'!$C$1:$E$10000,3,FALSE)</f>
        <v>BARTLETT</v>
      </c>
      <c r="M104" s="6">
        <f>I104-F104</f>
        <v>1.9363425926712807E-2</v>
      </c>
      <c r="N104" s="7"/>
      <c r="O104" s="7"/>
      <c r="P104" s="7">
        <f>24*60*SUM($M104:$M105)</f>
        <v>33.550000005634502</v>
      </c>
      <c r="Q104" s="25"/>
      <c r="R104" s="25" t="s">
        <v>790</v>
      </c>
      <c r="S104" s="37">
        <f>SUM(U104:U104)/IF(AG104="EC",12,1)</f>
        <v>1</v>
      </c>
      <c r="T104" s="52" t="str">
        <f>IF(ISEVEN(LEFT(AD104,4)),"Southbound","NorthBound")</f>
        <v>Southbound</v>
      </c>
      <c r="U104" s="159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02" t="str">
        <f>"https://search-rtdc-monitor-bjffxe2xuh6vdkpspy63sjmuny.us-east-1.es.amazonaws.com/_plugin/kibana/#/discover/Steve-Slow-Train-Analysis-(2080s-and-2083s)?_g=(refreshInterval:(display:Off,section:0,value:0),time:(from:'"&amp;TEXT(E104-1/24,"yyyy-MM-DD hh:mm:ss")&amp;"-0600',mode:absolute,to:'"&amp;TEXT(I104+1/24,"yyyy-MM-DD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104&amp;"%22')),sort:!(Time,asc))"</f>
        <v>https://search-rtdc-monitor-bjffxe2xuh6vdkpspy63sjmuny.us-east-1.es.amazonaws.com/_plugin/kibana/#/discover/Steve-Slow-Train-Analysis-(2080s-and-2083s)?_g=(refreshInterval:(display:Off,section:0,value:0),time:(from:'2016-10-04 14:46:29-0600',mode:absolute,to:'2016-10-04 17:16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4" s="54" t="str">
        <f>IF(AA104&lt;IF(AG104="EC",23,5.65),"Y","N")</f>
        <v>Y</v>
      </c>
      <c r="X104" s="164">
        <f>VALUE(LEFT(AD104,4))-VALUE(LEFT(AD103,4))</f>
        <v>1</v>
      </c>
      <c r="Y104" s="69">
        <f>RIGHT(D104,LEN(D104)-4)/10000</f>
        <v>12.7898</v>
      </c>
      <c r="Z104" s="69">
        <f>RIGHT(H104,LEN(H104)-4)/10000</f>
        <v>1.6E-2</v>
      </c>
      <c r="AA104" s="69">
        <f>ABS(Z104-Y104)</f>
        <v>12.7738</v>
      </c>
      <c r="AB104" s="66" t="str">
        <f>VLOOKUP(A104,Enforcements!$C$7:$K$21,8,0)</f>
        <v>Signal based authority (5)</v>
      </c>
      <c r="AC104" s="62" t="str">
        <f>VLOOKUP(A104,Enforcements!$C$7:$E$21,3,0)</f>
        <v>SIGNAL</v>
      </c>
      <c r="AD104" s="63" t="str">
        <f>IF(LEN(A104)=6,"0"&amp;A104,A104)</f>
        <v>0188-04</v>
      </c>
      <c r="AE104" s="9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s3://rtdc.mdm.uploadarchive.raw/RTDC4008/ "%USERPROFILE%\AppData\Local\Temp\OnboardLogs"\RTDC4008\2016-10-04 --exclude "*" --recursive --include "*20161004*" &amp; "%USERPROFILE%\Documents\GitHub\mrs-test-scripts\Headless Mode &amp; Sideloading\WalkAndUnGZ.bat" "%USERPROFILE%\AppData\Local\Temp\OnboardLogs"\RTDC4008\2016-10-04 &amp; aws s3 cp s3://rtdc.mdm.uploadarchive.raw/RTDC4008/ "%USERPROFILE%\AppData\Local\Temp\OnboardLogs"\RTDC4008\2016-10-05 --exclude "*" --recursive --include "*20161005*" &amp; "%USERPROFILE%\Documents\GitHub\mrs-test-scripts\Headless Mode &amp; Sideloading\WalkAndUnGZ.bat" "%USERPROFILE%\AppData\Local\Temp\OnboardLogs"\RTDC4008\2016-10-05</v>
      </c>
      <c r="AF104" s="92" t="str">
        <f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/stypes="app*4008*20161004*" /stext=" 22:.+((SYSTEM_STATE.+slice.+state.+changed )|(ment ac)|(system.+state.+changed )|(\[timeout)|(PRM\|1\|D)|(kpr)|(kdp)|(\|lc)|(penalty))" /e /r /s</v>
      </c>
      <c r="AG104" s="1" t="str">
        <f>IFERROR(IF(VALUE(LEFT(AD104,2))&lt;=2,"EC",IF(OR(VALUE(LEFT(AD104,2))=8,VALUE(LEFT(AD104,2))=18),"NW","Other")),"Other")</f>
        <v>EC</v>
      </c>
      <c r="AH104" s="96" t="str">
        <f t="shared" si="4"/>
        <v>"%USERPROFILE%\Documents\GitHub\eaglep3\Utilities\RefineRTDCRunTimes.py" --tripid 188-04 --locoid 4008 --swversion DE.1.0.7.0 --startMP 204:127898 --initTime 2016-10-04T15:46:29 --startdatetime 2016-10-04T15:48:45 --delay 2 --endMP 204:160 --enddatetime 2016-10-04T16:16:38 --enforcementcount 0 &gt;&gt;C:\Users\stu\Documents\GitHub\eaglep3-reporting\EC\2016-10-04-refined-times.txt</v>
      </c>
      <c r="AI104" s="130" t="str">
        <f t="shared" si="5"/>
        <v>echo {"issue":{"subject":"Long Wi-MAX outage with RTDC 4008","project_id":79,"tracker_id":40,"status_id":1,"priority_id":2,"assigned_to_id":23,"start_date":"2016-10-04","description":"","custom_fields":[{"id":1,"name":"Subdivision","value":"EC"},{"id":4,"name":"Milepost","value":"0.016"},{"id":17,"name":"Train ID","value":"188-04"},{"id":16,"name":"Locomotive ID","value":"4008"},{"id":130,"name":"Impact","value":""},{"id":150,"name":"Time of Event (Mountain Time)","value":"16:16:38"},{"id":151,"name":"Denver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5"/>
      <c r="AK104" s="55"/>
      <c r="AL104" s="55"/>
    </row>
    <row r="105" spans="1:38" x14ac:dyDescent="0.25">
      <c r="A105" s="39" t="s">
        <v>510</v>
      </c>
      <c r="B105" s="7">
        <v>4008</v>
      </c>
      <c r="C105" s="24" t="s">
        <v>106</v>
      </c>
      <c r="D105" s="24" t="s">
        <v>642</v>
      </c>
      <c r="E105" s="15">
        <v>42647.650891203702</v>
      </c>
      <c r="F105" s="15">
        <v>42647.65247685185</v>
      </c>
      <c r="G105" s="7">
        <v>2</v>
      </c>
      <c r="H105" s="15" t="s">
        <v>636</v>
      </c>
      <c r="I105" s="15">
        <v>42647.656412037039</v>
      </c>
      <c r="J105" s="7">
        <v>1</v>
      </c>
      <c r="K105" s="117" t="str">
        <f>IF(ISEVEN(B105),(B105-1)&amp;"/"&amp;B105,B105&amp;"/"&amp;(B105+1))</f>
        <v>4007/4008</v>
      </c>
      <c r="L105" s="24" t="str">
        <f>VLOOKUP(A105,'Trips&amp;Operators'!$C$1:$E$10000,3,FALSE)</f>
        <v>BARTLETT</v>
      </c>
      <c r="M105" s="6">
        <f>I105-F105</f>
        <v>3.9351851883111522E-3</v>
      </c>
      <c r="N105" s="7"/>
      <c r="O105" s="7"/>
      <c r="P105" s="7"/>
      <c r="Q105" s="25"/>
      <c r="R105" s="25"/>
      <c r="S105" s="37"/>
      <c r="T105" s="52" t="str">
        <f>IF(ISEVEN(LEFT(AD105,4)),"Southbound","NorthBound")</f>
        <v>Southbound</v>
      </c>
      <c r="U105" s="159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0</v>
      </c>
      <c r="V105" s="102" t="str">
        <f>"https://search-rtdc-monitor-bjffxe2xuh6vdkpspy63sjmuny.us-east-1.es.amazonaws.com/_plugin/kibana/#/discover/Steve-Slow-Train-Analysis-(2080s-and-2083s)?_g=(refreshInterval:(display:Off,section:0,value:0),time:(from:'"&amp;TEXT(E105-1/24,"yyyy-MM-DD hh:mm:ss")&amp;"-0600',mode:absolute,to:'"&amp;TEXT(I105+1/24,"yyyy-MM-DD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105&amp;"%22')),sort:!(Time,asc))"</f>
        <v>https://search-rtdc-monitor-bjffxe2xuh6vdkpspy63sjmuny.us-east-1.es.amazonaws.com/_plugin/kibana/#/discover/Steve-Slow-Train-Analysis-(2080s-and-2083s)?_g=(refreshInterval:(display:Off,section:0,value:0),time:(from:'2016-10-04 14:37:17-0600',mode:absolute,to:'2016-10-04 16:45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05" s="54" t="str">
        <f>IF(AA105&lt;IF(AG105="EC",23,5.65),"Y","N")</f>
        <v>Y</v>
      </c>
      <c r="X105" s="164">
        <f>VALUE(LEFT(AD105,4))-VALUE(LEFT(AD104,4))</f>
        <v>0</v>
      </c>
      <c r="Y105" s="69">
        <f>RIGHT(D105,LEN(D105)-4)/10000</f>
        <v>15.4046</v>
      </c>
      <c r="Z105" s="69">
        <f>RIGHT(H105,LEN(H105)-4)/10000</f>
        <v>14.489100000000001</v>
      </c>
      <c r="AA105" s="69">
        <f>ABS(Z105-Y105)</f>
        <v>0.91549999999999976</v>
      </c>
      <c r="AB105" s="66" t="str">
        <f>VLOOKUP(A105,Enforcements!$C$7:$K$21,8,0)</f>
        <v>Signal based authority (5)</v>
      </c>
      <c r="AC105" s="62" t="str">
        <f>VLOOKUP(A105,Enforcements!$C$7:$E$21,3,0)</f>
        <v>SIGNAL</v>
      </c>
      <c r="AD105" s="63" t="str">
        <f>IF(LEN(A105)=6,"0"&amp;A105,A105)</f>
        <v>0188-04</v>
      </c>
      <c r="AE105" s="9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s3://rtdc.mdm.uploadarchive.raw/RTDC4008/ "%USERPROFILE%\AppData\Local\Temp\OnboardLogs"\RTDC4008\2016-10-04 --exclude "*" --recursive --include "*20161004*" &amp; "%USERPROFILE%\Documents\GitHub\mrs-test-scripts\Headless Mode &amp; Sideloading\WalkAndUnGZ.bat" "%USERPROFILE%\AppData\Local\Temp\OnboardLogs"\RTDC4008\2016-10-04 &amp; aws s3 cp s3://rtdc.mdm.uploadarchive.raw/RTDC4008/ "%USERPROFILE%\AppData\Local\Temp\OnboardLogs"\RTDC4008\2016-10-05 --exclude "*" --recursive --include "*20161005*" &amp; "%USERPROFILE%\Documents\GitHub\mrs-test-scripts\Headless Mode &amp; Sideloading\WalkAndUnGZ.bat" "%USERPROFILE%\AppData\Local\Temp\OnboardLogs"\RTDC4008\2016-10-05</v>
      </c>
      <c r="AF105" s="92" t="str">
        <f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/stypes="app*4008*20161004*" /stext=" 21:.+((SYSTEM_STATE.+slice.+state.+changed )|(ment ac)|(system.+state.+changed )|(\[timeout)|(PRM\|1\|D)|(kpr)|(kdp)|(\|lc)|(penalty))" /e /r /s</v>
      </c>
      <c r="AG105" s="1" t="str">
        <f>IFERROR(IF(VALUE(LEFT(AD105,2))&lt;=2,"EC",IF(OR(VALUE(LEFT(AD105,2))=8,VALUE(LEFT(AD105,2))=18),"NW","Other")),"Other")</f>
        <v>EC</v>
      </c>
      <c r="AH105" s="96" t="str">
        <f t="shared" si="4"/>
        <v>"%USERPROFILE%\Documents\GitHub\eaglep3\Utilities\RefineRTDCRunTimes.py" --tripid 188-04 --locoid 4008 --swversion DE.1.0.7.0 --startMP 204:154046 --initTime 2016-10-04T15:37:17 --startdatetime 2016-10-04T15:39:34 --delay 2 --endMP 204:144891 --enddatetime 2016-10-04T15:45:14 --enforcementcount 1 &gt;&gt;C:\Users\stu\Documents\GitHub\eaglep3-reporting\EC\2016-10-04-refined-times.txt</v>
      </c>
      <c r="AI105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{"issue":{"subject":"","project_id":79,"tracker_id":40,"status_id":1,"priority_id":2,"assigned_to_id":23,"start_date":"2016-10-04","description":"","custom_fields":[{"id":1,"name":"Subdivision","value":"EC"},{"id":4,"name":"Milepost","value":"14.4891"},{"id":17,"name":"Train ID","value":"188-04"},{"id":16,"name":"Locomotive ID","value":"4008"},{"id":130,"name":"Impact","value":""},{"id":150,"name":"Time of Event (Mountain Time)","value":"15:45:14"},{"id":151,"name":"Denver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5"/>
      <c r="AK105" s="55"/>
      <c r="AL105" s="55"/>
    </row>
    <row r="106" spans="1:38" x14ac:dyDescent="0.25">
      <c r="A106" s="39" t="s">
        <v>501</v>
      </c>
      <c r="B106" s="7">
        <v>4042</v>
      </c>
      <c r="C106" s="24" t="s">
        <v>106</v>
      </c>
      <c r="D106" s="24" t="s">
        <v>251</v>
      </c>
      <c r="E106" s="15">
        <v>42647.609826388885</v>
      </c>
      <c r="F106" s="15">
        <v>42647.614814814813</v>
      </c>
      <c r="G106" s="7">
        <v>2</v>
      </c>
      <c r="H106" s="15" t="s">
        <v>315</v>
      </c>
      <c r="I106" s="15">
        <v>42647.640011574076</v>
      </c>
      <c r="J106" s="7">
        <v>0</v>
      </c>
      <c r="K106" s="117" t="str">
        <f>IF(ISEVEN(B106),(B106-1)&amp;"/"&amp;B106,B106&amp;"/"&amp;(B106+1))</f>
        <v>4041/4042</v>
      </c>
      <c r="L106" s="24" t="str">
        <f>VLOOKUP(A106,'Trips&amp;Operators'!$C$1:$E$10000,3,FALSE)</f>
        <v>STEWART</v>
      </c>
      <c r="M106" s="6">
        <f>I106-F106</f>
        <v>2.5196759263053536E-2</v>
      </c>
      <c r="N106" s="7">
        <f>24*60*SUM($M106:$M106)</f>
        <v>36.283333338797092</v>
      </c>
      <c r="O106" s="7"/>
      <c r="P106" s="7"/>
      <c r="Q106" s="25"/>
      <c r="R106" s="25"/>
      <c r="S106" s="37">
        <f>SUM(U106:U106)/IF(AG106="EC",12,1)</f>
        <v>1</v>
      </c>
      <c r="T106" s="52" t="str">
        <f>IF(ISEVEN(LEFT(AD106,4)),"Southbound","NorthBound")</f>
        <v>NorthBound</v>
      </c>
      <c r="U106" s="159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02" t="str">
        <f>"https://search-rtdc-monitor-bjffxe2xuh6vdkpspy63sjmuny.us-east-1.es.amazonaws.com/_plugin/kibana/#/discover/Steve-Slow-Train-Analysis-(2080s-and-2083s)?_g=(refreshInterval:(display:Off,section:0,value:0),time:(from:'"&amp;TEXT(E106-1/24,"yyyy-MM-DD hh:mm:ss")&amp;"-0600',mode:absolute,to:'"&amp;TEXT(I106+1/24,"yyyy-MM-DD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106&amp;"%22')),sort:!(Time,asc))"</f>
        <v>https://search-rtdc-monitor-bjffxe2xuh6vdkpspy63sjmuny.us-east-1.es.amazonaws.com/_plugin/kibana/#/discover/Steve-Slow-Train-Analysis-(2080s-and-2083s)?_g=(refreshInterval:(display:Off,section:0,value:0),time:(from:'2016-10-04 13:38:09-0600',mode:absolute,to:'2016-10-04 16:21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6" s="54" t="str">
        <f>IF(AA106&lt;IF(AG106="EC",23,5.65),"Y","N")</f>
        <v>N</v>
      </c>
      <c r="X106" s="164">
        <f>VALUE(LEFT(AD106,4))-VALUE(LEFT(AD105,4))</f>
        <v>1</v>
      </c>
      <c r="Y106" s="69">
        <f>RIGHT(D106,LEN(D106)-4)/10000</f>
        <v>4.7699999999999999E-2</v>
      </c>
      <c r="Z106" s="69">
        <f>RIGHT(H106,LEN(H106)-4)/10000</f>
        <v>23.329499999999999</v>
      </c>
      <c r="AA106" s="69">
        <f>ABS(Z106-Y106)</f>
        <v>23.2818</v>
      </c>
      <c r="AB106" s="66" t="e">
        <f>VLOOKUP(A106,Enforcements!$C$7:$K$21,8,0)</f>
        <v>#N/A</v>
      </c>
      <c r="AC106" s="62" t="e">
        <f>VLOOKUP(A106,Enforcements!$C$7:$E$21,3,0)</f>
        <v>#N/A</v>
      </c>
      <c r="AD106" s="63" t="str">
        <f>IF(LEN(A106)=6,"0"&amp;A106,A106)</f>
        <v>0189-04</v>
      </c>
      <c r="AE106" s="9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s3://rtdc.mdm.uploadarchive.raw/RTDC4042/ "%USERPROFILE%\AppData\Local\Temp\OnboardLogs"\RTDC4042\2016-10-04 --exclude "*" --recursive --include "*20161004*" &amp; "%USERPROFILE%\Documents\GitHub\mrs-test-scripts\Headless Mode &amp; Sideloading\WalkAndUnGZ.bat" "%USERPROFILE%\AppData\Local\Temp\OnboardLogs"\RTDC4042\2016-10-04 &amp; aws s3 cp s3://rtdc.mdm.uploadarchive.raw/RTDC4042/ "%USERPROFILE%\AppData\Local\Temp\OnboardLogs"\RTDC4042\2016-10-05 --exclude "*" --recursive --include "*20161005*" &amp; "%USERPROFILE%\Documents\GitHub\mrs-test-scripts\Headless Mode &amp; Sideloading\WalkAndUnGZ.bat" "%USERPROFILE%\AppData\Local\Temp\OnboardLogs"\RTDC4042\2016-10-05</v>
      </c>
      <c r="AF106" s="92" t="str">
        <f>astrogrep_path&amp;" /spath="&amp;search_path&amp;" /stypes=""app*"&amp;B106&amp;"*"&amp;TEXT(I106-utc_offset/24,"YYYYMMDD")&amp;"*"" /stext="" "&amp;TEXT(I106-utc_offset/24,"HH")&amp;search_regexp&amp;""" /e /r /s"</f>
        <v>"C:\Program Files (x86)\AstroGrep\AstroGrep.exe" /spath="%USERPROFILE%\AppData\Local\Temp\OnboardLogs" /stypes="app*4042*20161004*" /stext=" 21:.+((SYSTEM_STATE.+slice.+state.+changed )|(ment ac)|(system.+state.+changed )|(\[timeout)|(PRM\|1\|D)|(kpr)|(kdp)|(\|lc)|(penalty))" /e /r /s</v>
      </c>
      <c r="AG106" s="1" t="str">
        <f>IFERROR(IF(VALUE(LEFT(AD106,2))&lt;=2,"EC",IF(OR(VALUE(LEFT(AD106,2))=8,VALUE(LEFT(AD106,2))=18),"NW","Other")),"Other")</f>
        <v>EC</v>
      </c>
      <c r="AH106" s="96" t="str">
        <f t="shared" si="4"/>
        <v>"%USERPROFILE%\Documents\GitHub\eaglep3\Utilities\RefineRTDCRunTimes.py" --tripid 189-04 --locoid 4042 --swversion DE.1.0.7.0 --startMP 204:477 --initTime 2016-10-04T14:38:09 --startdatetime 2016-10-04T14:45:20 --delay 2 --endMP 204:233295 --enddatetime 2016-10-04T15:21:37 --enforcementcount 0 &gt;&gt;C:\Users\stu\Documents\GitHub\eaglep3-reporting\EC\2016-10-04-refined-times.txt</v>
      </c>
      <c r="AI106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{"issue":{"subject":"","project_id":79,"tracker_id":40,"status_id":1,"priority_id":2,"assigned_to_id":23,"start_date":"2016-10-04","description":"","custom_fields":[{"id":1,"name":"Subdivision","value":"EC"},{"id":4,"name":"Milepost","value":"23.3295"},{"id":17,"name":"Train ID","value":"189-04"},{"id":16,"name":"Locomotive ID","value":"4042"},{"id":130,"name":"Impact","value":""},{"id":150,"name":"Time of Event (Mountain Time)","value":"15:21:37"},{"id":151,"name":"Denver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5"/>
      <c r="AK106" s="55"/>
      <c r="AL106" s="55"/>
    </row>
    <row r="107" spans="1:38" s="23" customFormat="1" x14ac:dyDescent="0.25">
      <c r="A107" s="39" t="s">
        <v>512</v>
      </c>
      <c r="B107" s="7">
        <v>4041</v>
      </c>
      <c r="C107" s="24" t="s">
        <v>106</v>
      </c>
      <c r="D107" s="24" t="s">
        <v>643</v>
      </c>
      <c r="E107" s="15">
        <v>42647.651365740741</v>
      </c>
      <c r="F107" s="15">
        <v>42647.653645833336</v>
      </c>
      <c r="G107" s="7">
        <v>2</v>
      </c>
      <c r="H107" s="15" t="s">
        <v>250</v>
      </c>
      <c r="I107" s="15">
        <v>42647.683182870373</v>
      </c>
      <c r="J107" s="7">
        <v>0</v>
      </c>
      <c r="K107" s="117" t="str">
        <f>IF(ISEVEN(B107),(B107-1)&amp;"/"&amp;B107,B107&amp;"/"&amp;(B107+1))</f>
        <v>4041/4042</v>
      </c>
      <c r="L107" s="24" t="str">
        <f>VLOOKUP(A107,'Trips&amp;Operators'!$C$1:$E$10000,3,FALSE)</f>
        <v>STEWART</v>
      </c>
      <c r="M107" s="6">
        <f>I107-F107</f>
        <v>2.9537037036789116E-2</v>
      </c>
      <c r="N107" s="7">
        <f>24*60*SUM($M107:$M107)</f>
        <v>42.533333332976326</v>
      </c>
      <c r="O107" s="7"/>
      <c r="P107" s="7"/>
      <c r="Q107" s="25"/>
      <c r="R107" s="25"/>
      <c r="S107" s="37">
        <f>SUM(U107:U107)/IF(AG107="EC",12,1)</f>
        <v>1</v>
      </c>
      <c r="T107" s="52" t="str">
        <f>IF(ISEVEN(LEFT(AD107,4)),"Southbound","NorthBound")</f>
        <v>Southbound</v>
      </c>
      <c r="U107" s="159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02" t="str">
        <f>"https://search-rtdc-monitor-bjffxe2xuh6vdkpspy63sjmuny.us-east-1.es.amazonaws.com/_plugin/kibana/#/discover/Steve-Slow-Train-Analysis-(2080s-and-2083s)?_g=(refreshInterval:(display:Off,section:0,value:0),time:(from:'"&amp;TEXT(E107-1/24,"yyyy-MM-DD hh:mm:ss")&amp;"-0600',mode:absolute,to:'"&amp;TEXT(I107+1/24,"yyyy-MM-DD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107&amp;"%22')),sort:!(Time,asc))"</f>
        <v>https://search-rtdc-monitor-bjffxe2xuh6vdkpspy63sjmuny.us-east-1.es.amazonaws.com/_plugin/kibana/#/discover/Steve-Slow-Train-Analysis-(2080s-and-2083s)?_g=(refreshInterval:(display:Off,section:0,value:0),time:(from:'2016-10-04 14:37:58-0600',mode:absolute,to:'2016-10-04 17:23:47-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7" s="54" t="str">
        <f>IF(AA107&lt;IF(AG107="EC",23,5.65),"Y","N")</f>
        <v>N</v>
      </c>
      <c r="X107" s="164">
        <f>VALUE(LEFT(AD107,4))-VALUE(LEFT(AD106,4))</f>
        <v>1</v>
      </c>
      <c r="Y107" s="69">
        <f>RIGHT(D107,LEN(D107)-4)/10000</f>
        <v>23.2959</v>
      </c>
      <c r="Z107" s="69">
        <f>RIGHT(H107,LEN(H107)-4)/10000</f>
        <v>1.61E-2</v>
      </c>
      <c r="AA107" s="69">
        <f>ABS(Z107-Y107)</f>
        <v>23.279799999999998</v>
      </c>
      <c r="AB107" s="66" t="e">
        <f>VLOOKUP(A107,Enforcements!$C$7:$K$21,8,0)</f>
        <v>#N/A</v>
      </c>
      <c r="AC107" s="62" t="e">
        <f>VLOOKUP(A107,Enforcements!$C$7:$E$21,3,0)</f>
        <v>#N/A</v>
      </c>
      <c r="AD107" s="63" t="str">
        <f>IF(LEN(A107)=6,"0"&amp;A107,A107)</f>
        <v>0190-04</v>
      </c>
      <c r="AE107" s="9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s3://rtdc.mdm.uploadarchive.raw/RTDC4041/ "%USERPROFILE%\AppData\Local\Temp\OnboardLogs"\RTDC4041\2016-10-04 --exclude "*" --recursive --include "*20161004*" &amp; "%USERPROFILE%\Documents\GitHub\mrs-test-scripts\Headless Mode &amp; Sideloading\WalkAndUnGZ.bat" "%USERPROFILE%\AppData\Local\Temp\OnboardLogs"\RTDC4041\2016-10-04 &amp; aws s3 cp s3://rtdc.mdm.uploadarchive.raw/RTDC4041/ "%USERPROFILE%\AppData\Local\Temp\OnboardLogs"\RTDC4041\2016-10-05 --exclude "*" --recursive --include "*20161005*" &amp; "%USERPROFILE%\Documents\GitHub\mrs-test-scripts\Headless Mode &amp; Sideloading\WalkAndUnGZ.bat" "%USERPROFILE%\AppData\Local\Temp\OnboardLogs"\RTDC4041\2016-10-05</v>
      </c>
      <c r="AF107" s="92" t="str">
        <f>astrogrep_path&amp;" /spath="&amp;search_path&amp;" /stypes=""app*"&amp;B107&amp;"*"&amp;TEXT(I107-utc_offset/24,"YYYYMMDD")&amp;"*"" /stext="" "&amp;TEXT(I107-utc_offset/24,"HH")&amp;search_regexp&amp;""" /e /r /s"</f>
        <v>"C:\Program Files (x86)\AstroGrep\AstroGrep.exe" /spath="%USERPROFILE%\AppData\Local\Temp\OnboardLogs" /stypes="app*4041*20161004*" /stext=" 22:.+((SYSTEM_STATE.+slice.+state.+changed )|(ment ac)|(system.+state.+changed )|(\[timeout)|(PRM\|1\|D)|(kpr)|(kdp)|(\|lc)|(penalty))" /e /r /s</v>
      </c>
      <c r="AG107" s="1" t="str">
        <f>IFERROR(IF(VALUE(LEFT(AD107,2))&lt;=2,"EC",IF(OR(VALUE(LEFT(AD107,2))=8,VALUE(LEFT(AD107,2))=18),"NW","Other")),"Other")</f>
        <v>EC</v>
      </c>
      <c r="AH107" s="96" t="str">
        <f t="shared" si="4"/>
        <v>"%USERPROFILE%\Documents\GitHub\eaglep3\Utilities\RefineRTDCRunTimes.py" --tripid 190-04 --locoid 4041 --swversion DE.1.0.7.0 --startMP 204:232959 --initTime 2016-10-04T15:37:58 --startdatetime 2016-10-04T15:41:15 --delay 2 --endMP 204:161 --enddatetime 2016-10-04T16:23:47 --enforcementcount 0 &gt;&gt;C:\Users\stu\Documents\GitHub\eaglep3-reporting\EC\2016-10-04-refined-times.txt</v>
      </c>
      <c r="AI107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{"issue":{"subject":"","project_id":79,"tracker_id":40,"status_id":1,"priority_id":2,"assigned_to_id":23,"start_date":"2016-10-04","description":"","custom_fields":[{"id":1,"name":"Subdivision","value":"EC"},{"id":4,"name":"Milepost","value":"0.0161"},{"id":17,"name":"Train ID","value":"190-04"},{"id":16,"name":"Locomotive ID","value":"4041"},{"id":130,"name":"Impact","value":""},{"id":150,"name":"Time of Event (Mountain Time)","value":"16:23:47"},{"id":151,"name":"Denver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5"/>
      <c r="AK107" s="55"/>
      <c r="AL107" s="55"/>
    </row>
    <row r="108" spans="1:38" s="23" customFormat="1" x14ac:dyDescent="0.25">
      <c r="A108" s="39" t="s">
        <v>504</v>
      </c>
      <c r="B108" s="7">
        <v>4029</v>
      </c>
      <c r="C108" s="24" t="s">
        <v>106</v>
      </c>
      <c r="D108" s="24" t="s">
        <v>193</v>
      </c>
      <c r="E108" s="15">
        <v>42647.62122685185</v>
      </c>
      <c r="F108" s="15">
        <v>42647.625405092593</v>
      </c>
      <c r="G108" s="7">
        <v>2</v>
      </c>
      <c r="H108" s="15" t="s">
        <v>211</v>
      </c>
      <c r="I108" s="15">
        <v>42647.649502314816</v>
      </c>
      <c r="J108" s="7">
        <v>0</v>
      </c>
      <c r="K108" s="117" t="str">
        <f>IF(ISEVEN(B108),(B108-1)&amp;"/"&amp;B108,B108&amp;"/"&amp;(B108+1))</f>
        <v>4029/4030</v>
      </c>
      <c r="L108" s="24" t="str">
        <f>VLOOKUP(A108,'Trips&amp;Operators'!$C$1:$E$10000,3,FALSE)</f>
        <v>HELVIE</v>
      </c>
      <c r="M108" s="6">
        <f>I108-F108</f>
        <v>2.4097222223645076E-2</v>
      </c>
      <c r="N108" s="7">
        <f>24*60*SUM($M108:$M108)</f>
        <v>34.70000000204891</v>
      </c>
      <c r="O108" s="7"/>
      <c r="P108" s="7"/>
      <c r="Q108" s="25"/>
      <c r="R108" s="25"/>
      <c r="S108" s="37">
        <f>SUM(U108:U108)/IF(AG108="EC",12,1)</f>
        <v>1</v>
      </c>
      <c r="T108" s="52" t="str">
        <f>IF(ISEVEN(LEFT(AD108,4)),"Southbound","NorthBound")</f>
        <v>NorthBound</v>
      </c>
      <c r="U108" s="159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02" t="str">
        <f>"https://search-rtdc-monitor-bjffxe2xuh6vdkpspy63sjmuny.us-east-1.es.amazonaws.com/_plugin/kibana/#/discover/Steve-Slow-Train-Analysis-(2080s-and-2083s)?_g=(refreshInterval:(display:Off,section:0,value:0),time:(from:'"&amp;TEXT(E108-1/24,"yyyy-MM-DD hh:mm:ss")&amp;"-0600',mode:absolute,to:'"&amp;TEXT(I108+1/24,"yyyy-MM-DD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108&amp;"%22')),sort:!(Time,asc))"</f>
        <v>https://search-rtdc-monitor-bjffxe2xuh6vdkpspy63sjmuny.us-east-1.es.amazonaws.com/_plugin/kibana/#/discover/Steve-Slow-Train-Analysis-(2080s-and-2083s)?_g=(refreshInterval:(display:Off,section:0,value:0),time:(from:'2016-10-04 13:54:34-0600',mode:absolute,to:'2016-10-04 16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08" s="54" t="str">
        <f>IF(AA108&lt;IF(AG108="EC",23,5.65),"Y","N")</f>
        <v>N</v>
      </c>
      <c r="X108" s="164">
        <f>VALUE(LEFT(AD108,4))-VALUE(LEFT(AD107,4))</f>
        <v>1</v>
      </c>
      <c r="Y108" s="69">
        <f>RIGHT(D108,LEN(D108)-4)/10000</f>
        <v>4.7100000000000003E-2</v>
      </c>
      <c r="Z108" s="69">
        <f>RIGHT(H108,LEN(H108)-4)/10000</f>
        <v>23.331399999999999</v>
      </c>
      <c r="AA108" s="69">
        <f>ABS(Z108-Y108)</f>
        <v>23.284299999999998</v>
      </c>
      <c r="AB108" s="66" t="e">
        <f>VLOOKUP(A108,Enforcements!$C$7:$K$21,8,0)</f>
        <v>#N/A</v>
      </c>
      <c r="AC108" s="62" t="e">
        <f>VLOOKUP(A108,Enforcements!$C$7:$E$21,3,0)</f>
        <v>#N/A</v>
      </c>
      <c r="AD108" s="63" t="str">
        <f>IF(LEN(A108)=6,"0"&amp;A108,A108)</f>
        <v>0191-04</v>
      </c>
      <c r="AE108" s="9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s3://rtdc.mdm.uploadarchive.raw/RTDC4029/ "%USERPROFILE%\AppData\Local\Temp\OnboardLogs"\RTDC4029\2016-10-04 --exclude "*" --recursive --include "*20161004*" &amp; "%USERPROFILE%\Documents\GitHub\mrs-test-scripts\Headless Mode &amp; Sideloading\WalkAndUnGZ.bat" "%USERPROFILE%\AppData\Local\Temp\OnboardLogs"\RTDC4029\2016-10-04 &amp; aws s3 cp s3://rtdc.mdm.uploadarchive.raw/RTDC4029/ "%USERPROFILE%\AppData\Local\Temp\OnboardLogs"\RTDC4029\2016-10-05 --exclude "*" --recursive --include "*20161005*" &amp; "%USERPROFILE%\Documents\GitHub\mrs-test-scripts\Headless Mode &amp; Sideloading\WalkAndUnGZ.bat" "%USERPROFILE%\AppData\Local\Temp\OnboardLogs"\RTDC4029\2016-10-05</v>
      </c>
      <c r="AF108" s="92" t="str">
        <f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/stypes="app*4029*20161004*" /stext=" 21:.+((SYSTEM_STATE.+slice.+state.+changed )|(ment ac)|(system.+state.+changed )|(\[timeout)|(PRM\|1\|D)|(kpr)|(kdp)|(\|lc)|(penalty))" /e /r /s</v>
      </c>
      <c r="AG108" s="1" t="str">
        <f>IFERROR(IF(VALUE(LEFT(AD108,2))&lt;=2,"EC",IF(OR(VALUE(LEFT(AD108,2))=8,VALUE(LEFT(AD108,2))=18),"NW","Other")),"Other")</f>
        <v>EC</v>
      </c>
      <c r="AH108" s="96" t="str">
        <f t="shared" si="4"/>
        <v>"%USERPROFILE%\Documents\GitHub\eaglep3\Utilities\RefineRTDCRunTimes.py" --tripid 191-04 --locoid 4029 --swversion DE.1.0.7.0 --startMP 204:471 --initTime 2016-10-04T14:54:34 --startdatetime 2016-10-04T15:00:35 --delay 2 --endMP 204:233314 --enddatetime 2016-10-04T15:35:17 --enforcementcount 0 &gt;&gt;C:\Users\stu\Documents\GitHub\eaglep3-reporting\EC\2016-10-04-refined-times.txt</v>
      </c>
      <c r="AI108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{"issue":{"subject":"","project_id":79,"tracker_id":40,"status_id":1,"priority_id":2,"assigned_to_id":23,"start_date":"2016-10-04","description":"","custom_fields":[{"id":1,"name":"Subdivision","value":"EC"},{"id":4,"name":"Milepost","value":"23.3314"},{"id":17,"name":"Train ID","value":"191-04"},{"id":16,"name":"Locomotive ID","value":"4029"},{"id":130,"name":"Impact","value":""},{"id":150,"name":"Time of Event (Mountain Time)","value":"15:35:17"},{"id":151,"name":"Denver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5"/>
      <c r="AK108" s="55"/>
      <c r="AL108" s="55"/>
    </row>
    <row r="109" spans="1:38" s="23" customFormat="1" x14ac:dyDescent="0.25">
      <c r="A109" s="39" t="s">
        <v>515</v>
      </c>
      <c r="B109" s="7">
        <v>4030</v>
      </c>
      <c r="C109" s="24" t="s">
        <v>106</v>
      </c>
      <c r="D109" s="24" t="s">
        <v>633</v>
      </c>
      <c r="E109" s="15">
        <v>42647.660532407404</v>
      </c>
      <c r="F109" s="15">
        <v>42647.664085648146</v>
      </c>
      <c r="G109" s="7">
        <v>1</v>
      </c>
      <c r="H109" s="15" t="s">
        <v>195</v>
      </c>
      <c r="I109" s="15">
        <v>42647.692453703705</v>
      </c>
      <c r="J109" s="7">
        <v>0</v>
      </c>
      <c r="K109" s="117" t="str">
        <f>IF(ISEVEN(B109),(B109-1)&amp;"/"&amp;B109,B109&amp;"/"&amp;(B109+1))</f>
        <v>4029/4030</v>
      </c>
      <c r="L109" s="24" t="str">
        <f>VLOOKUP(A109,'Trips&amp;Operators'!$C$1:$E$10000,3,FALSE)</f>
        <v>HELVIE</v>
      </c>
      <c r="M109" s="6">
        <f>I109-F109</f>
        <v>2.8368055558530614E-2</v>
      </c>
      <c r="N109" s="7">
        <f>24*60*SUM($M109:$M109)</f>
        <v>40.850000004284084</v>
      </c>
      <c r="O109" s="7"/>
      <c r="P109" s="7"/>
      <c r="Q109" s="25"/>
      <c r="R109" s="25"/>
      <c r="S109" s="37">
        <f>SUM(U109:U109)/IF(AG109="EC",12,1)</f>
        <v>1</v>
      </c>
      <c r="T109" s="52" t="str">
        <f>IF(ISEVEN(LEFT(AD109,4)),"Southbound","NorthBound")</f>
        <v>Southbound</v>
      </c>
      <c r="U109" s="159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02" t="str">
        <f>"https://search-rtdc-monitor-bjffxe2xuh6vdkpspy63sjmuny.us-east-1.es.amazonaws.com/_plugin/kibana/#/discover/Steve-Slow-Train-Analysis-(2080s-and-2083s)?_g=(refreshInterval:(display:Off,section:0,value:0),time:(from:'"&amp;TEXT(E109-1/24,"yyyy-MM-DD hh:mm:ss")&amp;"-0600',mode:absolute,to:'"&amp;TEXT(I109+1/24,"yyyy-MM-DD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109&amp;"%22')),sort:!(Time,asc))"</f>
        <v>https://search-rtdc-monitor-bjffxe2xuh6vdkpspy63sjmuny.us-east-1.es.amazonaws.com/_plugin/kibana/#/discover/Steve-Slow-Train-Analysis-(2080s-and-2083s)?_g=(refreshInterval:(display:Off,section:0,value:0),time:(from:'2016-10-04 14:51:10-0600',mode:absolute,to:'2016-10-04 17:37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09" s="54" t="str">
        <f>IF(AA109&lt;IF(AG109="EC",23,5.65),"Y","N")</f>
        <v>N</v>
      </c>
      <c r="X109" s="164">
        <f>VALUE(LEFT(AD109,4))-VALUE(LEFT(AD108,4))</f>
        <v>1</v>
      </c>
      <c r="Y109" s="69">
        <f>RIGHT(D109,LEN(D109)-4)/10000</f>
        <v>23.2974</v>
      </c>
      <c r="Z109" s="69">
        <f>RIGHT(H109,LEN(H109)-4)/10000</f>
        <v>1.47E-2</v>
      </c>
      <c r="AA109" s="69">
        <f>ABS(Z109-Y109)</f>
        <v>23.282699999999998</v>
      </c>
      <c r="AB109" s="66" t="e">
        <f>VLOOKUP(A109,Enforcements!$C$7:$K$21,8,0)</f>
        <v>#N/A</v>
      </c>
      <c r="AC109" s="62" t="e">
        <f>VLOOKUP(A109,Enforcements!$C$7:$E$21,3,0)</f>
        <v>#N/A</v>
      </c>
      <c r="AD109" s="63" t="str">
        <f>IF(LEN(A109)=6,"0"&amp;A109,A109)</f>
        <v>0192-04</v>
      </c>
      <c r="AE109" s="9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s3://rtdc.mdm.uploadarchive.raw/RTDC4030/ "%USERPROFILE%\AppData\Local\Temp\OnboardLogs"\RTDC4030\2016-10-04 --exclude "*" --recursive --include "*20161004*" &amp; "%USERPROFILE%\Documents\GitHub\mrs-test-scripts\Headless Mode &amp; Sideloading\WalkAndUnGZ.bat" "%USERPROFILE%\AppData\Local\Temp\OnboardLogs"\RTDC4030\2016-10-04 &amp; aws s3 cp s3://rtdc.mdm.uploadarchive.raw/RTDC4030/ "%USERPROFILE%\AppData\Local\Temp\OnboardLogs"\RTDC4030\2016-10-05 --exclude "*" --recursive --include "*20161005*" &amp; "%USERPROFILE%\Documents\GitHub\mrs-test-scripts\Headless Mode &amp; Sideloading\WalkAndUnGZ.bat" "%USERPROFILE%\AppData\Local\Temp\OnboardLogs"\RTDC4030\2016-10-05</v>
      </c>
      <c r="AF109" s="92" t="str">
        <f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/stypes="app*4030*20161004*" /stext=" 22:.+((SYSTEM_STATE.+slice.+state.+changed )|(ment ac)|(system.+state.+changed )|(\[timeout)|(PRM\|1\|D)|(kpr)|(kdp)|(\|lc)|(penalty))" /e /r /s</v>
      </c>
      <c r="AG109" s="1" t="str">
        <f>IFERROR(IF(VALUE(LEFT(AD109,2))&lt;=2,"EC",IF(OR(VALUE(LEFT(AD109,2))=8,VALUE(LEFT(AD109,2))=18),"NW","Other")),"Other")</f>
        <v>EC</v>
      </c>
      <c r="AH109" s="96" t="str">
        <f t="shared" si="4"/>
        <v>"%USERPROFILE%\Documents\GitHub\eaglep3\Utilities\RefineRTDCRunTimes.py" --tripid 192-04 --locoid 4030 --swversion DE.1.0.7.0 --startMP 204:232974 --initTime 2016-10-04T15:51:10 --startdatetime 2016-10-04T15:56:17 --delay 1 --endMP 204:147 --enddatetime 2016-10-04T16:37:08 --enforcementcount 0 &gt;&gt;C:\Users\stu\Documents\GitHub\eaglep3-reporting\EC\2016-10-04-refined-times.txt</v>
      </c>
      <c r="AI109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{"issue":{"subject":"","project_id":79,"tracker_id":40,"status_id":1,"priority_id":2,"assigned_to_id":23,"start_date":"2016-10-04","description":"","custom_fields":[{"id":1,"name":"Subdivision","value":"EC"},{"id":4,"name":"Milepost","value":"0.0147"},{"id":17,"name":"Train ID","value":"192-04"},{"id":16,"name":"Locomotive ID","value":"4030"},{"id":130,"name":"Impact","value":""},{"id":150,"name":"Time of Event (Mountain Time)","value":"16:37:08"},{"id":151,"name":"Denver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5"/>
      <c r="AK109" s="55"/>
      <c r="AL109" s="55"/>
    </row>
    <row r="110" spans="1:38" s="23" customFormat="1" x14ac:dyDescent="0.25">
      <c r="A110" s="39" t="s">
        <v>506</v>
      </c>
      <c r="B110" s="7">
        <v>4025</v>
      </c>
      <c r="C110" s="24" t="s">
        <v>106</v>
      </c>
      <c r="D110" s="24" t="s">
        <v>221</v>
      </c>
      <c r="E110" s="15">
        <v>42647.631736111114</v>
      </c>
      <c r="F110" s="15">
        <v>42647.635729166665</v>
      </c>
      <c r="G110" s="7">
        <v>1</v>
      </c>
      <c r="H110" s="15" t="s">
        <v>644</v>
      </c>
      <c r="I110" s="15">
        <v>42647.663564814815</v>
      </c>
      <c r="J110" s="7">
        <v>0</v>
      </c>
      <c r="K110" s="117" t="str">
        <f>IF(ISEVEN(B110),(B110-1)&amp;"/"&amp;B110,B110&amp;"/"&amp;(B110+1))</f>
        <v>4025/4026</v>
      </c>
      <c r="L110" s="24" t="str">
        <f>VLOOKUP(A110,'Trips&amp;Operators'!$C$1:$E$10000,3,FALSE)</f>
        <v>BONDS</v>
      </c>
      <c r="M110" s="6">
        <f>I110-F110</f>
        <v>2.7835648150357883E-2</v>
      </c>
      <c r="N110" s="7">
        <f>24*60*SUM($M110:$M110)</f>
        <v>40.083333336515352</v>
      </c>
      <c r="O110" s="7"/>
      <c r="P110" s="7"/>
      <c r="Q110" s="25"/>
      <c r="R110" s="25"/>
      <c r="S110" s="37">
        <f>SUM(U110:U110)/IF(AG110="EC",12,1)</f>
        <v>1</v>
      </c>
      <c r="T110" s="52" t="str">
        <f>IF(ISEVEN(LEFT(AD110,4)),"Southbound","NorthBound")</f>
        <v>NorthBound</v>
      </c>
      <c r="U110" s="159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02" t="str">
        <f>"https://search-rtdc-monitor-bjffxe2xuh6vdkpspy63sjmuny.us-east-1.es.amazonaws.com/_plugin/kibana/#/discover/Steve-Slow-Train-Analysis-(2080s-and-2083s)?_g=(refreshInterval:(display:Off,section:0,value:0),time:(from:'"&amp;TEXT(E110-1/24,"yyyy-MM-DD hh:mm:ss")&amp;"-0600',mode:absolute,to:'"&amp;TEXT(I110+1/24,"yyyy-MM-DD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110&amp;"%22')),sort:!(Time,asc))"</f>
        <v>https://search-rtdc-monitor-bjffxe2xuh6vdkpspy63sjmuny.us-east-1.es.amazonaws.com/_plugin/kibana/#/discover/Steve-Slow-Train-Analysis-(2080s-and-2083s)?_g=(refreshInterval:(display:Off,section:0,value:0),time:(from:'2016-10-04 14:09:42-0600',mode:absolute,to:'2016-10-04 16:55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0" s="54" t="str">
        <f>IF(AA110&lt;IF(AG110="EC",23,5.65),"Y","N")</f>
        <v>N</v>
      </c>
      <c r="X110" s="164">
        <f>VALUE(LEFT(AD110,4))-VALUE(LEFT(AD109,4))</f>
        <v>1</v>
      </c>
      <c r="Y110" s="69">
        <f>RIGHT(D110,LEN(D110)-4)/10000</f>
        <v>4.6399999999999997E-2</v>
      </c>
      <c r="Z110" s="69">
        <f>RIGHT(H110,LEN(H110)-4)/10000</f>
        <v>23.330300000000001</v>
      </c>
      <c r="AA110" s="69">
        <f>ABS(Z110-Y110)</f>
        <v>23.283900000000003</v>
      </c>
      <c r="AB110" s="66" t="e">
        <f>VLOOKUP(A110,Enforcements!$C$7:$K$21,8,0)</f>
        <v>#N/A</v>
      </c>
      <c r="AC110" s="62" t="e">
        <f>VLOOKUP(A110,Enforcements!$C$7:$E$21,3,0)</f>
        <v>#N/A</v>
      </c>
      <c r="AD110" s="63" t="str">
        <f>IF(LEN(A110)=6,"0"&amp;A110,A110)</f>
        <v>0193-04</v>
      </c>
      <c r="AE110" s="9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s3://rtdc.mdm.uploadarchive.raw/RTDC4025/ "%USERPROFILE%\AppData\Local\Temp\OnboardLogs"\RTDC4025\2016-10-04 --exclude "*" --recursive --include "*20161004*" &amp; "%USERPROFILE%\Documents\GitHub\mrs-test-scripts\Headless Mode &amp; Sideloading\WalkAndUnGZ.bat" "%USERPROFILE%\AppData\Local\Temp\OnboardLogs"\RTDC4025\2016-10-04 &amp; aws s3 cp s3://rtdc.mdm.uploadarchive.raw/RTDC4025/ "%USERPROFILE%\AppData\Local\Temp\OnboardLogs"\RTDC4025\2016-10-05 --exclude "*" --recursive --include "*20161005*" &amp; "%USERPROFILE%\Documents\GitHub\mrs-test-scripts\Headless Mode &amp; Sideloading\WalkAndUnGZ.bat" "%USERPROFILE%\AppData\Local\Temp\OnboardLogs"\RTDC4025\2016-10-05</v>
      </c>
      <c r="AF110" s="92" t="str">
        <f>astrogrep_path&amp;" /spath="&amp;search_path&amp;" /stypes=""app*"&amp;B110&amp;"*"&amp;TEXT(I110-utc_offset/24,"YYYYMMDD")&amp;"*"" /stext="" "&amp;TEXT(I110-utc_offset/24,"HH")&amp;search_regexp&amp;""" /e /r /s"</f>
        <v>"C:\Program Files (x86)\AstroGrep\AstroGrep.exe" /spath="%USERPROFILE%\AppData\Local\Temp\OnboardLogs" /stypes="app*4025*20161004*" /stext=" 21:.+((SYSTEM_STATE.+slice.+state.+changed )|(ment ac)|(system.+state.+changed )|(\[timeout)|(PRM\|1\|D)|(kpr)|(kdp)|(\|lc)|(penalty))" /e /r /s</v>
      </c>
      <c r="AG110" s="1" t="str">
        <f>IFERROR(IF(VALUE(LEFT(AD110,2))&lt;=2,"EC",IF(OR(VALUE(LEFT(AD110,2))=8,VALUE(LEFT(AD110,2))=18),"NW","Other")),"Other")</f>
        <v>EC</v>
      </c>
      <c r="AH110" s="96" t="str">
        <f t="shared" si="4"/>
        <v>"%USERPROFILE%\Documents\GitHub\eaglep3\Utilities\RefineRTDCRunTimes.py" --tripid 193-04 --locoid 4025 --swversion DE.1.0.7.0 --startMP 204:464 --initTime 2016-10-04T15:09:42 --startdatetime 2016-10-04T15:15:27 --delay 1 --endMP 204:233303 --enddatetime 2016-10-04T15:55:32 --enforcementcount 0 &gt;&gt;C:\Users\stu\Documents\GitHub\eaglep3-reporting\EC\2016-10-04-refined-times.txt</v>
      </c>
      <c r="AI110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{"issue":{"subject":"","project_id":79,"tracker_id":40,"status_id":1,"priority_id":2,"assigned_to_id":23,"start_date":"2016-10-04","description":"","custom_fields":[{"id":1,"name":"Subdivision","value":"EC"},{"id":4,"name":"Milepost","value":"23.3303"},{"id":17,"name":"Train ID","value":"193-04"},{"id":16,"name":"Locomotive ID","value":"4025"},{"id":130,"name":"Impact","value":""},{"id":150,"name":"Time of Event (Mountain Time)","value":"15:55:32"},{"id":151,"name":"Denver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5"/>
      <c r="AK110" s="55"/>
      <c r="AL110" s="55"/>
    </row>
    <row r="111" spans="1:38" s="23" customFormat="1" x14ac:dyDescent="0.25">
      <c r="A111" s="39" t="s">
        <v>517</v>
      </c>
      <c r="B111" s="7">
        <v>4026</v>
      </c>
      <c r="C111" s="24" t="s">
        <v>106</v>
      </c>
      <c r="D111" s="24" t="s">
        <v>248</v>
      </c>
      <c r="E111" s="15">
        <v>42647.668900462966</v>
      </c>
      <c r="F111" s="15">
        <v>42647.674733796295</v>
      </c>
      <c r="G111" s="7">
        <v>1</v>
      </c>
      <c r="H111" s="15" t="s">
        <v>195</v>
      </c>
      <c r="I111" s="15">
        <v>42647.701886574076</v>
      </c>
      <c r="J111" s="7">
        <v>0</v>
      </c>
      <c r="K111" s="117" t="str">
        <f>IF(ISEVEN(B111),(B111-1)&amp;"/"&amp;B111,B111&amp;"/"&amp;(B111+1))</f>
        <v>4025/4026</v>
      </c>
      <c r="L111" s="24" t="str">
        <f>VLOOKUP(A111,'Trips&amp;Operators'!$C$1:$E$10000,3,FALSE)</f>
        <v>BONDS</v>
      </c>
      <c r="M111" s="6">
        <f>I111-F111</f>
        <v>2.715277778042946E-2</v>
      </c>
      <c r="N111" s="7">
        <f>24*60*SUM($M111:$M111)</f>
        <v>39.100000003818423</v>
      </c>
      <c r="O111" s="7"/>
      <c r="P111" s="7"/>
      <c r="Q111" s="25"/>
      <c r="R111" s="25"/>
      <c r="S111" s="37">
        <f>SUM(U111:U111)/IF(AG111="EC",12,1)</f>
        <v>1</v>
      </c>
      <c r="T111" s="52" t="str">
        <f>IF(ISEVEN(LEFT(AD111,4)),"Southbound","NorthBound")</f>
        <v>Southbound</v>
      </c>
      <c r="U111" s="159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02" t="str">
        <f>"https://search-rtdc-monitor-bjffxe2xuh6vdkpspy63sjmuny.us-east-1.es.amazonaws.com/_plugin/kibana/#/discover/Steve-Slow-Train-Analysis-(2080s-and-2083s)?_g=(refreshInterval:(display:Off,section:0,value:0),time:(from:'"&amp;TEXT(E111-1/24,"yyyy-MM-DD hh:mm:ss")&amp;"-0600',mode:absolute,to:'"&amp;TEXT(I111+1/24,"yyyy-MM-DD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111&amp;"%22')),sort:!(Time,asc))"</f>
        <v>https://search-rtdc-monitor-bjffxe2xuh6vdkpspy63sjmuny.us-east-1.es.amazonaws.com/_plugin/kibana/#/discover/Steve-Slow-Train-Analysis-(2080s-and-2083s)?_g=(refreshInterval:(display:Off,section:0,value:0),time:(from:'2016-10-04 15:03:13-0600',mode:absolute,to:'2016-10-04 17:50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1" s="54" t="str">
        <f>IF(AA111&lt;IF(AG111="EC",23,5.65),"Y","N")</f>
        <v>N</v>
      </c>
      <c r="X111" s="164">
        <f>VALUE(LEFT(AD111,4))-VALUE(LEFT(AD110,4))</f>
        <v>1</v>
      </c>
      <c r="Y111" s="69">
        <f>RIGHT(D111,LEN(D111)-4)/10000</f>
        <v>23.297799999999999</v>
      </c>
      <c r="Z111" s="69">
        <f>RIGHT(H111,LEN(H111)-4)/10000</f>
        <v>1.47E-2</v>
      </c>
      <c r="AA111" s="69">
        <f>ABS(Z111-Y111)</f>
        <v>23.283099999999997</v>
      </c>
      <c r="AB111" s="66" t="e">
        <f>VLOOKUP(A111,Enforcements!$C$7:$K$21,8,0)</f>
        <v>#N/A</v>
      </c>
      <c r="AC111" s="62" t="e">
        <f>VLOOKUP(A111,Enforcements!$C$7:$E$21,3,0)</f>
        <v>#N/A</v>
      </c>
      <c r="AD111" s="63" t="str">
        <f>IF(LEN(A111)=6,"0"&amp;A111,A111)</f>
        <v>0194-04</v>
      </c>
      <c r="AE111" s="9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s3://rtdc.mdm.uploadarchive.raw/RTDC4026/ "%USERPROFILE%\AppData\Local\Temp\OnboardLogs"\RTDC4026\2016-10-04 --exclude "*" --recursive --include "*20161004*" &amp; "%USERPROFILE%\Documents\GitHub\mrs-test-scripts\Headless Mode &amp; Sideloading\WalkAndUnGZ.bat" "%USERPROFILE%\AppData\Local\Temp\OnboardLogs"\RTDC4026\2016-10-04 &amp; aws s3 cp s3://rtdc.mdm.uploadarchive.raw/RTDC4026/ "%USERPROFILE%\AppData\Local\Temp\OnboardLogs"\RTDC4026\2016-10-05 --exclude "*" --recursive --include "*20161005*" &amp; "%USERPROFILE%\Documents\GitHub\mrs-test-scripts\Headless Mode &amp; Sideloading\WalkAndUnGZ.bat" "%USERPROFILE%\AppData\Local\Temp\OnboardLogs"\RTDC4026\2016-10-05</v>
      </c>
      <c r="AF111" s="92" t="str">
        <f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/stypes="app*4026*20161004*" /stext=" 22:.+((SYSTEM_STATE.+slice.+state.+changed )|(ment ac)|(system.+state.+changed )|(\[timeout)|(PRM\|1\|D)|(kpr)|(kdp)|(\|lc)|(penalty))" /e /r /s</v>
      </c>
      <c r="AG111" s="1" t="str">
        <f>IFERROR(IF(VALUE(LEFT(AD111,2))&lt;=2,"EC",IF(OR(VALUE(LEFT(AD111,2))=8,VALUE(LEFT(AD111,2))=18),"NW","Other")),"Other")</f>
        <v>EC</v>
      </c>
      <c r="AH111" s="96" t="str">
        <f t="shared" si="4"/>
        <v>"%USERPROFILE%\Documents\GitHub\eaglep3\Utilities\RefineRTDCRunTimes.py" --tripid 194-04 --locoid 4026 --swversion DE.1.0.7.0 --startMP 204:232978 --initTime 2016-10-04T16:03:13 --startdatetime 2016-10-04T16:11:37 --delay 1 --endMP 204:147 --enddatetime 2016-10-04T16:50:43 --enforcementcount 0 &gt;&gt;C:\Users\stu\Documents\GitHub\eaglep3-reporting\EC\2016-10-04-refined-times.txt</v>
      </c>
      <c r="AI111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{"issue":{"subject":"","project_id":79,"tracker_id":40,"status_id":1,"priority_id":2,"assigned_to_id":23,"start_date":"2016-10-04","description":"","custom_fields":[{"id":1,"name":"Subdivision","value":"EC"},{"id":4,"name":"Milepost","value":"0.0147"},{"id":17,"name":"Train ID","value":"194-04"},{"id":16,"name":"Locomotive ID","value":"4026"},{"id":130,"name":"Impact","value":""},{"id":150,"name":"Time of Event (Mountain Time)","value":"16:50:43"},{"id":151,"name":"Denver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5"/>
      <c r="AK111" s="55"/>
      <c r="AL111" s="55"/>
    </row>
    <row r="112" spans="1:38" s="23" customFormat="1" x14ac:dyDescent="0.25">
      <c r="A112" s="39" t="s">
        <v>508</v>
      </c>
      <c r="B112" s="7">
        <v>4053</v>
      </c>
      <c r="C112" s="24" t="s">
        <v>106</v>
      </c>
      <c r="D112" s="24" t="s">
        <v>324</v>
      </c>
      <c r="E112" s="15">
        <v>42647.641909722224</v>
      </c>
      <c r="F112" s="15">
        <v>42647.645995370367</v>
      </c>
      <c r="G112" s="7">
        <v>1</v>
      </c>
      <c r="H112" s="15" t="s">
        <v>277</v>
      </c>
      <c r="I112" s="15">
        <v>42647.674560185187</v>
      </c>
      <c r="J112" s="7">
        <v>0</v>
      </c>
      <c r="K112" s="117" t="str">
        <f>IF(ISEVEN(B112),(B112-1)&amp;"/"&amp;B112,B112&amp;"/"&amp;(B112+1))</f>
        <v>4053/4054</v>
      </c>
      <c r="L112" s="24" t="str">
        <f>VLOOKUP(A112,'Trips&amp;Operators'!$C$1:$E$10000,3,FALSE)</f>
        <v>ROBINSON</v>
      </c>
      <c r="M112" s="6">
        <f>I112-F112</f>
        <v>2.8564814820128959E-2</v>
      </c>
      <c r="N112" s="7">
        <f>24*60*SUM($M112:$M112)</f>
        <v>41.1333333409857</v>
      </c>
      <c r="O112" s="7"/>
      <c r="P112" s="7"/>
      <c r="Q112" s="25"/>
      <c r="R112" s="25"/>
      <c r="S112" s="37">
        <f>SUM(U112:U112)/IF(AG112="EC",12,1)</f>
        <v>1</v>
      </c>
      <c r="T112" s="52" t="str">
        <f>IF(ISEVEN(LEFT(AD112,4)),"Southbound","NorthBound")</f>
        <v>NorthBound</v>
      </c>
      <c r="U112" s="159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02" t="str">
        <f>"https://search-rtdc-monitor-bjffxe2xuh6vdkpspy63sjmuny.us-east-1.es.amazonaws.com/_plugin/kibana/#/discover/Steve-Slow-Train-Analysis-(2080s-and-2083s)?_g=(refreshInterval:(display:Off,section:0,value:0),time:(from:'"&amp;TEXT(E112-1/24,"yyyy-MM-DD hh:mm:ss")&amp;"-0600',mode:absolute,to:'"&amp;TEXT(I112+1/24,"yyyy-MM-DD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112&amp;"%22')),sort:!(Time,asc))"</f>
        <v>https://search-rtdc-monitor-bjffxe2xuh6vdkpspy63sjmuny.us-east-1.es.amazonaws.com/_plugin/kibana/#/discover/Steve-Slow-Train-Analysis-(2080s-and-2083s)?_g=(refreshInterval:(display:Off,section:0,value:0),time:(from:'2016-10-04 14:24:21-0600',mode:absolute,to:'2016-10-04 17:11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12" s="54" t="str">
        <f>IF(AA112&lt;IF(AG112="EC",23,5.65),"Y","N")</f>
        <v>N</v>
      </c>
      <c r="X112" s="164">
        <f>VALUE(LEFT(AD112,4))-VALUE(LEFT(AD111,4))</f>
        <v>1</v>
      </c>
      <c r="Y112" s="69">
        <f>RIGHT(D112,LEN(D112)-4)/10000</f>
        <v>4.4200000000000003E-2</v>
      </c>
      <c r="Z112" s="69">
        <f>RIGHT(H112,LEN(H112)-4)/10000</f>
        <v>23.3308</v>
      </c>
      <c r="AA112" s="69">
        <f>ABS(Z112-Y112)</f>
        <v>23.2866</v>
      </c>
      <c r="AB112" s="66" t="e">
        <f>VLOOKUP(A112,Enforcements!$C$7:$K$21,8,0)</f>
        <v>#N/A</v>
      </c>
      <c r="AC112" s="62" t="e">
        <f>VLOOKUP(A112,Enforcements!$C$7:$E$21,3,0)</f>
        <v>#N/A</v>
      </c>
      <c r="AD112" s="63" t="str">
        <f>IF(LEN(A112)=6,"0"&amp;A112,A112)</f>
        <v>0195-04</v>
      </c>
      <c r="AE112" s="9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s3://rtdc.mdm.uploadarchive.raw/RTDC4053/ "%USERPROFILE%\AppData\Local\Temp\OnboardLogs"\RTDC4053\2016-10-04 --exclude "*" --recursive --include "*20161004*" &amp; "%USERPROFILE%\Documents\GitHub\mrs-test-scripts\Headless Mode &amp; Sideloading\WalkAndUnGZ.bat" "%USERPROFILE%\AppData\Local\Temp\OnboardLogs"\RTDC4053\2016-10-04 &amp; aws s3 cp s3://rtdc.mdm.uploadarchive.raw/RTDC4053/ "%USERPROFILE%\AppData\Local\Temp\OnboardLogs"\RTDC4053\2016-10-05 --exclude "*" --recursive --include "*20161005*" &amp; "%USERPROFILE%\Documents\GitHub\mrs-test-scripts\Headless Mode &amp; Sideloading\WalkAndUnGZ.bat" "%USERPROFILE%\AppData\Local\Temp\OnboardLogs"\RTDC4053\2016-10-05</v>
      </c>
      <c r="AF112" s="92" t="str">
        <f>astrogrep_path&amp;" /spath="&amp;search_path&amp;" /stypes=""app*"&amp;B112&amp;"*"&amp;TEXT(I112-utc_offset/24,"YYYYMMDD")&amp;"*"" /stext="" "&amp;TEXT(I112-utc_offset/24,"HH")&amp;search_regexp&amp;""" /e /r /s"</f>
        <v>"C:\Program Files (x86)\AstroGrep\AstroGrep.exe" /spath="%USERPROFILE%\AppData\Local\Temp\OnboardLogs" /stypes="app*4053*20161004*" /stext=" 22:.+((SYSTEM_STATE.+slice.+state.+changed )|(ment ac)|(system.+state.+changed )|(\[timeout)|(PRM\|1\|D)|(kpr)|(kdp)|(\|lc)|(penalty))" /e /r /s</v>
      </c>
      <c r="AG112" s="1" t="str">
        <f>IFERROR(IF(VALUE(LEFT(AD112,2))&lt;=2,"EC",IF(OR(VALUE(LEFT(AD112,2))=8,VALUE(LEFT(AD112,2))=18),"NW","Other")),"Other")</f>
        <v>EC</v>
      </c>
      <c r="AH112" s="96" t="str">
        <f t="shared" si="4"/>
        <v>"%USERPROFILE%\Documents\GitHub\eaglep3\Utilities\RefineRTDCRunTimes.py" --tripid 195-04 --locoid 4053 --swversion DE.1.0.7.0 --startMP 204:442 --initTime 2016-10-04T15:24:21 --startdatetime 2016-10-04T15:30:14 --delay 1 --endMP 204:233308 --enddatetime 2016-10-04T16:11:22 --enforcementcount 0 &gt;&gt;C:\Users\stu\Documents\GitHub\eaglep3-reporting\EC\2016-10-04-refined-times.txt</v>
      </c>
      <c r="AI112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{"issue":{"subject":"","project_id":79,"tracker_id":40,"status_id":1,"priority_id":2,"assigned_to_id":23,"start_date":"2016-10-04","description":"","custom_fields":[{"id":1,"name":"Subdivision","value":"EC"},{"id":4,"name":"Milepost","value":"23.3308"},{"id":17,"name":"Train ID","value":"195-04"},{"id":16,"name":"Locomotive ID","value":"4053"},{"id":130,"name":"Impact","value":""},{"id":150,"name":"Time of Event (Mountain Time)","value":"16:11:22"},{"id":151,"name":"Denver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5"/>
      <c r="AK112" s="55"/>
      <c r="AL112" s="55"/>
    </row>
    <row r="113" spans="1:38" x14ac:dyDescent="0.25">
      <c r="A113" s="39" t="s">
        <v>521</v>
      </c>
      <c r="B113" s="7">
        <v>4054</v>
      </c>
      <c r="C113" s="24" t="s">
        <v>106</v>
      </c>
      <c r="D113" s="24" t="s">
        <v>258</v>
      </c>
      <c r="E113" s="15">
        <v>42647.68005787037</v>
      </c>
      <c r="F113" s="15">
        <v>42647.684861111113</v>
      </c>
      <c r="G113" s="7">
        <v>1</v>
      </c>
      <c r="H113" s="15" t="s">
        <v>206</v>
      </c>
      <c r="I113" s="15">
        <v>42647.715497685182</v>
      </c>
      <c r="J113" s="7">
        <v>0</v>
      </c>
      <c r="K113" s="117" t="str">
        <f>IF(ISEVEN(B113),(B113-1)&amp;"/"&amp;B113,B113&amp;"/"&amp;(B113+1))</f>
        <v>4053/4054</v>
      </c>
      <c r="L113" s="24" t="str">
        <f>VLOOKUP(A113,'Trips&amp;Operators'!$C$1:$E$10000,3,FALSE)</f>
        <v>ROBINSON</v>
      </c>
      <c r="M113" s="6">
        <f>I113-F113</f>
        <v>3.0636574068921618E-2</v>
      </c>
      <c r="N113" s="7">
        <f>24*60*SUM($M113:$M113)</f>
        <v>44.11666665924713</v>
      </c>
      <c r="O113" s="7"/>
      <c r="P113" s="7"/>
      <c r="Q113" s="25"/>
      <c r="R113" s="25"/>
      <c r="S113" s="37">
        <f>SUM(U113:U113)/IF(AG113="EC",12,1)</f>
        <v>1</v>
      </c>
      <c r="T113" s="52" t="str">
        <f>IF(ISEVEN(LEFT(AD113,4)),"Southbound","NorthBound")</f>
        <v>Southbound</v>
      </c>
      <c r="U113" s="159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02" t="str">
        <f>"https://search-rtdc-monitor-bjffxe2xuh6vdkpspy63sjmuny.us-east-1.es.amazonaws.com/_plugin/kibana/#/discover/Steve-Slow-Train-Analysis-(2080s-and-2083s)?_g=(refreshInterval:(display:Off,section:0,value:0),time:(from:'"&amp;TEXT(E113-1/24,"yyyy-MM-DD hh:mm:ss")&amp;"-0600',mode:absolute,to:'"&amp;TEXT(I113+1/24,"yyyy-MM-DD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113&amp;"%22')),sort:!(Time,asc))"</f>
        <v>https://search-rtdc-monitor-bjffxe2xuh6vdkpspy63sjmuny.us-east-1.es.amazonaws.com/_plugin/kibana/#/discover/Steve-Slow-Train-Analysis-(2080s-and-2083s)?_g=(refreshInterval:(display:Off,section:0,value:0),time:(from:'2016-10-04 15:19:17-0600',mode:absolute,to:'2016-10-04 18:10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13" s="54" t="str">
        <f>IF(AA113&lt;IF(AG113="EC",23,5.65),"Y","N")</f>
        <v>N</v>
      </c>
      <c r="X113" s="164">
        <f>VALUE(LEFT(AD113,4))-VALUE(LEFT(AD112,4))</f>
        <v>1</v>
      </c>
      <c r="Y113" s="69">
        <f>RIGHT(D113,LEN(D113)-4)/10000</f>
        <v>23.299600000000002</v>
      </c>
      <c r="Z113" s="69">
        <f>RIGHT(H113,LEN(H113)-4)/10000</f>
        <v>1.38E-2</v>
      </c>
      <c r="AA113" s="69">
        <f>ABS(Z113-Y113)</f>
        <v>23.285800000000002</v>
      </c>
      <c r="AB113" s="66" t="e">
        <f>VLOOKUP(A113,Enforcements!$C$7:$K$21,8,0)</f>
        <v>#N/A</v>
      </c>
      <c r="AC113" s="62" t="e">
        <f>VLOOKUP(A113,Enforcements!$C$7:$E$21,3,0)</f>
        <v>#N/A</v>
      </c>
      <c r="AD113" s="63" t="str">
        <f>IF(LEN(A113)=6,"0"&amp;A113,A113)</f>
        <v>0196-04</v>
      </c>
      <c r="AE113" s="9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s3://rtdc.mdm.uploadarchive.raw/RTDC4054/ "%USERPROFILE%\AppData\Local\Temp\OnboardLogs"\RTDC4054\2016-10-04 --exclude "*" --recursive --include "*20161004*" &amp; "%USERPROFILE%\Documents\GitHub\mrs-test-scripts\Headless Mode &amp; Sideloading\WalkAndUnGZ.bat" "%USERPROFILE%\AppData\Local\Temp\OnboardLogs"\RTDC4054\2016-10-04 &amp; aws s3 cp s3://rtdc.mdm.uploadarchive.raw/RTDC4054/ "%USERPROFILE%\AppData\Local\Temp\OnboardLogs"\RTDC4054\2016-10-05 --exclude "*" --recursive --include "*20161005*" &amp; "%USERPROFILE%\Documents\GitHub\mrs-test-scripts\Headless Mode &amp; Sideloading\WalkAndUnGZ.bat" "%USERPROFILE%\AppData\Local\Temp\OnboardLogs"\RTDC4054\2016-10-05</v>
      </c>
      <c r="AF113" s="92" t="str">
        <f>astrogrep_path&amp;" /spath="&amp;search_path&amp;" /stypes=""app*"&amp;B113&amp;"*"&amp;TEXT(I113-utc_offset/24,"YYYYMMDD")&amp;"*"" /stext="" "&amp;TEXT(I113-utc_offset/24,"HH")&amp;search_regexp&amp;""" /e /r /s"</f>
        <v>"C:\Program Files (x86)\AstroGrep\AstroGrep.exe" /spath="%USERPROFILE%\AppData\Local\Temp\OnboardLogs" /stypes="app*4054*20161004*" /stext=" 23:.+((SYSTEM_STATE.+slice.+state.+changed )|(ment ac)|(system.+state.+changed )|(\[timeout)|(PRM\|1\|D)|(kpr)|(kdp)|(\|lc)|(penalty))" /e /r /s</v>
      </c>
      <c r="AG113" s="1" t="str">
        <f>IFERROR(IF(VALUE(LEFT(AD113,2))&lt;=2,"EC",IF(OR(VALUE(LEFT(AD113,2))=8,VALUE(LEFT(AD113,2))=18),"NW","Other")),"Other")</f>
        <v>EC</v>
      </c>
      <c r="AH113" s="96" t="str">
        <f t="shared" si="4"/>
        <v>"%USERPROFILE%\Documents\GitHub\eaglep3\Utilities\RefineRTDCRunTimes.py" --tripid 196-04 --locoid 4054 --swversion DE.1.0.7.0 --startMP 204:232996 --initTime 2016-10-04T16:19:17 --startdatetime 2016-10-04T16:26:12 --delay 1 --endMP 204:138 --enddatetime 2016-10-04T17:10:19 --enforcementcount 0 &gt;&gt;C:\Users\stu\Documents\GitHub\eaglep3-reporting\EC\2016-10-04-refined-times.txt</v>
      </c>
      <c r="AI113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{"issue":{"subject":"","project_id":79,"tracker_id":40,"status_id":1,"priority_id":2,"assigned_to_id":23,"start_date":"2016-10-04","description":"","custom_fields":[{"id":1,"name":"Subdivision","value":"EC"},{"id":4,"name":"Milepost","value":"0.0138"},{"id":17,"name":"Train ID","value":"196-04"},{"id":16,"name":"Locomotive ID","value":"4054"},{"id":130,"name":"Impact","value":""},{"id":150,"name":"Time of Event (Mountain Time)","value":"17:10:19"},{"id":151,"name":"Denver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5"/>
      <c r="AK113" s="55"/>
      <c r="AL113" s="55"/>
    </row>
    <row r="114" spans="1:38" s="23" customFormat="1" x14ac:dyDescent="0.25">
      <c r="A114" s="39" t="s">
        <v>513</v>
      </c>
      <c r="B114" s="7">
        <v>4016</v>
      </c>
      <c r="C114" s="24" t="s">
        <v>106</v>
      </c>
      <c r="D114" s="24" t="s">
        <v>202</v>
      </c>
      <c r="E114" s="15">
        <v>42647.652627314812</v>
      </c>
      <c r="F114" s="15">
        <v>42647.656423611108</v>
      </c>
      <c r="G114" s="7">
        <v>1</v>
      </c>
      <c r="H114" s="15" t="s">
        <v>282</v>
      </c>
      <c r="I114" s="15">
        <v>42647.681909722225</v>
      </c>
      <c r="J114" s="7">
        <v>0</v>
      </c>
      <c r="K114" s="117" t="str">
        <f>IF(ISEVEN(B114),(B114-1)&amp;"/"&amp;B114,B114&amp;"/"&amp;(B114+1))</f>
        <v>4015/4016</v>
      </c>
      <c r="L114" s="24" t="str">
        <f>VLOOKUP(A114,'Trips&amp;Operators'!$C$1:$E$10000,3,FALSE)</f>
        <v>CLARK</v>
      </c>
      <c r="M114" s="6">
        <f>I114-F114</f>
        <v>2.5486111117061228E-2</v>
      </c>
      <c r="N114" s="7">
        <f>24*60*SUM($M114:$M114)</f>
        <v>36.700000008568168</v>
      </c>
      <c r="O114" s="7"/>
      <c r="P114" s="7"/>
      <c r="Q114" s="25"/>
      <c r="R114" s="25"/>
      <c r="S114" s="37">
        <f>SUM(U114:U114)/IF(AG114="EC",12,1)</f>
        <v>1</v>
      </c>
      <c r="T114" s="52" t="str">
        <f>IF(ISEVEN(LEFT(AD114,4)),"Southbound","NorthBound")</f>
        <v>NorthBound</v>
      </c>
      <c r="U114" s="159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02" t="str">
        <f>"https://search-rtdc-monitor-bjffxe2xuh6vdkpspy63sjmuny.us-east-1.es.amazonaws.com/_plugin/kibana/#/discover/Steve-Slow-Train-Analysis-(2080s-and-2083s)?_g=(refreshInterval:(display:Off,section:0,value:0),time:(from:'"&amp;TEXT(E114-1/24,"yyyy-MM-DD hh:mm:ss")&amp;"-0600',mode:absolute,to:'"&amp;TEXT(I114+1/24,"yyyy-MM-DD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114&amp;"%22')),sort:!(Time,asc))"</f>
        <v>https://search-rtdc-monitor-bjffxe2xuh6vdkpspy63sjmuny.us-east-1.es.amazonaws.com/_plugin/kibana/#/discover/Steve-Slow-Train-Analysis-(2080s-and-2083s)?_g=(refreshInterval:(display:Off,section:0,value:0),time:(from:'2016-10-04 14:39:47-0600',mode:absolute,to:'2016-10-04 17:21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4" s="54" t="str">
        <f>IF(AA114&lt;IF(AG114="EC",23,5.65),"Y","N")</f>
        <v>N</v>
      </c>
      <c r="X114" s="164">
        <f>VALUE(LEFT(AD114,4))-VALUE(LEFT(AD113,4))</f>
        <v>1</v>
      </c>
      <c r="Y114" s="69">
        <f>RIGHT(D114,LEN(D114)-4)/10000</f>
        <v>4.5100000000000001E-2</v>
      </c>
      <c r="Z114" s="69">
        <f>RIGHT(H114,LEN(H114)-4)/10000</f>
        <v>23.328900000000001</v>
      </c>
      <c r="AA114" s="69">
        <f>ABS(Z114-Y114)</f>
        <v>23.283799999999999</v>
      </c>
      <c r="AB114" s="66" t="e">
        <f>VLOOKUP(A114,Enforcements!$C$7:$K$21,8,0)</f>
        <v>#N/A</v>
      </c>
      <c r="AC114" s="62" t="e">
        <f>VLOOKUP(A114,Enforcements!$C$7:$E$21,3,0)</f>
        <v>#N/A</v>
      </c>
      <c r="AD114" s="63" t="str">
        <f>IF(LEN(A114)=6,"0"&amp;A114,A114)</f>
        <v>0197-04</v>
      </c>
      <c r="AE114" s="9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s3://rtdc.mdm.uploadarchive.raw/RTDC4016/ "%USERPROFILE%\AppData\Local\Temp\OnboardLogs"\RTDC4016\2016-10-04 --exclude "*" --recursive --include "*20161004*" &amp; "%USERPROFILE%\Documents\GitHub\mrs-test-scripts\Headless Mode &amp; Sideloading\WalkAndUnGZ.bat" "%USERPROFILE%\AppData\Local\Temp\OnboardLogs"\RTDC4016\2016-10-04 &amp; aws s3 cp s3://rtdc.mdm.uploadarchive.raw/RTDC4016/ "%USERPROFILE%\AppData\Local\Temp\OnboardLogs"\RTDC4016\2016-10-05 --exclude "*" --recursive --include "*20161005*" &amp; "%USERPROFILE%\Documents\GitHub\mrs-test-scripts\Headless Mode &amp; Sideloading\WalkAndUnGZ.bat" "%USERPROFILE%\AppData\Local\Temp\OnboardLogs"\RTDC4016\2016-10-05</v>
      </c>
      <c r="AF114" s="92" t="str">
        <f>astrogrep_path&amp;" /spath="&amp;search_path&amp;" /stypes=""app*"&amp;B114&amp;"*"&amp;TEXT(I114-utc_offset/24,"YYYYMMDD")&amp;"*"" /stext="" "&amp;TEXT(I114-utc_offset/24,"HH")&amp;search_regexp&amp;""" /e /r /s"</f>
        <v>"C:\Program Files (x86)\AstroGrep\AstroGrep.exe" /spath="%USERPROFILE%\AppData\Local\Temp\OnboardLogs" /stypes="app*4016*20161004*" /stext=" 22:.+((SYSTEM_STATE.+slice.+state.+changed )|(ment ac)|(system.+state.+changed )|(\[timeout)|(PRM\|1\|D)|(kpr)|(kdp)|(\|lc)|(penalty))" /e /r /s</v>
      </c>
      <c r="AG114" s="1" t="str">
        <f>IFERROR(IF(VALUE(LEFT(AD114,2))&lt;=2,"EC",IF(OR(VALUE(LEFT(AD114,2))=8,VALUE(LEFT(AD114,2))=18),"NW","Other")),"Other")</f>
        <v>EC</v>
      </c>
      <c r="AH114" s="96" t="str">
        <f t="shared" si="4"/>
        <v>"%USERPROFILE%\Documents\GitHub\eaglep3\Utilities\RefineRTDCRunTimes.py" --tripid 197-04 --locoid 4016 --swversion DE.1.0.7.0 --startMP 204:451 --initTime 2016-10-04T15:39:47 --startdatetime 2016-10-04T15:45:15 --delay 1 --endMP 204:233289 --enddatetime 2016-10-04T16:21:57 --enforcementcount 0 &gt;&gt;C:\Users\stu\Documents\GitHub\eaglep3-reporting\EC\2016-10-04-refined-times.txt</v>
      </c>
      <c r="AI114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{"issue":{"subject":"","project_id":79,"tracker_id":40,"status_id":1,"priority_id":2,"assigned_to_id":23,"start_date":"2016-10-04","description":"","custom_fields":[{"id":1,"name":"Subdivision","value":"EC"},{"id":4,"name":"Milepost","value":"23.3289"},{"id":17,"name":"Train ID","value":"197-04"},{"id":16,"name":"Locomotive ID","value":"4016"},{"id":130,"name":"Impact","value":""},{"id":150,"name":"Time of Event (Mountain Time)","value":"16:21:57"},{"id":151,"name":"Denver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5"/>
      <c r="AK114" s="55"/>
      <c r="AL114" s="55"/>
    </row>
    <row r="115" spans="1:38" s="23" customFormat="1" x14ac:dyDescent="0.25">
      <c r="A115" s="39" t="s">
        <v>523</v>
      </c>
      <c r="B115" s="7">
        <v>4015</v>
      </c>
      <c r="C115" s="24" t="s">
        <v>106</v>
      </c>
      <c r="D115" s="24" t="s">
        <v>248</v>
      </c>
      <c r="E115" s="15">
        <v>42647.687060185184</v>
      </c>
      <c r="F115" s="15">
        <v>42647.687974537039</v>
      </c>
      <c r="G115" s="7">
        <v>1</v>
      </c>
      <c r="H115" s="15" t="s">
        <v>645</v>
      </c>
      <c r="I115" s="15">
        <v>42647.7265162037</v>
      </c>
      <c r="J115" s="7">
        <v>0</v>
      </c>
      <c r="K115" s="117" t="str">
        <f>IF(ISEVEN(B115),(B115-1)&amp;"/"&amp;B115,B115&amp;"/"&amp;(B115+1))</f>
        <v>4015/4016</v>
      </c>
      <c r="L115" s="24" t="str">
        <f>VLOOKUP(A115,'Trips&amp;Operators'!$C$1:$E$10000,3,FALSE)</f>
        <v>CLARK</v>
      </c>
      <c r="M115" s="6">
        <f>I115-F115</f>
        <v>3.8541666661330964E-2</v>
      </c>
      <c r="N115" s="7">
        <f>24*60*SUM($M115:$M115)</f>
        <v>55.499999992316589</v>
      </c>
      <c r="O115" s="7"/>
      <c r="P115" s="7"/>
      <c r="Q115" s="25"/>
      <c r="R115" s="25"/>
      <c r="S115" s="37">
        <f>SUM(U115:U115)/IF(AG115="EC",12,1)</f>
        <v>1</v>
      </c>
      <c r="T115" s="52" t="str">
        <f>IF(ISEVEN(LEFT(AD115,4)),"Southbound","NorthBound")</f>
        <v>Southbound</v>
      </c>
      <c r="U115" s="159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02" t="str">
        <f>"https://search-rtdc-monitor-bjffxe2xuh6vdkpspy63sjmuny.us-east-1.es.amazonaws.com/_plugin/kibana/#/discover/Steve-Slow-Train-Analysis-(2080s-and-2083s)?_g=(refreshInterval:(display:Off,section:0,value:0),time:(from:'"&amp;TEXT(E115-1/24,"yyyy-MM-DD hh:mm:ss")&amp;"-0600',mode:absolute,to:'"&amp;TEXT(I115+1/24,"yyyy-MM-DD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115&amp;"%22')),sort:!(Time,asc))"</f>
        <v>https://search-rtdc-monitor-bjffxe2xuh6vdkpspy63sjmuny.us-east-1.es.amazonaws.com/_plugin/kibana/#/discover/Steve-Slow-Train-Analysis-(2080s-and-2083s)?_g=(refreshInterval:(display:Off,section:0,value:0),time:(from:'2016-10-04 15:29:22-0600',mode:absolute,to:'2016-10-04 18:26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5" s="54" t="str">
        <f>IF(AA115&lt;IF(AG115="EC",23,5.65),"Y","N")</f>
        <v>N</v>
      </c>
      <c r="X115" s="164">
        <f>VALUE(LEFT(AD115,4))-VALUE(LEFT(AD114,4))</f>
        <v>1</v>
      </c>
      <c r="Y115" s="69">
        <f>RIGHT(D115,LEN(D115)-4)/10000</f>
        <v>23.297799999999999</v>
      </c>
      <c r="Z115" s="69">
        <f>RIGHT(H115,LEN(H115)-4)/10000</f>
        <v>0.15540000000000001</v>
      </c>
      <c r="AA115" s="69">
        <f>ABS(Z115-Y115)</f>
        <v>23.142399999999999</v>
      </c>
      <c r="AB115" s="66" t="e">
        <f>VLOOKUP(A115,Enforcements!$C$7:$K$21,8,0)</f>
        <v>#N/A</v>
      </c>
      <c r="AC115" s="62" t="e">
        <f>VLOOKUP(A115,Enforcements!$C$7:$E$21,3,0)</f>
        <v>#N/A</v>
      </c>
      <c r="AD115" s="63" t="str">
        <f>IF(LEN(A115)=6,"0"&amp;A115,A115)</f>
        <v>0198-04</v>
      </c>
      <c r="AE115" s="9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s3://rtdc.mdm.uploadarchive.raw/RTDC4015/ "%USERPROFILE%\AppData\Local\Temp\OnboardLogs"\RTDC4015\2016-10-04 --exclude "*" --recursive --include "*20161004*" &amp; "%USERPROFILE%\Documents\GitHub\mrs-test-scripts\Headless Mode &amp; Sideloading\WalkAndUnGZ.bat" "%USERPROFILE%\AppData\Local\Temp\OnboardLogs"\RTDC4015\2016-10-04 &amp; aws s3 cp s3://rtdc.mdm.uploadarchive.raw/RTDC4015/ "%USERPROFILE%\AppData\Local\Temp\OnboardLogs"\RTDC4015\2016-10-05 --exclude "*" --recursive --include "*20161005*" &amp; "%USERPROFILE%\Documents\GitHub\mrs-test-scripts\Headless Mode &amp; Sideloading\WalkAndUnGZ.bat" "%USERPROFILE%\AppData\Local\Temp\OnboardLogs"\RTDC4015\2016-10-05</v>
      </c>
      <c r="AF115" s="92" t="str">
        <f>astrogrep_path&amp;" /spath="&amp;search_path&amp;" /stypes=""app*"&amp;B115&amp;"*"&amp;TEXT(I115-utc_offset/24,"YYYYMMDD")&amp;"*"" /stext="" "&amp;TEXT(I115-utc_offset/24,"HH")&amp;search_regexp&amp;""" /e /r /s"</f>
        <v>"C:\Program Files (x86)\AstroGrep\AstroGrep.exe" /spath="%USERPROFILE%\AppData\Local\Temp\OnboardLogs" /stypes="app*4015*20161004*" /stext=" 23:.+((SYSTEM_STATE.+slice.+state.+changed )|(ment ac)|(system.+state.+changed )|(\[timeout)|(PRM\|1\|D)|(kpr)|(kdp)|(\|lc)|(penalty))" /e /r /s</v>
      </c>
      <c r="AG115" s="1" t="str">
        <f>IFERROR(IF(VALUE(LEFT(AD115,2))&lt;=2,"EC",IF(OR(VALUE(LEFT(AD115,2))=8,VALUE(LEFT(AD115,2))=18),"NW","Other")),"Other")</f>
        <v>EC</v>
      </c>
      <c r="AH115" s="96" t="str">
        <f t="shared" si="4"/>
        <v>"%USERPROFILE%\Documents\GitHub\eaglep3\Utilities\RefineRTDCRunTimes.py" --tripid 198-04 --locoid 4015 --swversion DE.1.0.7.0 --startMP 204:232978 --initTime 2016-10-04T16:29:22 --startdatetime 2016-10-04T16:30:41 --delay 1 --endMP 204:1554 --enddatetime 2016-10-04T17:26:11 --enforcementcount 0 &gt;&gt;C:\Users\stu\Documents\GitHub\eaglep3-reporting\EC\2016-10-04-refined-times.txt</v>
      </c>
      <c r="AI115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{"issue":{"subject":"","project_id":79,"tracker_id":40,"status_id":1,"priority_id":2,"assigned_to_id":23,"start_date":"2016-10-04","description":"","custom_fields":[{"id":1,"name":"Subdivision","value":"EC"},{"id":4,"name":"Milepost","value":"0.1554"},{"id":17,"name":"Train ID","value":"198-04"},{"id":16,"name":"Locomotive ID","value":"4015"},{"id":130,"name":"Impact","value":""},{"id":150,"name":"Time of Event (Mountain Time)","value":"17:26:11"},{"id":151,"name":"Denver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5"/>
      <c r="AK115" s="55"/>
      <c r="AL115" s="55"/>
    </row>
    <row r="116" spans="1:38" s="23" customFormat="1" x14ac:dyDescent="0.25">
      <c r="A116" s="39" t="s">
        <v>516</v>
      </c>
      <c r="B116" s="7">
        <v>4044</v>
      </c>
      <c r="C116" s="24" t="s">
        <v>106</v>
      </c>
      <c r="D116" s="24" t="s">
        <v>298</v>
      </c>
      <c r="E116" s="15">
        <v>42647.663055555553</v>
      </c>
      <c r="F116" s="15">
        <v>42647.666944444441</v>
      </c>
      <c r="G116" s="7">
        <v>1</v>
      </c>
      <c r="H116" s="15" t="s">
        <v>264</v>
      </c>
      <c r="I116" s="15">
        <v>42647.693391203706</v>
      </c>
      <c r="J116" s="7">
        <v>0</v>
      </c>
      <c r="K116" s="117" t="str">
        <f>IF(ISEVEN(B116),(B116-1)&amp;"/"&amp;B116,B116&amp;"/"&amp;(B116+1))</f>
        <v>4043/4044</v>
      </c>
      <c r="L116" s="24" t="str">
        <f>VLOOKUP(A116,'Trips&amp;Operators'!$C$1:$E$10000,3,FALSE)</f>
        <v>STORY</v>
      </c>
      <c r="M116" s="6">
        <f>I116-F116</f>
        <v>2.644675926421769E-2</v>
      </c>
      <c r="N116" s="7">
        <f>24*60*SUM($M116:$M116)</f>
        <v>38.083333340473473</v>
      </c>
      <c r="O116" s="7"/>
      <c r="P116" s="7"/>
      <c r="Q116" s="25"/>
      <c r="R116" s="25"/>
      <c r="S116" s="37">
        <f>SUM(U116:U116)/IF(AG116="EC",12,1)</f>
        <v>1</v>
      </c>
      <c r="T116" s="52" t="str">
        <f>IF(ISEVEN(LEFT(AD116,4)),"Southbound","NorthBound")</f>
        <v>NorthBound</v>
      </c>
      <c r="U116" s="159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02" t="str">
        <f>"https://search-rtdc-monitor-bjffxe2xuh6vdkpspy63sjmuny.us-east-1.es.amazonaws.com/_plugin/kibana/#/discover/Steve-Slow-Train-Analysis-(2080s-and-2083s)?_g=(refreshInterval:(display:Off,section:0,value:0),time:(from:'"&amp;TEXT(E116-1/24,"yyyy-MM-DD hh:mm:ss")&amp;"-0600',mode:absolute,to:'"&amp;TEXT(I116+1/24,"yyyy-MM-DD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116&amp;"%22')),sort:!(Time,asc))"</f>
        <v>https://search-rtdc-monitor-bjffxe2xuh6vdkpspy63sjmuny.us-east-1.es.amazonaws.com/_plugin/kibana/#/discover/Steve-Slow-Train-Analysis-(2080s-and-2083s)?_g=(refreshInterval:(display:Off,section:0,value:0),time:(from:'2016-10-04 14:54:48-0600',mode:absolute,to:'2016-10-04 17:38:29-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16" s="54" t="str">
        <f>IF(AA116&lt;IF(AG116="EC",23,5.65),"Y","N")</f>
        <v>N</v>
      </c>
      <c r="X116" s="164">
        <f>VALUE(LEFT(AD116,4))-VALUE(LEFT(AD115,4))</f>
        <v>1</v>
      </c>
      <c r="Y116" s="69">
        <f>RIGHT(D116,LEN(D116)-4)/10000</f>
        <v>4.8599999999999997E-2</v>
      </c>
      <c r="Z116" s="69">
        <f>RIGHT(H116,LEN(H116)-4)/10000</f>
        <v>23.3306</v>
      </c>
      <c r="AA116" s="69">
        <f>ABS(Z116-Y116)</f>
        <v>23.282</v>
      </c>
      <c r="AB116" s="66" t="e">
        <f>VLOOKUP(A116,Enforcements!$C$7:$K$21,8,0)</f>
        <v>#N/A</v>
      </c>
      <c r="AC116" s="62" t="e">
        <f>VLOOKUP(A116,Enforcements!$C$7:$E$21,3,0)</f>
        <v>#N/A</v>
      </c>
      <c r="AD116" s="63" t="str">
        <f>IF(LEN(A116)=6,"0"&amp;A116,A116)</f>
        <v>0199-04</v>
      </c>
      <c r="AE116" s="9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s3://rtdc.mdm.uploadarchive.raw/RTDC4044/ "%USERPROFILE%\AppData\Local\Temp\OnboardLogs"\RTDC4044\2016-10-04 --exclude "*" --recursive --include "*20161004*" &amp; "%USERPROFILE%\Documents\GitHub\mrs-test-scripts\Headless Mode &amp; Sideloading\WalkAndUnGZ.bat" "%USERPROFILE%\AppData\Local\Temp\OnboardLogs"\RTDC4044\2016-10-04 &amp; aws s3 cp s3://rtdc.mdm.uploadarchive.raw/RTDC4044/ "%USERPROFILE%\AppData\Local\Temp\OnboardLogs"\RTDC4044\2016-10-05 --exclude "*" --recursive --include "*20161005*" &amp; "%USERPROFILE%\Documents\GitHub\mrs-test-scripts\Headless Mode &amp; Sideloading\WalkAndUnGZ.bat" "%USERPROFILE%\AppData\Local\Temp\OnboardLogs"\RTDC4044\2016-10-05</v>
      </c>
      <c r="AF116" s="92" t="str">
        <f>astrogrep_path&amp;" /spath="&amp;search_path&amp;" /stypes=""app*"&amp;B116&amp;"*"&amp;TEXT(I116-utc_offset/24,"YYYYMMDD")&amp;"*"" /stext="" "&amp;TEXT(I116-utc_offset/24,"HH")&amp;search_regexp&amp;""" /e /r /s"</f>
        <v>"C:\Program Files (x86)\AstroGrep\AstroGrep.exe" /spath="%USERPROFILE%\AppData\Local\Temp\OnboardLogs" /stypes="app*4044*20161004*" /stext=" 22:.+((SYSTEM_STATE.+slice.+state.+changed )|(ment ac)|(system.+state.+changed )|(\[timeout)|(PRM\|1\|D)|(kpr)|(kdp)|(\|lc)|(penalty))" /e /r /s</v>
      </c>
      <c r="AG116" s="1" t="str">
        <f>IFERROR(IF(VALUE(LEFT(AD116,2))&lt;=2,"EC",IF(OR(VALUE(LEFT(AD116,2))=8,VALUE(LEFT(AD116,2))=18),"NW","Other")),"Other")</f>
        <v>EC</v>
      </c>
      <c r="AH116" s="96" t="str">
        <f t="shared" si="4"/>
        <v>"%USERPROFILE%\Documents\GitHub\eaglep3\Utilities\RefineRTDCRunTimes.py" --tripid 199-04 --locoid 4044 --swversion DE.1.0.7.0 --startMP 204:486 --initTime 2016-10-04T15:54:48 --startdatetime 2016-10-04T16:00:24 --delay 1 --endMP 204:233306 --enddatetime 2016-10-04T16:38:29 --enforcementcount 0 &gt;&gt;C:\Users\stu\Documents\GitHub\eaglep3-reporting\EC\2016-10-04-refined-times.txt</v>
      </c>
      <c r="AI116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{"issue":{"subject":"","project_id":79,"tracker_id":40,"status_id":1,"priority_id":2,"assigned_to_id":23,"start_date":"2016-10-04","description":"","custom_fields":[{"id":1,"name":"Subdivision","value":"EC"},{"id":4,"name":"Milepost","value":"23.3306"},{"id":17,"name":"Train ID","value":"199-04"},{"id":16,"name":"Locomotive ID","value":"4044"},{"id":130,"name":"Impact","value":""},{"id":150,"name":"Time of Event (Mountain Time)","value":"16:38:29"},{"id":151,"name":"Denver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5"/>
      <c r="AK116" s="55"/>
      <c r="AL116" s="55"/>
    </row>
    <row r="117" spans="1:38" s="23" customFormat="1" x14ac:dyDescent="0.25">
      <c r="A117" s="39" t="s">
        <v>527</v>
      </c>
      <c r="B117" s="7">
        <v>4043</v>
      </c>
      <c r="C117" s="24" t="s">
        <v>106</v>
      </c>
      <c r="D117" s="24" t="s">
        <v>306</v>
      </c>
      <c r="E117" s="15">
        <v>42647.699143518519</v>
      </c>
      <c r="F117" s="15">
        <v>42647.705891203703</v>
      </c>
      <c r="G117" s="7">
        <v>0</v>
      </c>
      <c r="H117" s="15" t="s">
        <v>260</v>
      </c>
      <c r="I117" s="15">
        <v>42647.733819444446</v>
      </c>
      <c r="J117" s="7">
        <v>0</v>
      </c>
      <c r="K117" s="117" t="str">
        <f>IF(ISEVEN(B117),(B117-1)&amp;"/"&amp;B117,B117&amp;"/"&amp;(B117+1))</f>
        <v>4043/4044</v>
      </c>
      <c r="L117" s="24" t="str">
        <f>VLOOKUP(A117,'Trips&amp;Operators'!$C$1:$E$10000,3,FALSE)</f>
        <v>STORY</v>
      </c>
      <c r="M117" s="6">
        <f>I117-F117</f>
        <v>2.792824074276723E-2</v>
      </c>
      <c r="N117" s="7">
        <f>24*60*SUM($M117:$M117)</f>
        <v>40.216666669584811</v>
      </c>
      <c r="O117" s="7"/>
      <c r="P117" s="7"/>
      <c r="Q117" s="25"/>
      <c r="R117" s="25"/>
      <c r="S117" s="37">
        <f>SUM(U117:U117)/IF(AG117="EC",12,1)</f>
        <v>1</v>
      </c>
      <c r="T117" s="52" t="str">
        <f>IF(ISEVEN(LEFT(AD117,4)),"Southbound","NorthBound")</f>
        <v>Southbound</v>
      </c>
      <c r="U117" s="159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02" t="str">
        <f>"https://search-rtdc-monitor-bjffxe2xuh6vdkpspy63sjmuny.us-east-1.es.amazonaws.com/_plugin/kibana/#/discover/Steve-Slow-Train-Analysis-(2080s-and-2083s)?_g=(refreshInterval:(display:Off,section:0,value:0),time:(from:'"&amp;TEXT(E117-1/24,"yyyy-MM-DD hh:mm:ss")&amp;"-0600',mode:absolute,to:'"&amp;TEXT(I117+1/24,"yyyy-MM-DD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117&amp;"%22')),sort:!(Time,asc))"</f>
        <v>https://search-rtdc-monitor-bjffxe2xuh6vdkpspy63sjmuny.us-east-1.es.amazonaws.com/_plugin/kibana/#/discover/Steve-Slow-Train-Analysis-(2080s-and-2083s)?_g=(refreshInterval:(display:Off,section:0,value:0),time:(from:'2016-10-04 15:46:46-0600',mode:absolute,to:'2016-10-04 18:36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7" s="54" t="str">
        <f>IF(AA117&lt;IF(AG117="EC",23,5.65),"Y","N")</f>
        <v>N</v>
      </c>
      <c r="X117" s="164">
        <f>VALUE(LEFT(AD117,4))-VALUE(LEFT(AD116,4))</f>
        <v>1</v>
      </c>
      <c r="Y117" s="69">
        <f>RIGHT(D117,LEN(D117)-4)/10000</f>
        <v>23.302099999999999</v>
      </c>
      <c r="Z117" s="69">
        <f>RIGHT(H117,LEN(H117)-4)/10000</f>
        <v>1.3599999999999999E-2</v>
      </c>
      <c r="AA117" s="69">
        <f>ABS(Z117-Y117)</f>
        <v>23.288499999999999</v>
      </c>
      <c r="AB117" s="66" t="e">
        <f>VLOOKUP(A117,Enforcements!$C$7:$K$21,8,0)</f>
        <v>#N/A</v>
      </c>
      <c r="AC117" s="62" t="e">
        <f>VLOOKUP(A117,Enforcements!$C$7:$E$21,3,0)</f>
        <v>#N/A</v>
      </c>
      <c r="AD117" s="63" t="str">
        <f>IF(LEN(A117)=6,"0"&amp;A117,A117)</f>
        <v>0200-04</v>
      </c>
      <c r="AE117" s="9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s3://rtdc.mdm.uploadarchive.raw/RTDC4043/ "%USERPROFILE%\AppData\Local\Temp\OnboardLogs"\RTDC4043\2016-10-04 --exclude "*" --recursive --include "*20161004*" &amp; "%USERPROFILE%\Documents\GitHub\mrs-test-scripts\Headless Mode &amp; Sideloading\WalkAndUnGZ.bat" "%USERPROFILE%\AppData\Local\Temp\OnboardLogs"\RTDC4043\2016-10-04 &amp; aws s3 cp s3://rtdc.mdm.uploadarchive.raw/RTDC4043/ "%USERPROFILE%\AppData\Local\Temp\OnboardLogs"\RTDC4043\2016-10-05 --exclude "*" --recursive --include "*20161005*" &amp; "%USERPROFILE%\Documents\GitHub\mrs-test-scripts\Headless Mode &amp; Sideloading\WalkAndUnGZ.bat" "%USERPROFILE%\AppData\Local\Temp\OnboardLogs"\RTDC4043\2016-10-05</v>
      </c>
      <c r="AF117" s="92" t="str">
        <f>astrogrep_path&amp;" /spath="&amp;search_path&amp;" /stypes=""app*"&amp;B117&amp;"*"&amp;TEXT(I117-utc_offset/24,"YYYYMMDD")&amp;"*"" /stext="" "&amp;TEXT(I117-utc_offset/24,"HH")&amp;search_regexp&amp;""" /e /r /s"</f>
        <v>"C:\Program Files (x86)\AstroGrep\AstroGrep.exe" /spath="%USERPROFILE%\AppData\Local\Temp\OnboardLogs" /stypes="app*4043*20161004*" /stext=" 23:.+((SYSTEM_STATE.+slice.+state.+changed )|(ment ac)|(system.+state.+changed )|(\[timeout)|(PRM\|1\|D)|(kpr)|(kdp)|(\|lc)|(penalty))" /e /r /s</v>
      </c>
      <c r="AG117" s="1" t="str">
        <f>IFERROR(IF(VALUE(LEFT(AD117,2))&lt;=2,"EC",IF(OR(VALUE(LEFT(AD117,2))=8,VALUE(LEFT(AD117,2))=18),"NW","Other")),"Other")</f>
        <v>EC</v>
      </c>
      <c r="AH117" s="96" t="str">
        <f t="shared" si="4"/>
        <v>"%USERPROFILE%\Documents\GitHub\eaglep3\Utilities\RefineRTDCRunTimes.py" --tripid 200-04 --locoid 4043 --swversion DE.1.0.7.0 --startMP 204:233021 --initTime 2016-10-04T16:46:46 --startdatetime 2016-10-04T16:56:29 --delay 0 --endMP 204:136 --enddatetime 2016-10-04T17:36:42 --enforcementcount 0 &gt;&gt;C:\Users\stu\Documents\GitHub\eaglep3-reporting\EC\2016-10-04-refined-times.txt</v>
      </c>
      <c r="AI117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{"issue":{"subject":"","project_id":79,"tracker_id":40,"status_id":1,"priority_id":2,"assigned_to_id":23,"start_date":"2016-10-04","description":"","custom_fields":[{"id":1,"name":"Subdivision","value":"EC"},{"id":4,"name":"Milepost","value":"0.0136"},{"id":17,"name":"Train ID","value":"200-04"},{"id":16,"name":"Locomotive ID","value":"4043"},{"id":130,"name":"Impact","value":""},{"id":150,"name":"Time of Event (Mountain Time)","value":"17:36:42"},{"id":151,"name":"Denver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5"/>
      <c r="AK117" s="55"/>
      <c r="AL117" s="55"/>
    </row>
    <row r="118" spans="1:38" x14ac:dyDescent="0.25">
      <c r="A118" s="39" t="s">
        <v>520</v>
      </c>
      <c r="B118" s="7">
        <v>4007</v>
      </c>
      <c r="C118" s="24" t="s">
        <v>106</v>
      </c>
      <c r="D118" s="24" t="s">
        <v>196</v>
      </c>
      <c r="E118" s="15">
        <v>42647.679594907408</v>
      </c>
      <c r="F118" s="15">
        <v>42647.681064814817</v>
      </c>
      <c r="G118" s="7">
        <v>1</v>
      </c>
      <c r="H118" s="15" t="s">
        <v>646</v>
      </c>
      <c r="I118" s="15">
        <v>42647.706770833334</v>
      </c>
      <c r="J118" s="7">
        <v>0</v>
      </c>
      <c r="K118" s="117" t="str">
        <f>IF(ISEVEN(B118),(B118-1)&amp;"/"&amp;B118,B118&amp;"/"&amp;(B118+1))</f>
        <v>4007/4008</v>
      </c>
      <c r="L118" s="24" t="str">
        <f>VLOOKUP(A118,'Trips&amp;Operators'!$C$1:$E$10000,3,FALSE)</f>
        <v>BARTLETT</v>
      </c>
      <c r="M118" s="6">
        <f>I118-F118</f>
        <v>2.5706018517666962E-2</v>
      </c>
      <c r="N118" s="7">
        <f>24*60*SUM($M118:$M118)</f>
        <v>37.016666665440425</v>
      </c>
      <c r="O118" s="7"/>
      <c r="P118" s="7"/>
      <c r="Q118" s="25"/>
      <c r="R118" s="25"/>
      <c r="S118" s="37">
        <f>SUM(U118:U118)/IF(AG118="EC",12,1)</f>
        <v>1</v>
      </c>
      <c r="T118" s="52" t="str">
        <f>IF(ISEVEN(LEFT(AD118,4)),"Southbound","NorthBound")</f>
        <v>NorthBound</v>
      </c>
      <c r="U118" s="159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02" t="str">
        <f>"https://search-rtdc-monitor-bjffxe2xuh6vdkpspy63sjmuny.us-east-1.es.amazonaws.com/_plugin/kibana/#/discover/Steve-Slow-Train-Analysis-(2080s-and-2083s)?_g=(refreshInterval:(display:Off,section:0,value:0),time:(from:'"&amp;TEXT(E118-1/24,"yyyy-MM-DD hh:mm:ss")&amp;"-0600',mode:absolute,to:'"&amp;TEXT(I118+1/24,"yyyy-MM-DD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118&amp;"%22')),sort:!(Time,asc))"</f>
        <v>https://search-rtdc-monitor-bjffxe2xuh6vdkpspy63sjmuny.us-east-1.es.amazonaws.com/_plugin/kibana/#/discover/Steve-Slow-Train-Analysis-(2080s-and-2083s)?_g=(refreshInterval:(display:Off,section:0,value:0),time:(from:'2016-10-04 15:18:37-0600',mode:absolute,to:'2016-10-04 17:57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18" s="54" t="str">
        <f>IF(AA118&lt;IF(AG118="EC",23,5.65),"Y","N")</f>
        <v>N</v>
      </c>
      <c r="X118" s="164">
        <f>VALUE(LEFT(AD118,4))-VALUE(LEFT(AD117,4))</f>
        <v>1</v>
      </c>
      <c r="Y118" s="69">
        <f>RIGHT(D118,LEN(D118)-4)/10000</f>
        <v>4.53E-2</v>
      </c>
      <c r="Z118" s="69">
        <f>RIGHT(H118,LEN(H118)-4)/10000</f>
        <v>23.337800000000001</v>
      </c>
      <c r="AA118" s="69">
        <f>ABS(Z118-Y118)</f>
        <v>23.2925</v>
      </c>
      <c r="AB118" s="66" t="e">
        <f>VLOOKUP(A118,Enforcements!$C$7:$K$21,8,0)</f>
        <v>#N/A</v>
      </c>
      <c r="AC118" s="62" t="e">
        <f>VLOOKUP(A118,Enforcements!$C$7:$E$21,3,0)</f>
        <v>#N/A</v>
      </c>
      <c r="AD118" s="63" t="str">
        <f>IF(LEN(A118)=6,"0"&amp;A118,A118)</f>
        <v>0201-04</v>
      </c>
      <c r="AE118" s="9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s3://rtdc.mdm.uploadarchive.raw/RTDC4007/ "%USERPROFILE%\AppData\Local\Temp\OnboardLogs"\RTDC4007\2016-10-04 --exclude "*" --recursive --include "*20161004*" &amp; "%USERPROFILE%\Documents\GitHub\mrs-test-scripts\Headless Mode &amp; Sideloading\WalkAndUnGZ.bat" "%USERPROFILE%\AppData\Local\Temp\OnboardLogs"\RTDC4007\2016-10-04 &amp; aws s3 cp s3://rtdc.mdm.uploadarchive.raw/RTDC4007/ "%USERPROFILE%\AppData\Local\Temp\OnboardLogs"\RTDC4007\2016-10-05 --exclude "*" --recursive --include "*20161005*" &amp; "%USERPROFILE%\Documents\GitHub\mrs-test-scripts\Headless Mode &amp; Sideloading\WalkAndUnGZ.bat" "%USERPROFILE%\AppData\Local\Temp\OnboardLogs"\RTDC4007\2016-10-05</v>
      </c>
      <c r="AF118" s="92" t="str">
        <f>astrogrep_path&amp;" /spath="&amp;search_path&amp;" /stypes=""app*"&amp;B118&amp;"*"&amp;TEXT(I118-utc_offset/24,"YYYYMMDD")&amp;"*"" /stext="" "&amp;TEXT(I118-utc_offset/24,"HH")&amp;search_regexp&amp;""" /e /r /s"</f>
        <v>"C:\Program Files (x86)\AstroGrep\AstroGrep.exe" /spath="%USERPROFILE%\AppData\Local\Temp\OnboardLogs" /stypes="app*4007*20161004*" /stext=" 22:.+((SYSTEM_STATE.+slice.+state.+changed )|(ment ac)|(system.+state.+changed )|(\[timeout)|(PRM\|1\|D)|(kpr)|(kdp)|(\|lc)|(penalty))" /e /r /s</v>
      </c>
      <c r="AG118" s="1" t="str">
        <f>IFERROR(IF(VALUE(LEFT(AD118,2))&lt;=2,"EC",IF(OR(VALUE(LEFT(AD118,2))=8,VALUE(LEFT(AD118,2))=18),"NW","Other")),"Other")</f>
        <v>EC</v>
      </c>
      <c r="AH118" s="96" t="str">
        <f t="shared" si="4"/>
        <v>"%USERPROFILE%\Documents\GitHub\eaglep3\Utilities\RefineRTDCRunTimes.py" --tripid 201-04 --locoid 4007 --swversion DE.1.0.7.0 --startMP 204:453 --initTime 2016-10-04T16:18:37 --startdatetime 2016-10-04T16:20:44 --delay 1 --endMP 204:233378 --enddatetime 2016-10-04T16:57:45 --enforcementcount 0 &gt;&gt;C:\Users\stu\Documents\GitHub\eaglep3-reporting\EC\2016-10-04-refined-times.txt</v>
      </c>
      <c r="AI118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{"issue":{"subject":"","project_id":79,"tracker_id":40,"status_id":1,"priority_id":2,"assigned_to_id":23,"start_date":"2016-10-04","description":"","custom_fields":[{"id":1,"name":"Subdivision","value":"EC"},{"id":4,"name":"Milepost","value":"23.3378"},{"id":17,"name":"Train ID","value":"201-04"},{"id":16,"name":"Locomotive ID","value":"4007"},{"id":130,"name":"Impact","value":""},{"id":150,"name":"Time of Event (Mountain Time)","value":"16:57:45"},{"id":151,"name":"Denver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5"/>
      <c r="AK118" s="55"/>
      <c r="AL118" s="55"/>
    </row>
    <row r="119" spans="1:38" s="23" customFormat="1" x14ac:dyDescent="0.25">
      <c r="A119" s="39" t="s">
        <v>529</v>
      </c>
      <c r="B119" s="7">
        <v>4008</v>
      </c>
      <c r="C119" s="24" t="s">
        <v>106</v>
      </c>
      <c r="D119" s="24" t="s">
        <v>647</v>
      </c>
      <c r="E119" s="15">
        <v>42647.708043981482</v>
      </c>
      <c r="F119" s="15">
        <v>42647.716145833336</v>
      </c>
      <c r="G119" s="7">
        <v>1</v>
      </c>
      <c r="H119" s="15" t="s">
        <v>191</v>
      </c>
      <c r="I119" s="15">
        <v>42647.743009259262</v>
      </c>
      <c r="J119" s="7">
        <v>0</v>
      </c>
      <c r="K119" s="117" t="str">
        <f>IF(ISEVEN(B119),(B119-1)&amp;"/"&amp;B119,B119&amp;"/"&amp;(B119+1))</f>
        <v>4007/4008</v>
      </c>
      <c r="L119" s="24" t="str">
        <f>VLOOKUP(A119,'Trips&amp;Operators'!$C$1:$E$10000,3,FALSE)</f>
        <v>BARTLETT</v>
      </c>
      <c r="M119" s="6">
        <f>I119-F119</f>
        <v>2.6863425926421769E-2</v>
      </c>
      <c r="N119" s="7">
        <f>24*60*SUM($M119:$M119)</f>
        <v>38.683333334047347</v>
      </c>
      <c r="O119" s="7"/>
      <c r="P119" s="7"/>
      <c r="Q119" s="25"/>
      <c r="R119" s="25"/>
      <c r="S119" s="37">
        <f>SUM(U119:U119)/IF(AG119="EC",12,1)</f>
        <v>1</v>
      </c>
      <c r="T119" s="52" t="str">
        <f>IF(ISEVEN(LEFT(AD119,4)),"Southbound","NorthBound")</f>
        <v>Southbound</v>
      </c>
      <c r="U119" s="159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02" t="str">
        <f>"https://search-rtdc-monitor-bjffxe2xuh6vdkpspy63sjmuny.us-east-1.es.amazonaws.com/_plugin/kibana/#/discover/Steve-Slow-Train-Analysis-(2080s-and-2083s)?_g=(refreshInterval:(display:Off,section:0,value:0),time:(from:'"&amp;TEXT(E119-1/24,"yyyy-MM-DD hh:mm:ss")&amp;"-0600',mode:absolute,to:'"&amp;TEXT(I119+1/24,"yyyy-MM-DD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119&amp;"%22')),sort:!(Time,asc))"</f>
        <v>https://search-rtdc-monitor-bjffxe2xuh6vdkpspy63sjmuny.us-east-1.es.amazonaws.com/_plugin/kibana/#/discover/Steve-Slow-Train-Analysis-(2080s-and-2083s)?_g=(refreshInterval:(display:Off,section:0,value:0),time:(from:'2016-10-04 15:59:35-0600',mode:absolute,to:'2016-10-04 18:49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19" s="54" t="str">
        <f>IF(AA119&lt;IF(AG119="EC",23,5.65),"Y","N")</f>
        <v>N</v>
      </c>
      <c r="X119" s="164">
        <f>VALUE(LEFT(AD119,4))-VALUE(LEFT(AD118,4))</f>
        <v>1</v>
      </c>
      <c r="Y119" s="69">
        <f>RIGHT(D119,LEN(D119)-4)/10000</f>
        <v>23.305499999999999</v>
      </c>
      <c r="Z119" s="69">
        <f>RIGHT(H119,LEN(H119)-4)/10000</f>
        <v>1.49E-2</v>
      </c>
      <c r="AA119" s="69">
        <f>ABS(Z119-Y119)</f>
        <v>23.290599999999998</v>
      </c>
      <c r="AB119" s="66" t="e">
        <f>VLOOKUP(A119,Enforcements!$C$7:$K$21,8,0)</f>
        <v>#N/A</v>
      </c>
      <c r="AC119" s="62" t="e">
        <f>VLOOKUP(A119,Enforcements!$C$7:$E$21,3,0)</f>
        <v>#N/A</v>
      </c>
      <c r="AD119" s="63" t="str">
        <f>IF(LEN(A119)=6,"0"&amp;A119,A119)</f>
        <v>0202-04</v>
      </c>
      <c r="AE119" s="9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s3://rtdc.mdm.uploadarchive.raw/RTDC4008/ "%USERPROFILE%\AppData\Local\Temp\OnboardLogs"\RTDC4008\2016-10-04 --exclude "*" --recursive --include "*20161004*" &amp; "%USERPROFILE%\Documents\GitHub\mrs-test-scripts\Headless Mode &amp; Sideloading\WalkAndUnGZ.bat" "%USERPROFILE%\AppData\Local\Temp\OnboardLogs"\RTDC4008\2016-10-04 &amp; aws s3 cp s3://rtdc.mdm.uploadarchive.raw/RTDC4008/ "%USERPROFILE%\AppData\Local\Temp\OnboardLogs"\RTDC4008\2016-10-05 --exclude "*" --recursive --include "*20161005*" &amp; "%USERPROFILE%\Documents\GitHub\mrs-test-scripts\Headless Mode &amp; Sideloading\WalkAndUnGZ.bat" "%USERPROFILE%\AppData\Local\Temp\OnboardLogs"\RTDC4008\2016-10-05</v>
      </c>
      <c r="AF119" s="92" t="str">
        <f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/stypes="app*4008*20161004*" /stext=" 23:.+((SYSTEM_STATE.+slice.+state.+changed )|(ment ac)|(system.+state.+changed )|(\[timeout)|(PRM\|1\|D)|(kpr)|(kdp)|(\|lc)|(penalty))" /e /r /s</v>
      </c>
      <c r="AG119" s="1" t="str">
        <f>IFERROR(IF(VALUE(LEFT(AD119,2))&lt;=2,"EC",IF(OR(VALUE(LEFT(AD119,2))=8,VALUE(LEFT(AD119,2))=18),"NW","Other")),"Other")</f>
        <v>EC</v>
      </c>
      <c r="AH119" s="96" t="str">
        <f t="shared" si="4"/>
        <v>"%USERPROFILE%\Documents\GitHub\eaglep3\Utilities\RefineRTDCRunTimes.py" --tripid 202-04 --locoid 4008 --swversion DE.1.0.7.0 --startMP 204:233055 --initTime 2016-10-04T16:59:35 --startdatetime 2016-10-04T17:11:15 --delay 1 --endMP 204:149 --enddatetime 2016-10-04T17:49:56 --enforcementcount 0 &gt;&gt;C:\Users\stu\Documents\GitHub\eaglep3-reporting\EC\2016-10-04-refined-times.txt</v>
      </c>
      <c r="AI119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{"issue":{"subject":"","project_id":79,"tracker_id":40,"status_id":1,"priority_id":2,"assigned_to_id":23,"start_date":"2016-10-04","description":"","custom_fields":[{"id":1,"name":"Subdivision","value":"EC"},{"id":4,"name":"Milepost","value":"0.0149"},{"id":17,"name":"Train ID","value":"202-04"},{"id":16,"name":"Locomotive ID","value":"4008"},{"id":130,"name":"Impact","value":""},{"id":150,"name":"Time of Event (Mountain Time)","value":"17:49:56"},{"id":151,"name":"Denver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5"/>
      <c r="AK119" s="55"/>
      <c r="AL119" s="55"/>
    </row>
    <row r="120" spans="1:38" s="23" customFormat="1" x14ac:dyDescent="0.25">
      <c r="A120" s="39" t="s">
        <v>522</v>
      </c>
      <c r="B120" s="7">
        <v>4042</v>
      </c>
      <c r="C120" s="24" t="s">
        <v>106</v>
      </c>
      <c r="D120" s="24" t="s">
        <v>193</v>
      </c>
      <c r="E120" s="15">
        <v>42647.685520833336</v>
      </c>
      <c r="F120" s="15">
        <v>42647.687696759262</v>
      </c>
      <c r="G120" s="7">
        <v>2</v>
      </c>
      <c r="H120" s="15" t="s">
        <v>648</v>
      </c>
      <c r="I120" s="15">
        <v>42647.713796296295</v>
      </c>
      <c r="J120" s="7">
        <v>0</v>
      </c>
      <c r="K120" s="117" t="str">
        <f>IF(ISEVEN(B120),(B120-1)&amp;"/"&amp;B120,B120&amp;"/"&amp;(B120+1))</f>
        <v>4041/4042</v>
      </c>
      <c r="L120" s="24" t="str">
        <f>VLOOKUP(A120,'Trips&amp;Operators'!$C$1:$E$10000,3,FALSE)</f>
        <v>STEWART</v>
      </c>
      <c r="M120" s="6">
        <f>I120-F120</f>
        <v>2.6099537033587694E-2</v>
      </c>
      <c r="N120" s="7">
        <f>24*60*SUM($M120:$M120)</f>
        <v>37.58333332836628</v>
      </c>
      <c r="O120" s="7"/>
      <c r="P120" s="7"/>
      <c r="Q120" s="25"/>
      <c r="R120" s="25"/>
      <c r="S120" s="37">
        <f>SUM(U120:U120)/IF(AG120="EC",12,1)</f>
        <v>1</v>
      </c>
      <c r="T120" s="52" t="str">
        <f>IF(ISEVEN(LEFT(AD120,4)),"Southbound","NorthBound")</f>
        <v>NorthBound</v>
      </c>
      <c r="U120" s="159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02" t="str">
        <f>"https://search-rtdc-monitor-bjffxe2xuh6vdkpspy63sjmuny.us-east-1.es.amazonaws.com/_plugin/kibana/#/discover/Steve-Slow-Train-Analysis-(2080s-and-2083s)?_g=(refreshInterval:(display:Off,section:0,value:0),time:(from:'"&amp;TEXT(E120-1/24,"yyyy-MM-DD hh:mm:ss")&amp;"-0600',mode:absolute,to:'"&amp;TEXT(I120+1/24,"yyyy-MM-DD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120&amp;"%22')),sort:!(Time,asc))"</f>
        <v>https://search-rtdc-monitor-bjffxe2xuh6vdkpspy63sjmuny.us-east-1.es.amazonaws.com/_plugin/kibana/#/discover/Steve-Slow-Train-Analysis-(2080s-and-2083s)?_g=(refreshInterval:(display:Off,section:0,value:0),time:(from:'2016-10-04 15:27:09-0600',mode:absolute,to:'2016-10-04 18:07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0" s="54" t="str">
        <f>IF(AA120&lt;IF(AG120="EC",23,5.65),"Y","N")</f>
        <v>N</v>
      </c>
      <c r="X120" s="164">
        <f>VALUE(LEFT(AD120,4))-VALUE(LEFT(AD119,4))</f>
        <v>1</v>
      </c>
      <c r="Y120" s="69">
        <f>RIGHT(D120,LEN(D120)-4)/10000</f>
        <v>4.7100000000000003E-2</v>
      </c>
      <c r="Z120" s="69">
        <f>RIGHT(H120,LEN(H120)-4)/10000</f>
        <v>23.332699999999999</v>
      </c>
      <c r="AA120" s="69">
        <f>ABS(Z120-Y120)</f>
        <v>23.285599999999999</v>
      </c>
      <c r="AB120" s="66" t="e">
        <f>VLOOKUP(A120,Enforcements!$C$7:$K$21,8,0)</f>
        <v>#N/A</v>
      </c>
      <c r="AC120" s="62" t="e">
        <f>VLOOKUP(A120,Enforcements!$C$7:$E$21,3,0)</f>
        <v>#N/A</v>
      </c>
      <c r="AD120" s="63" t="str">
        <f>IF(LEN(A120)=6,"0"&amp;A120,A120)</f>
        <v>0203-04</v>
      </c>
      <c r="AE120" s="9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s3://rtdc.mdm.uploadarchive.raw/RTDC4042/ "%USERPROFILE%\AppData\Local\Temp\OnboardLogs"\RTDC4042\2016-10-04 --exclude "*" --recursive --include "*20161004*" &amp; "%USERPROFILE%\Documents\GitHub\mrs-test-scripts\Headless Mode &amp; Sideloading\WalkAndUnGZ.bat" "%USERPROFILE%\AppData\Local\Temp\OnboardLogs"\RTDC4042\2016-10-04 &amp; aws s3 cp s3://rtdc.mdm.uploadarchive.raw/RTDC4042/ "%USERPROFILE%\AppData\Local\Temp\OnboardLogs"\RTDC4042\2016-10-05 --exclude "*" --recursive --include "*20161005*" &amp; "%USERPROFILE%\Documents\GitHub\mrs-test-scripts\Headless Mode &amp; Sideloading\WalkAndUnGZ.bat" "%USERPROFILE%\AppData\Local\Temp\OnboardLogs"\RTDC4042\2016-10-05</v>
      </c>
      <c r="AF120" s="92" t="str">
        <f>astrogrep_path&amp;" /spath="&amp;search_path&amp;" /stypes=""app*"&amp;B120&amp;"*"&amp;TEXT(I120-utc_offset/24,"YYYYMMDD")&amp;"*"" /stext="" "&amp;TEXT(I120-utc_offset/24,"HH")&amp;search_regexp&amp;""" /e /r /s"</f>
        <v>"C:\Program Files (x86)\AstroGrep\AstroGrep.exe" /spath="%USERPROFILE%\AppData\Local\Temp\OnboardLogs" /stypes="app*4042*20161004*" /stext=" 23:.+((SYSTEM_STATE.+slice.+state.+changed )|(ment ac)|(system.+state.+changed )|(\[timeout)|(PRM\|1\|D)|(kpr)|(kdp)|(\|lc)|(penalty))" /e /r /s</v>
      </c>
      <c r="AG120" s="1" t="str">
        <f>IFERROR(IF(VALUE(LEFT(AD120,2))&lt;=2,"EC",IF(OR(VALUE(LEFT(AD120,2))=8,VALUE(LEFT(AD120,2))=18),"NW","Other")),"Other")</f>
        <v>EC</v>
      </c>
      <c r="AH120" s="96" t="str">
        <f t="shared" si="4"/>
        <v>"%USERPROFILE%\Documents\GitHub\eaglep3\Utilities\RefineRTDCRunTimes.py" --tripid 203-04 --locoid 4042 --swversion DE.1.0.7.0 --startMP 204:471 --initTime 2016-10-04T16:27:09 --startdatetime 2016-10-04T16:30:17 --delay 2 --endMP 204:233327 --enddatetime 2016-10-04T17:07:52 --enforcementcount 0 &gt;&gt;C:\Users\stu\Documents\GitHub\eaglep3-reporting\EC\2016-10-04-refined-times.txt</v>
      </c>
      <c r="AI120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{"issue":{"subject":"","project_id":79,"tracker_id":40,"status_id":1,"priority_id":2,"assigned_to_id":23,"start_date":"2016-10-04","description":"","custom_fields":[{"id":1,"name":"Subdivision","value":"EC"},{"id":4,"name":"Milepost","value":"23.3327"},{"id":17,"name":"Train ID","value":"203-04"},{"id":16,"name":"Locomotive ID","value":"4042"},{"id":130,"name":"Impact","value":""},{"id":150,"name":"Time of Event (Mountain Time)","value":"17:07:52"},{"id":151,"name":"Denver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5"/>
      <c r="AK120" s="55"/>
      <c r="AL120" s="55"/>
    </row>
    <row r="121" spans="1:38" s="23" customFormat="1" x14ac:dyDescent="0.25">
      <c r="A121" s="39" t="s">
        <v>534</v>
      </c>
      <c r="B121" s="7">
        <v>4041</v>
      </c>
      <c r="C121" s="24" t="s">
        <v>106</v>
      </c>
      <c r="D121" s="24" t="s">
        <v>330</v>
      </c>
      <c r="E121" s="15">
        <v>42647.722372685188</v>
      </c>
      <c r="F121" s="15">
        <v>42647.726851851854</v>
      </c>
      <c r="G121" s="7">
        <v>1</v>
      </c>
      <c r="H121" s="15" t="s">
        <v>194</v>
      </c>
      <c r="I121" s="15">
        <v>42647.753692129627</v>
      </c>
      <c r="J121" s="7">
        <v>0</v>
      </c>
      <c r="K121" s="117" t="str">
        <f>IF(ISEVEN(B121),(B121-1)&amp;"/"&amp;B121,B121&amp;"/"&amp;(B121+1))</f>
        <v>4041/4042</v>
      </c>
      <c r="L121" s="24" t="str">
        <f>VLOOKUP(A121,'Trips&amp;Operators'!$C$1:$E$10000,3,FALSE)</f>
        <v>STEWART</v>
      </c>
      <c r="M121" s="6">
        <f>I121-F121</f>
        <v>2.6840277772862464E-2</v>
      </c>
      <c r="N121" s="7">
        <f>24*60*SUM($M121:$M121)</f>
        <v>38.649999992921948</v>
      </c>
      <c r="O121" s="7"/>
      <c r="P121" s="7"/>
      <c r="Q121" s="25"/>
      <c r="R121" s="25"/>
      <c r="S121" s="37">
        <f>SUM(U121:U121)/IF(AG121="EC",12,1)</f>
        <v>1</v>
      </c>
      <c r="T121" s="52" t="str">
        <f>IF(ISEVEN(LEFT(AD121,4)),"Southbound","NorthBound")</f>
        <v>Southbound</v>
      </c>
      <c r="U121" s="159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02" t="str">
        <f>"https://search-rtdc-monitor-bjffxe2xuh6vdkpspy63sjmuny.us-east-1.es.amazonaws.com/_plugin/kibana/#/discover/Steve-Slow-Train-Analysis-(2080s-and-2083s)?_g=(refreshInterval:(display:Off,section:0,value:0),time:(from:'"&amp;TEXT(E121-1/24,"yyyy-MM-DD hh:mm:ss")&amp;"-0600',mode:absolute,to:'"&amp;TEXT(I121+1/24,"yyyy-MM-DD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121&amp;"%22')),sort:!(Time,asc))"</f>
        <v>https://search-rtdc-monitor-bjffxe2xuh6vdkpspy63sjmuny.us-east-1.es.amazonaws.com/_plugin/kibana/#/discover/Steve-Slow-Train-Analysis-(2080s-and-2083s)?_g=(refreshInterval:(display:Off,section:0,value:0),time:(from:'2016-10-04 16:20:13-0600',mode:absolute,to:'2016-10-04 19:05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1" s="54" t="str">
        <f>IF(AA121&lt;IF(AG121="EC",23,5.65),"Y","N")</f>
        <v>N</v>
      </c>
      <c r="X121" s="164">
        <f>VALUE(LEFT(AD121,4))-VALUE(LEFT(AD120,4))</f>
        <v>1</v>
      </c>
      <c r="Y121" s="69">
        <f>RIGHT(D121,LEN(D121)-4)/10000</f>
        <v>23.297899999999998</v>
      </c>
      <c r="Z121" s="69">
        <f>RIGHT(H121,LEN(H121)-4)/10000</f>
        <v>1.5800000000000002E-2</v>
      </c>
      <c r="AA121" s="69">
        <f>ABS(Z121-Y121)</f>
        <v>23.2821</v>
      </c>
      <c r="AB121" s="66" t="e">
        <f>VLOOKUP(A121,Enforcements!$C$7:$K$21,8,0)</f>
        <v>#N/A</v>
      </c>
      <c r="AC121" s="62" t="e">
        <f>VLOOKUP(A121,Enforcements!$C$7:$E$21,3,0)</f>
        <v>#N/A</v>
      </c>
      <c r="AD121" s="63" t="str">
        <f>IF(LEN(A121)=6,"0"&amp;A121,A121)</f>
        <v>0204-04</v>
      </c>
      <c r="AE121" s="9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s3://rtdc.mdm.uploadarchive.raw/RTDC4041/ "%USERPROFILE%\AppData\Local\Temp\OnboardLogs"\RTDC4041\2016-10-04 --exclude "*" --recursive --include "*20161004*" &amp; "%USERPROFILE%\Documents\GitHub\mrs-test-scripts\Headless Mode &amp; Sideloading\WalkAndUnGZ.bat" "%USERPROFILE%\AppData\Local\Temp\OnboardLogs"\RTDC4041\2016-10-04 &amp; aws s3 cp s3://rtdc.mdm.uploadarchive.raw/RTDC4041/ "%USERPROFILE%\AppData\Local\Temp\OnboardLogs"\RTDC4041\2016-10-05 --exclude "*" --recursive --include "*20161005*" &amp; "%USERPROFILE%\Documents\GitHub\mrs-test-scripts\Headless Mode &amp; Sideloading\WalkAndUnGZ.bat" "%USERPROFILE%\AppData\Local\Temp\OnboardLogs"\RTDC4041\2016-10-05</v>
      </c>
      <c r="AF121" s="92" t="str">
        <f>astrogrep_path&amp;" /spath="&amp;search_path&amp;" /stypes=""app*"&amp;B121&amp;"*"&amp;TEXT(I121-utc_offset/24,"YYYYMMDD")&amp;"*"" /stext="" "&amp;TEXT(I121-utc_offset/24,"HH")&amp;search_regexp&amp;""" /e /r /s"</f>
        <v>"C:\Program Files (x86)\AstroGrep\AstroGrep.exe" /spath="%USERPROFILE%\AppData\Local\Temp\OnboardLogs" /stypes="app*4041*20161005*" /stext=" 00:.+((SYSTEM_STATE.+slice.+state.+changed )|(ment ac)|(system.+state.+changed )|(\[timeout)|(PRM\|1\|D)|(kpr)|(kdp)|(\|lc)|(penalty))" /e /r /s</v>
      </c>
      <c r="AG121" s="1" t="str">
        <f>IFERROR(IF(VALUE(LEFT(AD121,2))&lt;=2,"EC",IF(OR(VALUE(LEFT(AD121,2))=8,VALUE(LEFT(AD121,2))=18),"NW","Other")),"Other")</f>
        <v>EC</v>
      </c>
      <c r="AH121" s="96" t="str">
        <f t="shared" si="4"/>
        <v>"%USERPROFILE%\Documents\GitHub\eaglep3\Utilities\RefineRTDCRunTimes.py" --tripid 204-04 --locoid 4041 --swversion DE.1.0.7.0 --startMP 204:232979 --initTime 2016-10-04T17:20:13 --startdatetime 2016-10-04T17:26:40 --delay 1 --endMP 204:158 --enddatetime 2016-10-04T18:05:19 --enforcementcount 0 &gt;&gt;C:\Users\stu\Documents\GitHub\eaglep3-reporting\EC\2016-10-04-refined-times.txt</v>
      </c>
      <c r="AI121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{"issue":{"subject":"","project_id":79,"tracker_id":40,"status_id":1,"priority_id":2,"assigned_to_id":23,"start_date":"2016-10-04","description":"","custom_fields":[{"id":1,"name":"Subdivision","value":"EC"},{"id":4,"name":"Milepost","value":"0.0158"},{"id":17,"name":"Train ID","value":"204-04"},{"id":16,"name":"Locomotive ID","value":"4041"},{"id":130,"name":"Impact","value":""},{"id":150,"name":"Time of Event (Mountain Time)","value":"18:05:19"},{"id":151,"name":"Denver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5"/>
      <c r="AK121" s="55"/>
      <c r="AL121" s="55"/>
    </row>
    <row r="122" spans="1:38" s="23" customFormat="1" x14ac:dyDescent="0.25">
      <c r="A122" s="39" t="s">
        <v>526</v>
      </c>
      <c r="B122" s="7">
        <v>4029</v>
      </c>
      <c r="C122" s="24" t="s">
        <v>106</v>
      </c>
      <c r="D122" s="24" t="s">
        <v>202</v>
      </c>
      <c r="E122" s="15">
        <v>42647.695902777778</v>
      </c>
      <c r="F122" s="15">
        <v>42647.698344907411</v>
      </c>
      <c r="G122" s="7">
        <v>1</v>
      </c>
      <c r="H122" s="15" t="s">
        <v>282</v>
      </c>
      <c r="I122" s="15">
        <v>42647.722500000003</v>
      </c>
      <c r="J122" s="7">
        <v>0</v>
      </c>
      <c r="K122" s="117" t="str">
        <f>IF(ISEVEN(B122),(B122-1)&amp;"/"&amp;B122,B122&amp;"/"&amp;(B122+1))</f>
        <v>4029/4030</v>
      </c>
      <c r="L122" s="24" t="str">
        <f>VLOOKUP(A122,'Trips&amp;Operators'!$C$1:$E$10000,3,FALSE)</f>
        <v>HELVIE</v>
      </c>
      <c r="M122" s="6">
        <f>I122-F122</f>
        <v>2.4155092592991423E-2</v>
      </c>
      <c r="N122" s="7">
        <f>24*60*SUM($M122:$M122)</f>
        <v>34.783333333907649</v>
      </c>
      <c r="O122" s="7"/>
      <c r="P122" s="7"/>
      <c r="Q122" s="25"/>
      <c r="R122" s="25"/>
      <c r="S122" s="37">
        <f>SUM(U122:U122)/IF(AG122="EC",12,1)</f>
        <v>1</v>
      </c>
      <c r="T122" s="52" t="str">
        <f>IF(ISEVEN(LEFT(AD122,4)),"Southbound","NorthBound")</f>
        <v>NorthBound</v>
      </c>
      <c r="U122" s="159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02" t="str">
        <f>"https://search-rtdc-monitor-bjffxe2xuh6vdkpspy63sjmuny.us-east-1.es.amazonaws.com/_plugin/kibana/#/discover/Steve-Slow-Train-Analysis-(2080s-and-2083s)?_g=(refreshInterval:(display:Off,section:0,value:0),time:(from:'"&amp;TEXT(E122-1/24,"yyyy-MM-DD hh:mm:ss")&amp;"-0600',mode:absolute,to:'"&amp;TEXT(I122+1/24,"yyyy-MM-DD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122&amp;"%22')),sort:!(Time,asc))"</f>
        <v>https://search-rtdc-monitor-bjffxe2xuh6vdkpspy63sjmuny.us-east-1.es.amazonaws.com/_plugin/kibana/#/discover/Steve-Slow-Train-Analysis-(2080s-and-2083s)?_g=(refreshInterval:(display:Off,section:0,value:0),time:(from:'2016-10-04 15:42:06-0600',mode:absolute,to:'2016-10-04 18:20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2" s="54" t="str">
        <f>IF(AA122&lt;IF(AG122="EC",23,5.65),"Y","N")</f>
        <v>N</v>
      </c>
      <c r="X122" s="164">
        <f>VALUE(LEFT(AD122,4))-VALUE(LEFT(AD121,4))</f>
        <v>1</v>
      </c>
      <c r="Y122" s="69">
        <f>RIGHT(D122,LEN(D122)-4)/10000</f>
        <v>4.5100000000000001E-2</v>
      </c>
      <c r="Z122" s="69">
        <f>RIGHT(H122,LEN(H122)-4)/10000</f>
        <v>23.328900000000001</v>
      </c>
      <c r="AA122" s="69">
        <f>ABS(Z122-Y122)</f>
        <v>23.283799999999999</v>
      </c>
      <c r="AB122" s="66" t="e">
        <f>VLOOKUP(A122,Enforcements!$C$7:$K$21,8,0)</f>
        <v>#N/A</v>
      </c>
      <c r="AC122" s="62" t="e">
        <f>VLOOKUP(A122,Enforcements!$C$7:$E$21,3,0)</f>
        <v>#N/A</v>
      </c>
      <c r="AD122" s="63" t="str">
        <f>IF(LEN(A122)=6,"0"&amp;A122,A122)</f>
        <v>0205-04</v>
      </c>
      <c r="AE122" s="9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s3://rtdc.mdm.uploadarchive.raw/RTDC4029/ "%USERPROFILE%\AppData\Local\Temp\OnboardLogs"\RTDC4029\2016-10-04 --exclude "*" --recursive --include "*20161004*" &amp; "%USERPROFILE%\Documents\GitHub\mrs-test-scripts\Headless Mode &amp; Sideloading\WalkAndUnGZ.bat" "%USERPROFILE%\AppData\Local\Temp\OnboardLogs"\RTDC4029\2016-10-04 &amp; aws s3 cp s3://rtdc.mdm.uploadarchive.raw/RTDC4029/ "%USERPROFILE%\AppData\Local\Temp\OnboardLogs"\RTDC4029\2016-10-05 --exclude "*" --recursive --include "*20161005*" &amp; "%USERPROFILE%\Documents\GitHub\mrs-test-scripts\Headless Mode &amp; Sideloading\WalkAndUnGZ.bat" "%USERPROFILE%\AppData\Local\Temp\OnboardLogs"\RTDC4029\2016-10-05</v>
      </c>
      <c r="AF122" s="92" t="str">
        <f>astrogrep_path&amp;" /spath="&amp;search_path&amp;" /stypes=""app*"&amp;B122&amp;"*"&amp;TEXT(I122-utc_offset/24,"YYYYMMDD")&amp;"*"" /stext="" "&amp;TEXT(I122-utc_offset/24,"HH")&amp;search_regexp&amp;""" /e /r /s"</f>
        <v>"C:\Program Files (x86)\AstroGrep\AstroGrep.exe" /spath="%USERPROFILE%\AppData\Local\Temp\OnboardLogs" /stypes="app*4029*20161004*" /stext=" 23:.+((SYSTEM_STATE.+slice.+state.+changed )|(ment ac)|(system.+state.+changed )|(\[timeout)|(PRM\|1\|D)|(kpr)|(kdp)|(\|lc)|(penalty))" /e /r /s</v>
      </c>
      <c r="AG122" s="1" t="str">
        <f>IFERROR(IF(VALUE(LEFT(AD122,2))&lt;=2,"EC",IF(OR(VALUE(LEFT(AD122,2))=8,VALUE(LEFT(AD122,2))=18),"NW","Other")),"Other")</f>
        <v>EC</v>
      </c>
      <c r="AH122" s="96" t="str">
        <f t="shared" si="4"/>
        <v>"%USERPROFILE%\Documents\GitHub\eaglep3\Utilities\RefineRTDCRunTimes.py" --tripid 205-04 --locoid 4029 --swversion DE.1.0.7.0 --startMP 204:451 --initTime 2016-10-04T16:42:06 --startdatetime 2016-10-04T16:45:37 --delay 1 --endMP 204:233289 --enddatetime 2016-10-04T17:20:24 --enforcementcount 0 &gt;&gt;C:\Users\stu\Documents\GitHub\eaglep3-reporting\EC\2016-10-04-refined-times.txt</v>
      </c>
      <c r="AI122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{"issue":{"subject":"","project_id":79,"tracker_id":40,"status_id":1,"priority_id":2,"assigned_to_id":23,"start_date":"2016-10-04","description":"","custom_fields":[{"id":1,"name":"Subdivision","value":"EC"},{"id":4,"name":"Milepost","value":"23.3289"},{"id":17,"name":"Train ID","value":"205-04"},{"id":16,"name":"Locomotive ID","value":"4029"},{"id":130,"name":"Impact","value":""},{"id":150,"name":"Time of Event (Mountain Time)","value":"17:20:24"},{"id":151,"name":"Denver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5"/>
      <c r="AK122" s="55"/>
      <c r="AL122" s="55"/>
    </row>
    <row r="123" spans="1:38" s="23" customFormat="1" x14ac:dyDescent="0.25">
      <c r="A123" s="39" t="s">
        <v>537</v>
      </c>
      <c r="B123" s="7">
        <v>4030</v>
      </c>
      <c r="C123" s="24" t="s">
        <v>106</v>
      </c>
      <c r="D123" s="24" t="s">
        <v>257</v>
      </c>
      <c r="E123" s="15">
        <v>42647.733842592592</v>
      </c>
      <c r="F123" s="15">
        <v>42647.737025462964</v>
      </c>
      <c r="G123" s="7">
        <v>1</v>
      </c>
      <c r="H123" s="15" t="s">
        <v>210</v>
      </c>
      <c r="I123" s="15">
        <v>42647.762997685182</v>
      </c>
      <c r="J123" s="7">
        <v>0</v>
      </c>
      <c r="K123" s="117" t="str">
        <f>IF(ISEVEN(B123),(B123-1)&amp;"/"&amp;B123,B123&amp;"/"&amp;(B123+1))</f>
        <v>4029/4030</v>
      </c>
      <c r="L123" s="24" t="str">
        <f>VLOOKUP(A123,'Trips&amp;Operators'!$C$1:$E$10000,3,FALSE)</f>
        <v>HELVIE</v>
      </c>
      <c r="M123" s="6">
        <f>I123-F123</f>
        <v>2.5972222218115348E-2</v>
      </c>
      <c r="N123" s="7">
        <f>24*60*SUM($M123:$M123)</f>
        <v>37.399999994086102</v>
      </c>
      <c r="O123" s="7"/>
      <c r="P123" s="7"/>
      <c r="Q123" s="25"/>
      <c r="R123" s="25"/>
      <c r="S123" s="37">
        <f>SUM(U123:U123)/IF(AG123="EC",12,1)</f>
        <v>1</v>
      </c>
      <c r="T123" s="52" t="str">
        <f>IF(ISEVEN(LEFT(AD123,4)),"Southbound","NorthBound")</f>
        <v>Southbound</v>
      </c>
      <c r="U123" s="159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02" t="str">
        <f>"https://search-rtdc-monitor-bjffxe2xuh6vdkpspy63sjmuny.us-east-1.es.amazonaws.com/_plugin/kibana/#/discover/Steve-Slow-Train-Analysis-(2080s-and-2083s)?_g=(refreshInterval:(display:Off,section:0,value:0),time:(from:'"&amp;TEXT(E123-1/24,"yyyy-MM-DD hh:mm:ss")&amp;"-0600',mode:absolute,to:'"&amp;TEXT(I123+1/24,"yyyy-MM-DD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123&amp;"%22')),sort:!(Time,asc))"</f>
        <v>https://search-rtdc-monitor-bjffxe2xuh6vdkpspy63sjmuny.us-east-1.es.amazonaws.com/_plugin/kibana/#/discover/Steve-Slow-Train-Analysis-(2080s-and-2083s)?_g=(refreshInterval:(display:Off,section:0,value:0),time:(from:'2016-10-04 16:36:44-0600',mode:absolute,to:'2016-10-04 19:18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3" s="54" t="str">
        <f>IF(AA123&lt;IF(AG123="EC",23,5.65),"Y","N")</f>
        <v>N</v>
      </c>
      <c r="X123" s="164">
        <f>VALUE(LEFT(AD123,4))-VALUE(LEFT(AD122,4))</f>
        <v>1</v>
      </c>
      <c r="Y123" s="69">
        <f>RIGHT(D123,LEN(D123)-4)/10000</f>
        <v>23.297999999999998</v>
      </c>
      <c r="Z123" s="69">
        <f>RIGHT(H123,LEN(H123)-4)/10000</f>
        <v>1.5599999999999999E-2</v>
      </c>
      <c r="AA123" s="69">
        <f>ABS(Z123-Y123)</f>
        <v>23.282399999999999</v>
      </c>
      <c r="AB123" s="66" t="e">
        <f>VLOOKUP(A123,Enforcements!$C$7:$K$21,8,0)</f>
        <v>#N/A</v>
      </c>
      <c r="AC123" s="62" t="e">
        <f>VLOOKUP(A123,Enforcements!$C$7:$E$21,3,0)</f>
        <v>#N/A</v>
      </c>
      <c r="AD123" s="63" t="str">
        <f>IF(LEN(A123)=6,"0"&amp;A123,A123)</f>
        <v>0206-04</v>
      </c>
      <c r="AE123" s="9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s3://rtdc.mdm.uploadarchive.raw/RTDC4030/ "%USERPROFILE%\AppData\Local\Temp\OnboardLogs"\RTDC4030\2016-10-04 --exclude "*" --recursive --include "*20161004*" &amp; "%USERPROFILE%\Documents\GitHub\mrs-test-scripts\Headless Mode &amp; Sideloading\WalkAndUnGZ.bat" "%USERPROFILE%\AppData\Local\Temp\OnboardLogs"\RTDC4030\2016-10-04 &amp; aws s3 cp s3://rtdc.mdm.uploadarchive.raw/RTDC4030/ "%USERPROFILE%\AppData\Local\Temp\OnboardLogs"\RTDC4030\2016-10-05 --exclude "*" --recursive --include "*20161005*" &amp; "%USERPROFILE%\Documents\GitHub\mrs-test-scripts\Headless Mode &amp; Sideloading\WalkAndUnGZ.bat" "%USERPROFILE%\AppData\Local\Temp\OnboardLogs"\RTDC4030\2016-10-05</v>
      </c>
      <c r="AF123" s="92" t="str">
        <f>astrogrep_path&amp;" /spath="&amp;search_path&amp;" /stypes=""app*"&amp;B123&amp;"*"&amp;TEXT(I123-utc_offset/24,"YYYYMMDD")&amp;"*"" /stext="" "&amp;TEXT(I123-utc_offset/24,"HH")&amp;search_regexp&amp;""" /e /r /s"</f>
        <v>"C:\Program Files (x86)\AstroGrep\AstroGrep.exe" /spath="%USERPROFILE%\AppData\Local\Temp\OnboardLogs" /stypes="app*4030*20161005*" /stext=" 00:.+((SYSTEM_STATE.+slice.+state.+changed )|(ment ac)|(system.+state.+changed )|(\[timeout)|(PRM\|1\|D)|(kpr)|(kdp)|(\|lc)|(penalty))" /e /r /s</v>
      </c>
      <c r="AG123" s="1" t="str">
        <f>IFERROR(IF(VALUE(LEFT(AD123,2))&lt;=2,"EC",IF(OR(VALUE(LEFT(AD123,2))=8,VALUE(LEFT(AD123,2))=18),"NW","Other")),"Other")</f>
        <v>EC</v>
      </c>
      <c r="AH123" s="96" t="str">
        <f t="shared" si="4"/>
        <v>"%USERPROFILE%\Documents\GitHub\eaglep3\Utilities\RefineRTDCRunTimes.py" --tripid 206-04 --locoid 4030 --swversion DE.1.0.7.0 --startMP 204:232980 --initTime 2016-10-04T17:36:44 --startdatetime 2016-10-04T17:41:19 --delay 1 --endMP 204:156 --enddatetime 2016-10-04T18:18:43 --enforcementcount 0 &gt;&gt;C:\Users\stu\Documents\GitHub\eaglep3-reporting\EC\2016-10-04-refined-times.txt</v>
      </c>
      <c r="AI123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{"issue":{"subject":"","project_id":79,"tracker_id":40,"status_id":1,"priority_id":2,"assigned_to_id":23,"start_date":"2016-10-04","description":"","custom_fields":[{"id":1,"name":"Subdivision","value":"EC"},{"id":4,"name":"Milepost","value":"0.0156"},{"id":17,"name":"Train ID","value":"206-04"},{"id":16,"name":"Locomotive ID","value":"4030"},{"id":130,"name":"Impact","value":""},{"id":150,"name":"Time of Event (Mountain Time)","value":"18:18:43"},{"id":151,"name":"Denver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5"/>
      <c r="AK123" s="55"/>
      <c r="AL123" s="55"/>
    </row>
    <row r="124" spans="1:38" s="23" customFormat="1" x14ac:dyDescent="0.25">
      <c r="A124" s="39" t="s">
        <v>528</v>
      </c>
      <c r="B124" s="7">
        <v>4025</v>
      </c>
      <c r="C124" s="24" t="s">
        <v>106</v>
      </c>
      <c r="D124" s="24" t="s">
        <v>649</v>
      </c>
      <c r="E124" s="15">
        <v>42647.703425925924</v>
      </c>
      <c r="F124" s="15">
        <v>42647.708622685182</v>
      </c>
      <c r="G124" s="7">
        <v>5</v>
      </c>
      <c r="H124" s="15" t="s">
        <v>216</v>
      </c>
      <c r="I124" s="15">
        <v>42647.734247685185</v>
      </c>
      <c r="J124" s="7">
        <v>0</v>
      </c>
      <c r="K124" s="117" t="str">
        <f>IF(ISEVEN(B124),(B124-1)&amp;"/"&amp;B124,B124&amp;"/"&amp;(B124+1))</f>
        <v>4025/4026</v>
      </c>
      <c r="L124" s="24" t="str">
        <f>VLOOKUP(A124,'Trips&amp;Operators'!$C$1:$E$10000,3,FALSE)</f>
        <v>BONDS</v>
      </c>
      <c r="M124" s="6">
        <f>I124-F124</f>
        <v>2.5625000002037268E-2</v>
      </c>
      <c r="N124" s="7">
        <f>24*60*SUM($M124:$M124)</f>
        <v>36.900000002933666</v>
      </c>
      <c r="O124" s="7"/>
      <c r="P124" s="7"/>
      <c r="Q124" s="25"/>
      <c r="R124" s="25"/>
      <c r="S124" s="37">
        <f>SUM(U124:U124)/IF(AG124="EC",12,1)</f>
        <v>1</v>
      </c>
      <c r="T124" s="52" t="str">
        <f>IF(ISEVEN(LEFT(AD124,4)),"Southbound","NorthBound")</f>
        <v>NorthBound</v>
      </c>
      <c r="U124" s="159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02" t="str">
        <f>"https://search-rtdc-monitor-bjffxe2xuh6vdkpspy63sjmuny.us-east-1.es.amazonaws.com/_plugin/kibana/#/discover/Steve-Slow-Train-Analysis-(2080s-and-2083s)?_g=(refreshInterval:(display:Off,section:0,value:0),time:(from:'"&amp;TEXT(E124-1/24,"yyyy-MM-DD hh:mm:ss")&amp;"-0600',mode:absolute,to:'"&amp;TEXT(I124+1/24,"yyyy-MM-DD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124&amp;"%22')),sort:!(Time,asc))"</f>
        <v>https://search-rtdc-monitor-bjffxe2xuh6vdkpspy63sjmuny.us-east-1.es.amazonaws.com/_plugin/kibana/#/discover/Steve-Slow-Train-Analysis-(2080s-and-2083s)?_g=(refreshInterval:(display:Off,section:0,value:0),time:(from:'2016-10-04 15:52:56-0600',mode:absolute,to:'2016-10-04 18:37:19-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4" s="54" t="str">
        <f>IF(AA124&lt;IF(AG124="EC",23,5.65),"Y","N")</f>
        <v>N</v>
      </c>
      <c r="X124" s="164">
        <f>VALUE(LEFT(AD124,4))-VALUE(LEFT(AD123,4))</f>
        <v>1</v>
      </c>
      <c r="Y124" s="69">
        <f>RIGHT(D124,LEN(D124)-4)/10000</f>
        <v>4.5999999999999999E-2</v>
      </c>
      <c r="Z124" s="69">
        <f>RIGHT(H124,LEN(H124)-4)/10000</f>
        <v>23.33</v>
      </c>
      <c r="AA124" s="69">
        <f>ABS(Z124-Y124)</f>
        <v>23.283999999999999</v>
      </c>
      <c r="AB124" s="66" t="e">
        <f>VLOOKUP(A124,Enforcements!$C$7:$K$21,8,0)</f>
        <v>#N/A</v>
      </c>
      <c r="AC124" s="62" t="e">
        <f>VLOOKUP(A124,Enforcements!$C$7:$E$21,3,0)</f>
        <v>#N/A</v>
      </c>
      <c r="AD124" s="63" t="str">
        <f>IF(LEN(A124)=6,"0"&amp;A124,A124)</f>
        <v>0207-04</v>
      </c>
      <c r="AE124" s="9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s3://rtdc.mdm.uploadarchive.raw/RTDC4025/ "%USERPROFILE%\AppData\Local\Temp\OnboardLogs"\RTDC4025\2016-10-04 --exclude "*" --recursive --include "*20161004*" &amp; "%USERPROFILE%\Documents\GitHub\mrs-test-scripts\Headless Mode &amp; Sideloading\WalkAndUnGZ.bat" "%USERPROFILE%\AppData\Local\Temp\OnboardLogs"\RTDC4025\2016-10-04 &amp; aws s3 cp s3://rtdc.mdm.uploadarchive.raw/RTDC4025/ "%USERPROFILE%\AppData\Local\Temp\OnboardLogs"\RTDC4025\2016-10-05 --exclude "*" --recursive --include "*20161005*" &amp; "%USERPROFILE%\Documents\GitHub\mrs-test-scripts\Headless Mode &amp; Sideloading\WalkAndUnGZ.bat" "%USERPROFILE%\AppData\Local\Temp\OnboardLogs"\RTDC4025\2016-10-05</v>
      </c>
      <c r="AF124" s="92" t="str">
        <f>astrogrep_path&amp;" /spath="&amp;search_path&amp;" /stypes=""app*"&amp;B124&amp;"*"&amp;TEXT(I124-utc_offset/24,"YYYYMMDD")&amp;"*"" /stext="" "&amp;TEXT(I124-utc_offset/24,"HH")&amp;search_regexp&amp;""" /e /r /s"</f>
        <v>"C:\Program Files (x86)\AstroGrep\AstroGrep.exe" /spath="%USERPROFILE%\AppData\Local\Temp\OnboardLogs" /stypes="app*4025*20161004*" /stext=" 23:.+((SYSTEM_STATE.+slice.+state.+changed )|(ment ac)|(system.+state.+changed )|(\[timeout)|(PRM\|1\|D)|(kpr)|(kdp)|(\|lc)|(penalty))" /e /r /s</v>
      </c>
      <c r="AG124" s="1" t="str">
        <f>IFERROR(IF(VALUE(LEFT(AD124,2))&lt;=2,"EC",IF(OR(VALUE(LEFT(AD124,2))=8,VALUE(LEFT(AD124,2))=18),"NW","Other")),"Other")</f>
        <v>EC</v>
      </c>
      <c r="AH124" s="96" t="str">
        <f t="shared" si="4"/>
        <v>"%USERPROFILE%\Documents\GitHub\eaglep3\Utilities\RefineRTDCRunTimes.py" --tripid 207-04 --locoid 4025 --swversion DE.1.0.7.0 --startMP 204:460 --initTime 2016-10-04T16:52:56 --startdatetime 2016-10-04T17:00:25 --delay 5 --endMP 204:233300 --enddatetime 2016-10-04T17:37:19 --enforcementcount 0 &gt;&gt;C:\Users\stu\Documents\GitHub\eaglep3-reporting\EC\2016-10-04-refined-times.txt</v>
      </c>
      <c r="AI124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{"issue":{"subject":"","project_id":79,"tracker_id":40,"status_id":1,"priority_id":2,"assigned_to_id":23,"start_date":"2016-10-04","description":"","custom_fields":[{"id":1,"name":"Subdivision","value":"EC"},{"id":4,"name":"Milepost","value":"23.33"},{"id":17,"name":"Train ID","value":"207-04"},{"id":16,"name":"Locomotive ID","value":"4025"},{"id":130,"name":"Impact","value":""},{"id":150,"name":"Time of Event (Mountain Time)","value":"17:37:19"},{"id":151,"name":"Denver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5"/>
      <c r="AK124" s="55"/>
      <c r="AL124" s="55"/>
    </row>
    <row r="125" spans="1:38" s="23" customFormat="1" x14ac:dyDescent="0.25">
      <c r="A125" s="39" t="s">
        <v>540</v>
      </c>
      <c r="B125" s="7">
        <v>4026</v>
      </c>
      <c r="C125" s="24" t="s">
        <v>106</v>
      </c>
      <c r="D125" s="24" t="s">
        <v>240</v>
      </c>
      <c r="E125" s="15">
        <v>42647.738692129627</v>
      </c>
      <c r="F125" s="15">
        <v>42647.747523148151</v>
      </c>
      <c r="G125" s="7">
        <v>1</v>
      </c>
      <c r="H125" s="15" t="s">
        <v>259</v>
      </c>
      <c r="I125" s="15">
        <v>42647.775752314818</v>
      </c>
      <c r="J125" s="7">
        <v>0</v>
      </c>
      <c r="K125" s="117" t="str">
        <f>IF(ISEVEN(B125),(B125-1)&amp;"/"&amp;B125,B125&amp;"/"&amp;(B125+1))</f>
        <v>4025/4026</v>
      </c>
      <c r="L125" s="24" t="str">
        <f>VLOOKUP(A125,'Trips&amp;Operators'!$C$1:$E$10000,3,FALSE)</f>
        <v>BONDS</v>
      </c>
      <c r="M125" s="6">
        <f>I125-F125</f>
        <v>2.8229166666278616E-2</v>
      </c>
      <c r="N125" s="7">
        <f>24*60*SUM($M125:$M125)</f>
        <v>40.649999999441206</v>
      </c>
      <c r="O125" s="7"/>
      <c r="P125" s="7"/>
      <c r="Q125" s="25"/>
      <c r="R125" s="25"/>
      <c r="S125" s="37">
        <f>SUM(U125:U125)/IF(AG125="EC",12,1)</f>
        <v>1</v>
      </c>
      <c r="T125" s="52" t="str">
        <f>IF(ISEVEN(LEFT(AD125,4)),"Southbound","NorthBound")</f>
        <v>Southbound</v>
      </c>
      <c r="U125" s="159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02" t="str">
        <f>"https://search-rtdc-monitor-bjffxe2xuh6vdkpspy63sjmuny.us-east-1.es.amazonaws.com/_plugin/kibana/#/discover/Steve-Slow-Train-Analysis-(2080s-and-2083s)?_g=(refreshInterval:(display:Off,section:0,value:0),time:(from:'"&amp;TEXT(E125-1/24,"yyyy-MM-DD hh:mm:ss")&amp;"-0600',mode:absolute,to:'"&amp;TEXT(I125+1/24,"yyyy-MM-DD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125&amp;"%22')),sort:!(Time,asc))"</f>
        <v>https://search-rtdc-monitor-bjffxe2xuh6vdkpspy63sjmuny.us-east-1.es.amazonaws.com/_plugin/kibana/#/discover/Steve-Slow-Train-Analysis-(2080s-and-2083s)?_g=(refreshInterval:(display:Off,section:0,value:0),time:(from:'2016-10-04 16:43:43-0600',mode:absolute,to:'2016-10-04 19:37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5" s="54" t="str">
        <f>IF(AA125&lt;IF(AG125="EC",23,5.65),"Y","N")</f>
        <v>N</v>
      </c>
      <c r="X125" s="164">
        <f>VALUE(LEFT(AD125,4))-VALUE(LEFT(AD124,4))</f>
        <v>1</v>
      </c>
      <c r="Y125" s="69">
        <f>RIGHT(D125,LEN(D125)-4)/10000</f>
        <v>23.299099999999999</v>
      </c>
      <c r="Z125" s="69">
        <f>RIGHT(H125,LEN(H125)-4)/10000</f>
        <v>1.6500000000000001E-2</v>
      </c>
      <c r="AA125" s="69">
        <f>ABS(Z125-Y125)</f>
        <v>23.282599999999999</v>
      </c>
      <c r="AB125" s="66" t="e">
        <f>VLOOKUP(A125,Enforcements!$C$7:$K$21,8,0)</f>
        <v>#N/A</v>
      </c>
      <c r="AC125" s="62" t="e">
        <f>VLOOKUP(A125,Enforcements!$C$7:$E$21,3,0)</f>
        <v>#N/A</v>
      </c>
      <c r="AD125" s="63" t="str">
        <f>IF(LEN(A125)=6,"0"&amp;A125,A125)</f>
        <v>0208-04</v>
      </c>
      <c r="AE125" s="9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s3://rtdc.mdm.uploadarchive.raw/RTDC4026/ "%USERPROFILE%\AppData\Local\Temp\OnboardLogs"\RTDC4026\2016-10-04 --exclude "*" --recursive --include "*20161004*" &amp; "%USERPROFILE%\Documents\GitHub\mrs-test-scripts\Headless Mode &amp; Sideloading\WalkAndUnGZ.bat" "%USERPROFILE%\AppData\Local\Temp\OnboardLogs"\RTDC4026\2016-10-04 &amp; aws s3 cp s3://rtdc.mdm.uploadarchive.raw/RTDC4026/ "%USERPROFILE%\AppData\Local\Temp\OnboardLogs"\RTDC4026\2016-10-05 --exclude "*" --recursive --include "*20161005*" &amp; "%USERPROFILE%\Documents\GitHub\mrs-test-scripts\Headless Mode &amp; Sideloading\WalkAndUnGZ.bat" "%USERPROFILE%\AppData\Local\Temp\OnboardLogs"\RTDC4026\2016-10-05</v>
      </c>
      <c r="AF125" s="92" t="str">
        <f>astrogrep_path&amp;" /spath="&amp;search_path&amp;" /stypes=""app*"&amp;B125&amp;"*"&amp;TEXT(I125-utc_offset/24,"YYYYMMDD")&amp;"*"" /stext="" "&amp;TEXT(I125-utc_offset/24,"HH")&amp;search_regexp&amp;""" /e /r /s"</f>
        <v>"C:\Program Files (x86)\AstroGrep\AstroGrep.exe" /spath="%USERPROFILE%\AppData\Local\Temp\OnboardLogs" /stypes="app*4026*20161005*" /stext=" 00:.+((SYSTEM_STATE.+slice.+state.+changed )|(ment ac)|(system.+state.+changed )|(\[timeout)|(PRM\|1\|D)|(kpr)|(kdp)|(\|lc)|(penalty))" /e /r /s</v>
      </c>
      <c r="AG125" s="1" t="str">
        <f>IFERROR(IF(VALUE(LEFT(AD125,2))&lt;=2,"EC",IF(OR(VALUE(LEFT(AD125,2))=8,VALUE(LEFT(AD125,2))=18),"NW","Other")),"Other")</f>
        <v>EC</v>
      </c>
      <c r="AH125" s="96" t="str">
        <f t="shared" si="4"/>
        <v>"%USERPROFILE%\Documents\GitHub\eaglep3\Utilities\RefineRTDCRunTimes.py" --tripid 208-04 --locoid 4026 --swversion DE.1.0.7.0 --startMP 204:232991 --initTime 2016-10-04T17:43:43 --startdatetime 2016-10-04T17:56:26 --delay 1 --endMP 204:165 --enddatetime 2016-10-04T18:37:05 --enforcementcount 0 &gt;&gt;C:\Users\stu\Documents\GitHub\eaglep3-reporting\EC\2016-10-04-refined-times.txt</v>
      </c>
      <c r="AI125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{"issue":{"subject":"","project_id":79,"tracker_id":40,"status_id":1,"priority_id":2,"assigned_to_id":23,"start_date":"2016-10-04","description":"","custom_fields":[{"id":1,"name":"Subdivision","value":"EC"},{"id":4,"name":"Milepost","value":"0.0165"},{"id":17,"name":"Train ID","value":"208-04"},{"id":16,"name":"Locomotive ID","value":"4026"},{"id":130,"name":"Impact","value":""},{"id":150,"name":"Time of Event (Mountain Time)","value":"18:37:05"},{"id":151,"name":"Denver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5"/>
      <c r="AK125" s="55"/>
      <c r="AL125" s="55"/>
    </row>
    <row r="126" spans="1:38" x14ac:dyDescent="0.25">
      <c r="A126" s="39" t="s">
        <v>532</v>
      </c>
      <c r="B126" s="7">
        <v>4053</v>
      </c>
      <c r="C126" s="24" t="s">
        <v>106</v>
      </c>
      <c r="D126" s="24" t="s">
        <v>322</v>
      </c>
      <c r="E126" s="15">
        <v>42647.717719907407</v>
      </c>
      <c r="F126" s="15">
        <v>42647.719467592593</v>
      </c>
      <c r="G126" s="7">
        <v>1</v>
      </c>
      <c r="H126" s="15" t="s">
        <v>299</v>
      </c>
      <c r="I126" s="15">
        <v>42647.744166666664</v>
      </c>
      <c r="J126" s="7">
        <v>0</v>
      </c>
      <c r="K126" s="117" t="str">
        <f>IF(ISEVEN(B126),(B126-1)&amp;"/"&amp;B126,B126&amp;"/"&amp;(B126+1))</f>
        <v>4053/4054</v>
      </c>
      <c r="L126" s="24" t="str">
        <f>VLOOKUP(A126,'Trips&amp;Operators'!$C$1:$E$10000,3,FALSE)</f>
        <v>LEVERE</v>
      </c>
      <c r="M126" s="6">
        <f>I126-F126</f>
        <v>2.4699074070667848E-2</v>
      </c>
      <c r="N126" s="7">
        <f>24*60*SUM($M126:$M126)</f>
        <v>35.566666661761701</v>
      </c>
      <c r="O126" s="7"/>
      <c r="P126" s="7"/>
      <c r="Q126" s="25"/>
      <c r="R126" s="25"/>
      <c r="S126" s="37">
        <f>SUM(U126:U126)/IF(AG126="EC",12,1)</f>
        <v>1</v>
      </c>
      <c r="T126" s="52" t="str">
        <f>IF(ISEVEN(LEFT(AD126,4)),"Southbound","NorthBound")</f>
        <v>NorthBound</v>
      </c>
      <c r="U126" s="159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02" t="str">
        <f>"https://search-rtdc-monitor-bjffxe2xuh6vdkpspy63sjmuny.us-east-1.es.amazonaws.com/_plugin/kibana/#/discover/Steve-Slow-Train-Analysis-(2080s-and-2083s)?_g=(refreshInterval:(display:Off,section:0,value:0),time:(from:'"&amp;TEXT(E126-1/24,"yyyy-MM-DD hh:mm:ss")&amp;"-0600',mode:absolute,to:'"&amp;TEXT(I126+1/24,"yyyy-MM-DD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126&amp;"%22')),sort:!(Time,asc))"</f>
        <v>https://search-rtdc-monitor-bjffxe2xuh6vdkpspy63sjmuny.us-east-1.es.amazonaws.com/_plugin/kibana/#/discover/Steve-Slow-Train-Analysis-(2080s-and-2083s)?_g=(refreshInterval:(display:Off,section:0,value:0),time:(from:'2016-10-04 16:13:31-0600',mode:absolute,to:'2016-10-04 18:51:36-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26" s="54" t="str">
        <f>IF(AA126&lt;IF(AG126="EC",23,5.65),"Y","N")</f>
        <v>N</v>
      </c>
      <c r="X126" s="164">
        <f>VALUE(LEFT(AD126,4))-VALUE(LEFT(AD125,4))</f>
        <v>1</v>
      </c>
      <c r="Y126" s="69">
        <f>RIGHT(D126,LEN(D126)-4)/10000</f>
        <v>4.4600000000000001E-2</v>
      </c>
      <c r="Z126" s="69">
        <f>RIGHT(H126,LEN(H126)-4)/10000</f>
        <v>23.329699999999999</v>
      </c>
      <c r="AA126" s="69">
        <f>ABS(Z126-Y126)</f>
        <v>23.2851</v>
      </c>
      <c r="AB126" s="66" t="e">
        <f>VLOOKUP(A126,Enforcements!$C$7:$K$21,8,0)</f>
        <v>#N/A</v>
      </c>
      <c r="AC126" s="62" t="e">
        <f>VLOOKUP(A126,Enforcements!$C$7:$E$21,3,0)</f>
        <v>#N/A</v>
      </c>
      <c r="AD126" s="63" t="str">
        <f>IF(LEN(A126)=6,"0"&amp;A126,A126)</f>
        <v>0209-04</v>
      </c>
      <c r="AE126" s="9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s3://rtdc.mdm.uploadarchive.raw/RTDC4053/ "%USERPROFILE%\AppData\Local\Temp\OnboardLogs"\RTDC4053\2016-10-04 --exclude "*" --recursive --include "*20161004*" &amp; "%USERPROFILE%\Documents\GitHub\mrs-test-scripts\Headless Mode &amp; Sideloading\WalkAndUnGZ.bat" "%USERPROFILE%\AppData\Local\Temp\OnboardLogs"\RTDC4053\2016-10-04 &amp; aws s3 cp s3://rtdc.mdm.uploadarchive.raw/RTDC4053/ "%USERPROFILE%\AppData\Local\Temp\OnboardLogs"\RTDC4053\2016-10-05 --exclude "*" --recursive --include "*20161005*" &amp; "%USERPROFILE%\Documents\GitHub\mrs-test-scripts\Headless Mode &amp; Sideloading\WalkAndUnGZ.bat" "%USERPROFILE%\AppData\Local\Temp\OnboardLogs"\RTDC4053\2016-10-05</v>
      </c>
      <c r="AF126" s="92" t="str">
        <f>astrogrep_path&amp;" /spath="&amp;search_path&amp;" /stypes=""app*"&amp;B126&amp;"*"&amp;TEXT(I126-utc_offset/24,"YYYYMMDD")&amp;"*"" /stext="" "&amp;TEXT(I126-utc_offset/24,"HH")&amp;search_regexp&amp;""" /e /r /s"</f>
        <v>"C:\Program Files (x86)\AstroGrep\AstroGrep.exe" /spath="%USERPROFILE%\AppData\Local\Temp\OnboardLogs" /stypes="app*4053*20161004*" /stext=" 23:.+((SYSTEM_STATE.+slice.+state.+changed )|(ment ac)|(system.+state.+changed )|(\[timeout)|(PRM\|1\|D)|(kpr)|(kdp)|(\|lc)|(penalty))" /e /r /s</v>
      </c>
      <c r="AG126" s="1" t="str">
        <f>IFERROR(IF(VALUE(LEFT(AD126,2))&lt;=2,"EC",IF(OR(VALUE(LEFT(AD126,2))=8,VALUE(LEFT(AD126,2))=18),"NW","Other")),"Other")</f>
        <v>EC</v>
      </c>
      <c r="AH126" s="96" t="str">
        <f t="shared" si="4"/>
        <v>"%USERPROFILE%\Documents\GitHub\eaglep3\Utilities\RefineRTDCRunTimes.py" --tripid 209-04 --locoid 4053 --swversion DE.1.0.7.0 --startMP 204:446 --initTime 2016-10-04T17:13:31 --startdatetime 2016-10-04T17:16:02 --delay 1 --endMP 204:233297 --enddatetime 2016-10-04T17:51:36 --enforcementcount 0 &gt;&gt;C:\Users\stu\Documents\GitHub\eaglep3-reporting\EC\2016-10-04-refined-times.txt</v>
      </c>
      <c r="AI126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{"issue":{"subject":"","project_id":79,"tracker_id":40,"status_id":1,"priority_id":2,"assigned_to_id":23,"start_date":"2016-10-04","description":"","custom_fields":[{"id":1,"name":"Subdivision","value":"EC"},{"id":4,"name":"Milepost","value":"23.3297"},{"id":17,"name":"Train ID","value":"209-04"},{"id":16,"name":"Locomotive ID","value":"4053"},{"id":130,"name":"Impact","value":""},{"id":150,"name":"Time of Event (Mountain Time)","value":"17:51:36"},{"id":151,"name":"Denver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5"/>
      <c r="AK126" s="55"/>
      <c r="AL126" s="55"/>
    </row>
    <row r="127" spans="1:38" s="23" customFormat="1" x14ac:dyDescent="0.25">
      <c r="A127" s="39" t="s">
        <v>545</v>
      </c>
      <c r="B127" s="7">
        <v>4054</v>
      </c>
      <c r="C127" s="24" t="s">
        <v>106</v>
      </c>
      <c r="D127" s="24" t="s">
        <v>224</v>
      </c>
      <c r="E127" s="15">
        <v>42647.750011574077</v>
      </c>
      <c r="F127" s="15">
        <v>42647.757835648146</v>
      </c>
      <c r="G127" s="7">
        <v>1</v>
      </c>
      <c r="H127" s="15" t="s">
        <v>191</v>
      </c>
      <c r="I127" s="15">
        <v>42647.785185185188</v>
      </c>
      <c r="J127" s="7">
        <v>0</v>
      </c>
      <c r="K127" s="117" t="str">
        <f>IF(ISEVEN(B127),(B127-1)&amp;"/"&amp;B127,B127&amp;"/"&amp;(B127+1))</f>
        <v>4053/4054</v>
      </c>
      <c r="L127" s="24" t="str">
        <f>VLOOKUP(A127,'Trips&amp;Operators'!$C$1:$E$10000,3,FALSE)</f>
        <v>LEVERE</v>
      </c>
      <c r="M127" s="6">
        <f>I127-F127</f>
        <v>2.7349537042027805E-2</v>
      </c>
      <c r="N127" s="7">
        <f>24*60*SUM($M127:$M127)</f>
        <v>39.383333340520039</v>
      </c>
      <c r="O127" s="7"/>
      <c r="P127" s="7"/>
      <c r="Q127" s="25"/>
      <c r="R127" s="25"/>
      <c r="S127" s="37">
        <f>SUM(U127:U127)/IF(AG127="EC",12,1)</f>
        <v>1</v>
      </c>
      <c r="T127" s="52" t="str">
        <f>IF(ISEVEN(LEFT(AD127,4)),"Southbound","NorthBound")</f>
        <v>Southbound</v>
      </c>
      <c r="U127" s="159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02" t="str">
        <f>"https://search-rtdc-monitor-bjffxe2xuh6vdkpspy63sjmuny.us-east-1.es.amazonaws.com/_plugin/kibana/#/discover/Steve-Slow-Train-Analysis-(2080s-and-2083s)?_g=(refreshInterval:(display:Off,section:0,value:0),time:(from:'"&amp;TEXT(E127-1/24,"yyyy-MM-DD hh:mm:ss")&amp;"-0600',mode:absolute,to:'"&amp;TEXT(I127+1/24,"yyyy-MM-DD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127&amp;"%22')),sort:!(Time,asc))"</f>
        <v>https://search-rtdc-monitor-bjffxe2xuh6vdkpspy63sjmuny.us-east-1.es.amazonaws.com/_plugin/kibana/#/discover/Steve-Slow-Train-Analysis-(2080s-and-2083s)?_g=(refreshInterval:(display:Off,section:0,value:0),time:(from:'2016-10-04 17:00:01-0600',mode:absolute,to:'2016-10-04 19:50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27" s="54" t="str">
        <f>IF(AA127&lt;IF(AG127="EC",23,5.65),"Y","N")</f>
        <v>N</v>
      </c>
      <c r="X127" s="164">
        <f>VALUE(LEFT(AD127,4))-VALUE(LEFT(AD126,4))</f>
        <v>1</v>
      </c>
      <c r="Y127" s="69">
        <f>RIGHT(D127,LEN(D127)-4)/10000</f>
        <v>23.297699999999999</v>
      </c>
      <c r="Z127" s="69">
        <f>RIGHT(H127,LEN(H127)-4)/10000</f>
        <v>1.49E-2</v>
      </c>
      <c r="AA127" s="69">
        <f>ABS(Z127-Y127)</f>
        <v>23.282799999999998</v>
      </c>
      <c r="AB127" s="66" t="e">
        <f>VLOOKUP(A127,Enforcements!$C$7:$K$21,8,0)</f>
        <v>#N/A</v>
      </c>
      <c r="AC127" s="62" t="e">
        <f>VLOOKUP(A127,Enforcements!$C$7:$E$21,3,0)</f>
        <v>#N/A</v>
      </c>
      <c r="AD127" s="63" t="str">
        <f>IF(LEN(A127)=6,"0"&amp;A127,A127)</f>
        <v>0210-04</v>
      </c>
      <c r="AE127" s="9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s3://rtdc.mdm.uploadarchive.raw/RTDC4054/ "%USERPROFILE%\AppData\Local\Temp\OnboardLogs"\RTDC4054\2016-10-04 --exclude "*" --recursive --include "*20161004*" &amp; "%USERPROFILE%\Documents\GitHub\mrs-test-scripts\Headless Mode &amp; Sideloading\WalkAndUnGZ.bat" "%USERPROFILE%\AppData\Local\Temp\OnboardLogs"\RTDC4054\2016-10-04 &amp; aws s3 cp s3://rtdc.mdm.uploadarchive.raw/RTDC4054/ "%USERPROFILE%\AppData\Local\Temp\OnboardLogs"\RTDC4054\2016-10-05 --exclude "*" --recursive --include "*20161005*" &amp; "%USERPROFILE%\Documents\GitHub\mrs-test-scripts\Headless Mode &amp; Sideloading\WalkAndUnGZ.bat" "%USERPROFILE%\AppData\Local\Temp\OnboardLogs"\RTDC4054\2016-10-05</v>
      </c>
      <c r="AF127" s="92" t="str">
        <f>astrogrep_path&amp;" /spath="&amp;search_path&amp;" /stypes=""app*"&amp;B127&amp;"*"&amp;TEXT(I127-utc_offset/24,"YYYYMMDD")&amp;"*"" /stext="" "&amp;TEXT(I127-utc_offset/24,"HH")&amp;search_regexp&amp;""" /e /r /s"</f>
        <v>"C:\Program Files (x86)\AstroGrep\AstroGrep.exe" /spath="%USERPROFILE%\AppData\Local\Temp\OnboardLogs" /stypes="app*4054*20161005*" /stext=" 00:.+((SYSTEM_STATE.+slice.+state.+changed )|(ment ac)|(system.+state.+changed )|(\[timeout)|(PRM\|1\|D)|(kpr)|(kdp)|(\|lc)|(penalty))" /e /r /s</v>
      </c>
      <c r="AG127" s="1" t="str">
        <f>IFERROR(IF(VALUE(LEFT(AD127,2))&lt;=2,"EC",IF(OR(VALUE(LEFT(AD127,2))=8,VALUE(LEFT(AD127,2))=18),"NW","Other")),"Other")</f>
        <v>EC</v>
      </c>
      <c r="AH127" s="96" t="str">
        <f t="shared" si="4"/>
        <v>"%USERPROFILE%\Documents\GitHub\eaglep3\Utilities\RefineRTDCRunTimes.py" --tripid 210-04 --locoid 4054 --swversion DE.1.0.7.0 --startMP 204:232977 --initTime 2016-10-04T18:00:01 --startdatetime 2016-10-04T18:11:17 --delay 1 --endMP 204:149 --enddatetime 2016-10-04T18:50:40 --enforcementcount 0 &gt;&gt;C:\Users\stu\Documents\GitHub\eaglep3-reporting\EC\2016-10-04-refined-times.txt</v>
      </c>
      <c r="AI127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{"issue":{"subject":"","project_id":79,"tracker_id":40,"status_id":1,"priority_id":2,"assigned_to_id":23,"start_date":"2016-10-04","description":"","custom_fields":[{"id":1,"name":"Subdivision","value":"EC"},{"id":4,"name":"Milepost","value":"0.0149"},{"id":17,"name":"Train ID","value":"210-04"},{"id":16,"name":"Locomotive ID","value":"4054"},{"id":130,"name":"Impact","value":""},{"id":150,"name":"Time of Event (Mountain Time)","value":"18:50:40"},{"id":151,"name":"Denver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5"/>
      <c r="AK127" s="55"/>
      <c r="AL127" s="55"/>
    </row>
    <row r="128" spans="1:38" x14ac:dyDescent="0.25">
      <c r="A128" s="39" t="s">
        <v>535</v>
      </c>
      <c r="B128" s="7">
        <v>4016</v>
      </c>
      <c r="C128" s="24" t="s">
        <v>106</v>
      </c>
      <c r="D128" s="24" t="s">
        <v>328</v>
      </c>
      <c r="E128" s="15">
        <v>42647.728321759256</v>
      </c>
      <c r="F128" s="15">
        <v>42647.729664351849</v>
      </c>
      <c r="G128" s="7">
        <v>1</v>
      </c>
      <c r="H128" s="15" t="s">
        <v>211</v>
      </c>
      <c r="I128" s="15">
        <v>42647.755949074075</v>
      </c>
      <c r="J128" s="7">
        <v>0</v>
      </c>
      <c r="K128" s="117" t="str">
        <f>IF(ISEVEN(B128),(B128-1)&amp;"/"&amp;B128,B128&amp;"/"&amp;(B128+1))</f>
        <v>4015/4016</v>
      </c>
      <c r="L128" s="24" t="str">
        <f>VLOOKUP(A128,'Trips&amp;Operators'!$C$1:$E$10000,3,FALSE)</f>
        <v>CLARK</v>
      </c>
      <c r="M128" s="6">
        <f>I128-F128</f>
        <v>2.6284722225682344E-2</v>
      </c>
      <c r="N128" s="7">
        <f>24*60*SUM($M128:$M128)</f>
        <v>37.850000004982576</v>
      </c>
      <c r="O128" s="7"/>
      <c r="P128" s="7"/>
      <c r="Q128" s="25"/>
      <c r="R128" s="25"/>
      <c r="S128" s="37">
        <f>SUM(U128:U128)/IF(AG128="EC",12,1)</f>
        <v>1</v>
      </c>
      <c r="T128" s="52" t="str">
        <f>IF(ISEVEN(LEFT(AD128,4)),"Southbound","NorthBound")</f>
        <v>NorthBound</v>
      </c>
      <c r="U128" s="159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02" t="str">
        <f>"https://search-rtdc-monitor-bjffxe2xuh6vdkpspy63sjmuny.us-east-1.es.amazonaws.com/_plugin/kibana/#/discover/Steve-Slow-Train-Analysis-(2080s-and-2083s)?_g=(refreshInterval:(display:Off,section:0,value:0),time:(from:'"&amp;TEXT(E128-1/24,"yyyy-MM-DD hh:mm:ss")&amp;"-0600',mode:absolute,to:'"&amp;TEXT(I128+1/24,"yyyy-MM-DD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128&amp;"%22')),sort:!(Time,asc))"</f>
        <v>https://search-rtdc-monitor-bjffxe2xuh6vdkpspy63sjmuny.us-east-1.es.amazonaws.com/_plugin/kibana/#/discover/Steve-Slow-Train-Analysis-(2080s-and-2083s)?_g=(refreshInterval:(display:Off,section:0,value:0),time:(from:'2016-10-04 16:28:47-0600',mode:absolute,to:'2016-10-04 19:08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8" s="54" t="str">
        <f>IF(AA128&lt;IF(AG128="EC",23,5.65),"Y","N")</f>
        <v>N</v>
      </c>
      <c r="X128" s="164">
        <f>VALUE(LEFT(AD128,4))-VALUE(LEFT(AD127,4))</f>
        <v>1</v>
      </c>
      <c r="Y128" s="69">
        <f>RIGHT(D128,LEN(D128)-4)/10000</f>
        <v>4.9799999999999997E-2</v>
      </c>
      <c r="Z128" s="69">
        <f>RIGHT(H128,LEN(H128)-4)/10000</f>
        <v>23.331399999999999</v>
      </c>
      <c r="AA128" s="69">
        <f>ABS(Z128-Y128)</f>
        <v>23.281599999999997</v>
      </c>
      <c r="AB128" s="66" t="e">
        <f>VLOOKUP(A128,Enforcements!$C$7:$K$21,8,0)</f>
        <v>#N/A</v>
      </c>
      <c r="AC128" s="62" t="e">
        <f>VLOOKUP(A128,Enforcements!$C$7:$E$21,3,0)</f>
        <v>#N/A</v>
      </c>
      <c r="AD128" s="63" t="str">
        <f>IF(LEN(A128)=6,"0"&amp;A128,A128)</f>
        <v>0211-04</v>
      </c>
      <c r="AE128" s="9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s3://rtdc.mdm.uploadarchive.raw/RTDC4016/ "%USERPROFILE%\AppData\Local\Temp\OnboardLogs"\RTDC4016\2016-10-04 --exclude "*" --recursive --include "*20161004*" &amp; "%USERPROFILE%\Documents\GitHub\mrs-test-scripts\Headless Mode &amp; Sideloading\WalkAndUnGZ.bat" "%USERPROFILE%\AppData\Local\Temp\OnboardLogs"\RTDC4016\2016-10-04 &amp; aws s3 cp s3://rtdc.mdm.uploadarchive.raw/RTDC4016/ "%USERPROFILE%\AppData\Local\Temp\OnboardLogs"\RTDC4016\2016-10-05 --exclude "*" --recursive --include "*20161005*" &amp; "%USERPROFILE%\Documents\GitHub\mrs-test-scripts\Headless Mode &amp; Sideloading\WalkAndUnGZ.bat" "%USERPROFILE%\AppData\Local\Temp\OnboardLogs"\RTDC4016\2016-10-05</v>
      </c>
      <c r="AF128" s="92" t="str">
        <f>astrogrep_path&amp;" /spath="&amp;search_path&amp;" /stypes=""app*"&amp;B128&amp;"*"&amp;TEXT(I128-utc_offset/24,"YYYYMMDD")&amp;"*"" /stext="" "&amp;TEXT(I128-utc_offset/24,"HH")&amp;search_regexp&amp;""" /e /r /s"</f>
        <v>"C:\Program Files (x86)\AstroGrep\AstroGrep.exe" /spath="%USERPROFILE%\AppData\Local\Temp\OnboardLogs" /stypes="app*4016*20161005*" /stext=" 00:.+((SYSTEM_STATE.+slice.+state.+changed )|(ment ac)|(system.+state.+changed )|(\[timeout)|(PRM\|1\|D)|(kpr)|(kdp)|(\|lc)|(penalty))" /e /r /s</v>
      </c>
      <c r="AG128" s="1" t="str">
        <f>IFERROR(IF(VALUE(LEFT(AD128,2))&lt;=2,"EC",IF(OR(VALUE(LEFT(AD128,2))=8,VALUE(LEFT(AD128,2))=18),"NW","Other")),"Other")</f>
        <v>EC</v>
      </c>
      <c r="AH128" s="96" t="str">
        <f t="shared" si="4"/>
        <v>"%USERPROFILE%\Documents\GitHub\eaglep3\Utilities\RefineRTDCRunTimes.py" --tripid 211-04 --locoid 4016 --swversion DE.1.0.7.0 --startMP 204:498 --initTime 2016-10-04T17:28:47 --startdatetime 2016-10-04T17:30:43 --delay 1 --endMP 204:233314 --enddatetime 2016-10-04T18:08:34 --enforcementcount 0 &gt;&gt;C:\Users\stu\Documents\GitHub\eaglep3-reporting\EC\2016-10-04-refined-times.txt</v>
      </c>
      <c r="AI128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{"issue":{"subject":"","project_id":79,"tracker_id":40,"status_id":1,"priority_id":2,"assigned_to_id":23,"start_date":"2016-10-04","description":"","custom_fields":[{"id":1,"name":"Subdivision","value":"EC"},{"id":4,"name":"Milepost","value":"23.3314"},{"id":17,"name":"Train ID","value":"211-04"},{"id":16,"name":"Locomotive ID","value":"4016"},{"id":130,"name":"Impact","value":""},{"id":150,"name":"Time of Event (Mountain Time)","value":"18:08:34"},{"id":151,"name":"Denver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5"/>
      <c r="AK128" s="55"/>
      <c r="AL128" s="55"/>
    </row>
    <row r="129" spans="1:38" s="23" customFormat="1" x14ac:dyDescent="0.25">
      <c r="A129" s="39" t="s">
        <v>551</v>
      </c>
      <c r="B129" s="7">
        <v>4015</v>
      </c>
      <c r="C129" s="24" t="s">
        <v>106</v>
      </c>
      <c r="D129" s="24" t="s">
        <v>258</v>
      </c>
      <c r="E129" s="15">
        <v>42647.762372685182</v>
      </c>
      <c r="F129" s="15">
        <v>42647.764490740738</v>
      </c>
      <c r="G129" s="7">
        <v>3</v>
      </c>
      <c r="H129" s="15" t="s">
        <v>650</v>
      </c>
      <c r="I129" s="15">
        <v>42647.769108796296</v>
      </c>
      <c r="J129" s="7">
        <v>0</v>
      </c>
      <c r="K129" s="117" t="str">
        <f>IF(ISEVEN(B129),(B129-1)&amp;"/"&amp;B129,B129&amp;"/"&amp;(B129+1))</f>
        <v>4015/4016</v>
      </c>
      <c r="L129" s="24" t="str">
        <f>VLOOKUP(A129,'Trips&amp;Operators'!$C$1:$E$10000,3,FALSE)</f>
        <v>ROBINSON</v>
      </c>
      <c r="M129" s="6">
        <f>I129-F129</f>
        <v>4.6180555582395755E-3</v>
      </c>
      <c r="N129" s="7"/>
      <c r="O129" s="7"/>
      <c r="P129" s="7">
        <f>24*60*SUM($M129:$M129)</f>
        <v>6.6500000038649887</v>
      </c>
      <c r="Q129" s="25"/>
      <c r="R129" s="25" t="s">
        <v>311</v>
      </c>
      <c r="S129" s="37">
        <f>SUM(U129:U129)/IF(AG129="EC",12,1)</f>
        <v>0</v>
      </c>
      <c r="T129" s="52" t="str">
        <f>IF(ISEVEN(LEFT(AD129,4)),"Southbound","NorthBound")</f>
        <v>Southbound</v>
      </c>
      <c r="U129" s="159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0</v>
      </c>
      <c r="V129" s="102" t="str">
        <f>"https://search-rtdc-monitor-bjffxe2xuh6vdkpspy63sjmuny.us-east-1.es.amazonaws.com/_plugin/kibana/#/discover/Steve-Slow-Train-Analysis-(2080s-and-2083s)?_g=(refreshInterval:(display:Off,section:0,value:0),time:(from:'"&amp;TEXT(E129-1/24,"yyyy-MM-DD hh:mm:ss")&amp;"-0600',mode:absolute,to:'"&amp;TEXT(I129+1/24,"yyyy-MM-DD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129&amp;"%22')),sort:!(Time,asc))"</f>
        <v>https://search-rtdc-monitor-bjffxe2xuh6vdkpspy63sjmuny.us-east-1.es.amazonaws.com/_plugin/kibana/#/discover/Steve-Slow-Train-Analysis-(2080s-and-2083s)?_g=(refreshInterval:(display:Off,section:0,value:0),time:(from:'2016-10-04 17:17:49-0600',mode:absolute,to:'2016-10-04 19:27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9" s="54" t="str">
        <f>IF(AA129&lt;IF(AG129="EC",23,5.65),"Y","N")</f>
        <v>Y</v>
      </c>
      <c r="X129" s="164">
        <f>VALUE(LEFT(AD129,4))-VALUE(LEFT(AD128,4))</f>
        <v>1</v>
      </c>
      <c r="Y129" s="69">
        <f>RIGHT(D129,LEN(D129)-4)/10000</f>
        <v>23.299600000000002</v>
      </c>
      <c r="Z129" s="69">
        <f>RIGHT(H129,LEN(H129)-4)/10000</f>
        <v>22.8185</v>
      </c>
      <c r="AA129" s="69">
        <f>ABS(Z129-Y129)</f>
        <v>0.48110000000000142</v>
      </c>
      <c r="AB129" s="66" t="e">
        <f>VLOOKUP(A129,Enforcements!$C$7:$K$21,8,0)</f>
        <v>#N/A</v>
      </c>
      <c r="AC129" s="62" t="e">
        <f>VLOOKUP(A129,Enforcements!$C$7:$E$21,3,0)</f>
        <v>#N/A</v>
      </c>
      <c r="AD129" s="63" t="str">
        <f>IF(LEN(A129)=6,"0"&amp;A129,A129)</f>
        <v>0212-04</v>
      </c>
      <c r="AE129" s="9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s3://rtdc.mdm.uploadarchive.raw/RTDC4015/ "%USERPROFILE%\AppData\Local\Temp\OnboardLogs"\RTDC4015\2016-10-04 --exclude "*" --recursive --include "*20161004*" &amp; "%USERPROFILE%\Documents\GitHub\mrs-test-scripts\Headless Mode &amp; Sideloading\WalkAndUnGZ.bat" "%USERPROFILE%\AppData\Local\Temp\OnboardLogs"\RTDC4015\2016-10-04 &amp; aws s3 cp s3://rtdc.mdm.uploadarchive.raw/RTDC4015/ "%USERPROFILE%\AppData\Local\Temp\OnboardLogs"\RTDC4015\2016-10-05 --exclude "*" --recursive --include "*20161005*" &amp; "%USERPROFILE%\Documents\GitHub\mrs-test-scripts\Headless Mode &amp; Sideloading\WalkAndUnGZ.bat" "%USERPROFILE%\AppData\Local\Temp\OnboardLogs"\RTDC4015\2016-10-05</v>
      </c>
      <c r="AF129" s="92" t="str">
        <f>astrogrep_path&amp;" /spath="&amp;search_path&amp;" /stypes=""app*"&amp;B129&amp;"*"&amp;TEXT(I129-utc_offset/24,"YYYYMMDD")&amp;"*"" /stext="" "&amp;TEXT(I129-utc_offset/24,"HH")&amp;search_regexp&amp;""" /e /r /s"</f>
        <v>"C:\Program Files (x86)\AstroGrep\AstroGrep.exe" /spath="%USERPROFILE%\AppData\Local\Temp\OnboardLogs" /stypes="app*4015*20161005*" /stext=" 00:.+((SYSTEM_STATE.+slice.+state.+changed )|(ment ac)|(system.+state.+changed )|(\[timeout)|(PRM\|1\|D)|(kpr)|(kdp)|(\|lc)|(penalty))" /e /r /s</v>
      </c>
      <c r="AG129" s="1" t="str">
        <f>IFERROR(IF(VALUE(LEFT(AD129,2))&lt;=2,"EC",IF(OR(VALUE(LEFT(AD129,2))=8,VALUE(LEFT(AD129,2))=18),"NW","Other")),"Other")</f>
        <v>EC</v>
      </c>
      <c r="AH129" s="96" t="str">
        <f t="shared" si="4"/>
        <v>"%USERPROFILE%\Documents\GitHub\eaglep3\Utilities\RefineRTDCRunTimes.py" --tripid 212-04 --locoid 4015 --swversion DE.1.0.7.0 --startMP 204:232996 --initTime 2016-10-04T18:17:49 --startdatetime 2016-10-04T18:20:52 --delay 3 --endMP 204:228185 --enddatetime 2016-10-04T18:27:31 --enforcementcount 0 &gt;&gt;C:\Users\stu\Documents\GitHub\eaglep3-reporting\EC\2016-10-04-refined-times.txt</v>
      </c>
      <c r="AI129" s="130" t="str">
        <f t="shared" si="5"/>
        <v>echo {"issue":{"subject":"Onboard in-route failure","project_id":79,"tracker_id":40,"status_id":1,"priority_id":2,"assigned_to_id":23,"start_date":"2016-10-04","description":"Multiple CPU Faults around 2016-10-04 18:27:28.000 ","custom_fields":[{"id":1,"name":"Subdivision","value":"EC"},{"id":4,"name":"Milepost","value":"22.8185"},{"id":17,"name":"Train ID","value":"212-04"},{"id":16,"name":"Locomotive ID","value":"4015"},{"id":130,"name":"Impact","value":"Failed State"},{"id":150,"name":"Time of Event (Mountain Time)","value":"18:27:31"},{"id":151,"name":"Denver Issue ID","value":""},{"id":178,"name":"Operational Impact","value":"Yes"},{"id":179,"name":"Denver Segment Assigned","value":"Loco - PTC"}]}} | curl -X POST -H "Content-Type: application/json" -H "X-Redmine-API-Key: d6333d4a04012a730768444271f8ca06482dae87" https://secure.xorail.net/redmine/issues.json --data @-</v>
      </c>
      <c r="AJ129" s="55" t="s">
        <v>792</v>
      </c>
      <c r="AK129" s="55" t="s">
        <v>137</v>
      </c>
      <c r="AL129" s="55" t="s">
        <v>208</v>
      </c>
    </row>
    <row r="130" spans="1:38" s="23" customFormat="1" x14ac:dyDescent="0.25">
      <c r="A130" s="39" t="s">
        <v>539</v>
      </c>
      <c r="B130" s="7">
        <v>4044</v>
      </c>
      <c r="C130" s="24" t="s">
        <v>106</v>
      </c>
      <c r="D130" s="24" t="s">
        <v>651</v>
      </c>
      <c r="E130" s="15">
        <v>42647.736319444448</v>
      </c>
      <c r="F130" s="15">
        <v>42647.739768518521</v>
      </c>
      <c r="G130" s="7">
        <v>2</v>
      </c>
      <c r="H130" s="15" t="s">
        <v>652</v>
      </c>
      <c r="I130" s="15">
        <v>42647.764027777775</v>
      </c>
      <c r="J130" s="7">
        <v>0</v>
      </c>
      <c r="K130" s="117" t="str">
        <f>IF(ISEVEN(B130),(B130-1)&amp;"/"&amp;B130,B130&amp;"/"&amp;(B130+1))</f>
        <v>4043/4044</v>
      </c>
      <c r="L130" s="24" t="str">
        <f>VLOOKUP(A130,'Trips&amp;Operators'!$C$1:$E$10000,3,FALSE)</f>
        <v>COOLAHAN</v>
      </c>
      <c r="M130" s="6">
        <f>I130-F130</f>
        <v>2.4259259254904464E-2</v>
      </c>
      <c r="N130" s="7">
        <f>24*60*SUM($M130:$M130)</f>
        <v>34.933333327062428</v>
      </c>
      <c r="O130" s="7"/>
      <c r="P130" s="7"/>
      <c r="Q130" s="25"/>
      <c r="R130" s="25"/>
      <c r="S130" s="37">
        <f>SUM(U130:U130)/IF(AG130="EC",12,1)</f>
        <v>1</v>
      </c>
      <c r="T130" s="52" t="str">
        <f>IF(ISEVEN(LEFT(AD130,4)),"Southbound","NorthBound")</f>
        <v>NorthBound</v>
      </c>
      <c r="U130" s="159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02" t="str">
        <f>"https://search-rtdc-monitor-bjffxe2xuh6vdkpspy63sjmuny.us-east-1.es.amazonaws.com/_plugin/kibana/#/discover/Steve-Slow-Train-Analysis-(2080s-and-2083s)?_g=(refreshInterval:(display:Off,section:0,value:0),time:(from:'"&amp;TEXT(E130-1/24,"yyyy-MM-DD hh:mm:ss")&amp;"-0600',mode:absolute,to:'"&amp;TEXT(I130+1/24,"yyyy-MM-DD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130&amp;"%22')),sort:!(Time,asc))"</f>
        <v>https://search-rtdc-monitor-bjffxe2xuh6vdkpspy63sjmuny.us-east-1.es.amazonaws.com/_plugin/kibana/#/discover/Steve-Slow-Train-Analysis-(2080s-and-2083s)?_g=(refreshInterval:(display:Off,section:0,value:0),time:(from:'2016-10-04 16:40:18-0600',mode:absolute,to:'2016-10-04 19:20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0" s="54" t="str">
        <f>IF(AA130&lt;IF(AG130="EC",23,5.65),"Y","N")</f>
        <v>N</v>
      </c>
      <c r="X130" s="164">
        <f>VALUE(LEFT(AD130,4))-VALUE(LEFT(AD129,4))</f>
        <v>1</v>
      </c>
      <c r="Y130" s="69">
        <f>RIGHT(D130,LEN(D130)-4)/10000</f>
        <v>4.3099999999999999E-2</v>
      </c>
      <c r="Z130" s="69">
        <f>RIGHT(H130,LEN(H130)-4)/10000</f>
        <v>23.333400000000001</v>
      </c>
      <c r="AA130" s="69">
        <f>ABS(Z130-Y130)</f>
        <v>23.290300000000002</v>
      </c>
      <c r="AB130" s="66" t="e">
        <f>VLOOKUP(A130,Enforcements!$C$7:$K$21,8,0)</f>
        <v>#N/A</v>
      </c>
      <c r="AC130" s="62" t="e">
        <f>VLOOKUP(A130,Enforcements!$C$7:$E$21,3,0)</f>
        <v>#N/A</v>
      </c>
      <c r="AD130" s="63" t="str">
        <f>IF(LEN(A130)=6,"0"&amp;A130,A130)</f>
        <v>0213-04</v>
      </c>
      <c r="AE130" s="9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s3://rtdc.mdm.uploadarchive.raw/RTDC4044/ "%USERPROFILE%\AppData\Local\Temp\OnboardLogs"\RTDC4044\2016-10-04 --exclude "*" --recursive --include "*20161004*" &amp; "%USERPROFILE%\Documents\GitHub\mrs-test-scripts\Headless Mode &amp; Sideloading\WalkAndUnGZ.bat" "%USERPROFILE%\AppData\Local\Temp\OnboardLogs"\RTDC4044\2016-10-04 &amp; aws s3 cp s3://rtdc.mdm.uploadarchive.raw/RTDC4044/ "%USERPROFILE%\AppData\Local\Temp\OnboardLogs"\RTDC4044\2016-10-05 --exclude "*" --recursive --include "*20161005*" &amp; "%USERPROFILE%\Documents\GitHub\mrs-test-scripts\Headless Mode &amp; Sideloading\WalkAndUnGZ.bat" "%USERPROFILE%\AppData\Local\Temp\OnboardLogs"\RTDC4044\2016-10-05</v>
      </c>
      <c r="AF130" s="92" t="str">
        <f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/stypes="app*4044*20161005*" /stext=" 00:.+((SYSTEM_STATE.+slice.+state.+changed )|(ment ac)|(system.+state.+changed )|(\[timeout)|(PRM\|1\|D)|(kpr)|(kdp)|(\|lc)|(penalty))" /e /r /s</v>
      </c>
      <c r="AG130" s="1" t="str">
        <f>IFERROR(IF(VALUE(LEFT(AD130,2))&lt;=2,"EC",IF(OR(VALUE(LEFT(AD130,2))=8,VALUE(LEFT(AD130,2))=18),"NW","Other")),"Other")</f>
        <v>EC</v>
      </c>
      <c r="AH130" s="96" t="str">
        <f t="shared" si="4"/>
        <v>"%USERPROFILE%\Documents\GitHub\eaglep3\Utilities\RefineRTDCRunTimes.py" --tripid 213-04 --locoid 4044 --swversion DE.1.0.7.0 --startMP 204:431 --initTime 2016-10-04T17:40:18 --startdatetime 2016-10-04T17:45:16 --delay 2 --endMP 204:233334 --enddatetime 2016-10-04T18:20:12 --enforcementcount 0 &gt;&gt;C:\Users\stu\Documents\GitHub\eaglep3-reporting\EC\2016-10-04-refined-times.txt</v>
      </c>
      <c r="AI130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{"issue":{"subject":"","project_id":79,"tracker_id":40,"status_id":1,"priority_id":2,"assigned_to_id":23,"start_date":"2016-10-04","description":"","custom_fields":[{"id":1,"name":"Subdivision","value":"EC"},{"id":4,"name":"Milepost","value":"23.3334"},{"id":17,"name":"Train ID","value":"213-04"},{"id":16,"name":"Locomotive ID","value":"4044"},{"id":130,"name":"Impact","value":""},{"id":150,"name":"Time of Event (Mountain Time)","value":"18:20:12"},{"id":151,"name":"Denver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5"/>
      <c r="AK130" s="55"/>
      <c r="AL130" s="55"/>
    </row>
    <row r="131" spans="1:38" x14ac:dyDescent="0.25">
      <c r="A131" s="39" t="s">
        <v>554</v>
      </c>
      <c r="B131" s="7">
        <v>4043</v>
      </c>
      <c r="C131" s="24" t="s">
        <v>106</v>
      </c>
      <c r="D131" s="24" t="s">
        <v>653</v>
      </c>
      <c r="E131" s="15">
        <v>42647.772060185183</v>
      </c>
      <c r="F131" s="15">
        <v>42647.778692129628</v>
      </c>
      <c r="G131" s="7">
        <v>1</v>
      </c>
      <c r="H131" s="15" t="s">
        <v>654</v>
      </c>
      <c r="I131" s="15">
        <v>42647.80746527778</v>
      </c>
      <c r="J131" s="7">
        <v>0</v>
      </c>
      <c r="K131" s="117" t="str">
        <f>IF(ISEVEN(B131),(B131-1)&amp;"/"&amp;B131,B131&amp;"/"&amp;(B131+1))</f>
        <v>4043/4044</v>
      </c>
      <c r="L131" s="24" t="str">
        <f>VLOOKUP(A131,'Trips&amp;Operators'!$C$1:$E$10000,3,FALSE)</f>
        <v>COOLAHAN</v>
      </c>
      <c r="M131" s="6">
        <f>I131-F131</f>
        <v>2.8773148151230998E-2</v>
      </c>
      <c r="N131" s="7">
        <f>24*60*SUM($M131:$M131)</f>
        <v>41.433333337772638</v>
      </c>
      <c r="O131" s="7"/>
      <c r="P131" s="7"/>
      <c r="Q131" s="25"/>
      <c r="R131" s="25"/>
      <c r="S131" s="37">
        <f>SUM(U131:U131)/IF(AG131="EC",12,1)</f>
        <v>1</v>
      </c>
      <c r="T131" s="52" t="str">
        <f>IF(ISEVEN(LEFT(AD131,4)),"Southbound","NorthBound")</f>
        <v>Southbound</v>
      </c>
      <c r="U131" s="159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02" t="str">
        <f>"https://search-rtdc-monitor-bjffxe2xuh6vdkpspy63sjmuny.us-east-1.es.amazonaws.com/_plugin/kibana/#/discover/Steve-Slow-Train-Analysis-(2080s-and-2083s)?_g=(refreshInterval:(display:Off,section:0,value:0),time:(from:'"&amp;TEXT(E131-1/24,"yyyy-MM-DD hh:mm:ss")&amp;"-0600',mode:absolute,to:'"&amp;TEXT(I131+1/24,"yyyy-MM-DD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131&amp;"%22')),sort:!(Time,asc))"</f>
        <v>https://search-rtdc-monitor-bjffxe2xuh6vdkpspy63sjmuny.us-east-1.es.amazonaws.com/_plugin/kibana/#/discover/Steve-Slow-Train-Analysis-(2080s-and-2083s)?_g=(refreshInterval:(display:Off,section:0,value:0),time:(from:'2016-10-04 17:31:46-0600',mode:absolute,to:'2016-10-04 20:22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1" s="54" t="str">
        <f>IF(AA131&lt;IF(AG131="EC",23,5.65),"Y","N")</f>
        <v>N</v>
      </c>
      <c r="X131" s="164">
        <f>VALUE(LEFT(AD131,4))-VALUE(LEFT(AD130,4))</f>
        <v>1</v>
      </c>
      <c r="Y131" s="69">
        <f>RIGHT(D131,LEN(D131)-4)/10000</f>
        <v>23.302600000000002</v>
      </c>
      <c r="Z131" s="69">
        <f>RIGHT(H131,LEN(H131)-4)/10000</f>
        <v>1.21E-2</v>
      </c>
      <c r="AA131" s="69">
        <f>ABS(Z131-Y131)</f>
        <v>23.290500000000002</v>
      </c>
      <c r="AB131" s="66" t="e">
        <f>VLOOKUP(A131,Enforcements!$C$7:$K$21,8,0)</f>
        <v>#N/A</v>
      </c>
      <c r="AC131" s="62" t="e">
        <f>VLOOKUP(A131,Enforcements!$C$7:$E$21,3,0)</f>
        <v>#N/A</v>
      </c>
      <c r="AD131" s="63" t="str">
        <f>IF(LEN(A131)=6,"0"&amp;A131,A131)</f>
        <v>0214-04</v>
      </c>
      <c r="AE131" s="9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s3://rtdc.mdm.uploadarchive.raw/RTDC4043/ "%USERPROFILE%\AppData\Local\Temp\OnboardLogs"\RTDC4043\2016-10-04 --exclude "*" --recursive --include "*20161004*" &amp; "%USERPROFILE%\Documents\GitHub\mrs-test-scripts\Headless Mode &amp; Sideloading\WalkAndUnGZ.bat" "%USERPROFILE%\AppData\Local\Temp\OnboardLogs"\RTDC4043\2016-10-04 &amp; aws s3 cp s3://rtdc.mdm.uploadarchive.raw/RTDC4043/ "%USERPROFILE%\AppData\Local\Temp\OnboardLogs"\RTDC4043\2016-10-05 --exclude "*" --recursive --include "*20161005*" &amp; "%USERPROFILE%\Documents\GitHub\mrs-test-scripts\Headless Mode &amp; Sideloading\WalkAndUnGZ.bat" "%USERPROFILE%\AppData\Local\Temp\OnboardLogs"\RTDC4043\2016-10-05</v>
      </c>
      <c r="AF131" s="92" t="str">
        <f>astrogrep_path&amp;" /spath="&amp;search_path&amp;" /stypes=""app*"&amp;B131&amp;"*"&amp;TEXT(I131-utc_offset/24,"YYYYMMDD")&amp;"*"" /stext="" "&amp;TEXT(I131-utc_offset/24,"HH")&amp;search_regexp&amp;""" /e /r /s"</f>
        <v>"C:\Program Files (x86)\AstroGrep\AstroGrep.exe" /spath="%USERPROFILE%\AppData\Local\Temp\OnboardLogs" /stypes="app*4043*20161005*" /stext=" 01:.+((SYSTEM_STATE.+slice.+state.+changed )|(ment ac)|(system.+state.+changed )|(\[timeout)|(PRM\|1\|D)|(kpr)|(kdp)|(\|lc)|(penalty))" /e /r /s</v>
      </c>
      <c r="AG131" s="1" t="str">
        <f>IFERROR(IF(VALUE(LEFT(AD131,2))&lt;=2,"EC",IF(OR(VALUE(LEFT(AD131,2))=8,VALUE(LEFT(AD131,2))=18),"NW","Other")),"Other")</f>
        <v>EC</v>
      </c>
      <c r="AH131" s="96" t="str">
        <f t="shared" si="4"/>
        <v>"%USERPROFILE%\Documents\GitHub\eaglep3\Utilities\RefineRTDCRunTimes.py" --tripid 214-04 --locoid 4043 --swversion DE.1.0.7.0 --startMP 204:233026 --initTime 2016-10-04T18:31:46 --startdatetime 2016-10-04T18:41:19 --delay 1 --endMP 204:121 --enddatetime 2016-10-04T19:22:45 --enforcementcount 0 &gt;&gt;C:\Users\stu\Documents\GitHub\eaglep3-reporting\EC\2016-10-04-refined-times.txt</v>
      </c>
      <c r="AI131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{"issue":{"subject":"","project_id":79,"tracker_id":40,"status_id":1,"priority_id":2,"assigned_to_id":23,"start_date":"2016-10-04","description":"","custom_fields":[{"id":1,"name":"Subdivision","value":"EC"},{"id":4,"name":"Milepost","value":"0.0121"},{"id":17,"name":"Train ID","value":"214-04"},{"id":16,"name":"Locomotive ID","value":"4043"},{"id":130,"name":"Impact","value":""},{"id":150,"name":"Time of Event (Mountain Time)","value":"19:22:45"},{"id":151,"name":"Denver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5"/>
      <c r="AK131" s="55"/>
      <c r="AL131" s="55"/>
    </row>
    <row r="132" spans="1:38" x14ac:dyDescent="0.25">
      <c r="A132" s="39" t="s">
        <v>543</v>
      </c>
      <c r="B132" s="7">
        <v>4007</v>
      </c>
      <c r="C132" s="24" t="s">
        <v>106</v>
      </c>
      <c r="D132" s="24" t="s">
        <v>256</v>
      </c>
      <c r="E132" s="15">
        <v>42647.744942129626</v>
      </c>
      <c r="F132" s="15">
        <v>42647.750497685185</v>
      </c>
      <c r="G132" s="7">
        <v>6</v>
      </c>
      <c r="H132" s="15" t="s">
        <v>655</v>
      </c>
      <c r="I132" s="15">
        <v>42647.776331018518</v>
      </c>
      <c r="J132" s="7">
        <v>0</v>
      </c>
      <c r="K132" s="117" t="str">
        <f>IF(ISEVEN(B132),(B132-1)&amp;"/"&amp;B132,B132&amp;"/"&amp;(B132+1))</f>
        <v>4007/4008</v>
      </c>
      <c r="L132" s="24" t="str">
        <f>VLOOKUP(A132,'Trips&amp;Operators'!$C$1:$E$10000,3,FALSE)</f>
        <v>STORY</v>
      </c>
      <c r="M132" s="6">
        <f>I132-F132</f>
        <v>2.5833333333139308E-2</v>
      </c>
      <c r="N132" s="7">
        <f>24*60*SUM($M132:$M132)</f>
        <v>37.199999999720603</v>
      </c>
      <c r="O132" s="7"/>
      <c r="P132" s="7"/>
      <c r="Q132" s="25"/>
      <c r="R132" s="25"/>
      <c r="S132" s="37">
        <f>SUM(U132:U132)/IF(AG132="EC",12,1)</f>
        <v>1</v>
      </c>
      <c r="T132" s="52" t="str">
        <f>IF(ISEVEN(LEFT(AD132,4)),"Southbound","NorthBound")</f>
        <v>NorthBound</v>
      </c>
      <c r="U132" s="159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02" t="str">
        <f>"https://search-rtdc-monitor-bjffxe2xuh6vdkpspy63sjmuny.us-east-1.es.amazonaws.com/_plugin/kibana/#/discover/Steve-Slow-Train-Analysis-(2080s-and-2083s)?_g=(refreshInterval:(display:Off,section:0,value:0),time:(from:'"&amp;TEXT(E132-1/24,"yyyy-MM-DD hh:mm:ss")&amp;"-0600',mode:absolute,to:'"&amp;TEXT(I132+1/24,"yyyy-MM-DD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132&amp;"%22')),sort:!(Time,asc))"</f>
        <v>https://search-rtdc-monitor-bjffxe2xuh6vdkpspy63sjmuny.us-east-1.es.amazonaws.com/_plugin/kibana/#/discover/Steve-Slow-Train-Analysis-(2080s-and-2083s)?_g=(refreshInterval:(display:Off,section:0,value:0),time:(from:'2016-10-04 16:52:43-0600',mode:absolute,to:'2016-10-04 19:37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132" s="54" t="str">
        <f>IF(AA132&lt;IF(AG132="EC",23,5.65),"Y","N")</f>
        <v>N</v>
      </c>
      <c r="X132" s="164">
        <f>VALUE(LEFT(AD132,4))-VALUE(LEFT(AD131,4))</f>
        <v>1</v>
      </c>
      <c r="Y132" s="69">
        <f>RIGHT(D132,LEN(D132)-4)/10000</f>
        <v>4.4900000000000002E-2</v>
      </c>
      <c r="Z132" s="69">
        <f>RIGHT(H132,LEN(H132)-4)/10000</f>
        <v>23.333600000000001</v>
      </c>
      <c r="AA132" s="69">
        <f>ABS(Z132-Y132)</f>
        <v>23.288700000000002</v>
      </c>
      <c r="AB132" s="66" t="e">
        <f>VLOOKUP(A132,Enforcements!$C$7:$K$21,8,0)</f>
        <v>#N/A</v>
      </c>
      <c r="AC132" s="62" t="e">
        <f>VLOOKUP(A132,Enforcements!$C$7:$E$21,3,0)</f>
        <v>#N/A</v>
      </c>
      <c r="AD132" s="63" t="str">
        <f>IF(LEN(A132)=6,"0"&amp;A132,A132)</f>
        <v>0215-04</v>
      </c>
      <c r="AE132" s="9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s3://rtdc.mdm.uploadarchive.raw/RTDC4007/ "%USERPROFILE%\AppData\Local\Temp\OnboardLogs"\RTDC4007\2016-10-04 --exclude "*" --recursive --include "*20161004*" &amp; "%USERPROFILE%\Documents\GitHub\mrs-test-scripts\Headless Mode &amp; Sideloading\WalkAndUnGZ.bat" "%USERPROFILE%\AppData\Local\Temp\OnboardLogs"\RTDC4007\2016-10-04 &amp; aws s3 cp s3://rtdc.mdm.uploadarchive.raw/RTDC4007/ "%USERPROFILE%\AppData\Local\Temp\OnboardLogs"\RTDC4007\2016-10-05 --exclude "*" --recursive --include "*20161005*" &amp; "%USERPROFILE%\Documents\GitHub\mrs-test-scripts\Headless Mode &amp; Sideloading\WalkAndUnGZ.bat" "%USERPROFILE%\AppData\Local\Temp\OnboardLogs"\RTDC4007\2016-10-05</v>
      </c>
      <c r="AF132" s="92" t="str">
        <f>astrogrep_path&amp;" /spath="&amp;search_path&amp;" /stypes=""app*"&amp;B132&amp;"*"&amp;TEXT(I132-utc_offset/24,"YYYYMMDD")&amp;"*"" /stext="" "&amp;TEXT(I132-utc_offset/24,"HH")&amp;search_regexp&amp;""" /e /r /s"</f>
        <v>"C:\Program Files (x86)\AstroGrep\AstroGrep.exe" /spath="%USERPROFILE%\AppData\Local\Temp\OnboardLogs" /stypes="app*4007*20161005*" /stext=" 00:.+((SYSTEM_STATE.+slice.+state.+changed )|(ment ac)|(system.+state.+changed )|(\[timeout)|(PRM\|1\|D)|(kpr)|(kdp)|(\|lc)|(penalty))" /e /r /s</v>
      </c>
      <c r="AG132" s="1" t="str">
        <f>IFERROR(IF(VALUE(LEFT(AD132,2))&lt;=2,"EC",IF(OR(VALUE(LEFT(AD132,2))=8,VALUE(LEFT(AD132,2))=18),"NW","Other")),"Other")</f>
        <v>EC</v>
      </c>
      <c r="AH132" s="96" t="str">
        <f t="shared" si="4"/>
        <v>"%USERPROFILE%\Documents\GitHub\eaglep3\Utilities\RefineRTDCRunTimes.py" --tripid 215-04 --locoid 4007 --swversion DE.1.0.7.0 --startMP 204:449 --initTime 2016-10-04T17:52:43 --startdatetime 2016-10-04T18:00:43 --delay 6 --endMP 204:233336 --enddatetime 2016-10-04T18:37:55 --enforcementcount 0 &gt;&gt;C:\Users\stu\Documents\GitHub\eaglep3-reporting\EC\2016-10-04-refined-times.txt</v>
      </c>
      <c r="AI132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{"issue":{"subject":"","project_id":79,"tracker_id":40,"status_id":1,"priority_id":2,"assigned_to_id":23,"start_date":"2016-10-04","description":"","custom_fields":[{"id":1,"name":"Subdivision","value":"EC"},{"id":4,"name":"Milepost","value":"23.3336"},{"id":17,"name":"Train ID","value":"215-04"},{"id":16,"name":"Locomotive ID","value":"4007"},{"id":130,"name":"Impact","value":""},{"id":150,"name":"Time of Event (Mountain Time)","value":"18:37:55"},{"id":151,"name":"Denver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5"/>
      <c r="AK132" s="55"/>
      <c r="AL132" s="55"/>
    </row>
    <row r="133" spans="1:38" x14ac:dyDescent="0.25">
      <c r="A133" s="39" t="s">
        <v>559</v>
      </c>
      <c r="B133" s="7">
        <v>4008</v>
      </c>
      <c r="C133" s="24" t="s">
        <v>106</v>
      </c>
      <c r="D133" s="24" t="s">
        <v>656</v>
      </c>
      <c r="E133" s="15">
        <v>42647.783182870371</v>
      </c>
      <c r="F133" s="15">
        <v>42647.789201388892</v>
      </c>
      <c r="G133" s="7">
        <v>1</v>
      </c>
      <c r="H133" s="15">
        <v>8.5381944444444446</v>
      </c>
      <c r="I133" s="15">
        <v>42647.821331018517</v>
      </c>
      <c r="J133" s="7">
        <v>0</v>
      </c>
      <c r="K133" s="117" t="str">
        <f>IF(ISEVEN(B133),(B133-1)&amp;"/"&amp;B133,B133&amp;"/"&amp;(B133+1))</f>
        <v>4007/4008</v>
      </c>
      <c r="L133" s="24" t="str">
        <f>VLOOKUP(A133,'Trips&amp;Operators'!$C$1:$E$10000,3,FALSE)</f>
        <v>STORY</v>
      </c>
      <c r="M133" s="6">
        <f>I133-F133</f>
        <v>3.2129629624250811E-2</v>
      </c>
      <c r="N133" s="7">
        <f>24*60*SUM($M133:$M133)</f>
        <v>46.266666658921167</v>
      </c>
      <c r="O133" s="7"/>
      <c r="P133" s="7"/>
      <c r="Q133" s="25"/>
      <c r="R133" s="25"/>
      <c r="S133" s="37">
        <f>SUM(U133:U133)/IF(AG133="EC",12,1)</f>
        <v>0</v>
      </c>
      <c r="T133" s="52" t="str">
        <f>IF(ISEVEN(LEFT(AD133,4)),"Southbound","NorthBound")</f>
        <v>Southbound</v>
      </c>
      <c r="U133" s="159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0</v>
      </c>
      <c r="V133" s="102" t="str">
        <f>"https://search-rtdc-monitor-bjffxe2xuh6vdkpspy63sjmuny.us-east-1.es.amazonaws.com/_plugin/kibana/#/discover/Steve-Slow-Train-Analysis-(2080s-and-2083s)?_g=(refreshInterval:(display:Off,section:0,value:0),time:(from:'"&amp;TEXT(E133-1/24,"yyyy-MM-DD hh:mm:ss")&amp;"-0600',mode:absolute,to:'"&amp;TEXT(I133+1/24,"yyyy-MM-DD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133&amp;"%22')),sort:!(Time,asc))"</f>
        <v>https://search-rtdc-monitor-bjffxe2xuh6vdkpspy63sjmuny.us-east-1.es.amazonaws.com/_plugin/kibana/#/discover/Steve-Slow-Train-Analysis-(2080s-and-2083s)?_g=(refreshInterval:(display:Off,section:0,value:0),time:(from:'2016-10-04 17:47:47-0600',mode:absolute,to:'2016-10-04 20:42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133" s="54" t="str">
        <f>IF(AA133&lt;IF(AG133="EC",23,5.65),"Y","N")</f>
        <v>N</v>
      </c>
      <c r="X133" s="164">
        <f>VALUE(LEFT(AD133,4))-VALUE(LEFT(AD132,4))</f>
        <v>1</v>
      </c>
      <c r="Y133" s="69">
        <f>RIGHT(D133,LEN(D133)-4)/10000</f>
        <v>23.304500000000001</v>
      </c>
      <c r="Z133" s="69">
        <f>RIGHT(H133,LEN(H133)-4)/10000</f>
        <v>81944444.444399998</v>
      </c>
      <c r="AA133" s="69">
        <f>ABS(Z133-Y133)</f>
        <v>81944421.139899999</v>
      </c>
      <c r="AB133" s="66" t="e">
        <f>VLOOKUP(A133,Enforcements!$C$7:$K$21,8,0)</f>
        <v>#N/A</v>
      </c>
      <c r="AC133" s="62" t="e">
        <f>VLOOKUP(A133,Enforcements!$C$7:$E$21,3,0)</f>
        <v>#N/A</v>
      </c>
      <c r="AD133" s="63" t="str">
        <f>IF(LEN(A133)=6,"0"&amp;A133,A133)</f>
        <v>0216-04</v>
      </c>
      <c r="AE133" s="9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s3://rtdc.mdm.uploadarchive.raw/RTDC4008/ "%USERPROFILE%\AppData\Local\Temp\OnboardLogs"\RTDC4008\2016-10-04 --exclude "*" --recursive --include "*20161004*" &amp; "%USERPROFILE%\Documents\GitHub\mrs-test-scripts\Headless Mode &amp; Sideloading\WalkAndUnGZ.bat" "%USERPROFILE%\AppData\Local\Temp\OnboardLogs"\RTDC4008\2016-10-04 &amp; aws s3 cp s3://rtdc.mdm.uploadarchive.raw/RTDC4008/ "%USERPROFILE%\AppData\Local\Temp\OnboardLogs"\RTDC4008\2016-10-05 --exclude "*" --recursive --include "*20161005*" &amp; "%USERPROFILE%\Documents\GitHub\mrs-test-scripts\Headless Mode &amp; Sideloading\WalkAndUnGZ.bat" "%USERPROFILE%\AppData\Local\Temp\OnboardLogs"\RTDC4008\2016-10-05</v>
      </c>
      <c r="AF133" s="92" t="str">
        <f>astrogrep_path&amp;" /spath="&amp;search_path&amp;" /stypes=""app*"&amp;B133&amp;"*"&amp;TEXT(I133-utc_offset/24,"YYYYMMDD")&amp;"*"" /stext="" "&amp;TEXT(I133-utc_offset/24,"HH")&amp;search_regexp&amp;""" /e /r /s"</f>
        <v>"C:\Program Files (x86)\AstroGrep\AstroGrep.exe" /spath="%USERPROFILE%\AppData\Local\Temp\OnboardLogs" /stypes="app*4008*20161005*" /stext=" 01:.+((SYSTEM_STATE.+slice.+state.+changed )|(ment ac)|(system.+state.+changed )|(\[timeout)|(PRM\|1\|D)|(kpr)|(kdp)|(\|lc)|(penalty))" /e /r /s</v>
      </c>
      <c r="AG133" s="1" t="str">
        <f>IFERROR(IF(VALUE(LEFT(AD133,2))&lt;=2,"EC",IF(OR(VALUE(LEFT(AD133,2))=8,VALUE(LEFT(AD133,2))=18),"NW","Other")),"Other")</f>
        <v>EC</v>
      </c>
      <c r="AH133" s="96" t="str">
        <f t="shared" si="4"/>
        <v>"%USERPROFILE%\Documents\GitHub\eaglep3\Utilities\RefineRTDCRunTimes.py" --tripid 216-04 --locoid 4008 --swversion DE.1.0.7.0 --startMP 204:233045 --initTime 2016-10-04T18:47:47 --startdatetime 2016-10-04T18:56:27 --delay 1 --endMP 8.53819444444444 --enddatetime 2016-10-04T19:42:43 --enforcementcount 0 &gt;&gt;C:\Users\stu\Documents\GitHub\eaglep3-reporting\EC\2016-10-04-refined-times.txt</v>
      </c>
      <c r="AI133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81944444.4444"},{"id":17,"name":"Train ID","value":"216-04"},{"id":16,"name":"Locomotive ID","value":"4008"},{"id":130,"name":"Impact","value":""},{"id":150,"name":"Time of Event (Mountain Time)","value":"19:42:43"},{"id":151,"name":"Denver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5"/>
      <c r="AK133" s="55"/>
      <c r="AL133" s="55"/>
    </row>
    <row r="134" spans="1:38" s="23" customFormat="1" x14ac:dyDescent="0.25">
      <c r="A134" s="39" t="s">
        <v>548</v>
      </c>
      <c r="B134" s="7">
        <v>4042</v>
      </c>
      <c r="C134" s="24" t="s">
        <v>106</v>
      </c>
      <c r="D134" s="24" t="s">
        <v>221</v>
      </c>
      <c r="E134" s="15">
        <v>42647.756377314814</v>
      </c>
      <c r="F134" s="15">
        <v>42647.760729166665</v>
      </c>
      <c r="G134" s="7">
        <v>2</v>
      </c>
      <c r="H134" s="15" t="s">
        <v>657</v>
      </c>
      <c r="I134" s="15">
        <v>42647.787037037036</v>
      </c>
      <c r="J134" s="7">
        <v>0</v>
      </c>
      <c r="K134" s="117" t="str">
        <f>IF(ISEVEN(B134),(B134-1)&amp;"/"&amp;B134,B134&amp;"/"&amp;(B134+1))</f>
        <v>4041/4042</v>
      </c>
      <c r="L134" s="24" t="str">
        <f>VLOOKUP(A134,'Trips&amp;Operators'!$C$1:$E$10000,3,FALSE)</f>
        <v>YANAI</v>
      </c>
      <c r="M134" s="6">
        <f>I134-F134</f>
        <v>2.6307870371965691E-2</v>
      </c>
      <c r="N134" s="7">
        <f>24*60*SUM($M134:$M134)</f>
        <v>37.883333335630596</v>
      </c>
      <c r="O134" s="7"/>
      <c r="P134" s="7"/>
      <c r="Q134" s="25"/>
      <c r="R134" s="25"/>
      <c r="S134" s="37">
        <f>SUM(U134:U134)/IF(AG134="EC",12,1)</f>
        <v>1</v>
      </c>
      <c r="T134" s="52" t="str">
        <f>IF(ISEVEN(LEFT(AD134,4)),"Southbound","NorthBound")</f>
        <v>NorthBound</v>
      </c>
      <c r="U134" s="159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02" t="str">
        <f>"https://search-rtdc-monitor-bjffxe2xuh6vdkpspy63sjmuny.us-east-1.es.amazonaws.com/_plugin/kibana/#/discover/Steve-Slow-Train-Analysis-(2080s-and-2083s)?_g=(refreshInterval:(display:Off,section:0,value:0),time:(from:'"&amp;TEXT(E134-1/24,"yyyy-MM-DD hh:mm:ss")&amp;"-0600',mode:absolute,to:'"&amp;TEXT(I134+1/24,"yyyy-MM-DD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134&amp;"%22')),sort:!(Time,asc))"</f>
        <v>https://search-rtdc-monitor-bjffxe2xuh6vdkpspy63sjmuny.us-east-1.es.amazonaws.com/_plugin/kibana/#/discover/Steve-Slow-Train-Analysis-(2080s-and-2083s)?_g=(refreshInterval:(display:Off,section:0,value:0),time:(from:'2016-10-04 17:09:11-0600',mode:absolute,to:'2016-10-04 19:53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4" s="54" t="str">
        <f>IF(AA134&lt;IF(AG134="EC",23,5.65),"Y","N")</f>
        <v>N</v>
      </c>
      <c r="X134" s="164">
        <f>VALUE(LEFT(AD134,4))-VALUE(LEFT(AD133,4))</f>
        <v>1</v>
      </c>
      <c r="Y134" s="69">
        <f>RIGHT(D134,LEN(D134)-4)/10000</f>
        <v>4.6399999999999997E-2</v>
      </c>
      <c r="Z134" s="69">
        <f>RIGHT(H134,LEN(H134)-4)/10000</f>
        <v>23.327999999999999</v>
      </c>
      <c r="AA134" s="69">
        <f>ABS(Z134-Y134)</f>
        <v>23.281600000000001</v>
      </c>
      <c r="AB134" s="66" t="e">
        <f>VLOOKUP(A134,Enforcements!$C$7:$K$21,8,0)</f>
        <v>#N/A</v>
      </c>
      <c r="AC134" s="62" t="e">
        <f>VLOOKUP(A134,Enforcements!$C$7:$E$21,3,0)</f>
        <v>#N/A</v>
      </c>
      <c r="AD134" s="63" t="str">
        <f>IF(LEN(A134)=6,"0"&amp;A134,A134)</f>
        <v>0217-04</v>
      </c>
      <c r="AE134" s="9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s3://rtdc.mdm.uploadarchive.raw/RTDC4042/ "%USERPROFILE%\AppData\Local\Temp\OnboardLogs"\RTDC4042\2016-10-04 --exclude "*" --recursive --include "*20161004*" &amp; "%USERPROFILE%\Documents\GitHub\mrs-test-scripts\Headless Mode &amp; Sideloading\WalkAndUnGZ.bat" "%USERPROFILE%\AppData\Local\Temp\OnboardLogs"\RTDC4042\2016-10-04 &amp; aws s3 cp s3://rtdc.mdm.uploadarchive.raw/RTDC4042/ "%USERPROFILE%\AppData\Local\Temp\OnboardLogs"\RTDC4042\2016-10-05 --exclude "*" --recursive --include "*20161005*" &amp; "%USERPROFILE%\Documents\GitHub\mrs-test-scripts\Headless Mode &amp; Sideloading\WalkAndUnGZ.bat" "%USERPROFILE%\AppData\Local\Temp\OnboardLogs"\RTDC4042\2016-10-05</v>
      </c>
      <c r="AF134" s="92" t="str">
        <f>astrogrep_path&amp;" /spath="&amp;search_path&amp;" /stypes=""app*"&amp;B134&amp;"*"&amp;TEXT(I134-utc_offset/24,"YYYYMMDD")&amp;"*"" /stext="" "&amp;TEXT(I134-utc_offset/24,"HH")&amp;search_regexp&amp;""" /e /r /s"</f>
        <v>"C:\Program Files (x86)\AstroGrep\AstroGrep.exe" /spath="%USERPROFILE%\AppData\Local\Temp\OnboardLogs" /stypes="app*4042*20161005*" /stext=" 00:.+((SYSTEM_STATE.+slice.+state.+changed )|(ment ac)|(system.+state.+changed )|(\[timeout)|(PRM\|1\|D)|(kpr)|(kdp)|(\|lc)|(penalty))" /e /r /s</v>
      </c>
      <c r="AG134" s="1" t="str">
        <f>IFERROR(IF(VALUE(LEFT(AD134,2))&lt;=2,"EC",IF(OR(VALUE(LEFT(AD134,2))=8,VALUE(LEFT(AD134,2))=18),"NW","Other")),"Other")</f>
        <v>EC</v>
      </c>
      <c r="AH134" s="96" t="str">
        <f t="shared" si="4"/>
        <v>"%USERPROFILE%\Documents\GitHub\eaglep3\Utilities\RefineRTDCRunTimes.py" --tripid 217-04 --locoid 4042 --swversion DE.1.0.7.0 --startMP 204:464 --initTime 2016-10-04T18:09:11 --startdatetime 2016-10-04T18:15:27 --delay 2 --endMP 204:233280 --enddatetime 2016-10-04T18:53:20 --enforcementcount 0 &gt;&gt;C:\Users\stu\Documents\GitHub\eaglep3-reporting\EC\2016-10-04-refined-times.txt</v>
      </c>
      <c r="AI134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{"issue":{"subject":"","project_id":79,"tracker_id":40,"status_id":1,"priority_id":2,"assigned_to_id":23,"start_date":"2016-10-04","description":"","custom_fields":[{"id":1,"name":"Subdivision","value":"EC"},{"id":4,"name":"Milepost","value":"23.328"},{"id":17,"name":"Train ID","value":"217-04"},{"id":16,"name":"Locomotive ID","value":"4042"},{"id":130,"name":"Impact","value":""},{"id":150,"name":"Time of Event (Mountain Time)","value":"18:53:20"},{"id":151,"name":"Denver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5"/>
      <c r="AK134" s="55"/>
      <c r="AL134" s="55"/>
    </row>
    <row r="135" spans="1:38" s="23" customFormat="1" x14ac:dyDescent="0.25">
      <c r="A135" s="39" t="s">
        <v>561</v>
      </c>
      <c r="B135" s="7">
        <v>4041</v>
      </c>
      <c r="C135" s="24" t="s">
        <v>106</v>
      </c>
      <c r="D135" s="24" t="s">
        <v>279</v>
      </c>
      <c r="E135" s="15">
        <v>42647.794571759259</v>
      </c>
      <c r="F135" s="15">
        <v>42647.799733796295</v>
      </c>
      <c r="G135" s="7">
        <v>1</v>
      </c>
      <c r="H135" s="15" t="s">
        <v>192</v>
      </c>
      <c r="I135" s="15">
        <v>42647.830578703702</v>
      </c>
      <c r="J135" s="7">
        <v>0</v>
      </c>
      <c r="K135" s="117" t="str">
        <f>IF(ISEVEN(B135),(B135-1)&amp;"/"&amp;B135,B135&amp;"/"&amp;(B135+1))</f>
        <v>4041/4042</v>
      </c>
      <c r="L135" s="24" t="str">
        <f>VLOOKUP(A135,'Trips&amp;Operators'!$C$1:$E$10000,3,FALSE)</f>
        <v>YANAI</v>
      </c>
      <c r="M135" s="6">
        <f>I135-F135</f>
        <v>3.0844907407299615E-2</v>
      </c>
      <c r="N135" s="7">
        <f>24*60*SUM($M135:$M135)</f>
        <v>44.416666666511446</v>
      </c>
      <c r="O135" s="7"/>
      <c r="P135" s="7"/>
      <c r="Q135" s="25"/>
      <c r="R135" s="25"/>
      <c r="S135" s="37">
        <f>SUM(U135:U135)/IF(AG135="EC",12,1)</f>
        <v>1</v>
      </c>
      <c r="T135" s="52" t="str">
        <f>IF(ISEVEN(LEFT(AD135,4)),"Southbound","NorthBound")</f>
        <v>Southbound</v>
      </c>
      <c r="U135" s="159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02" t="str">
        <f>"https://search-rtdc-monitor-bjffxe2xuh6vdkpspy63sjmuny.us-east-1.es.amazonaws.com/_plugin/kibana/#/discover/Steve-Slow-Train-Analysis-(2080s-and-2083s)?_g=(refreshInterval:(display:Off,section:0,value:0),time:(from:'"&amp;TEXT(E135-1/24,"yyyy-MM-DD hh:mm:ss")&amp;"-0600',mode:absolute,to:'"&amp;TEXT(I135+1/24,"yyyy-MM-DD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135&amp;"%22')),sort:!(Time,asc))"</f>
        <v>https://search-rtdc-monitor-bjffxe2xuh6vdkpspy63sjmuny.us-east-1.es.amazonaws.com/_plugin/kibana/#/discover/Steve-Slow-Train-Analysis-(2080s-and-2083s)?_g=(refreshInterval:(display:Off,section:0,value:0),time:(from:'2016-10-04 18:04:11-0600',mode:absolute,to:'2016-10-04 20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5" s="54" t="str">
        <f>IF(AA135&lt;IF(AG135="EC",23,5.65),"Y","N")</f>
        <v>N</v>
      </c>
      <c r="X135" s="164">
        <f>VALUE(LEFT(AD135,4))-VALUE(LEFT(AD134,4))</f>
        <v>1</v>
      </c>
      <c r="Y135" s="69">
        <f>RIGHT(D135,LEN(D135)-4)/10000</f>
        <v>23.2971</v>
      </c>
      <c r="Z135" s="69">
        <f>RIGHT(H135,LEN(H135)-4)/10000</f>
        <v>1.6E-2</v>
      </c>
      <c r="AA135" s="69">
        <f>ABS(Z135-Y135)</f>
        <v>23.281100000000002</v>
      </c>
      <c r="AB135" s="66" t="str">
        <f>VLOOKUP(A135,Enforcements!$C$7:$K$21,8,0)</f>
        <v>Speed (6)</v>
      </c>
      <c r="AC135" s="62" t="str">
        <f>VLOOKUP(A135,Enforcements!$C$7:$E$21,3,0)</f>
        <v>PERMANENT SPEED RESTRICTION</v>
      </c>
      <c r="AD135" s="63" t="str">
        <f>IF(LEN(A135)=6,"0"&amp;A135,A135)</f>
        <v>0218-04</v>
      </c>
      <c r="AE135" s="9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s3://rtdc.mdm.uploadarchive.raw/RTDC4041/ "%USERPROFILE%\AppData\Local\Temp\OnboardLogs"\RTDC4041\2016-10-04 --exclude "*" --recursive --include "*20161004*" &amp; "%USERPROFILE%\Documents\GitHub\mrs-test-scripts\Headless Mode &amp; Sideloading\WalkAndUnGZ.bat" "%USERPROFILE%\AppData\Local\Temp\OnboardLogs"\RTDC4041\2016-10-04 &amp; aws s3 cp s3://rtdc.mdm.uploadarchive.raw/RTDC4041/ "%USERPROFILE%\AppData\Local\Temp\OnboardLogs"\RTDC4041\2016-10-05 --exclude "*" --recursive --include "*20161005*" &amp; "%USERPROFILE%\Documents\GitHub\mrs-test-scripts\Headless Mode &amp; Sideloading\WalkAndUnGZ.bat" "%USERPROFILE%\AppData\Local\Temp\OnboardLogs"\RTDC4041\2016-10-05</v>
      </c>
      <c r="AF135" s="92" t="str">
        <f>astrogrep_path&amp;" /spath="&amp;search_path&amp;" /stypes=""app*"&amp;B135&amp;"*"&amp;TEXT(I135-utc_offset/24,"YYYYMMDD")&amp;"*"" /stext="" "&amp;TEXT(I135-utc_offset/24,"HH")&amp;search_regexp&amp;""" /e /r /s"</f>
        <v>"C:\Program Files (x86)\AstroGrep\AstroGrep.exe" /spath="%USERPROFILE%\AppData\Local\Temp\OnboardLogs" /stypes="app*4041*20161005*" /stext=" 01:.+((SYSTEM_STATE.+slice.+state.+changed )|(ment ac)|(system.+state.+changed )|(\[timeout)|(PRM\|1\|D)|(kpr)|(kdp)|(\|lc)|(penalty))" /e /r /s</v>
      </c>
      <c r="AG135" s="1" t="str">
        <f>IFERROR(IF(VALUE(LEFT(AD135,2))&lt;=2,"EC",IF(OR(VALUE(LEFT(AD135,2))=8,VALUE(LEFT(AD135,2))=18),"NW","Other")),"Other")</f>
        <v>EC</v>
      </c>
      <c r="AH135" s="96" t="str">
        <f t="shared" si="4"/>
        <v>"%USERPROFILE%\Documents\GitHub\eaglep3\Utilities\RefineRTDCRunTimes.py" --tripid 218-04 --locoid 4041 --swversion DE.1.0.7.0 --startMP 204:232971 --initTime 2016-10-04T19:04:11 --startdatetime 2016-10-04T19:11:37 --delay 1 --endMP 204:160 --enddatetime 2016-10-04T19:56:02 --enforcementcount 0 &gt;&gt;C:\Users\stu\Documents\GitHub\eaglep3-reporting\EC\2016-10-04-refined-times.txt</v>
      </c>
      <c r="AI135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{"issue":{"subject":"","project_id":79,"tracker_id":40,"status_id":1,"priority_id":2,"assigned_to_id":23,"start_date":"2016-10-04","description":"","custom_fields":[{"id":1,"name":"Subdivision","value":"EC"},{"id":4,"name":"Milepost","value":"0.016"},{"id":17,"name":"Train ID","value":"218-04"},{"id":16,"name":"Locomotive ID","value":"4041"},{"id":130,"name":"Impact","value":""},{"id":150,"name":"Time of Event (Mountain Time)","value":"19:56:02"},{"id":151,"name":"Denver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5"/>
      <c r="AK135" s="55"/>
      <c r="AL135" s="55"/>
    </row>
    <row r="136" spans="1:38" s="23" customFormat="1" x14ac:dyDescent="0.25">
      <c r="A136" s="39" t="s">
        <v>553</v>
      </c>
      <c r="B136" s="7">
        <v>4029</v>
      </c>
      <c r="C136" s="24" t="s">
        <v>106</v>
      </c>
      <c r="D136" s="24" t="s">
        <v>281</v>
      </c>
      <c r="E136" s="15">
        <v>42647.770856481482</v>
      </c>
      <c r="F136" s="15">
        <v>42647.771874999999</v>
      </c>
      <c r="G136" s="7">
        <v>1</v>
      </c>
      <c r="H136" s="15" t="s">
        <v>264</v>
      </c>
      <c r="I136" s="15">
        <v>42647.798622685186</v>
      </c>
      <c r="J136" s="7">
        <v>0</v>
      </c>
      <c r="K136" s="117" t="str">
        <f>IF(ISEVEN(B136),(B136-1)&amp;"/"&amp;B136,B136&amp;"/"&amp;(B136+1))</f>
        <v>4029/4030</v>
      </c>
      <c r="L136" s="24" t="str">
        <f>VLOOKUP(A136,'Trips&amp;Operators'!$C$1:$E$10000,3,FALSE)</f>
        <v>CHANDLER</v>
      </c>
      <c r="M136" s="6">
        <f>I136-F136</f>
        <v>2.6747685187729076E-2</v>
      </c>
      <c r="N136" s="7">
        <f>24*60*SUM($M136:$M136)</f>
        <v>38.516666670329869</v>
      </c>
      <c r="O136" s="7"/>
      <c r="P136" s="7"/>
      <c r="Q136" s="25"/>
      <c r="R136" s="25"/>
      <c r="S136" s="37">
        <f>SUM(U136:U136)/IF(AG136="EC",12,1)</f>
        <v>1</v>
      </c>
      <c r="T136" s="52" t="str">
        <f>IF(ISEVEN(LEFT(AD136,4)),"Southbound","NorthBound")</f>
        <v>NorthBound</v>
      </c>
      <c r="U136" s="159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02" t="str">
        <f>"https://search-rtdc-monitor-bjffxe2xuh6vdkpspy63sjmuny.us-east-1.es.amazonaws.com/_plugin/kibana/#/discover/Steve-Slow-Train-Analysis-(2080s-and-2083s)?_g=(refreshInterval:(display:Off,section:0,value:0),time:(from:'"&amp;TEXT(E136-1/24,"yyyy-MM-DD hh:mm:ss")&amp;"-0600',mode:absolute,to:'"&amp;TEXT(I136+1/24,"yyyy-MM-DD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136&amp;"%22')),sort:!(Time,asc))"</f>
        <v>https://search-rtdc-monitor-bjffxe2xuh6vdkpspy63sjmuny.us-east-1.es.amazonaws.com/_plugin/kibana/#/discover/Steve-Slow-Train-Analysis-(2080s-and-2083s)?_g=(refreshInterval:(display:Off,section:0,value:0),time:(from:'2016-10-04 17:30:02-0600',mode:absolute,to:'2016-10-04 20:10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6" s="54" t="str">
        <f>IF(AA136&lt;IF(AG136="EC",23,5.65),"Y","N")</f>
        <v>N</v>
      </c>
      <c r="X136" s="164">
        <f>VALUE(LEFT(AD136,4))-VALUE(LEFT(AD135,4))</f>
        <v>1</v>
      </c>
      <c r="Y136" s="69">
        <f>RIGHT(D136,LEN(D136)-4)/10000</f>
        <v>4.6699999999999998E-2</v>
      </c>
      <c r="Z136" s="69">
        <f>RIGHT(H136,LEN(H136)-4)/10000</f>
        <v>23.3306</v>
      </c>
      <c r="AA136" s="69">
        <f>ABS(Z136-Y136)</f>
        <v>23.283899999999999</v>
      </c>
      <c r="AB136" s="66" t="e">
        <f>VLOOKUP(A136,Enforcements!$C$7:$K$21,8,0)</f>
        <v>#N/A</v>
      </c>
      <c r="AC136" s="62" t="e">
        <f>VLOOKUP(A136,Enforcements!$C$7:$E$21,3,0)</f>
        <v>#N/A</v>
      </c>
      <c r="AD136" s="63" t="str">
        <f>IF(LEN(A136)=6,"0"&amp;A136,A136)</f>
        <v>0219-04</v>
      </c>
      <c r="AE136" s="9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s3://rtdc.mdm.uploadarchive.raw/RTDC4029/ "%USERPROFILE%\AppData\Local\Temp\OnboardLogs"\RTDC4029\2016-10-04 --exclude "*" --recursive --include "*20161004*" &amp; "%USERPROFILE%\Documents\GitHub\mrs-test-scripts\Headless Mode &amp; Sideloading\WalkAndUnGZ.bat" "%USERPROFILE%\AppData\Local\Temp\OnboardLogs"\RTDC4029\2016-10-04 &amp; aws s3 cp s3://rtdc.mdm.uploadarchive.raw/RTDC4029/ "%USERPROFILE%\AppData\Local\Temp\OnboardLogs"\RTDC4029\2016-10-05 --exclude "*" --recursive --include "*20161005*" &amp; "%USERPROFILE%\Documents\GitHub\mrs-test-scripts\Headless Mode &amp; Sideloading\WalkAndUnGZ.bat" "%USERPROFILE%\AppData\Local\Temp\OnboardLogs"\RTDC4029\2016-10-05</v>
      </c>
      <c r="AF136" s="92" t="str">
        <f>astrogrep_path&amp;" /spath="&amp;search_path&amp;" /stypes=""app*"&amp;B136&amp;"*"&amp;TEXT(I136-utc_offset/24,"YYYYMMDD")&amp;"*"" /stext="" "&amp;TEXT(I136-utc_offset/24,"HH")&amp;search_regexp&amp;""" /e /r /s"</f>
        <v>"C:\Program Files (x86)\AstroGrep\AstroGrep.exe" /spath="%USERPROFILE%\AppData\Local\Temp\OnboardLogs" /stypes="app*4029*20161005*" /stext=" 01:.+((SYSTEM_STATE.+slice.+state.+changed )|(ment ac)|(system.+state.+changed )|(\[timeout)|(PRM\|1\|D)|(kpr)|(kdp)|(\|lc)|(penalty))" /e /r /s</v>
      </c>
      <c r="AG136" s="1" t="str">
        <f>IFERROR(IF(VALUE(LEFT(AD136,2))&lt;=2,"EC",IF(OR(VALUE(LEFT(AD136,2))=8,VALUE(LEFT(AD136,2))=18),"NW","Other")),"Other")</f>
        <v>EC</v>
      </c>
      <c r="AH136" s="96" t="str">
        <f t="shared" si="4"/>
        <v>"%USERPROFILE%\Documents\GitHub\eaglep3\Utilities\RefineRTDCRunTimes.py" --tripid 219-04 --locoid 4029 --swversion DE.1.0.7.0 --startMP 204:467 --initTime 2016-10-04T18:30:02 --startdatetime 2016-10-04T18:31:30 --delay 1 --endMP 204:233306 --enddatetime 2016-10-04T19:10:01 --enforcementcount 0 &gt;&gt;C:\Users\stu\Documents\GitHub\eaglep3-reporting\EC\2016-10-04-refined-times.txt</v>
      </c>
      <c r="AI136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{"issue":{"subject":"","project_id":79,"tracker_id":40,"status_id":1,"priority_id":2,"assigned_to_id":23,"start_date":"2016-10-04","description":"","custom_fields":[{"id":1,"name":"Subdivision","value":"EC"},{"id":4,"name":"Milepost","value":"23.3306"},{"id":17,"name":"Train ID","value":"219-04"},{"id":16,"name":"Locomotive ID","value":"4029"},{"id":130,"name":"Impact","value":""},{"id":150,"name":"Time of Event (Mountain Time)","value":"19:10:01"},{"id":151,"name":"Denver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5"/>
      <c r="AK136" s="55"/>
      <c r="AL136" s="55"/>
    </row>
    <row r="137" spans="1:38" s="23" customFormat="1" x14ac:dyDescent="0.25">
      <c r="A137" s="39" t="s">
        <v>564</v>
      </c>
      <c r="B137" s="7">
        <v>4030</v>
      </c>
      <c r="C137" s="24" t="s">
        <v>106</v>
      </c>
      <c r="D137" s="24" t="s">
        <v>285</v>
      </c>
      <c r="E137" s="15">
        <v>42647.804375</v>
      </c>
      <c r="F137" s="15">
        <v>42647.810312499998</v>
      </c>
      <c r="G137" s="7">
        <v>1</v>
      </c>
      <c r="H137" s="15" t="s">
        <v>259</v>
      </c>
      <c r="I137" s="15">
        <v>42647.838321759256</v>
      </c>
      <c r="J137" s="7">
        <v>0</v>
      </c>
      <c r="K137" s="117" t="str">
        <f>IF(ISEVEN(B137),(B137-1)&amp;"/"&amp;B137,B137&amp;"/"&amp;(B137+1))</f>
        <v>4029/4030</v>
      </c>
      <c r="L137" s="24" t="str">
        <f>VLOOKUP(A137,'Trips&amp;Operators'!$C$1:$E$10000,3,FALSE)</f>
        <v>CHANDLER</v>
      </c>
      <c r="M137" s="6">
        <f>I137-F137</f>
        <v>2.8009259258396924E-2</v>
      </c>
      <c r="N137" s="7">
        <f>24*60*SUM($M137:$M137)</f>
        <v>40.33333333209157</v>
      </c>
      <c r="O137" s="7"/>
      <c r="P137" s="7"/>
      <c r="Q137" s="25"/>
      <c r="R137" s="25"/>
      <c r="S137" s="37">
        <f>SUM(U137:U137)/IF(AG137="EC",12,1)</f>
        <v>1</v>
      </c>
      <c r="T137" s="52" t="str">
        <f>IF(ISEVEN(LEFT(AD137,4)),"Southbound","NorthBound")</f>
        <v>Southbound</v>
      </c>
      <c r="U137" s="159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02" t="str">
        <f>"https://search-rtdc-monitor-bjffxe2xuh6vdkpspy63sjmuny.us-east-1.es.amazonaws.com/_plugin/kibana/#/discover/Steve-Slow-Train-Analysis-(2080s-and-2083s)?_g=(refreshInterval:(display:Off,section:0,value:0),time:(from:'"&amp;TEXT(E137-1/24,"yyyy-MM-DD hh:mm:ss")&amp;"-0600',mode:absolute,to:'"&amp;TEXT(I137+1/24,"yyyy-MM-DD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137&amp;"%22')),sort:!(Time,asc))"</f>
        <v>https://search-rtdc-monitor-bjffxe2xuh6vdkpspy63sjmuny.us-east-1.es.amazonaws.com/_plugin/kibana/#/discover/Steve-Slow-Train-Analysis-(2080s-and-2083s)?_g=(refreshInterval:(display:Off,section:0,value:0),time:(from:'2016-10-04 18:18:18-0600',mode:absolute,to:'2016-10-04 21:07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7" s="54" t="str">
        <f>IF(AA137&lt;IF(AG137="EC",23,5.65),"Y","N")</f>
        <v>N</v>
      </c>
      <c r="X137" s="164">
        <f>VALUE(LEFT(AD137,4))-VALUE(LEFT(AD136,4))</f>
        <v>1</v>
      </c>
      <c r="Y137" s="69">
        <f>RIGHT(D137,LEN(D137)-4)/10000</f>
        <v>23.2972</v>
      </c>
      <c r="Z137" s="69">
        <f>RIGHT(H137,LEN(H137)-4)/10000</f>
        <v>1.6500000000000001E-2</v>
      </c>
      <c r="AA137" s="69">
        <f>ABS(Z137-Y137)</f>
        <v>23.2807</v>
      </c>
      <c r="AB137" s="66" t="e">
        <f>VLOOKUP(A137,Enforcements!$C$7:$K$21,8,0)</f>
        <v>#N/A</v>
      </c>
      <c r="AC137" s="62" t="e">
        <f>VLOOKUP(A137,Enforcements!$C$7:$E$21,3,0)</f>
        <v>#N/A</v>
      </c>
      <c r="AD137" s="63" t="str">
        <f>IF(LEN(A137)=6,"0"&amp;A137,A137)</f>
        <v>0220-04</v>
      </c>
      <c r="AE137" s="9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s3://rtdc.mdm.uploadarchive.raw/RTDC4030/ "%USERPROFILE%\AppData\Local\Temp\OnboardLogs"\RTDC4030\2016-10-04 --exclude "*" --recursive --include "*20161004*" &amp; "%USERPROFILE%\Documents\GitHub\mrs-test-scripts\Headless Mode &amp; Sideloading\WalkAndUnGZ.bat" "%USERPROFILE%\AppData\Local\Temp\OnboardLogs"\RTDC4030\2016-10-04 &amp; aws s3 cp s3://rtdc.mdm.uploadarchive.raw/RTDC4030/ "%USERPROFILE%\AppData\Local\Temp\OnboardLogs"\RTDC4030\2016-10-05 --exclude "*" --recursive --include "*20161005*" &amp; "%USERPROFILE%\Documents\GitHub\mrs-test-scripts\Headless Mode &amp; Sideloading\WalkAndUnGZ.bat" "%USERPROFILE%\AppData\Local\Temp\OnboardLogs"\RTDC4030\2016-10-05</v>
      </c>
      <c r="AF137" s="92" t="str">
        <f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/stypes="app*4030*20161005*" /stext=" 02:.+((SYSTEM_STATE.+slice.+state.+changed )|(ment ac)|(system.+state.+changed )|(\[timeout)|(PRM\|1\|D)|(kpr)|(kdp)|(\|lc)|(penalty))" /e /r /s</v>
      </c>
      <c r="AG137" s="1" t="str">
        <f>IFERROR(IF(VALUE(LEFT(AD137,2))&lt;=2,"EC",IF(OR(VALUE(LEFT(AD137,2))=8,VALUE(LEFT(AD137,2))=18),"NW","Other")),"Other")</f>
        <v>EC</v>
      </c>
      <c r="AH137" s="96" t="str">
        <f t="shared" si="4"/>
        <v>"%USERPROFILE%\Documents\GitHub\eaglep3\Utilities\RefineRTDCRunTimes.py" --tripid 220-04 --locoid 4030 --swversion DE.1.0.7.0 --startMP 204:232972 --initTime 2016-10-04T19:18:18 --startdatetime 2016-10-04T19:26:51 --delay 1 --endMP 204:165 --enddatetime 2016-10-04T20:07:11 --enforcementcount 0 &gt;&gt;C:\Users\stu\Documents\GitHub\eaglep3-reporting\EC\2016-10-04-refined-times.txt</v>
      </c>
      <c r="AI137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{"issue":{"subject":"","project_id":79,"tracker_id":40,"status_id":1,"priority_id":2,"assigned_to_id":23,"start_date":"2016-10-04","description":"","custom_fields":[{"id":1,"name":"Subdivision","value":"EC"},{"id":4,"name":"Milepost","value":"0.0165"},{"id":17,"name":"Train ID","value":"220-04"},{"id":16,"name":"Locomotive ID","value":"4030"},{"id":130,"name":"Impact","value":""},{"id":150,"name":"Time of Event (Mountain Time)","value":"20:07:11"},{"id":151,"name":"Denver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5"/>
      <c r="AK137" s="55"/>
      <c r="AL137" s="55"/>
    </row>
    <row r="138" spans="1:38" s="23" customFormat="1" x14ac:dyDescent="0.25">
      <c r="A138" s="39" t="s">
        <v>560</v>
      </c>
      <c r="B138" s="7">
        <v>4053</v>
      </c>
      <c r="C138" s="24" t="s">
        <v>106</v>
      </c>
      <c r="D138" s="24" t="s">
        <v>230</v>
      </c>
      <c r="E138" s="15">
        <v>42647.787060185183</v>
      </c>
      <c r="F138" s="15">
        <v>42647.791886574072</v>
      </c>
      <c r="G138" s="7">
        <v>1</v>
      </c>
      <c r="H138" s="15" t="s">
        <v>315</v>
      </c>
      <c r="I138" s="15">
        <v>42647.818425925929</v>
      </c>
      <c r="J138" s="7">
        <v>0</v>
      </c>
      <c r="K138" s="117" t="str">
        <f>IF(ISEVEN(B138),(B138-1)&amp;"/"&amp;B138,B138&amp;"/"&amp;(B138+1))</f>
        <v>4053/4054</v>
      </c>
      <c r="L138" s="24" t="str">
        <f>VLOOKUP(A138,'Trips&amp;Operators'!$C$1:$E$10000,3,FALSE)</f>
        <v>LEVERE</v>
      </c>
      <c r="M138" s="6">
        <f>I138-F138</f>
        <v>2.6539351856627036E-2</v>
      </c>
      <c r="N138" s="7">
        <f>24*60*SUM($M138:$M138)</f>
        <v>38.216666673542932</v>
      </c>
      <c r="O138" s="7"/>
      <c r="P138" s="7"/>
      <c r="Q138" s="25"/>
      <c r="R138" s="25"/>
      <c r="S138" s="37">
        <f>SUM(U138:U138)/IF(AG138="EC",12,1)</f>
        <v>1</v>
      </c>
      <c r="T138" s="52" t="str">
        <f>IF(ISEVEN(LEFT(AD138,4)),"Southbound","NorthBound")</f>
        <v>NorthBound</v>
      </c>
      <c r="U138" s="159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02" t="str">
        <f>"https://search-rtdc-monitor-bjffxe2xuh6vdkpspy63sjmuny.us-east-1.es.amazonaws.com/_plugin/kibana/#/discover/Steve-Slow-Train-Analysis-(2080s-and-2083s)?_g=(refreshInterval:(display:Off,section:0,value:0),time:(from:'"&amp;TEXT(E138-1/24,"yyyy-MM-DD hh:mm:ss")&amp;"-0600',mode:absolute,to:'"&amp;TEXT(I138+1/24,"yyyy-MM-DD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138&amp;"%22')),sort:!(Time,asc))"</f>
        <v>https://search-rtdc-monitor-bjffxe2xuh6vdkpspy63sjmuny.us-east-1.es.amazonaws.com/_plugin/kibana/#/discover/Steve-Slow-Train-Analysis-(2080s-and-2083s)?_g=(refreshInterval:(display:Off,section:0,value:0),time:(from:'2016-10-04 17:53:22-0600',mode:absolute,to:'2016-10-04 20:38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38" s="54" t="str">
        <f>IF(AA138&lt;IF(AG138="EC",23,5.65),"Y","N")</f>
        <v>N</v>
      </c>
      <c r="X138" s="164">
        <f>VALUE(LEFT(AD138,4))-VALUE(LEFT(AD137,4))</f>
        <v>1</v>
      </c>
      <c r="Y138" s="69">
        <f>RIGHT(D138,LEN(D138)-4)/10000</f>
        <v>4.4400000000000002E-2</v>
      </c>
      <c r="Z138" s="69">
        <f>RIGHT(H138,LEN(H138)-4)/10000</f>
        <v>23.329499999999999</v>
      </c>
      <c r="AA138" s="69">
        <f>ABS(Z138-Y138)</f>
        <v>23.2851</v>
      </c>
      <c r="AB138" s="66" t="e">
        <f>VLOOKUP(A138,Enforcements!$C$7:$K$21,8,0)</f>
        <v>#N/A</v>
      </c>
      <c r="AC138" s="62" t="e">
        <f>VLOOKUP(A138,Enforcements!$C$7:$E$21,3,0)</f>
        <v>#N/A</v>
      </c>
      <c r="AD138" s="63" t="str">
        <f>IF(LEN(A138)=6,"0"&amp;A138,A138)</f>
        <v>0221-04</v>
      </c>
      <c r="AE138" s="9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s3://rtdc.mdm.uploadarchive.raw/RTDC4053/ "%USERPROFILE%\AppData\Local\Temp\OnboardLogs"\RTDC4053\2016-10-04 --exclude "*" --recursive --include "*20161004*" &amp; "%USERPROFILE%\Documents\GitHub\mrs-test-scripts\Headless Mode &amp; Sideloading\WalkAndUnGZ.bat" "%USERPROFILE%\AppData\Local\Temp\OnboardLogs"\RTDC4053\2016-10-04 &amp; aws s3 cp s3://rtdc.mdm.uploadarchive.raw/RTDC4053/ "%USERPROFILE%\AppData\Local\Temp\OnboardLogs"\RTDC4053\2016-10-05 --exclude "*" --recursive --include "*20161005*" &amp; "%USERPROFILE%\Documents\GitHub\mrs-test-scripts\Headless Mode &amp; Sideloading\WalkAndUnGZ.bat" "%USERPROFILE%\AppData\Local\Temp\OnboardLogs"\RTDC4053\2016-10-05</v>
      </c>
      <c r="AF138" s="92" t="str">
        <f>astrogrep_path&amp;" /spath="&amp;search_path&amp;" /stypes=""app*"&amp;B138&amp;"*"&amp;TEXT(I138-utc_offset/24,"YYYYMMDD")&amp;"*"" /stext="" "&amp;TEXT(I138-utc_offset/24,"HH")&amp;search_regexp&amp;""" /e /r /s"</f>
        <v>"C:\Program Files (x86)\AstroGrep\AstroGrep.exe" /spath="%USERPROFILE%\AppData\Local\Temp\OnboardLogs" /stypes="app*4053*20161005*" /stext=" 01:.+((SYSTEM_STATE.+slice.+state.+changed )|(ment ac)|(system.+state.+changed )|(\[timeout)|(PRM\|1\|D)|(kpr)|(kdp)|(\|lc)|(penalty))" /e /r /s</v>
      </c>
      <c r="AG138" s="1" t="str">
        <f>IFERROR(IF(VALUE(LEFT(AD138,2))&lt;=2,"EC",IF(OR(VALUE(LEFT(AD138,2))=8,VALUE(LEFT(AD138,2))=18),"NW","Other")),"Other")</f>
        <v>EC</v>
      </c>
      <c r="AH138" s="96" t="str">
        <f t="shared" si="4"/>
        <v>"%USERPROFILE%\Documents\GitHub\eaglep3\Utilities\RefineRTDCRunTimes.py" --tripid 221-04 --locoid 4053 --swversion DE.1.0.7.0 --startMP 204:444 --initTime 2016-10-04T18:53:22 --startdatetime 2016-10-04T19:00:19 --delay 1 --endMP 204:233295 --enddatetime 2016-10-04T19:38:32 --enforcementcount 0 &gt;&gt;C:\Users\stu\Documents\GitHub\eaglep3-reporting\EC\2016-10-04-refined-times.txt</v>
      </c>
      <c r="AI138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{"issue":{"subject":"","project_id":79,"tracker_id":40,"status_id":1,"priority_id":2,"assigned_to_id":23,"start_date":"2016-10-04","description":"","custom_fields":[{"id":1,"name":"Subdivision","value":"EC"},{"id":4,"name":"Milepost","value":"23.3295"},{"id":17,"name":"Train ID","value":"221-04"},{"id":16,"name":"Locomotive ID","value":"4053"},{"id":130,"name":"Impact","value":""},{"id":150,"name":"Time of Event (Mountain Time)","value":"19:38:32"},{"id":151,"name":"Denver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5"/>
      <c r="AK138" s="55"/>
      <c r="AL138" s="55"/>
    </row>
    <row r="139" spans="1:38" x14ac:dyDescent="0.25">
      <c r="A139" s="39" t="s">
        <v>569</v>
      </c>
      <c r="B139" s="7">
        <v>4054</v>
      </c>
      <c r="C139" s="24" t="s">
        <v>106</v>
      </c>
      <c r="D139" s="24" t="s">
        <v>658</v>
      </c>
      <c r="E139" s="15">
        <v>42647.823055555556</v>
      </c>
      <c r="F139" s="15">
        <v>42647.830740740741</v>
      </c>
      <c r="G139" s="7">
        <v>1</v>
      </c>
      <c r="H139" s="15" t="s">
        <v>344</v>
      </c>
      <c r="I139" s="15">
        <v>42647.857939814814</v>
      </c>
      <c r="J139" s="7">
        <v>0</v>
      </c>
      <c r="K139" s="117" t="str">
        <f>IF(ISEVEN(B139),(B139-1)&amp;"/"&amp;B139,B139&amp;"/"&amp;(B139+1))</f>
        <v>4053/4054</v>
      </c>
      <c r="L139" s="24" t="str">
        <f>VLOOKUP(A139,'Trips&amp;Operators'!$C$1:$E$10000,3,FALSE)</f>
        <v>LEVERE</v>
      </c>
      <c r="M139" s="6">
        <f>I139-F139</f>
        <v>2.7199074072996154E-2</v>
      </c>
      <c r="N139" s="7">
        <f>24*60*SUM($M139:$M139)</f>
        <v>39.166666665114462</v>
      </c>
      <c r="O139" s="7"/>
      <c r="P139" s="7"/>
      <c r="Q139" s="25"/>
      <c r="R139" s="25"/>
      <c r="S139" s="37">
        <f>SUM(U139:U139)/IF(AG139="EC",12,1)</f>
        <v>1</v>
      </c>
      <c r="T139" s="52" t="str">
        <f>IF(ISEVEN(LEFT(AD139,4)),"Southbound","NorthBound")</f>
        <v>Southbound</v>
      </c>
      <c r="U139" s="159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02" t="str">
        <f>"https://search-rtdc-monitor-bjffxe2xuh6vdkpspy63sjmuny.us-east-1.es.amazonaws.com/_plugin/kibana/#/discover/Steve-Slow-Train-Analysis-(2080s-and-2083s)?_g=(refreshInterval:(display:Off,section:0,value:0),time:(from:'"&amp;TEXT(E139-1/24,"yyyy-MM-DD hh:mm:ss")&amp;"-0600',mode:absolute,to:'"&amp;TEXT(I139+1/24,"yyyy-MM-DD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139&amp;"%22')),sort:!(Time,asc))"</f>
        <v>https://search-rtdc-monitor-bjffxe2xuh6vdkpspy63sjmuny.us-east-1.es.amazonaws.com/_plugin/kibana/#/discover/Steve-Slow-Train-Analysis-(2080s-and-2083s)?_g=(refreshInterval:(display:Off,section:0,value:0),time:(from:'2016-10-04 18:45:12-0600',mode:absolute,to:'2016-10-04 21:35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39" s="54" t="str">
        <f>IF(AA139&lt;IF(AG139="EC",23,5.65),"Y","N")</f>
        <v>N</v>
      </c>
      <c r="X139" s="164">
        <f>VALUE(LEFT(AD139,4))-VALUE(LEFT(AD138,4))</f>
        <v>1</v>
      </c>
      <c r="Y139" s="69">
        <f>RIGHT(D139,LEN(D139)-4)/10000</f>
        <v>23.298100000000002</v>
      </c>
      <c r="Z139" s="69">
        <f>RIGHT(H139,LEN(H139)-4)/10000</f>
        <v>1.29E-2</v>
      </c>
      <c r="AA139" s="69">
        <f>ABS(Z139-Y139)</f>
        <v>23.285200000000003</v>
      </c>
      <c r="AB139" s="66" t="e">
        <f>VLOOKUP(A139,Enforcements!$C$7:$K$21,8,0)</f>
        <v>#N/A</v>
      </c>
      <c r="AC139" s="62" t="e">
        <f>VLOOKUP(A139,Enforcements!$C$7:$E$21,3,0)</f>
        <v>#N/A</v>
      </c>
      <c r="AD139" s="63" t="str">
        <f>IF(LEN(A139)=6,"0"&amp;A139,A139)</f>
        <v>0222-04</v>
      </c>
      <c r="AE139" s="9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s3://rtdc.mdm.uploadarchive.raw/RTDC4054/ "%USERPROFILE%\AppData\Local\Temp\OnboardLogs"\RTDC4054\2016-10-04 --exclude "*" --recursive --include "*20161004*" &amp; "%USERPROFILE%\Documents\GitHub\mrs-test-scripts\Headless Mode &amp; Sideloading\WalkAndUnGZ.bat" "%USERPROFILE%\AppData\Local\Temp\OnboardLogs"\RTDC4054\2016-10-04 &amp; aws s3 cp s3://rtdc.mdm.uploadarchive.raw/RTDC4054/ "%USERPROFILE%\AppData\Local\Temp\OnboardLogs"\RTDC4054\2016-10-05 --exclude "*" --recursive --include "*20161005*" &amp; "%USERPROFILE%\Documents\GitHub\mrs-test-scripts\Headless Mode &amp; Sideloading\WalkAndUnGZ.bat" "%USERPROFILE%\AppData\Local\Temp\OnboardLogs"\RTDC4054\2016-10-05</v>
      </c>
      <c r="AF139" s="92" t="str">
        <f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/stypes="app*4054*20161005*" /stext=" 02:.+((SYSTEM_STATE.+slice.+state.+changed )|(ment ac)|(system.+state.+changed )|(\[timeout)|(PRM\|1\|D)|(kpr)|(kdp)|(\|lc)|(penalty))" /e /r /s</v>
      </c>
      <c r="AG139" s="1" t="str">
        <f>IFERROR(IF(VALUE(LEFT(AD139,2))&lt;=2,"EC",IF(OR(VALUE(LEFT(AD139,2))=8,VALUE(LEFT(AD139,2))=18),"NW","Other")),"Other")</f>
        <v>EC</v>
      </c>
      <c r="AH139" s="96" t="str">
        <f t="shared" si="4"/>
        <v>"%USERPROFILE%\Documents\GitHub\eaglep3\Utilities\RefineRTDCRunTimes.py" --tripid 222-04 --locoid 4054 --swversion DE.1.0.7.0 --startMP 204:232981 --initTime 2016-10-04T19:45:12 --startdatetime 2016-10-04T19:56:16 --delay 1 --endMP 204:129 --enddatetime 2016-10-04T20:35:26 --enforcementcount 0 &gt;&gt;C:\Users\stu\Documents\GitHub\eaglep3-reporting\EC\2016-10-04-refined-times.txt</v>
      </c>
      <c r="AI139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{"issue":{"subject":"","project_id":79,"tracker_id":40,"status_id":1,"priority_id":2,"assigned_to_id":23,"start_date":"2016-10-04","description":"","custom_fields":[{"id":1,"name":"Subdivision","value":"EC"},{"id":4,"name":"Milepost","value":"0.0129"},{"id":17,"name":"Train ID","value":"222-04"},{"id":16,"name":"Locomotive ID","value":"4054"},{"id":130,"name":"Impact","value":""},{"id":150,"name":"Time of Event (Mountain Time)","value":"20:35:26"},{"id":151,"name":"Denver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5"/>
      <c r="AK139" s="55"/>
      <c r="AL139" s="55"/>
    </row>
    <row r="140" spans="1:38" s="23" customFormat="1" x14ac:dyDescent="0.25">
      <c r="A140" s="39" t="s">
        <v>566</v>
      </c>
      <c r="B140" s="7">
        <v>4044</v>
      </c>
      <c r="C140" s="24" t="s">
        <v>106</v>
      </c>
      <c r="D140" s="24" t="s">
        <v>659</v>
      </c>
      <c r="E140" s="15">
        <v>42647.809861111113</v>
      </c>
      <c r="F140" s="15">
        <v>42647.812974537039</v>
      </c>
      <c r="G140" s="7">
        <v>1</v>
      </c>
      <c r="H140" s="15" t="s">
        <v>263</v>
      </c>
      <c r="I140" s="15">
        <v>42647.837939814817</v>
      </c>
      <c r="J140" s="7">
        <v>0</v>
      </c>
      <c r="K140" s="117" t="str">
        <f>IF(ISEVEN(B140),(B140-1)&amp;"/"&amp;B140,B140&amp;"/"&amp;(B140+1))</f>
        <v>4043/4044</v>
      </c>
      <c r="L140" s="24" t="str">
        <f>VLOOKUP(A140,'Trips&amp;Operators'!$C$1:$E$10000,3,FALSE)</f>
        <v>COOLAHAN</v>
      </c>
      <c r="M140" s="6">
        <f>I140-F140</f>
        <v>2.4965277778392192E-2</v>
      </c>
      <c r="N140" s="7">
        <f>24*60*SUM($M140:$M140)</f>
        <v>35.950000000884756</v>
      </c>
      <c r="O140" s="7"/>
      <c r="P140" s="7"/>
      <c r="Q140" s="25"/>
      <c r="R140" s="25"/>
      <c r="S140" s="37">
        <f>SUM(U140:U140)/IF(AG140="EC",12,1)</f>
        <v>1</v>
      </c>
      <c r="T140" s="52" t="str">
        <f>IF(ISEVEN(LEFT(AD140,4)),"Southbound","NorthBound")</f>
        <v>NorthBound</v>
      </c>
      <c r="U140" s="159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02" t="str">
        <f>"https://search-rtdc-monitor-bjffxe2xuh6vdkpspy63sjmuny.us-east-1.es.amazonaws.com/_plugin/kibana/#/discover/Steve-Slow-Train-Analysis-(2080s-and-2083s)?_g=(refreshInterval:(display:Off,section:0,value:0),time:(from:'"&amp;TEXT(E140-1/24,"yyyy-MM-DD hh:mm:ss")&amp;"-0600',mode:absolute,to:'"&amp;TEXT(I140+1/24,"yyyy-MM-DD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140&amp;"%22')),sort:!(Time,asc))"</f>
        <v>https://search-rtdc-monitor-bjffxe2xuh6vdkpspy63sjmuny.us-east-1.es.amazonaws.com/_plugin/kibana/#/discover/Steve-Slow-Train-Analysis-(2080s-and-2083s)?_g=(refreshInterval:(display:Off,section:0,value:0),time:(from:'2016-10-04 18:26:12-0600',mode:absolute,to:'2016-10-04 21:06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0" s="54" t="str">
        <f>IF(AA140&lt;IF(AG140="EC",23,5.65),"Y","N")</f>
        <v>N</v>
      </c>
      <c r="X140" s="164">
        <f>VALUE(LEFT(AD140,4))-VALUE(LEFT(AD139,4))</f>
        <v>1</v>
      </c>
      <c r="Y140" s="69">
        <f>RIGHT(D140,LEN(D140)-4)/10000</f>
        <v>4.3299999999999998E-2</v>
      </c>
      <c r="Z140" s="69">
        <f>RIGHT(H140,LEN(H140)-4)/10000</f>
        <v>23.333200000000001</v>
      </c>
      <c r="AA140" s="69">
        <f>ABS(Z140-Y140)</f>
        <v>23.289900000000003</v>
      </c>
      <c r="AB140" s="66" t="e">
        <f>VLOOKUP(A140,Enforcements!$C$7:$K$21,8,0)</f>
        <v>#N/A</v>
      </c>
      <c r="AC140" s="62" t="e">
        <f>VLOOKUP(A140,Enforcements!$C$7:$E$21,3,0)</f>
        <v>#N/A</v>
      </c>
      <c r="AD140" s="63" t="str">
        <f>IF(LEN(A140)=6,"0"&amp;A140,A140)</f>
        <v>0223-04</v>
      </c>
      <c r="AE140" s="9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s3://rtdc.mdm.uploadarchive.raw/RTDC4044/ "%USERPROFILE%\AppData\Local\Temp\OnboardLogs"\RTDC4044\2016-10-04 --exclude "*" --recursive --include "*20161004*" &amp; "%USERPROFILE%\Documents\GitHub\mrs-test-scripts\Headless Mode &amp; Sideloading\WalkAndUnGZ.bat" "%USERPROFILE%\AppData\Local\Temp\OnboardLogs"\RTDC4044\2016-10-04 &amp; aws s3 cp s3://rtdc.mdm.uploadarchive.raw/RTDC4044/ "%USERPROFILE%\AppData\Local\Temp\OnboardLogs"\RTDC4044\2016-10-05 --exclude "*" --recursive --include "*20161005*" &amp; "%USERPROFILE%\Documents\GitHub\mrs-test-scripts\Headless Mode &amp; Sideloading\WalkAndUnGZ.bat" "%USERPROFILE%\AppData\Local\Temp\OnboardLogs"\RTDC4044\2016-10-05</v>
      </c>
      <c r="AF140" s="92" t="str">
        <f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/stypes="app*4044*20161005*" /stext=" 02:.+((SYSTEM_STATE.+slice.+state.+changed )|(ment ac)|(system.+state.+changed )|(\[timeout)|(PRM\|1\|D)|(kpr)|(kdp)|(\|lc)|(penalty))" /e /r /s</v>
      </c>
      <c r="AG140" s="1" t="str">
        <f>IFERROR(IF(VALUE(LEFT(AD140,2))&lt;=2,"EC",IF(OR(VALUE(LEFT(AD140,2))=8,VALUE(LEFT(AD140,2))=18),"NW","Other")),"Other")</f>
        <v>EC</v>
      </c>
      <c r="AH140" s="96" t="str">
        <f t="shared" si="4"/>
        <v>"%USERPROFILE%\Documents\GitHub\eaglep3\Utilities\RefineRTDCRunTimes.py" --tripid 223-04 --locoid 4044 --swversion DE.1.0.7.0 --startMP 204:433 --initTime 2016-10-04T19:26:12 --startdatetime 2016-10-04T19:30:41 --delay 1 --endMP 204:233332 --enddatetime 2016-10-04T20:06:38 --enforcementcount 0 &gt;&gt;C:\Users\stu\Documents\GitHub\eaglep3-reporting\EC\2016-10-04-refined-times.txt</v>
      </c>
      <c r="AI140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{"issue":{"subject":"","project_id":79,"tracker_id":40,"status_id":1,"priority_id":2,"assigned_to_id":23,"start_date":"2016-10-04","description":"","custom_fields":[{"id":1,"name":"Subdivision","value":"EC"},{"id":4,"name":"Milepost","value":"23.3332"},{"id":17,"name":"Train ID","value":"223-04"},{"id":16,"name":"Locomotive ID","value":"4044"},{"id":130,"name":"Impact","value":""},{"id":150,"name":"Time of Event (Mountain Time)","value":"20:06:38"},{"id":151,"name":"Denver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5"/>
      <c r="AK140" s="55"/>
      <c r="AL140" s="55"/>
    </row>
    <row r="141" spans="1:38" x14ac:dyDescent="0.25">
      <c r="A141" s="39" t="s">
        <v>572</v>
      </c>
      <c r="B141" s="7">
        <v>4043</v>
      </c>
      <c r="C141" s="24" t="s">
        <v>106</v>
      </c>
      <c r="D141" s="24" t="s">
        <v>262</v>
      </c>
      <c r="E141" s="15">
        <v>42647.846284722225</v>
      </c>
      <c r="F141" s="15">
        <v>42647.851620370369</v>
      </c>
      <c r="G141" s="7">
        <v>1</v>
      </c>
      <c r="H141" s="15" t="s">
        <v>660</v>
      </c>
      <c r="I141" s="15">
        <v>42647.878750000003</v>
      </c>
      <c r="J141" s="7">
        <v>0</v>
      </c>
      <c r="K141" s="117" t="str">
        <f>IF(ISEVEN(B141),(B141-1)&amp;"/"&amp;B141,B141&amp;"/"&amp;(B141+1))</f>
        <v>4043/4044</v>
      </c>
      <c r="L141" s="24" t="str">
        <f>VLOOKUP(A141,'Trips&amp;Operators'!$C$1:$E$10000,3,FALSE)</f>
        <v>COOLAHAN</v>
      </c>
      <c r="M141" s="6">
        <f>I141-F141</f>
        <v>2.7129629634146113E-2</v>
      </c>
      <c r="N141" s="7">
        <f>24*60*SUM($M141:$M141)</f>
        <v>39.066666673170403</v>
      </c>
      <c r="O141" s="7"/>
      <c r="P141" s="7"/>
      <c r="Q141" s="25"/>
      <c r="R141" s="25"/>
      <c r="S141" s="37">
        <f>SUM(U141:U141)/IF(AG141="EC",12,1)</f>
        <v>1</v>
      </c>
      <c r="T141" s="52" t="str">
        <f>IF(ISEVEN(LEFT(AD141,4)),"Southbound","NorthBound")</f>
        <v>Southbound</v>
      </c>
      <c r="U141" s="159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02" t="str">
        <f>"https://search-rtdc-monitor-bjffxe2xuh6vdkpspy63sjmuny.us-east-1.es.amazonaws.com/_plugin/kibana/#/discover/Steve-Slow-Train-Analysis-(2080s-and-2083s)?_g=(refreshInterval:(display:Off,section:0,value:0),time:(from:'"&amp;TEXT(E141-1/24,"yyyy-MM-DD hh:mm:ss")&amp;"-0600',mode:absolute,to:'"&amp;TEXT(I141+1/24,"yyyy-MM-DD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https://search-rtdc-monitor-bjffxe2xuh6vdkpspy63sjmuny.us-east-1.es.amazonaws.com/_plugin/kibana/#/discover/Steve-Slow-Train-Analysis-(2080s-and-2083s)?_g=(refreshInterval:(display:Off,section:0,value:0),time:(from:'2016-10-04 19:18:39-0600',mode:absolute,to:'2016-10-04 22:05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1" s="54" t="str">
        <f>IF(AA141&lt;IF(AG141="EC",23,5.65),"Y","N")</f>
        <v>N</v>
      </c>
      <c r="X141" s="164">
        <f>VALUE(LEFT(AD141,4))-VALUE(LEFT(AD140,4))</f>
        <v>1</v>
      </c>
      <c r="Y141" s="69">
        <f>RIGHT(D141,LEN(D141)-4)/10000</f>
        <v>23.3004</v>
      </c>
      <c r="Z141" s="69">
        <f>RIGHT(H141,LEN(H141)-4)/10000</f>
        <v>1.18E-2</v>
      </c>
      <c r="AA141" s="69">
        <f>ABS(Z141-Y141)</f>
        <v>23.288599999999999</v>
      </c>
      <c r="AB141" s="66" t="str">
        <f>VLOOKUP(A141,Enforcements!$C$7:$K$21,8,0)</f>
        <v>Bulletin (2)</v>
      </c>
      <c r="AC141" s="62" t="str">
        <f>VLOOKUP(A141,Enforcements!$C$7:$E$21,3,0)</f>
        <v>GRADE CROSSING</v>
      </c>
      <c r="AD141" s="63" t="str">
        <f>IF(LEN(A141)=6,"0"&amp;A141,A141)</f>
        <v>0224-04</v>
      </c>
      <c r="AE141" s="9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s3://rtdc.mdm.uploadarchive.raw/RTDC4043/ "%USERPROFILE%\AppData\Local\Temp\OnboardLogs"\RTDC4043\2016-10-04 --exclude "*" --recursive --include "*20161004*" &amp; "%USERPROFILE%\Documents\GitHub\mrs-test-scripts\Headless Mode &amp; Sideloading\WalkAndUnGZ.bat" "%USERPROFILE%\AppData\Local\Temp\OnboardLogs"\RTDC4043\2016-10-04 &amp; aws s3 cp s3://rtdc.mdm.uploadarchive.raw/RTDC4043/ "%USERPROFILE%\AppData\Local\Temp\OnboardLogs"\RTDC4043\2016-10-05 --exclude "*" --recursive --include "*20161005*" &amp; "%USERPROFILE%\Documents\GitHub\mrs-test-scripts\Headless Mode &amp; Sideloading\WalkAndUnGZ.bat" "%USERPROFILE%\AppData\Local\Temp\OnboardLogs"\RTDC4043\2016-10-05</v>
      </c>
      <c r="AF141" s="92" t="str">
        <f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/stypes="app*4043*20161005*" /stext=" 03:.+((SYSTEM_STATE.+slice.+state.+changed )|(ment ac)|(system.+state.+changed )|(\[timeout)|(PRM\|1\|D)|(kpr)|(kdp)|(\|lc)|(penalty))" /e /r /s</v>
      </c>
      <c r="AG141" s="1" t="str">
        <f>IFERROR(IF(VALUE(LEFT(AD141,2))&lt;=2,"EC",IF(OR(VALUE(LEFT(AD141,2))=8,VALUE(LEFT(AD141,2))=18),"NW","Other")),"Other")</f>
        <v>EC</v>
      </c>
      <c r="AH141" s="96" t="str">
        <f t="shared" si="4"/>
        <v>"%USERPROFILE%\Documents\GitHub\eaglep3\Utilities\RefineRTDCRunTimes.py" --tripid 224-04 --locoid 4043 --swversion DE.1.0.7.0 --startMP 204:233004 --initTime 2016-10-04T20:18:39 --startdatetime 2016-10-04T20:26:20 --delay 1 --endMP 204:118 --enddatetime 2016-10-04T21:05:24 --enforcementcount 0 &gt;&gt;C:\Users\stu\Documents\GitHub\eaglep3-reporting\EC\2016-10-04-refined-times.txt</v>
      </c>
      <c r="AI141" s="130" t="str">
        <f t="shared" si="5"/>
        <v>echo {"issue":{"subject":"","project_id":79,"tracker_id":40,"status_id":1,"priority_id":2,"assigned_to_id":23,"start_date":"2016-10-04","description":"","custom_fields":[{"id":1,"name":"Subdivision","value":"EC"},{"id":4,"name":"Milepost","value":"0.0118"},{"id":17,"name":"Train ID","value":"224-04"},{"id":16,"name":"Locomotive ID","value":"4043"},{"id":130,"name":"Impact","value":""},{"id":150,"name":"Time of Event (Mountain Time)","value":"21:05:24"},{"id":151,"name":"Denver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5"/>
      <c r="AK141" s="55"/>
      <c r="AL141" s="55"/>
    </row>
    <row r="142" spans="1:38" s="23" customFormat="1" x14ac:dyDescent="0.25">
      <c r="A142" s="39" t="s">
        <v>570</v>
      </c>
      <c r="B142" s="7">
        <v>4042</v>
      </c>
      <c r="C142" s="24" t="s">
        <v>106</v>
      </c>
      <c r="D142" s="24" t="s">
        <v>202</v>
      </c>
      <c r="E142" s="15">
        <v>42647.832106481481</v>
      </c>
      <c r="F142" s="15">
        <v>42647.833611111113</v>
      </c>
      <c r="G142" s="7">
        <v>1</v>
      </c>
      <c r="H142" s="15" t="s">
        <v>315</v>
      </c>
      <c r="I142" s="15">
        <v>42647.860173611109</v>
      </c>
      <c r="J142" s="7">
        <v>0</v>
      </c>
      <c r="K142" s="117" t="str">
        <f>IF(ISEVEN(B142),(B142-1)&amp;"/"&amp;B142,B142&amp;"/"&amp;(B142+1))</f>
        <v>4041/4042</v>
      </c>
      <c r="L142" s="24" t="str">
        <f>VLOOKUP(A142,'Trips&amp;Operators'!$C$1:$E$10000,3,FALSE)</f>
        <v>YANAI</v>
      </c>
      <c r="M142" s="6">
        <f>I142-F142</f>
        <v>2.6562499995634425E-2</v>
      </c>
      <c r="N142" s="7">
        <f>24*60*SUM($M142:$M142)</f>
        <v>38.249999993713573</v>
      </c>
      <c r="O142" s="7"/>
      <c r="P142" s="7"/>
      <c r="Q142" s="25"/>
      <c r="R142" s="25"/>
      <c r="S142" s="37">
        <f>SUM(U142:U142)/IF(AG142="EC",12,1)</f>
        <v>1</v>
      </c>
      <c r="T142" s="52" t="str">
        <f>IF(ISEVEN(LEFT(AD142,4)),"Southbound","NorthBound")</f>
        <v>NorthBound</v>
      </c>
      <c r="U142" s="159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02" t="str">
        <f>"https://search-rtdc-monitor-bjffxe2xuh6vdkpspy63sjmuny.us-east-1.es.amazonaws.com/_plugin/kibana/#/discover/Steve-Slow-Train-Analysis-(2080s-and-2083s)?_g=(refreshInterval:(display:Off,section:0,value:0),time:(from:'"&amp;TEXT(E142-1/24,"yyyy-MM-DD hh:mm:ss")&amp;"-0600',mode:absolute,to:'"&amp;TEXT(I142+1/24,"yyyy-MM-DD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142&amp;"%22')),sort:!(Time,asc))"</f>
        <v>https://search-rtdc-monitor-bjffxe2xuh6vdkpspy63sjmuny.us-east-1.es.amazonaws.com/_plugin/kibana/#/discover/Steve-Slow-Train-Analysis-(2080s-and-2083s)?_g=(refreshInterval:(display:Off,section:0,value:0),time:(from:'2016-10-04 18:58:14-0600',mode:absolute,to:'2016-10-04 21:38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2" s="54" t="str">
        <f>IF(AA142&lt;IF(AG142="EC",23,5.65),"Y","N")</f>
        <v>N</v>
      </c>
      <c r="X142" s="164">
        <f>VALUE(LEFT(AD142,4))-VALUE(LEFT(AD141,4))</f>
        <v>1</v>
      </c>
      <c r="Y142" s="69">
        <f>RIGHT(D142,LEN(D142)-4)/10000</f>
        <v>4.5100000000000001E-2</v>
      </c>
      <c r="Z142" s="69">
        <f>RIGHT(H142,LEN(H142)-4)/10000</f>
        <v>23.329499999999999</v>
      </c>
      <c r="AA142" s="69">
        <f>ABS(Z142-Y142)</f>
        <v>23.284399999999998</v>
      </c>
      <c r="AB142" s="66" t="e">
        <f>VLOOKUP(A142,Enforcements!$C$7:$K$21,8,0)</f>
        <v>#N/A</v>
      </c>
      <c r="AC142" s="62" t="e">
        <f>VLOOKUP(A142,Enforcements!$C$7:$E$21,3,0)</f>
        <v>#N/A</v>
      </c>
      <c r="AD142" s="63" t="str">
        <f>IF(LEN(A142)=6,"0"&amp;A142,A142)</f>
        <v>0225-04</v>
      </c>
      <c r="AE142" s="9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s3://rtdc.mdm.uploadarchive.raw/RTDC4042/ "%USERPROFILE%\AppData\Local\Temp\OnboardLogs"\RTDC4042\2016-10-04 --exclude "*" --recursive --include "*20161004*" &amp; "%USERPROFILE%\Documents\GitHub\mrs-test-scripts\Headless Mode &amp; Sideloading\WalkAndUnGZ.bat" "%USERPROFILE%\AppData\Local\Temp\OnboardLogs"\RTDC4042\2016-10-04 &amp; aws s3 cp s3://rtdc.mdm.uploadarchive.raw/RTDC4042/ "%USERPROFILE%\AppData\Local\Temp\OnboardLogs"\RTDC4042\2016-10-05 --exclude "*" --recursive --include "*20161005*" &amp; "%USERPROFILE%\Documents\GitHub\mrs-test-scripts\Headless Mode &amp; Sideloading\WalkAndUnGZ.bat" "%USERPROFILE%\AppData\Local\Temp\OnboardLogs"\RTDC4042\2016-10-05</v>
      </c>
      <c r="AF142" s="92" t="str">
        <f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/stypes="app*4042*20161005*" /stext=" 02:.+((SYSTEM_STATE.+slice.+state.+changed )|(ment ac)|(system.+state.+changed )|(\[timeout)|(PRM\|1\|D)|(kpr)|(kdp)|(\|lc)|(penalty))" /e /r /s</v>
      </c>
      <c r="AG142" s="1" t="str">
        <f>IFERROR(IF(VALUE(LEFT(AD142,2))&lt;=2,"EC",IF(OR(VALUE(LEFT(AD142,2))=8,VALUE(LEFT(AD142,2))=18),"NW","Other")),"Other")</f>
        <v>EC</v>
      </c>
      <c r="AH142" s="96" t="str">
        <f t="shared" ref="AH142:AH203" si="6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225-04 --locoid 4042 --swversion DE.1.0.7.0 --startMP 204:451 --initTime 2016-10-04T19:58:14 --startdatetime 2016-10-04T20:00:24 --delay 1 --endMP 204:233295 --enddatetime 2016-10-04T20:38:39 --enforcementcount 0 &gt;&gt;C:\Users\stu\Documents\GitHub\eaglep3-reporting\EC\2016-10-04-refined-times.txt</v>
      </c>
      <c r="AI142" s="130" t="str">
        <f t="shared" ref="AI142:AI203" si="7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{"issue":{"subject":"","project_id":79,"tracker_id":40,"status_id":1,"priority_id":2,"assigned_to_id":23,"start_date":"2016-10-04","description":"","custom_fields":[{"id":1,"name":"Subdivision","value":"EC"},{"id":4,"name":"Milepost","value":"23.3295"},{"id":17,"name":"Train ID","value":"225-04"},{"id":16,"name":"Locomotive ID","value":"4042"},{"id":130,"name":"Impact","value":""},{"id":150,"name":"Time of Event (Mountain Time)","value":"20:38:39"},{"id":151,"name":"Denver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5"/>
      <c r="AK142" s="55"/>
      <c r="AL142" s="55"/>
    </row>
    <row r="143" spans="1:38" x14ac:dyDescent="0.25">
      <c r="A143" s="39" t="s">
        <v>576</v>
      </c>
      <c r="B143" s="7">
        <v>4041</v>
      </c>
      <c r="C143" s="24" t="s">
        <v>106</v>
      </c>
      <c r="D143" s="24" t="s">
        <v>234</v>
      </c>
      <c r="E143" s="15">
        <v>42647.869699074072</v>
      </c>
      <c r="F143" s="15">
        <v>42647.872395833336</v>
      </c>
      <c r="G143" s="7">
        <v>1</v>
      </c>
      <c r="H143" s="15" t="s">
        <v>287</v>
      </c>
      <c r="I143" s="15">
        <v>42647.900289351855</v>
      </c>
      <c r="J143" s="7">
        <v>0</v>
      </c>
      <c r="K143" s="117" t="str">
        <f>IF(ISEVEN(B143),(B143-1)&amp;"/"&amp;B143,B143&amp;"/"&amp;(B143+1))</f>
        <v>4041/4042</v>
      </c>
      <c r="L143" s="24" t="str">
        <f>VLOOKUP(A143,'Trips&amp;Operators'!$C$1:$E$10000,3,FALSE)</f>
        <v>YANAI</v>
      </c>
      <c r="M143" s="6">
        <f>I143-F143</f>
        <v>2.789351851970423E-2</v>
      </c>
      <c r="N143" s="7">
        <f>24*60*SUM($M143:$M143)</f>
        <v>40.166666668374091</v>
      </c>
      <c r="O143" s="7"/>
      <c r="P143" s="7"/>
      <c r="Q143" s="25"/>
      <c r="R143" s="25"/>
      <c r="S143" s="37">
        <f>SUM(U143:U143)/IF(AG143="EC",12,1)</f>
        <v>1</v>
      </c>
      <c r="T143" s="52" t="str">
        <f>IF(ISEVEN(LEFT(AD143,4)),"Southbound","NorthBound")</f>
        <v>Southbound</v>
      </c>
      <c r="U143" s="159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02" t="str">
        <f>"https://search-rtdc-monitor-bjffxe2xuh6vdkpspy63sjmuny.us-east-1.es.amazonaws.com/_plugin/kibana/#/discover/Steve-Slow-Train-Analysis-(2080s-and-2083s)?_g=(refreshInterval:(display:Off,section:0,value:0),time:(from:'"&amp;TEXT(E143-1/24,"yyyy-MM-DD hh:mm:ss")&amp;"-0600',mode:absolute,to:'"&amp;TEXT(I143+1/24,"yyyy-MM-DD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143&amp;"%22')),sort:!(Time,asc))"</f>
        <v>https://search-rtdc-monitor-bjffxe2xuh6vdkpspy63sjmuny.us-east-1.es.amazonaws.com/_plugin/kibana/#/discover/Steve-Slow-Train-Analysis-(2080s-and-2083s)?_g=(refreshInterval:(display:Off,section:0,value:0),time:(from:'2016-10-04 19:52:22-0600',mode:absolute,to:'2016-10-04 22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3" s="54" t="str">
        <f>IF(AA143&lt;IF(AG143="EC",23,5.65),"Y","N")</f>
        <v>N</v>
      </c>
      <c r="X143" s="164">
        <f>VALUE(LEFT(AD143,4))-VALUE(LEFT(AD142,4))</f>
        <v>1</v>
      </c>
      <c r="Y143" s="69">
        <f>RIGHT(D143,LEN(D143)-4)/10000</f>
        <v>23.298300000000001</v>
      </c>
      <c r="Z143" s="69">
        <f>RIGHT(H143,LEN(H143)-4)/10000</f>
        <v>1.6299999999999999E-2</v>
      </c>
      <c r="AA143" s="69">
        <f>ABS(Z143-Y143)</f>
        <v>23.282</v>
      </c>
      <c r="AB143" s="66" t="e">
        <f>VLOOKUP(A143,Enforcements!$C$7:$K$21,8,0)</f>
        <v>#N/A</v>
      </c>
      <c r="AC143" s="62" t="e">
        <f>VLOOKUP(A143,Enforcements!$C$7:$E$21,3,0)</f>
        <v>#N/A</v>
      </c>
      <c r="AD143" s="63" t="str">
        <f>IF(LEN(A143)=6,"0"&amp;A143,A143)</f>
        <v>0226-04</v>
      </c>
      <c r="AE143" s="9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s3://rtdc.mdm.uploadarchive.raw/RTDC4041/ "%USERPROFILE%\AppData\Local\Temp\OnboardLogs"\RTDC4041\2016-10-04 --exclude "*" --recursive --include "*20161004*" &amp; "%USERPROFILE%\Documents\GitHub\mrs-test-scripts\Headless Mode &amp; Sideloading\WalkAndUnGZ.bat" "%USERPROFILE%\AppData\Local\Temp\OnboardLogs"\RTDC4041\2016-10-04 &amp; aws s3 cp s3://rtdc.mdm.uploadarchive.raw/RTDC4041/ "%USERPROFILE%\AppData\Local\Temp\OnboardLogs"\RTDC4041\2016-10-05 --exclude "*" --recursive --include "*20161005*" &amp; "%USERPROFILE%\Documents\GitHub\mrs-test-scripts\Headless Mode &amp; Sideloading\WalkAndUnGZ.bat" "%USERPROFILE%\AppData\Local\Temp\OnboardLogs"\RTDC4041\2016-10-05</v>
      </c>
      <c r="AF143" s="92" t="str">
        <f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/stypes="app*4041*20161005*" /stext=" 03:.+((SYSTEM_STATE.+slice.+state.+changed )|(ment ac)|(system.+state.+changed )|(\[timeout)|(PRM\|1\|D)|(kpr)|(kdp)|(\|lc)|(penalty))" /e /r /s</v>
      </c>
      <c r="AG143" s="1" t="str">
        <f>IFERROR(IF(VALUE(LEFT(AD143,2))&lt;=2,"EC",IF(OR(VALUE(LEFT(AD143,2))=8,VALUE(LEFT(AD143,2))=18),"NW","Other")),"Other")</f>
        <v>EC</v>
      </c>
      <c r="AH143" s="96" t="str">
        <f t="shared" si="6"/>
        <v>"%USERPROFILE%\Documents\GitHub\eaglep3\Utilities\RefineRTDCRunTimes.py" --tripid 226-04 --locoid 4041 --swversion DE.1.0.7.0 --startMP 204:232983 --initTime 2016-10-04T20:52:22 --startdatetime 2016-10-04T20:56:15 --delay 1 --endMP 204:163 --enddatetime 2016-10-04T21:36:25 --enforcementcount 0 &gt;&gt;C:\Users\stu\Documents\GitHub\eaglep3-reporting\EC\2016-10-04-refined-times.txt</v>
      </c>
      <c r="AI143" s="130" t="str">
        <f t="shared" si="7"/>
        <v>echo {"issue":{"subject":"","project_id":79,"tracker_id":40,"status_id":1,"priority_id":2,"assigned_to_id":23,"start_date":"2016-10-04","description":"","custom_fields":[{"id":1,"name":"Subdivision","value":"EC"},{"id":4,"name":"Milepost","value":"0.0163"},{"id":17,"name":"Train ID","value":"226-04"},{"id":16,"name":"Locomotive ID","value":"4041"},{"id":130,"name":"Impact","value":""},{"id":150,"name":"Time of Event (Mountain Time)","value":"21:36:25"},{"id":151,"name":"Denver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5"/>
      <c r="AK143" s="55"/>
      <c r="AL143" s="55"/>
    </row>
    <row r="144" spans="1:38" x14ac:dyDescent="0.25">
      <c r="A144" s="39" t="s">
        <v>573</v>
      </c>
      <c r="B144" s="7">
        <v>4029</v>
      </c>
      <c r="C144" s="24" t="s">
        <v>106</v>
      </c>
      <c r="D144" s="24" t="s">
        <v>303</v>
      </c>
      <c r="E144" s="15">
        <v>42647.852835648147</v>
      </c>
      <c r="F144" s="15">
        <v>42647.854409722226</v>
      </c>
      <c r="G144" s="7">
        <v>1</v>
      </c>
      <c r="H144" s="15" t="s">
        <v>232</v>
      </c>
      <c r="I144" s="15">
        <v>42647.880439814813</v>
      </c>
      <c r="J144" s="7">
        <v>0</v>
      </c>
      <c r="K144" s="117" t="str">
        <f>IF(ISEVEN(B144),(B144-1)&amp;"/"&amp;B144,B144&amp;"/"&amp;(B144+1))</f>
        <v>4029/4030</v>
      </c>
      <c r="L144" s="24" t="str">
        <f>VLOOKUP(A144,'Trips&amp;Operators'!$C$1:$E$10000,3,FALSE)</f>
        <v>CHANDLER</v>
      </c>
      <c r="M144" s="6">
        <f>I144-F144</f>
        <v>2.6030092587461695E-2</v>
      </c>
      <c r="N144" s="7">
        <f>24*60*SUM($M144:$M144)</f>
        <v>37.483333325944841</v>
      </c>
      <c r="O144" s="7"/>
      <c r="P144" s="7"/>
      <c r="Q144" s="25"/>
      <c r="R144" s="25"/>
      <c r="S144" s="37">
        <f>SUM(U144:U144)/IF(AG144="EC",12,1)</f>
        <v>1</v>
      </c>
      <c r="T144" s="52" t="str">
        <f>IF(ISEVEN(LEFT(AD144,4)),"Southbound","NorthBound")</f>
        <v>NorthBound</v>
      </c>
      <c r="U144" s="159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02" t="str">
        <f>"https://search-rtdc-monitor-bjffxe2xuh6vdkpspy63sjmuny.us-east-1.es.amazonaws.com/_plugin/kibana/#/discover/Steve-Slow-Train-Analysis-(2080s-and-2083s)?_g=(refreshInterval:(display:Off,section:0,value:0),time:(from:'"&amp;TEXT(E144-1/24,"yyyy-MM-DD hh:mm:ss")&amp;"-0600',mode:absolute,to:'"&amp;TEXT(I144+1/24,"yyyy-MM-DD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144&amp;"%22')),sort:!(Time,asc))"</f>
        <v>https://search-rtdc-monitor-bjffxe2xuh6vdkpspy63sjmuny.us-east-1.es.amazonaws.com/_plugin/kibana/#/discover/Steve-Slow-Train-Analysis-(2080s-and-2083s)?_g=(refreshInterval:(display:Off,section:0,value:0),time:(from:'2016-10-04 19:28:05-0600',mode:absolute,to:'2016-10-04 22:07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4" s="54" t="str">
        <f>IF(AA144&lt;IF(AG144="EC",23,5.65),"Y","N")</f>
        <v>N</v>
      </c>
      <c r="X144" s="164">
        <f>VALUE(LEFT(AD144,4))-VALUE(LEFT(AD143,4))</f>
        <v>1</v>
      </c>
      <c r="Y144" s="69">
        <f>RIGHT(D144,LEN(D144)-4)/10000</f>
        <v>4.6899999999999997E-2</v>
      </c>
      <c r="Z144" s="69">
        <f>RIGHT(H144,LEN(H144)-4)/10000</f>
        <v>23.3293</v>
      </c>
      <c r="AA144" s="69">
        <f>ABS(Z144-Y144)</f>
        <v>23.282399999999999</v>
      </c>
      <c r="AB144" s="66" t="e">
        <f>VLOOKUP(A144,Enforcements!$C$7:$K$21,8,0)</f>
        <v>#N/A</v>
      </c>
      <c r="AC144" s="62" t="e">
        <f>VLOOKUP(A144,Enforcements!$C$7:$E$21,3,0)</f>
        <v>#N/A</v>
      </c>
      <c r="AD144" s="63" t="str">
        <f>IF(LEN(A144)=6,"0"&amp;A144,A144)</f>
        <v>0227-04</v>
      </c>
      <c r="AE144" s="9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s3://rtdc.mdm.uploadarchive.raw/RTDC4029/ "%USERPROFILE%\AppData\Local\Temp\OnboardLogs"\RTDC4029\2016-10-04 --exclude "*" --recursive --include "*20161004*" &amp; "%USERPROFILE%\Documents\GitHub\mrs-test-scripts\Headless Mode &amp; Sideloading\WalkAndUnGZ.bat" "%USERPROFILE%\AppData\Local\Temp\OnboardLogs"\RTDC4029\2016-10-04 &amp; aws s3 cp s3://rtdc.mdm.uploadarchive.raw/RTDC4029/ "%USERPROFILE%\AppData\Local\Temp\OnboardLogs"\RTDC4029\2016-10-05 --exclude "*" --recursive --include "*20161005*" &amp; "%USERPROFILE%\Documents\GitHub\mrs-test-scripts\Headless Mode &amp; Sideloading\WalkAndUnGZ.bat" "%USERPROFILE%\AppData\Local\Temp\OnboardLogs"\RTDC4029\2016-10-05</v>
      </c>
      <c r="AF144" s="92" t="str">
        <f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/stypes="app*4029*20161005*" /stext=" 03:.+((SYSTEM_STATE.+slice.+state.+changed )|(ment ac)|(system.+state.+changed )|(\[timeout)|(PRM\|1\|D)|(kpr)|(kdp)|(\|lc)|(penalty))" /e /r /s</v>
      </c>
      <c r="AG144" s="1" t="str">
        <f>IFERROR(IF(VALUE(LEFT(AD144,2))&lt;=2,"EC",IF(OR(VALUE(LEFT(AD144,2))=8,VALUE(LEFT(AD144,2))=18),"NW","Other")),"Other")</f>
        <v>EC</v>
      </c>
      <c r="AH144" s="96" t="str">
        <f t="shared" si="6"/>
        <v>"%USERPROFILE%\Documents\GitHub\eaglep3\Utilities\RefineRTDCRunTimes.py" --tripid 227-04 --locoid 4029 --swversion DE.1.0.7.0 --startMP 204:469 --initTime 2016-10-04T20:28:05 --startdatetime 2016-10-04T20:30:21 --delay 1 --endMP 204:233293 --enddatetime 2016-10-04T21:07:50 --enforcementcount 0 &gt;&gt;C:\Users\stu\Documents\GitHub\eaglep3-reporting\EC\2016-10-04-refined-times.txt</v>
      </c>
      <c r="AI144" s="130" t="str">
        <f t="shared" si="7"/>
        <v>echo {"issue":{"subject":"","project_id":79,"tracker_id":40,"status_id":1,"priority_id":2,"assigned_to_id":23,"start_date":"2016-10-04","description":"","custom_fields":[{"id":1,"name":"Subdivision","value":"EC"},{"id":4,"name":"Milepost","value":"23.3293"},{"id":17,"name":"Train ID","value":"227-04"},{"id":16,"name":"Locomotive ID","value":"4029"},{"id":130,"name":"Impact","value":""},{"id":150,"name":"Time of Event (Mountain Time)","value":"21:07:50"},{"id":151,"name":"Denver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5"/>
      <c r="AK144" s="55"/>
      <c r="AL144" s="55"/>
    </row>
    <row r="145" spans="1:38" x14ac:dyDescent="0.25">
      <c r="A145" s="39" t="s">
        <v>578</v>
      </c>
      <c r="B145" s="7">
        <v>4030</v>
      </c>
      <c r="C145" s="24" t="s">
        <v>106</v>
      </c>
      <c r="D145" s="24" t="s">
        <v>658</v>
      </c>
      <c r="E145" s="15">
        <v>42647.892812500002</v>
      </c>
      <c r="F145" s="15">
        <v>42647.893923611111</v>
      </c>
      <c r="G145" s="7">
        <v>1</v>
      </c>
      <c r="H145" s="15" t="s">
        <v>280</v>
      </c>
      <c r="I145" s="15">
        <v>42647.920844907407</v>
      </c>
      <c r="J145" s="7">
        <v>0</v>
      </c>
      <c r="K145" s="117" t="str">
        <f>IF(ISEVEN(B145),(B145-1)&amp;"/"&amp;B145,B145&amp;"/"&amp;(B145+1))</f>
        <v>4029/4030</v>
      </c>
      <c r="L145" s="24" t="str">
        <f>VLOOKUP(A145,'Trips&amp;Operators'!$C$1:$E$10000,3,FALSE)</f>
        <v>CHANDLER</v>
      </c>
      <c r="M145" s="6">
        <f>I145-F145</f>
        <v>2.6921296295768116E-2</v>
      </c>
      <c r="N145" s="7">
        <f>24*60*SUM($M145:$M145)</f>
        <v>38.766666665906087</v>
      </c>
      <c r="O145" s="7"/>
      <c r="P145" s="7"/>
      <c r="Q145" s="25"/>
      <c r="R145" s="25"/>
      <c r="S145" s="37">
        <f>SUM(U145:U145)/IF(AG145="EC",12,1)</f>
        <v>1</v>
      </c>
      <c r="T145" s="52" t="str">
        <f>IF(ISEVEN(LEFT(AD145,4)),"Southbound","NorthBound")</f>
        <v>Southbound</v>
      </c>
      <c r="U145" s="159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02" t="str">
        <f>"https://search-rtdc-monitor-bjffxe2xuh6vdkpspy63sjmuny.us-east-1.es.amazonaws.com/_plugin/kibana/#/discover/Steve-Slow-Train-Analysis-(2080s-and-2083s)?_g=(refreshInterval:(display:Off,section:0,value:0),time:(from:'"&amp;TEXT(E145-1/24,"yyyy-MM-DD hh:mm:ss")&amp;"-0600',mode:absolute,to:'"&amp;TEXT(I145+1/24,"yyyy-MM-DD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145&amp;"%22')),sort:!(Time,asc))"</f>
        <v>https://search-rtdc-monitor-bjffxe2xuh6vdkpspy63sjmuny.us-east-1.es.amazonaws.com/_plugin/kibana/#/discover/Steve-Slow-Train-Analysis-(2080s-and-2083s)?_g=(refreshInterval:(display:Off,section:0,value:0),time:(from:'2016-10-04 20:25:39-0600',mode:absolute,to:'2016-10-04 23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5" s="54" t="str">
        <f>IF(AA145&lt;IF(AG145="EC",23,5.65),"Y","N")</f>
        <v>N</v>
      </c>
      <c r="X145" s="164">
        <f>VALUE(LEFT(AD145,4))-VALUE(LEFT(AD144,4))</f>
        <v>1</v>
      </c>
      <c r="Y145" s="69">
        <f>RIGHT(D145,LEN(D145)-4)/10000</f>
        <v>23.298100000000002</v>
      </c>
      <c r="Z145" s="69">
        <f>RIGHT(H145,LEN(H145)-4)/10000</f>
        <v>1.72E-2</v>
      </c>
      <c r="AA145" s="69">
        <f>ABS(Z145-Y145)</f>
        <v>23.280900000000003</v>
      </c>
      <c r="AB145" s="66" t="e">
        <f>VLOOKUP(A145,Enforcements!$C$7:$K$21,8,0)</f>
        <v>#N/A</v>
      </c>
      <c r="AC145" s="62" t="e">
        <f>VLOOKUP(A145,Enforcements!$C$7:$E$21,3,0)</f>
        <v>#N/A</v>
      </c>
      <c r="AD145" s="63" t="str">
        <f>IF(LEN(A145)=6,"0"&amp;A145,A145)</f>
        <v>0228-04</v>
      </c>
      <c r="AE145" s="9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s3://rtdc.mdm.uploadarchive.raw/RTDC4030/ "%USERPROFILE%\AppData\Local\Temp\OnboardLogs"\RTDC4030\2016-10-04 --exclude "*" --recursive --include "*20161004*" &amp; "%USERPROFILE%\Documents\GitHub\mrs-test-scripts\Headless Mode &amp; Sideloading\WalkAndUnGZ.bat" "%USERPROFILE%\AppData\Local\Temp\OnboardLogs"\RTDC4030\2016-10-04 &amp; aws s3 cp s3://rtdc.mdm.uploadarchive.raw/RTDC4030/ "%USERPROFILE%\AppData\Local\Temp\OnboardLogs"\RTDC4030\2016-10-05 --exclude "*" --recursive --include "*20161005*" &amp; "%USERPROFILE%\Documents\GitHub\mrs-test-scripts\Headless Mode &amp; Sideloading\WalkAndUnGZ.bat" "%USERPROFILE%\AppData\Local\Temp\OnboardLogs"\RTDC4030\2016-10-05</v>
      </c>
      <c r="AF145" s="92" t="str">
        <f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/stypes="app*4030*20161005*" /stext=" 04:.+((SYSTEM_STATE.+slice.+state.+changed )|(ment ac)|(system.+state.+changed )|(\[timeout)|(PRM\|1\|D)|(kpr)|(kdp)|(\|lc)|(penalty))" /e /r /s</v>
      </c>
      <c r="AG145" s="1" t="str">
        <f>IFERROR(IF(VALUE(LEFT(AD145,2))&lt;=2,"EC",IF(OR(VALUE(LEFT(AD145,2))=8,VALUE(LEFT(AD145,2))=18),"NW","Other")),"Other")</f>
        <v>EC</v>
      </c>
      <c r="AH145" s="96" t="str">
        <f t="shared" si="6"/>
        <v>"%USERPROFILE%\Documents\GitHub\eaglep3\Utilities\RefineRTDCRunTimes.py" --tripid 228-04 --locoid 4030 --swversion DE.1.0.7.0 --startMP 204:232981 --initTime 2016-10-04T21:25:39 --startdatetime 2016-10-04T21:27:15 --delay 1 --endMP 204:172 --enddatetime 2016-10-04T22:06:01 --enforcementcount 0 &gt;&gt;C:\Users\stu\Documents\GitHub\eaglep3-reporting\EC\2016-10-04-refined-times.txt</v>
      </c>
      <c r="AI145" s="130" t="str">
        <f t="shared" si="7"/>
        <v>echo {"issue":{"subject":"","project_id":79,"tracker_id":40,"status_id":1,"priority_id":2,"assigned_to_id":23,"start_date":"2016-10-04","description":"","custom_fields":[{"id":1,"name":"Subdivision","value":"EC"},{"id":4,"name":"Milepost","value":"0.0172"},{"id":17,"name":"Train ID","value":"228-04"},{"id":16,"name":"Locomotive ID","value":"4030"},{"id":130,"name":"Impact","value":""},{"id":150,"name":"Time of Event (Mountain Time)","value":"22:06:01"},{"id":151,"name":"Denver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5"/>
      <c r="AK145" s="55"/>
      <c r="AL145" s="55"/>
    </row>
    <row r="146" spans="1:38" x14ac:dyDescent="0.25">
      <c r="A146" s="39" t="s">
        <v>575</v>
      </c>
      <c r="B146" s="7">
        <v>4053</v>
      </c>
      <c r="C146" s="24" t="s">
        <v>106</v>
      </c>
      <c r="D146" s="24" t="s">
        <v>256</v>
      </c>
      <c r="E146" s="15">
        <v>42647.869143518517</v>
      </c>
      <c r="F146" s="15">
        <v>42647.875277777777</v>
      </c>
      <c r="G146" s="7">
        <v>1</v>
      </c>
      <c r="H146" s="15" t="s">
        <v>278</v>
      </c>
      <c r="I146" s="15">
        <v>42647.900613425925</v>
      </c>
      <c r="J146" s="7">
        <v>0</v>
      </c>
      <c r="K146" s="117" t="str">
        <f>IF(ISEVEN(B146),(B146-1)&amp;"/"&amp;B146,B146&amp;"/"&amp;(B146+1))</f>
        <v>4053/4054</v>
      </c>
      <c r="L146" s="24" t="str">
        <f>VLOOKUP(A146,'Trips&amp;Operators'!$C$1:$E$10000,3,FALSE)</f>
        <v>LEVERE</v>
      </c>
      <c r="M146" s="6">
        <f>I146-F146</f>
        <v>2.5335648148029577E-2</v>
      </c>
      <c r="N146" s="7">
        <f>24*60*SUM($M146:$M146)</f>
        <v>36.483333333162591</v>
      </c>
      <c r="O146" s="7"/>
      <c r="P146" s="7"/>
      <c r="Q146" s="25"/>
      <c r="R146" s="25"/>
      <c r="S146" s="37">
        <f>SUM(U146:U146)/IF(AG146="EC",12,1)</f>
        <v>1</v>
      </c>
      <c r="T146" s="52" t="str">
        <f>IF(ISEVEN(LEFT(AD146,4)),"Southbound","NorthBound")</f>
        <v>NorthBound</v>
      </c>
      <c r="U146" s="159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02" t="str">
        <f>"https://search-rtdc-monitor-bjffxe2xuh6vdkpspy63sjmuny.us-east-1.es.amazonaws.com/_plugin/kibana/#/discover/Steve-Slow-Train-Analysis-(2080s-and-2083s)?_g=(refreshInterval:(display:Off,section:0,value:0),time:(from:'"&amp;TEXT(E146-1/24,"yyyy-MM-DD hh:mm:ss")&amp;"-0600',mode:absolute,to:'"&amp;TEXT(I146+1/24,"yyyy-MM-DD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146&amp;"%22')),sort:!(Time,asc))"</f>
        <v>https://search-rtdc-monitor-bjffxe2xuh6vdkpspy63sjmuny.us-east-1.es.amazonaws.com/_plugin/kibana/#/discover/Steve-Slow-Train-Analysis-(2080s-and-2083s)?_g=(refreshInterval:(display:Off,section:0,value:0),time:(from:'2016-10-04 19:51:34-0600',mode:absolute,to:'2016-10-04 22:36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46" s="54" t="str">
        <f>IF(AA146&lt;IF(AG146="EC",23,5.65),"Y","N")</f>
        <v>N</v>
      </c>
      <c r="X146" s="164">
        <f>VALUE(LEFT(AD146,4))-VALUE(LEFT(AD145,4))</f>
        <v>1</v>
      </c>
      <c r="Y146" s="69">
        <f>RIGHT(D146,LEN(D146)-4)/10000</f>
        <v>4.4900000000000002E-2</v>
      </c>
      <c r="Z146" s="69">
        <f>RIGHT(H146,LEN(H146)-4)/10000</f>
        <v>23.330200000000001</v>
      </c>
      <c r="AA146" s="69">
        <f>ABS(Z146-Y146)</f>
        <v>23.285300000000003</v>
      </c>
      <c r="AB146" s="66" t="e">
        <f>VLOOKUP(A146,Enforcements!$C$7:$K$21,8,0)</f>
        <v>#N/A</v>
      </c>
      <c r="AC146" s="62" t="e">
        <f>VLOOKUP(A146,Enforcements!$C$7:$E$21,3,0)</f>
        <v>#N/A</v>
      </c>
      <c r="AD146" s="63" t="str">
        <f>IF(LEN(A146)=6,"0"&amp;A146,A146)</f>
        <v>0229-04</v>
      </c>
      <c r="AE146" s="9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s3://rtdc.mdm.uploadarchive.raw/RTDC4053/ "%USERPROFILE%\AppData\Local\Temp\OnboardLogs"\RTDC4053\2016-10-04 --exclude "*" --recursive --include "*20161004*" &amp; "%USERPROFILE%\Documents\GitHub\mrs-test-scripts\Headless Mode &amp; Sideloading\WalkAndUnGZ.bat" "%USERPROFILE%\AppData\Local\Temp\OnboardLogs"\RTDC4053\2016-10-04 &amp; aws s3 cp s3://rtdc.mdm.uploadarchive.raw/RTDC4053/ "%USERPROFILE%\AppData\Local\Temp\OnboardLogs"\RTDC4053\2016-10-05 --exclude "*" --recursive --include "*20161005*" &amp; "%USERPROFILE%\Documents\GitHub\mrs-test-scripts\Headless Mode &amp; Sideloading\WalkAndUnGZ.bat" "%USERPROFILE%\AppData\Local\Temp\OnboardLogs"\RTDC4053\2016-10-05</v>
      </c>
      <c r="AF146" s="92" t="str">
        <f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/stypes="app*4053*20161005*" /stext=" 03:.+((SYSTEM_STATE.+slice.+state.+changed )|(ment ac)|(system.+state.+changed )|(\[timeout)|(PRM\|1\|D)|(kpr)|(kdp)|(\|lc)|(penalty))" /e /r /s</v>
      </c>
      <c r="AG146" s="1" t="str">
        <f>IFERROR(IF(VALUE(LEFT(AD146,2))&lt;=2,"EC",IF(OR(VALUE(LEFT(AD146,2))=8,VALUE(LEFT(AD146,2))=18),"NW","Other")),"Other")</f>
        <v>EC</v>
      </c>
      <c r="AH146" s="96" t="str">
        <f t="shared" si="6"/>
        <v>"%USERPROFILE%\Documents\GitHub\eaglep3\Utilities\RefineRTDCRunTimes.py" --tripid 229-04 --locoid 4053 --swversion DE.1.0.7.0 --startMP 204:449 --initTime 2016-10-04T20:51:34 --startdatetime 2016-10-04T21:00:24 --delay 1 --endMP 204:233302 --enddatetime 2016-10-04T21:36:53 --enforcementcount 0 &gt;&gt;C:\Users\stu\Documents\GitHub\eaglep3-reporting\EC\2016-10-04-refined-times.txt</v>
      </c>
      <c r="AI146" s="130" t="str">
        <f t="shared" si="7"/>
        <v>echo {"issue":{"subject":"","project_id":79,"tracker_id":40,"status_id":1,"priority_id":2,"assigned_to_id":23,"start_date":"2016-10-04","description":"","custom_fields":[{"id":1,"name":"Subdivision","value":"EC"},{"id":4,"name":"Milepost","value":"23.3302"},{"id":17,"name":"Train ID","value":"229-04"},{"id":16,"name":"Locomotive ID","value":"4053"},{"id":130,"name":"Impact","value":""},{"id":150,"name":"Time of Event (Mountain Time)","value":"21:36:53"},{"id":151,"name":"Denver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5"/>
      <c r="AK146" s="55"/>
      <c r="AL146" s="55"/>
    </row>
    <row r="147" spans="1:38" s="23" customFormat="1" x14ac:dyDescent="0.25">
      <c r="A147" s="39" t="s">
        <v>581</v>
      </c>
      <c r="B147" s="7">
        <v>4054</v>
      </c>
      <c r="C147" s="24" t="s">
        <v>106</v>
      </c>
      <c r="D147" s="24" t="s">
        <v>297</v>
      </c>
      <c r="E147" s="15">
        <v>42647.908206018517</v>
      </c>
      <c r="F147" s="15">
        <v>42647.914525462962</v>
      </c>
      <c r="G147" s="7">
        <v>1</v>
      </c>
      <c r="H147" s="15" t="s">
        <v>213</v>
      </c>
      <c r="I147" s="15">
        <v>42647.94195601852</v>
      </c>
      <c r="J147" s="7">
        <v>0</v>
      </c>
      <c r="K147" s="117" t="str">
        <f>IF(ISEVEN(B147),(B147-1)&amp;"/"&amp;B147,B147&amp;"/"&amp;(B147+1))</f>
        <v>4053/4054</v>
      </c>
      <c r="L147" s="24" t="str">
        <f>VLOOKUP(A147,'Trips&amp;Operators'!$C$1:$E$10000,3,FALSE)</f>
        <v>LEVERE</v>
      </c>
      <c r="M147" s="6">
        <f>I147-F147</f>
        <v>2.7430555557657499E-2</v>
      </c>
      <c r="N147" s="7">
        <f>24*60*SUM($M147:$M147)</f>
        <v>39.500000003026798</v>
      </c>
      <c r="O147" s="7"/>
      <c r="P147" s="7"/>
      <c r="Q147" s="25"/>
      <c r="R147" s="25"/>
      <c r="S147" s="37">
        <f>SUM(U147:U147)/IF(AG147="EC",12,1)</f>
        <v>1</v>
      </c>
      <c r="T147" s="52" t="str">
        <f>IF(ISEVEN(LEFT(AD147,4)),"Southbound","NorthBound")</f>
        <v>Southbound</v>
      </c>
      <c r="U147" s="159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02" t="str">
        <f>"https://search-rtdc-monitor-bjffxe2xuh6vdkpspy63sjmuny.us-east-1.es.amazonaws.com/_plugin/kibana/#/discover/Steve-Slow-Train-Analysis-(2080s-and-2083s)?_g=(refreshInterval:(display:Off,section:0,value:0),time:(from:'"&amp;TEXT(E147-1/24,"yyyy-MM-DD hh:mm:ss")&amp;"-0600',mode:absolute,to:'"&amp;TEXT(I147+1/24,"yyyy-MM-DD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147&amp;"%22')),sort:!(Time,asc))"</f>
        <v>https://search-rtdc-monitor-bjffxe2xuh6vdkpspy63sjmuny.us-east-1.es.amazonaws.com/_plugin/kibana/#/discover/Steve-Slow-Train-Analysis-(2080s-and-2083s)?_g=(refreshInterval:(display:Off,section:0,value:0),time:(from:'2016-10-04 20:47:49-0600',mode:absolute,to:'2016-10-04 23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47" s="54" t="str">
        <f>IF(AA147&lt;IF(AG147="EC",23,5.65),"Y","N")</f>
        <v>N</v>
      </c>
      <c r="X147" s="164">
        <f>VALUE(LEFT(AD147,4))-VALUE(LEFT(AD146,4))</f>
        <v>1</v>
      </c>
      <c r="Y147" s="69">
        <f>RIGHT(D147,LEN(D147)-4)/10000</f>
        <v>23.299800000000001</v>
      </c>
      <c r="Z147" s="69">
        <f>RIGHT(H147,LEN(H147)-4)/10000</f>
        <v>1.4500000000000001E-2</v>
      </c>
      <c r="AA147" s="69">
        <f>ABS(Z147-Y147)</f>
        <v>23.285299999999999</v>
      </c>
      <c r="AB147" s="66" t="e">
        <f>VLOOKUP(A147,Enforcements!$C$7:$K$21,8,0)</f>
        <v>#N/A</v>
      </c>
      <c r="AC147" s="62" t="e">
        <f>VLOOKUP(A147,Enforcements!$C$7:$E$21,3,0)</f>
        <v>#N/A</v>
      </c>
      <c r="AD147" s="63" t="str">
        <f>IF(LEN(A147)=6,"0"&amp;A147,A147)</f>
        <v>0230-04</v>
      </c>
      <c r="AE147" s="9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s3://rtdc.mdm.uploadarchive.raw/RTDC4054/ "%USERPROFILE%\AppData\Local\Temp\OnboardLogs"\RTDC4054\2016-10-04 --exclude "*" --recursive --include "*20161004*" &amp; "%USERPROFILE%\Documents\GitHub\mrs-test-scripts\Headless Mode &amp; Sideloading\WalkAndUnGZ.bat" "%USERPROFILE%\AppData\Local\Temp\OnboardLogs"\RTDC4054\2016-10-04 &amp; aws s3 cp s3://rtdc.mdm.uploadarchive.raw/RTDC4054/ "%USERPROFILE%\AppData\Local\Temp\OnboardLogs"\RTDC4054\2016-10-05 --exclude "*" --recursive --include "*20161005*" &amp; "%USERPROFILE%\Documents\GitHub\mrs-test-scripts\Headless Mode &amp; Sideloading\WalkAndUnGZ.bat" "%USERPROFILE%\AppData\Local\Temp\OnboardLogs"\RTDC4054\2016-10-05</v>
      </c>
      <c r="AF147" s="92" t="str">
        <f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/stypes="app*4054*20161005*" /stext=" 04:.+((SYSTEM_STATE.+slice.+state.+changed )|(ment ac)|(system.+state.+changed )|(\[timeout)|(PRM\|1\|D)|(kpr)|(kdp)|(\|lc)|(penalty))" /e /r /s</v>
      </c>
      <c r="AG147" s="1" t="str">
        <f>IFERROR(IF(VALUE(LEFT(AD147,2))&lt;=2,"EC",IF(OR(VALUE(LEFT(AD147,2))=8,VALUE(LEFT(AD147,2))=18),"NW","Other")),"Other")</f>
        <v>EC</v>
      </c>
      <c r="AH147" s="96" t="str">
        <f t="shared" si="6"/>
        <v>"%USERPROFILE%\Documents\GitHub\eaglep3\Utilities\RefineRTDCRunTimes.py" --tripid 230-04 --locoid 4054 --swversion DE.1.0.7.0 --startMP 204:232998 --initTime 2016-10-04T21:47:49 --startdatetime 2016-10-04T21:56:55 --delay 1 --endMP 204:145 --enddatetime 2016-10-04T22:36:25 --enforcementcount 0 &gt;&gt;C:\Users\stu\Documents\GitHub\eaglep3-reporting\EC\2016-10-04-refined-times.txt</v>
      </c>
      <c r="AI147" s="130" t="str">
        <f t="shared" si="7"/>
        <v>echo {"issue":{"subject":"","project_id":79,"tracker_id":40,"status_id":1,"priority_id":2,"assigned_to_id":23,"start_date":"2016-10-04","description":"","custom_fields":[{"id":1,"name":"Subdivision","value":"EC"},{"id":4,"name":"Milepost","value":"0.0145"},{"id":17,"name":"Train ID","value":"230-04"},{"id":16,"name":"Locomotive ID","value":"4054"},{"id":130,"name":"Impact","value":""},{"id":150,"name":"Time of Event (Mountain Time)","value":"22:36:25"},{"id":151,"name":"Denver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5"/>
      <c r="AK147" s="55"/>
      <c r="AL147" s="55"/>
    </row>
    <row r="148" spans="1:38" x14ac:dyDescent="0.25">
      <c r="A148" s="39" t="s">
        <v>579</v>
      </c>
      <c r="B148" s="7">
        <v>4044</v>
      </c>
      <c r="C148" s="24" t="s">
        <v>106</v>
      </c>
      <c r="D148" s="24" t="s">
        <v>661</v>
      </c>
      <c r="E148" s="15">
        <v>42647.893020833333</v>
      </c>
      <c r="F148" s="15">
        <v>42647.896087962959</v>
      </c>
      <c r="G148" s="7">
        <v>1</v>
      </c>
      <c r="H148" s="15" t="s">
        <v>657</v>
      </c>
      <c r="I148" s="15">
        <v>42647.920844907407</v>
      </c>
      <c r="J148" s="7">
        <v>0</v>
      </c>
      <c r="K148" s="117" t="str">
        <f>IF(ISEVEN(B148),(B148-1)&amp;"/"&amp;B148,B148&amp;"/"&amp;(B148+1))</f>
        <v>4043/4044</v>
      </c>
      <c r="L148" s="24" t="str">
        <f>VLOOKUP(A148,'Trips&amp;Operators'!$C$1:$E$10000,3,FALSE)</f>
        <v>COOLAHAN</v>
      </c>
      <c r="M148" s="6">
        <f>I148-F148</f>
        <v>2.4756944447290152E-2</v>
      </c>
      <c r="N148" s="7">
        <f>24*60*SUM($M148:$M148)</f>
        <v>35.650000004097819</v>
      </c>
      <c r="O148" s="7"/>
      <c r="P148" s="7"/>
      <c r="Q148" s="25"/>
      <c r="R148" s="25"/>
      <c r="S148" s="37">
        <f>SUM(U148:U148)/IF(AG148="EC",12,1)</f>
        <v>1</v>
      </c>
      <c r="T148" s="52" t="str">
        <f>IF(ISEVEN(LEFT(AD148,4)),"Southbound","NorthBound")</f>
        <v>NorthBound</v>
      </c>
      <c r="U148" s="159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02" t="str">
        <f>"https://search-rtdc-monitor-bjffxe2xuh6vdkpspy63sjmuny.us-east-1.es.amazonaws.com/_plugin/kibana/#/discover/Steve-Slow-Train-Analysis-(2080s-and-2083s)?_g=(refreshInterval:(display:Off,section:0,value:0),time:(from:'"&amp;TEXT(E148-1/24,"yyyy-MM-DD hh:mm:ss")&amp;"-0600',mode:absolute,to:'"&amp;TEXT(I148+1/24,"yyyy-MM-DD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148&amp;"%22')),sort:!(Time,asc))"</f>
        <v>https://search-rtdc-monitor-bjffxe2xuh6vdkpspy63sjmuny.us-east-1.es.amazonaws.com/_plugin/kibana/#/discover/Steve-Slow-Train-Analysis-(2080s-and-2083s)?_g=(refreshInterval:(display:Off,section:0,value:0),time:(from:'2016-10-04 20:25:57-0600',mode:absolute,to:'2016-10-04 23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8" s="54" t="str">
        <f>IF(AA148&lt;IF(AG148="EC",23,5.65),"Y","N")</f>
        <v>N</v>
      </c>
      <c r="X148" s="164">
        <f>VALUE(LEFT(AD148,4))-VALUE(LEFT(AD147,4))</f>
        <v>1</v>
      </c>
      <c r="Y148" s="69">
        <f>RIGHT(D148,LEN(D148)-4)/10000</f>
        <v>4.2200000000000001E-2</v>
      </c>
      <c r="Z148" s="69">
        <f>RIGHT(H148,LEN(H148)-4)/10000</f>
        <v>23.327999999999999</v>
      </c>
      <c r="AA148" s="69">
        <f>ABS(Z148-Y148)</f>
        <v>23.285799999999998</v>
      </c>
      <c r="AB148" s="66" t="e">
        <f>VLOOKUP(A148,Enforcements!$C$7:$K$21,8,0)</f>
        <v>#N/A</v>
      </c>
      <c r="AC148" s="62" t="e">
        <f>VLOOKUP(A148,Enforcements!$C$7:$E$21,3,0)</f>
        <v>#N/A</v>
      </c>
      <c r="AD148" s="63" t="str">
        <f>IF(LEN(A148)=6,"0"&amp;A148,A148)</f>
        <v>0231-04</v>
      </c>
      <c r="AE148" s="9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s3://rtdc.mdm.uploadarchive.raw/RTDC4044/ "%USERPROFILE%\AppData\Local\Temp\OnboardLogs"\RTDC4044\2016-10-04 --exclude "*" --recursive --include "*20161004*" &amp; "%USERPROFILE%\Documents\GitHub\mrs-test-scripts\Headless Mode &amp; Sideloading\WalkAndUnGZ.bat" "%USERPROFILE%\AppData\Local\Temp\OnboardLogs"\RTDC4044\2016-10-04 &amp; aws s3 cp s3://rtdc.mdm.uploadarchive.raw/RTDC4044/ "%USERPROFILE%\AppData\Local\Temp\OnboardLogs"\RTDC4044\2016-10-05 --exclude "*" --recursive --include "*20161005*" &amp; "%USERPROFILE%\Documents\GitHub\mrs-test-scripts\Headless Mode &amp; Sideloading\WalkAndUnGZ.bat" "%USERPROFILE%\AppData\Local\Temp\OnboardLogs"\RTDC4044\2016-10-05</v>
      </c>
      <c r="AF148" s="92" t="str">
        <f>astrogrep_path&amp;" /spath="&amp;search_path&amp;" /stypes=""app*"&amp;B148&amp;"*"&amp;TEXT(I148-utc_offset/24,"YYYYMMDD")&amp;"*"" /stext="" "&amp;TEXT(I148-utc_offset/24,"HH")&amp;search_regexp&amp;""" /e /r /s"</f>
        <v>"C:\Program Files (x86)\AstroGrep\AstroGrep.exe" /spath="%USERPROFILE%\AppData\Local\Temp\OnboardLogs" /stypes="app*4044*20161005*" /stext=" 04:.+((SYSTEM_STATE.+slice.+state.+changed )|(ment ac)|(system.+state.+changed )|(\[timeout)|(PRM\|1\|D)|(kpr)|(kdp)|(\|lc)|(penalty))" /e /r /s</v>
      </c>
      <c r="AG148" s="1" t="str">
        <f>IFERROR(IF(VALUE(LEFT(AD148,2))&lt;=2,"EC",IF(OR(VALUE(LEFT(AD148,2))=8,VALUE(LEFT(AD148,2))=18),"NW","Other")),"Other")</f>
        <v>EC</v>
      </c>
      <c r="AH148" s="96" t="str">
        <f t="shared" si="6"/>
        <v>"%USERPROFILE%\Documents\GitHub\eaglep3\Utilities\RefineRTDCRunTimes.py" --tripid 231-04 --locoid 4044 --swversion DE.1.0.7.0 --startMP 204:422 --initTime 2016-10-04T21:25:57 --startdatetime 2016-10-04T21:30:22 --delay 1 --endMP 204:233280 --enddatetime 2016-10-04T22:06:01 --enforcementcount 0 &gt;&gt;C:\Users\stu\Documents\GitHub\eaglep3-reporting\EC\2016-10-04-refined-times.txt</v>
      </c>
      <c r="AI148" s="130" t="str">
        <f t="shared" si="7"/>
        <v>echo {"issue":{"subject":"","project_id":79,"tracker_id":40,"status_id":1,"priority_id":2,"assigned_to_id":23,"start_date":"2016-10-04","description":"","custom_fields":[{"id":1,"name":"Subdivision","value":"EC"},{"id":4,"name":"Milepost","value":"23.328"},{"id":17,"name":"Train ID","value":"231-04"},{"id":16,"name":"Locomotive ID","value":"4044"},{"id":130,"name":"Impact","value":""},{"id":150,"name":"Time of Event (Mountain Time)","value":"22:06:01"},{"id":151,"name":"Denver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5"/>
      <c r="AK148" s="55"/>
      <c r="AL148" s="55"/>
    </row>
    <row r="149" spans="1:38" x14ac:dyDescent="0.25">
      <c r="A149" s="39" t="s">
        <v>584</v>
      </c>
      <c r="B149" s="7">
        <v>4043</v>
      </c>
      <c r="C149" s="24" t="s">
        <v>106</v>
      </c>
      <c r="D149" s="24" t="s">
        <v>304</v>
      </c>
      <c r="E149" s="15">
        <v>42647.931423611109</v>
      </c>
      <c r="F149" s="15">
        <v>42647.935208333336</v>
      </c>
      <c r="G149" s="7">
        <v>1</v>
      </c>
      <c r="H149" s="15" t="s">
        <v>662</v>
      </c>
      <c r="I149" s="15">
        <v>42647.965787037036</v>
      </c>
      <c r="J149" s="7">
        <v>0</v>
      </c>
      <c r="K149" s="117" t="str">
        <f>IF(ISEVEN(B149),(B149-1)&amp;"/"&amp;B149,B149&amp;"/"&amp;(B149+1))</f>
        <v>4043/4044</v>
      </c>
      <c r="L149" s="24" t="str">
        <f>VLOOKUP(A149,'Trips&amp;Operators'!$C$1:$E$10000,3,FALSE)</f>
        <v>COOLAHAN</v>
      </c>
      <c r="M149" s="6">
        <f>I149-F149</f>
        <v>3.0578703699575271E-2</v>
      </c>
      <c r="N149" s="7">
        <f>24*60*SUM($M149:$M149)</f>
        <v>44.033333327388391</v>
      </c>
      <c r="O149" s="7"/>
      <c r="P149" s="7"/>
      <c r="Q149" s="25"/>
      <c r="R149" s="25"/>
      <c r="S149" s="37">
        <f>SUM(U149:U149)/IF(AG149="EC",12,1)</f>
        <v>1</v>
      </c>
      <c r="T149" s="52" t="str">
        <f>IF(ISEVEN(LEFT(AD149,4)),"Southbound","NorthBound")</f>
        <v>Southbound</v>
      </c>
      <c r="U149" s="159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02" t="str">
        <f>"https://search-rtdc-monitor-bjffxe2xuh6vdkpspy63sjmuny.us-east-1.es.amazonaws.com/_plugin/kibana/#/discover/Steve-Slow-Train-Analysis-(2080s-and-2083s)?_g=(refreshInterval:(display:Off,section:0,value:0),time:(from:'"&amp;TEXT(E149-1/24,"yyyy-MM-DD hh:mm:ss")&amp;"-0600',mode:absolute,to:'"&amp;TEXT(I149+1/24,"yyyy-MM-DD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149&amp;"%22')),sort:!(Time,asc))"</f>
        <v>https://search-rtdc-monitor-bjffxe2xuh6vdkpspy63sjmuny.us-east-1.es.amazonaws.com/_plugin/kibana/#/discover/Steve-Slow-Train-Analysis-(2080s-and-2083s)?_g=(refreshInterval:(display:Off,section:0,value:0),time:(from:'2016-10-04 21:21:15-0600',mode:absolute,to:'2016-10-05 00:10:44-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9" s="54" t="str">
        <f>IF(AA149&lt;IF(AG149="EC",23,5.65),"Y","N")</f>
        <v>N</v>
      </c>
      <c r="X149" s="164">
        <f>VALUE(LEFT(AD149,4))-VALUE(LEFT(AD148,4))</f>
        <v>1</v>
      </c>
      <c r="Y149" s="69">
        <f>RIGHT(D149,LEN(D149)-4)/10000</f>
        <v>23.296399999999998</v>
      </c>
      <c r="Z149" s="69">
        <f>RIGHT(H149,LEN(H149)-4)/10000</f>
        <v>1.34E-2</v>
      </c>
      <c r="AA149" s="69">
        <f>ABS(Z149-Y149)</f>
        <v>23.282999999999998</v>
      </c>
      <c r="AB149" s="66" t="e">
        <f>VLOOKUP(A149,Enforcements!$C$7:$K$21,8,0)</f>
        <v>#N/A</v>
      </c>
      <c r="AC149" s="62" t="e">
        <f>VLOOKUP(A149,Enforcements!$C$7:$E$21,3,0)</f>
        <v>#N/A</v>
      </c>
      <c r="AD149" s="63" t="str">
        <f>IF(LEN(A149)=6,"0"&amp;A149,A149)</f>
        <v>0232-04</v>
      </c>
      <c r="AE149" s="9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s3://rtdc.mdm.uploadarchive.raw/RTDC4043/ "%USERPROFILE%\AppData\Local\Temp\OnboardLogs"\RTDC4043\2016-10-04 --exclude "*" --recursive --include "*20161004*" &amp; "%USERPROFILE%\Documents\GitHub\mrs-test-scripts\Headless Mode &amp; Sideloading\WalkAndUnGZ.bat" "%USERPROFILE%\AppData\Local\Temp\OnboardLogs"\RTDC4043\2016-10-04 &amp; aws s3 cp s3://rtdc.mdm.uploadarchive.raw/RTDC4043/ "%USERPROFILE%\AppData\Local\Temp\OnboardLogs"\RTDC4043\2016-10-05 --exclude "*" --recursive --include "*20161005*" &amp; "%USERPROFILE%\Documents\GitHub\mrs-test-scripts\Headless Mode &amp; Sideloading\WalkAndUnGZ.bat" "%USERPROFILE%\AppData\Local\Temp\OnboardLogs"\RTDC4043\2016-10-05</v>
      </c>
      <c r="AF149" s="92" t="str">
        <f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/stypes="app*4043*20161005*" /stext=" 05:.+((SYSTEM_STATE.+slice.+state.+changed )|(ment ac)|(system.+state.+changed )|(\[timeout)|(PRM\|1\|D)|(kpr)|(kdp)|(\|lc)|(penalty))" /e /r /s</v>
      </c>
      <c r="AG149" s="1" t="str">
        <f>IFERROR(IF(VALUE(LEFT(AD149,2))&lt;=2,"EC",IF(OR(VALUE(LEFT(AD149,2))=8,VALUE(LEFT(AD149,2))=18),"NW","Other")),"Other")</f>
        <v>EC</v>
      </c>
      <c r="AH149" s="96" t="str">
        <f t="shared" si="6"/>
        <v>"%USERPROFILE%\Documents\GitHub\eaglep3\Utilities\RefineRTDCRunTimes.py" --tripid 232-04 --locoid 4043 --swversion DE.1.0.7.0 --startMP 204:232964 --initTime 2016-10-04T22:21:15 --startdatetime 2016-10-04T22:26:42 --delay 1 --endMP 204:134 --enddatetime 2016-10-04T23:10:44 --enforcementcount 0 &gt;&gt;C:\Users\stu\Documents\GitHub\eaglep3-reporting\EC\2016-10-04-refined-times.txt</v>
      </c>
      <c r="AI149" s="130" t="str">
        <f t="shared" si="7"/>
        <v>echo {"issue":{"subject":"","project_id":79,"tracker_id":40,"status_id":1,"priority_id":2,"assigned_to_id":23,"start_date":"2016-10-04","description":"","custom_fields":[{"id":1,"name":"Subdivision","value":"EC"},{"id":4,"name":"Milepost","value":"0.0134"},{"id":17,"name":"Train ID","value":"232-04"},{"id":16,"name":"Locomotive ID","value":"4043"},{"id":130,"name":"Impact","value":""},{"id":150,"name":"Time of Event (Mountain Time)","value":"23:10:44"},{"id":151,"name":"Denver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5"/>
      <c r="AK149" s="55"/>
      <c r="AL149" s="55"/>
    </row>
    <row r="150" spans="1:38" x14ac:dyDescent="0.25">
      <c r="A150" s="39" t="s">
        <v>582</v>
      </c>
      <c r="B150" s="7">
        <v>4042</v>
      </c>
      <c r="C150" s="24" t="s">
        <v>106</v>
      </c>
      <c r="D150" s="24" t="s">
        <v>207</v>
      </c>
      <c r="E150" s="15">
        <v>42647.913668981484</v>
      </c>
      <c r="F150" s="15">
        <v>42647.916851851849</v>
      </c>
      <c r="G150" s="7">
        <v>1</v>
      </c>
      <c r="H150" s="15" t="s">
        <v>321</v>
      </c>
      <c r="I150" s="15">
        <v>42647.941030092596</v>
      </c>
      <c r="J150" s="7">
        <v>0</v>
      </c>
      <c r="K150" s="117" t="str">
        <f>IF(ISEVEN(B150),(B150-1)&amp;"/"&amp;B150,B150&amp;"/"&amp;(B150+1))</f>
        <v>4041/4042</v>
      </c>
      <c r="L150" s="24" t="str">
        <f>VLOOKUP(A150,'Trips&amp;Operators'!$C$1:$E$10000,3,FALSE)</f>
        <v>YANAI</v>
      </c>
      <c r="M150" s="6">
        <f>I150-F150</f>
        <v>2.4178240746550728E-2</v>
      </c>
      <c r="N150" s="7">
        <f>24*60*SUM($M150:$M150)</f>
        <v>34.816666675033048</v>
      </c>
      <c r="O150" s="7"/>
      <c r="P150" s="7"/>
      <c r="Q150" s="25"/>
      <c r="R150" s="25"/>
      <c r="S150" s="37">
        <f>SUM(U150:U150)/IF(AG150="EC",12,1)</f>
        <v>1</v>
      </c>
      <c r="T150" s="52" t="str">
        <f>IF(ISEVEN(LEFT(AD150,4)),"Southbound","NorthBound")</f>
        <v>NorthBound</v>
      </c>
      <c r="U150" s="159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02" t="str">
        <f>"https://search-rtdc-monitor-bjffxe2xuh6vdkpspy63sjmuny.us-east-1.es.amazonaws.com/_plugin/kibana/#/discover/Steve-Slow-Train-Analysis-(2080s-and-2083s)?_g=(refreshInterval:(display:Off,section:0,value:0),time:(from:'"&amp;TEXT(E150-1/24,"yyyy-MM-DD hh:mm:ss")&amp;"-0600',mode:absolute,to:'"&amp;TEXT(I150+1/24,"yyyy-MM-DD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150&amp;"%22')),sort:!(Time,asc))"</f>
        <v>https://search-rtdc-monitor-bjffxe2xuh6vdkpspy63sjmuny.us-east-1.es.amazonaws.com/_plugin/kibana/#/discover/Steve-Slow-Train-Analysis-(2080s-and-2083s)?_g=(refreshInterval:(display:Off,section:0,value:0),time:(from:'2016-10-04 20:55:41-0600',mode:absolute,to:'2016-10-04 23:35:05-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0" s="54" t="str">
        <f>IF(AA150&lt;IF(AG150="EC",23,5.65),"Y","N")</f>
        <v>N</v>
      </c>
      <c r="X150" s="164">
        <f>VALUE(LEFT(AD150,4))-VALUE(LEFT(AD149,4))</f>
        <v>1</v>
      </c>
      <c r="Y150" s="69">
        <f>RIGHT(D150,LEN(D150)-4)/10000</f>
        <v>4.6199999999999998E-2</v>
      </c>
      <c r="Z150" s="69">
        <f>RIGHT(H150,LEN(H150)-4)/10000</f>
        <v>23.331600000000002</v>
      </c>
      <c r="AA150" s="69">
        <f>ABS(Z150-Y150)</f>
        <v>23.285400000000003</v>
      </c>
      <c r="AB150" s="66" t="e">
        <f>VLOOKUP(A150,Enforcements!$C$7:$K$21,8,0)</f>
        <v>#N/A</v>
      </c>
      <c r="AC150" s="62" t="e">
        <f>VLOOKUP(A150,Enforcements!$C$7:$E$21,3,0)</f>
        <v>#N/A</v>
      </c>
      <c r="AD150" s="63" t="str">
        <f>IF(LEN(A150)=6,"0"&amp;A150,A150)</f>
        <v>0233-04</v>
      </c>
      <c r="AE150" s="9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s3://rtdc.mdm.uploadarchive.raw/RTDC4042/ "%USERPROFILE%\AppData\Local\Temp\OnboardLogs"\RTDC4042\2016-10-04 --exclude "*" --recursive --include "*20161004*" &amp; "%USERPROFILE%\Documents\GitHub\mrs-test-scripts\Headless Mode &amp; Sideloading\WalkAndUnGZ.bat" "%USERPROFILE%\AppData\Local\Temp\OnboardLogs"\RTDC4042\2016-10-04 &amp; aws s3 cp s3://rtdc.mdm.uploadarchive.raw/RTDC4042/ "%USERPROFILE%\AppData\Local\Temp\OnboardLogs"\RTDC4042\2016-10-05 --exclude "*" --recursive --include "*20161005*" &amp; "%USERPROFILE%\Documents\GitHub\mrs-test-scripts\Headless Mode &amp; Sideloading\WalkAndUnGZ.bat" "%USERPROFILE%\AppData\Local\Temp\OnboardLogs"\RTDC4042\2016-10-05</v>
      </c>
      <c r="AF150" s="92" t="str">
        <f>astrogrep_path&amp;" /spath="&amp;search_path&amp;" /stypes=""app*"&amp;B150&amp;"*"&amp;TEXT(I150-utc_offset/24,"YYYYMMDD")&amp;"*"" /stext="" "&amp;TEXT(I150-utc_offset/24,"HH")&amp;search_regexp&amp;""" /e /r /s"</f>
        <v>"C:\Program Files (x86)\AstroGrep\AstroGrep.exe" /spath="%USERPROFILE%\AppData\Local\Temp\OnboardLogs" /stypes="app*4042*20161005*" /stext=" 04:.+((SYSTEM_STATE.+slice.+state.+changed )|(ment ac)|(system.+state.+changed )|(\[timeout)|(PRM\|1\|D)|(kpr)|(kdp)|(\|lc)|(penalty))" /e /r /s</v>
      </c>
      <c r="AG150" s="1" t="str">
        <f>IFERROR(IF(VALUE(LEFT(AD150,2))&lt;=2,"EC",IF(OR(VALUE(LEFT(AD150,2))=8,VALUE(LEFT(AD150,2))=18),"NW","Other")),"Other")</f>
        <v>EC</v>
      </c>
      <c r="AH150" s="96" t="str">
        <f t="shared" si="6"/>
        <v>"%USERPROFILE%\Documents\GitHub\eaglep3\Utilities\RefineRTDCRunTimes.py" --tripid 233-04 --locoid 4042 --swversion DE.1.0.7.0 --startMP 204:462 --initTime 2016-10-04T21:55:41 --startdatetime 2016-10-04T22:00:16 --delay 1 --endMP 204:233316 --enddatetime 2016-10-04T22:35:05 --enforcementcount 0 &gt;&gt;C:\Users\stu\Documents\GitHub\eaglep3-reporting\EC\2016-10-04-refined-times.txt</v>
      </c>
      <c r="AI150" s="130" t="str">
        <f t="shared" si="7"/>
        <v>echo {"issue":{"subject":"","project_id":79,"tracker_id":40,"status_id":1,"priority_id":2,"assigned_to_id":23,"start_date":"2016-10-04","description":"","custom_fields":[{"id":1,"name":"Subdivision","value":"EC"},{"id":4,"name":"Milepost","value":"23.3316"},{"id":17,"name":"Train ID","value":"233-04"},{"id":16,"name":"Locomotive ID","value":"4042"},{"id":130,"name":"Impact","value":""},{"id":150,"name":"Time of Event (Mountain Time)","value":"22:35:05"},{"id":151,"name":"Denver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5"/>
      <c r="AK150" s="55"/>
      <c r="AL150" s="55"/>
    </row>
    <row r="151" spans="1:38" x14ac:dyDescent="0.25">
      <c r="A151" s="39" t="s">
        <v>587</v>
      </c>
      <c r="B151" s="7">
        <v>4041</v>
      </c>
      <c r="C151" s="24" t="s">
        <v>106</v>
      </c>
      <c r="D151" s="24" t="s">
        <v>663</v>
      </c>
      <c r="E151" s="15">
        <v>42647.951736111114</v>
      </c>
      <c r="F151" s="15">
        <v>42648.000150462962</v>
      </c>
      <c r="G151" s="7">
        <v>1</v>
      </c>
      <c r="H151" s="15" t="s">
        <v>325</v>
      </c>
      <c r="I151" s="15">
        <v>42648.024270833332</v>
      </c>
      <c r="J151" s="7">
        <v>0</v>
      </c>
      <c r="K151" s="117" t="str">
        <f>IF(ISEVEN(B151),(B151-1)&amp;"/"&amp;B151,B151&amp;"/"&amp;(B151+1))</f>
        <v>4041/4042</v>
      </c>
      <c r="L151" s="24" t="str">
        <f>VLOOKUP(A151,'Trips&amp;Operators'!$C$1:$E$10000,3,FALSE)</f>
        <v>YANAI</v>
      </c>
      <c r="M151" s="6">
        <f>I151-F151</f>
        <v>2.4120370369928423E-2</v>
      </c>
      <c r="N151" s="7">
        <f>24*60*SUM($M151:$M151)</f>
        <v>34.73333333269693</v>
      </c>
      <c r="O151" s="7"/>
      <c r="P151" s="7"/>
      <c r="Q151" s="25"/>
      <c r="R151" s="25"/>
      <c r="S151" s="37">
        <f>SUM(U151:U151)/IF(AG151="EC",12,1)</f>
        <v>1</v>
      </c>
      <c r="T151" s="52" t="str">
        <f>IF(ISEVEN(LEFT(AD151,4)),"Southbound","NorthBound")</f>
        <v>Southbound</v>
      </c>
      <c r="U151" s="159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02" t="str">
        <f>"https://search-rtdc-monitor-bjffxe2xuh6vdkpspy63sjmuny.us-east-1.es.amazonaws.com/_plugin/kibana/#/discover/Steve-Slow-Train-Analysis-(2080s-and-2083s)?_g=(refreshInterval:(display:Off,section:0,value:0),time:(from:'"&amp;TEXT(E151-1/24,"yyyy-MM-DD hh:mm:ss")&amp;"-0600',mode:absolute,to:'"&amp;TEXT(I151+1/24,"yyyy-MM-DD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151&amp;"%22')),sort:!(Time,asc))"</f>
        <v>https://search-rtdc-monitor-bjffxe2xuh6vdkpspy63sjmuny.us-east-1.es.amazonaws.com/_plugin/kibana/#/discover/Steve-Slow-Train-Analysis-(2080s-and-2083s)?_g=(refreshInterval:(display:Off,section:0,value:0),time:(from:'2016-10-04 21:50:30-0600',mode:absolute,to:'2016-10-05 01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1" s="54" t="str">
        <f>IF(AA151&lt;IF(AG151="EC",23,5.65),"Y","N")</f>
        <v>N</v>
      </c>
      <c r="X151" s="164">
        <f>VALUE(LEFT(AD151,4))-VALUE(LEFT(AD150,4))</f>
        <v>1</v>
      </c>
      <c r="Y151" s="69">
        <f>RIGHT(D151,LEN(D151)-4)/10000</f>
        <v>23.299199999999999</v>
      </c>
      <c r="Z151" s="69">
        <f>RIGHT(H151,LEN(H151)-4)/10000</f>
        <v>1.32E-2</v>
      </c>
      <c r="AA151" s="69">
        <f>ABS(Z151-Y151)</f>
        <v>23.285999999999998</v>
      </c>
      <c r="AB151" s="66" t="e">
        <f>VLOOKUP(A151,Enforcements!$C$7:$K$21,8,0)</f>
        <v>#N/A</v>
      </c>
      <c r="AC151" s="62" t="e">
        <f>VLOOKUP(A151,Enforcements!$C$7:$E$21,3,0)</f>
        <v>#N/A</v>
      </c>
      <c r="AD151" s="63" t="str">
        <f>IF(LEN(A151)=6,"0"&amp;A151,A151)</f>
        <v>0234-04</v>
      </c>
      <c r="AE151" s="9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s3://rtdc.mdm.uploadarchive.raw/RTDC4041/ "%USERPROFILE%\AppData\Local\Temp\OnboardLogs"\RTDC4041\2016-10-05 --exclude "*" --recursive --include "*20161005*" &amp; "%USERPROFILE%\Documents\GitHub\mrs-test-scripts\Headless Mode &amp; Sideloading\WalkAndUnGZ.bat" "%USERPROFILE%\AppData\Local\Temp\OnboardLogs"\RTDC4041\2016-10-05 &amp; aws s3 cp s3://rtdc.mdm.uploadarchive.raw/RTDC4041/ "%USERPROFILE%\AppData\Local\Temp\OnboardLogs"\RTDC4041\2016-10-06 --exclude "*" --recursive --include "*20161006*" &amp; "%USERPROFILE%\Documents\GitHub\mrs-test-scripts\Headless Mode &amp; Sideloading\WalkAndUnGZ.bat" "%USERPROFILE%\AppData\Local\Temp\OnboardLogs"\RTDC4041\2016-10-06</v>
      </c>
      <c r="AF151" s="92" t="str">
        <f>astrogrep_path&amp;" /spath="&amp;search_path&amp;" /stypes=""app*"&amp;B151&amp;"*"&amp;TEXT(I151-utc_offset/24,"YYYYMMDD")&amp;"*"" /stext="" "&amp;TEXT(I151-utc_offset/24,"HH")&amp;search_regexp&amp;""" /e /r /s"</f>
        <v>"C:\Program Files (x86)\AstroGrep\AstroGrep.exe" /spath="%USERPROFILE%\AppData\Local\Temp\OnboardLogs" /stypes="app*4041*20161005*" /stext=" 06:.+((SYSTEM_STATE.+slice.+state.+changed )|(ment ac)|(system.+state.+changed )|(\[timeout)|(PRM\|1\|D)|(kpr)|(kdp)|(\|lc)|(penalty))" /e /r /s</v>
      </c>
      <c r="AG151" s="1" t="str">
        <f>IFERROR(IF(VALUE(LEFT(AD151,2))&lt;=2,"EC",IF(OR(VALUE(LEFT(AD151,2))=8,VALUE(LEFT(AD151,2))=18),"NW","Other")),"Other")</f>
        <v>EC</v>
      </c>
      <c r="AH151" s="96" t="str">
        <f t="shared" si="6"/>
        <v>"%USERPROFILE%\Documents\GitHub\eaglep3\Utilities\RefineRTDCRunTimes.py" --tripid 234-04 --locoid 4041 --swversion DE.1.0.7.0 --startMP 204:232992 --initTime 2016-10-04T22:50:30 --startdatetime 2016-10-05T00:00:13 --delay 1 --endMP 204:132 --enddatetime 2016-10-05T00:34:57 --enforcementcount 0 &gt;&gt;C:\Users\stu\Documents\GitHub\eaglep3-reporting\EC\2016-10-04-refined-times.txt</v>
      </c>
      <c r="AI151" s="130" t="str">
        <f t="shared" si="7"/>
        <v>echo {"issue":{"subject":"","project_id":79,"tracker_id":40,"status_id":1,"priority_id":2,"assigned_to_id":23,"start_date":"2016-10-05","description":"","custom_fields":[{"id":1,"name":"Subdivision","value":"EC"},{"id":4,"name":"Milepost","value":"0.0132"},{"id":17,"name":"Train ID","value":"234-04"},{"id":16,"name":"Locomotive ID","value":"4041"},{"id":130,"name":"Impact","value":""},{"id":150,"name":"Time of Event (Mountain Time)","value":"00:34:57"},{"id":151,"name":"Denver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5"/>
      <c r="AK151" s="55"/>
      <c r="AL151" s="55"/>
    </row>
    <row r="152" spans="1:38" x14ac:dyDescent="0.25">
      <c r="A152" s="39" t="s">
        <v>585</v>
      </c>
      <c r="B152" s="7">
        <v>4029</v>
      </c>
      <c r="C152" s="24" t="s">
        <v>106</v>
      </c>
      <c r="D152" s="24" t="s">
        <v>193</v>
      </c>
      <c r="E152" s="15">
        <v>42647.936678240738</v>
      </c>
      <c r="F152" s="15">
        <v>42647.937824074077</v>
      </c>
      <c r="G152" s="7">
        <v>1</v>
      </c>
      <c r="H152" s="15" t="s">
        <v>315</v>
      </c>
      <c r="I152" s="15">
        <v>42647.963136574072</v>
      </c>
      <c r="J152" s="7">
        <v>0</v>
      </c>
      <c r="K152" s="117" t="str">
        <f>IF(ISEVEN(B152),(B152-1)&amp;"/"&amp;B152,B152&amp;"/"&amp;(B152+1))</f>
        <v>4029/4030</v>
      </c>
      <c r="L152" s="24" t="str">
        <f>VLOOKUP(A152,'Trips&amp;Operators'!$C$1:$E$10000,3,FALSE)</f>
        <v>CHANDLER</v>
      </c>
      <c r="M152" s="6">
        <f>I152-F152</f>
        <v>2.5312499994470272E-2</v>
      </c>
      <c r="N152" s="7">
        <f>24*60*SUM($M152:$M152)</f>
        <v>36.449999992037192</v>
      </c>
      <c r="O152" s="7"/>
      <c r="P152" s="7"/>
      <c r="Q152" s="25"/>
      <c r="R152" s="25"/>
      <c r="S152" s="37">
        <f>SUM(U152:U152)/IF(AG152="EC",12,1)</f>
        <v>1</v>
      </c>
      <c r="T152" s="52" t="str">
        <f>IF(ISEVEN(LEFT(AD152,4)),"Southbound","NorthBound")</f>
        <v>NorthBound</v>
      </c>
      <c r="U152" s="159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02" t="str">
        <f>"https://search-rtdc-monitor-bjffxe2xuh6vdkpspy63sjmuny.us-east-1.es.amazonaws.com/_plugin/kibana/#/discover/Steve-Slow-Train-Analysis-(2080s-and-2083s)?_g=(refreshInterval:(display:Off,section:0,value:0),time:(from:'"&amp;TEXT(E152-1/24,"yyyy-MM-DD hh:mm:ss")&amp;"-0600',mode:absolute,to:'"&amp;TEXT(I152+1/24,"yyyy-MM-DD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152&amp;"%22')),sort:!(Time,asc))"</f>
        <v>https://search-rtdc-monitor-bjffxe2xuh6vdkpspy63sjmuny.us-east-1.es.amazonaws.com/_plugin/kibana/#/discover/Steve-Slow-Train-Analysis-(2080s-and-2083s)?_g=(refreshInterval:(display:Off,section:0,value:0),time:(from:'2016-10-04 21:28:49-0600',mode:absolute,to:'2016-10-05 00:06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52" s="54" t="str">
        <f>IF(AA152&lt;IF(AG152="EC",23,5.65),"Y","N")</f>
        <v>N</v>
      </c>
      <c r="X152" s="164">
        <f>VALUE(LEFT(AD152,4))-VALUE(LEFT(AD151,4))</f>
        <v>1</v>
      </c>
      <c r="Y152" s="69">
        <f>RIGHT(D152,LEN(D152)-4)/10000</f>
        <v>4.7100000000000003E-2</v>
      </c>
      <c r="Z152" s="69">
        <f>RIGHT(H152,LEN(H152)-4)/10000</f>
        <v>23.329499999999999</v>
      </c>
      <c r="AA152" s="69">
        <f>ABS(Z152-Y152)</f>
        <v>23.282399999999999</v>
      </c>
      <c r="AB152" s="66" t="e">
        <f>VLOOKUP(A152,Enforcements!$C$7:$K$21,8,0)</f>
        <v>#N/A</v>
      </c>
      <c r="AC152" s="62" t="e">
        <f>VLOOKUP(A152,Enforcements!$C$7:$E$21,3,0)</f>
        <v>#N/A</v>
      </c>
      <c r="AD152" s="63" t="str">
        <f>IF(LEN(A152)=6,"0"&amp;A152,A152)</f>
        <v>0235-04</v>
      </c>
      <c r="AE152" s="9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s3://rtdc.mdm.uploadarchive.raw/RTDC4029/ "%USERPROFILE%\AppData\Local\Temp\OnboardLogs"\RTDC4029\2016-10-04 --exclude "*" --recursive --include "*20161004*" &amp; "%USERPROFILE%\Documents\GitHub\mrs-test-scripts\Headless Mode &amp; Sideloading\WalkAndUnGZ.bat" "%USERPROFILE%\AppData\Local\Temp\OnboardLogs"\RTDC4029\2016-10-04 &amp; aws s3 cp s3://rtdc.mdm.uploadarchive.raw/RTDC4029/ "%USERPROFILE%\AppData\Local\Temp\OnboardLogs"\RTDC4029\2016-10-05 --exclude "*" --recursive --include "*20161005*" &amp; "%USERPROFILE%\Documents\GitHub\mrs-test-scripts\Headless Mode &amp; Sideloading\WalkAndUnGZ.bat" "%USERPROFILE%\AppData\Local\Temp\OnboardLogs"\RTDC4029\2016-10-05</v>
      </c>
      <c r="AF152" s="92" t="str">
        <f>astrogrep_path&amp;" /spath="&amp;search_path&amp;" /stypes=""app*"&amp;B152&amp;"*"&amp;TEXT(I152-utc_offset/24,"YYYYMMDD")&amp;"*"" /stext="" "&amp;TEXT(I152-utc_offset/24,"HH")&amp;search_regexp&amp;""" /e /r /s"</f>
        <v>"C:\Program Files (x86)\AstroGrep\AstroGrep.exe" /spath="%USERPROFILE%\AppData\Local\Temp\OnboardLogs" /stypes="app*4029*20161005*" /stext=" 05:.+((SYSTEM_STATE.+slice.+state.+changed )|(ment ac)|(system.+state.+changed )|(\[timeout)|(PRM\|1\|D)|(kpr)|(kdp)|(\|lc)|(penalty))" /e /r /s</v>
      </c>
      <c r="AG152" s="1" t="str">
        <f>IFERROR(IF(VALUE(LEFT(AD152,2))&lt;=2,"EC",IF(OR(VALUE(LEFT(AD152,2))=8,VALUE(LEFT(AD152,2))=18),"NW","Other")),"Other")</f>
        <v>EC</v>
      </c>
      <c r="AH152" s="96" t="str">
        <f t="shared" si="6"/>
        <v>"%USERPROFILE%\Documents\GitHub\eaglep3\Utilities\RefineRTDCRunTimes.py" --tripid 235-04 --locoid 4029 --swversion DE.1.0.7.0 --startMP 204:471 --initTime 2016-10-04T22:28:49 --startdatetime 2016-10-04T22:30:28 --delay 1 --endMP 204:233295 --enddatetime 2016-10-04T23:06:55 --enforcementcount 0 &gt;&gt;C:\Users\stu\Documents\GitHub\eaglep3-reporting\EC\2016-10-04-refined-times.txt</v>
      </c>
      <c r="AI152" s="130" t="str">
        <f t="shared" si="7"/>
        <v>echo {"issue":{"subject":"","project_id":79,"tracker_id":40,"status_id":1,"priority_id":2,"assigned_to_id":23,"start_date":"2016-10-04","description":"","custom_fields":[{"id":1,"name":"Subdivision","value":"EC"},{"id":4,"name":"Milepost","value":"23.3295"},{"id":17,"name":"Train ID","value":"235-04"},{"id":16,"name":"Locomotive ID","value":"4029"},{"id":130,"name":"Impact","value":""},{"id":150,"name":"Time of Event (Mountain Time)","value":"23:06:55"},{"id":151,"name":"Denver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5"/>
      <c r="AK152" s="55"/>
      <c r="AL152" s="55"/>
    </row>
    <row r="153" spans="1:38" x14ac:dyDescent="0.25">
      <c r="A153" s="39" t="s">
        <v>589</v>
      </c>
      <c r="B153" s="7">
        <v>4030</v>
      </c>
      <c r="C153" s="24" t="s">
        <v>106</v>
      </c>
      <c r="D153" s="24" t="s">
        <v>307</v>
      </c>
      <c r="E153" s="15">
        <v>42647.975868055553</v>
      </c>
      <c r="F153" s="15">
        <v>42647.977094907408</v>
      </c>
      <c r="G153" s="7">
        <v>1</v>
      </c>
      <c r="H153" s="15" t="s">
        <v>192</v>
      </c>
      <c r="I153" s="15">
        <v>42648.006493055553</v>
      </c>
      <c r="J153" s="7">
        <v>0</v>
      </c>
      <c r="K153" s="117" t="str">
        <f>IF(ISEVEN(B153),(B153-1)&amp;"/"&amp;B153,B153&amp;"/"&amp;(B153+1))</f>
        <v>4029/4030</v>
      </c>
      <c r="L153" s="24" t="str">
        <f>VLOOKUP(A153,'Trips&amp;Operators'!$C$1:$E$10000,3,FALSE)</f>
        <v>CHANDLER</v>
      </c>
      <c r="M153" s="6">
        <f>I153-F153</f>
        <v>2.9398148144537117E-2</v>
      </c>
      <c r="N153" s="7">
        <f>24*60*SUM($M153:$M153)</f>
        <v>42.333333328133449</v>
      </c>
      <c r="O153" s="7"/>
      <c r="P153" s="7"/>
      <c r="Q153" s="25"/>
      <c r="R153" s="25"/>
      <c r="S153" s="37">
        <f>SUM(U153:U153)/IF(AG153="EC",12,1)</f>
        <v>1</v>
      </c>
      <c r="T153" s="52" t="str">
        <f>IF(ISEVEN(LEFT(AD153,4)),"Southbound","NorthBound")</f>
        <v>Southbound</v>
      </c>
      <c r="U153" s="159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02" t="str">
        <f>"https://search-rtdc-monitor-bjffxe2xuh6vdkpspy63sjmuny.us-east-1.es.amazonaws.com/_plugin/kibana/#/discover/Steve-Slow-Train-Analysis-(2080s-and-2083s)?_g=(refreshInterval:(display:Off,section:0,value:0),time:(from:'"&amp;TEXT(E153-1/24,"yyyy-MM-DD hh:mm:ss")&amp;"-0600',mode:absolute,to:'"&amp;TEXT(I153+1/24,"yyyy-MM-DD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153&amp;"%22')),sort:!(Time,asc))"</f>
        <v>https://search-rtdc-monitor-bjffxe2xuh6vdkpspy63sjmuny.us-east-1.es.amazonaws.com/_plugin/kibana/#/discover/Steve-Slow-Train-Analysis-(2080s-and-2083s)?_g=(refreshInterval:(display:Off,section:0,value:0),time:(from:'2016-10-04 22:25:15-0600',mode:absolute,to:'2016-10-05 01:09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3" s="54" t="str">
        <f>IF(AA153&lt;IF(AG153="EC",23,5.65),"Y","N")</f>
        <v>N</v>
      </c>
      <c r="X153" s="164">
        <f>VALUE(LEFT(AD153,4))-VALUE(LEFT(AD152,4))</f>
        <v>1</v>
      </c>
      <c r="Y153" s="69">
        <f>RIGHT(D153,LEN(D153)-4)/10000</f>
        <v>23.297499999999999</v>
      </c>
      <c r="Z153" s="69">
        <f>RIGHT(H153,LEN(H153)-4)/10000</f>
        <v>1.6E-2</v>
      </c>
      <c r="AA153" s="69">
        <f>ABS(Z153-Y153)</f>
        <v>23.281500000000001</v>
      </c>
      <c r="AB153" s="66" t="e">
        <f>VLOOKUP(A153,Enforcements!$C$7:$K$21,8,0)</f>
        <v>#N/A</v>
      </c>
      <c r="AC153" s="62" t="e">
        <f>VLOOKUP(A153,Enforcements!$C$7:$E$21,3,0)</f>
        <v>#N/A</v>
      </c>
      <c r="AD153" s="63" t="str">
        <f>IF(LEN(A153)=6,"0"&amp;A153,A153)</f>
        <v>0236-04</v>
      </c>
      <c r="AE153" s="9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s3://rtdc.mdm.uploadarchive.raw/RTDC4030/ "%USERPROFILE%\AppData\Local\Temp\OnboardLogs"\RTDC4030\2016-10-04 --exclude "*" --recursive --include "*20161004*" &amp; "%USERPROFILE%\Documents\GitHub\mrs-test-scripts\Headless Mode &amp; Sideloading\WalkAndUnGZ.bat" "%USERPROFILE%\AppData\Local\Temp\OnboardLogs"\RTDC4030\2016-10-04 &amp; aws s3 cp s3://rtdc.mdm.uploadarchive.raw/RTDC4030/ "%USERPROFILE%\AppData\Local\Temp\OnboardLogs"\RTDC4030\2016-10-05 --exclude "*" --recursive --include "*20161005*" &amp; "%USERPROFILE%\Documents\GitHub\mrs-test-scripts\Headless Mode &amp; Sideloading\WalkAndUnGZ.bat" "%USERPROFILE%\AppData\Local\Temp\OnboardLogs"\RTDC4030\2016-10-05</v>
      </c>
      <c r="AF153" s="92" t="str">
        <f>astrogrep_path&amp;" /spath="&amp;search_path&amp;" /stypes=""app*"&amp;B153&amp;"*"&amp;TEXT(I153-utc_offset/24,"YYYYMMDD")&amp;"*"" /stext="" "&amp;TEXT(I153-utc_offset/24,"HH")&amp;search_regexp&amp;""" /e /r /s"</f>
        <v>"C:\Program Files (x86)\AstroGrep\AstroGrep.exe" /spath="%USERPROFILE%\AppData\Local\Temp\OnboardLogs" /stypes="app*4030*20161005*" /stext=" 06:.+((SYSTEM_STATE.+slice.+state.+changed )|(ment ac)|(system.+state.+changed )|(\[timeout)|(PRM\|1\|D)|(kpr)|(kdp)|(\|lc)|(penalty))" /e /r /s</v>
      </c>
      <c r="AG153" s="1" t="str">
        <f>IFERROR(IF(VALUE(LEFT(AD153,2))&lt;=2,"EC",IF(OR(VALUE(LEFT(AD153,2))=8,VALUE(LEFT(AD153,2))=18),"NW","Other")),"Other")</f>
        <v>EC</v>
      </c>
      <c r="AH153" s="96" t="str">
        <f t="shared" si="6"/>
        <v>"%USERPROFILE%\Documents\GitHub\eaglep3\Utilities\RefineRTDCRunTimes.py" --tripid 236-04 --locoid 4030 --swversion DE.1.0.7.0 --startMP 204:232975 --initTime 2016-10-04T23:25:15 --startdatetime 2016-10-04T23:27:01 --delay 1 --endMP 204:160 --enddatetime 2016-10-05T00:09:21 --enforcementcount 0 &gt;&gt;C:\Users\stu\Documents\GitHub\eaglep3-reporting\EC\2016-10-04-refined-times.txt</v>
      </c>
      <c r="AI153" s="130" t="str">
        <f t="shared" si="7"/>
        <v>echo {"issue":{"subject":"","project_id":79,"tracker_id":40,"status_id":1,"priority_id":2,"assigned_to_id":23,"start_date":"2016-10-05","description":"","custom_fields":[{"id":1,"name":"Subdivision","value":"EC"},{"id":4,"name":"Milepost","value":"0.016"},{"id":17,"name":"Train ID","value":"236-04"},{"id":16,"name":"Locomotive ID","value":"4030"},{"id":130,"name":"Impact","value":""},{"id":150,"name":"Time of Event (Mountain Time)","value":"00:09:21"},{"id":151,"name":"Denver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5"/>
      <c r="AK153" s="55"/>
      <c r="AL153" s="55"/>
    </row>
    <row r="154" spans="1:38" x14ac:dyDescent="0.25">
      <c r="A154" s="39" t="s">
        <v>588</v>
      </c>
      <c r="B154" s="7">
        <v>4053</v>
      </c>
      <c r="C154" s="24" t="s">
        <v>106</v>
      </c>
      <c r="D154" s="24" t="s">
        <v>649</v>
      </c>
      <c r="E154" s="15">
        <v>42647.953472222223</v>
      </c>
      <c r="F154" s="15">
        <v>42647.958831018521</v>
      </c>
      <c r="G154" s="7">
        <v>1</v>
      </c>
      <c r="H154" s="15" t="s">
        <v>233</v>
      </c>
      <c r="I154" s="15">
        <v>42647.984259259261</v>
      </c>
      <c r="J154" s="7">
        <v>0</v>
      </c>
      <c r="K154" s="117" t="str">
        <f>IF(ISEVEN(B154),(B154-1)&amp;"/"&amp;B154,B154&amp;"/"&amp;(B154+1))</f>
        <v>4053/4054</v>
      </c>
      <c r="L154" s="24" t="str">
        <f>VLOOKUP(A154,'Trips&amp;Operators'!$C$1:$E$10000,3,FALSE)</f>
        <v>LEVERE</v>
      </c>
      <c r="M154" s="6">
        <f>I154-F154</f>
        <v>2.5428240740438923E-2</v>
      </c>
      <c r="N154" s="7">
        <f>24*60*SUM($M154:$M154)</f>
        <v>36.616666666232049</v>
      </c>
      <c r="O154" s="7"/>
      <c r="P154" s="7"/>
      <c r="Q154" s="25"/>
      <c r="R154" s="25"/>
      <c r="S154" s="37">
        <f>SUM(U154:U154)/IF(AG154="EC",12,1)</f>
        <v>1</v>
      </c>
      <c r="T154" s="52" t="str">
        <f>IF(ISEVEN(LEFT(AD154,4)),"Southbound","NorthBound")</f>
        <v>NorthBound</v>
      </c>
      <c r="U154" s="159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02" t="str">
        <f>"https://search-rtdc-monitor-bjffxe2xuh6vdkpspy63sjmuny.us-east-1.es.amazonaws.com/_plugin/kibana/#/discover/Steve-Slow-Train-Analysis-(2080s-and-2083s)?_g=(refreshInterval:(display:Off,section:0,value:0),time:(from:'"&amp;TEXT(E154-1/24,"yyyy-MM-DD hh:mm:ss")&amp;"-0600',mode:absolute,to:'"&amp;TEXT(I154+1/24,"yyyy-MM-DD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154&amp;"%22')),sort:!(Time,asc))"</f>
        <v>https://search-rtdc-monitor-bjffxe2xuh6vdkpspy63sjmuny.us-east-1.es.amazonaws.com/_plugin/kibana/#/discover/Steve-Slow-Train-Analysis-(2080s-and-2083s)?_g=(refreshInterval:(display:Off,section:0,value:0),time:(from:'2016-10-04 21:53:00-0600',mode:absolute,to:'2016-10-05 00:37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154" s="54" t="str">
        <f>IF(AA154&lt;IF(AG154="EC",23,5.65),"Y","N")</f>
        <v>N</v>
      </c>
      <c r="X154" s="164">
        <f>VALUE(LEFT(AD154,4))-VALUE(LEFT(AD153,4))</f>
        <v>1</v>
      </c>
      <c r="Y154" s="69">
        <f>RIGHT(D154,LEN(D154)-4)/10000</f>
        <v>4.5999999999999999E-2</v>
      </c>
      <c r="Z154" s="69">
        <f>RIGHT(H154,LEN(H154)-4)/10000</f>
        <v>23.3307</v>
      </c>
      <c r="AA154" s="69">
        <f>ABS(Z154-Y154)</f>
        <v>23.284700000000001</v>
      </c>
      <c r="AB154" s="66" t="e">
        <f>VLOOKUP(A154,Enforcements!$C$7:$K$21,8,0)</f>
        <v>#N/A</v>
      </c>
      <c r="AC154" s="62" t="e">
        <f>VLOOKUP(A154,Enforcements!$C$7:$E$21,3,0)</f>
        <v>#N/A</v>
      </c>
      <c r="AD154" s="63" t="str">
        <f>IF(LEN(A154)=6,"0"&amp;A154,A154)</f>
        <v>0237-04</v>
      </c>
      <c r="AE154" s="9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s3://rtdc.mdm.uploadarchive.raw/RTDC4053/ "%USERPROFILE%\AppData\Local\Temp\OnboardLogs"\RTDC4053\2016-10-04 --exclude "*" --recursive --include "*20161004*" &amp; "%USERPROFILE%\Documents\GitHub\mrs-test-scripts\Headless Mode &amp; Sideloading\WalkAndUnGZ.bat" "%USERPROFILE%\AppData\Local\Temp\OnboardLogs"\RTDC4053\2016-10-04 &amp; aws s3 cp s3://rtdc.mdm.uploadarchive.raw/RTDC4053/ "%USERPROFILE%\AppData\Local\Temp\OnboardLogs"\RTDC4053\2016-10-05 --exclude "*" --recursive --include "*20161005*" &amp; "%USERPROFILE%\Documents\GitHub\mrs-test-scripts\Headless Mode &amp; Sideloading\WalkAndUnGZ.bat" "%USERPROFILE%\AppData\Local\Temp\OnboardLogs"\RTDC4053\2016-10-05</v>
      </c>
      <c r="AF154" s="92" t="str">
        <f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/stypes="app*4053*20161005*" /stext=" 05:.+((SYSTEM_STATE.+slice.+state.+changed )|(ment ac)|(system.+state.+changed )|(\[timeout)|(PRM\|1\|D)|(kpr)|(kdp)|(\|lc)|(penalty))" /e /r /s</v>
      </c>
      <c r="AG154" s="1" t="str">
        <f>IFERROR(IF(VALUE(LEFT(AD154,2))&lt;=2,"EC",IF(OR(VALUE(LEFT(AD154,2))=8,VALUE(LEFT(AD154,2))=18),"NW","Other")),"Other")</f>
        <v>EC</v>
      </c>
      <c r="AH154" s="96" t="str">
        <f t="shared" si="6"/>
        <v>"%USERPROFILE%\Documents\GitHub\eaglep3\Utilities\RefineRTDCRunTimes.py" --tripid 237-04 --locoid 4053 --swversion DE.1.0.7.0 --startMP 204:460 --initTime 2016-10-04T22:53:00 --startdatetime 2016-10-04T23:00:43 --delay 1 --endMP 204:233307 --enddatetime 2016-10-04T23:37:20 --enforcementcount 0 &gt;&gt;C:\Users\stu\Documents\GitHub\eaglep3-reporting\EC\2016-10-04-refined-times.txt</v>
      </c>
      <c r="AI154" s="130" t="str">
        <f t="shared" si="7"/>
        <v>echo {"issue":{"subject":"","project_id":79,"tracker_id":40,"status_id":1,"priority_id":2,"assigned_to_id":23,"start_date":"2016-10-04","description":"","custom_fields":[{"id":1,"name":"Subdivision","value":"EC"},{"id":4,"name":"Milepost","value":"23.3307"},{"id":17,"name":"Train ID","value":"237-04"},{"id":16,"name":"Locomotive ID","value":"4053"},{"id":130,"name":"Impact","value":""},{"id":150,"name":"Time of Event (Mountain Time)","value":"23:37:20"},{"id":151,"name":"Denver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5"/>
      <c r="AK154" s="55"/>
      <c r="AL154" s="55"/>
    </row>
    <row r="155" spans="1:38" s="23" customFormat="1" x14ac:dyDescent="0.25">
      <c r="A155" s="39" t="s">
        <v>592</v>
      </c>
      <c r="B155" s="7">
        <v>4054</v>
      </c>
      <c r="C155" s="24" t="s">
        <v>106</v>
      </c>
      <c r="D155" s="24" t="s">
        <v>248</v>
      </c>
      <c r="E155" s="15">
        <v>42647.993587962963</v>
      </c>
      <c r="F155" s="15">
        <v>42647.997418981482</v>
      </c>
      <c r="G155" s="7">
        <v>1</v>
      </c>
      <c r="H155" s="15" t="s">
        <v>664</v>
      </c>
      <c r="I155" s="15">
        <v>42648.030173611114</v>
      </c>
      <c r="J155" s="7">
        <v>0</v>
      </c>
      <c r="K155" s="117" t="str">
        <f>IF(ISEVEN(B155),(B155-1)&amp;"/"&amp;B155,B155&amp;"/"&amp;(B155+1))</f>
        <v>4053/4054</v>
      </c>
      <c r="L155" s="24" t="str">
        <f>VLOOKUP(A155,'Trips&amp;Operators'!$C$1:$E$10000,3,FALSE)</f>
        <v>LEVERE</v>
      </c>
      <c r="M155" s="6">
        <f>I155-F155</f>
        <v>3.2754629632108845E-2</v>
      </c>
      <c r="N155" s="7">
        <f>24*60*SUM($M155:$M155)</f>
        <v>47.166666670236737</v>
      </c>
      <c r="O155" s="7"/>
      <c r="P155" s="7"/>
      <c r="Q155" s="25"/>
      <c r="R155" s="25"/>
      <c r="S155" s="37">
        <f>SUM(U155:U155)/IF(AG155="EC",12,1)</f>
        <v>1</v>
      </c>
      <c r="T155" s="52" t="str">
        <f>IF(ISEVEN(LEFT(AD155,4)),"Southbound","NorthBound")</f>
        <v>Southbound</v>
      </c>
      <c r="U155" s="159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02" t="str">
        <f>"https://search-rtdc-monitor-bjffxe2xuh6vdkpspy63sjmuny.us-east-1.es.amazonaws.com/_plugin/kibana/#/discover/Steve-Slow-Train-Analysis-(2080s-and-2083s)?_g=(refreshInterval:(display:Off,section:0,value:0),time:(from:'"&amp;TEXT(E155-1/24,"yyyy-MM-DD hh:mm:ss")&amp;"-0600',mode:absolute,to:'"&amp;TEXT(I155+1/24,"yyyy-MM-DD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155&amp;"%22')),sort:!(Time,asc))"</f>
        <v>https://search-rtdc-monitor-bjffxe2xuh6vdkpspy63sjmuny.us-east-1.es.amazonaws.com/_plugin/kibana/#/discover/Steve-Slow-Train-Analysis-(2080s-and-2083s)?_g=(refreshInterval:(display:Off,section:0,value:0),time:(from:'2016-10-04 22:50:46-0600',mode:absolute,to:'2016-10-05 01:43:27-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155" s="54" t="str">
        <f>IF(AA155&lt;IF(AG155="EC",23,5.65),"Y","N")</f>
        <v>N</v>
      </c>
      <c r="X155" s="164">
        <f>VALUE(LEFT(AD155,4))-VALUE(LEFT(AD154,4))</f>
        <v>1</v>
      </c>
      <c r="Y155" s="69">
        <f>RIGHT(D155,LEN(D155)-4)/10000</f>
        <v>23.297799999999999</v>
      </c>
      <c r="Z155" s="69">
        <f>RIGHT(H155,LEN(H155)-4)/10000</f>
        <v>1.2999999999999999E-2</v>
      </c>
      <c r="AA155" s="69">
        <f>ABS(Z155-Y155)</f>
        <v>23.284799999999997</v>
      </c>
      <c r="AB155" s="66" t="e">
        <f>VLOOKUP(A155,Enforcements!$C$7:$K$21,8,0)</f>
        <v>#N/A</v>
      </c>
      <c r="AC155" s="62" t="e">
        <f>VLOOKUP(A155,Enforcements!$C$7:$E$21,3,0)</f>
        <v>#N/A</v>
      </c>
      <c r="AD155" s="63" t="str">
        <f>IF(LEN(A155)=6,"0"&amp;A155,A155)</f>
        <v>0238-04</v>
      </c>
      <c r="AE155" s="9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s3://rtdc.mdm.uploadarchive.raw/RTDC4054/ "%USERPROFILE%\AppData\Local\Temp\OnboardLogs"\RTDC4054\2016-10-04 --exclude "*" --recursive --include "*20161004*" &amp; "%USERPROFILE%\Documents\GitHub\mrs-test-scripts\Headless Mode &amp; Sideloading\WalkAndUnGZ.bat" "%USERPROFILE%\AppData\Local\Temp\OnboardLogs"\RTDC4054\2016-10-04 &amp; aws s3 cp s3://rtdc.mdm.uploadarchive.raw/RTDC4054/ "%USERPROFILE%\AppData\Local\Temp\OnboardLogs"\RTDC4054\2016-10-05 --exclude "*" --recursive --include "*20161005*" &amp; "%USERPROFILE%\Documents\GitHub\mrs-test-scripts\Headless Mode &amp; Sideloading\WalkAndUnGZ.bat" "%USERPROFILE%\AppData\Local\Temp\OnboardLogs"\RTDC4054\2016-10-05</v>
      </c>
      <c r="AF155" s="92" t="str">
        <f>astrogrep_path&amp;" /spath="&amp;search_path&amp;" /stypes=""app*"&amp;B155&amp;"*"&amp;TEXT(I155-utc_offset/24,"YYYYMMDD")&amp;"*"" /stext="" "&amp;TEXT(I155-utc_offset/24,"HH")&amp;search_regexp&amp;""" /e /r /s"</f>
        <v>"C:\Program Files (x86)\AstroGrep\AstroGrep.exe" /spath="%USERPROFILE%\AppData\Local\Temp\OnboardLogs" /stypes="app*4054*20161005*" /stext=" 06:.+((SYSTEM_STATE.+slice.+state.+changed )|(ment ac)|(system.+state.+changed )|(\[timeout)|(PRM\|1\|D)|(kpr)|(kdp)|(\|lc)|(penalty))" /e /r /s</v>
      </c>
      <c r="AG155" s="1" t="str">
        <f>IFERROR(IF(VALUE(LEFT(AD155,2))&lt;=2,"EC",IF(OR(VALUE(LEFT(AD155,2))=8,VALUE(LEFT(AD155,2))=18),"NW","Other")),"Other")</f>
        <v>EC</v>
      </c>
      <c r="AH155" s="96" t="str">
        <f t="shared" si="6"/>
        <v>"%USERPROFILE%\Documents\GitHub\eaglep3\Utilities\RefineRTDCRunTimes.py" --tripid 238-04 --locoid 4054 --swversion DE.1.0.7.0 --startMP 204:232978 --initTime 2016-10-04T23:50:46 --startdatetime 2016-10-04T23:56:17 --delay 1 --endMP 204:130 --enddatetime 2016-10-05T00:43:27 --enforcementcount 0 &gt;&gt;C:\Users\stu\Documents\GitHub\eaglep3-reporting\EC\2016-10-04-refined-times.txt</v>
      </c>
      <c r="AI155" s="130" t="str">
        <f t="shared" si="7"/>
        <v>echo {"issue":{"subject":"","project_id":79,"tracker_id":40,"status_id":1,"priority_id":2,"assigned_to_id":23,"start_date":"2016-10-05","description":"","custom_fields":[{"id":1,"name":"Subdivision","value":"EC"},{"id":4,"name":"Milepost","value":"0.013"},{"id":17,"name":"Train ID","value":"238-04"},{"id":16,"name":"Locomotive ID","value":"4054"},{"id":130,"name":"Impact","value":""},{"id":150,"name":"Time of Event (Mountain Time)","value":"00:43:27"},{"id":151,"name":"Denver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5"/>
      <c r="AK155" s="55"/>
      <c r="AL155" s="55"/>
    </row>
    <row r="156" spans="1:38" s="23" customFormat="1" x14ac:dyDescent="0.25">
      <c r="A156" s="39" t="s">
        <v>590</v>
      </c>
      <c r="B156" s="7">
        <v>4044</v>
      </c>
      <c r="C156" s="24" t="s">
        <v>106</v>
      </c>
      <c r="D156" s="24" t="s">
        <v>286</v>
      </c>
      <c r="E156" s="15">
        <v>42647.9768287037</v>
      </c>
      <c r="F156" s="15">
        <v>42647.979467592595</v>
      </c>
      <c r="G156" s="7">
        <v>1</v>
      </c>
      <c r="H156" s="15" t="s">
        <v>618</v>
      </c>
      <c r="I156" s="15">
        <v>42648.003668981481</v>
      </c>
      <c r="J156" s="7">
        <v>0</v>
      </c>
      <c r="K156" s="117" t="str">
        <f>IF(ISEVEN(B156),(B156-1)&amp;"/"&amp;B156,B156&amp;"/"&amp;(B156+1))</f>
        <v>4043/4044</v>
      </c>
      <c r="L156" s="24" t="str">
        <f>VLOOKUP(A156,'Trips&amp;Operators'!$C$1:$E$10000,3,FALSE)</f>
        <v>COOLAHAN</v>
      </c>
      <c r="M156" s="6">
        <f>I156-F156</f>
        <v>2.4201388885558117E-2</v>
      </c>
      <c r="N156" s="7">
        <f>24*60*SUM($M156:$M156)</f>
        <v>34.849999995203689</v>
      </c>
      <c r="O156" s="7"/>
      <c r="P156" s="7"/>
      <c r="Q156" s="25"/>
      <c r="R156" s="25"/>
      <c r="S156" s="37">
        <f>SUM(U156:U156)/IF(AG156="EC",12,1)</f>
        <v>1</v>
      </c>
      <c r="T156" s="52" t="str">
        <f>IF(ISEVEN(LEFT(AD156,4)),"Southbound","NorthBound")</f>
        <v>NorthBound</v>
      </c>
      <c r="U156" s="159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02" t="str">
        <f>"https://search-rtdc-monitor-bjffxe2xuh6vdkpspy63sjmuny.us-east-1.es.amazonaws.com/_plugin/kibana/#/discover/Steve-Slow-Train-Analysis-(2080s-and-2083s)?_g=(refreshInterval:(display:Off,section:0,value:0),time:(from:'"&amp;TEXT(E156-1/24,"yyyy-MM-DD hh:mm:ss")&amp;"-0600',mode:absolute,to:'"&amp;TEXT(I156+1/24,"yyyy-MM-DD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156&amp;"%22')),sort:!(Time,asc))"</f>
        <v>https://search-rtdc-monitor-bjffxe2xuh6vdkpspy63sjmuny.us-east-1.es.amazonaws.com/_plugin/kibana/#/discover/Steve-Slow-Train-Analysis-(2080s-and-2083s)?_g=(refreshInterval:(display:Off,section:0,value:0),time:(from:'2016-10-04 22:26:38-0600',mode:absolute,to:'2016-10-05 01:05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6" s="54" t="str">
        <f>IF(AA156&lt;IF(AG156="EC",23,5.65),"Y","N")</f>
        <v>N</v>
      </c>
      <c r="X156" s="164">
        <f>VALUE(LEFT(AD156,4))-VALUE(LEFT(AD155,4))</f>
        <v>1</v>
      </c>
      <c r="Y156" s="69">
        <f>RIGHT(D156,LEN(D156)-4)/10000</f>
        <v>4.4699999999999997E-2</v>
      </c>
      <c r="Z156" s="69">
        <f>RIGHT(H156,LEN(H156)-4)/10000</f>
        <v>23.331099999999999</v>
      </c>
      <c r="AA156" s="69">
        <f>ABS(Z156-Y156)</f>
        <v>23.2864</v>
      </c>
      <c r="AB156" s="66" t="e">
        <f>VLOOKUP(A156,Enforcements!$C$7:$K$21,8,0)</f>
        <v>#N/A</v>
      </c>
      <c r="AC156" s="62" t="e">
        <f>VLOOKUP(A156,Enforcements!$C$7:$E$21,3,0)</f>
        <v>#N/A</v>
      </c>
      <c r="AD156" s="63" t="str">
        <f>IF(LEN(A156)=6,"0"&amp;A156,A156)</f>
        <v>0239-04</v>
      </c>
      <c r="AE156" s="9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s3://rtdc.mdm.uploadarchive.raw/RTDC4044/ "%USERPROFILE%\AppData\Local\Temp\OnboardLogs"\RTDC4044\2016-10-04 --exclude "*" --recursive --include "*20161004*" &amp; "%USERPROFILE%\Documents\GitHub\mrs-test-scripts\Headless Mode &amp; Sideloading\WalkAndUnGZ.bat" "%USERPROFILE%\AppData\Local\Temp\OnboardLogs"\RTDC4044\2016-10-04 &amp; aws s3 cp s3://rtdc.mdm.uploadarchive.raw/RTDC4044/ "%USERPROFILE%\AppData\Local\Temp\OnboardLogs"\RTDC4044\2016-10-05 --exclude "*" --recursive --include "*20161005*" &amp; "%USERPROFILE%\Documents\GitHub\mrs-test-scripts\Headless Mode &amp; Sideloading\WalkAndUnGZ.bat" "%USERPROFILE%\AppData\Local\Temp\OnboardLogs"\RTDC4044\2016-10-05</v>
      </c>
      <c r="AF156" s="92" t="str">
        <f>astrogrep_path&amp;" /spath="&amp;search_path&amp;" /stypes=""app*"&amp;B156&amp;"*"&amp;TEXT(I156-utc_offset/24,"YYYYMMDD")&amp;"*"" /stext="" "&amp;TEXT(I156-utc_offset/24,"HH")&amp;search_regexp&amp;""" /e /r /s"</f>
        <v>"C:\Program Files (x86)\AstroGrep\AstroGrep.exe" /spath="%USERPROFILE%\AppData\Local\Temp\OnboardLogs" /stypes="app*4044*20161005*" /stext=" 06:.+((SYSTEM_STATE.+slice.+state.+changed )|(ment ac)|(system.+state.+changed )|(\[timeout)|(PRM\|1\|D)|(kpr)|(kdp)|(\|lc)|(penalty))" /e /r /s</v>
      </c>
      <c r="AG156" s="1" t="str">
        <f>IFERROR(IF(VALUE(LEFT(AD156,2))&lt;=2,"EC",IF(OR(VALUE(LEFT(AD156,2))=8,VALUE(LEFT(AD156,2))=18),"NW","Other")),"Other")</f>
        <v>EC</v>
      </c>
      <c r="AH156" s="96" t="str">
        <f t="shared" si="6"/>
        <v>"%USERPROFILE%\Documents\GitHub\eaglep3\Utilities\RefineRTDCRunTimes.py" --tripid 239-04 --locoid 4044 --swversion DE.1.0.7.0 --startMP 204:447 --initTime 2016-10-04T23:26:38 --startdatetime 2016-10-04T23:30:26 --delay 1 --endMP 204:233311 --enddatetime 2016-10-05T00:05:17 --enforcementcount 0 &gt;&gt;C:\Users\stu\Documents\GitHub\eaglep3-reporting\EC\2016-10-04-refined-times.txt</v>
      </c>
      <c r="AI156" s="130" t="str">
        <f t="shared" si="7"/>
        <v>echo {"issue":{"subject":"","project_id":79,"tracker_id":40,"status_id":1,"priority_id":2,"assigned_to_id":23,"start_date":"2016-10-05","description":"","custom_fields":[{"id":1,"name":"Subdivision","value":"EC"},{"id":4,"name":"Milepost","value":"23.3311"},{"id":17,"name":"Train ID","value":"239-04"},{"id":16,"name":"Locomotive ID","value":"4044"},{"id":130,"name":"Impact","value":""},{"id":150,"name":"Time of Event (Mountain Time)","value":"00:05:17"},{"id":151,"name":"Denver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5"/>
      <c r="AK156" s="55"/>
      <c r="AL156" s="55"/>
    </row>
    <row r="157" spans="1:38" s="23" customFormat="1" x14ac:dyDescent="0.25">
      <c r="A157" s="39" t="s">
        <v>594</v>
      </c>
      <c r="B157" s="7">
        <v>4043</v>
      </c>
      <c r="C157" s="24" t="s">
        <v>106</v>
      </c>
      <c r="D157" s="24" t="s">
        <v>665</v>
      </c>
      <c r="E157" s="15">
        <v>42648.011805555558</v>
      </c>
      <c r="F157" s="15">
        <v>42648.018414351849</v>
      </c>
      <c r="G157" s="7">
        <v>3</v>
      </c>
      <c r="H157" s="15" t="s">
        <v>199</v>
      </c>
      <c r="I157" s="15">
        <v>42648.044224537036</v>
      </c>
      <c r="J157" s="7">
        <v>0</v>
      </c>
      <c r="K157" s="117" t="str">
        <f>IF(ISEVEN(B157),(B157-1)&amp;"/"&amp;B157,B157&amp;"/"&amp;(B157+1))</f>
        <v>4043/4044</v>
      </c>
      <c r="L157" s="24" t="str">
        <f>VLOOKUP(A157,'Trips&amp;Operators'!$C$1:$E$10000,3,FALSE)</f>
        <v>COOLAHAN</v>
      </c>
      <c r="M157" s="6">
        <f>I157-F157</f>
        <v>2.5810185186855961E-2</v>
      </c>
      <c r="N157" s="7">
        <f>24*60*SUM($M157:$M157)</f>
        <v>37.166666669072583</v>
      </c>
      <c r="O157" s="7"/>
      <c r="P157" s="7"/>
      <c r="Q157" s="25"/>
      <c r="R157" s="25"/>
      <c r="S157" s="37">
        <f>SUM(U157:U157)/IF(AG157="EC",12,1)</f>
        <v>1</v>
      </c>
      <c r="T157" s="52" t="str">
        <f>IF(ISEVEN(LEFT(AD157,4)),"Southbound","NorthBound")</f>
        <v>Southbound</v>
      </c>
      <c r="U157" s="159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02" t="str">
        <f>"https://search-rtdc-monitor-bjffxe2xuh6vdkpspy63sjmuny.us-east-1.es.amazonaws.com/_plugin/kibana/#/discover/Steve-Slow-Train-Analysis-(2080s-and-2083s)?_g=(refreshInterval:(display:Off,section:0,value:0),time:(from:'"&amp;TEXT(E157-1/24,"yyyy-MM-DD hh:mm:ss")&amp;"-0600',mode:absolute,to:'"&amp;TEXT(I157+1/24,"yyyy-MM-DD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157&amp;"%22')),sort:!(Time,asc))"</f>
        <v>https://search-rtdc-monitor-bjffxe2xuh6vdkpspy63sjmuny.us-east-1.es.amazonaws.com/_plugin/kibana/#/discover/Steve-Slow-Train-Analysis-(2080s-and-2083s)?_g=(refreshInterval:(display:Off,section:0,value:0),time:(from:'2016-10-04 23:17:00-0600',mode:absolute,to:'2016-10-05 02:03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7" s="54" t="str">
        <f>IF(AA157&lt;IF(AG157="EC",23,5.65),"Y","N")</f>
        <v>N</v>
      </c>
      <c r="X157" s="164">
        <f>VALUE(LEFT(AD157,4))-VALUE(LEFT(AD156,4))</f>
        <v>1</v>
      </c>
      <c r="Y157" s="69">
        <f>RIGHT(D157,LEN(D157)-4)/10000</f>
        <v>23.3005</v>
      </c>
      <c r="Z157" s="69">
        <f>RIGHT(H157,LEN(H157)-4)/10000</f>
        <v>1.52E-2</v>
      </c>
      <c r="AA157" s="69">
        <f>ABS(Z157-Y157)</f>
        <v>23.285299999999999</v>
      </c>
      <c r="AB157" s="66" t="e">
        <f>VLOOKUP(A157,Enforcements!$C$7:$K$21,8,0)</f>
        <v>#N/A</v>
      </c>
      <c r="AC157" s="62" t="e">
        <f>VLOOKUP(A157,Enforcements!$C$7:$E$21,3,0)</f>
        <v>#N/A</v>
      </c>
      <c r="AD157" s="63" t="str">
        <f>IF(LEN(A157)=6,"0"&amp;A157,A157)</f>
        <v>0240-04</v>
      </c>
      <c r="AE157" s="9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s3://rtdc.mdm.uploadarchive.raw/RTDC4043/ "%USERPROFILE%\AppData\Local\Temp\OnboardLogs"\RTDC4043\2016-10-05 --exclude "*" --recursive --include "*20161005*" &amp; "%USERPROFILE%\Documents\GitHub\mrs-test-scripts\Headless Mode &amp; Sideloading\WalkAndUnGZ.bat" "%USERPROFILE%\AppData\Local\Temp\OnboardLogs"\RTDC4043\2016-10-05 &amp; aws s3 cp s3://rtdc.mdm.uploadarchive.raw/RTDC4043/ "%USERPROFILE%\AppData\Local\Temp\OnboardLogs"\RTDC4043\2016-10-06 --exclude "*" --recursive --include "*20161006*" &amp; "%USERPROFILE%\Documents\GitHub\mrs-test-scripts\Headless Mode &amp; Sideloading\WalkAndUnGZ.bat" "%USERPROFILE%\AppData\Local\Temp\OnboardLogs"\RTDC4043\2016-10-06</v>
      </c>
      <c r="AF157" s="92" t="str">
        <f>astrogrep_path&amp;" /spath="&amp;search_path&amp;" /stypes=""app*"&amp;B157&amp;"*"&amp;TEXT(I157-utc_offset/24,"YYYYMMDD")&amp;"*"" /stext="" "&amp;TEXT(I157-utc_offset/24,"HH")&amp;search_regexp&amp;""" /e /r /s"</f>
        <v>"C:\Program Files (x86)\AstroGrep\AstroGrep.exe" /spath="%USERPROFILE%\AppData\Local\Temp\OnboardLogs" /stypes="app*4043*20161005*" /stext=" 07:.+((SYSTEM_STATE.+slice.+state.+changed )|(ment ac)|(system.+state.+changed )|(\[timeout)|(PRM\|1\|D)|(kpr)|(kdp)|(\|lc)|(penalty))" /e /r /s</v>
      </c>
      <c r="AG157" s="1" t="str">
        <f>IFERROR(IF(VALUE(LEFT(AD157,2))&lt;=2,"EC",IF(OR(VALUE(LEFT(AD157,2))=8,VALUE(LEFT(AD157,2))=18),"NW","Other")),"Other")</f>
        <v>EC</v>
      </c>
      <c r="AH157" s="96" t="str">
        <f t="shared" si="6"/>
        <v>"%USERPROFILE%\Documents\GitHub\eaglep3\Utilities\RefineRTDCRunTimes.py" --tripid 240-04 --locoid 4043 --swversion DE.1.0.7.0 --startMP 204:233005 --initTime 2016-10-05T00:17:00 --startdatetime 2016-10-05T00:26:31 --delay 3 --endMP 204:152 --enddatetime 2016-10-05T01:03:41 --enforcementcount 0 &gt;&gt;C:\Users\stu\Documents\GitHub\eaglep3-reporting\EC\2016-10-04-refined-times.txt</v>
      </c>
      <c r="AI157" s="130" t="str">
        <f t="shared" si="7"/>
        <v>echo {"issue":{"subject":"","project_id":79,"tracker_id":40,"status_id":1,"priority_id":2,"assigned_to_id":23,"start_date":"2016-10-05","description":"","custom_fields":[{"id":1,"name":"Subdivision","value":"EC"},{"id":4,"name":"Milepost","value":"0.0152"},{"id":17,"name":"Train ID","value":"240-04"},{"id":16,"name":"Locomotive ID","value":"4043"},{"id":130,"name":"Impact","value":""},{"id":150,"name":"Time of Event (Mountain Time)","value":"01:03:41"},{"id":151,"name":"Denver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5"/>
      <c r="AK157" s="55"/>
      <c r="AL157" s="55"/>
    </row>
    <row r="158" spans="1:38" x14ac:dyDescent="0.25">
      <c r="A158" s="39" t="s">
        <v>591</v>
      </c>
      <c r="B158" s="7">
        <v>4042</v>
      </c>
      <c r="C158" s="24" t="s">
        <v>106</v>
      </c>
      <c r="D158" s="24" t="s">
        <v>324</v>
      </c>
      <c r="E158" s="15">
        <v>42647.987187500003</v>
      </c>
      <c r="F158" s="15">
        <v>42648.000150462962</v>
      </c>
      <c r="G158" s="7">
        <v>1</v>
      </c>
      <c r="H158" s="15" t="s">
        <v>317</v>
      </c>
      <c r="I158" s="15">
        <v>42648.024270833332</v>
      </c>
      <c r="J158" s="7">
        <v>0</v>
      </c>
      <c r="K158" s="117" t="str">
        <f>IF(ISEVEN(B158),(B158-1)&amp;"/"&amp;B158,B158&amp;"/"&amp;(B158+1))</f>
        <v>4041/4042</v>
      </c>
      <c r="L158" s="24" t="str">
        <f>VLOOKUP(A158,'Trips&amp;Operators'!$C$1:$E$10000,3,FALSE)</f>
        <v>YANAI</v>
      </c>
      <c r="M158" s="6">
        <f>I158-F158</f>
        <v>2.4120370369928423E-2</v>
      </c>
      <c r="N158" s="7">
        <f>24*60*SUM($M158:$M158)</f>
        <v>34.73333333269693</v>
      </c>
      <c r="O158" s="7"/>
      <c r="P158" s="7"/>
      <c r="Q158" s="25"/>
      <c r="R158" s="25"/>
      <c r="S158" s="37">
        <f>SUM(U158:U158)/IF(AG158="EC",12,1)</f>
        <v>1</v>
      </c>
      <c r="T158" s="52" t="str">
        <f>IF(ISEVEN(LEFT(AD158,4)),"Southbound","NorthBound")</f>
        <v>NorthBound</v>
      </c>
      <c r="U158" s="159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02" t="str">
        <f>"https://search-rtdc-monitor-bjffxe2xuh6vdkpspy63sjmuny.us-east-1.es.amazonaws.com/_plugin/kibana/#/discover/Steve-Slow-Train-Analysis-(2080s-and-2083s)?_g=(refreshInterval:(display:Off,section:0,value:0),time:(from:'"&amp;TEXT(E158-1/24,"yyyy-MM-DD hh:mm:ss")&amp;"-0600',mode:absolute,to:'"&amp;TEXT(I158+1/24,"yyyy-MM-DD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158&amp;"%22')),sort:!(Time,asc))"</f>
        <v>https://search-rtdc-monitor-bjffxe2xuh6vdkpspy63sjmuny.us-east-1.es.amazonaws.com/_plugin/kibana/#/discover/Steve-Slow-Train-Analysis-(2080s-and-2083s)?_g=(refreshInterval:(display:Off,section:0,value:0),time:(from:'2016-10-04 22:41:33-0600',mode:absolute,to:'2016-10-05 01:34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8" s="54" t="str">
        <f>IF(AA158&lt;IF(AG158="EC",23,5.65),"Y","N")</f>
        <v>N</v>
      </c>
      <c r="X158" s="164">
        <f>VALUE(LEFT(AD158,4))-VALUE(LEFT(AD157,4))</f>
        <v>1</v>
      </c>
      <c r="Y158" s="69">
        <f>RIGHT(D158,LEN(D158)-4)/10000</f>
        <v>4.4200000000000003E-2</v>
      </c>
      <c r="Z158" s="69">
        <f>RIGHT(H158,LEN(H158)-4)/10000</f>
        <v>23.329899999999999</v>
      </c>
      <c r="AA158" s="69">
        <f>ABS(Z158-Y158)</f>
        <v>23.285699999999999</v>
      </c>
      <c r="AB158" s="66" t="e">
        <f>VLOOKUP(A158,Enforcements!$C$7:$K$21,8,0)</f>
        <v>#N/A</v>
      </c>
      <c r="AC158" s="62" t="e">
        <f>VLOOKUP(A158,Enforcements!$C$7:$E$21,3,0)</f>
        <v>#N/A</v>
      </c>
      <c r="AD158" s="63" t="str">
        <f>IF(LEN(A158)=6,"0"&amp;A158,A158)</f>
        <v>0241-04</v>
      </c>
      <c r="AE158" s="9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s3://rtdc.mdm.uploadarchive.raw/RTDC4042/ "%USERPROFILE%\AppData\Local\Temp\OnboardLogs"\RTDC4042\2016-10-05 --exclude "*" --recursive --include "*20161005*" &amp; "%USERPROFILE%\Documents\GitHub\mrs-test-scripts\Headless Mode &amp; Sideloading\WalkAndUnGZ.bat" "%USERPROFILE%\AppData\Local\Temp\OnboardLogs"\RTDC4042\2016-10-05 &amp; aws s3 cp s3://rtdc.mdm.uploadarchive.raw/RTDC4042/ "%USERPROFILE%\AppData\Local\Temp\OnboardLogs"\RTDC4042\2016-10-06 --exclude "*" --recursive --include "*20161006*" &amp; "%USERPROFILE%\Documents\GitHub\mrs-test-scripts\Headless Mode &amp; Sideloading\WalkAndUnGZ.bat" "%USERPROFILE%\AppData\Local\Temp\OnboardLogs"\RTDC4042\2016-10-06</v>
      </c>
      <c r="AF158" s="92" t="str">
        <f>astrogrep_path&amp;" /spath="&amp;search_path&amp;" /stypes=""app*"&amp;B158&amp;"*"&amp;TEXT(I158-utc_offset/24,"YYYYMMDD")&amp;"*"" /stext="" "&amp;TEXT(I158-utc_offset/24,"HH")&amp;search_regexp&amp;""" /e /r /s"</f>
        <v>"C:\Program Files (x86)\AstroGrep\AstroGrep.exe" /spath="%USERPROFILE%\AppData\Local\Temp\OnboardLogs" /stypes="app*4042*20161005*" /stext=" 06:.+((SYSTEM_STATE.+slice.+state.+changed )|(ment ac)|(system.+state.+changed )|(\[timeout)|(PRM\|1\|D)|(kpr)|(kdp)|(\|lc)|(penalty))" /e /r /s</v>
      </c>
      <c r="AG158" s="1" t="str">
        <f>IFERROR(IF(VALUE(LEFT(AD158,2))&lt;=2,"EC",IF(OR(VALUE(LEFT(AD158,2))=8,VALUE(LEFT(AD158,2))=18),"NW","Other")),"Other")</f>
        <v>EC</v>
      </c>
      <c r="AH158" s="96" t="str">
        <f t="shared" si="6"/>
        <v>"%USERPROFILE%\Documents\GitHub\eaglep3\Utilities\RefineRTDCRunTimes.py" --tripid 241-04 --locoid 4042 --swversion DE.1.0.7.0 --startMP 204:442 --initTime 2016-10-04T23:41:33 --startdatetime 2016-10-05T00:00:13 --delay 1 --endMP 204:233299 --enddatetime 2016-10-05T00:34:57 --enforcementcount 0 &gt;&gt;C:\Users\stu\Documents\GitHub\eaglep3-reporting\EC\2016-10-04-refined-times.txt</v>
      </c>
      <c r="AI158" s="130" t="str">
        <f t="shared" si="7"/>
        <v>echo {"issue":{"subject":"","project_id":79,"tracker_id":40,"status_id":1,"priority_id":2,"assigned_to_id":23,"start_date":"2016-10-05","description":"","custom_fields":[{"id":1,"name":"Subdivision","value":"EC"},{"id":4,"name":"Milepost","value":"23.3299"},{"id":17,"name":"Train ID","value":"241-04"},{"id":16,"name":"Locomotive ID","value":"4042"},{"id":130,"name":"Impact","value":""},{"id":150,"name":"Time of Event (Mountain Time)","value":"00:34:57"},{"id":151,"name":"Denver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5"/>
      <c r="AK158" s="55"/>
      <c r="AL158" s="55"/>
    </row>
    <row r="159" spans="1:38" s="23" customFormat="1" x14ac:dyDescent="0.25">
      <c r="A159" s="39" t="s">
        <v>597</v>
      </c>
      <c r="B159" s="7">
        <v>4041</v>
      </c>
      <c r="C159" s="24" t="s">
        <v>106</v>
      </c>
      <c r="D159" s="24" t="s">
        <v>666</v>
      </c>
      <c r="E159" s="15">
        <v>42648.055949074071</v>
      </c>
      <c r="F159" s="15">
        <v>42648.056608796294</v>
      </c>
      <c r="G159" s="7">
        <v>0</v>
      </c>
      <c r="H159" s="15" t="s">
        <v>667</v>
      </c>
      <c r="I159" s="15">
        <v>42648.072916666664</v>
      </c>
      <c r="J159" s="7">
        <v>0</v>
      </c>
      <c r="K159" s="117" t="str">
        <f>IF(ISEVEN(B159),(B159-1)&amp;"/"&amp;B159,B159&amp;"/"&amp;(B159+1))</f>
        <v>4041/4042</v>
      </c>
      <c r="L159" s="24" t="str">
        <f>VLOOKUP(A159,'Trips&amp;Operators'!$C$1:$E$10000,3,FALSE)</f>
        <v>YANAI</v>
      </c>
      <c r="M159" s="6">
        <f>I159-F159</f>
        <v>1.6307870369928423E-2</v>
      </c>
      <c r="N159" s="7"/>
      <c r="O159" s="7"/>
      <c r="P159" s="7">
        <f>24*60*SUM($M159:$M160)</f>
        <v>39.633333336096257</v>
      </c>
      <c r="Q159" s="25"/>
      <c r="R159" s="25" t="s">
        <v>799</v>
      </c>
      <c r="S159" s="37">
        <f>SUM(U159:U159)/IF(AG159="EC",12,1)</f>
        <v>1</v>
      </c>
      <c r="T159" s="52" t="str">
        <f>IF(ISEVEN(LEFT(AD159,4)),"Southbound","NorthBound")</f>
        <v>Southbound</v>
      </c>
      <c r="U159" s="159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02" t="str">
        <f>"https://search-rtdc-monitor-bjffxe2xuh6vdkpspy63sjmuny.us-east-1.es.amazonaws.com/_plugin/kibana/#/discover/Steve-Slow-Train-Analysis-(2080s-and-2083s)?_g=(refreshInterval:(display:Off,section:0,value:0),time:(from:'"&amp;TEXT(E159-1/24,"yyyy-MM-DD hh:mm:ss")&amp;"-0600',mode:absolute,to:'"&amp;TEXT(I159+1/24,"yyyy-MM-DD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159&amp;"%22')),sort:!(Time,asc))"</f>
        <v>https://search-rtdc-monitor-bjffxe2xuh6vdkpspy63sjmuny.us-east-1.es.amazonaws.com/_plugin/kibana/#/discover/Steve-Slow-Train-Analysis-(2080s-and-2083s)?_g=(refreshInterval:(display:Off,section:0,value:0),time:(from:'2016-10-05 00:20:34-0600',mode:absolute,to:'2016-10-05 02:45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9" s="54" t="str">
        <f>IF(AA159&lt;IF(AG159="EC",23,5.65),"Y","N")</f>
        <v>Y</v>
      </c>
      <c r="X159" s="164">
        <f>VALUE(LEFT(AD159,4))-VALUE(LEFT(AD158,4))</f>
        <v>1</v>
      </c>
      <c r="Y159" s="69">
        <f>RIGHT(D159,LEN(D159)-4)/10000</f>
        <v>12.789300000000001</v>
      </c>
      <c r="Z159" s="69">
        <f>RIGHT(H159,LEN(H159)-4)/10000</f>
        <v>2.4500000000000001E-2</v>
      </c>
      <c r="AA159" s="69">
        <f>ABS(Z159-Y159)</f>
        <v>12.764800000000001</v>
      </c>
      <c r="AB159" s="66" t="e">
        <f>VLOOKUP(A159,Enforcements!$C$7:$K$21,8,0)</f>
        <v>#N/A</v>
      </c>
      <c r="AC159" s="62" t="e">
        <f>VLOOKUP(A159,Enforcements!$C$7:$E$21,3,0)</f>
        <v>#N/A</v>
      </c>
      <c r="AD159" s="63" t="str">
        <f>IF(LEN(A159)=6,"0"&amp;A159,A159)</f>
        <v>0242-04</v>
      </c>
      <c r="AE159" s="9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s3://rtdc.mdm.uploadarchive.raw/RTDC4041/ "%USERPROFILE%\AppData\Local\Temp\OnboardLogs"\RTDC4041\2016-10-05 --exclude "*" --recursive --include "*20161005*" &amp; "%USERPROFILE%\Documents\GitHub\mrs-test-scripts\Headless Mode &amp; Sideloading\WalkAndUnGZ.bat" "%USERPROFILE%\AppData\Local\Temp\OnboardLogs"\RTDC4041\2016-10-05 &amp; aws s3 cp s3://rtdc.mdm.uploadarchive.raw/RTDC4041/ "%USERPROFILE%\AppData\Local\Temp\OnboardLogs"\RTDC4041\2016-10-06 --exclude "*" --recursive --include "*20161006*" &amp; "%USERPROFILE%\Documents\GitHub\mrs-test-scripts\Headless Mode &amp; Sideloading\WalkAndUnGZ.bat" "%USERPROFILE%\AppData\Local\Temp\OnboardLogs"\RTDC4041\2016-10-06</v>
      </c>
      <c r="AF159" s="92" t="str">
        <f>astrogrep_path&amp;" /spath="&amp;search_path&amp;" /stypes=""app*"&amp;B159&amp;"*"&amp;TEXT(I159-utc_offset/24,"YYYYMMDD")&amp;"*"" /stext="" "&amp;TEXT(I159-utc_offset/24,"HH")&amp;search_regexp&amp;""" /e /r /s"</f>
        <v>"C:\Program Files (x86)\AstroGrep\AstroGrep.exe" /spath="%USERPROFILE%\AppData\Local\Temp\OnboardLogs" /stypes="app*4041*20161005*" /stext=" 07:.+((SYSTEM_STATE.+slice.+state.+changed )|(ment ac)|(system.+state.+changed )|(\[timeout)|(PRM\|1\|D)|(kpr)|(kdp)|(\|lc)|(penalty))" /e /r /s</v>
      </c>
      <c r="AG159" s="1" t="str">
        <f>IFERROR(IF(VALUE(LEFT(AD159,2))&lt;=2,"EC",IF(OR(VALUE(LEFT(AD159,2))=8,VALUE(LEFT(AD159,2))=18),"NW","Other")),"Other")</f>
        <v>EC</v>
      </c>
      <c r="AH159" s="96" t="str">
        <f t="shared" si="6"/>
        <v>"%USERPROFILE%\Documents\GitHub\eaglep3\Utilities\RefineRTDCRunTimes.py" --tripid 242-04 --locoid 4041 --swversion DE.1.0.7.0 --startMP 204:127893 --initTime 2016-10-05T01:20:34 --startdatetime 2016-10-05T01:21:31 --delay 0 --endMP 204:245 --enddatetime 2016-10-05T01:45:00 --enforcementcount 0 &gt;&gt;C:\Users\stu\Documents\GitHub\eaglep3-reporting\EC\2016-10-04-refined-times.txt</v>
      </c>
      <c r="AI159" s="130" t="str">
        <f t="shared" si="7"/>
        <v>echo {"issue":{"subject":"61st 2S stuck at STOP - maintenance at 40th","project_id":79,"tracker_id":40,"status_id":1,"priority_id":2,"assigned_to_id":23,"start_date":"2016-10-05","description":"At 01:04:05.375, received clear requests for 61st 2S, the signal didn't clear until 01:04:05.375. Was anything wrong with the location, or was this simply dispatcher error?","custom_fields":[{"id":1,"name":"Subdivision","value":"EC"},{"id":4,"name":"Milepost","value":"0.0245"},{"id":17,"name":"Train ID","value":"242-04"},{"id":16,"name":"Locomotive ID","value":"4041"},{"id":130,"name":"Impact","value":"Unexpected Cut-Out or Disengaged"},{"id":150,"name":"Time of Event (Mountain Time)","value":"01:45:00"},{"id":151,"name":"Denver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59" s="55" t="s">
        <v>793</v>
      </c>
      <c r="AK159" s="55" t="s">
        <v>140</v>
      </c>
      <c r="AL159" s="55" t="s">
        <v>139</v>
      </c>
    </row>
    <row r="160" spans="1:38" s="23" customFormat="1" x14ac:dyDescent="0.25">
      <c r="A160" s="39" t="s">
        <v>597</v>
      </c>
      <c r="B160" s="7">
        <v>4041</v>
      </c>
      <c r="C160" s="24" t="s">
        <v>106</v>
      </c>
      <c r="D160" s="24" t="s">
        <v>261</v>
      </c>
      <c r="E160" s="15">
        <v>42648.035833333335</v>
      </c>
      <c r="F160" s="15">
        <v>42648.036724537036</v>
      </c>
      <c r="G160" s="7">
        <v>1</v>
      </c>
      <c r="H160" s="15" t="s">
        <v>668</v>
      </c>
      <c r="I160" s="15">
        <v>42648.047939814816</v>
      </c>
      <c r="J160" s="7">
        <v>0</v>
      </c>
      <c r="K160" s="117" t="str">
        <f>IF(ISEVEN(B160),(B160-1)&amp;"/"&amp;B160,B160&amp;"/"&amp;(B160+1))</f>
        <v>4041/4042</v>
      </c>
      <c r="L160" s="24" t="str">
        <f>VLOOKUP(A160,'Trips&amp;Operators'!$C$1:$E$10000,3,FALSE)</f>
        <v>YANAI</v>
      </c>
      <c r="M160" s="6">
        <f>I160-F160</f>
        <v>1.1215277780138422E-2</v>
      </c>
      <c r="N160" s="7"/>
      <c r="O160" s="7"/>
      <c r="P160" s="7"/>
      <c r="Q160" s="25"/>
      <c r="R160" s="25"/>
      <c r="S160" s="37"/>
      <c r="T160" s="52" t="str">
        <f>IF(ISEVEN(LEFT(AD160,4)),"Southbound","NorthBound")</f>
        <v>Southbound</v>
      </c>
      <c r="U160" s="159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0</v>
      </c>
      <c r="V160" s="102" t="str">
        <f>"https://search-rtdc-monitor-bjffxe2xuh6vdkpspy63sjmuny.us-east-1.es.amazonaws.com/_plugin/kibana/#/discover/Steve-Slow-Train-Analysis-(2080s-and-2083s)?_g=(refreshInterval:(display:Off,section:0,value:0),time:(from:'"&amp;TEXT(E160-1/24,"yyyy-MM-DD hh:mm:ss")&amp;"-0600',mode:absolute,to:'"&amp;TEXT(I160+1/24,"yyyy-MM-DD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160&amp;"%22')),sort:!(Time,asc))"</f>
        <v>https://search-rtdc-monitor-bjffxe2xuh6vdkpspy63sjmuny.us-east-1.es.amazonaws.com/_plugin/kibana/#/discover/Steve-Slow-Train-Analysis-(2080s-and-2083s)?_g=(refreshInterval:(display:Off,section:0,value:0),time:(from:'2016-10-04 23:51:36-0600',mode:absolute,to:'2016-10-05 02:09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60" s="54" t="str">
        <f>IF(AA160&lt;IF(AG160="EC",23,5.65),"Y","N")</f>
        <v>Y</v>
      </c>
      <c r="X160" s="164">
        <f>VALUE(LEFT(AD160,4))-VALUE(LEFT(AD159,4))</f>
        <v>0</v>
      </c>
      <c r="Y160" s="69">
        <f>RIGHT(D160,LEN(D160)-4)/10000</f>
        <v>23.296900000000001</v>
      </c>
      <c r="Z160" s="69">
        <f>RIGHT(H160,LEN(H160)-4)/10000</f>
        <v>15.8413</v>
      </c>
      <c r="AA160" s="69">
        <f>ABS(Z160-Y160)</f>
        <v>7.4556000000000004</v>
      </c>
      <c r="AB160" s="66" t="e">
        <f>VLOOKUP(A160,Enforcements!$C$7:$K$21,8,0)</f>
        <v>#N/A</v>
      </c>
      <c r="AC160" s="62" t="e">
        <f>VLOOKUP(A160,Enforcements!$C$7:$E$21,3,0)</f>
        <v>#N/A</v>
      </c>
      <c r="AD160" s="63" t="str">
        <f>IF(LEN(A160)=6,"0"&amp;A160,A160)</f>
        <v>0242-04</v>
      </c>
      <c r="AE160" s="9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s3://rtdc.mdm.uploadarchive.raw/RTDC4041/ "%USERPROFILE%\AppData\Local\Temp\OnboardLogs"\RTDC4041\2016-10-05 --exclude "*" --recursive --include "*20161005*" &amp; "%USERPROFILE%\Documents\GitHub\mrs-test-scripts\Headless Mode &amp; Sideloading\WalkAndUnGZ.bat" "%USERPROFILE%\AppData\Local\Temp\OnboardLogs"\RTDC4041\2016-10-05 &amp; aws s3 cp s3://rtdc.mdm.uploadarchive.raw/RTDC4041/ "%USERPROFILE%\AppData\Local\Temp\OnboardLogs"\RTDC4041\2016-10-06 --exclude "*" --recursive --include "*20161006*" &amp; "%USERPROFILE%\Documents\GitHub\mrs-test-scripts\Headless Mode &amp; Sideloading\WalkAndUnGZ.bat" "%USERPROFILE%\AppData\Local\Temp\OnboardLogs"\RTDC4041\2016-10-06</v>
      </c>
      <c r="AF160" s="92" t="str">
        <f>astrogrep_path&amp;" /spath="&amp;search_path&amp;" /stypes=""app*"&amp;B160&amp;"*"&amp;TEXT(I160-utc_offset/24,"YYYYMMDD")&amp;"*"" /stext="" "&amp;TEXT(I160-utc_offset/24,"HH")&amp;search_regexp&amp;""" /e /r /s"</f>
        <v>"C:\Program Files (x86)\AstroGrep\AstroGrep.exe" /spath="%USERPROFILE%\AppData\Local\Temp\OnboardLogs" /stypes="app*4041*20161005*" /stext=" 07:.+((SYSTEM_STATE.+slice.+state.+changed )|(ment ac)|(system.+state.+changed )|(\[timeout)|(PRM\|1\|D)|(kpr)|(kdp)|(\|lc)|(penalty))" /e /r /s</v>
      </c>
      <c r="AG160" s="1" t="str">
        <f>IFERROR(IF(VALUE(LEFT(AD160,2))&lt;=2,"EC",IF(OR(VALUE(LEFT(AD160,2))=8,VALUE(LEFT(AD160,2))=18),"NW","Other")),"Other")</f>
        <v>EC</v>
      </c>
      <c r="AH160" s="96" t="str">
        <f t="shared" si="6"/>
        <v>"%USERPROFILE%\Documents\GitHub\eaglep3\Utilities\RefineRTDCRunTimes.py" --tripid 242-04 --locoid 4041 --swversion DE.1.0.7.0 --startMP 204:232969 --initTime 2016-10-05T00:51:36 --startdatetime 2016-10-05T00:52:53 --delay 1 --endMP 204:158413 --enddatetime 2016-10-05T01:09:02 --enforcementcount 0 &gt;&gt;C:\Users\stu\Documents\GitHub\eaglep3-reporting\EC\2016-10-04-refined-times.txt</v>
      </c>
      <c r="AI160" s="130" t="str">
        <f t="shared" si="7"/>
        <v>echo {"issue":{"subject":"","project_id":79,"tracker_id":40,"status_id":1,"priority_id":2,"assigned_to_id":23,"start_date":"2016-10-05","description":"","custom_fields":[{"id":1,"name":"Subdivision","value":"EC"},{"id":4,"name":"Milepost","value":"15.8413"},{"id":17,"name":"Train ID","value":"242-04"},{"id":16,"name":"Locomotive ID","value":"4041"},{"id":130,"name":"Impact","value":""},{"id":150,"name":"Time of Event (Mountain Time)","value":"01:09:02"},{"id":151,"name":"Denver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5"/>
      <c r="AK160" s="55"/>
      <c r="AL160" s="55"/>
    </row>
    <row r="161" spans="1:38" s="23" customFormat="1" x14ac:dyDescent="0.25">
      <c r="A161" s="39" t="s">
        <v>595</v>
      </c>
      <c r="B161" s="7">
        <v>4029</v>
      </c>
      <c r="C161" s="24" t="s">
        <v>106</v>
      </c>
      <c r="D161" s="24" t="s">
        <v>204</v>
      </c>
      <c r="E161" s="15">
        <v>42648.022233796299</v>
      </c>
      <c r="F161" s="15">
        <v>42648.023125</v>
      </c>
      <c r="G161" s="7">
        <v>0</v>
      </c>
      <c r="H161" s="15" t="s">
        <v>241</v>
      </c>
      <c r="I161" s="15">
        <v>42648.048750000002</v>
      </c>
      <c r="J161" s="7">
        <v>0</v>
      </c>
      <c r="K161" s="117" t="str">
        <f>IF(ISEVEN(B161),(B161-1)&amp;"/"&amp;B161,B161&amp;"/"&amp;(B161+1))</f>
        <v>4029/4030</v>
      </c>
      <c r="L161" s="24" t="str">
        <f>VLOOKUP(A161,'Trips&amp;Operators'!$C$1:$E$10000,3,FALSE)</f>
        <v>CHANDLER</v>
      </c>
      <c r="M161" s="6">
        <f>I161-F161</f>
        <v>2.5625000002037268E-2</v>
      </c>
      <c r="N161" s="7">
        <f>24*60*SUM($M161:$M161)</f>
        <v>36.900000002933666</v>
      </c>
      <c r="O161" s="7"/>
      <c r="P161" s="7"/>
      <c r="Q161" s="25"/>
      <c r="R161" s="25"/>
      <c r="S161" s="37">
        <f>SUM(U161:U161)/IF(AG161="EC",12,1)</f>
        <v>1</v>
      </c>
      <c r="T161" s="52" t="str">
        <f>IF(ISEVEN(LEFT(AD161,4)),"Southbound","NorthBound")</f>
        <v>NorthBound</v>
      </c>
      <c r="U161" s="159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102" t="str">
        <f>"https://search-rtdc-monitor-bjffxe2xuh6vdkpspy63sjmuny.us-east-1.es.amazonaws.com/_plugin/kibana/#/discover/Steve-Slow-Train-Analysis-(2080s-and-2083s)?_g=(refreshInterval:(display:Off,section:0,value:0),time:(from:'"&amp;TEXT(E161-1/24,"yyyy-MM-DD hh:mm:ss")&amp;"-0600',mode:absolute,to:'"&amp;TEXT(I161+1/24,"yyyy-MM-DD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161&amp;"%22')),sort:!(Time,asc))"</f>
        <v>https://search-rtdc-monitor-bjffxe2xuh6vdkpspy63sjmuny.us-east-1.es.amazonaws.com/_plugin/kibana/#/discover/Steve-Slow-Train-Analysis-(2080s-and-2083s)?_g=(refreshInterval:(display:Off,section:0,value:0),time:(from:'2016-10-04 23:32:01-0600',mode:absolute,to:'2016-10-05 02:10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61" s="54" t="str">
        <f>IF(AA161&lt;IF(AG161="EC",23,5.65),"Y","N")</f>
        <v>N</v>
      </c>
      <c r="X161" s="164">
        <f>VALUE(LEFT(AD161,4))-VALUE(LEFT(AD160,4))</f>
        <v>1</v>
      </c>
      <c r="Y161" s="69">
        <f>RIGHT(D161,LEN(D161)-4)/10000</f>
        <v>4.58E-2</v>
      </c>
      <c r="Z161" s="69">
        <f>RIGHT(H161,LEN(H161)-4)/10000</f>
        <v>23.3309</v>
      </c>
      <c r="AA161" s="69">
        <f>ABS(Z161-Y161)</f>
        <v>23.2851</v>
      </c>
      <c r="AB161" s="66" t="e">
        <f>VLOOKUP(A161,Enforcements!$C$7:$K$21,8,0)</f>
        <v>#N/A</v>
      </c>
      <c r="AC161" s="62" t="e">
        <f>VLOOKUP(A161,Enforcements!$C$7:$E$21,3,0)</f>
        <v>#N/A</v>
      </c>
      <c r="AD161" s="63" t="str">
        <f>IF(LEN(A161)=6,"0"&amp;A161,A161)</f>
        <v>0243-04</v>
      </c>
      <c r="AE161" s="9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s3://rtdc.mdm.uploadarchive.raw/RTDC4029/ "%USERPROFILE%\AppData\Local\Temp\OnboardLogs"\RTDC4029\2016-10-05 --exclude "*" --recursive --include "*20161005*" &amp; "%USERPROFILE%\Documents\GitHub\mrs-test-scripts\Headless Mode &amp; Sideloading\WalkAndUnGZ.bat" "%USERPROFILE%\AppData\Local\Temp\OnboardLogs"\RTDC4029\2016-10-05 &amp; aws s3 cp s3://rtdc.mdm.uploadarchive.raw/RTDC4029/ "%USERPROFILE%\AppData\Local\Temp\OnboardLogs"\RTDC4029\2016-10-06 --exclude "*" --recursive --include "*20161006*" &amp; "%USERPROFILE%\Documents\GitHub\mrs-test-scripts\Headless Mode &amp; Sideloading\WalkAndUnGZ.bat" "%USERPROFILE%\AppData\Local\Temp\OnboardLogs"\RTDC4029\2016-10-06</v>
      </c>
      <c r="AF161" s="92" t="str">
        <f>astrogrep_path&amp;" /spath="&amp;search_path&amp;" /stypes=""app*"&amp;B161&amp;"*"&amp;TEXT(I161-utc_offset/24,"YYYYMMDD")&amp;"*"" /stext="" "&amp;TEXT(I161-utc_offset/24,"HH")&amp;search_regexp&amp;""" /e /r /s"</f>
        <v>"C:\Program Files (x86)\AstroGrep\AstroGrep.exe" /spath="%USERPROFILE%\AppData\Local\Temp\OnboardLogs" /stypes="app*4029*20161005*" /stext=" 07:.+((SYSTEM_STATE.+slice.+state.+changed )|(ment ac)|(system.+state.+changed )|(\[timeout)|(PRM\|1\|D)|(kpr)|(kdp)|(\|lc)|(penalty))" /e /r /s</v>
      </c>
      <c r="AG161" s="1" t="str">
        <f>IFERROR(IF(VALUE(LEFT(AD161,2))&lt;=2,"EC",IF(OR(VALUE(LEFT(AD161,2))=8,VALUE(LEFT(AD161,2))=18),"NW","Other")),"Other")</f>
        <v>EC</v>
      </c>
      <c r="AH161" s="96" t="str">
        <f t="shared" si="6"/>
        <v>"%USERPROFILE%\Documents\GitHub\eaglep3\Utilities\RefineRTDCRunTimes.py" --tripid 243-04 --locoid 4029 --swversion DE.1.0.7.0 --startMP 204:458 --initTime 2016-10-05T00:32:01 --startdatetime 2016-10-05T00:33:18 --delay 0 --endMP 204:233309 --enddatetime 2016-10-05T01:10:12 --enforcementcount 0 &gt;&gt;C:\Users\stu\Documents\GitHub\eaglep3-reporting\EC\2016-10-04-refined-times.txt</v>
      </c>
      <c r="AI161" s="130" t="str">
        <f t="shared" si="7"/>
        <v>echo {"issue":{"subject":"","project_id":79,"tracker_id":40,"status_id":1,"priority_id":2,"assigned_to_id":23,"start_date":"2016-10-05","description":"","custom_fields":[{"id":1,"name":"Subdivision","value":"EC"},{"id":4,"name":"Milepost","value":"23.3309"},{"id":17,"name":"Train ID","value":"243-04"},{"id":16,"name":"Locomotive ID","value":"4029"},{"id":130,"name":"Impact","value":""},{"id":150,"name":"Time of Event (Mountain Time)","value":"01:10:12"},{"id":151,"name":"Denver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5"/>
      <c r="AK161" s="55"/>
      <c r="AL161" s="55"/>
    </row>
    <row r="162" spans="1:38" s="23" customFormat="1" x14ac:dyDescent="0.25">
      <c r="A162" s="39" t="s">
        <v>600</v>
      </c>
      <c r="B162" s="7">
        <v>4030</v>
      </c>
      <c r="C162" s="24" t="s">
        <v>106</v>
      </c>
      <c r="D162" s="24" t="s">
        <v>249</v>
      </c>
      <c r="E162" s="15">
        <v>42648.058530092596</v>
      </c>
      <c r="F162" s="15">
        <v>42648.060115740744</v>
      </c>
      <c r="G162" s="7">
        <v>1</v>
      </c>
      <c r="H162" s="15" t="s">
        <v>316</v>
      </c>
      <c r="I162" s="15">
        <v>42648.086770833332</v>
      </c>
      <c r="J162" s="7">
        <v>0</v>
      </c>
      <c r="K162" s="117" t="str">
        <f>IF(ISEVEN(B162),(B162-1)&amp;"/"&amp;B162,B162&amp;"/"&amp;(B162+1))</f>
        <v>4029/4030</v>
      </c>
      <c r="L162" s="24" t="str">
        <f>VLOOKUP(A162,'Trips&amp;Operators'!$C$1:$E$10000,3,FALSE)</f>
        <v>CHANDLER</v>
      </c>
      <c r="M162" s="6">
        <f>I162-F162</f>
        <v>2.6655092588043772E-2</v>
      </c>
      <c r="N162" s="7">
        <f>24*60*SUM($M162:$M162)</f>
        <v>38.383333326783031</v>
      </c>
      <c r="O162" s="7"/>
      <c r="P162" s="7"/>
      <c r="Q162" s="25"/>
      <c r="R162" s="25"/>
      <c r="S162" s="37">
        <f>SUM(U162:U162)/IF(AG162="EC",12,1)</f>
        <v>1</v>
      </c>
      <c r="T162" s="52" t="str">
        <f>IF(ISEVEN(LEFT(AD162,4)),"Southbound","NorthBound")</f>
        <v>Southbound</v>
      </c>
      <c r="U162" s="159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12</v>
      </c>
      <c r="V162" s="102" t="str">
        <f>"https://search-rtdc-monitor-bjffxe2xuh6vdkpspy63sjmuny.us-east-1.es.amazonaws.com/_plugin/kibana/#/discover/Steve-Slow-Train-Analysis-(2080s-and-2083s)?_g=(refreshInterval:(display:Off,section:0,value:0),time:(from:'"&amp;TEXT(E162-1/24,"yyyy-MM-DD hh:mm:ss")&amp;"-0600',mode:absolute,to:'"&amp;TEXT(I162+1/24,"yyyy-MM-DD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162&amp;"%22')),sort:!(Time,asc))"</f>
        <v>https://search-rtdc-monitor-bjffxe2xuh6vdkpspy63sjmuny.us-east-1.es.amazonaws.com/_plugin/kibana/#/discover/Steve-Slow-Train-Analysis-(2080s-and-2083s)?_g=(refreshInterval:(display:Off,section:0,value:0),time:(from:'2016-10-05 00:24:17-0600',mode:absolute,to:'2016-10-05 03:04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62" s="54" t="str">
        <f>IF(AA162&lt;IF(AG162="EC",23,5.65),"Y","N")</f>
        <v>N</v>
      </c>
      <c r="X162" s="164">
        <f>VALUE(LEFT(AD162,4))-VALUE(LEFT(AD161,4))</f>
        <v>1</v>
      </c>
      <c r="Y162" s="69">
        <f>RIGHT(D162,LEN(D162)-4)/10000</f>
        <v>23.2986</v>
      </c>
      <c r="Z162" s="69">
        <f>RIGHT(H162,LEN(H162)-4)/10000</f>
        <v>1.7600000000000001E-2</v>
      </c>
      <c r="AA162" s="69">
        <f>ABS(Z162-Y162)</f>
        <v>23.280999999999999</v>
      </c>
      <c r="AB162" s="66" t="e">
        <f>VLOOKUP(A162,Enforcements!$C$7:$K$21,8,0)</f>
        <v>#N/A</v>
      </c>
      <c r="AC162" s="62" t="e">
        <f>VLOOKUP(A162,Enforcements!$C$7:$E$21,3,0)</f>
        <v>#N/A</v>
      </c>
      <c r="AD162" s="63" t="str">
        <f>IF(LEN(A162)=6,"0"&amp;A162,A162)</f>
        <v>0244-04</v>
      </c>
      <c r="AE162" s="9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s3://rtdc.mdm.uploadarchive.raw/RTDC4030/ "%USERPROFILE%\AppData\Local\Temp\OnboardLogs"\RTDC4030\2016-10-05 --exclude "*" --recursive --include "*20161005*" &amp; "%USERPROFILE%\Documents\GitHub\mrs-test-scripts\Headless Mode &amp; Sideloading\WalkAndUnGZ.bat" "%USERPROFILE%\AppData\Local\Temp\OnboardLogs"\RTDC4030\2016-10-05 &amp; aws s3 cp s3://rtdc.mdm.uploadarchive.raw/RTDC4030/ "%USERPROFILE%\AppData\Local\Temp\OnboardLogs"\RTDC4030\2016-10-06 --exclude "*" --recursive --include "*20161006*" &amp; "%USERPROFILE%\Documents\GitHub\mrs-test-scripts\Headless Mode &amp; Sideloading\WalkAndUnGZ.bat" "%USERPROFILE%\AppData\Local\Temp\OnboardLogs"\RTDC4030\2016-10-06</v>
      </c>
      <c r="AF162" s="92" t="str">
        <f>astrogrep_path&amp;" /spath="&amp;search_path&amp;" /stypes=""app*"&amp;B162&amp;"*"&amp;TEXT(I162-utc_offset/24,"YYYYMMDD")&amp;"*"" /stext="" "&amp;TEXT(I162-utc_offset/24,"HH")&amp;search_regexp&amp;""" /e /r /s"</f>
        <v>"C:\Program Files (x86)\AstroGrep\AstroGrep.exe" /spath="%USERPROFILE%\AppData\Local\Temp\OnboardLogs" /stypes="app*4030*20161005*" /stext=" 08:.+((SYSTEM_STATE.+slice.+state.+changed )|(ment ac)|(system.+state.+changed )|(\[timeout)|(PRM\|1\|D)|(kpr)|(kdp)|(\|lc)|(penalty))" /e /r /s</v>
      </c>
      <c r="AG162" s="1" t="str">
        <f>IFERROR(IF(VALUE(LEFT(AD162,2))&lt;=2,"EC",IF(OR(VALUE(LEFT(AD162,2))=8,VALUE(LEFT(AD162,2))=18),"NW","Other")),"Other")</f>
        <v>EC</v>
      </c>
      <c r="AH162" s="96" t="str">
        <f t="shared" si="6"/>
        <v>"%USERPROFILE%\Documents\GitHub\eaglep3\Utilities\RefineRTDCRunTimes.py" --tripid 244-04 --locoid 4030 --swversion DE.1.0.7.0 --startMP 204:232986 --initTime 2016-10-05T01:24:17 --startdatetime 2016-10-05T01:26:34 --delay 1 --endMP 204:176 --enddatetime 2016-10-05T02:04:57 --enforcementcount 0 &gt;&gt;C:\Users\stu\Documents\GitHub\eaglep3-reporting\EC\2016-10-04-refined-times.txt</v>
      </c>
      <c r="AI162" s="130" t="str">
        <f t="shared" si="7"/>
        <v>echo {"issue":{"subject":"","project_id":79,"tracker_id":40,"status_id":1,"priority_id":2,"assigned_to_id":23,"start_date":"2016-10-05","description":"","custom_fields":[{"id":1,"name":"Subdivision","value":"EC"},{"id":4,"name":"Milepost","value":"0.0176"},{"id":17,"name":"Train ID","value":"244-04"},{"id":16,"name":"Locomotive ID","value":"4030"},{"id":130,"name":"Impact","value":""},{"id":150,"name":"Time of Event (Mountain Time)","value":"02:04:57"},{"id":151,"name":"Denver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5"/>
      <c r="AK162" s="55"/>
      <c r="AL162" s="55"/>
    </row>
    <row r="163" spans="1:38" s="23" customFormat="1" x14ac:dyDescent="0.25">
      <c r="A163" s="39" t="s">
        <v>380</v>
      </c>
      <c r="B163" s="7">
        <v>4004</v>
      </c>
      <c r="C163" s="24" t="s">
        <v>106</v>
      </c>
      <c r="D163" s="24" t="s">
        <v>726</v>
      </c>
      <c r="E163" s="15">
        <v>42647.215069444443</v>
      </c>
      <c r="F163" s="15">
        <v>42647.217534722222</v>
      </c>
      <c r="G163" s="7">
        <v>1</v>
      </c>
      <c r="H163" s="15" t="s">
        <v>727</v>
      </c>
      <c r="I163" s="15">
        <v>42647.228414351855</v>
      </c>
      <c r="J163" s="7">
        <v>0</v>
      </c>
      <c r="K163" s="117" t="str">
        <f>IF(ISEVEN(B163),(B163-1)&amp;"/"&amp;B163,B163&amp;"/"&amp;(B163+1))</f>
        <v>4003/4004</v>
      </c>
      <c r="L163" s="24" t="str">
        <f>VLOOKUP(A163,'Trips&amp;Operators'!$C$1:$E$10000,3,FALSE)</f>
        <v>STARKS</v>
      </c>
      <c r="M163" s="6">
        <f>I163-F163</f>
        <v>1.0879629633564036E-2</v>
      </c>
      <c r="N163" s="7">
        <f>24*60*SUM($M163:$M163)</f>
        <v>15.666666672332212</v>
      </c>
      <c r="O163" s="7"/>
      <c r="P163" s="7"/>
      <c r="Q163" s="25"/>
      <c r="R163" s="25"/>
      <c r="S163" s="37">
        <f>SUM(U163:U163)/IF(AG163="EC",12,1)</f>
        <v>1</v>
      </c>
      <c r="T163" s="52" t="str">
        <f>IF(ISEVEN(LEFT(AD163,4)),"Southbound","NorthBound")</f>
        <v>Southbound</v>
      </c>
      <c r="U163" s="159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02" t="str">
        <f>"https://search-rtdc-monitor-bjffxe2xuh6vdkpspy63sjmuny.us-east-1.es.amazonaws.com/_plugin/kibana/#/discover/Steve-Slow-Train-Analysis-(2080s-and-2083s)?_g=(refreshInterval:(display:Off,section:0,value:0),time:(from:'"&amp;TEXT(E163-1/24,"yyyy-MM-DD hh:mm:ss")&amp;"-0600',mode:absolute,to:'"&amp;TEXT(I163+1/24,"yyyy-MM-DD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163&amp;"%22')),sort:!(Time,asc))"</f>
        <v>https://search-rtdc-monitor-bjffxe2xuh6vdkpspy63sjmuny.us-east-1.es.amazonaws.com/_plugin/kibana/#/discover/Steve-Slow-Train-Analysis-(2080s-and-2083s)?_g=(refreshInterval:(display:Off,section:0,value:0),time:(from:'2016-10-04 04:09:42-0600',mode:absolute,to:'2016-10-04 06:28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3" s="54" t="str">
        <f>IF(AA163&lt;IF(AG163="EC",23,5.65),"Y","N")</f>
        <v>N</v>
      </c>
      <c r="X163" s="164">
        <f>VALUE(LEFT(AD163,4))-VALUE(LEFT(AD162,4))</f>
        <v>556</v>
      </c>
      <c r="Y163" s="69">
        <f>RIGHT(D163,LEN(D163)-4)/10000</f>
        <v>5.8609</v>
      </c>
      <c r="Z163" s="69">
        <f>RIGHT(H163,LEN(H163)-4)/10000</f>
        <v>7.3400000000000007E-2</v>
      </c>
      <c r="AA163" s="69">
        <f>ABS(Z163-Y163)</f>
        <v>5.7874999999999996</v>
      </c>
      <c r="AB163" s="66" t="e">
        <f>VLOOKUP(A163,Enforcements!$C$7:$K$21,8,0)</f>
        <v>#N/A</v>
      </c>
      <c r="AC163" s="62" t="e">
        <f>VLOOKUP(A163,Enforcements!$C$7:$E$21,3,0)</f>
        <v>#N/A</v>
      </c>
      <c r="AD163" s="63" t="str">
        <f>IF(LEN(A163)=6,"0"&amp;A163,A163)</f>
        <v>0800-04</v>
      </c>
      <c r="AE163" s="9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s3://rtdc.mdm.uploadarchive.raw/RTDC4004/ "%USERPROFILE%\AppData\Local\Temp\OnboardLogs"\RTDC4004\2016-10-04 --exclude "*" --recursive --include "*20161004*" &amp; "%USERPROFILE%\Documents\GitHub\mrs-test-scripts\Headless Mode &amp; Sideloading\WalkAndUnGZ.bat" "%USERPROFILE%\AppData\Local\Temp\OnboardLogs"\RTDC4004\2016-10-04 &amp; aws s3 cp s3://rtdc.mdm.uploadarchive.raw/RTDC4004/ "%USERPROFILE%\AppData\Local\Temp\OnboardLogs"\RTDC4004\2016-10-05 --exclude "*" --recursive --include "*20161005*" &amp; "%USERPROFILE%\Documents\GitHub\mrs-test-scripts\Headless Mode &amp; Sideloading\WalkAndUnGZ.bat" "%USERPROFILE%\AppData\Local\Temp\OnboardLogs"\RTDC4004\2016-10-05</v>
      </c>
      <c r="AF163" s="92" t="str">
        <f>astrogrep_path&amp;" /spath="&amp;search_path&amp;" /stypes=""app*"&amp;B163&amp;"*"&amp;TEXT(I163-utc_offset/24,"YYYYMMDD")&amp;"*"" /stext="" "&amp;TEXT(I163-utc_offset/24,"HH")&amp;search_regexp&amp;""" /e /r /s"</f>
        <v>"C:\Program Files (x86)\AstroGrep\AstroGrep.exe" /spath="%USERPROFILE%\AppData\Local\Temp\OnboardLogs" /stypes="app*4004*20161004*" /stext=" 11:.+((SYSTEM_STATE.+slice.+state.+changed )|(ment ac)|(system.+state.+changed )|(\[timeout)|(PRM\|1\|D)|(kpr)|(kdp)|(\|lc)|(penalty))" /e /r /s</v>
      </c>
      <c r="AG163" s="1" t="str">
        <f>IFERROR(IF(VALUE(LEFT(AD163,2))&lt;=2,"EC",IF(OR(VALUE(LEFT(AD163,2))=8,VALUE(LEFT(AD163,2))=18),"NW","Other")),"Other")</f>
        <v>NW</v>
      </c>
      <c r="AH163" s="96" t="str">
        <f t="shared" si="6"/>
        <v>"%USERPROFILE%\Documents\GitHub\eaglep3\Utilities\RefineRTDCRunTimes.py" --tripid 800-04 --locoid 4004 --swversion DE.1.0.7.0 --startMP 300:58609 --initTime 2016-10-04T05:09:42 --startdatetime 2016-10-04T05:13:15 --delay 1 --endMP 204:734 --enddatetime 2016-10-04T05:28:55 --enforcementcount 0 &gt;&gt;C:\Users\stu\Documents\GitHub\eaglep3-reporting\EC\2016-10-04-refined-times.txt</v>
      </c>
      <c r="AI163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{"issue":{"subject":"","project_id":79,"tracker_id":40,"status_id":1,"priority_id":2,"assigned_to_id":23,"start_date":"2016-10-04","description":"","custom_fields":[{"id":1,"name":"Subdivision","value":"NW"},{"id":4,"name":"Milepost","value":"0.0734"},{"id":17,"name":"Train ID","value":"800-04"},{"id":16,"name":"Locomotive ID","value":"4004"},{"id":130,"name":"Impact","value":""},{"id":150,"name":"Time of Event (Mountain Time)","value":"05:28:55"},{"id":151,"name":"Denver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5"/>
      <c r="AK163" s="55"/>
      <c r="AL163" s="55"/>
    </row>
    <row r="164" spans="1:38" s="23" customFormat="1" x14ac:dyDescent="0.25">
      <c r="A164" s="39" t="s">
        <v>387</v>
      </c>
      <c r="B164" s="7">
        <v>4003</v>
      </c>
      <c r="C164" s="24" t="s">
        <v>106</v>
      </c>
      <c r="D164" s="24" t="s">
        <v>728</v>
      </c>
      <c r="E164" s="15">
        <v>42647.241111111114</v>
      </c>
      <c r="F164" s="15">
        <v>42647.243923611109</v>
      </c>
      <c r="G164" s="7">
        <v>1</v>
      </c>
      <c r="H164" s="15" t="s">
        <v>729</v>
      </c>
      <c r="I164" s="15">
        <v>42647.254699074074</v>
      </c>
      <c r="J164" s="7">
        <v>0</v>
      </c>
      <c r="K164" s="117" t="str">
        <f>IF(ISEVEN(B164),(B164-1)&amp;"/"&amp;B164,B164&amp;"/"&amp;(B164+1))</f>
        <v>4003/4004</v>
      </c>
      <c r="L164" s="24" t="str">
        <f>VLOOKUP(A164,'Trips&amp;Operators'!$C$1:$E$10000,3,FALSE)</f>
        <v>STARKS</v>
      </c>
      <c r="M164" s="6">
        <f>I164-F164</f>
        <v>1.0775462964375038E-2</v>
      </c>
      <c r="N164" s="7">
        <f>24*60*SUM($M164:$M164)</f>
        <v>15.516666668700054</v>
      </c>
      <c r="O164" s="7"/>
      <c r="P164" s="7"/>
      <c r="Q164" s="25"/>
      <c r="R164" s="25"/>
      <c r="S164" s="37">
        <f>SUM(U164:U164)/IF(AG164="EC",12,1)</f>
        <v>1</v>
      </c>
      <c r="T164" s="52" t="str">
        <f>IF(ISEVEN(LEFT(AD164,4)),"Southbound","NorthBound")</f>
        <v>NorthBound</v>
      </c>
      <c r="U164" s="159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02" t="str">
        <f>"https://search-rtdc-monitor-bjffxe2xuh6vdkpspy63sjmuny.us-east-1.es.amazonaws.com/_plugin/kibana/#/discover/Steve-Slow-Train-Analysis-(2080s-and-2083s)?_g=(refreshInterval:(display:Off,section:0,value:0),time:(from:'"&amp;TEXT(E164-1/24,"yyyy-MM-DD hh:mm:ss")&amp;"-0600',mode:absolute,to:'"&amp;TEXT(I164+1/24,"yyyy-MM-DD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164&amp;"%22')),sort:!(Time,asc))"</f>
        <v>https://search-rtdc-monitor-bjffxe2xuh6vdkpspy63sjmuny.us-east-1.es.amazonaws.com/_plugin/kibana/#/discover/Steve-Slow-Train-Analysis-(2080s-and-2083s)?_g=(refreshInterval:(display:Off,section:0,value:0),time:(from:'2016-10-04 04:47:12-0600',mode:absolute,to:'2016-10-04 07:06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4" s="54" t="str">
        <f>IF(AA164&lt;IF(AG164="EC",23,5.65),"Y","N")</f>
        <v>N</v>
      </c>
      <c r="X164" s="164">
        <f>VALUE(LEFT(AD164,4))-VALUE(LEFT(AD163,4))</f>
        <v>1</v>
      </c>
      <c r="Y164" s="69">
        <f>RIGHT(D164,LEN(D164)-4)/10000</f>
        <v>0.1004</v>
      </c>
      <c r="Z164" s="69">
        <f>RIGHT(H164,LEN(H164)-4)/10000</f>
        <v>5.8933</v>
      </c>
      <c r="AA164" s="69">
        <f>ABS(Z164-Y164)</f>
        <v>5.7929000000000004</v>
      </c>
      <c r="AB164" s="66" t="e">
        <f>VLOOKUP(A164,Enforcements!$C$7:$K$21,8,0)</f>
        <v>#N/A</v>
      </c>
      <c r="AC164" s="62" t="e">
        <f>VLOOKUP(A164,Enforcements!$C$7:$E$21,3,0)</f>
        <v>#N/A</v>
      </c>
      <c r="AD164" s="63" t="str">
        <f>IF(LEN(A164)=6,"0"&amp;A164,A164)</f>
        <v>0801-04</v>
      </c>
      <c r="AE164" s="9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s3://rtdc.mdm.uploadarchive.raw/RTDC4003/ "%USERPROFILE%\AppData\Local\Temp\OnboardLogs"\RTDC4003\2016-10-04 --exclude "*" --recursive --include "*20161004*" &amp; "%USERPROFILE%\Documents\GitHub\mrs-test-scripts\Headless Mode &amp; Sideloading\WalkAndUnGZ.bat" "%USERPROFILE%\AppData\Local\Temp\OnboardLogs"\RTDC4003\2016-10-04 &amp; aws s3 cp s3://rtdc.mdm.uploadarchive.raw/RTDC4003/ "%USERPROFILE%\AppData\Local\Temp\OnboardLogs"\RTDC4003\2016-10-05 --exclude "*" --recursive --include "*20161005*" &amp; "%USERPROFILE%\Documents\GitHub\mrs-test-scripts\Headless Mode &amp; Sideloading\WalkAndUnGZ.bat" "%USERPROFILE%\AppData\Local\Temp\OnboardLogs"\RTDC4003\2016-10-05</v>
      </c>
      <c r="AF164" s="92" t="str">
        <f>astrogrep_path&amp;" /spath="&amp;search_path&amp;" /stypes=""app*"&amp;B164&amp;"*"&amp;TEXT(I164-utc_offset/24,"YYYYMMDD")&amp;"*"" /stext="" "&amp;TEXT(I164-utc_offset/24,"HH")&amp;search_regexp&amp;""" /e /r /s"</f>
        <v>"C:\Program Files (x86)\AstroGrep\AstroGrep.exe" /spath="%USERPROFILE%\AppData\Local\Temp\OnboardLogs" /stypes="app*4003*20161004*" /stext=" 12:.+((SYSTEM_STATE.+slice.+state.+changed )|(ment ac)|(system.+state.+changed )|(\[timeout)|(PRM\|1\|D)|(kpr)|(kdp)|(\|lc)|(penalty))" /e /r /s</v>
      </c>
      <c r="AG164" s="1" t="str">
        <f>IFERROR(IF(VALUE(LEFT(AD164,2))&lt;=2,"EC",IF(OR(VALUE(LEFT(AD164,2))=8,VALUE(LEFT(AD164,2))=18),"NW","Other")),"Other")</f>
        <v>NW</v>
      </c>
      <c r="AH164" s="96" t="str">
        <f t="shared" si="6"/>
        <v>"%USERPROFILE%\Documents\GitHub\eaglep3\Utilities\RefineRTDCRunTimes.py" --tripid 801-04 --locoid 4003 --swversion DE.1.0.7.0 --startMP 204:1004 --initTime 2016-10-04T05:47:12 --startdatetime 2016-10-04T05:51:15 --delay 1 --endMP 300:58933 --enddatetime 2016-10-04T06:06:46 --enforcementcount 0 &gt;&gt;C:\Users\stu\Documents\GitHub\eaglep3-reporting\EC\2016-10-04-refined-times.txt</v>
      </c>
      <c r="AI164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{"issue":{"subject":"","project_id":79,"tracker_id":40,"status_id":1,"priority_id":2,"assigned_to_id":23,"start_date":"2016-10-04","description":"","custom_fields":[{"id":1,"name":"Subdivision","value":"NW"},{"id":4,"name":"Milepost","value":"5.8933"},{"id":17,"name":"Train ID","value":"801-04"},{"id":16,"name":"Locomotive ID","value":"4003"},{"id":130,"name":"Impact","value":""},{"id":150,"name":"Time of Event (Mountain Time)","value":"06:06:46"},{"id":151,"name":"Denver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5"/>
      <c r="AK164" s="55"/>
      <c r="AL164" s="55"/>
    </row>
    <row r="165" spans="1:38" s="23" customFormat="1" x14ac:dyDescent="0.25">
      <c r="A165" s="39" t="s">
        <v>392</v>
      </c>
      <c r="B165" s="7">
        <v>4004</v>
      </c>
      <c r="C165" s="24" t="s">
        <v>106</v>
      </c>
      <c r="D165" s="24" t="s">
        <v>726</v>
      </c>
      <c r="E165" s="15">
        <v>42647.255856481483</v>
      </c>
      <c r="F165" s="15">
        <v>42647.257037037038</v>
      </c>
      <c r="G165" s="7">
        <v>1</v>
      </c>
      <c r="H165" s="15" t="s">
        <v>730</v>
      </c>
      <c r="I165" s="15">
        <v>42647.268553240741</v>
      </c>
      <c r="J165" s="7">
        <v>0</v>
      </c>
      <c r="K165" s="117" t="str">
        <f>IF(ISEVEN(B165),(B165-1)&amp;"/"&amp;B165,B165&amp;"/"&amp;(B165+1))</f>
        <v>4003/4004</v>
      </c>
      <c r="L165" s="24" t="str">
        <f>VLOOKUP(A165,'Trips&amp;Operators'!$C$1:$E$10000,3,FALSE)</f>
        <v>STARKS</v>
      </c>
      <c r="M165" s="6">
        <f>I165-F165</f>
        <v>1.1516203703649808E-2</v>
      </c>
      <c r="N165" s="7">
        <f>24*60*SUM($M165:$M165)</f>
        <v>16.583333333255723</v>
      </c>
      <c r="O165" s="7"/>
      <c r="P165" s="7"/>
      <c r="Q165" s="25"/>
      <c r="R165" s="25"/>
      <c r="S165" s="37">
        <f>SUM(U165:U165)/IF(AG165="EC",12,1)</f>
        <v>1</v>
      </c>
      <c r="T165" s="52" t="str">
        <f>IF(ISEVEN(LEFT(AD165,4)),"Southbound","NorthBound")</f>
        <v>Southbound</v>
      </c>
      <c r="U165" s="159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02" t="str">
        <f>"https://search-rtdc-monitor-bjffxe2xuh6vdkpspy63sjmuny.us-east-1.es.amazonaws.com/_plugin/kibana/#/discover/Steve-Slow-Train-Analysis-(2080s-and-2083s)?_g=(refreshInterval:(display:Off,section:0,value:0),time:(from:'"&amp;TEXT(E165-1/24,"yyyy-MM-DD hh:mm:ss")&amp;"-0600',mode:absolute,to:'"&amp;TEXT(I165+1/24,"yyyy-MM-DD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165&amp;"%22')),sort:!(Time,asc))"</f>
        <v>https://search-rtdc-monitor-bjffxe2xuh6vdkpspy63sjmuny.us-east-1.es.amazonaws.com/_plugin/kibana/#/discover/Steve-Slow-Train-Analysis-(2080s-and-2083s)?_g=(refreshInterval:(display:Off,section:0,value:0),time:(from:'2016-10-04 05:08:26-0600',mode:absolute,to:'2016-10-04 07:26:43-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5" s="54" t="str">
        <f>IF(AA165&lt;IF(AG165="EC",23,5.65),"Y","N")</f>
        <v>N</v>
      </c>
      <c r="X165" s="164">
        <f>VALUE(LEFT(AD165,4))-VALUE(LEFT(AD164,4))</f>
        <v>1</v>
      </c>
      <c r="Y165" s="69">
        <f>RIGHT(D165,LEN(D165)-4)/10000</f>
        <v>5.8609</v>
      </c>
      <c r="Z165" s="69">
        <f>RIGHT(H165,LEN(H165)-4)/10000</f>
        <v>7.1900000000000006E-2</v>
      </c>
      <c r="AA165" s="69">
        <f>ABS(Z165-Y165)</f>
        <v>5.7889999999999997</v>
      </c>
      <c r="AB165" s="66" t="e">
        <f>VLOOKUP(A165,Enforcements!$C$7:$K$21,8,0)</f>
        <v>#N/A</v>
      </c>
      <c r="AC165" s="62" t="e">
        <f>VLOOKUP(A165,Enforcements!$C$7:$E$21,3,0)</f>
        <v>#N/A</v>
      </c>
      <c r="AD165" s="63" t="str">
        <f>IF(LEN(A165)=6,"0"&amp;A165,A165)</f>
        <v>0802-04</v>
      </c>
      <c r="AE165" s="9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s3://rtdc.mdm.uploadarchive.raw/RTDC4004/ "%USERPROFILE%\AppData\Local\Temp\OnboardLogs"\RTDC4004\2016-10-04 --exclude "*" --recursive --include "*20161004*" &amp; "%USERPROFILE%\Documents\GitHub\mrs-test-scripts\Headless Mode &amp; Sideloading\WalkAndUnGZ.bat" "%USERPROFILE%\AppData\Local\Temp\OnboardLogs"\RTDC4004\2016-10-04 &amp; aws s3 cp s3://rtdc.mdm.uploadarchive.raw/RTDC4004/ "%USERPROFILE%\AppData\Local\Temp\OnboardLogs"\RTDC4004\2016-10-05 --exclude "*" --recursive --include "*20161005*" &amp; "%USERPROFILE%\Documents\GitHub\mrs-test-scripts\Headless Mode &amp; Sideloading\WalkAndUnGZ.bat" "%USERPROFILE%\AppData\Local\Temp\OnboardLogs"\RTDC4004\2016-10-05</v>
      </c>
      <c r="AF165" s="92" t="str">
        <f>astrogrep_path&amp;" /spath="&amp;search_path&amp;" /stypes=""app*"&amp;B165&amp;"*"&amp;TEXT(I165-utc_offset/24,"YYYYMMDD")&amp;"*"" /stext="" "&amp;TEXT(I165-utc_offset/24,"HH")&amp;search_regexp&amp;""" /e /r /s"</f>
        <v>"C:\Program Files (x86)\AstroGrep\AstroGrep.exe" /spath="%USERPROFILE%\AppData\Local\Temp\OnboardLogs" /stypes="app*4004*20161004*" /stext=" 12:.+((SYSTEM_STATE.+slice.+state.+changed )|(ment ac)|(system.+state.+changed )|(\[timeout)|(PRM\|1\|D)|(kpr)|(kdp)|(\|lc)|(penalty))" /e /r /s</v>
      </c>
      <c r="AG165" s="1" t="str">
        <f>IFERROR(IF(VALUE(LEFT(AD165,2))&lt;=2,"EC",IF(OR(VALUE(LEFT(AD165,2))=8,VALUE(LEFT(AD165,2))=18),"NW","Other")),"Other")</f>
        <v>NW</v>
      </c>
      <c r="AH165" s="96" t="str">
        <f t="shared" si="6"/>
        <v>"%USERPROFILE%\Documents\GitHub\eaglep3\Utilities\RefineRTDCRunTimes.py" --tripid 802-04 --locoid 4004 --swversion DE.1.0.7.0 --startMP 300:58609 --initTime 2016-10-04T06:08:26 --startdatetime 2016-10-04T06:10:08 --delay 1 --endMP 204:719 --enddatetime 2016-10-04T06:26:43 --enforcementcount 0 &gt;&gt;C:\Users\stu\Documents\GitHub\eaglep3-reporting\EC\2016-10-04-refined-times.txt</v>
      </c>
      <c r="AI165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{"issue":{"subject":"","project_id":79,"tracker_id":40,"status_id":1,"priority_id":2,"assigned_to_id":23,"start_date":"2016-10-04","description":"","custom_fields":[{"id":1,"name":"Subdivision","value":"NW"},{"id":4,"name":"Milepost","value":"0.0719"},{"id":17,"name":"Train ID","value":"802-04"},{"id":16,"name":"Locomotive ID","value":"4004"},{"id":130,"name":"Impact","value":""},{"id":150,"name":"Time of Event (Mountain Time)","value":"06:26:43"},{"id":151,"name":"Denver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5"/>
      <c r="AK165" s="55"/>
      <c r="AL165" s="55"/>
    </row>
    <row r="166" spans="1:38" s="23" customFormat="1" x14ac:dyDescent="0.25">
      <c r="A166" s="39" t="s">
        <v>396</v>
      </c>
      <c r="B166" s="7">
        <v>4018</v>
      </c>
      <c r="C166" s="24" t="s">
        <v>106</v>
      </c>
      <c r="D166" s="24" t="s">
        <v>346</v>
      </c>
      <c r="E166" s="15">
        <v>42647.259826388887</v>
      </c>
      <c r="F166" s="15">
        <v>42647.264791666668</v>
      </c>
      <c r="G166" s="7">
        <v>1</v>
      </c>
      <c r="H166" s="15" t="s">
        <v>338</v>
      </c>
      <c r="I166" s="15">
        <v>42647.274386574078</v>
      </c>
      <c r="J166" s="7">
        <v>0</v>
      </c>
      <c r="K166" s="117" t="str">
        <f>IF(ISEVEN(B166),(B166-1)&amp;"/"&amp;B166,B166&amp;"/"&amp;(B166+1))</f>
        <v>4017/4018</v>
      </c>
      <c r="L166" s="24" t="str">
        <f>VLOOKUP(A166,'Trips&amp;Operators'!$C$1:$E$10000,3,FALSE)</f>
        <v>LEVIN</v>
      </c>
      <c r="M166" s="6">
        <f>I166-F166</f>
        <v>9.5949074093368836E-3</v>
      </c>
      <c r="N166" s="7">
        <f>24*60*SUM($M166:$M166)</f>
        <v>13.816666669445112</v>
      </c>
      <c r="O166" s="7"/>
      <c r="P166" s="7"/>
      <c r="Q166" s="25"/>
      <c r="R166" s="25"/>
      <c r="S166" s="37">
        <f>SUM(U166:U166)/IF(AG166="EC",12,1)</f>
        <v>1</v>
      </c>
      <c r="T166" s="52" t="str">
        <f>IF(ISEVEN(LEFT(AD166,4)),"Southbound","NorthBound")</f>
        <v>NorthBound</v>
      </c>
      <c r="U166" s="159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02" t="str">
        <f>"https://search-rtdc-monitor-bjffxe2xuh6vdkpspy63sjmuny.us-east-1.es.amazonaws.com/_plugin/kibana/#/discover/Steve-Slow-Train-Analysis-(2080s-and-2083s)?_g=(refreshInterval:(display:Off,section:0,value:0),time:(from:'"&amp;TEXT(E166-1/24,"yyyy-MM-DD hh:mm:ss")&amp;"-0600',mode:absolute,to:'"&amp;TEXT(I166+1/24,"yyyy-MM-DD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166&amp;"%22')),sort:!(Time,asc))"</f>
        <v>https://search-rtdc-monitor-bjffxe2xuh6vdkpspy63sjmuny.us-east-1.es.amazonaws.com/_plugin/kibana/#/discover/Steve-Slow-Train-Analysis-(2080s-and-2083s)?_g=(refreshInterval:(display:Off,section:0,value:0),time:(from:'2016-10-04 05:14:09-0600',mode:absolute,to:'2016-10-04 07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66" s="54" t="str">
        <f>IF(AA166&lt;IF(AG166="EC",23,5.65),"Y","N")</f>
        <v>N</v>
      </c>
      <c r="X166" s="164">
        <f>VALUE(LEFT(AD166,4))-VALUE(LEFT(AD165,4))</f>
        <v>1</v>
      </c>
      <c r="Y166" s="69">
        <f>RIGHT(D166,LEN(D166)-4)/10000</f>
        <v>0.1009</v>
      </c>
      <c r="Z166" s="69">
        <f>RIGHT(H166,LEN(H166)-4)/10000</f>
        <v>5.8925999999999998</v>
      </c>
      <c r="AA166" s="69">
        <f>ABS(Z166-Y166)</f>
        <v>5.7916999999999996</v>
      </c>
      <c r="AB166" s="66" t="e">
        <f>VLOOKUP(A166,Enforcements!$C$7:$K$21,8,0)</f>
        <v>#N/A</v>
      </c>
      <c r="AC166" s="62" t="e">
        <f>VLOOKUP(A166,Enforcements!$C$7:$E$21,3,0)</f>
        <v>#N/A</v>
      </c>
      <c r="AD166" s="63" t="str">
        <f>IF(LEN(A166)=6,"0"&amp;A166,A166)</f>
        <v>0803-04</v>
      </c>
      <c r="AE166" s="9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s3://rtdc.mdm.uploadarchive.raw/RTDC4018/ "%USERPROFILE%\AppData\Local\Temp\OnboardLogs"\RTDC4018\2016-10-04 --exclude "*" --recursive --include "*20161004*" &amp; "%USERPROFILE%\Documents\GitHub\mrs-test-scripts\Headless Mode &amp; Sideloading\WalkAndUnGZ.bat" "%USERPROFILE%\AppData\Local\Temp\OnboardLogs"\RTDC4018\2016-10-04 &amp; aws s3 cp s3://rtdc.mdm.uploadarchive.raw/RTDC4018/ "%USERPROFILE%\AppData\Local\Temp\OnboardLogs"\RTDC4018\2016-10-05 --exclude "*" --recursive --include "*20161005*" &amp; "%USERPROFILE%\Documents\GitHub\mrs-test-scripts\Headless Mode &amp; Sideloading\WalkAndUnGZ.bat" "%USERPROFILE%\AppData\Local\Temp\OnboardLogs"\RTDC4018\2016-10-05</v>
      </c>
      <c r="AF166" s="92" t="str">
        <f>astrogrep_path&amp;" /spath="&amp;search_path&amp;" /stypes=""app*"&amp;B166&amp;"*"&amp;TEXT(I166-utc_offset/24,"YYYYMMDD")&amp;"*"" /stext="" "&amp;TEXT(I166-utc_offset/24,"HH")&amp;search_regexp&amp;""" /e /r /s"</f>
        <v>"C:\Program Files (x86)\AstroGrep\AstroGrep.exe" /spath="%USERPROFILE%\AppData\Local\Temp\OnboardLogs" /stypes="app*4018*20161004*" /stext=" 12:.+((SYSTEM_STATE.+slice.+state.+changed )|(ment ac)|(system.+state.+changed )|(\[timeout)|(PRM\|1\|D)|(kpr)|(kdp)|(\|lc)|(penalty))" /e /r /s</v>
      </c>
      <c r="AG166" s="1" t="str">
        <f>IFERROR(IF(VALUE(LEFT(AD166,2))&lt;=2,"EC",IF(OR(VALUE(LEFT(AD166,2))=8,VALUE(LEFT(AD166,2))=18),"NW","Other")),"Other")</f>
        <v>NW</v>
      </c>
      <c r="AH166" s="96" t="str">
        <f t="shared" si="6"/>
        <v>"%USERPROFILE%\Documents\GitHub\eaglep3\Utilities\RefineRTDCRunTimes.py" --tripid 803-04 --locoid 4018 --swversion DE.1.0.7.0 --startMP 204:1009 --initTime 2016-10-04T06:14:09 --startdatetime 2016-10-04T06:21:18 --delay 1 --endMP 300:58926 --enddatetime 2016-10-04T06:35:07 --enforcementcount 0 &gt;&gt;C:\Users\stu\Documents\GitHub\eaglep3-reporting\EC\2016-10-04-refined-times.txt</v>
      </c>
      <c r="AI166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{"issue":{"subject":"","project_id":79,"tracker_id":40,"status_id":1,"priority_id":2,"assigned_to_id":23,"start_date":"2016-10-04","description":"","custom_fields":[{"id":1,"name":"Subdivision","value":"NW"},{"id":4,"name":"Milepost","value":"5.8926"},{"id":17,"name":"Train ID","value":"803-04"},{"id":16,"name":"Locomotive ID","value":"4018"},{"id":130,"name":"Impact","value":""},{"id":150,"name":"Time of Event (Mountain Time)","value":"06:35:07"},{"id":151,"name":"Denver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5"/>
      <c r="AK166" s="55"/>
      <c r="AL166" s="55"/>
    </row>
    <row r="167" spans="1:38" x14ac:dyDescent="0.25">
      <c r="A167" s="39" t="s">
        <v>399</v>
      </c>
      <c r="B167" s="7">
        <v>4017</v>
      </c>
      <c r="C167" s="24" t="s">
        <v>106</v>
      </c>
      <c r="D167" s="24" t="s">
        <v>731</v>
      </c>
      <c r="E167" s="15">
        <v>42647.275625000002</v>
      </c>
      <c r="F167" s="15">
        <v>42647.277442129627</v>
      </c>
      <c r="G167" s="7">
        <v>1</v>
      </c>
      <c r="H167" s="15" t="s">
        <v>732</v>
      </c>
      <c r="I167" s="15">
        <v>42647.288217592592</v>
      </c>
      <c r="J167" s="7">
        <v>0</v>
      </c>
      <c r="K167" s="117" t="str">
        <f>IF(ISEVEN(B167),(B167-1)&amp;"/"&amp;B167,B167&amp;"/"&amp;(B167+1))</f>
        <v>4017/4018</v>
      </c>
      <c r="L167" s="24" t="str">
        <f>VLOOKUP(A167,'Trips&amp;Operators'!$C$1:$E$10000,3,FALSE)</f>
        <v>LEVIN</v>
      </c>
      <c r="M167" s="6">
        <f>I167-F167</f>
        <v>1.0775462964375038E-2</v>
      </c>
      <c r="N167" s="7">
        <f>24*60*SUM($M167:$M167)</f>
        <v>15.516666668700054</v>
      </c>
      <c r="O167" s="7"/>
      <c r="P167" s="7"/>
      <c r="Q167" s="25"/>
      <c r="R167" s="25"/>
      <c r="S167" s="37">
        <f>SUM(U167:U167)/IF(AG167="EC",12,1)</f>
        <v>1</v>
      </c>
      <c r="T167" s="52" t="str">
        <f>IF(ISEVEN(LEFT(AD167,4)),"Southbound","NorthBound")</f>
        <v>Southbound</v>
      </c>
      <c r="U167" s="159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02" t="str">
        <f>"https://search-rtdc-monitor-bjffxe2xuh6vdkpspy63sjmuny.us-east-1.es.amazonaws.com/_plugin/kibana/#/discover/Steve-Slow-Train-Analysis-(2080s-and-2083s)?_g=(refreshInterval:(display:Off,section:0,value:0),time:(from:'"&amp;TEXT(E167-1/24,"yyyy-MM-DD hh:mm:ss")&amp;"-0600',mode:absolute,to:'"&amp;TEXT(I167+1/24,"yyyy-MM-DD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167&amp;"%22')),sort:!(Time,asc))"</f>
        <v>https://search-rtdc-monitor-bjffxe2xuh6vdkpspy63sjmuny.us-east-1.es.amazonaws.com/_plugin/kibana/#/discover/Steve-Slow-Train-Analysis-(2080s-and-2083s)?_g=(refreshInterval:(display:Off,section:0,value:0),time:(from:'2016-10-04 05:36:54-0600',mode:absolute,to:'2016-10-04 07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67" s="54" t="str">
        <f>IF(AA167&lt;IF(AG167="EC",23,5.65),"Y","N")</f>
        <v>N</v>
      </c>
      <c r="X167" s="164">
        <f>VALUE(LEFT(AD167,4))-VALUE(LEFT(AD166,4))</f>
        <v>1</v>
      </c>
      <c r="Y167" s="69">
        <f>RIGHT(D167,LEN(D167)-4)/10000</f>
        <v>5.8605999999999998</v>
      </c>
      <c r="Z167" s="69">
        <f>RIGHT(H167,LEN(H167)-4)/10000</f>
        <v>7.2900000000000006E-2</v>
      </c>
      <c r="AA167" s="69">
        <f>ABS(Z167-Y167)</f>
        <v>5.7877000000000001</v>
      </c>
      <c r="AB167" s="66" t="e">
        <f>VLOOKUP(A167,Enforcements!$C$7:$K$21,8,0)</f>
        <v>#N/A</v>
      </c>
      <c r="AC167" s="62" t="e">
        <f>VLOOKUP(A167,Enforcements!$C$7:$E$21,3,0)</f>
        <v>#N/A</v>
      </c>
      <c r="AD167" s="63" t="str">
        <f>IF(LEN(A167)=6,"0"&amp;A167,A167)</f>
        <v>0804-04</v>
      </c>
      <c r="AE167" s="9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 &amp; 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</v>
      </c>
      <c r="AF167" s="92" t="str">
        <f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/stypes="app*4017*20161004*" /stext=" 12:.+((SYSTEM_STATE.+slice.+state.+changed )|(ment ac)|(system.+state.+changed )|(\[timeout)|(PRM\|1\|D)|(kpr)|(kdp)|(\|lc)|(penalty))" /e /r /s</v>
      </c>
      <c r="AG167" s="1" t="str">
        <f>IFERROR(IF(VALUE(LEFT(AD167,2))&lt;=2,"EC",IF(OR(VALUE(LEFT(AD167,2))=8,VALUE(LEFT(AD167,2))=18),"NW","Other")),"Other")</f>
        <v>NW</v>
      </c>
      <c r="AH167" s="96" t="str">
        <f t="shared" si="6"/>
        <v>"%USERPROFILE%\Documents\GitHub\eaglep3\Utilities\RefineRTDCRunTimes.py" --tripid 804-04 --locoid 4017 --swversion DE.1.0.7.0 --startMP 300:58606 --initTime 2016-10-04T06:36:54 --startdatetime 2016-10-04T06:39:31 --delay 1 --endMP 204:729 --enddatetime 2016-10-04T06:55:02 --enforcementcount 0 &gt;&gt;C:\Users\stu\Documents\GitHub\eaglep3-reporting\EC\2016-10-04-refined-times.txt</v>
      </c>
      <c r="AI167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{"issue":{"subject":"","project_id":79,"tracker_id":40,"status_id":1,"priority_id":2,"assigned_to_id":23,"start_date":"2016-10-04","description":"","custom_fields":[{"id":1,"name":"Subdivision","value":"NW"},{"id":4,"name":"Milepost","value":"0.0729"},{"id":17,"name":"Train ID","value":"804-04"},{"id":16,"name":"Locomotive ID","value":"4017"},{"id":130,"name":"Impact","value":""},{"id":150,"name":"Time of Event (Mountain Time)","value":"06:55:02"},{"id":151,"name":"Denver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5"/>
      <c r="AK167" s="55"/>
      <c r="AL167" s="55"/>
    </row>
    <row r="168" spans="1:38" x14ac:dyDescent="0.25">
      <c r="A168" s="39" t="s">
        <v>402</v>
      </c>
      <c r="B168" s="7">
        <v>4003</v>
      </c>
      <c r="C168" s="24" t="s">
        <v>106</v>
      </c>
      <c r="D168" s="24" t="s">
        <v>728</v>
      </c>
      <c r="E168" s="15">
        <v>42647.281412037039</v>
      </c>
      <c r="F168" s="15">
        <v>42647.285601851851</v>
      </c>
      <c r="G168" s="7">
        <v>1</v>
      </c>
      <c r="H168" s="15" t="s">
        <v>733</v>
      </c>
      <c r="I168" s="15">
        <v>42647.295844907407</v>
      </c>
      <c r="J168" s="7">
        <v>0</v>
      </c>
      <c r="K168" s="117" t="str">
        <f>IF(ISEVEN(B168),(B168-1)&amp;"/"&amp;B168,B168&amp;"/"&amp;(B168+1))</f>
        <v>4003/4004</v>
      </c>
      <c r="L168" s="24" t="str">
        <f>VLOOKUP(A168,'Trips&amp;Operators'!$C$1:$E$10000,3,FALSE)</f>
        <v>STARKS</v>
      </c>
      <c r="M168" s="6">
        <f>I168-F168</f>
        <v>1.0243055556202307E-2</v>
      </c>
      <c r="N168" s="7">
        <f>24*60*SUM($M168:$M168)</f>
        <v>14.750000000931323</v>
      </c>
      <c r="O168" s="7"/>
      <c r="P168" s="7"/>
      <c r="Q168" s="25"/>
      <c r="R168" s="25"/>
      <c r="S168" s="37">
        <f>SUM(U168:U168)/IF(AG168="EC",12,1)</f>
        <v>1</v>
      </c>
      <c r="T168" s="52" t="str">
        <f>IF(ISEVEN(LEFT(AD168,4)),"Southbound","NorthBound")</f>
        <v>NorthBound</v>
      </c>
      <c r="U168" s="159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02" t="str">
        <f>"https://search-rtdc-monitor-bjffxe2xuh6vdkpspy63sjmuny.us-east-1.es.amazonaws.com/_plugin/kibana/#/discover/Steve-Slow-Train-Analysis-(2080s-and-2083s)?_g=(refreshInterval:(display:Off,section:0,value:0),time:(from:'"&amp;TEXT(E168-1/24,"yyyy-MM-DD hh:mm:ss")&amp;"-0600',mode:absolute,to:'"&amp;TEXT(I168+1/24,"yyyy-MM-DD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168&amp;"%22')),sort:!(Time,asc))"</f>
        <v>https://search-rtdc-monitor-bjffxe2xuh6vdkpspy63sjmuny.us-east-1.es.amazonaws.com/_plugin/kibana/#/discover/Steve-Slow-Train-Analysis-(2080s-and-2083s)?_g=(refreshInterval:(display:Off,section:0,value:0),time:(from:'2016-10-04 05:45:14-0600',mode:absolute,to:'2016-10-04 08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68" s="54" t="str">
        <f>IF(AA168&lt;IF(AG168="EC",23,5.65),"Y","N")</f>
        <v>N</v>
      </c>
      <c r="X168" s="164">
        <f>VALUE(LEFT(AD168,4))-VALUE(LEFT(AD167,4))</f>
        <v>1</v>
      </c>
      <c r="Y168" s="69">
        <f>RIGHT(D168,LEN(D168)-4)/10000</f>
        <v>0.1004</v>
      </c>
      <c r="Z168" s="69">
        <f>RIGHT(H168,LEN(H168)-4)/10000</f>
        <v>5.8930999999999996</v>
      </c>
      <c r="AA168" s="69">
        <f>ABS(Z168-Y168)</f>
        <v>5.7927</v>
      </c>
      <c r="AB168" s="66" t="e">
        <f>VLOOKUP(A168,Enforcements!$C$7:$K$21,8,0)</f>
        <v>#N/A</v>
      </c>
      <c r="AC168" s="62" t="e">
        <f>VLOOKUP(A168,Enforcements!$C$7:$E$21,3,0)</f>
        <v>#N/A</v>
      </c>
      <c r="AD168" s="63" t="str">
        <f>IF(LEN(A168)=6,"0"&amp;A168,A168)</f>
        <v>0805-04</v>
      </c>
      <c r="AE168" s="9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s3://rtdc.mdm.uploadarchive.raw/RTDC4003/ "%USERPROFILE%\AppData\Local\Temp\OnboardLogs"\RTDC4003\2016-10-04 --exclude "*" --recursive --include "*20161004*" &amp; "%USERPROFILE%\Documents\GitHub\mrs-test-scripts\Headless Mode &amp; Sideloading\WalkAndUnGZ.bat" "%USERPROFILE%\AppData\Local\Temp\OnboardLogs"\RTDC4003\2016-10-04 &amp; aws s3 cp s3://rtdc.mdm.uploadarchive.raw/RTDC4003/ "%USERPROFILE%\AppData\Local\Temp\OnboardLogs"\RTDC4003\2016-10-05 --exclude "*" --recursive --include "*20161005*" &amp; "%USERPROFILE%\Documents\GitHub\mrs-test-scripts\Headless Mode &amp; Sideloading\WalkAndUnGZ.bat" "%USERPROFILE%\AppData\Local\Temp\OnboardLogs"\RTDC4003\2016-10-05</v>
      </c>
      <c r="AF168" s="92" t="str">
        <f>astrogrep_path&amp;" /spath="&amp;search_path&amp;" /stypes=""app*"&amp;B168&amp;"*"&amp;TEXT(I168-utc_offset/24,"YYYYMMDD")&amp;"*"" /stext="" "&amp;TEXT(I168-utc_offset/24,"HH")&amp;search_regexp&amp;""" /e /r /s"</f>
        <v>"C:\Program Files (x86)\AstroGrep\AstroGrep.exe" /spath="%USERPROFILE%\AppData\Local\Temp\OnboardLogs" /stypes="app*4003*20161004*" /stext=" 13:.+((SYSTEM_STATE.+slice.+state.+changed )|(ment ac)|(system.+state.+changed )|(\[timeout)|(PRM\|1\|D)|(kpr)|(kdp)|(\|lc)|(penalty))" /e /r /s</v>
      </c>
      <c r="AG168" s="1" t="str">
        <f>IFERROR(IF(VALUE(LEFT(AD168,2))&lt;=2,"EC",IF(OR(VALUE(LEFT(AD168,2))=8,VALUE(LEFT(AD168,2))=18),"NW","Other")),"Other")</f>
        <v>NW</v>
      </c>
      <c r="AH168" s="96" t="str">
        <f t="shared" si="6"/>
        <v>"%USERPROFILE%\Documents\GitHub\eaglep3\Utilities\RefineRTDCRunTimes.py" --tripid 805-04 --locoid 4003 --swversion DE.1.0.7.0 --startMP 204:1004 --initTime 2016-10-04T06:45:14 --startdatetime 2016-10-04T06:51:16 --delay 1 --endMP 300:58931 --enddatetime 2016-10-04T07:06:01 --enforcementcount 0 &gt;&gt;C:\Users\stu\Documents\GitHub\eaglep3-reporting\EC\2016-10-04-refined-times.txt</v>
      </c>
      <c r="AI168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{"issue":{"subject":"","project_id":79,"tracker_id":40,"status_id":1,"priority_id":2,"assigned_to_id":23,"start_date":"2016-10-04","description":"","custom_fields":[{"id":1,"name":"Subdivision","value":"NW"},{"id":4,"name":"Milepost","value":"5.8931"},{"id":17,"name":"Train ID","value":"805-04"},{"id":16,"name":"Locomotive ID","value":"4003"},{"id":130,"name":"Impact","value":""},{"id":150,"name":"Time of Event (Mountain Time)","value":"07:06:01"},{"id":151,"name":"Denver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5"/>
      <c r="AK168" s="55"/>
      <c r="AL168" s="55"/>
    </row>
    <row r="169" spans="1:38" s="23" customFormat="1" x14ac:dyDescent="0.25">
      <c r="A169" s="39" t="s">
        <v>405</v>
      </c>
      <c r="B169" s="7">
        <v>4004</v>
      </c>
      <c r="C169" s="24" t="s">
        <v>106</v>
      </c>
      <c r="D169" s="24" t="s">
        <v>726</v>
      </c>
      <c r="E169" s="15">
        <v>42647.297060185185</v>
      </c>
      <c r="F169" s="15">
        <v>42647.298298611109</v>
      </c>
      <c r="G169" s="7">
        <v>1</v>
      </c>
      <c r="H169" s="15" t="s">
        <v>734</v>
      </c>
      <c r="I169" s="15">
        <v>42647.310520833336</v>
      </c>
      <c r="J169" s="7">
        <v>0</v>
      </c>
      <c r="K169" s="117" t="str">
        <f>IF(ISEVEN(B169),(B169-1)&amp;"/"&amp;B169,B169&amp;"/"&amp;(B169+1))</f>
        <v>4003/4004</v>
      </c>
      <c r="L169" s="24" t="str">
        <f>VLOOKUP(A169,'Trips&amp;Operators'!$C$1:$E$10000,3,FALSE)</f>
        <v>STARKS</v>
      </c>
      <c r="M169" s="6">
        <f>I169-F169</f>
        <v>1.2222222227137536E-2</v>
      </c>
      <c r="N169" s="7">
        <f>24*60*SUM($M169:$M169)</f>
        <v>17.600000007078052</v>
      </c>
      <c r="O169" s="7"/>
      <c r="P169" s="7"/>
      <c r="Q169" s="25"/>
      <c r="R169" s="25"/>
      <c r="S169" s="37">
        <f>SUM(U169:U169)/IF(AG169="EC",12,1)</f>
        <v>1</v>
      </c>
      <c r="T169" s="52" t="str">
        <f>IF(ISEVEN(LEFT(AD169,4)),"Southbound","NorthBound")</f>
        <v>Southbound</v>
      </c>
      <c r="U169" s="159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02" t="str">
        <f>"https://search-rtdc-monitor-bjffxe2xuh6vdkpspy63sjmuny.us-east-1.es.amazonaws.com/_plugin/kibana/#/discover/Steve-Slow-Train-Analysis-(2080s-and-2083s)?_g=(refreshInterval:(display:Off,section:0,value:0),time:(from:'"&amp;TEXT(E169-1/24,"yyyy-MM-DD hh:mm:ss")&amp;"-0600',mode:absolute,to:'"&amp;TEXT(I169+1/24,"yyyy-MM-DD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169&amp;"%22')),sort:!(Time,asc))"</f>
        <v>https://search-rtdc-monitor-bjffxe2xuh6vdkpspy63sjmuny.us-east-1.es.amazonaws.com/_plugin/kibana/#/discover/Steve-Slow-Train-Analysis-(2080s-and-2083s)?_g=(refreshInterval:(display:Off,section:0,value:0),time:(from:'2016-10-04 06:07:46-0600',mode:absolute,to:'2016-10-04 08:27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69" s="54" t="str">
        <f>IF(AA169&lt;IF(AG169="EC",23,5.65),"Y","N")</f>
        <v>N</v>
      </c>
      <c r="X169" s="164">
        <f>VALUE(LEFT(AD169,4))-VALUE(LEFT(AD168,4))</f>
        <v>1</v>
      </c>
      <c r="Y169" s="69">
        <f>RIGHT(D169,LEN(D169)-4)/10000</f>
        <v>5.8609</v>
      </c>
      <c r="Z169" s="69">
        <f>RIGHT(H169,LEN(H169)-4)/10000</f>
        <v>7.3099999999999998E-2</v>
      </c>
      <c r="AA169" s="69">
        <f>ABS(Z169-Y169)</f>
        <v>5.7877999999999998</v>
      </c>
      <c r="AB169" s="66" t="e">
        <f>VLOOKUP(A169,Enforcements!$C$7:$K$21,8,0)</f>
        <v>#N/A</v>
      </c>
      <c r="AC169" s="62" t="e">
        <f>VLOOKUP(A169,Enforcements!$C$7:$E$21,3,0)</f>
        <v>#N/A</v>
      </c>
      <c r="AD169" s="63" t="str">
        <f>IF(LEN(A169)=6,"0"&amp;A169,A169)</f>
        <v>0806-04</v>
      </c>
      <c r="AE169" s="9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s3://rtdc.mdm.uploadarchive.raw/RTDC4004/ "%USERPROFILE%\AppData\Local\Temp\OnboardLogs"\RTDC4004\2016-10-04 --exclude "*" --recursive --include "*20161004*" &amp; "%USERPROFILE%\Documents\GitHub\mrs-test-scripts\Headless Mode &amp; Sideloading\WalkAndUnGZ.bat" "%USERPROFILE%\AppData\Local\Temp\OnboardLogs"\RTDC4004\2016-10-04 &amp; aws s3 cp s3://rtdc.mdm.uploadarchive.raw/RTDC4004/ "%USERPROFILE%\AppData\Local\Temp\OnboardLogs"\RTDC4004\2016-10-05 --exclude "*" --recursive --include "*20161005*" &amp; "%USERPROFILE%\Documents\GitHub\mrs-test-scripts\Headless Mode &amp; Sideloading\WalkAndUnGZ.bat" "%USERPROFILE%\AppData\Local\Temp\OnboardLogs"\RTDC4004\2016-10-05</v>
      </c>
      <c r="AF169" s="92" t="str">
        <f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/stypes="app*4004*20161004*" /stext=" 13:.+((SYSTEM_STATE.+slice.+state.+changed )|(ment ac)|(system.+state.+changed )|(\[timeout)|(PRM\|1\|D)|(kpr)|(kdp)|(\|lc)|(penalty))" /e /r /s</v>
      </c>
      <c r="AG169" s="1" t="str">
        <f>IFERROR(IF(VALUE(LEFT(AD169,2))&lt;=2,"EC",IF(OR(VALUE(LEFT(AD169,2))=8,VALUE(LEFT(AD169,2))=18),"NW","Other")),"Other")</f>
        <v>NW</v>
      </c>
      <c r="AH169" s="96" t="str">
        <f t="shared" si="6"/>
        <v>"%USERPROFILE%\Documents\GitHub\eaglep3\Utilities\RefineRTDCRunTimes.py" --tripid 806-04 --locoid 4004 --swversion DE.1.0.7.0 --startMP 300:58609 --initTime 2016-10-04T07:07:46 --startdatetime 2016-10-04T07:09:33 --delay 1 --endMP 204:731 --enddatetime 2016-10-04T07:27:09 --enforcementcount 0 &gt;&gt;C:\Users\stu\Documents\GitHub\eaglep3-reporting\EC\2016-10-04-refined-times.txt</v>
      </c>
      <c r="AI169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{"issue":{"subject":"","project_id":79,"tracker_id":40,"status_id":1,"priority_id":2,"assigned_to_id":23,"start_date":"2016-10-04","description":"","custom_fields":[{"id":1,"name":"Subdivision","value":"NW"},{"id":4,"name":"Milepost","value":"0.0731"},{"id":17,"name":"Train ID","value":"806-04"},{"id":16,"name":"Locomotive ID","value":"4004"},{"id":130,"name":"Impact","value":""},{"id":150,"name":"Time of Event (Mountain Time)","value":"07:27:09"},{"id":151,"name":"Denver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5"/>
      <c r="AK169" s="55"/>
      <c r="AL169" s="55"/>
    </row>
    <row r="170" spans="1:38" x14ac:dyDescent="0.25">
      <c r="A170" s="39" t="s">
        <v>408</v>
      </c>
      <c r="B170" s="7">
        <v>4018</v>
      </c>
      <c r="C170" s="24" t="s">
        <v>106</v>
      </c>
      <c r="D170" s="24" t="s">
        <v>346</v>
      </c>
      <c r="E170" s="15">
        <v>42647.303831018522</v>
      </c>
      <c r="F170" s="15">
        <v>42647.306516203702</v>
      </c>
      <c r="G170" s="7">
        <v>1</v>
      </c>
      <c r="H170" s="15" t="s">
        <v>729</v>
      </c>
      <c r="I170" s="15">
        <v>42647.315601851849</v>
      </c>
      <c r="J170" s="7">
        <v>0</v>
      </c>
      <c r="K170" s="117" t="str">
        <f>IF(ISEVEN(B170),(B170-1)&amp;"/"&amp;B170,B170&amp;"/"&amp;(B170+1))</f>
        <v>4017/4018</v>
      </c>
      <c r="L170" s="24" t="str">
        <f>VLOOKUP(A170,'Trips&amp;Operators'!$C$1:$E$10000,3,FALSE)</f>
        <v>LEVIN</v>
      </c>
      <c r="M170" s="6">
        <f>I170-F170</f>
        <v>9.0856481474475004E-3</v>
      </c>
      <c r="N170" s="7">
        <f>24*60*SUM($M170:$M170)</f>
        <v>13.083333332324401</v>
      </c>
      <c r="O170" s="7"/>
      <c r="P170" s="7"/>
      <c r="Q170" s="25"/>
      <c r="R170" s="25"/>
      <c r="S170" s="37">
        <f>SUM(U170:U170)/IF(AG170="EC",12,1)</f>
        <v>1</v>
      </c>
      <c r="T170" s="52" t="str">
        <f>IF(ISEVEN(LEFT(AD170,4)),"Southbound","NorthBound")</f>
        <v>NorthBound</v>
      </c>
      <c r="U170" s="159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02" t="str">
        <f>"https://search-rtdc-monitor-bjffxe2xuh6vdkpspy63sjmuny.us-east-1.es.amazonaws.com/_plugin/kibana/#/discover/Steve-Slow-Train-Analysis-(2080s-and-2083s)?_g=(refreshInterval:(display:Off,section:0,value:0),time:(from:'"&amp;TEXT(E170-1/24,"yyyy-MM-DD hh:mm:ss")&amp;"-0600',mode:absolute,to:'"&amp;TEXT(I170+1/24,"yyyy-MM-DD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170&amp;"%22')),sort:!(Time,asc))"</f>
        <v>https://search-rtdc-monitor-bjffxe2xuh6vdkpspy63sjmuny.us-east-1.es.amazonaws.com/_plugin/kibana/#/discover/Steve-Slow-Train-Analysis-(2080s-and-2083s)?_g=(refreshInterval:(display:Off,section:0,value:0),time:(from:'2016-10-04 06:17:31-0600',mode:absolute,to:'2016-10-04 08:34:28-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0" s="54" t="str">
        <f>IF(AA170&lt;IF(AG170="EC",23,5.65),"Y","N")</f>
        <v>N</v>
      </c>
      <c r="X170" s="164">
        <f>VALUE(LEFT(AD170,4))-VALUE(LEFT(AD169,4))</f>
        <v>1</v>
      </c>
      <c r="Y170" s="69">
        <f>RIGHT(D170,LEN(D170)-4)/10000</f>
        <v>0.1009</v>
      </c>
      <c r="Z170" s="69">
        <f>RIGHT(H170,LEN(H170)-4)/10000</f>
        <v>5.8933</v>
      </c>
      <c r="AA170" s="69">
        <f>ABS(Z170-Y170)</f>
        <v>5.7923999999999998</v>
      </c>
      <c r="AB170" s="66" t="e">
        <f>VLOOKUP(A170,Enforcements!$C$7:$K$21,8,0)</f>
        <v>#N/A</v>
      </c>
      <c r="AC170" s="62" t="e">
        <f>VLOOKUP(A170,Enforcements!$C$7:$E$21,3,0)</f>
        <v>#N/A</v>
      </c>
      <c r="AD170" s="63" t="str">
        <f>IF(LEN(A170)=6,"0"&amp;A170,A170)</f>
        <v>0807-04</v>
      </c>
      <c r="AE170" s="9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s3://rtdc.mdm.uploadarchive.raw/RTDC4018/ "%USERPROFILE%\AppData\Local\Temp\OnboardLogs"\RTDC4018\2016-10-04 --exclude "*" --recursive --include "*20161004*" &amp; "%USERPROFILE%\Documents\GitHub\mrs-test-scripts\Headless Mode &amp; Sideloading\WalkAndUnGZ.bat" "%USERPROFILE%\AppData\Local\Temp\OnboardLogs"\RTDC4018\2016-10-04 &amp; aws s3 cp s3://rtdc.mdm.uploadarchive.raw/RTDC4018/ "%USERPROFILE%\AppData\Local\Temp\OnboardLogs"\RTDC4018\2016-10-05 --exclude "*" --recursive --include "*20161005*" &amp; "%USERPROFILE%\Documents\GitHub\mrs-test-scripts\Headless Mode &amp; Sideloading\WalkAndUnGZ.bat" "%USERPROFILE%\AppData\Local\Temp\OnboardLogs"\RTDC4018\2016-10-05</v>
      </c>
      <c r="AF170" s="92" t="str">
        <f>astrogrep_path&amp;" /spath="&amp;search_path&amp;" /stypes=""app*"&amp;B170&amp;"*"&amp;TEXT(I170-utc_offset/24,"YYYYMMDD")&amp;"*"" /stext="" "&amp;TEXT(I170-utc_offset/24,"HH")&amp;search_regexp&amp;""" /e /r /s"</f>
        <v>"C:\Program Files (x86)\AstroGrep\AstroGrep.exe" /spath="%USERPROFILE%\AppData\Local\Temp\OnboardLogs" /stypes="app*4018*20161004*" /stext=" 13:.+((SYSTEM_STATE.+slice.+state.+changed )|(ment ac)|(system.+state.+changed )|(\[timeout)|(PRM\|1\|D)|(kpr)|(kdp)|(\|lc)|(penalty))" /e /r /s</v>
      </c>
      <c r="AG170" s="1" t="str">
        <f>IFERROR(IF(VALUE(LEFT(AD170,2))&lt;=2,"EC",IF(OR(VALUE(LEFT(AD170,2))=8,VALUE(LEFT(AD170,2))=18),"NW","Other")),"Other")</f>
        <v>NW</v>
      </c>
      <c r="AH170" s="96" t="str">
        <f t="shared" si="6"/>
        <v>"%USERPROFILE%\Documents\GitHub\eaglep3\Utilities\RefineRTDCRunTimes.py" --tripid 807-04 --locoid 4018 --swversion DE.1.0.7.0 --startMP 204:1009 --initTime 2016-10-04T07:17:31 --startdatetime 2016-10-04T07:21:23 --delay 1 --endMP 300:58933 --enddatetime 2016-10-04T07:34:28 --enforcementcount 0 &gt;&gt;C:\Users\stu\Documents\GitHub\eaglep3-reporting\EC\2016-10-04-refined-times.txt</v>
      </c>
      <c r="AI170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{"issue":{"subject":"","project_id":79,"tracker_id":40,"status_id":1,"priority_id":2,"assigned_to_id":23,"start_date":"2016-10-04","description":"","custom_fields":[{"id":1,"name":"Subdivision","value":"NW"},{"id":4,"name":"Milepost","value":"5.8933"},{"id":17,"name":"Train ID","value":"807-04"},{"id":16,"name":"Locomotive ID","value":"4018"},{"id":130,"name":"Impact","value":""},{"id":150,"name":"Time of Event (Mountain Time)","value":"07:34:28"},{"id":151,"name":"Denver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5"/>
      <c r="AK170" s="55"/>
      <c r="AL170" s="55"/>
    </row>
    <row r="171" spans="1:38" x14ac:dyDescent="0.25">
      <c r="A171" s="39" t="s">
        <v>411</v>
      </c>
      <c r="B171" s="7">
        <v>4017</v>
      </c>
      <c r="C171" s="24" t="s">
        <v>106</v>
      </c>
      <c r="D171" s="24" t="s">
        <v>735</v>
      </c>
      <c r="E171" s="15">
        <v>42647.31658564815</v>
      </c>
      <c r="F171" s="15">
        <v>42647.318148148152</v>
      </c>
      <c r="G171" s="7">
        <v>1</v>
      </c>
      <c r="H171" s="15" t="s">
        <v>736</v>
      </c>
      <c r="I171" s="15">
        <v>42647.330104166664</v>
      </c>
      <c r="J171" s="7">
        <v>0</v>
      </c>
      <c r="K171" s="117" t="str">
        <f>IF(ISEVEN(B171),(B171-1)&amp;"/"&amp;B171,B171&amp;"/"&amp;(B171+1))</f>
        <v>4017/4018</v>
      </c>
      <c r="L171" s="24" t="str">
        <f>VLOOKUP(A171,'Trips&amp;Operators'!$C$1:$E$10000,3,FALSE)</f>
        <v>LEVIN</v>
      </c>
      <c r="M171" s="6">
        <f>I171-F171</f>
        <v>1.1956018512137234E-2</v>
      </c>
      <c r="N171" s="7">
        <f>24*60*SUM($M171:$M171)</f>
        <v>17.216666657477617</v>
      </c>
      <c r="O171" s="7"/>
      <c r="P171" s="7"/>
      <c r="Q171" s="25"/>
      <c r="R171" s="25"/>
      <c r="S171" s="37">
        <f>SUM(U171:U171)/IF(AG171="EC",12,1)</f>
        <v>1</v>
      </c>
      <c r="T171" s="52" t="str">
        <f>IF(ISEVEN(LEFT(AD171,4)),"Southbound","NorthBound")</f>
        <v>Southbound</v>
      </c>
      <c r="U171" s="159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02" t="str">
        <f>"https://search-rtdc-monitor-bjffxe2xuh6vdkpspy63sjmuny.us-east-1.es.amazonaws.com/_plugin/kibana/#/discover/Steve-Slow-Train-Analysis-(2080s-and-2083s)?_g=(refreshInterval:(display:Off,section:0,value:0),time:(from:'"&amp;TEXT(E171-1/24,"yyyy-MM-DD hh:mm:ss")&amp;"-0600',mode:absolute,to:'"&amp;TEXT(I171+1/24,"yyyy-MM-DD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171&amp;"%22')),sort:!(Time,asc))"</f>
        <v>https://search-rtdc-monitor-bjffxe2xuh6vdkpspy63sjmuny.us-east-1.es.amazonaws.com/_plugin/kibana/#/discover/Steve-Slow-Train-Analysis-(2080s-and-2083s)?_g=(refreshInterval:(display:Off,section:0,value:0),time:(from:'2016-10-04 06:35:53-0600',mode:absolute,to:'2016-10-04 08:55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1" s="54" t="str">
        <f>IF(AA171&lt;IF(AG171="EC",23,5.65),"Y","N")</f>
        <v>N</v>
      </c>
      <c r="X171" s="164">
        <f>VALUE(LEFT(AD171,4))-VALUE(LEFT(AD170,4))</f>
        <v>1</v>
      </c>
      <c r="Y171" s="69">
        <f>RIGHT(D171,LEN(D171)-4)/10000</f>
        <v>5.8624000000000001</v>
      </c>
      <c r="Z171" s="69">
        <f>RIGHT(H171,LEN(H171)-4)/10000</f>
        <v>7.1499999999999994E-2</v>
      </c>
      <c r="AA171" s="69">
        <f>ABS(Z171-Y171)</f>
        <v>5.7908999999999997</v>
      </c>
      <c r="AB171" s="66" t="e">
        <f>VLOOKUP(A171,Enforcements!$C$7:$K$21,8,0)</f>
        <v>#N/A</v>
      </c>
      <c r="AC171" s="62" t="e">
        <f>VLOOKUP(A171,Enforcements!$C$7:$E$21,3,0)</f>
        <v>#N/A</v>
      </c>
      <c r="AD171" s="63" t="str">
        <f>IF(LEN(A171)=6,"0"&amp;A171,A171)</f>
        <v>0808-04</v>
      </c>
      <c r="AE171" s="9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 &amp; 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</v>
      </c>
      <c r="AF171" s="92" t="str">
        <f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/stypes="app*4017*20161004*" /stext=" 13:.+((SYSTEM_STATE.+slice.+state.+changed )|(ment ac)|(system.+state.+changed )|(\[timeout)|(PRM\|1\|D)|(kpr)|(kdp)|(\|lc)|(penalty))" /e /r /s</v>
      </c>
      <c r="AG171" s="1" t="str">
        <f>IFERROR(IF(VALUE(LEFT(AD171,2))&lt;=2,"EC",IF(OR(VALUE(LEFT(AD171,2))=8,VALUE(LEFT(AD171,2))=18),"NW","Other")),"Other")</f>
        <v>NW</v>
      </c>
      <c r="AH171" s="96" t="str">
        <f t="shared" si="6"/>
        <v>"%USERPROFILE%\Documents\GitHub\eaglep3\Utilities\RefineRTDCRunTimes.py" --tripid 808-04 --locoid 4017 --swversion DE.1.0.7.0 --startMP 300:58624 --initTime 2016-10-04T07:35:53 --startdatetime 2016-10-04T07:38:08 --delay 1 --endMP 204:715 --enddatetime 2016-10-04T07:55:21 --enforcementcount 0 &gt;&gt;C:\Users\stu\Documents\GitHub\eaglep3-reporting\EC\2016-10-04-refined-times.txt</v>
      </c>
      <c r="AI171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{"issue":{"subject":"","project_id":79,"tracker_id":40,"status_id":1,"priority_id":2,"assigned_to_id":23,"start_date":"2016-10-04","description":"","custom_fields":[{"id":1,"name":"Subdivision","value":"NW"},{"id":4,"name":"Milepost","value":"0.0715"},{"id":17,"name":"Train ID","value":"808-04"},{"id":16,"name":"Locomotive ID","value":"4017"},{"id":130,"name":"Impact","value":""},{"id":150,"name":"Time of Event (Mountain Time)","value":"07:55:21"},{"id":151,"name":"Denver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5"/>
      <c r="AK171" s="55"/>
      <c r="AL171" s="55"/>
    </row>
    <row r="172" spans="1:38" s="23" customFormat="1" x14ac:dyDescent="0.25">
      <c r="A172" s="39" t="s">
        <v>414</v>
      </c>
      <c r="B172" s="7">
        <v>4003</v>
      </c>
      <c r="C172" s="24" t="s">
        <v>106</v>
      </c>
      <c r="D172" s="24" t="s">
        <v>346</v>
      </c>
      <c r="E172" s="15">
        <v>42647.323958333334</v>
      </c>
      <c r="F172" s="15">
        <v>42647.327256944445</v>
      </c>
      <c r="G172" s="7">
        <v>1</v>
      </c>
      <c r="H172" s="15" t="s">
        <v>342</v>
      </c>
      <c r="I172" s="15">
        <v>42647.337800925925</v>
      </c>
      <c r="J172" s="7">
        <v>0</v>
      </c>
      <c r="K172" s="117" t="str">
        <f>IF(ISEVEN(B172),(B172-1)&amp;"/"&amp;B172,B172&amp;"/"&amp;(B172+1))</f>
        <v>4003/4004</v>
      </c>
      <c r="L172" s="24" t="str">
        <f>VLOOKUP(A172,'Trips&amp;Operators'!$C$1:$E$10000,3,FALSE)</f>
        <v>STARKS</v>
      </c>
      <c r="M172" s="6">
        <f>I172-F172</f>
        <v>1.0543981479713693E-2</v>
      </c>
      <c r="N172" s="7">
        <f>24*60*SUM($M172:$M172)</f>
        <v>15.183333330787718</v>
      </c>
      <c r="O172" s="7"/>
      <c r="P172" s="7"/>
      <c r="Q172" s="25"/>
      <c r="R172" s="25"/>
      <c r="S172" s="37">
        <f>SUM(U172:U172)/IF(AG172="EC",12,1)</f>
        <v>1</v>
      </c>
      <c r="T172" s="52" t="str">
        <f>IF(ISEVEN(LEFT(AD172,4)),"Southbound","NorthBound")</f>
        <v>NorthBound</v>
      </c>
      <c r="U172" s="159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02" t="str">
        <f>"https://search-rtdc-monitor-bjffxe2xuh6vdkpspy63sjmuny.us-east-1.es.amazonaws.com/_plugin/kibana/#/discover/Steve-Slow-Train-Analysis-(2080s-and-2083s)?_g=(refreshInterval:(display:Off,section:0,value:0),time:(from:'"&amp;TEXT(E172-1/24,"yyyy-MM-DD hh:mm:ss")&amp;"-0600',mode:absolute,to:'"&amp;TEXT(I172+1/24,"yyyy-MM-DD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172&amp;"%22')),sort:!(Time,asc))"</f>
        <v>https://search-rtdc-monitor-bjffxe2xuh6vdkpspy63sjmuny.us-east-1.es.amazonaws.com/_plugin/kibana/#/discover/Steve-Slow-Train-Analysis-(2080s-and-2083s)?_g=(refreshInterval:(display:Off,section:0,value:0),time:(from:'2016-10-04 06:46:30-0600',mode:absolute,to:'2016-10-04 09:06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72" s="54" t="str">
        <f>IF(AA172&lt;IF(AG172="EC",23,5.65),"Y","N")</f>
        <v>N</v>
      </c>
      <c r="X172" s="164">
        <f>VALUE(LEFT(AD172,4))-VALUE(LEFT(AD171,4))</f>
        <v>1</v>
      </c>
      <c r="Y172" s="69">
        <f>RIGHT(D172,LEN(D172)-4)/10000</f>
        <v>0.1009</v>
      </c>
      <c r="Z172" s="69">
        <f>RIGHT(H172,LEN(H172)-4)/10000</f>
        <v>5.8943000000000003</v>
      </c>
      <c r="AA172" s="69">
        <f>ABS(Z172-Y172)</f>
        <v>5.7934000000000001</v>
      </c>
      <c r="AB172" s="66" t="e">
        <f>VLOOKUP(A172,Enforcements!$C$7:$K$21,8,0)</f>
        <v>#N/A</v>
      </c>
      <c r="AC172" s="62" t="e">
        <f>VLOOKUP(A172,Enforcements!$C$7:$E$21,3,0)</f>
        <v>#N/A</v>
      </c>
      <c r="AD172" s="63" t="str">
        <f>IF(LEN(A172)=6,"0"&amp;A172,A172)</f>
        <v>0809-04</v>
      </c>
      <c r="AE172" s="9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s3://rtdc.mdm.uploadarchive.raw/RTDC4003/ "%USERPROFILE%\AppData\Local\Temp\OnboardLogs"\RTDC4003\2016-10-04 --exclude "*" --recursive --include "*20161004*" &amp; "%USERPROFILE%\Documents\GitHub\mrs-test-scripts\Headless Mode &amp; Sideloading\WalkAndUnGZ.bat" "%USERPROFILE%\AppData\Local\Temp\OnboardLogs"\RTDC4003\2016-10-04 &amp; aws s3 cp s3://rtdc.mdm.uploadarchive.raw/RTDC4003/ "%USERPROFILE%\AppData\Local\Temp\OnboardLogs"\RTDC4003\2016-10-05 --exclude "*" --recursive --include "*20161005*" &amp; "%USERPROFILE%\Documents\GitHub\mrs-test-scripts\Headless Mode &amp; Sideloading\WalkAndUnGZ.bat" "%USERPROFILE%\AppData\Local\Temp\OnboardLogs"\RTDC4003\2016-10-05</v>
      </c>
      <c r="AF172" s="92" t="str">
        <f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/stypes="app*4003*20161004*" /stext=" 14:.+((SYSTEM_STATE.+slice.+state.+changed )|(ment ac)|(system.+state.+changed )|(\[timeout)|(PRM\|1\|D)|(kpr)|(kdp)|(\|lc)|(penalty))" /e /r /s</v>
      </c>
      <c r="AG172" s="1" t="str">
        <f>IFERROR(IF(VALUE(LEFT(AD172,2))&lt;=2,"EC",IF(OR(VALUE(LEFT(AD172,2))=8,VALUE(LEFT(AD172,2))=18),"NW","Other")),"Other")</f>
        <v>NW</v>
      </c>
      <c r="AH172" s="96" t="str">
        <f t="shared" si="6"/>
        <v>"%USERPROFILE%\Documents\GitHub\eaglep3\Utilities\RefineRTDCRunTimes.py" --tripid 809-04 --locoid 4003 --swversion DE.1.0.7.0 --startMP 204:1009 --initTime 2016-10-04T07:46:30 --startdatetime 2016-10-04T07:51:15 --delay 1 --endMP 300:58943 --enddatetime 2016-10-04T08:06:26 --enforcementcount 0 &gt;&gt;C:\Users\stu\Documents\GitHub\eaglep3-reporting\EC\2016-10-04-refined-times.txt</v>
      </c>
      <c r="AI172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{"issue":{"subject":"","project_id":79,"tracker_id":40,"status_id":1,"priority_id":2,"assigned_to_id":23,"start_date":"2016-10-04","description":"","custom_fields":[{"id":1,"name":"Subdivision","value":"NW"},{"id":4,"name":"Milepost","value":"5.8943"},{"id":17,"name":"Train ID","value":"809-04"},{"id":16,"name":"Locomotive ID","value":"4003"},{"id":130,"name":"Impact","value":""},{"id":150,"name":"Time of Event (Mountain Time)","value":"08:06:26"},{"id":151,"name":"Denver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5"/>
      <c r="AK172" s="55"/>
      <c r="AL172" s="55"/>
    </row>
    <row r="173" spans="1:38" x14ac:dyDescent="0.25">
      <c r="A173" s="39" t="s">
        <v>417</v>
      </c>
      <c r="B173" s="7">
        <v>4004</v>
      </c>
      <c r="C173" s="24" t="s">
        <v>106</v>
      </c>
      <c r="D173" s="24" t="s">
        <v>348</v>
      </c>
      <c r="E173" s="15">
        <v>42647.339884259258</v>
      </c>
      <c r="F173" s="15">
        <v>42647.340995370374</v>
      </c>
      <c r="G173" s="7">
        <v>1</v>
      </c>
      <c r="H173" s="15" t="s">
        <v>737</v>
      </c>
      <c r="I173" s="15">
        <v>42647.351944444446</v>
      </c>
      <c r="J173" s="7">
        <v>0</v>
      </c>
      <c r="K173" s="117" t="str">
        <f>IF(ISEVEN(B173),(B173-1)&amp;"/"&amp;B173,B173&amp;"/"&amp;(B173+1))</f>
        <v>4003/4004</v>
      </c>
      <c r="L173" s="24" t="str">
        <f>VLOOKUP(A173,'Trips&amp;Operators'!$C$1:$E$10000,3,FALSE)</f>
        <v>STARKS</v>
      </c>
      <c r="M173" s="6">
        <f>I173-F173</f>
        <v>1.0949074072414078E-2</v>
      </c>
      <c r="N173" s="7">
        <f>24*60*SUM($M173:$M173)</f>
        <v>15.766666664276272</v>
      </c>
      <c r="O173" s="7"/>
      <c r="P173" s="7"/>
      <c r="Q173" s="25"/>
      <c r="R173" s="25"/>
      <c r="S173" s="37">
        <f>SUM(U173:U173)/IF(AG173="EC",12,1)</f>
        <v>1</v>
      </c>
      <c r="T173" s="52" t="str">
        <f>IF(ISEVEN(LEFT(AD173,4)),"Southbound","NorthBound")</f>
        <v>Southbound</v>
      </c>
      <c r="U173" s="159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02" t="str">
        <f>"https://search-rtdc-monitor-bjffxe2xuh6vdkpspy63sjmuny.us-east-1.es.amazonaws.com/_plugin/kibana/#/discover/Steve-Slow-Train-Analysis-(2080s-and-2083s)?_g=(refreshInterval:(display:Off,section:0,value:0),time:(from:'"&amp;TEXT(E173-1/24,"yyyy-MM-DD hh:mm:ss")&amp;"-0600',mode:absolute,to:'"&amp;TEXT(I173+1/24,"yyyy-MM-DD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173&amp;"%22')),sort:!(Time,asc))"</f>
        <v>https://search-rtdc-monitor-bjffxe2xuh6vdkpspy63sjmuny.us-east-1.es.amazonaws.com/_plugin/kibana/#/discover/Steve-Slow-Train-Analysis-(2080s-and-2083s)?_g=(refreshInterval:(display:Off,section:0,value:0),time:(from:'2016-10-04 07:09:26-0600',mode:absolute,to:'2016-10-04 09:26:48-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73" s="54" t="str">
        <f>IF(AA173&lt;IF(AG173="EC",23,5.65),"Y","N")</f>
        <v>N</v>
      </c>
      <c r="X173" s="164">
        <f>VALUE(LEFT(AD173,4))-VALUE(LEFT(AD172,4))</f>
        <v>1</v>
      </c>
      <c r="Y173" s="69">
        <f>RIGHT(D173,LEN(D173)-4)/10000</f>
        <v>5.8619000000000003</v>
      </c>
      <c r="Z173" s="69">
        <f>RIGHT(H173,LEN(H173)-4)/10000</f>
        <v>7.6200000000000004E-2</v>
      </c>
      <c r="AA173" s="69">
        <f>ABS(Z173-Y173)</f>
        <v>5.7857000000000003</v>
      </c>
      <c r="AB173" s="66" t="e">
        <f>VLOOKUP(A173,Enforcements!$C$7:$K$21,8,0)</f>
        <v>#N/A</v>
      </c>
      <c r="AC173" s="62" t="e">
        <f>VLOOKUP(A173,Enforcements!$C$7:$E$21,3,0)</f>
        <v>#N/A</v>
      </c>
      <c r="AD173" s="63" t="str">
        <f>IF(LEN(A173)=6,"0"&amp;A173,A173)</f>
        <v>0810-04</v>
      </c>
      <c r="AE173" s="9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s3://rtdc.mdm.uploadarchive.raw/RTDC4004/ "%USERPROFILE%\AppData\Local\Temp\OnboardLogs"\RTDC4004\2016-10-04 --exclude "*" --recursive --include "*20161004*" &amp; "%USERPROFILE%\Documents\GitHub\mrs-test-scripts\Headless Mode &amp; Sideloading\WalkAndUnGZ.bat" "%USERPROFILE%\AppData\Local\Temp\OnboardLogs"\RTDC4004\2016-10-04 &amp; aws s3 cp s3://rtdc.mdm.uploadarchive.raw/RTDC4004/ "%USERPROFILE%\AppData\Local\Temp\OnboardLogs"\RTDC4004\2016-10-05 --exclude "*" --recursive --include "*20161005*" &amp; "%USERPROFILE%\Documents\GitHub\mrs-test-scripts\Headless Mode &amp; Sideloading\WalkAndUnGZ.bat" "%USERPROFILE%\AppData\Local\Temp\OnboardLogs"\RTDC4004\2016-10-05</v>
      </c>
      <c r="AF173" s="92" t="str">
        <f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/stypes="app*4004*20161004*" /stext=" 14:.+((SYSTEM_STATE.+slice.+state.+changed )|(ment ac)|(system.+state.+changed )|(\[timeout)|(PRM\|1\|D)|(kpr)|(kdp)|(\|lc)|(penalty))" /e /r /s</v>
      </c>
      <c r="AG173" s="1" t="str">
        <f>IFERROR(IF(VALUE(LEFT(AD173,2))&lt;=2,"EC",IF(OR(VALUE(LEFT(AD173,2))=8,VALUE(LEFT(AD173,2))=18),"NW","Other")),"Other")</f>
        <v>NW</v>
      </c>
      <c r="AH173" s="96" t="str">
        <f t="shared" si="6"/>
        <v>"%USERPROFILE%\Documents\GitHub\eaglep3\Utilities\RefineRTDCRunTimes.py" --tripid 810-04 --locoid 4004 --swversion DE.1.0.7.0 --startMP 300:58619 --initTime 2016-10-04T08:09:26 --startdatetime 2016-10-04T08:11:02 --delay 1 --endMP 204:762 --enddatetime 2016-10-04T08:26:48 --enforcementcount 0 &gt;&gt;C:\Users\stu\Documents\GitHub\eaglep3-reporting\EC\2016-10-04-refined-times.txt</v>
      </c>
      <c r="AI173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{"issue":{"subject":"","project_id":79,"tracker_id":40,"status_id":1,"priority_id":2,"assigned_to_id":23,"start_date":"2016-10-04","description":"","custom_fields":[{"id":1,"name":"Subdivision","value":"NW"},{"id":4,"name":"Milepost","value":"0.0762"},{"id":17,"name":"Train ID","value":"810-04"},{"id":16,"name":"Locomotive ID","value":"4004"},{"id":130,"name":"Impact","value":""},{"id":150,"name":"Time of Event (Mountain Time)","value":"08:26:48"},{"id":151,"name":"Denver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5"/>
      <c r="AK173" s="55"/>
      <c r="AL173" s="55"/>
    </row>
    <row r="174" spans="1:38" x14ac:dyDescent="0.25">
      <c r="A174" s="39" t="s">
        <v>419</v>
      </c>
      <c r="B174" s="7">
        <v>4018</v>
      </c>
      <c r="C174" s="24" t="s">
        <v>106</v>
      </c>
      <c r="D174" s="24" t="s">
        <v>738</v>
      </c>
      <c r="E174" s="15">
        <v>42647.344930555555</v>
      </c>
      <c r="F174" s="15">
        <v>42647.348090277781</v>
      </c>
      <c r="G174" s="7">
        <v>1</v>
      </c>
      <c r="H174" s="15" t="s">
        <v>338</v>
      </c>
      <c r="I174" s="15">
        <v>42647.357071759259</v>
      </c>
      <c r="J174" s="7">
        <v>0</v>
      </c>
      <c r="K174" s="117" t="str">
        <f>IF(ISEVEN(B174),(B174-1)&amp;"/"&amp;B174,B174&amp;"/"&amp;(B174+1))</f>
        <v>4017/4018</v>
      </c>
      <c r="L174" s="24" t="str">
        <f>VLOOKUP(A174,'Trips&amp;Operators'!$C$1:$E$10000,3,FALSE)</f>
        <v>LEVIN</v>
      </c>
      <c r="M174" s="6">
        <f>I174-F174</f>
        <v>8.9814814782585017E-3</v>
      </c>
      <c r="N174" s="7">
        <f>24*60*SUM($M174:$M174)</f>
        <v>12.933333328692243</v>
      </c>
      <c r="O174" s="7"/>
      <c r="P174" s="7"/>
      <c r="Q174" s="25"/>
      <c r="R174" s="25"/>
      <c r="S174" s="37">
        <f>SUM(U174:U174)/IF(AG174="EC",12,1)</f>
        <v>1</v>
      </c>
      <c r="T174" s="52" t="str">
        <f>IF(ISEVEN(LEFT(AD174,4)),"Southbound","NorthBound")</f>
        <v>NorthBound</v>
      </c>
      <c r="U174" s="159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02" t="str">
        <f>"https://search-rtdc-monitor-bjffxe2xuh6vdkpspy63sjmuny.us-east-1.es.amazonaws.com/_plugin/kibana/#/discover/Steve-Slow-Train-Analysis-(2080s-and-2083s)?_g=(refreshInterval:(display:Off,section:0,value:0),time:(from:'"&amp;TEXT(E174-1/24,"yyyy-MM-DD hh:mm:ss")&amp;"-0600',mode:absolute,to:'"&amp;TEXT(I174+1/24,"yyyy-MM-DD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174&amp;"%22')),sort:!(Time,asc))"</f>
        <v>https://search-rtdc-monitor-bjffxe2xuh6vdkpspy63sjmuny.us-east-1.es.amazonaws.com/_plugin/kibana/#/discover/Steve-Slow-Train-Analysis-(2080s-and-2083s)?_g=(refreshInterval:(display:Off,section:0,value:0),time:(from:'2016-10-04 07:16:42-0600',mode:absolute,to:'2016-10-04 09:34:11-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4" s="54" t="str">
        <f>IF(AA174&lt;IF(AG174="EC",23,5.65),"Y","N")</f>
        <v>N</v>
      </c>
      <c r="X174" s="164">
        <f>VALUE(LEFT(AD174,4))-VALUE(LEFT(AD173,4))</f>
        <v>1</v>
      </c>
      <c r="Y174" s="69">
        <f>RIGHT(D174,LEN(D174)-4)/10000</f>
        <v>9.9000000000000005E-2</v>
      </c>
      <c r="Z174" s="69">
        <f>RIGHT(H174,LEN(H174)-4)/10000</f>
        <v>5.8925999999999998</v>
      </c>
      <c r="AA174" s="69">
        <f>ABS(Z174-Y174)</f>
        <v>5.7935999999999996</v>
      </c>
      <c r="AB174" s="66" t="e">
        <f>VLOOKUP(A174,Enforcements!$C$7:$K$21,8,0)</f>
        <v>#N/A</v>
      </c>
      <c r="AC174" s="62" t="e">
        <f>VLOOKUP(A174,Enforcements!$C$7:$E$21,3,0)</f>
        <v>#N/A</v>
      </c>
      <c r="AD174" s="63" t="str">
        <f>IF(LEN(A174)=6,"0"&amp;A174,A174)</f>
        <v>0811-04</v>
      </c>
      <c r="AE174" s="9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s3://rtdc.mdm.uploadarchive.raw/RTDC4018/ "%USERPROFILE%\AppData\Local\Temp\OnboardLogs"\RTDC4018\2016-10-04 --exclude "*" --recursive --include "*20161004*" &amp; "%USERPROFILE%\Documents\GitHub\mrs-test-scripts\Headless Mode &amp; Sideloading\WalkAndUnGZ.bat" "%USERPROFILE%\AppData\Local\Temp\OnboardLogs"\RTDC4018\2016-10-04 &amp; aws s3 cp s3://rtdc.mdm.uploadarchive.raw/RTDC4018/ "%USERPROFILE%\AppData\Local\Temp\OnboardLogs"\RTDC4018\2016-10-05 --exclude "*" --recursive --include "*20161005*" &amp; "%USERPROFILE%\Documents\GitHub\mrs-test-scripts\Headless Mode &amp; Sideloading\WalkAndUnGZ.bat" "%USERPROFILE%\AppData\Local\Temp\OnboardLogs"\RTDC4018\2016-10-05</v>
      </c>
      <c r="AF174" s="92" t="str">
        <f>astrogrep_path&amp;" /spath="&amp;search_path&amp;" /stypes=""app*"&amp;B174&amp;"*"&amp;TEXT(I174-utc_offset/24,"YYYYMMDD")&amp;"*"" /stext="" "&amp;TEXT(I174-utc_offset/24,"HH")&amp;search_regexp&amp;""" /e /r /s"</f>
        <v>"C:\Program Files (x86)\AstroGrep\AstroGrep.exe" /spath="%USERPROFILE%\AppData\Local\Temp\OnboardLogs" /stypes="app*4018*20161004*" /stext=" 14:.+((SYSTEM_STATE.+slice.+state.+changed )|(ment ac)|(system.+state.+changed )|(\[timeout)|(PRM\|1\|D)|(kpr)|(kdp)|(\|lc)|(penalty))" /e /r /s</v>
      </c>
      <c r="AG174" s="1" t="str">
        <f>IFERROR(IF(VALUE(LEFT(AD174,2))&lt;=2,"EC",IF(OR(VALUE(LEFT(AD174,2))=8,VALUE(LEFT(AD174,2))=18),"NW","Other")),"Other")</f>
        <v>NW</v>
      </c>
      <c r="AH174" s="96" t="str">
        <f t="shared" si="6"/>
        <v>"%USERPROFILE%\Documents\GitHub\eaglep3\Utilities\RefineRTDCRunTimes.py" --tripid 811-04 --locoid 4018 --swversion DE.1.0.7.0 --startMP 204:990 --initTime 2016-10-04T08:16:42 --startdatetime 2016-10-04T08:21:15 --delay 1 --endMP 300:58926 --enddatetime 2016-10-04T08:34:11 --enforcementcount 0 &gt;&gt;C:\Users\stu\Documents\GitHub\eaglep3-reporting\EC\2016-10-04-refined-times.txt</v>
      </c>
      <c r="AI174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{"issue":{"subject":"","project_id":79,"tracker_id":40,"status_id":1,"priority_id":2,"assigned_to_id":23,"start_date":"2016-10-04","description":"","custom_fields":[{"id":1,"name":"Subdivision","value":"NW"},{"id":4,"name":"Milepost","value":"5.8926"},{"id":17,"name":"Train ID","value":"811-04"},{"id":16,"name":"Locomotive ID","value":"4018"},{"id":130,"name":"Impact","value":""},{"id":150,"name":"Time of Event (Mountain Time)","value":"08:34:11"},{"id":151,"name":"Denver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5"/>
      <c r="AK174" s="55"/>
      <c r="AL174" s="55"/>
    </row>
    <row r="175" spans="1:38" x14ac:dyDescent="0.25">
      <c r="A175" s="39" t="s">
        <v>423</v>
      </c>
      <c r="B175" s="7">
        <v>4017</v>
      </c>
      <c r="C175" s="24" t="s">
        <v>106</v>
      </c>
      <c r="D175" s="24" t="s">
        <v>739</v>
      </c>
      <c r="E175" s="15">
        <v>42647.357939814814</v>
      </c>
      <c r="F175" s="15">
        <v>42647.359479166669</v>
      </c>
      <c r="G175" s="7">
        <v>1</v>
      </c>
      <c r="H175" s="15" t="s">
        <v>340</v>
      </c>
      <c r="I175" s="15">
        <v>42647.371574074074</v>
      </c>
      <c r="J175" s="7">
        <v>0</v>
      </c>
      <c r="K175" s="117" t="str">
        <f>IF(ISEVEN(B175),(B175-1)&amp;"/"&amp;B175,B175&amp;"/"&amp;(B175+1))</f>
        <v>4017/4018</v>
      </c>
      <c r="L175" s="24" t="str">
        <f>VLOOKUP(A175,'Trips&amp;Operators'!$C$1:$E$10000,3,FALSE)</f>
        <v>LEVIN</v>
      </c>
      <c r="M175" s="6">
        <f>I175-F175</f>
        <v>1.2094907404389232E-2</v>
      </c>
      <c r="N175" s="7">
        <f>24*60*SUM($M175:$M175)</f>
        <v>17.416666662320495</v>
      </c>
      <c r="O175" s="7"/>
      <c r="P175" s="7"/>
      <c r="Q175" s="25"/>
      <c r="R175" s="25"/>
      <c r="S175" s="37">
        <f>SUM(U175:U175)/IF(AG175="EC",12,1)</f>
        <v>1</v>
      </c>
      <c r="T175" s="52" t="str">
        <f>IF(ISEVEN(LEFT(AD175,4)),"Southbound","NorthBound")</f>
        <v>Southbound</v>
      </c>
      <c r="U175" s="159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02" t="str">
        <f>"https://search-rtdc-monitor-bjffxe2xuh6vdkpspy63sjmuny.us-east-1.es.amazonaws.com/_plugin/kibana/#/discover/Steve-Slow-Train-Analysis-(2080s-and-2083s)?_g=(refreshInterval:(display:Off,section:0,value:0),time:(from:'"&amp;TEXT(E175-1/24,"yyyy-MM-DD hh:mm:ss")&amp;"-0600',mode:absolute,to:'"&amp;TEXT(I175+1/24,"yyyy-MM-DD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175&amp;"%22')),sort:!(Time,asc))"</f>
        <v>https://search-rtdc-monitor-bjffxe2xuh6vdkpspy63sjmuny.us-east-1.es.amazonaws.com/_plugin/kibana/#/discover/Steve-Slow-Train-Analysis-(2080s-and-2083s)?_g=(refreshInterval:(display:Off,section:0,value:0),time:(from:'2016-10-04 07:35:26-0600',mode:absolute,to:'2016-10-04 09:55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5" s="54" t="str">
        <f>IF(AA175&lt;IF(AG175="EC",23,5.65),"Y","N")</f>
        <v>N</v>
      </c>
      <c r="X175" s="164">
        <f>VALUE(LEFT(AD175,4))-VALUE(LEFT(AD174,4))</f>
        <v>1</v>
      </c>
      <c r="Y175" s="69">
        <f>RIGHT(D175,LEN(D175)-4)/10000</f>
        <v>5.8608000000000002</v>
      </c>
      <c r="Z175" s="69">
        <f>RIGHT(H175,LEN(H175)-4)/10000</f>
        <v>7.0300000000000001E-2</v>
      </c>
      <c r="AA175" s="69">
        <f>ABS(Z175-Y175)</f>
        <v>5.7905000000000006</v>
      </c>
      <c r="AB175" s="66" t="e">
        <f>VLOOKUP(A175,Enforcements!$C$7:$K$21,8,0)</f>
        <v>#N/A</v>
      </c>
      <c r="AC175" s="62" t="e">
        <f>VLOOKUP(A175,Enforcements!$C$7:$E$21,3,0)</f>
        <v>#N/A</v>
      </c>
      <c r="AD175" s="63" t="str">
        <f>IF(LEN(A175)=6,"0"&amp;A175,A175)</f>
        <v>0812-04</v>
      </c>
      <c r="AE175" s="9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 &amp; 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</v>
      </c>
      <c r="AF175" s="92" t="str">
        <f>astrogrep_path&amp;" /spath="&amp;search_path&amp;" /stypes=""app*"&amp;B175&amp;"*"&amp;TEXT(I175-utc_offset/24,"YYYYMMDD")&amp;"*"" /stext="" "&amp;TEXT(I175-utc_offset/24,"HH")&amp;search_regexp&amp;""" /e /r /s"</f>
        <v>"C:\Program Files (x86)\AstroGrep\AstroGrep.exe" /spath="%USERPROFILE%\AppData\Local\Temp\OnboardLogs" /stypes="app*4017*20161004*" /stext=" 14:.+((SYSTEM_STATE.+slice.+state.+changed )|(ment ac)|(system.+state.+changed )|(\[timeout)|(PRM\|1\|D)|(kpr)|(kdp)|(\|lc)|(penalty))" /e /r /s</v>
      </c>
      <c r="AG175" s="1" t="str">
        <f>IFERROR(IF(VALUE(LEFT(AD175,2))&lt;=2,"EC",IF(OR(VALUE(LEFT(AD175,2))=8,VALUE(LEFT(AD175,2))=18),"NW","Other")),"Other")</f>
        <v>NW</v>
      </c>
      <c r="AH175" s="96" t="str">
        <f t="shared" si="6"/>
        <v>"%USERPROFILE%\Documents\GitHub\eaglep3\Utilities\RefineRTDCRunTimes.py" --tripid 812-04 --locoid 4017 --swversion DE.1.0.7.0 --startMP 300:58608 --initTime 2016-10-04T08:35:26 --startdatetime 2016-10-04T08:37:39 --delay 1 --endMP 204:703 --enddatetime 2016-10-04T08:55:04 --enforcementcount 0 &gt;&gt;C:\Users\stu\Documents\GitHub\eaglep3-reporting\EC\2016-10-04-refined-times.txt</v>
      </c>
      <c r="AI175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{"issue":{"subject":"","project_id":79,"tracker_id":40,"status_id":1,"priority_id":2,"assigned_to_id":23,"start_date":"2016-10-04","description":"","custom_fields":[{"id":1,"name":"Subdivision","value":"NW"},{"id":4,"name":"Milepost","value":"0.0703"},{"id":17,"name":"Train ID","value":"812-04"},{"id":16,"name":"Locomotive ID","value":"4017"},{"id":130,"name":"Impact","value":""},{"id":150,"name":"Time of Event (Mountain Time)","value":"08:55:04"},{"id":151,"name":"Denver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5"/>
      <c r="AK175" s="55"/>
      <c r="AL175" s="55"/>
    </row>
    <row r="176" spans="1:38" x14ac:dyDescent="0.25">
      <c r="A176" s="39" t="s">
        <v>430</v>
      </c>
      <c r="B176" s="7">
        <v>4018</v>
      </c>
      <c r="C176" s="24" t="s">
        <v>106</v>
      </c>
      <c r="D176" s="24" t="s">
        <v>341</v>
      </c>
      <c r="E176" s="15">
        <v>42647.386712962965</v>
      </c>
      <c r="F176" s="15">
        <v>42647.389756944445</v>
      </c>
      <c r="G176" s="7">
        <v>1</v>
      </c>
      <c r="H176" s="15" t="s">
        <v>740</v>
      </c>
      <c r="I176" s="15">
        <v>42647.399918981479</v>
      </c>
      <c r="J176" s="7">
        <v>0</v>
      </c>
      <c r="K176" s="117" t="str">
        <f>IF(ISEVEN(B176),(B176-1)&amp;"/"&amp;B176,B176&amp;"/"&amp;(B176+1))</f>
        <v>4017/4018</v>
      </c>
      <c r="L176" s="24" t="str">
        <f>VLOOKUP(A176,'Trips&amp;Operators'!$C$1:$E$10000,3,FALSE)</f>
        <v>LEVIN</v>
      </c>
      <c r="M176" s="6">
        <f>I176-F176</f>
        <v>1.0162037033296656E-2</v>
      </c>
      <c r="N176" s="7">
        <f>24*60*SUM($M176:$M176)</f>
        <v>14.633333327947184</v>
      </c>
      <c r="O176" s="7"/>
      <c r="P176" s="7"/>
      <c r="Q176" s="25"/>
      <c r="R176" s="25"/>
      <c r="S176" s="37">
        <f>SUM(U176:U176)/IF(AG176="EC",12,1)</f>
        <v>1</v>
      </c>
      <c r="T176" s="52" t="str">
        <f>IF(ISEVEN(LEFT(AD176,4)),"Southbound","NorthBound")</f>
        <v>NorthBound</v>
      </c>
      <c r="U176" s="159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02" t="str">
        <f>"https://search-rtdc-monitor-bjffxe2xuh6vdkpspy63sjmuny.us-east-1.es.amazonaws.com/_plugin/kibana/#/discover/Steve-Slow-Train-Analysis-(2080s-and-2083s)?_g=(refreshInterval:(display:Off,section:0,value:0),time:(from:'"&amp;TEXT(E176-1/24,"yyyy-MM-DD hh:mm:ss")&amp;"-0600',mode:absolute,to:'"&amp;TEXT(I176+1/24,"yyyy-MM-DD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176&amp;"%22')),sort:!(Time,asc))"</f>
        <v>https://search-rtdc-monitor-bjffxe2xuh6vdkpspy63sjmuny.us-east-1.es.amazonaws.com/_plugin/kibana/#/discover/Steve-Slow-Train-Analysis-(2080s-and-2083s)?_g=(refreshInterval:(display:Off,section:0,value:0),time:(from:'2016-10-04 08:16:52-0600',mode:absolute,to:'2016-10-04 10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6" s="54" t="str">
        <f>IF(AA176&lt;IF(AG176="EC",23,5.65),"Y","N")</f>
        <v>N</v>
      </c>
      <c r="X176" s="164">
        <f>VALUE(LEFT(AD176,4))-VALUE(LEFT(AD175,4))</f>
        <v>1</v>
      </c>
      <c r="Y176" s="69">
        <f>RIGHT(D176,LEN(D176)-4)/10000</f>
        <v>9.9299999999999999E-2</v>
      </c>
      <c r="Z176" s="69">
        <f>RIGHT(H176,LEN(H176)-4)/10000</f>
        <v>5.8917999999999999</v>
      </c>
      <c r="AA176" s="69">
        <f>ABS(Z176-Y176)</f>
        <v>5.7924999999999995</v>
      </c>
      <c r="AB176" s="66" t="e">
        <f>VLOOKUP(A176,Enforcements!$C$7:$K$21,8,0)</f>
        <v>#N/A</v>
      </c>
      <c r="AC176" s="62" t="e">
        <f>VLOOKUP(A176,Enforcements!$C$7:$E$21,3,0)</f>
        <v>#N/A</v>
      </c>
      <c r="AD176" s="63" t="str">
        <f>IF(LEN(A176)=6,"0"&amp;A176,A176)</f>
        <v>0813-04</v>
      </c>
      <c r="AE176" s="9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s3://rtdc.mdm.uploadarchive.raw/RTDC4018/ "%USERPROFILE%\AppData\Local\Temp\OnboardLogs"\RTDC4018\2016-10-04 --exclude "*" --recursive --include "*20161004*" &amp; "%USERPROFILE%\Documents\GitHub\mrs-test-scripts\Headless Mode &amp; Sideloading\WalkAndUnGZ.bat" "%USERPROFILE%\AppData\Local\Temp\OnboardLogs"\RTDC4018\2016-10-04 &amp; aws s3 cp s3://rtdc.mdm.uploadarchive.raw/RTDC4018/ "%USERPROFILE%\AppData\Local\Temp\OnboardLogs"\RTDC4018\2016-10-05 --exclude "*" --recursive --include "*20161005*" &amp; "%USERPROFILE%\Documents\GitHub\mrs-test-scripts\Headless Mode &amp; Sideloading\WalkAndUnGZ.bat" "%USERPROFILE%\AppData\Local\Temp\OnboardLogs"\RTDC4018\2016-10-05</v>
      </c>
      <c r="AF176" s="92" t="str">
        <f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/stypes="app*4018*20161004*" /stext=" 15:.+((SYSTEM_STATE.+slice.+state.+changed )|(ment ac)|(system.+state.+changed )|(\[timeout)|(PRM\|1\|D)|(kpr)|(kdp)|(\|lc)|(penalty))" /e /r /s</v>
      </c>
      <c r="AG176" s="1" t="str">
        <f>IFERROR(IF(VALUE(LEFT(AD176,2))&lt;=2,"EC",IF(OR(VALUE(LEFT(AD176,2))=8,VALUE(LEFT(AD176,2))=18),"NW","Other")),"Other")</f>
        <v>NW</v>
      </c>
      <c r="AH176" s="96" t="str">
        <f t="shared" si="6"/>
        <v>"%USERPROFILE%\Documents\GitHub\eaglep3\Utilities\RefineRTDCRunTimes.py" --tripid 813-04 --locoid 4018 --swversion DE.1.0.7.0 --startMP 204:993 --initTime 2016-10-04T09:16:52 --startdatetime 2016-10-04T09:21:15 --delay 1 --endMP 300:58918 --enddatetime 2016-10-04T09:35:53 --enforcementcount 0 &gt;&gt;C:\Users\stu\Documents\GitHub\eaglep3-reporting\EC\2016-10-04-refined-times.txt</v>
      </c>
      <c r="AI176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{"issue":{"subject":"","project_id":79,"tracker_id":40,"status_id":1,"priority_id":2,"assigned_to_id":23,"start_date":"2016-10-04","description":"","custom_fields":[{"id":1,"name":"Subdivision","value":"NW"},{"id":4,"name":"Milepost","value":"5.8918"},{"id":17,"name":"Train ID","value":"813-04"},{"id":16,"name":"Locomotive ID","value":"4018"},{"id":130,"name":"Impact","value":""},{"id":150,"name":"Time of Event (Mountain Time)","value":"09:35:53"},{"id":151,"name":"Denver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5"/>
      <c r="AK176" s="55"/>
      <c r="AL176" s="55"/>
    </row>
    <row r="177" spans="1:38" s="23" customFormat="1" x14ac:dyDescent="0.25">
      <c r="A177" s="39" t="s">
        <v>438</v>
      </c>
      <c r="B177" s="7">
        <v>4017</v>
      </c>
      <c r="C177" s="24" t="s">
        <v>106</v>
      </c>
      <c r="D177" s="24" t="s">
        <v>731</v>
      </c>
      <c r="E177" s="15">
        <v>42647.40084490741</v>
      </c>
      <c r="F177" s="15">
        <v>42647.402037037034</v>
      </c>
      <c r="G177" s="7">
        <v>1</v>
      </c>
      <c r="H177" s="15" t="s">
        <v>741</v>
      </c>
      <c r="I177" s="15">
        <v>42647.413298611114</v>
      </c>
      <c r="J177" s="7">
        <v>0</v>
      </c>
      <c r="K177" s="117" t="str">
        <f>IF(ISEVEN(B177),(B177-1)&amp;"/"&amp;B177,B177&amp;"/"&amp;(B177+1))</f>
        <v>4017/4018</v>
      </c>
      <c r="L177" s="24" t="str">
        <f>VLOOKUP(A177,'Trips&amp;Operators'!$C$1:$E$10000,3,FALSE)</f>
        <v>LEVIN</v>
      </c>
      <c r="M177" s="6">
        <f>I177-F177</f>
        <v>1.1261574079981074E-2</v>
      </c>
      <c r="N177" s="7">
        <f>24*60*SUM($M177:$M177)</f>
        <v>16.216666675172746</v>
      </c>
      <c r="O177" s="7"/>
      <c r="P177" s="7"/>
      <c r="Q177" s="25"/>
      <c r="R177" s="25"/>
      <c r="S177" s="37">
        <f>SUM(U177:U177)/IF(AG177="EC",12,1)</f>
        <v>1</v>
      </c>
      <c r="T177" s="52" t="str">
        <f>IF(ISEVEN(LEFT(AD177,4)),"Southbound","NorthBound")</f>
        <v>Southbound</v>
      </c>
      <c r="U177" s="159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02" t="str">
        <f>"https://search-rtdc-monitor-bjffxe2xuh6vdkpspy63sjmuny.us-east-1.es.amazonaws.com/_plugin/kibana/#/discover/Steve-Slow-Train-Analysis-(2080s-and-2083s)?_g=(refreshInterval:(display:Off,section:0,value:0),time:(from:'"&amp;TEXT(E177-1/24,"yyyy-MM-DD hh:mm:ss")&amp;"-0600',mode:absolute,to:'"&amp;TEXT(I177+1/24,"yyyy-MM-DD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177&amp;"%22')),sort:!(Time,asc))"</f>
        <v>https://search-rtdc-monitor-bjffxe2xuh6vdkpspy63sjmuny.us-east-1.es.amazonaws.com/_plugin/kibana/#/discover/Steve-Slow-Train-Analysis-(2080s-and-2083s)?_g=(refreshInterval:(display:Off,section:0,value:0),time:(from:'2016-10-04 08:37:13-0600',mode:absolute,to:'2016-10-04 10:55:09-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7" s="54" t="str">
        <f>IF(AA177&lt;IF(AG177="EC",23,5.65),"Y","N")</f>
        <v>N</v>
      </c>
      <c r="X177" s="164">
        <f>VALUE(LEFT(AD177,4))-VALUE(LEFT(AD176,4))</f>
        <v>1</v>
      </c>
      <c r="Y177" s="69">
        <f>RIGHT(D177,LEN(D177)-4)/10000</f>
        <v>5.8605999999999998</v>
      </c>
      <c r="Z177" s="69">
        <f>RIGHT(H177,LEN(H177)-4)/10000</f>
        <v>7.0099999999999996E-2</v>
      </c>
      <c r="AA177" s="69">
        <f>ABS(Z177-Y177)</f>
        <v>5.7904999999999998</v>
      </c>
      <c r="AB177" s="66" t="e">
        <f>VLOOKUP(A177,Enforcements!$C$7:$K$21,8,0)</f>
        <v>#N/A</v>
      </c>
      <c r="AC177" s="62" t="e">
        <f>VLOOKUP(A177,Enforcements!$C$7:$E$21,3,0)</f>
        <v>#N/A</v>
      </c>
      <c r="AD177" s="63" t="str">
        <f>IF(LEN(A177)=6,"0"&amp;A177,A177)</f>
        <v>0814-04</v>
      </c>
      <c r="AE177" s="9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 &amp; 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</v>
      </c>
      <c r="AF177" s="92" t="str">
        <f>astrogrep_path&amp;" /spath="&amp;search_path&amp;" /stypes=""app*"&amp;B177&amp;"*"&amp;TEXT(I177-utc_offset/24,"YYYYMMDD")&amp;"*"" /stext="" "&amp;TEXT(I177-utc_offset/24,"HH")&amp;search_regexp&amp;""" /e /r /s"</f>
        <v>"C:\Program Files (x86)\AstroGrep\AstroGrep.exe" /spath="%USERPROFILE%\AppData\Local\Temp\OnboardLogs" /stypes="app*4017*20161004*" /stext=" 15:.+((SYSTEM_STATE.+slice.+state.+changed )|(ment ac)|(system.+state.+changed )|(\[timeout)|(PRM\|1\|D)|(kpr)|(kdp)|(\|lc)|(penalty))" /e /r /s</v>
      </c>
      <c r="AG177" s="1" t="str">
        <f>IFERROR(IF(VALUE(LEFT(AD177,2))&lt;=2,"EC",IF(OR(VALUE(LEFT(AD177,2))=8,VALUE(LEFT(AD177,2))=18),"NW","Other")),"Other")</f>
        <v>NW</v>
      </c>
      <c r="AH177" s="96" t="str">
        <f t="shared" si="6"/>
        <v>"%USERPROFILE%\Documents\GitHub\eaglep3\Utilities\RefineRTDCRunTimes.py" --tripid 814-04 --locoid 4017 --swversion DE.1.0.7.0 --startMP 300:58606 --initTime 2016-10-04T09:37:13 --startdatetime 2016-10-04T09:38:56 --delay 1 --endMP 204:701 --enddatetime 2016-10-04T09:55:09 --enforcementcount 0 &gt;&gt;C:\Users\stu\Documents\GitHub\eaglep3-reporting\EC\2016-10-04-refined-times.txt</v>
      </c>
      <c r="AI177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{"issue":{"subject":"","project_id":79,"tracker_id":40,"status_id":1,"priority_id":2,"assigned_to_id":23,"start_date":"2016-10-04","description":"","custom_fields":[{"id":1,"name":"Subdivision","value":"NW"},{"id":4,"name":"Milepost","value":"0.0701"},{"id":17,"name":"Train ID","value":"814-04"},{"id":16,"name":"Locomotive ID","value":"4017"},{"id":130,"name":"Impact","value":""},{"id":150,"name":"Time of Event (Mountain Time)","value":"09:55:09"},{"id":151,"name":"Denver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5"/>
      <c r="AK177" s="55"/>
      <c r="AL177" s="55"/>
    </row>
    <row r="178" spans="1:38" x14ac:dyDescent="0.25">
      <c r="A178" s="39" t="s">
        <v>445</v>
      </c>
      <c r="B178" s="7">
        <v>4018</v>
      </c>
      <c r="C178" s="24" t="s">
        <v>106</v>
      </c>
      <c r="D178" s="24" t="s">
        <v>742</v>
      </c>
      <c r="E178" s="15">
        <v>42647.428391203706</v>
      </c>
      <c r="F178" s="15">
        <v>42647.43141203704</v>
      </c>
      <c r="G178" s="7">
        <v>1</v>
      </c>
      <c r="H178" s="15" t="s">
        <v>338</v>
      </c>
      <c r="I178" s="15">
        <v>42647.440671296295</v>
      </c>
      <c r="J178" s="7">
        <v>0</v>
      </c>
      <c r="K178" s="117" t="str">
        <f>IF(ISEVEN(B178),(B178-1)&amp;"/"&amp;B178,B178&amp;"/"&amp;(B178+1))</f>
        <v>4017/4018</v>
      </c>
      <c r="L178" s="24" t="str">
        <f>VLOOKUP(A178,'Trips&amp;Operators'!$C$1:$E$10000,3,FALSE)</f>
        <v>LEVIN</v>
      </c>
      <c r="M178" s="6">
        <f>I178-F178</f>
        <v>9.2592592554865405E-3</v>
      </c>
      <c r="N178" s="7">
        <f>24*60*SUM($M178:$M178)</f>
        <v>13.333333327900618</v>
      </c>
      <c r="O178" s="7"/>
      <c r="P178" s="7"/>
      <c r="Q178" s="25"/>
      <c r="R178" s="25"/>
      <c r="S178" s="37">
        <f>SUM(U178:U178)/IF(AG178="EC",12,1)</f>
        <v>1</v>
      </c>
      <c r="T178" s="52" t="str">
        <f>IF(ISEVEN(LEFT(AD178,4)),"Southbound","NorthBound")</f>
        <v>NorthBound</v>
      </c>
      <c r="U178" s="159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02" t="str">
        <f>"https://search-rtdc-monitor-bjffxe2xuh6vdkpspy63sjmuny.us-east-1.es.amazonaws.com/_plugin/kibana/#/discover/Steve-Slow-Train-Analysis-(2080s-and-2083s)?_g=(refreshInterval:(display:Off,section:0,value:0),time:(from:'"&amp;TEXT(E178-1/24,"yyyy-MM-DD hh:mm:ss")&amp;"-0600',mode:absolute,to:'"&amp;TEXT(I178+1/24,"yyyy-MM-DD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178&amp;"%22')),sort:!(Time,asc))"</f>
        <v>https://search-rtdc-monitor-bjffxe2xuh6vdkpspy63sjmuny.us-east-1.es.amazonaws.com/_plugin/kibana/#/discover/Steve-Slow-Train-Analysis-(2080s-and-2083s)?_g=(refreshInterval:(display:Off,section:0,value:0),time:(from:'2016-10-04 09:16:53-0600',mode:absolute,to:'2016-10-04 11:34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78" s="54" t="str">
        <f>IF(AA178&lt;IF(AG178="EC",23,5.65),"Y","N")</f>
        <v>N</v>
      </c>
      <c r="X178" s="164">
        <f>VALUE(LEFT(AD178,4))-VALUE(LEFT(AD177,4))</f>
        <v>1</v>
      </c>
      <c r="Y178" s="69">
        <f>RIGHT(D178,LEN(D178)-4)/10000</f>
        <v>9.9900000000000003E-2</v>
      </c>
      <c r="Z178" s="69">
        <f>RIGHT(H178,LEN(H178)-4)/10000</f>
        <v>5.8925999999999998</v>
      </c>
      <c r="AA178" s="69">
        <f>ABS(Z178-Y178)</f>
        <v>5.7927</v>
      </c>
      <c r="AB178" s="66" t="e">
        <f>VLOOKUP(A178,Enforcements!$C$7:$K$21,8,0)</f>
        <v>#N/A</v>
      </c>
      <c r="AC178" s="62" t="e">
        <f>VLOOKUP(A178,Enforcements!$C$7:$E$21,3,0)</f>
        <v>#N/A</v>
      </c>
      <c r="AD178" s="63" t="str">
        <f>IF(LEN(A178)=6,"0"&amp;A178,A178)</f>
        <v>0815-04</v>
      </c>
      <c r="AE178" s="9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s3://rtdc.mdm.uploadarchive.raw/RTDC4018/ "%USERPROFILE%\AppData\Local\Temp\OnboardLogs"\RTDC4018\2016-10-04 --exclude "*" --recursive --include "*20161004*" &amp; "%USERPROFILE%\Documents\GitHub\mrs-test-scripts\Headless Mode &amp; Sideloading\WalkAndUnGZ.bat" "%USERPROFILE%\AppData\Local\Temp\OnboardLogs"\RTDC4018\2016-10-04 &amp; aws s3 cp s3://rtdc.mdm.uploadarchive.raw/RTDC4018/ "%USERPROFILE%\AppData\Local\Temp\OnboardLogs"\RTDC4018\2016-10-05 --exclude "*" --recursive --include "*20161005*" &amp; "%USERPROFILE%\Documents\GitHub\mrs-test-scripts\Headless Mode &amp; Sideloading\WalkAndUnGZ.bat" "%USERPROFILE%\AppData\Local\Temp\OnboardLogs"\RTDC4018\2016-10-05</v>
      </c>
      <c r="AF178" s="92" t="str">
        <f>astrogrep_path&amp;" /spath="&amp;search_path&amp;" /stypes=""app*"&amp;B178&amp;"*"&amp;TEXT(I178-utc_offset/24,"YYYYMMDD")&amp;"*"" /stext="" "&amp;TEXT(I178-utc_offset/24,"HH")&amp;search_regexp&amp;""" /e /r /s"</f>
        <v>"C:\Program Files (x86)\AstroGrep\AstroGrep.exe" /spath="%USERPROFILE%\AppData\Local\Temp\OnboardLogs" /stypes="app*4018*20161004*" /stext=" 16:.+((SYSTEM_STATE.+slice.+state.+changed )|(ment ac)|(system.+state.+changed )|(\[timeout)|(PRM\|1\|D)|(kpr)|(kdp)|(\|lc)|(penalty))" /e /r /s</v>
      </c>
      <c r="AG178" s="1" t="str">
        <f>IFERROR(IF(VALUE(LEFT(AD178,2))&lt;=2,"EC",IF(OR(VALUE(LEFT(AD178,2))=8,VALUE(LEFT(AD178,2))=18),"NW","Other")),"Other")</f>
        <v>NW</v>
      </c>
      <c r="AH178" s="96" t="str">
        <f t="shared" si="6"/>
        <v>"%USERPROFILE%\Documents\GitHub\eaglep3\Utilities\RefineRTDCRunTimes.py" --tripid 815-04 --locoid 4018 --swversion DE.1.0.7.0 --startMP 204:999 --initTime 2016-10-04T10:16:53 --startdatetime 2016-10-04T10:21:14 --delay 1 --endMP 300:58926 --enddatetime 2016-10-04T10:34:34 --enforcementcount 0 &gt;&gt;C:\Users\stu\Documents\GitHub\eaglep3-reporting\EC\2016-10-04-refined-times.txt</v>
      </c>
      <c r="AI178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{"issue":{"subject":"","project_id":79,"tracker_id":40,"status_id":1,"priority_id":2,"assigned_to_id":23,"start_date":"2016-10-04","description":"","custom_fields":[{"id":1,"name":"Subdivision","value":"NW"},{"id":4,"name":"Milepost","value":"5.8926"},{"id":17,"name":"Train ID","value":"815-04"},{"id":16,"name":"Locomotive ID","value":"4018"},{"id":130,"name":"Impact","value":""},{"id":150,"name":"Time of Event (Mountain Time)","value":"10:34:34"},{"id":151,"name":"Denver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5"/>
      <c r="AK178" s="55"/>
      <c r="AL178" s="55"/>
    </row>
    <row r="179" spans="1:38" s="23" customFormat="1" x14ac:dyDescent="0.25">
      <c r="A179" s="39" t="s">
        <v>450</v>
      </c>
      <c r="B179" s="7">
        <v>4017</v>
      </c>
      <c r="C179" s="24" t="s">
        <v>106</v>
      </c>
      <c r="D179" s="24" t="s">
        <v>743</v>
      </c>
      <c r="E179" s="15">
        <v>42647.441631944443</v>
      </c>
      <c r="F179" s="15">
        <v>42647.443090277775</v>
      </c>
      <c r="G179" s="7">
        <v>1</v>
      </c>
      <c r="H179" s="15" t="s">
        <v>744</v>
      </c>
      <c r="I179" s="15">
        <v>42647.455208333333</v>
      </c>
      <c r="J179" s="7">
        <v>0</v>
      </c>
      <c r="K179" s="117" t="str">
        <f>IF(ISEVEN(B179),(B179-1)&amp;"/"&amp;B179,B179&amp;"/"&amp;(B179+1))</f>
        <v>4017/4018</v>
      </c>
      <c r="L179" s="24" t="str">
        <f>VLOOKUP(A179,'Trips&amp;Operators'!$C$1:$E$10000,3,FALSE)</f>
        <v>LEVIN</v>
      </c>
      <c r="M179" s="6">
        <f>I179-F179</f>
        <v>1.2118055557948537E-2</v>
      </c>
      <c r="N179" s="7">
        <f>24*60*SUM($M179:$M179)</f>
        <v>17.450000003445894</v>
      </c>
      <c r="O179" s="7"/>
      <c r="P179" s="7"/>
      <c r="Q179" s="25"/>
      <c r="R179" s="25"/>
      <c r="S179" s="37">
        <f>SUM(U179:U179)/IF(AG179="EC",12,1)</f>
        <v>1</v>
      </c>
      <c r="T179" s="52" t="str">
        <f>IF(ISEVEN(LEFT(AD179,4)),"Southbound","NorthBound")</f>
        <v>Southbound</v>
      </c>
      <c r="U179" s="159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02" t="str">
        <f>"https://search-rtdc-monitor-bjffxe2xuh6vdkpspy63sjmuny.us-east-1.es.amazonaws.com/_plugin/kibana/#/discover/Steve-Slow-Train-Analysis-(2080s-and-2083s)?_g=(refreshInterval:(display:Off,section:0,value:0),time:(from:'"&amp;TEXT(E179-1/24,"yyyy-MM-DD hh:mm:ss")&amp;"-0600',mode:absolute,to:'"&amp;TEXT(I179+1/24,"yyyy-MM-DD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179&amp;"%22')),sort:!(Time,asc))"</f>
        <v>https://search-rtdc-monitor-bjffxe2xuh6vdkpspy63sjmuny.us-east-1.es.amazonaws.com/_plugin/kibana/#/discover/Steve-Slow-Train-Analysis-(2080s-and-2083s)?_g=(refreshInterval:(display:Off,section:0,value:0),time:(from:'2016-10-04 09:35:57-0600',mode:absolute,to:'2016-10-04 11:55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79" s="54" t="str">
        <f>IF(AA179&lt;IF(AG179="EC",23,5.65),"Y","N")</f>
        <v>N</v>
      </c>
      <c r="X179" s="164">
        <f>VALUE(LEFT(AD179,4))-VALUE(LEFT(AD178,4))</f>
        <v>1</v>
      </c>
      <c r="Y179" s="69">
        <f>RIGHT(D179,LEN(D179)-4)/10000</f>
        <v>5.8615000000000004</v>
      </c>
      <c r="Z179" s="69">
        <f>RIGHT(H179,LEN(H179)-4)/10000</f>
        <v>7.1999999999999995E-2</v>
      </c>
      <c r="AA179" s="69">
        <f>ABS(Z179-Y179)</f>
        <v>5.7895000000000003</v>
      </c>
      <c r="AB179" s="66" t="e">
        <f>VLOOKUP(A179,Enforcements!$C$7:$K$21,8,0)</f>
        <v>#N/A</v>
      </c>
      <c r="AC179" s="62" t="e">
        <f>VLOOKUP(A179,Enforcements!$C$7:$E$21,3,0)</f>
        <v>#N/A</v>
      </c>
      <c r="AD179" s="63" t="str">
        <f>IF(LEN(A179)=6,"0"&amp;A179,A179)</f>
        <v>0816-04</v>
      </c>
      <c r="AE179" s="9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 &amp; 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</v>
      </c>
      <c r="AF179" s="92" t="str">
        <f>astrogrep_path&amp;" /spath="&amp;search_path&amp;" /stypes=""app*"&amp;B179&amp;"*"&amp;TEXT(I179-utc_offset/24,"YYYYMMDD")&amp;"*"" /stext="" "&amp;TEXT(I179-utc_offset/24,"HH")&amp;search_regexp&amp;""" /e /r /s"</f>
        <v>"C:\Program Files (x86)\AstroGrep\AstroGrep.exe" /spath="%USERPROFILE%\AppData\Local\Temp\OnboardLogs" /stypes="app*4017*20161004*" /stext=" 16:.+((SYSTEM_STATE.+slice.+state.+changed )|(ment ac)|(system.+state.+changed )|(\[timeout)|(PRM\|1\|D)|(kpr)|(kdp)|(\|lc)|(penalty))" /e /r /s</v>
      </c>
      <c r="AG179" s="1" t="str">
        <f>IFERROR(IF(VALUE(LEFT(AD179,2))&lt;=2,"EC",IF(OR(VALUE(LEFT(AD179,2))=8,VALUE(LEFT(AD179,2))=18),"NW","Other")),"Other")</f>
        <v>NW</v>
      </c>
      <c r="AH179" s="96" t="str">
        <f t="shared" si="6"/>
        <v>"%USERPROFILE%\Documents\GitHub\eaglep3\Utilities\RefineRTDCRunTimes.py" --tripid 816-04 --locoid 4017 --swversion DE.1.0.7.0 --startMP 300:58615 --initTime 2016-10-04T10:35:57 --startdatetime 2016-10-04T10:38:03 --delay 1 --endMP 204:720 --enddatetime 2016-10-04T10:55:30 --enforcementcount 0 &gt;&gt;C:\Users\stu\Documents\GitHub\eaglep3-reporting\EC\2016-10-04-refined-times.txt</v>
      </c>
      <c r="AI179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{"issue":{"subject":"","project_id":79,"tracker_id":40,"status_id":1,"priority_id":2,"assigned_to_id":23,"start_date":"2016-10-04","description":"","custom_fields":[{"id":1,"name":"Subdivision","value":"NW"},{"id":4,"name":"Milepost","value":"0.072"},{"id":17,"name":"Train ID","value":"816-04"},{"id":16,"name":"Locomotive ID","value":"4017"},{"id":130,"name":"Impact","value":""},{"id":150,"name":"Time of Event (Mountain Time)","value":"10:55:30"},{"id":151,"name":"Denver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5"/>
      <c r="AK179" s="55"/>
      <c r="AL179" s="55"/>
    </row>
    <row r="180" spans="1:38" s="23" customFormat="1" x14ac:dyDescent="0.25">
      <c r="A180" s="39" t="s">
        <v>458</v>
      </c>
      <c r="B180" s="7">
        <v>4018</v>
      </c>
      <c r="C180" s="24" t="s">
        <v>106</v>
      </c>
      <c r="D180" s="24" t="s">
        <v>745</v>
      </c>
      <c r="E180" s="15">
        <v>42647.470486111109</v>
      </c>
      <c r="F180" s="15">
        <v>42647.473101851851</v>
      </c>
      <c r="G180" s="7">
        <v>1</v>
      </c>
      <c r="H180" s="15" t="s">
        <v>746</v>
      </c>
      <c r="I180" s="15">
        <v>42647.482187499998</v>
      </c>
      <c r="J180" s="7">
        <v>0</v>
      </c>
      <c r="K180" s="117" t="str">
        <f>IF(ISEVEN(B180),(B180-1)&amp;"/"&amp;B180,B180&amp;"/"&amp;(B180+1))</f>
        <v>4017/4018</v>
      </c>
      <c r="L180" s="24" t="str">
        <f>VLOOKUP(A180,'Trips&amp;Operators'!$C$1:$E$10000,3,FALSE)</f>
        <v>LEVIN</v>
      </c>
      <c r="M180" s="6">
        <f>I180-F180</f>
        <v>9.0856481474475004E-3</v>
      </c>
      <c r="N180" s="7">
        <f>24*60*SUM($M180:$M180)</f>
        <v>13.083333332324401</v>
      </c>
      <c r="O180" s="7"/>
      <c r="P180" s="7"/>
      <c r="Q180" s="25"/>
      <c r="R180" s="25"/>
      <c r="S180" s="37">
        <f>SUM(U180:U180)/IF(AG180="EC",12,1)</f>
        <v>1</v>
      </c>
      <c r="T180" s="52" t="str">
        <f>IF(ISEVEN(LEFT(AD180,4)),"Southbound","NorthBound")</f>
        <v>NorthBound</v>
      </c>
      <c r="U180" s="159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02" t="str">
        <f>"https://search-rtdc-monitor-bjffxe2xuh6vdkpspy63sjmuny.us-east-1.es.amazonaws.com/_plugin/kibana/#/discover/Steve-Slow-Train-Analysis-(2080s-and-2083s)?_g=(refreshInterval:(display:Off,section:0,value:0),time:(from:'"&amp;TEXT(E180-1/24,"yyyy-MM-DD hh:mm:ss")&amp;"-0600',mode:absolute,to:'"&amp;TEXT(I180+1/24,"yyyy-MM-DD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180&amp;"%22')),sort:!(Time,asc))"</f>
        <v>https://search-rtdc-monitor-bjffxe2xuh6vdkpspy63sjmuny.us-east-1.es.amazonaws.com/_plugin/kibana/#/discover/Steve-Slow-Train-Analysis-(2080s-and-2083s)?_g=(refreshInterval:(display:Off,section:0,value:0),time:(from:'2016-10-04 10:17:30-0600',mode:absolute,to:'2016-10-04 12:34:21-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0" s="54" t="str">
        <f>IF(AA180&lt;IF(AG180="EC",23,5.65),"Y","N")</f>
        <v>N</v>
      </c>
      <c r="X180" s="164">
        <f>VALUE(LEFT(AD180,4))-VALUE(LEFT(AD179,4))</f>
        <v>1</v>
      </c>
      <c r="Y180" s="69">
        <f>RIGHT(D180,LEN(D180)-4)/10000</f>
        <v>9.9699999999999997E-2</v>
      </c>
      <c r="Z180" s="69">
        <f>RIGHT(H180,LEN(H180)-4)/10000</f>
        <v>5.8924000000000003</v>
      </c>
      <c r="AA180" s="69">
        <f>ABS(Z180-Y180)</f>
        <v>5.7927</v>
      </c>
      <c r="AB180" s="66" t="e">
        <f>VLOOKUP(A180,Enforcements!$C$7:$K$21,8,0)</f>
        <v>#N/A</v>
      </c>
      <c r="AC180" s="62" t="e">
        <f>VLOOKUP(A180,Enforcements!$C$7:$E$21,3,0)</f>
        <v>#N/A</v>
      </c>
      <c r="AD180" s="63" t="str">
        <f>IF(LEN(A180)=6,"0"&amp;A180,A180)</f>
        <v>0817-04</v>
      </c>
      <c r="AE180" s="9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s3://rtdc.mdm.uploadarchive.raw/RTDC4018/ "%USERPROFILE%\AppData\Local\Temp\OnboardLogs"\RTDC4018\2016-10-04 --exclude "*" --recursive --include "*20161004*" &amp; "%USERPROFILE%\Documents\GitHub\mrs-test-scripts\Headless Mode &amp; Sideloading\WalkAndUnGZ.bat" "%USERPROFILE%\AppData\Local\Temp\OnboardLogs"\RTDC4018\2016-10-04 &amp; aws s3 cp s3://rtdc.mdm.uploadarchive.raw/RTDC4018/ "%USERPROFILE%\AppData\Local\Temp\OnboardLogs"\RTDC4018\2016-10-05 --exclude "*" --recursive --include "*20161005*" &amp; "%USERPROFILE%\Documents\GitHub\mrs-test-scripts\Headless Mode &amp; Sideloading\WalkAndUnGZ.bat" "%USERPROFILE%\AppData\Local\Temp\OnboardLogs"\RTDC4018\2016-10-05</v>
      </c>
      <c r="AF180" s="92" t="str">
        <f>astrogrep_path&amp;" /spath="&amp;search_path&amp;" /stypes=""app*"&amp;B180&amp;"*"&amp;TEXT(I180-utc_offset/24,"YYYYMMDD")&amp;"*"" /stext="" "&amp;TEXT(I180-utc_offset/24,"HH")&amp;search_regexp&amp;""" /e /r /s"</f>
        <v>"C:\Program Files (x86)\AstroGrep\AstroGrep.exe" /spath="%USERPROFILE%\AppData\Local\Temp\OnboardLogs" /stypes="app*4018*20161004*" /stext=" 17:.+((SYSTEM_STATE.+slice.+state.+changed )|(ment ac)|(system.+state.+changed )|(\[timeout)|(PRM\|1\|D)|(kpr)|(kdp)|(\|lc)|(penalty))" /e /r /s</v>
      </c>
      <c r="AG180" s="1" t="str">
        <f>IFERROR(IF(VALUE(LEFT(AD180,2))&lt;=2,"EC",IF(OR(VALUE(LEFT(AD180,2))=8,VALUE(LEFT(AD180,2))=18),"NW","Other")),"Other")</f>
        <v>NW</v>
      </c>
      <c r="AH180" s="96" t="str">
        <f t="shared" si="6"/>
        <v>"%USERPROFILE%\Documents\GitHub\eaglep3\Utilities\RefineRTDCRunTimes.py" --tripid 817-04 --locoid 4018 --swversion DE.1.0.7.0 --startMP 204:997 --initTime 2016-10-04T11:17:30 --startdatetime 2016-10-04T11:21:16 --delay 1 --endMP 300:58924 --enddatetime 2016-10-04T11:34:21 --enforcementcount 0 &gt;&gt;C:\Users\stu\Documents\GitHub\eaglep3-reporting\EC\2016-10-04-refined-times.txt</v>
      </c>
      <c r="AI180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{"issue":{"subject":"","project_id":79,"tracker_id":40,"status_id":1,"priority_id":2,"assigned_to_id":23,"start_date":"2016-10-04","description":"","custom_fields":[{"id":1,"name":"Subdivision","value":"NW"},{"id":4,"name":"Milepost","value":"5.8924"},{"id":17,"name":"Train ID","value":"817-04"},{"id":16,"name":"Locomotive ID","value":"4018"},{"id":130,"name":"Impact","value":""},{"id":150,"name":"Time of Event (Mountain Time)","value":"11:34:21"},{"id":151,"name":"Denver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5"/>
      <c r="AK180" s="55"/>
      <c r="AL180" s="55"/>
    </row>
    <row r="181" spans="1:38" s="23" customFormat="1" x14ac:dyDescent="0.25">
      <c r="A181" s="39" t="s">
        <v>461</v>
      </c>
      <c r="B181" s="7">
        <v>4017</v>
      </c>
      <c r="C181" s="24" t="s">
        <v>106</v>
      </c>
      <c r="D181" s="24" t="s">
        <v>739</v>
      </c>
      <c r="E181" s="15">
        <v>42647.483194444445</v>
      </c>
      <c r="F181" s="15">
        <v>42647.487928240742</v>
      </c>
      <c r="G181" s="7">
        <v>1</v>
      </c>
      <c r="H181" s="15" t="s">
        <v>747</v>
      </c>
      <c r="I181" s="15">
        <v>42647.498402777775</v>
      </c>
      <c r="J181" s="7">
        <v>0</v>
      </c>
      <c r="K181" s="117" t="str">
        <f>IF(ISEVEN(B181),(B181-1)&amp;"/"&amp;B181,B181&amp;"/"&amp;(B181+1))</f>
        <v>4017/4018</v>
      </c>
      <c r="L181" s="24" t="str">
        <f>VLOOKUP(A181,'Trips&amp;Operators'!$C$1:$E$10000,3,FALSE)</f>
        <v>LEVIN</v>
      </c>
      <c r="M181" s="6">
        <f>I181-F181</f>
        <v>1.0474537033587694E-2</v>
      </c>
      <c r="N181" s="7">
        <f>24*60*SUM($M181:$M181)</f>
        <v>15.08333332836628</v>
      </c>
      <c r="O181" s="7"/>
      <c r="P181" s="7"/>
      <c r="Q181" s="25"/>
      <c r="R181" s="25"/>
      <c r="S181" s="37">
        <f>SUM(U181:U181)/IF(AG181="EC",12,1)</f>
        <v>1</v>
      </c>
      <c r="T181" s="52" t="str">
        <f>IF(ISEVEN(LEFT(AD181,4)),"Southbound","NorthBound")</f>
        <v>Southbound</v>
      </c>
      <c r="U181" s="159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02" t="str">
        <f>"https://search-rtdc-monitor-bjffxe2xuh6vdkpspy63sjmuny.us-east-1.es.amazonaws.com/_plugin/kibana/#/discover/Steve-Slow-Train-Analysis-(2080s-and-2083s)?_g=(refreshInterval:(display:Off,section:0,value:0),time:(from:'"&amp;TEXT(E181-1/24,"yyyy-MM-DD hh:mm:ss")&amp;"-0600',mode:absolute,to:'"&amp;TEXT(I181+1/24,"yyyy-MM-DD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181&amp;"%22')),sort:!(Time,asc))"</f>
        <v>https://search-rtdc-monitor-bjffxe2xuh6vdkpspy63sjmuny.us-east-1.es.amazonaws.com/_plugin/kibana/#/discover/Steve-Slow-Train-Analysis-(2080s-and-2083s)?_g=(refreshInterval:(display:Off,section:0,value:0),time:(from:'2016-10-04 10:35:48-0600',mode:absolute,to:'2016-10-04 12:57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1" s="54" t="str">
        <f>IF(AA181&lt;IF(AG181="EC",23,5.65),"Y","N")</f>
        <v>N</v>
      </c>
      <c r="X181" s="164">
        <f>VALUE(LEFT(AD181,4))-VALUE(LEFT(AD180,4))</f>
        <v>1</v>
      </c>
      <c r="Y181" s="69">
        <f>RIGHT(D181,LEN(D181)-4)/10000</f>
        <v>5.8608000000000002</v>
      </c>
      <c r="Z181" s="69">
        <f>RIGHT(H181,LEN(H181)-4)/10000</f>
        <v>7.3300000000000004E-2</v>
      </c>
      <c r="AA181" s="69">
        <f>ABS(Z181-Y181)</f>
        <v>5.7875000000000005</v>
      </c>
      <c r="AB181" s="66" t="e">
        <f>VLOOKUP(A181,Enforcements!$C$7:$K$21,8,0)</f>
        <v>#N/A</v>
      </c>
      <c r="AC181" s="62" t="e">
        <f>VLOOKUP(A181,Enforcements!$C$7:$E$21,3,0)</f>
        <v>#N/A</v>
      </c>
      <c r="AD181" s="63" t="str">
        <f>IF(LEN(A181)=6,"0"&amp;A181,A181)</f>
        <v>0818-04</v>
      </c>
      <c r="AE181" s="9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 &amp; 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</v>
      </c>
      <c r="AF181" s="92" t="str">
        <f>astrogrep_path&amp;" /spath="&amp;search_path&amp;" /stypes=""app*"&amp;B181&amp;"*"&amp;TEXT(I181-utc_offset/24,"YYYYMMDD")&amp;"*"" /stext="" "&amp;TEXT(I181-utc_offset/24,"HH")&amp;search_regexp&amp;""" /e /r /s"</f>
        <v>"C:\Program Files (x86)\AstroGrep\AstroGrep.exe" /spath="%USERPROFILE%\AppData\Local\Temp\OnboardLogs" /stypes="app*4017*20161004*" /stext=" 17:.+((SYSTEM_STATE.+slice.+state.+changed )|(ment ac)|(system.+state.+changed )|(\[timeout)|(PRM\|1\|D)|(kpr)|(kdp)|(\|lc)|(penalty))" /e /r /s</v>
      </c>
      <c r="AG181" s="1" t="str">
        <f>IFERROR(IF(VALUE(LEFT(AD181,2))&lt;=2,"EC",IF(OR(VALUE(LEFT(AD181,2))=8,VALUE(LEFT(AD181,2))=18),"NW","Other")),"Other")</f>
        <v>NW</v>
      </c>
      <c r="AH181" s="96" t="str">
        <f t="shared" si="6"/>
        <v>"%USERPROFILE%\Documents\GitHub\eaglep3\Utilities\RefineRTDCRunTimes.py" --tripid 818-04 --locoid 4017 --swversion DE.1.0.7.0 --startMP 300:58608 --initTime 2016-10-04T11:35:48 --startdatetime 2016-10-04T11:42:37 --delay 1 --endMP 204:733 --enddatetime 2016-10-04T11:57:42 --enforcementcount 0 &gt;&gt;C:\Users\stu\Documents\GitHub\eaglep3-reporting\EC\2016-10-04-refined-times.txt</v>
      </c>
      <c r="AI181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{"issue":{"subject":"","project_id":79,"tracker_id":40,"status_id":1,"priority_id":2,"assigned_to_id":23,"start_date":"2016-10-04","description":"","custom_fields":[{"id":1,"name":"Subdivision","value":"NW"},{"id":4,"name":"Milepost","value":"0.0733"},{"id":17,"name":"Train ID","value":"818-04"},{"id":16,"name":"Locomotive ID","value":"4017"},{"id":130,"name":"Impact","value":""},{"id":150,"name":"Time of Event (Mountain Time)","value":"11:57:42"},{"id":151,"name":"Denver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5"/>
      <c r="AK181" s="55"/>
      <c r="AL181" s="55"/>
    </row>
    <row r="182" spans="1:38" s="23" customFormat="1" x14ac:dyDescent="0.25">
      <c r="A182" s="39" t="s">
        <v>472</v>
      </c>
      <c r="B182" s="7">
        <v>4018</v>
      </c>
      <c r="C182" s="24" t="s">
        <v>106</v>
      </c>
      <c r="D182" s="24" t="s">
        <v>748</v>
      </c>
      <c r="E182" s="15">
        <v>42647.511712962965</v>
      </c>
      <c r="F182" s="15">
        <v>42647.514768518522</v>
      </c>
      <c r="G182" s="7">
        <v>0</v>
      </c>
      <c r="H182" s="15" t="s">
        <v>729</v>
      </c>
      <c r="I182" s="15">
        <v>42647.524502314816</v>
      </c>
      <c r="J182" s="7">
        <v>0</v>
      </c>
      <c r="K182" s="117" t="str">
        <f>IF(ISEVEN(B182),(B182-1)&amp;"/"&amp;B182,B182&amp;"/"&amp;(B182+1))</f>
        <v>4017/4018</v>
      </c>
      <c r="L182" s="24" t="str">
        <f>VLOOKUP(A182,'Trips&amp;Operators'!$C$1:$E$10000,3,FALSE)</f>
        <v>LEVIN</v>
      </c>
      <c r="M182" s="6">
        <f>I182-F182</f>
        <v>9.7337962943129241E-3</v>
      </c>
      <c r="N182" s="7">
        <f>24*60*SUM($M182:$M182)</f>
        <v>14.016666663810611</v>
      </c>
      <c r="O182" s="7"/>
      <c r="P182" s="7"/>
      <c r="Q182" s="25"/>
      <c r="R182" s="25"/>
      <c r="S182" s="37">
        <f>SUM(U182:U182)/IF(AG182="EC",12,1)</f>
        <v>1</v>
      </c>
      <c r="T182" s="52" t="str">
        <f>IF(ISEVEN(LEFT(AD182,4)),"Southbound","NorthBound")</f>
        <v>NorthBound</v>
      </c>
      <c r="U182" s="159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02" t="str">
        <f>"https://search-rtdc-monitor-bjffxe2xuh6vdkpspy63sjmuny.us-east-1.es.amazonaws.com/_plugin/kibana/#/discover/Steve-Slow-Train-Analysis-(2080s-and-2083s)?_g=(refreshInterval:(display:Off,section:0,value:0),time:(from:'"&amp;TEXT(E182-1/24,"yyyy-MM-DD hh:mm:ss")&amp;"-0600',mode:absolute,to:'"&amp;TEXT(I182+1/24,"yyyy-MM-DD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182&amp;"%22')),sort:!(Time,asc))"</f>
        <v>https://search-rtdc-monitor-bjffxe2xuh6vdkpspy63sjmuny.us-east-1.es.amazonaws.com/_plugin/kibana/#/discover/Steve-Slow-Train-Analysis-(2080s-and-2083s)?_g=(refreshInterval:(display:Off,section:0,value:0),time:(from:'2016-10-04 11:16:52-0600',mode:absolute,to:'2016-10-04 13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2" s="54" t="str">
        <f>IF(AA182&lt;IF(AG182="EC",23,5.65),"Y","N")</f>
        <v>N</v>
      </c>
      <c r="X182" s="164">
        <f>VALUE(LEFT(AD182,4))-VALUE(LEFT(AD181,4))</f>
        <v>1</v>
      </c>
      <c r="Y182" s="69">
        <f>RIGHT(D182,LEN(D182)-4)/10000</f>
        <v>0.1013</v>
      </c>
      <c r="Z182" s="69">
        <f>RIGHT(H182,LEN(H182)-4)/10000</f>
        <v>5.8933</v>
      </c>
      <c r="AA182" s="69">
        <f>ABS(Z182-Y182)</f>
        <v>5.7919999999999998</v>
      </c>
      <c r="AB182" s="66" t="e">
        <f>VLOOKUP(A182,Enforcements!$C$7:$K$21,8,0)</f>
        <v>#N/A</v>
      </c>
      <c r="AC182" s="62" t="e">
        <f>VLOOKUP(A182,Enforcements!$C$7:$E$21,3,0)</f>
        <v>#N/A</v>
      </c>
      <c r="AD182" s="63" t="str">
        <f>IF(LEN(A182)=6,"0"&amp;A182,A182)</f>
        <v>0819-04</v>
      </c>
      <c r="AE182" s="9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s3://rtdc.mdm.uploadarchive.raw/RTDC4018/ "%USERPROFILE%\AppData\Local\Temp\OnboardLogs"\RTDC4018\2016-10-04 --exclude "*" --recursive --include "*20161004*" &amp; "%USERPROFILE%\Documents\GitHub\mrs-test-scripts\Headless Mode &amp; Sideloading\WalkAndUnGZ.bat" "%USERPROFILE%\AppData\Local\Temp\OnboardLogs"\RTDC4018\2016-10-04 &amp; aws s3 cp s3://rtdc.mdm.uploadarchive.raw/RTDC4018/ "%USERPROFILE%\AppData\Local\Temp\OnboardLogs"\RTDC4018\2016-10-05 --exclude "*" --recursive --include "*20161005*" &amp; "%USERPROFILE%\Documents\GitHub\mrs-test-scripts\Headless Mode &amp; Sideloading\WalkAndUnGZ.bat" "%USERPROFILE%\AppData\Local\Temp\OnboardLogs"\RTDC4018\2016-10-05</v>
      </c>
      <c r="AF182" s="92" t="str">
        <f>astrogrep_path&amp;" /spath="&amp;search_path&amp;" /stypes=""app*"&amp;B182&amp;"*"&amp;TEXT(I182-utc_offset/24,"YYYYMMDD")&amp;"*"" /stext="" "&amp;TEXT(I182-utc_offset/24,"HH")&amp;search_regexp&amp;""" /e /r /s"</f>
        <v>"C:\Program Files (x86)\AstroGrep\AstroGrep.exe" /spath="%USERPROFILE%\AppData\Local\Temp\OnboardLogs" /stypes="app*4018*20161004*" /stext=" 18:.+((SYSTEM_STATE.+slice.+state.+changed )|(ment ac)|(system.+state.+changed )|(\[timeout)|(PRM\|1\|D)|(kpr)|(kdp)|(\|lc)|(penalty))" /e /r /s</v>
      </c>
      <c r="AG182" s="1" t="str">
        <f>IFERROR(IF(VALUE(LEFT(AD182,2))&lt;=2,"EC",IF(OR(VALUE(LEFT(AD182,2))=8,VALUE(LEFT(AD182,2))=18),"NW","Other")),"Other")</f>
        <v>NW</v>
      </c>
      <c r="AH182" s="96" t="str">
        <f t="shared" si="6"/>
        <v>"%USERPROFILE%\Documents\GitHub\eaglep3\Utilities\RefineRTDCRunTimes.py" --tripid 819-04 --locoid 4018 --swversion DE.1.0.7.0 --startMP 204:1013 --initTime 2016-10-04T12:16:52 --startdatetime 2016-10-04T12:21:16 --delay 0 --endMP 300:58933 --enddatetime 2016-10-04T12:35:17 --enforcementcount 0 &gt;&gt;C:\Users\stu\Documents\GitHub\eaglep3-reporting\EC\2016-10-04-refined-times.txt</v>
      </c>
      <c r="AI182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{"issue":{"subject":"","project_id":79,"tracker_id":40,"status_id":1,"priority_id":2,"assigned_to_id":23,"start_date":"2016-10-04","description":"","custom_fields":[{"id":1,"name":"Subdivision","value":"NW"},{"id":4,"name":"Milepost","value":"5.8933"},{"id":17,"name":"Train ID","value":"819-04"},{"id":16,"name":"Locomotive ID","value":"4018"},{"id":130,"name":"Impact","value":""},{"id":150,"name":"Time of Event (Mountain Time)","value":"12:35:17"},{"id":151,"name":"Denver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5"/>
      <c r="AK182" s="55"/>
      <c r="AL182" s="55"/>
    </row>
    <row r="183" spans="1:38" s="23" customFormat="1" x14ac:dyDescent="0.25">
      <c r="A183" s="39" t="s">
        <v>477</v>
      </c>
      <c r="B183" s="7">
        <v>4017</v>
      </c>
      <c r="C183" s="24" t="s">
        <v>106</v>
      </c>
      <c r="D183" s="24" t="s">
        <v>265</v>
      </c>
      <c r="E183" s="15">
        <v>42647.525266203702</v>
      </c>
      <c r="F183" s="15">
        <v>42647.526516203703</v>
      </c>
      <c r="G183" s="7">
        <v>1</v>
      </c>
      <c r="H183" s="15" t="s">
        <v>749</v>
      </c>
      <c r="I183" s="15">
        <v>42647.537939814814</v>
      </c>
      <c r="J183" s="7">
        <v>0</v>
      </c>
      <c r="K183" s="117" t="str">
        <f>IF(ISEVEN(B183),(B183-1)&amp;"/"&amp;B183,B183&amp;"/"&amp;(B183+1))</f>
        <v>4017/4018</v>
      </c>
      <c r="L183" s="24" t="str">
        <f>VLOOKUP(A183,'Trips&amp;Operators'!$C$1:$E$10000,3,FALSE)</f>
        <v>LEVIN</v>
      </c>
      <c r="M183" s="6">
        <f>I183-F183</f>
        <v>1.1423611111240461E-2</v>
      </c>
      <c r="N183" s="7">
        <f>24*60*SUM($M183:$M183)</f>
        <v>16.450000000186265</v>
      </c>
      <c r="O183" s="7"/>
      <c r="P183" s="7"/>
      <c r="Q183" s="25"/>
      <c r="R183" s="25"/>
      <c r="S183" s="37">
        <f>SUM(U183:U183)/IF(AG183="EC",12,1)</f>
        <v>1</v>
      </c>
      <c r="T183" s="52" t="str">
        <f>IF(ISEVEN(LEFT(AD183,4)),"Southbound","NorthBound")</f>
        <v>Southbound</v>
      </c>
      <c r="U183" s="159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02" t="str">
        <f>"https://search-rtdc-monitor-bjffxe2xuh6vdkpspy63sjmuny.us-east-1.es.amazonaws.com/_plugin/kibana/#/discover/Steve-Slow-Train-Analysis-(2080s-and-2083s)?_g=(refreshInterval:(display:Off,section:0,value:0),time:(from:'"&amp;TEXT(E183-1/24,"yyyy-MM-DD hh:mm:ss")&amp;"-0600',mode:absolute,to:'"&amp;TEXT(I183+1/24,"yyyy-MM-DD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183&amp;"%22')),sort:!(Time,asc))"</f>
        <v>https://search-rtdc-monitor-bjffxe2xuh6vdkpspy63sjmuny.us-east-1.es.amazonaws.com/_plugin/kibana/#/discover/Steve-Slow-Train-Analysis-(2080s-and-2083s)?_g=(refreshInterval:(display:Off,section:0,value:0),time:(from:'2016-10-04 11:36:23-0600',mode:absolute,to:'2016-10-04 13:54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3" s="54" t="str">
        <f>IF(AA183&lt;IF(AG183="EC",23,5.65),"Y","N")</f>
        <v>N</v>
      </c>
      <c r="X183" s="164">
        <f>VALUE(LEFT(AD183,4))-VALUE(LEFT(AD182,4))</f>
        <v>1</v>
      </c>
      <c r="Y183" s="69">
        <f>RIGHT(D183,LEN(D183)-4)/10000</f>
        <v>5.8616999999999999</v>
      </c>
      <c r="Z183" s="69">
        <f>RIGHT(H183,LEN(H183)-4)/10000</f>
        <v>6.7799999999999999E-2</v>
      </c>
      <c r="AA183" s="69">
        <f>ABS(Z183-Y183)</f>
        <v>5.7938999999999998</v>
      </c>
      <c r="AB183" s="66" t="e">
        <f>VLOOKUP(A183,Enforcements!$C$7:$K$21,8,0)</f>
        <v>#N/A</v>
      </c>
      <c r="AC183" s="62" t="e">
        <f>VLOOKUP(A183,Enforcements!$C$7:$E$21,3,0)</f>
        <v>#N/A</v>
      </c>
      <c r="AD183" s="63" t="str">
        <f>IF(LEN(A183)=6,"0"&amp;A183,A183)</f>
        <v>0820-04</v>
      </c>
      <c r="AE183" s="9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 &amp; 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</v>
      </c>
      <c r="AF183" s="92" t="str">
        <f>astrogrep_path&amp;" /spath="&amp;search_path&amp;" /stypes=""app*"&amp;B183&amp;"*"&amp;TEXT(I183-utc_offset/24,"YYYYMMDD")&amp;"*"" /stext="" "&amp;TEXT(I183-utc_offset/24,"HH")&amp;search_regexp&amp;""" /e /r /s"</f>
        <v>"C:\Program Files (x86)\AstroGrep\AstroGrep.exe" /spath="%USERPROFILE%\AppData\Local\Temp\OnboardLogs" /stypes="app*4017*20161004*" /stext=" 18:.+((SYSTEM_STATE.+slice.+state.+changed )|(ment ac)|(system.+state.+changed )|(\[timeout)|(PRM\|1\|D)|(kpr)|(kdp)|(\|lc)|(penalty))" /e /r /s</v>
      </c>
      <c r="AG183" s="1" t="str">
        <f>IFERROR(IF(VALUE(LEFT(AD183,2))&lt;=2,"EC",IF(OR(VALUE(LEFT(AD183,2))=8,VALUE(LEFT(AD183,2))=18),"NW","Other")),"Other")</f>
        <v>NW</v>
      </c>
      <c r="AH183" s="96" t="str">
        <f t="shared" si="6"/>
        <v>"%USERPROFILE%\Documents\GitHub\eaglep3\Utilities\RefineRTDCRunTimes.py" --tripid 820-04 --locoid 4017 --swversion DE.1.0.7.0 --startMP 300:58617 --initTime 2016-10-04T12:36:23 --startdatetime 2016-10-04T12:38:11 --delay 1 --endMP 204:678 --enddatetime 2016-10-04T12:54:38 --enforcementcount 0 &gt;&gt;C:\Users\stu\Documents\GitHub\eaglep3-reporting\EC\2016-10-04-refined-times.txt</v>
      </c>
      <c r="AI183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{"issue":{"subject":"","project_id":79,"tracker_id":40,"status_id":1,"priority_id":2,"assigned_to_id":23,"start_date":"2016-10-04","description":"","custom_fields":[{"id":1,"name":"Subdivision","value":"NW"},{"id":4,"name":"Milepost","value":"0.0678"},{"id":17,"name":"Train ID","value":"820-04"},{"id":16,"name":"Locomotive ID","value":"4017"},{"id":130,"name":"Impact","value":""},{"id":150,"name":"Time of Event (Mountain Time)","value":"12:54:38"},{"id":151,"name":"Denver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5"/>
      <c r="AK183" s="55"/>
      <c r="AL183" s="55"/>
    </row>
    <row r="184" spans="1:38" x14ac:dyDescent="0.25">
      <c r="A184" s="39" t="s">
        <v>482</v>
      </c>
      <c r="B184" s="7">
        <v>4018</v>
      </c>
      <c r="C184" s="24" t="s">
        <v>106</v>
      </c>
      <c r="D184" s="24" t="s">
        <v>750</v>
      </c>
      <c r="E184" s="15">
        <v>42647.545057870368</v>
      </c>
      <c r="F184" s="15">
        <v>42647.556481481479</v>
      </c>
      <c r="G184" s="7">
        <v>2</v>
      </c>
      <c r="H184" s="15" t="s">
        <v>751</v>
      </c>
      <c r="I184" s="15">
        <v>42647.568078703705</v>
      </c>
      <c r="J184" s="7">
        <v>0</v>
      </c>
      <c r="K184" s="117" t="str">
        <f>IF(ISEVEN(B184),(B184-1)&amp;"/"&amp;B184,B184&amp;"/"&amp;(B184+1))</f>
        <v>4017/4018</v>
      </c>
      <c r="L184" s="24" t="str">
        <f>VLOOKUP(A184,'Trips&amp;Operators'!$C$1:$E$10000,3,FALSE)</f>
        <v>HAITHCOX</v>
      </c>
      <c r="M184" s="6">
        <f>I184-F184</f>
        <v>1.1597222226555459E-2</v>
      </c>
      <c r="N184" s="7">
        <f>24*60*SUM($M184:$M184)</f>
        <v>16.700000006239861</v>
      </c>
      <c r="O184" s="7"/>
      <c r="P184" s="7"/>
      <c r="Q184" s="25"/>
      <c r="R184" s="25"/>
      <c r="S184" s="37">
        <f>SUM(U184:U184)/IF(AG184="EC",12,1)</f>
        <v>1</v>
      </c>
      <c r="T184" s="52" t="str">
        <f>IF(ISEVEN(LEFT(AD184,4)),"Southbound","NorthBound")</f>
        <v>NorthBound</v>
      </c>
      <c r="U184" s="159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02" t="str">
        <f>"https://search-rtdc-monitor-bjffxe2xuh6vdkpspy63sjmuny.us-east-1.es.amazonaws.com/_plugin/kibana/#/discover/Steve-Slow-Train-Analysis-(2080s-and-2083s)?_g=(refreshInterval:(display:Off,section:0,value:0),time:(from:'"&amp;TEXT(E184-1/24,"yyyy-MM-DD hh:mm:ss")&amp;"-0600',mode:absolute,to:'"&amp;TEXT(I184+1/24,"yyyy-MM-DD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184&amp;"%22')),sort:!(Time,asc))"</f>
        <v>https://search-rtdc-monitor-bjffxe2xuh6vdkpspy63sjmuny.us-east-1.es.amazonaws.com/_plugin/kibana/#/discover/Steve-Slow-Train-Analysis-(2080s-and-2083s)?_g=(refreshInterval:(display:Off,section:0,value:0),time:(from:'2016-10-04 12:04:53-0600',mode:absolute,to:'2016-10-04 14:38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4" s="54" t="str">
        <f>IF(AA184&lt;IF(AG184="EC",23,5.65),"Y","N")</f>
        <v>N</v>
      </c>
      <c r="X184" s="164">
        <f>VALUE(LEFT(AD184,4))-VALUE(LEFT(AD183,4))</f>
        <v>1</v>
      </c>
      <c r="Y184" s="69">
        <f>RIGHT(D184,LEN(D184)-4)/10000</f>
        <v>9.6199999999999994E-2</v>
      </c>
      <c r="Z184" s="69">
        <f>RIGHT(H184,LEN(H184)-4)/10000</f>
        <v>5.8929</v>
      </c>
      <c r="AA184" s="69">
        <f>ABS(Z184-Y184)</f>
        <v>5.7967000000000004</v>
      </c>
      <c r="AB184" s="66" t="e">
        <f>VLOOKUP(A184,Enforcements!$C$7:$K$21,8,0)</f>
        <v>#N/A</v>
      </c>
      <c r="AC184" s="62" t="e">
        <f>VLOOKUP(A184,Enforcements!$C$7:$E$21,3,0)</f>
        <v>#N/A</v>
      </c>
      <c r="AD184" s="63" t="str">
        <f>IF(LEN(A184)=6,"0"&amp;A184,A184)</f>
        <v>0821-04</v>
      </c>
      <c r="AE184" s="9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s3://rtdc.mdm.uploadarchive.raw/RTDC4018/ "%USERPROFILE%\AppData\Local\Temp\OnboardLogs"\RTDC4018\2016-10-04 --exclude "*" --recursive --include "*20161004*" &amp; "%USERPROFILE%\Documents\GitHub\mrs-test-scripts\Headless Mode &amp; Sideloading\WalkAndUnGZ.bat" "%USERPROFILE%\AppData\Local\Temp\OnboardLogs"\RTDC4018\2016-10-04 &amp; aws s3 cp s3://rtdc.mdm.uploadarchive.raw/RTDC4018/ "%USERPROFILE%\AppData\Local\Temp\OnboardLogs"\RTDC4018\2016-10-05 --exclude "*" --recursive --include "*20161005*" &amp; "%USERPROFILE%\Documents\GitHub\mrs-test-scripts\Headless Mode &amp; Sideloading\WalkAndUnGZ.bat" "%USERPROFILE%\AppData\Local\Temp\OnboardLogs"\RTDC4018\2016-10-05</v>
      </c>
      <c r="AF184" s="92" t="str">
        <f>astrogrep_path&amp;" /spath="&amp;search_path&amp;" /stypes=""app*"&amp;B184&amp;"*"&amp;TEXT(I184-utc_offset/24,"YYYYMMDD")&amp;"*"" /stext="" "&amp;TEXT(I184-utc_offset/24,"HH")&amp;search_regexp&amp;""" /e /r /s"</f>
        <v>"C:\Program Files (x86)\AstroGrep\AstroGrep.exe" /spath="%USERPROFILE%\AppData\Local\Temp\OnboardLogs" /stypes="app*4018*20161004*" /stext=" 19:.+((SYSTEM_STATE.+slice.+state.+changed )|(ment ac)|(system.+state.+changed )|(\[timeout)|(PRM\|1\|D)|(kpr)|(kdp)|(\|lc)|(penalty))" /e /r /s</v>
      </c>
      <c r="AG184" s="1" t="str">
        <f>IFERROR(IF(VALUE(LEFT(AD184,2))&lt;=2,"EC",IF(OR(VALUE(LEFT(AD184,2))=8,VALUE(LEFT(AD184,2))=18),"NW","Other")),"Other")</f>
        <v>NW</v>
      </c>
      <c r="AH184" s="96" t="str">
        <f t="shared" si="6"/>
        <v>"%USERPROFILE%\Documents\GitHub\eaglep3\Utilities\RefineRTDCRunTimes.py" --tripid 821-04 --locoid 4018 --swversion DE.1.0.7.0 --startMP 204:962 --initTime 2016-10-04T13:04:53 --startdatetime 2016-10-04T13:21:20 --delay 2 --endMP 300:58929 --enddatetime 2016-10-04T13:38:02 --enforcementcount 0 &gt;&gt;C:\Users\stu\Documents\GitHub\eaglep3-reporting\EC\2016-10-04-refined-times.txt</v>
      </c>
      <c r="AI184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{"issue":{"subject":"","project_id":79,"tracker_id":40,"status_id":1,"priority_id":2,"assigned_to_id":23,"start_date":"2016-10-04","description":"","custom_fields":[{"id":1,"name":"Subdivision","value":"NW"},{"id":4,"name":"Milepost","value":"5.8929"},{"id":17,"name":"Train ID","value":"821-04"},{"id":16,"name":"Locomotive ID","value":"4018"},{"id":130,"name":"Impact","value":""},{"id":150,"name":"Time of Event (Mountain Time)","value":"13:38:02"},{"id":151,"name":"Denver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5"/>
      <c r="AK184" s="55"/>
      <c r="AL184" s="55"/>
    </row>
    <row r="185" spans="1:38" x14ac:dyDescent="0.25">
      <c r="A185" s="39" t="s">
        <v>489</v>
      </c>
      <c r="B185" s="7">
        <v>4017</v>
      </c>
      <c r="C185" s="24" t="s">
        <v>106</v>
      </c>
      <c r="D185" s="24" t="s">
        <v>752</v>
      </c>
      <c r="E185" s="15">
        <v>42647.568969907406</v>
      </c>
      <c r="F185" s="15">
        <v>42647.572743055556</v>
      </c>
      <c r="G185" s="7">
        <v>1</v>
      </c>
      <c r="H185" s="15" t="s">
        <v>345</v>
      </c>
      <c r="I185" s="15">
        <v>42647.586076388892</v>
      </c>
      <c r="J185" s="7">
        <v>0</v>
      </c>
      <c r="K185" s="117" t="str">
        <f>IF(ISEVEN(B185),(B185-1)&amp;"/"&amp;B185,B185&amp;"/"&amp;(B185+1))</f>
        <v>4017/4018</v>
      </c>
      <c r="L185" s="24" t="str">
        <f>VLOOKUP(A185,'Trips&amp;Operators'!$C$1:$E$10000,3,FALSE)</f>
        <v>HAITHCOX</v>
      </c>
      <c r="M185" s="6">
        <f>I185-F185</f>
        <v>1.3333333336049691E-2</v>
      </c>
      <c r="N185" s="7">
        <f>24*60*SUM($M185:$M185)</f>
        <v>19.200000003911555</v>
      </c>
      <c r="O185" s="7"/>
      <c r="P185" s="7"/>
      <c r="Q185" s="25"/>
      <c r="R185" s="25"/>
      <c r="S185" s="37">
        <f>SUM(U185:U185)/IF(AG185="EC",12,1)</f>
        <v>1</v>
      </c>
      <c r="T185" s="52" t="str">
        <f>IF(ISEVEN(LEFT(AD185,4)),"Southbound","NorthBound")</f>
        <v>Southbound</v>
      </c>
      <c r="U185" s="159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02" t="str">
        <f>"https://search-rtdc-monitor-bjffxe2xuh6vdkpspy63sjmuny.us-east-1.es.amazonaws.com/_plugin/kibana/#/discover/Steve-Slow-Train-Analysis-(2080s-and-2083s)?_g=(refreshInterval:(display:Off,section:0,value:0),time:(from:'"&amp;TEXT(E185-1/24,"yyyy-MM-DD hh:mm:ss")&amp;"-0600',mode:absolute,to:'"&amp;TEXT(I185+1/24,"yyyy-MM-DD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185&amp;"%22')),sort:!(Time,asc))"</f>
        <v>https://search-rtdc-monitor-bjffxe2xuh6vdkpspy63sjmuny.us-east-1.es.amazonaws.com/_plugin/kibana/#/discover/Steve-Slow-Train-Analysis-(2080s-and-2083s)?_g=(refreshInterval:(display:Off,section:0,value:0),time:(from:'2016-10-04 12:39:19-0600',mode:absolute,to:'2016-10-04 15:03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5" s="54" t="str">
        <f>IF(AA185&lt;IF(AG185="EC",23,5.65),"Y","N")</f>
        <v>N</v>
      </c>
      <c r="X185" s="164">
        <f>VALUE(LEFT(AD185,4))-VALUE(LEFT(AD184,4))</f>
        <v>1</v>
      </c>
      <c r="Y185" s="69">
        <f>RIGHT(D185,LEN(D185)-4)/10000</f>
        <v>5.8611000000000004</v>
      </c>
      <c r="Z185" s="69">
        <f>RIGHT(H185,LEN(H185)-4)/10000</f>
        <v>6.8400000000000002E-2</v>
      </c>
      <c r="AA185" s="69">
        <f>ABS(Z185-Y185)</f>
        <v>5.7927000000000008</v>
      </c>
      <c r="AB185" s="66" t="e">
        <f>VLOOKUP(A185,Enforcements!$C$7:$K$21,8,0)</f>
        <v>#N/A</v>
      </c>
      <c r="AC185" s="62" t="e">
        <f>VLOOKUP(A185,Enforcements!$C$7:$E$21,3,0)</f>
        <v>#N/A</v>
      </c>
      <c r="AD185" s="63" t="str">
        <f>IF(LEN(A185)=6,"0"&amp;A185,A185)</f>
        <v>0822-04</v>
      </c>
      <c r="AE185" s="9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 &amp; 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</v>
      </c>
      <c r="AF185" s="92" t="str">
        <f>astrogrep_path&amp;" /spath="&amp;search_path&amp;" /stypes=""app*"&amp;B185&amp;"*"&amp;TEXT(I185-utc_offset/24,"YYYYMMDD")&amp;"*"" /stext="" "&amp;TEXT(I185-utc_offset/24,"HH")&amp;search_regexp&amp;""" /e /r /s"</f>
        <v>"C:\Program Files (x86)\AstroGrep\AstroGrep.exe" /spath="%USERPROFILE%\AppData\Local\Temp\OnboardLogs" /stypes="app*4017*20161004*" /stext=" 20:.+((SYSTEM_STATE.+slice.+state.+changed )|(ment ac)|(system.+state.+changed )|(\[timeout)|(PRM\|1\|D)|(kpr)|(kdp)|(\|lc)|(penalty))" /e /r /s</v>
      </c>
      <c r="AG185" s="1" t="str">
        <f>IFERROR(IF(VALUE(LEFT(AD185,2))&lt;=2,"EC",IF(OR(VALUE(LEFT(AD185,2))=8,VALUE(LEFT(AD185,2))=18),"NW","Other")),"Other")</f>
        <v>NW</v>
      </c>
      <c r="AH185" s="96" t="str">
        <f t="shared" si="6"/>
        <v>"%USERPROFILE%\Documents\GitHub\eaglep3\Utilities\RefineRTDCRunTimes.py" --tripid 822-04 --locoid 4017 --swversion DE.1.0.7.0 --startMP 300:58611 --initTime 2016-10-04T13:39:19 --startdatetime 2016-10-04T13:44:45 --delay 1 --endMP 204:684 --enddatetime 2016-10-04T14:03:57 --enforcementcount 0 &gt;&gt;C:\Users\stu\Documents\GitHub\eaglep3-reporting\EC\2016-10-04-refined-times.txt</v>
      </c>
      <c r="AI185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{"issue":{"subject":"","project_id":79,"tracker_id":40,"status_id":1,"priority_id":2,"assigned_to_id":23,"start_date":"2016-10-04","description":"","custom_fields":[{"id":1,"name":"Subdivision","value":"NW"},{"id":4,"name":"Milepost","value":"0.0684"},{"id":17,"name":"Train ID","value":"822-04"},{"id":16,"name":"Locomotive ID","value":"4017"},{"id":130,"name":"Impact","value":""},{"id":150,"name":"Time of Event (Mountain Time)","value":"14:03:57"},{"id":151,"name":"Denver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5"/>
      <c r="AK185" s="55"/>
      <c r="AL185" s="55"/>
    </row>
    <row r="186" spans="1:38" s="23" customFormat="1" x14ac:dyDescent="0.25">
      <c r="A186" s="39" t="s">
        <v>496</v>
      </c>
      <c r="B186" s="7">
        <v>4018</v>
      </c>
      <c r="C186" s="24" t="s">
        <v>106</v>
      </c>
      <c r="D186" s="24" t="s">
        <v>753</v>
      </c>
      <c r="E186" s="15">
        <v>42647.589490740742</v>
      </c>
      <c r="F186" s="15">
        <v>42647.598182870373</v>
      </c>
      <c r="G186" s="7">
        <v>1</v>
      </c>
      <c r="H186" s="15" t="s">
        <v>754</v>
      </c>
      <c r="I186" s="15">
        <v>42647.610254629632</v>
      </c>
      <c r="J186" s="7">
        <v>0</v>
      </c>
      <c r="K186" s="117" t="str">
        <f>IF(ISEVEN(B186),(B186-1)&amp;"/"&amp;B186,B186&amp;"/"&amp;(B186+1))</f>
        <v>4017/4018</v>
      </c>
      <c r="L186" s="24" t="str">
        <f>VLOOKUP(A186,'Trips&amp;Operators'!$C$1:$E$10000,3,FALSE)</f>
        <v>HAITHCOX</v>
      </c>
      <c r="M186" s="6">
        <f>I186-F186</f>
        <v>1.2071759258105885E-2</v>
      </c>
      <c r="N186" s="7">
        <f>24*60*SUM($M186:$M186)</f>
        <v>17.383333331672475</v>
      </c>
      <c r="O186" s="7"/>
      <c r="P186" s="7"/>
      <c r="Q186" s="25"/>
      <c r="R186" s="25"/>
      <c r="S186" s="37">
        <f>SUM(U186:U186)/IF(AG186="EC",12,1)</f>
        <v>1</v>
      </c>
      <c r="T186" s="52" t="str">
        <f>IF(ISEVEN(LEFT(AD186,4)),"Southbound","NorthBound")</f>
        <v>NorthBound</v>
      </c>
      <c r="U186" s="159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02" t="str">
        <f>"https://search-rtdc-monitor-bjffxe2xuh6vdkpspy63sjmuny.us-east-1.es.amazonaws.com/_plugin/kibana/#/discover/Steve-Slow-Train-Analysis-(2080s-and-2083s)?_g=(refreshInterval:(display:Off,section:0,value:0),time:(from:'"&amp;TEXT(E186-1/24,"yyyy-MM-DD hh:mm:ss")&amp;"-0600',mode:absolute,to:'"&amp;TEXT(I186+1/24,"yyyy-MM-DD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186&amp;"%22')),sort:!(Time,asc))"</f>
        <v>https://search-rtdc-monitor-bjffxe2xuh6vdkpspy63sjmuny.us-east-1.es.amazonaws.com/_plugin/kibana/#/discover/Steve-Slow-Train-Analysis-(2080s-and-2083s)?_g=(refreshInterval:(display:Off,section:0,value:0),time:(from:'2016-10-04 13:08:52-0600',mode:absolute,to:'2016-10-04 15:38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6" s="54" t="str">
        <f>IF(AA186&lt;IF(AG186="EC",23,5.65),"Y","N")</f>
        <v>N</v>
      </c>
      <c r="X186" s="164">
        <f>VALUE(LEFT(AD186,4))-VALUE(LEFT(AD185,4))</f>
        <v>1</v>
      </c>
      <c r="Y186" s="69">
        <f>RIGHT(D186,LEN(D186)-4)/10000</f>
        <v>9.7199999999999995E-2</v>
      </c>
      <c r="Z186" s="69">
        <f>RIGHT(H186,LEN(H186)-4)/10000</f>
        <v>5.8902999999999999</v>
      </c>
      <c r="AA186" s="69">
        <f>ABS(Z186-Y186)</f>
        <v>5.7930999999999999</v>
      </c>
      <c r="AB186" s="66" t="e">
        <f>VLOOKUP(A186,Enforcements!$C$7:$K$21,8,0)</f>
        <v>#N/A</v>
      </c>
      <c r="AC186" s="62" t="e">
        <f>VLOOKUP(A186,Enforcements!$C$7:$E$21,3,0)</f>
        <v>#N/A</v>
      </c>
      <c r="AD186" s="63" t="str">
        <f>IF(LEN(A186)=6,"0"&amp;A186,A186)</f>
        <v>0823-04</v>
      </c>
      <c r="AE186" s="9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s3://rtdc.mdm.uploadarchive.raw/RTDC4018/ "%USERPROFILE%\AppData\Local\Temp\OnboardLogs"\RTDC4018\2016-10-04 --exclude "*" --recursive --include "*20161004*" &amp; "%USERPROFILE%\Documents\GitHub\mrs-test-scripts\Headless Mode &amp; Sideloading\WalkAndUnGZ.bat" "%USERPROFILE%\AppData\Local\Temp\OnboardLogs"\RTDC4018\2016-10-04 &amp; aws s3 cp s3://rtdc.mdm.uploadarchive.raw/RTDC4018/ "%USERPROFILE%\AppData\Local\Temp\OnboardLogs"\RTDC4018\2016-10-05 --exclude "*" --recursive --include "*20161005*" &amp; "%USERPROFILE%\Documents\GitHub\mrs-test-scripts\Headless Mode &amp; Sideloading\WalkAndUnGZ.bat" "%USERPROFILE%\AppData\Local\Temp\OnboardLogs"\RTDC4018\2016-10-05</v>
      </c>
      <c r="AF186" s="92" t="str">
        <f>astrogrep_path&amp;" /spath="&amp;search_path&amp;" /stypes=""app*"&amp;B186&amp;"*"&amp;TEXT(I186-utc_offset/24,"YYYYMMDD")&amp;"*"" /stext="" "&amp;TEXT(I186-utc_offset/24,"HH")&amp;search_regexp&amp;""" /e /r /s"</f>
        <v>"C:\Program Files (x86)\AstroGrep\AstroGrep.exe" /spath="%USERPROFILE%\AppData\Local\Temp\OnboardLogs" /stypes="app*4018*20161004*" /stext=" 20:.+((SYSTEM_STATE.+slice.+state.+changed )|(ment ac)|(system.+state.+changed )|(\[timeout)|(PRM\|1\|D)|(kpr)|(kdp)|(\|lc)|(penalty))" /e /r /s</v>
      </c>
      <c r="AG186" s="1" t="str">
        <f>IFERROR(IF(VALUE(LEFT(AD186,2))&lt;=2,"EC",IF(OR(VALUE(LEFT(AD186,2))=8,VALUE(LEFT(AD186,2))=18),"NW","Other")),"Other")</f>
        <v>NW</v>
      </c>
      <c r="AH186" s="96" t="str">
        <f t="shared" si="6"/>
        <v>"%USERPROFILE%\Documents\GitHub\eaglep3\Utilities\RefineRTDCRunTimes.py" --tripid 823-04 --locoid 4018 --swversion DE.1.0.7.0 --startMP 204:972 --initTime 2016-10-04T14:08:52 --startdatetime 2016-10-04T14:21:23 --delay 1 --endMP 300:58903 --enddatetime 2016-10-04T14:38:46 --enforcementcount 0 &gt;&gt;C:\Users\stu\Documents\GitHub\eaglep3-reporting\EC\2016-10-04-refined-times.txt</v>
      </c>
      <c r="AI186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{"issue":{"subject":"","project_id":79,"tracker_id":40,"status_id":1,"priority_id":2,"assigned_to_id":23,"start_date":"2016-10-04","description":"","custom_fields":[{"id":1,"name":"Subdivision","value":"NW"},{"id":4,"name":"Milepost","value":"5.8903"},{"id":17,"name":"Train ID","value":"823-04"},{"id":16,"name":"Locomotive ID","value":"4018"},{"id":130,"name":"Impact","value":""},{"id":150,"name":"Time of Event (Mountain Time)","value":"14:38:46"},{"id":151,"name":"Denver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5"/>
      <c r="AK186" s="55"/>
      <c r="AL186" s="55"/>
    </row>
    <row r="187" spans="1:38" x14ac:dyDescent="0.25">
      <c r="A187" s="39" t="s">
        <v>502</v>
      </c>
      <c r="B187" s="7">
        <v>4017</v>
      </c>
      <c r="C187" s="24" t="s">
        <v>106</v>
      </c>
      <c r="D187" s="24" t="s">
        <v>755</v>
      </c>
      <c r="E187" s="15">
        <v>42647.611203703702</v>
      </c>
      <c r="F187" s="15">
        <v>42647.612557870372</v>
      </c>
      <c r="G187" s="7">
        <v>1</v>
      </c>
      <c r="H187" s="15" t="s">
        <v>756</v>
      </c>
      <c r="I187" s="15">
        <v>42647.623263888891</v>
      </c>
      <c r="J187" s="7">
        <v>0</v>
      </c>
      <c r="K187" s="117" t="str">
        <f>IF(ISEVEN(B187),(B187-1)&amp;"/"&amp;B187,B187&amp;"/"&amp;(B187+1))</f>
        <v>4017/4018</v>
      </c>
      <c r="L187" s="24" t="str">
        <f>VLOOKUP(A187,'Trips&amp;Operators'!$C$1:$E$10000,3,FALSE)</f>
        <v>HAITHCOX</v>
      </c>
      <c r="M187" s="6">
        <f>I187-F187</f>
        <v>1.0706018518249039E-2</v>
      </c>
      <c r="N187" s="7">
        <f>24*60*SUM($M187:$M187)</f>
        <v>15.416666666278616</v>
      </c>
      <c r="O187" s="7"/>
      <c r="P187" s="7"/>
      <c r="Q187" s="25"/>
      <c r="R187" s="25"/>
      <c r="S187" s="37">
        <f>SUM(U187:U187)/IF(AG187="EC",12,1)</f>
        <v>1</v>
      </c>
      <c r="T187" s="52" t="str">
        <f>IF(ISEVEN(LEFT(AD187,4)),"Southbound","NorthBound")</f>
        <v>Southbound</v>
      </c>
      <c r="U187" s="159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02" t="str">
        <f>"https://search-rtdc-monitor-bjffxe2xuh6vdkpspy63sjmuny.us-east-1.es.amazonaws.com/_plugin/kibana/#/discover/Steve-Slow-Train-Analysis-(2080s-and-2083s)?_g=(refreshInterval:(display:Off,section:0,value:0),time:(from:'"&amp;TEXT(E187-1/24,"yyyy-MM-DD hh:mm:ss")&amp;"-0600',mode:absolute,to:'"&amp;TEXT(I187+1/24,"yyyy-MM-DD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187&amp;"%22')),sort:!(Time,asc))"</f>
        <v>https://search-rtdc-monitor-bjffxe2xuh6vdkpspy63sjmuny.us-east-1.es.amazonaws.com/_plugin/kibana/#/discover/Steve-Slow-Train-Analysis-(2080s-and-2083s)?_g=(refreshInterval:(display:Off,section:0,value:0),time:(from:'2016-10-04 13:40:08-0600',mode:absolute,to:'2016-10-04 15:57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7" s="54" t="str">
        <f>IF(AA187&lt;IF(AG187="EC",23,5.65),"Y","N")</f>
        <v>N</v>
      </c>
      <c r="X187" s="164">
        <f>VALUE(LEFT(AD187,4))-VALUE(LEFT(AD186,4))</f>
        <v>1</v>
      </c>
      <c r="Y187" s="69">
        <f>RIGHT(D187,LEN(D187)-4)/10000</f>
        <v>5.8589000000000002</v>
      </c>
      <c r="Z187" s="69">
        <f>RIGHT(H187,LEN(H187)-4)/10000</f>
        <v>6.7699999999999996E-2</v>
      </c>
      <c r="AA187" s="69">
        <f>ABS(Z187-Y187)</f>
        <v>5.7911999999999999</v>
      </c>
      <c r="AB187" s="66" t="e">
        <f>VLOOKUP(A187,Enforcements!$C$7:$K$21,8,0)</f>
        <v>#N/A</v>
      </c>
      <c r="AC187" s="62" t="e">
        <f>VLOOKUP(A187,Enforcements!$C$7:$E$21,3,0)</f>
        <v>#N/A</v>
      </c>
      <c r="AD187" s="63" t="str">
        <f>IF(LEN(A187)=6,"0"&amp;A187,A187)</f>
        <v>0824-04</v>
      </c>
      <c r="AE187" s="9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 &amp; 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</v>
      </c>
      <c r="AF187" s="92" t="str">
        <f>astrogrep_path&amp;" /spath="&amp;search_path&amp;" /stypes=""app*"&amp;B187&amp;"*"&amp;TEXT(I187-utc_offset/24,"YYYYMMDD")&amp;"*"" /stext="" "&amp;TEXT(I187-utc_offset/24,"HH")&amp;search_regexp&amp;""" /e /r /s"</f>
        <v>"C:\Program Files (x86)\AstroGrep\AstroGrep.exe" /spath="%USERPROFILE%\AppData\Local\Temp\OnboardLogs" /stypes="app*4017*20161004*" /stext=" 20:.+((SYSTEM_STATE.+slice.+state.+changed )|(ment ac)|(system.+state.+changed )|(\[timeout)|(PRM\|1\|D)|(kpr)|(kdp)|(\|lc)|(penalty))" /e /r /s</v>
      </c>
      <c r="AG187" s="1" t="str">
        <f>IFERROR(IF(VALUE(LEFT(AD187,2))&lt;=2,"EC",IF(OR(VALUE(LEFT(AD187,2))=8,VALUE(LEFT(AD187,2))=18),"NW","Other")),"Other")</f>
        <v>NW</v>
      </c>
      <c r="AH187" s="96" t="str">
        <f t="shared" si="6"/>
        <v>"%USERPROFILE%\Documents\GitHub\eaglep3\Utilities\RefineRTDCRunTimes.py" --tripid 824-04 --locoid 4017 --swversion DE.1.0.7.0 --startMP 300:58589 --initTime 2016-10-04T14:40:08 --startdatetime 2016-10-04T14:42:05 --delay 1 --endMP 204:677 --enddatetime 2016-10-04T14:57:30 --enforcementcount 0 &gt;&gt;C:\Users\stu\Documents\GitHub\eaglep3-reporting\EC\2016-10-04-refined-times.txt</v>
      </c>
      <c r="AI187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{"issue":{"subject":"","project_id":79,"tracker_id":40,"status_id":1,"priority_id":2,"assigned_to_id":23,"start_date":"2016-10-04","description":"","custom_fields":[{"id":1,"name":"Subdivision","value":"NW"},{"id":4,"name":"Milepost","value":"0.0677"},{"id":17,"name":"Train ID","value":"824-04"},{"id":16,"name":"Locomotive ID","value":"4017"},{"id":130,"name":"Impact","value":""},{"id":150,"name":"Time of Event (Mountain Time)","value":"14:57:30"},{"id":151,"name":"Denver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5"/>
      <c r="AK187" s="55"/>
      <c r="AL187" s="55"/>
    </row>
    <row r="188" spans="1:38" s="23" customFormat="1" x14ac:dyDescent="0.25">
      <c r="A188" s="39" t="s">
        <v>507</v>
      </c>
      <c r="B188" s="7">
        <v>4018</v>
      </c>
      <c r="C188" s="24" t="s">
        <v>106</v>
      </c>
      <c r="D188" s="24" t="s">
        <v>757</v>
      </c>
      <c r="E188" s="15">
        <v>42647.637488425928</v>
      </c>
      <c r="F188" s="15">
        <v>42647.639826388891</v>
      </c>
      <c r="G188" s="7">
        <v>1</v>
      </c>
      <c r="H188" s="15" t="s">
        <v>733</v>
      </c>
      <c r="I188" s="15">
        <v>42647.650648148148</v>
      </c>
      <c r="J188" s="7">
        <v>0</v>
      </c>
      <c r="K188" s="117" t="str">
        <f>IF(ISEVEN(B188),(B188-1)&amp;"/"&amp;B188,B188&amp;"/"&amp;(B188+1))</f>
        <v>4017/4018</v>
      </c>
      <c r="L188" s="24" t="str">
        <f>VLOOKUP(A188,'Trips&amp;Operators'!$C$1:$E$10000,3,FALSE)</f>
        <v>HAITHCOX</v>
      </c>
      <c r="M188" s="6">
        <f>I188-F188</f>
        <v>1.0821759256941732E-2</v>
      </c>
      <c r="N188" s="7">
        <f>24*60*SUM($M188:$M188)</f>
        <v>15.583333329996094</v>
      </c>
      <c r="O188" s="7"/>
      <c r="P188" s="7"/>
      <c r="Q188" s="25"/>
      <c r="R188" s="25"/>
      <c r="S188" s="37">
        <f>SUM(U188:U188)/IF(AG188="EC",12,1)</f>
        <v>1</v>
      </c>
      <c r="T188" s="52" t="str">
        <f>IF(ISEVEN(LEFT(AD188,4)),"Southbound","NorthBound")</f>
        <v>NorthBound</v>
      </c>
      <c r="U188" s="159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02" t="str">
        <f>"https://search-rtdc-monitor-bjffxe2xuh6vdkpspy63sjmuny.us-east-1.es.amazonaws.com/_plugin/kibana/#/discover/Steve-Slow-Train-Analysis-(2080s-and-2083s)?_g=(refreshInterval:(display:Off,section:0,value:0),time:(from:'"&amp;TEXT(E188-1/24,"yyyy-MM-DD hh:mm:ss")&amp;"-0600',mode:absolute,to:'"&amp;TEXT(I188+1/24,"yyyy-MM-DD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188&amp;"%22')),sort:!(Time,asc))"</f>
        <v>https://search-rtdc-monitor-bjffxe2xuh6vdkpspy63sjmuny.us-east-1.es.amazonaws.com/_plugin/kibana/#/discover/Steve-Slow-Train-Analysis-(2080s-and-2083s)?_g=(refreshInterval:(display:Off,section:0,value:0),time:(from:'2016-10-04 14:17:59-0600',mode:absolute,to:'2016-10-04 16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88" s="54" t="str">
        <f>IF(AA188&lt;IF(AG188="EC",23,5.65),"Y","N")</f>
        <v>N</v>
      </c>
      <c r="X188" s="164">
        <f>VALUE(LEFT(AD188,4))-VALUE(LEFT(AD187,4))</f>
        <v>1</v>
      </c>
      <c r="Y188" s="69">
        <f>RIGHT(D188,LEN(D188)-4)/10000</f>
        <v>9.74E-2</v>
      </c>
      <c r="Z188" s="69">
        <f>RIGHT(H188,LEN(H188)-4)/10000</f>
        <v>5.8930999999999996</v>
      </c>
      <c r="AA188" s="69">
        <f>ABS(Z188-Y188)</f>
        <v>5.7956999999999992</v>
      </c>
      <c r="AB188" s="66" t="e">
        <f>VLOOKUP(A188,Enforcements!$C$7:$K$21,8,0)</f>
        <v>#N/A</v>
      </c>
      <c r="AC188" s="62" t="e">
        <f>VLOOKUP(A188,Enforcements!$C$7:$E$21,3,0)</f>
        <v>#N/A</v>
      </c>
      <c r="AD188" s="63" t="str">
        <f>IF(LEN(A188)=6,"0"&amp;A188,A188)</f>
        <v>0825-04</v>
      </c>
      <c r="AE188" s="9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s3://rtdc.mdm.uploadarchive.raw/RTDC4018/ "%USERPROFILE%\AppData\Local\Temp\OnboardLogs"\RTDC4018\2016-10-04 --exclude "*" --recursive --include "*20161004*" &amp; "%USERPROFILE%\Documents\GitHub\mrs-test-scripts\Headless Mode &amp; Sideloading\WalkAndUnGZ.bat" "%USERPROFILE%\AppData\Local\Temp\OnboardLogs"\RTDC4018\2016-10-04 &amp; aws s3 cp s3://rtdc.mdm.uploadarchive.raw/RTDC4018/ "%USERPROFILE%\AppData\Local\Temp\OnboardLogs"\RTDC4018\2016-10-05 --exclude "*" --recursive --include "*20161005*" &amp; "%USERPROFILE%\Documents\GitHub\mrs-test-scripts\Headless Mode &amp; Sideloading\WalkAndUnGZ.bat" "%USERPROFILE%\AppData\Local\Temp\OnboardLogs"\RTDC4018\2016-10-05</v>
      </c>
      <c r="AF188" s="92" t="str">
        <f>astrogrep_path&amp;" /spath="&amp;search_path&amp;" /stypes=""app*"&amp;B188&amp;"*"&amp;TEXT(I188-utc_offset/24,"YYYYMMDD")&amp;"*"" /stext="" "&amp;TEXT(I188-utc_offset/24,"HH")&amp;search_regexp&amp;""" /e /r /s"</f>
        <v>"C:\Program Files (x86)\AstroGrep\AstroGrep.exe" /spath="%USERPROFILE%\AppData\Local\Temp\OnboardLogs" /stypes="app*4018*20161004*" /stext=" 21:.+((SYSTEM_STATE.+slice.+state.+changed )|(ment ac)|(system.+state.+changed )|(\[timeout)|(PRM\|1\|D)|(kpr)|(kdp)|(\|lc)|(penalty))" /e /r /s</v>
      </c>
      <c r="AG188" s="1" t="str">
        <f>IFERROR(IF(VALUE(LEFT(AD188,2))&lt;=2,"EC",IF(OR(VALUE(LEFT(AD188,2))=8,VALUE(LEFT(AD188,2))=18),"NW","Other")),"Other")</f>
        <v>NW</v>
      </c>
      <c r="AH188" s="96" t="str">
        <f t="shared" si="6"/>
        <v>"%USERPROFILE%\Documents\GitHub\eaglep3\Utilities\RefineRTDCRunTimes.py" --tripid 825-04 --locoid 4018 --swversion DE.1.0.7.0 --startMP 204:974 --initTime 2016-10-04T15:17:59 --startdatetime 2016-10-04T15:21:21 --delay 1 --endMP 300:58931 --enddatetime 2016-10-04T15:36:56 --enforcementcount 0 &gt;&gt;C:\Users\stu\Documents\GitHub\eaglep3-reporting\EC\2016-10-04-refined-times.txt</v>
      </c>
      <c r="AI188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{"issue":{"subject":"","project_id":79,"tracker_id":40,"status_id":1,"priority_id":2,"assigned_to_id":23,"start_date":"2016-10-04","description":"","custom_fields":[{"id":1,"name":"Subdivision","value":"NW"},{"id":4,"name":"Milepost","value":"5.8931"},{"id":17,"name":"Train ID","value":"825-04"},{"id":16,"name":"Locomotive ID","value":"4018"},{"id":130,"name":"Impact","value":""},{"id":150,"name":"Time of Event (Mountain Time)","value":"15:36:56"},{"id":151,"name":"Denver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5"/>
      <c r="AK188" s="55"/>
      <c r="AL188" s="55"/>
    </row>
    <row r="189" spans="1:38" s="23" customFormat="1" x14ac:dyDescent="0.25">
      <c r="A189" s="39" t="s">
        <v>511</v>
      </c>
      <c r="B189" s="7">
        <v>4017</v>
      </c>
      <c r="C189" s="24" t="s">
        <v>106</v>
      </c>
      <c r="D189" s="24" t="s">
        <v>265</v>
      </c>
      <c r="E189" s="15">
        <v>42647.651631944442</v>
      </c>
      <c r="F189" s="15">
        <v>42647.652881944443</v>
      </c>
      <c r="G189" s="7">
        <v>1</v>
      </c>
      <c r="H189" s="15" t="s">
        <v>758</v>
      </c>
      <c r="I189" s="15">
        <v>42647.66474537037</v>
      </c>
      <c r="J189" s="7">
        <v>0</v>
      </c>
      <c r="K189" s="117" t="str">
        <f>IF(ISEVEN(B189),(B189-1)&amp;"/"&amp;B189,B189&amp;"/"&amp;(B189+1))</f>
        <v>4017/4018</v>
      </c>
      <c r="L189" s="24" t="str">
        <f>VLOOKUP(A189,'Trips&amp;Operators'!$C$1:$E$10000,3,FALSE)</f>
        <v>HAITHCOX</v>
      </c>
      <c r="M189" s="6">
        <f>I189-F189</f>
        <v>1.1863425927003846E-2</v>
      </c>
      <c r="N189" s="7">
        <f>24*60*SUM($M189:$M189)</f>
        <v>17.083333334885538</v>
      </c>
      <c r="O189" s="7"/>
      <c r="P189" s="7"/>
      <c r="Q189" s="25"/>
      <c r="R189" s="25"/>
      <c r="S189" s="37">
        <f>SUM(U189:U189)/IF(AG189="EC",12,1)</f>
        <v>1</v>
      </c>
      <c r="T189" s="52" t="str">
        <f>IF(ISEVEN(LEFT(AD189,4)),"Southbound","NorthBound")</f>
        <v>Southbound</v>
      </c>
      <c r="U189" s="159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02" t="str">
        <f>"https://search-rtdc-monitor-bjffxe2xuh6vdkpspy63sjmuny.us-east-1.es.amazonaws.com/_plugin/kibana/#/discover/Steve-Slow-Train-Analysis-(2080s-and-2083s)?_g=(refreshInterval:(display:Off,section:0,value:0),time:(from:'"&amp;TEXT(E189-1/24,"yyyy-MM-DD hh:mm:ss")&amp;"-0600',mode:absolute,to:'"&amp;TEXT(I189+1/24,"yyyy-MM-DD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189&amp;"%22')),sort:!(Time,asc))"</f>
        <v>https://search-rtdc-monitor-bjffxe2xuh6vdkpspy63sjmuny.us-east-1.es.amazonaws.com/_plugin/kibana/#/discover/Steve-Slow-Train-Analysis-(2080s-and-2083s)?_g=(refreshInterval:(display:Off,section:0,value:0),time:(from:'2016-10-04 14:38:21-0600',mode:absolute,to:'2016-10-04 16:57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89" s="54" t="str">
        <f>IF(AA189&lt;IF(AG189="EC",23,5.65),"Y","N")</f>
        <v>N</v>
      </c>
      <c r="X189" s="164">
        <f>VALUE(LEFT(AD189,4))-VALUE(LEFT(AD188,4))</f>
        <v>1</v>
      </c>
      <c r="Y189" s="69">
        <f>RIGHT(D189,LEN(D189)-4)/10000</f>
        <v>5.8616999999999999</v>
      </c>
      <c r="Z189" s="69">
        <f>RIGHT(H189,LEN(H189)-4)/10000</f>
        <v>6.8699999999999997E-2</v>
      </c>
      <c r="AA189" s="69">
        <f>ABS(Z189-Y189)</f>
        <v>5.7930000000000001</v>
      </c>
      <c r="AB189" s="66" t="e">
        <f>VLOOKUP(A189,Enforcements!$C$7:$K$21,8,0)</f>
        <v>#N/A</v>
      </c>
      <c r="AC189" s="62" t="e">
        <f>VLOOKUP(A189,Enforcements!$C$7:$E$21,3,0)</f>
        <v>#N/A</v>
      </c>
      <c r="AD189" s="63" t="str">
        <f>IF(LEN(A189)=6,"0"&amp;A189,A189)</f>
        <v>0826-04</v>
      </c>
      <c r="AE189" s="9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 &amp; 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</v>
      </c>
      <c r="AF189" s="92" t="str">
        <f>astrogrep_path&amp;" /spath="&amp;search_path&amp;" /stypes=""app*"&amp;B189&amp;"*"&amp;TEXT(I189-utc_offset/24,"YYYYMMDD")&amp;"*"" /stext="" "&amp;TEXT(I189-utc_offset/24,"HH")&amp;search_regexp&amp;""" /e /r /s"</f>
        <v>"C:\Program Files (x86)\AstroGrep\AstroGrep.exe" /spath="%USERPROFILE%\AppData\Local\Temp\OnboardLogs" /stypes="app*4017*20161004*" /stext=" 21:.+((SYSTEM_STATE.+slice.+state.+changed )|(ment ac)|(system.+state.+changed )|(\[timeout)|(PRM\|1\|D)|(kpr)|(kdp)|(\|lc)|(penalty))" /e /r /s</v>
      </c>
      <c r="AG189" s="1" t="str">
        <f>IFERROR(IF(VALUE(LEFT(AD189,2))&lt;=2,"EC",IF(OR(VALUE(LEFT(AD189,2))=8,VALUE(LEFT(AD189,2))=18),"NW","Other")),"Other")</f>
        <v>NW</v>
      </c>
      <c r="AH189" s="96" t="str">
        <f t="shared" si="6"/>
        <v>"%USERPROFILE%\Documents\GitHub\eaglep3\Utilities\RefineRTDCRunTimes.py" --tripid 826-04 --locoid 4017 --swversion DE.1.0.7.0 --startMP 300:58617 --initTime 2016-10-04T15:38:21 --startdatetime 2016-10-04T15:40:09 --delay 1 --endMP 204:687 --enddatetime 2016-10-04T15:57:14 --enforcementcount 0 &gt;&gt;C:\Users\stu\Documents\GitHub\eaglep3-reporting\EC\2016-10-04-refined-times.txt</v>
      </c>
      <c r="AI189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{"issue":{"subject":"","project_id":79,"tracker_id":40,"status_id":1,"priority_id":2,"assigned_to_id":23,"start_date":"2016-10-04","description":"","custom_fields":[{"id":1,"name":"Subdivision","value":"NW"},{"id":4,"name":"Milepost","value":"0.0687"},{"id":17,"name":"Train ID","value":"826-04"},{"id":16,"name":"Locomotive ID","value":"4017"},{"id":130,"name":"Impact","value":""},{"id":150,"name":"Time of Event (Mountain Time)","value":"15:57:14"},{"id":151,"name":"Denver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5"/>
      <c r="AK189" s="55"/>
      <c r="AL189" s="55"/>
    </row>
    <row r="190" spans="1:38" x14ac:dyDescent="0.25">
      <c r="A190" s="39" t="s">
        <v>514</v>
      </c>
      <c r="B190" s="7">
        <v>4003</v>
      </c>
      <c r="C190" s="24" t="s">
        <v>106</v>
      </c>
      <c r="D190" s="24" t="s">
        <v>745</v>
      </c>
      <c r="E190" s="15">
        <v>42647.659062500003</v>
      </c>
      <c r="F190" s="15">
        <v>42647.661180555559</v>
      </c>
      <c r="G190" s="7">
        <v>1</v>
      </c>
      <c r="H190" s="15" t="s">
        <v>740</v>
      </c>
      <c r="I190" s="15">
        <v>42647.672673611109</v>
      </c>
      <c r="J190" s="7">
        <v>0</v>
      </c>
      <c r="K190" s="117" t="str">
        <f>IF(ISEVEN(B190),(B190-1)&amp;"/"&amp;B190,B190&amp;"/"&amp;(B190+1))</f>
        <v>4003/4004</v>
      </c>
      <c r="L190" s="24" t="str">
        <f>VLOOKUP(A190,'Trips&amp;Operators'!$C$1:$E$10000,3,FALSE)</f>
        <v>STURGEON</v>
      </c>
      <c r="M190" s="6">
        <f>I190-F190</f>
        <v>1.1493055550090503E-2</v>
      </c>
      <c r="N190" s="7">
        <f>24*60*SUM($M190:$M190)</f>
        <v>16.549999992130324</v>
      </c>
      <c r="O190" s="7"/>
      <c r="P190" s="7"/>
      <c r="Q190" s="25"/>
      <c r="R190" s="25"/>
      <c r="S190" s="37">
        <f>SUM(U190:U190)/IF(AG190="EC",12,1)</f>
        <v>1</v>
      </c>
      <c r="T190" s="52" t="str">
        <f>IF(ISEVEN(LEFT(AD190,4)),"Southbound","NorthBound")</f>
        <v>NorthBound</v>
      </c>
      <c r="U190" s="159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02" t="str">
        <f>"https://search-rtdc-monitor-bjffxe2xuh6vdkpspy63sjmuny.us-east-1.es.amazonaws.com/_plugin/kibana/#/discover/Steve-Slow-Train-Analysis-(2080s-and-2083s)?_g=(refreshInterval:(display:Off,section:0,value:0),time:(from:'"&amp;TEXT(E190-1/24,"yyyy-MM-DD hh:mm:ss")&amp;"-0600',mode:absolute,to:'"&amp;TEXT(I190+1/24,"yyyy-MM-DD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190&amp;"%22')),sort:!(Time,asc))"</f>
        <v>https://search-rtdc-monitor-bjffxe2xuh6vdkpspy63sjmuny.us-east-1.es.amazonaws.com/_plugin/kibana/#/discover/Steve-Slow-Train-Analysis-(2080s-and-2083s)?_g=(refreshInterval:(display:Off,section:0,value:0),time:(from:'2016-10-04 14:49:03-0600',mode:absolute,to:'2016-10-04 17:08:39-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0" s="54" t="str">
        <f>IF(AA190&lt;IF(AG190="EC",23,5.65),"Y","N")</f>
        <v>N</v>
      </c>
      <c r="X190" s="164">
        <f>VALUE(LEFT(AD190,4))-VALUE(LEFT(AD189,4))</f>
        <v>1</v>
      </c>
      <c r="Y190" s="69">
        <f>RIGHT(D190,LEN(D190)-4)/10000</f>
        <v>9.9699999999999997E-2</v>
      </c>
      <c r="Z190" s="69">
        <f>RIGHT(H190,LEN(H190)-4)/10000</f>
        <v>5.8917999999999999</v>
      </c>
      <c r="AA190" s="69">
        <f>ABS(Z190-Y190)</f>
        <v>5.7920999999999996</v>
      </c>
      <c r="AB190" s="66" t="e">
        <f>VLOOKUP(A190,Enforcements!$C$7:$K$21,8,0)</f>
        <v>#N/A</v>
      </c>
      <c r="AC190" s="62" t="e">
        <f>VLOOKUP(A190,Enforcements!$C$7:$E$21,3,0)</f>
        <v>#N/A</v>
      </c>
      <c r="AD190" s="63" t="str">
        <f>IF(LEN(A190)=6,"0"&amp;A190,A190)</f>
        <v>0827-04</v>
      </c>
      <c r="AE190" s="9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s3://rtdc.mdm.uploadarchive.raw/RTDC4003/ "%USERPROFILE%\AppData\Local\Temp\OnboardLogs"\RTDC4003\2016-10-04 --exclude "*" --recursive --include "*20161004*" &amp; "%USERPROFILE%\Documents\GitHub\mrs-test-scripts\Headless Mode &amp; Sideloading\WalkAndUnGZ.bat" "%USERPROFILE%\AppData\Local\Temp\OnboardLogs"\RTDC4003\2016-10-04 &amp; aws s3 cp s3://rtdc.mdm.uploadarchive.raw/RTDC4003/ "%USERPROFILE%\AppData\Local\Temp\OnboardLogs"\RTDC4003\2016-10-05 --exclude "*" --recursive --include "*20161005*" &amp; "%USERPROFILE%\Documents\GitHub\mrs-test-scripts\Headless Mode &amp; Sideloading\WalkAndUnGZ.bat" "%USERPROFILE%\AppData\Local\Temp\OnboardLogs"\RTDC4003\2016-10-05</v>
      </c>
      <c r="AF190" s="92" t="str">
        <f>astrogrep_path&amp;" /spath="&amp;search_path&amp;" /stypes=""app*"&amp;B190&amp;"*"&amp;TEXT(I190-utc_offset/24,"YYYYMMDD")&amp;"*"" /stext="" "&amp;TEXT(I190-utc_offset/24,"HH")&amp;search_regexp&amp;""" /e /r /s"</f>
        <v>"C:\Program Files (x86)\AstroGrep\AstroGrep.exe" /spath="%USERPROFILE%\AppData\Local\Temp\OnboardLogs" /stypes="app*4003*20161004*" /stext=" 22:.+((SYSTEM_STATE.+slice.+state.+changed )|(ment ac)|(system.+state.+changed )|(\[timeout)|(PRM\|1\|D)|(kpr)|(kdp)|(\|lc)|(penalty))" /e /r /s</v>
      </c>
      <c r="AG190" s="1" t="str">
        <f>IFERROR(IF(VALUE(LEFT(AD190,2))&lt;=2,"EC",IF(OR(VALUE(LEFT(AD190,2))=8,VALUE(LEFT(AD190,2))=18),"NW","Other")),"Other")</f>
        <v>NW</v>
      </c>
      <c r="AH190" s="96" t="str">
        <f t="shared" si="6"/>
        <v>"%USERPROFILE%\Documents\GitHub\eaglep3\Utilities\RefineRTDCRunTimes.py" --tripid 827-04 --locoid 4003 --swversion DE.1.0.7.0 --startMP 204:997 --initTime 2016-10-04T15:49:03 --startdatetime 2016-10-04T15:52:06 --delay 1 --endMP 300:58918 --enddatetime 2016-10-04T16:08:39 --enforcementcount 0 &gt;&gt;C:\Users\stu\Documents\GitHub\eaglep3-reporting\EC\2016-10-04-refined-times.txt</v>
      </c>
      <c r="AI190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{"issue":{"subject":"","project_id":79,"tracker_id":40,"status_id":1,"priority_id":2,"assigned_to_id":23,"start_date":"2016-10-04","description":"","custom_fields":[{"id":1,"name":"Subdivision","value":"NW"},{"id":4,"name":"Milepost","value":"5.8918"},{"id":17,"name":"Train ID","value":"827-04"},{"id":16,"name":"Locomotive ID","value":"4003"},{"id":130,"name":"Impact","value":""},{"id":150,"name":"Time of Event (Mountain Time)","value":"16:08:39"},{"id":151,"name":"Denver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5"/>
      <c r="AK190" s="55"/>
      <c r="AL190" s="55"/>
    </row>
    <row r="191" spans="1:38" s="23" customFormat="1" x14ac:dyDescent="0.25">
      <c r="A191" s="39" t="s">
        <v>518</v>
      </c>
      <c r="B191" s="7">
        <v>4004</v>
      </c>
      <c r="C191" s="24" t="s">
        <v>106</v>
      </c>
      <c r="D191" s="24" t="s">
        <v>759</v>
      </c>
      <c r="E191" s="15">
        <v>42647.680150462962</v>
      </c>
      <c r="F191" s="15">
        <v>42647.674687500003</v>
      </c>
      <c r="G191" s="7">
        <v>2</v>
      </c>
      <c r="H191" s="15" t="s">
        <v>760</v>
      </c>
      <c r="I191" s="15">
        <v>42647.693090277775</v>
      </c>
      <c r="J191" s="7">
        <v>0</v>
      </c>
      <c r="K191" s="117" t="str">
        <f>IF(ISEVEN(B191),(B191-1)&amp;"/"&amp;B191,B191&amp;"/"&amp;(B191+1))</f>
        <v>4003/4004</v>
      </c>
      <c r="L191" s="24" t="str">
        <f>VLOOKUP(A191,'Trips&amp;Operators'!$C$1:$E$10000,3,FALSE)</f>
        <v>STURGEON</v>
      </c>
      <c r="M191" s="6">
        <f>I191-F191</f>
        <v>1.8402777772280388E-2</v>
      </c>
      <c r="N191" s="7">
        <f>24*60*SUM($M191:$M191)</f>
        <v>26.499999992083758</v>
      </c>
      <c r="O191" s="7"/>
      <c r="P191" s="7"/>
      <c r="Q191" s="25"/>
      <c r="R191" s="25" t="s">
        <v>794</v>
      </c>
      <c r="S191" s="37">
        <f>SUM(U191:U191)/IF(AG191="EC",12,1)</f>
        <v>1</v>
      </c>
      <c r="T191" s="52" t="str">
        <f>IF(ISEVEN(LEFT(AD191,4)),"Southbound","NorthBound")</f>
        <v>Southbound</v>
      </c>
      <c r="U191" s="159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02" t="str">
        <f>"https://search-rtdc-monitor-bjffxe2xuh6vdkpspy63sjmuny.us-east-1.es.amazonaws.com/_plugin/kibana/#/discover/Steve-Slow-Train-Analysis-(2080s-and-2083s)?_g=(refreshInterval:(display:Off,section:0,value:0),time:(from:'"&amp;TEXT(E191-1/24,"yyyy-MM-DD hh:mm:ss")&amp;"-0600',mode:absolute,to:'"&amp;TEXT(I191+1/24,"yyyy-MM-DD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191&amp;"%22')),sort:!(Time,asc))"</f>
        <v>https://search-rtdc-monitor-bjffxe2xuh6vdkpspy63sjmuny.us-east-1.es.amazonaws.com/_plugin/kibana/#/discover/Steve-Slow-Train-Analysis-(2080s-and-2083s)?_g=(refreshInterval:(display:Off,section:0,value:0),time:(from:'2016-10-04 15:19:25-0600',mode:absolute,to:'2016-10-04 17:38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1" s="54" t="str">
        <f>IF(AA191&lt;IF(AG191="EC",23,5.65),"Y","N")</f>
        <v>N</v>
      </c>
      <c r="X191" s="164">
        <f t="shared" ref="X191:X194" si="8">VALUE(LEFT(AD191,4))-VALUE(LEFT(AD190,4))</f>
        <v>1</v>
      </c>
      <c r="Y191" s="69">
        <f>RIGHT(D191,LEN(D191)-4)/10000</f>
        <v>5.7336999999999998</v>
      </c>
      <c r="Z191" s="69">
        <f>RIGHT(H191,LEN(H191)-4)/10000</f>
        <v>7.1300000000000002E-2</v>
      </c>
      <c r="AA191" s="69">
        <f>ABS(Z191-Y191)</f>
        <v>5.6623999999999999</v>
      </c>
      <c r="AB191" s="66" t="e">
        <f>VLOOKUP(A191,Enforcements!$C$7:$K$21,8,0)</f>
        <v>#N/A</v>
      </c>
      <c r="AC191" s="62" t="e">
        <f>VLOOKUP(A191,Enforcements!$C$7:$E$21,3,0)</f>
        <v>#N/A</v>
      </c>
      <c r="AD191" s="63" t="str">
        <f>IF(LEN(A191)=6,"0"&amp;A191,A191)</f>
        <v>0828-04</v>
      </c>
      <c r="AE191" s="9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s3://rtdc.mdm.uploadarchive.raw/RTDC4004/ "%USERPROFILE%\AppData\Local\Temp\OnboardLogs"\RTDC4004\2016-10-04 --exclude "*" --recursive --include "*20161004*" &amp; "%USERPROFILE%\Documents\GitHub\mrs-test-scripts\Headless Mode &amp; Sideloading\WalkAndUnGZ.bat" "%USERPROFILE%\AppData\Local\Temp\OnboardLogs"\RTDC4004\2016-10-04 &amp; aws s3 cp s3://rtdc.mdm.uploadarchive.raw/RTDC4004/ "%USERPROFILE%\AppData\Local\Temp\OnboardLogs"\RTDC4004\2016-10-05 --exclude "*" --recursive --include "*20161005*" &amp; "%USERPROFILE%\Documents\GitHub\mrs-test-scripts\Headless Mode &amp; Sideloading\WalkAndUnGZ.bat" "%USERPROFILE%\AppData\Local\Temp\OnboardLogs"\RTDC4004\2016-10-05</v>
      </c>
      <c r="AF191" s="92" t="str">
        <f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/stypes="app*4004*20161004*" /stext=" 22:.+((SYSTEM_STATE.+slice.+state.+changed )|(ment ac)|(system.+state.+changed )|(\[timeout)|(PRM\|1\|D)|(kpr)|(kdp)|(\|lc)|(penalty))" /e /r /s</v>
      </c>
      <c r="AG191" s="1" t="str">
        <f>IFERROR(IF(VALUE(LEFT(AD191,2))&lt;=2,"EC",IF(OR(VALUE(LEFT(AD191,2))=8,VALUE(LEFT(AD191,2))=18),"NW","Other")),"Other")</f>
        <v>NW</v>
      </c>
      <c r="AH191" s="96" t="str">
        <f t="shared" si="6"/>
        <v>"%USERPROFILE%\Documents\GitHub\eaglep3\Utilities\RefineRTDCRunTimes.py" --tripid 828-04 --locoid 4004 --swversion DE.1.0.7.0 --startMP 300:57337 --initTime 2016-10-04T16:19:25 --startdatetime 2016-10-04T16:11:33 --delay 2 --endMP 204:713 --enddatetime 2016-10-04T16:38:03 --enforcementcount 0 &gt;&gt;C:\Users\stu\Documents\GitHub\eaglep3-reporting\EC\2016-10-04-refined-times.txt</v>
      </c>
      <c r="AI191" s="130" t="str">
        <f t="shared" si="7"/>
        <v>echo {"issue":{"subject":"Onboard in-route failure, but able to recover","project_id":79,"tracker_id":40,"status_id":1,"priority_id":2,"assigned_to_id":23,"start_date":"2016-10-04","description":"","custom_fields":[{"id":1,"name":"Subdivision","value":"NW"},{"id":4,"name":"Milepost","value":"0.0713"},{"id":17,"name":"Train ID","value":"828-04"},{"id":16,"name":"Locomotive ID","value":"4004"},{"id":130,"name":"Impact","value":""},{"id":150,"name":"Time of Event (Mountain Time)","value":"16:38:03"},{"id":151,"name":"Denver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5"/>
      <c r="AK191" s="55"/>
      <c r="AL191" s="55"/>
    </row>
    <row r="192" spans="1:38" s="23" customFormat="1" x14ac:dyDescent="0.25">
      <c r="A192" s="39" t="s">
        <v>519</v>
      </c>
      <c r="B192" s="7">
        <v>4018</v>
      </c>
      <c r="C192" s="24" t="s">
        <v>106</v>
      </c>
      <c r="D192" s="24" t="s">
        <v>347</v>
      </c>
      <c r="E192" s="15">
        <v>42647.67863425926</v>
      </c>
      <c r="F192" s="15">
        <v>42647.681469907409</v>
      </c>
      <c r="G192" s="7">
        <v>1</v>
      </c>
      <c r="H192" s="15" t="s">
        <v>751</v>
      </c>
      <c r="I192" s="15">
        <v>42647.691805555558</v>
      </c>
      <c r="J192" s="7">
        <v>0</v>
      </c>
      <c r="K192" s="117" t="str">
        <f>IF(ISEVEN(B192),(B192-1)&amp;"/"&amp;B192,B192&amp;"/"&amp;(B192+1))</f>
        <v>4017/4018</v>
      </c>
      <c r="L192" s="24" t="str">
        <f>VLOOKUP(A192,'Trips&amp;Operators'!$C$1:$E$10000,3,FALSE)</f>
        <v>HAITHCOX</v>
      </c>
      <c r="M192" s="6">
        <f>I192-F192</f>
        <v>1.0335648148611654E-2</v>
      </c>
      <c r="N192" s="7">
        <f>24*60*SUM($M192:$M192)</f>
        <v>14.883333334000781</v>
      </c>
      <c r="O192" s="7"/>
      <c r="P192" s="7"/>
      <c r="Q192" s="25"/>
      <c r="R192" s="25"/>
      <c r="S192" s="37">
        <f>SUM(U192:U192)/IF(AG192="EC",12,1)</f>
        <v>1</v>
      </c>
      <c r="T192" s="52" t="str">
        <f>IF(ISEVEN(LEFT(AD192,4)),"Southbound","NorthBound")</f>
        <v>NorthBound</v>
      </c>
      <c r="U192" s="159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02" t="str">
        <f>"https://search-rtdc-monitor-bjffxe2xuh6vdkpspy63sjmuny.us-east-1.es.amazonaws.com/_plugin/kibana/#/discover/Steve-Slow-Train-Analysis-(2080s-and-2083s)?_g=(refreshInterval:(display:Off,section:0,value:0),time:(from:'"&amp;TEXT(E192-1/24,"yyyy-MM-DD hh:mm:ss")&amp;"-0600',mode:absolute,to:'"&amp;TEXT(I192+1/24,"yyyy-MM-DD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192&amp;"%22')),sort:!(Time,asc))"</f>
        <v>https://search-rtdc-monitor-bjffxe2xuh6vdkpspy63sjmuny.us-east-1.es.amazonaws.com/_plugin/kibana/#/discover/Steve-Slow-Train-Analysis-(2080s-and-2083s)?_g=(refreshInterval:(display:Off,section:0,value:0),time:(from:'2016-10-04 15:17:14-0600',mode:absolute,to:'2016-10-04 17:36:12-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2" s="54" t="str">
        <f>IF(AA192&lt;IF(AG192="EC",23,5.65),"Y","N")</f>
        <v>N</v>
      </c>
      <c r="X192" s="164">
        <f t="shared" si="8"/>
        <v>1</v>
      </c>
      <c r="Y192" s="69">
        <f>RIGHT(D192,LEN(D192)-4)/10000</f>
        <v>9.7600000000000006E-2</v>
      </c>
      <c r="Z192" s="69">
        <f>RIGHT(H192,LEN(H192)-4)/10000</f>
        <v>5.8929</v>
      </c>
      <c r="AA192" s="69">
        <f>ABS(Z192-Y192)</f>
        <v>5.7953000000000001</v>
      </c>
      <c r="AB192" s="66" t="e">
        <f>VLOOKUP(A192,Enforcements!$C$7:$K$21,8,0)</f>
        <v>#N/A</v>
      </c>
      <c r="AC192" s="62" t="e">
        <f>VLOOKUP(A192,Enforcements!$C$7:$E$21,3,0)</f>
        <v>#N/A</v>
      </c>
      <c r="AD192" s="63" t="str">
        <f>IF(LEN(A192)=6,"0"&amp;A192,A192)</f>
        <v>0829-04</v>
      </c>
      <c r="AE192" s="9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s3://rtdc.mdm.uploadarchive.raw/RTDC4018/ "%USERPROFILE%\AppData\Local\Temp\OnboardLogs"\RTDC4018\2016-10-04 --exclude "*" --recursive --include "*20161004*" &amp; "%USERPROFILE%\Documents\GitHub\mrs-test-scripts\Headless Mode &amp; Sideloading\WalkAndUnGZ.bat" "%USERPROFILE%\AppData\Local\Temp\OnboardLogs"\RTDC4018\2016-10-04 &amp; aws s3 cp s3://rtdc.mdm.uploadarchive.raw/RTDC4018/ "%USERPROFILE%\AppData\Local\Temp\OnboardLogs"\RTDC4018\2016-10-05 --exclude "*" --recursive --include "*20161005*" &amp; "%USERPROFILE%\Documents\GitHub\mrs-test-scripts\Headless Mode &amp; Sideloading\WalkAndUnGZ.bat" "%USERPROFILE%\AppData\Local\Temp\OnboardLogs"\RTDC4018\2016-10-05</v>
      </c>
      <c r="AF192" s="92" t="str">
        <f>astrogrep_path&amp;" /spath="&amp;search_path&amp;" /stypes=""app*"&amp;B192&amp;"*"&amp;TEXT(I192-utc_offset/24,"YYYYMMDD")&amp;"*"" /stext="" "&amp;TEXT(I192-utc_offset/24,"HH")&amp;search_regexp&amp;""" /e /r /s"</f>
        <v>"C:\Program Files (x86)\AstroGrep\AstroGrep.exe" /spath="%USERPROFILE%\AppData\Local\Temp\OnboardLogs" /stypes="app*4018*20161004*" /stext=" 22:.+((SYSTEM_STATE.+slice.+state.+changed )|(ment ac)|(system.+state.+changed )|(\[timeout)|(PRM\|1\|D)|(kpr)|(kdp)|(\|lc)|(penalty))" /e /r /s</v>
      </c>
      <c r="AG192" s="1" t="str">
        <f>IFERROR(IF(VALUE(LEFT(AD192,2))&lt;=2,"EC",IF(OR(VALUE(LEFT(AD192,2))=8,VALUE(LEFT(AD192,2))=18),"NW","Other")),"Other")</f>
        <v>NW</v>
      </c>
      <c r="AH192" s="96" t="str">
        <f t="shared" si="6"/>
        <v>"%USERPROFILE%\Documents\GitHub\eaglep3\Utilities\RefineRTDCRunTimes.py" --tripid 829-04 --locoid 4018 --swversion DE.1.0.7.0 --startMP 204:976 --initTime 2016-10-04T16:17:14 --startdatetime 2016-10-04T16:21:19 --delay 1 --endMP 300:58929 --enddatetime 2016-10-04T16:36:12 --enforcementcount 0 &gt;&gt;C:\Users\stu\Documents\GitHub\eaglep3-reporting\EC\2016-10-04-refined-times.txt</v>
      </c>
      <c r="AI192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{"issue":{"subject":"","project_id":79,"tracker_id":40,"status_id":1,"priority_id":2,"assigned_to_id":23,"start_date":"2016-10-04","description":"","custom_fields":[{"id":1,"name":"Subdivision","value":"NW"},{"id":4,"name":"Milepost","value":"5.8929"},{"id":17,"name":"Train ID","value":"829-04"},{"id":16,"name":"Locomotive ID","value":"4018"},{"id":130,"name":"Impact","value":""},{"id":150,"name":"Time of Event (Mountain Time)","value":"16:36:12"},{"id":151,"name":"Denver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5"/>
      <c r="AK192" s="55"/>
      <c r="AL192" s="55"/>
    </row>
    <row r="193" spans="1:38" s="23" customFormat="1" x14ac:dyDescent="0.25">
      <c r="A193" s="39" t="s">
        <v>524</v>
      </c>
      <c r="B193" s="7">
        <v>4017</v>
      </c>
      <c r="C193" s="24" t="s">
        <v>106</v>
      </c>
      <c r="D193" s="24" t="s">
        <v>265</v>
      </c>
      <c r="E193" s="15">
        <v>42647.692743055559</v>
      </c>
      <c r="F193" s="15">
        <v>42647.694027777776</v>
      </c>
      <c r="G193" s="7">
        <v>1</v>
      </c>
      <c r="H193" s="15" t="s">
        <v>762</v>
      </c>
      <c r="I193" s="15">
        <v>42647.705509259256</v>
      </c>
      <c r="J193" s="7">
        <v>0</v>
      </c>
      <c r="K193" s="117" t="str">
        <f>IF(ISEVEN(B193),(B193-1)&amp;"/"&amp;B193,B193&amp;"/"&amp;(B193+1))</f>
        <v>4017/4018</v>
      </c>
      <c r="L193" s="24" t="str">
        <f>VLOOKUP(A193,'Trips&amp;Operators'!$C$1:$E$10000,3,FALSE)</f>
        <v>HAITHCOX</v>
      </c>
      <c r="M193" s="6">
        <f>I193-F193</f>
        <v>1.1481481480586808E-2</v>
      </c>
      <c r="N193" s="7">
        <f>24*60*SUM($M193:$M193)</f>
        <v>16.533333332045004</v>
      </c>
      <c r="O193" s="7"/>
      <c r="P193" s="7"/>
      <c r="Q193" s="25"/>
      <c r="R193" s="25"/>
      <c r="S193" s="37">
        <f>SUM(U193:U193)/IF(AG193="EC",12,1)</f>
        <v>1</v>
      </c>
      <c r="T193" s="52" t="str">
        <f>IF(ISEVEN(LEFT(AD193,4)),"Southbound","NorthBound")</f>
        <v>Southbound</v>
      </c>
      <c r="U193" s="159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02" t="str">
        <f>"https://search-rtdc-monitor-bjffxe2xuh6vdkpspy63sjmuny.us-east-1.es.amazonaws.com/_plugin/kibana/#/discover/Steve-Slow-Train-Analysis-(2080s-and-2083s)?_g=(refreshInterval:(display:Off,section:0,value:0),time:(from:'"&amp;TEXT(E193-1/24,"yyyy-MM-DD hh:mm:ss")&amp;"-0600',mode:absolute,to:'"&amp;TEXT(I193+1/24,"yyyy-MM-DD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193&amp;"%22')),sort:!(Time,asc))"</f>
        <v>https://search-rtdc-monitor-bjffxe2xuh6vdkpspy63sjmuny.us-east-1.es.amazonaws.com/_plugin/kibana/#/discover/Steve-Slow-Train-Analysis-(2080s-and-2083s)?_g=(refreshInterval:(display:Off,section:0,value:0),time:(from:'2016-10-04 15:37:33-0600',mode:absolute,to:'2016-10-04 17:55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3" s="54" t="str">
        <f>IF(AA193&lt;IF(AG193="EC",23,5.65),"Y","N")</f>
        <v>N</v>
      </c>
      <c r="X193" s="164">
        <f t="shared" si="8"/>
        <v>1</v>
      </c>
      <c r="Y193" s="69">
        <f>RIGHT(D193,LEN(D193)-4)/10000</f>
        <v>5.8616999999999999</v>
      </c>
      <c r="Z193" s="69">
        <f>RIGHT(H193,LEN(H193)-4)/10000</f>
        <v>7.0800000000000002E-2</v>
      </c>
      <c r="AA193" s="69">
        <f>ABS(Z193-Y193)</f>
        <v>5.7908999999999997</v>
      </c>
      <c r="AB193" s="66" t="e">
        <f>VLOOKUP(A193,Enforcements!$C$7:$K$21,8,0)</f>
        <v>#N/A</v>
      </c>
      <c r="AC193" s="62" t="e">
        <f>VLOOKUP(A193,Enforcements!$C$7:$E$21,3,0)</f>
        <v>#N/A</v>
      </c>
      <c r="AD193" s="63" t="str">
        <f>IF(LEN(A193)=6,"0"&amp;A193,A193)</f>
        <v>0830-04</v>
      </c>
      <c r="AE193" s="9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 &amp; 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</v>
      </c>
      <c r="AF193" s="92" t="str">
        <f>astrogrep_path&amp;" /spath="&amp;search_path&amp;" /stypes=""app*"&amp;B193&amp;"*"&amp;TEXT(I193-utc_offset/24,"YYYYMMDD")&amp;"*"" /stext="" "&amp;TEXT(I193-utc_offset/24,"HH")&amp;search_regexp&amp;""" /e /r /s"</f>
        <v>"C:\Program Files (x86)\AstroGrep\AstroGrep.exe" /spath="%USERPROFILE%\AppData\Local\Temp\OnboardLogs" /stypes="app*4017*20161004*" /stext=" 22:.+((SYSTEM_STATE.+slice.+state.+changed )|(ment ac)|(system.+state.+changed )|(\[timeout)|(PRM\|1\|D)|(kpr)|(kdp)|(\|lc)|(penalty))" /e /r /s</v>
      </c>
      <c r="AG193" s="1" t="str">
        <f>IFERROR(IF(VALUE(LEFT(AD193,2))&lt;=2,"EC",IF(OR(VALUE(LEFT(AD193,2))=8,VALUE(LEFT(AD193,2))=18),"NW","Other")),"Other")</f>
        <v>NW</v>
      </c>
      <c r="AH193" s="96" t="str">
        <f t="shared" si="6"/>
        <v>"%USERPROFILE%\Documents\GitHub\eaglep3\Utilities\RefineRTDCRunTimes.py" --tripid 830-04 --locoid 4017 --swversion DE.1.0.7.0 --startMP 300:58617 --initTime 2016-10-04T16:37:33 --startdatetime 2016-10-04T16:39:24 --delay 1 --endMP 204:708 --enddatetime 2016-10-04T16:55:56 --enforcementcount 0 &gt;&gt;C:\Users\stu\Documents\GitHub\eaglep3-reporting\EC\2016-10-04-refined-times.txt</v>
      </c>
      <c r="AI193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{"issue":{"subject":"","project_id":79,"tracker_id":40,"status_id":1,"priority_id":2,"assigned_to_id":23,"start_date":"2016-10-04","description":"","custom_fields":[{"id":1,"name":"Subdivision","value":"NW"},{"id":4,"name":"Milepost","value":"0.0708"},{"id":17,"name":"Train ID","value":"830-04"},{"id":16,"name":"Locomotive ID","value":"4017"},{"id":130,"name":"Impact","value":""},{"id":150,"name":"Time of Event (Mountain Time)","value":"16:55:56"},{"id":151,"name":"Denver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5"/>
      <c r="AK193" s="55"/>
      <c r="AL193" s="55"/>
    </row>
    <row r="194" spans="1:38" s="23" customFormat="1" x14ac:dyDescent="0.25">
      <c r="A194" s="39" t="s">
        <v>525</v>
      </c>
      <c r="B194" s="7">
        <v>4003</v>
      </c>
      <c r="C194" s="24" t="s">
        <v>106</v>
      </c>
      <c r="D194" s="24" t="s">
        <v>763</v>
      </c>
      <c r="E194" s="15">
        <v>42647.695300925923</v>
      </c>
      <c r="F194" s="15">
        <v>42647.702303240738</v>
      </c>
      <c r="G194" s="7">
        <v>1</v>
      </c>
      <c r="H194" s="15" t="s">
        <v>764</v>
      </c>
      <c r="I194" s="15">
        <v>42647.713078703702</v>
      </c>
      <c r="J194" s="7">
        <v>0</v>
      </c>
      <c r="K194" s="117" t="str">
        <f>IF(ISEVEN(B194),(B194-1)&amp;"/"&amp;B194,B194&amp;"/"&amp;(B194+1))</f>
        <v>4003/4004</v>
      </c>
      <c r="L194" s="24" t="str">
        <f>VLOOKUP(A194,'Trips&amp;Operators'!$C$1:$E$10000,3,FALSE)</f>
        <v>STURGEON</v>
      </c>
      <c r="M194" s="6">
        <f>I194-F194</f>
        <v>1.0775462964375038E-2</v>
      </c>
      <c r="N194" s="7">
        <f>24*60*SUM($M194:$M194)</f>
        <v>15.516666668700054</v>
      </c>
      <c r="O194" s="7"/>
      <c r="P194" s="7"/>
      <c r="Q194" s="25"/>
      <c r="R194" s="25"/>
      <c r="S194" s="37">
        <f>SUM(U194:U194)/IF(AG194="EC",12,1)</f>
        <v>1</v>
      </c>
      <c r="T194" s="52" t="str">
        <f>IF(ISEVEN(LEFT(AD194,4)),"Southbound","NorthBound")</f>
        <v>NorthBound</v>
      </c>
      <c r="U194" s="159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02" t="str">
        <f>"https://search-rtdc-monitor-bjffxe2xuh6vdkpspy63sjmuny.us-east-1.es.amazonaws.com/_plugin/kibana/#/discover/Steve-Slow-Train-Analysis-(2080s-and-2083s)?_g=(refreshInterval:(display:Off,section:0,value:0),time:(from:'"&amp;TEXT(E194-1/24,"yyyy-MM-DD hh:mm:ss")&amp;"-0600',mode:absolute,to:'"&amp;TEXT(I194+1/24,"yyyy-MM-DD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194&amp;"%22')),sort:!(Time,asc))"</f>
        <v>https://search-rtdc-monitor-bjffxe2xuh6vdkpspy63sjmuny.us-east-1.es.amazonaws.com/_plugin/kibana/#/discover/Steve-Slow-Train-Analysis-(2080s-and-2083s)?_g=(refreshInterval:(display:Off,section:0,value:0),time:(from:'2016-10-04 15:41:14-0600',mode:absolute,to:'2016-10-04 18:06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4" s="54" t="str">
        <f>IF(AA194&lt;IF(AG194="EC",23,5.65),"Y","N")</f>
        <v>N</v>
      </c>
      <c r="X194" s="164">
        <f t="shared" si="8"/>
        <v>1</v>
      </c>
      <c r="Y194" s="69">
        <f>RIGHT(D194,LEN(D194)-4)/10000</f>
        <v>0.1002</v>
      </c>
      <c r="Z194" s="69">
        <f>RIGHT(H194,LEN(H194)-4)/10000</f>
        <v>5.8912000000000004</v>
      </c>
      <c r="AA194" s="69">
        <f>ABS(Z194-Y194)</f>
        <v>5.7910000000000004</v>
      </c>
      <c r="AB194" s="66" t="e">
        <f>VLOOKUP(A194,Enforcements!$C$7:$K$21,8,0)</f>
        <v>#N/A</v>
      </c>
      <c r="AC194" s="62" t="e">
        <f>VLOOKUP(A194,Enforcements!$C$7:$E$21,3,0)</f>
        <v>#N/A</v>
      </c>
      <c r="AD194" s="63" t="str">
        <f>IF(LEN(A194)=6,"0"&amp;A194,A194)</f>
        <v>0831-04</v>
      </c>
      <c r="AE194" s="9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s3://rtdc.mdm.uploadarchive.raw/RTDC4003/ "%USERPROFILE%\AppData\Local\Temp\OnboardLogs"\RTDC4003\2016-10-04 --exclude "*" --recursive --include "*20161004*" &amp; "%USERPROFILE%\Documents\GitHub\mrs-test-scripts\Headless Mode &amp; Sideloading\WalkAndUnGZ.bat" "%USERPROFILE%\AppData\Local\Temp\OnboardLogs"\RTDC4003\2016-10-04 &amp; aws s3 cp s3://rtdc.mdm.uploadarchive.raw/RTDC4003/ "%USERPROFILE%\AppData\Local\Temp\OnboardLogs"\RTDC4003\2016-10-05 --exclude "*" --recursive --include "*20161005*" &amp; "%USERPROFILE%\Documents\GitHub\mrs-test-scripts\Headless Mode &amp; Sideloading\WalkAndUnGZ.bat" "%USERPROFILE%\AppData\Local\Temp\OnboardLogs"\RTDC4003\2016-10-05</v>
      </c>
      <c r="AF194" s="92" t="str">
        <f>astrogrep_path&amp;" /spath="&amp;search_path&amp;" /stypes=""app*"&amp;B194&amp;"*"&amp;TEXT(I194-utc_offset/24,"YYYYMMDD")&amp;"*"" /stext="" "&amp;TEXT(I194-utc_offset/24,"HH")&amp;search_regexp&amp;""" /e /r /s"</f>
        <v>"C:\Program Files (x86)\AstroGrep\AstroGrep.exe" /spath="%USERPROFILE%\AppData\Local\Temp\OnboardLogs" /stypes="app*4003*20161004*" /stext=" 23:.+((SYSTEM_STATE.+slice.+state.+changed )|(ment ac)|(system.+state.+changed )|(\[timeout)|(PRM\|1\|D)|(kpr)|(kdp)|(\|lc)|(penalty))" /e /r /s</v>
      </c>
      <c r="AG194" s="1" t="str">
        <f>IFERROR(IF(VALUE(LEFT(AD194,2))&lt;=2,"EC",IF(OR(VALUE(LEFT(AD194,2))=8,VALUE(LEFT(AD194,2))=18),"NW","Other")),"Other")</f>
        <v>NW</v>
      </c>
      <c r="AH194" s="96" t="str">
        <f t="shared" si="6"/>
        <v>"%USERPROFILE%\Documents\GitHub\eaglep3\Utilities\RefineRTDCRunTimes.py" --tripid 831-04 --locoid 4003 --swversion DE.1.0.7.0 --startMP 204:1002 --initTime 2016-10-04T16:41:14 --startdatetime 2016-10-04T16:51:19 --delay 1 --endMP 300:58912 --enddatetime 2016-10-04T17:06:50 --enforcementcount 0 &gt;&gt;C:\Users\stu\Documents\GitHub\eaglep3-reporting\EC\2016-10-04-refined-times.txt</v>
      </c>
      <c r="AI194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{"issue":{"subject":"","project_id":79,"tracker_id":40,"status_id":1,"priority_id":2,"assigned_to_id":23,"start_date":"2016-10-04","description":"","custom_fields":[{"id":1,"name":"Subdivision","value":"NW"},{"id":4,"name":"Milepost","value":"5.8912"},{"id":17,"name":"Train ID","value":"831-04"},{"id":16,"name":"Locomotive ID","value":"4003"},{"id":130,"name":"Impact","value":""},{"id":150,"name":"Time of Event (Mountain Time)","value":"17:06:50"},{"id":151,"name":"Denver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5"/>
      <c r="AK194" s="55"/>
      <c r="AL194" s="55"/>
    </row>
    <row r="195" spans="1:38" s="23" customFormat="1" x14ac:dyDescent="0.25">
      <c r="A195" s="39" t="s">
        <v>530</v>
      </c>
      <c r="B195" s="7">
        <v>4004</v>
      </c>
      <c r="C195" s="24" t="s">
        <v>106</v>
      </c>
      <c r="D195" s="24" t="s">
        <v>765</v>
      </c>
      <c r="E195" s="15">
        <v>42647.714432870373</v>
      </c>
      <c r="F195" s="15">
        <v>42647.716747685183</v>
      </c>
      <c r="G195" s="7">
        <v>2</v>
      </c>
      <c r="H195" s="15" t="s">
        <v>604</v>
      </c>
      <c r="I195" s="15">
        <v>42647.729004629633</v>
      </c>
      <c r="J195" s="7">
        <v>0</v>
      </c>
      <c r="K195" s="117" t="str">
        <f>IF(ISEVEN(B195),(B195-1)&amp;"/"&amp;B195,B195&amp;"/"&amp;(B195+1))</f>
        <v>4003/4004</v>
      </c>
      <c r="L195" s="24" t="str">
        <f>VLOOKUP(A195,'Trips&amp;Operators'!$C$1:$E$10000,3,FALSE)</f>
        <v>STURGEON</v>
      </c>
      <c r="M195" s="6">
        <f>I195-F195</f>
        <v>1.2256944450200535E-2</v>
      </c>
      <c r="N195" s="7">
        <f>24*60*SUM($M195:$M195)</f>
        <v>17.650000008288771</v>
      </c>
      <c r="O195" s="7"/>
      <c r="P195" s="7"/>
      <c r="Q195" s="25"/>
      <c r="R195" s="25"/>
      <c r="S195" s="37">
        <f>SUM(U195:U195)/IF(AG195="EC",12,1)</f>
        <v>1</v>
      </c>
      <c r="T195" s="52" t="str">
        <f>IF(ISEVEN(LEFT(AD195,4)),"Southbound","NorthBound")</f>
        <v>Southbound</v>
      </c>
      <c r="U195" s="159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02" t="str">
        <f>"https://search-rtdc-monitor-bjffxe2xuh6vdkpspy63sjmuny.us-east-1.es.amazonaws.com/_plugin/kibana/#/discover/Steve-Slow-Train-Analysis-(2080s-and-2083s)?_g=(refreshInterval:(display:Off,section:0,value:0),time:(from:'"&amp;TEXT(E195-1/24,"yyyy-MM-DD hh:mm:ss")&amp;"-0600',mode:absolute,to:'"&amp;TEXT(I195+1/24,"yyyy-MM-DD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195&amp;"%22')),sort:!(Time,asc))"</f>
        <v>https://search-rtdc-monitor-bjffxe2xuh6vdkpspy63sjmuny.us-east-1.es.amazonaws.com/_plugin/kibana/#/discover/Steve-Slow-Train-Analysis-(2080s-and-2083s)?_g=(refreshInterval:(display:Off,section:0,value:0),time:(from:'2016-10-04 16:08:47-0600',mode:absolute,to:'2016-10-04 18:29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5" s="54" t="str">
        <f>IF(AA195&lt;IF(AG195="EC",23,5.65),"Y","N")</f>
        <v>N</v>
      </c>
      <c r="X195" s="164">
        <f>VALUE(LEFT(AD195,4))-VALUE(LEFT(AD194,4))</f>
        <v>1</v>
      </c>
      <c r="Y195" s="69">
        <f>RIGHT(D195,LEN(D195)-4)/10000</f>
        <v>5.8593999999999999</v>
      </c>
      <c r="Z195" s="69">
        <f>RIGHT(H195,LEN(H195)-4)/10000</f>
        <v>7.1199999999999999E-2</v>
      </c>
      <c r="AA195" s="69">
        <f>ABS(Z195-Y195)</f>
        <v>5.7881999999999998</v>
      </c>
      <c r="AB195" s="66" t="e">
        <f>VLOOKUP(A195,Enforcements!$C$7:$K$21,8,0)</f>
        <v>#N/A</v>
      </c>
      <c r="AC195" s="62" t="e">
        <f>VLOOKUP(A195,Enforcements!$C$7:$E$21,3,0)</f>
        <v>#N/A</v>
      </c>
      <c r="AD195" s="63" t="str">
        <f>IF(LEN(A195)=6,"0"&amp;A195,A195)</f>
        <v>0832-04</v>
      </c>
      <c r="AE195" s="9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s3://rtdc.mdm.uploadarchive.raw/RTDC4004/ "%USERPROFILE%\AppData\Local\Temp\OnboardLogs"\RTDC4004\2016-10-04 --exclude "*" --recursive --include "*20161004*" &amp; "%USERPROFILE%\Documents\GitHub\mrs-test-scripts\Headless Mode &amp; Sideloading\WalkAndUnGZ.bat" "%USERPROFILE%\AppData\Local\Temp\OnboardLogs"\RTDC4004\2016-10-04 &amp; aws s3 cp s3://rtdc.mdm.uploadarchive.raw/RTDC4004/ "%USERPROFILE%\AppData\Local\Temp\OnboardLogs"\RTDC4004\2016-10-05 --exclude "*" --recursive --include "*20161005*" &amp; "%USERPROFILE%\Documents\GitHub\mrs-test-scripts\Headless Mode &amp; Sideloading\WalkAndUnGZ.bat" "%USERPROFILE%\AppData\Local\Temp\OnboardLogs"\RTDC4004\2016-10-05</v>
      </c>
      <c r="AF195" s="92" t="str">
        <f>astrogrep_path&amp;" /spath="&amp;search_path&amp;" /stypes=""app*"&amp;B195&amp;"*"&amp;TEXT(I195-utc_offset/24,"YYYYMMDD")&amp;"*"" /stext="" "&amp;TEXT(I195-utc_offset/24,"HH")&amp;search_regexp&amp;""" /e /r /s"</f>
        <v>"C:\Program Files (x86)\AstroGrep\AstroGrep.exe" /spath="%USERPROFILE%\AppData\Local\Temp\OnboardLogs" /stypes="app*4004*20161004*" /stext=" 23:.+((SYSTEM_STATE.+slice.+state.+changed )|(ment ac)|(system.+state.+changed )|(\[timeout)|(PRM\|1\|D)|(kpr)|(kdp)|(\|lc)|(penalty))" /e /r /s</v>
      </c>
      <c r="AG195" s="1" t="str">
        <f>IFERROR(IF(VALUE(LEFT(AD195,2))&lt;=2,"EC",IF(OR(VALUE(LEFT(AD195,2))=8,VALUE(LEFT(AD195,2))=18),"NW","Other")),"Other")</f>
        <v>NW</v>
      </c>
      <c r="AH195" s="96" t="str">
        <f t="shared" si="6"/>
        <v>"%USERPROFILE%\Documents\GitHub\eaglep3\Utilities\RefineRTDCRunTimes.py" --tripid 832-04 --locoid 4004 --swversion DE.1.0.7.0 --startMP 300:58594 --initTime 2016-10-04T17:08:47 --startdatetime 2016-10-04T17:12:07 --delay 2 --endMP 204:712 --enddatetime 2016-10-04T17:29:46 --enforcementcount 0 &gt;&gt;C:\Users\stu\Documents\GitHub\eaglep3-reporting\EC\2016-10-04-refined-times.txt</v>
      </c>
      <c r="AI195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{"issue":{"subject":"","project_id":79,"tracker_id":40,"status_id":1,"priority_id":2,"assigned_to_id":23,"start_date":"2016-10-04","description":"","custom_fields":[{"id":1,"name":"Subdivision","value":"NW"},{"id":4,"name":"Milepost","value":"0.0712"},{"id":17,"name":"Train ID","value":"832-04"},{"id":16,"name":"Locomotive ID","value":"4004"},{"id":130,"name":"Impact","value":""},{"id":150,"name":"Time of Event (Mountain Time)","value":"17:29:46"},{"id":151,"name":"Denver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5"/>
      <c r="AK195" s="55"/>
      <c r="AL195" s="55"/>
    </row>
    <row r="196" spans="1:38" s="23" customFormat="1" x14ac:dyDescent="0.25">
      <c r="A196" s="39" t="s">
        <v>531</v>
      </c>
      <c r="B196" s="7">
        <v>4018</v>
      </c>
      <c r="C196" s="24" t="s">
        <v>106</v>
      </c>
      <c r="D196" s="24" t="s">
        <v>766</v>
      </c>
      <c r="E196" s="15">
        <v>42647.71769675926</v>
      </c>
      <c r="F196" s="15">
        <v>42647.723263888889</v>
      </c>
      <c r="G196" s="7">
        <v>1</v>
      </c>
      <c r="H196" s="15" t="s">
        <v>740</v>
      </c>
      <c r="I196" s="15">
        <v>42647.73337962963</v>
      </c>
      <c r="J196" s="7">
        <v>0</v>
      </c>
      <c r="K196" s="117" t="str">
        <f>IF(ISEVEN(B196),(B196-1)&amp;"/"&amp;B196,B196&amp;"/"&amp;(B196+1))</f>
        <v>4017/4018</v>
      </c>
      <c r="L196" s="24" t="str">
        <f>VLOOKUP(A196,'Trips&amp;Operators'!$C$1:$E$10000,3,FALSE)</f>
        <v>HAITHCOX</v>
      </c>
      <c r="M196" s="6">
        <f>I196-F196</f>
        <v>1.0115740740729962E-2</v>
      </c>
      <c r="N196" s="7">
        <f>24*60*SUM($M196:$M196)</f>
        <v>14.566666666651145</v>
      </c>
      <c r="O196" s="7"/>
      <c r="P196" s="7"/>
      <c r="Q196" s="25"/>
      <c r="R196" s="25"/>
      <c r="S196" s="37">
        <f>SUM(U196:U196)/IF(AG196="EC",12,1)</f>
        <v>1</v>
      </c>
      <c r="T196" s="52" t="str">
        <f>IF(ISEVEN(LEFT(AD196,4)),"Southbound","NorthBound")</f>
        <v>NorthBound</v>
      </c>
      <c r="U196" s="159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02" t="str">
        <f>"https://search-rtdc-monitor-bjffxe2xuh6vdkpspy63sjmuny.us-east-1.es.amazonaws.com/_plugin/kibana/#/discover/Steve-Slow-Train-Analysis-(2080s-and-2083s)?_g=(refreshInterval:(display:Off,section:0,value:0),time:(from:'"&amp;TEXT(E196-1/24,"yyyy-MM-DD hh:mm:ss")&amp;"-0600',mode:absolute,to:'"&amp;TEXT(I196+1/24,"yyyy-MM-DD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196&amp;"%22')),sort:!(Time,asc))"</f>
        <v>https://search-rtdc-monitor-bjffxe2xuh6vdkpspy63sjmuny.us-east-1.es.amazonaws.com/_plugin/kibana/#/discover/Steve-Slow-Train-Analysis-(2080s-and-2083s)?_g=(refreshInterval:(display:Off,section:0,value:0),time:(from:'2016-10-04 16:13:29-0600',mode:absolute,to:'2016-10-04 18:36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6" s="54" t="str">
        <f>IF(AA196&lt;IF(AG196="EC",23,5.65),"Y","N")</f>
        <v>N</v>
      </c>
      <c r="X196" s="164">
        <f>VALUE(LEFT(AD196,4))-VALUE(LEFT(AD195,4))</f>
        <v>1</v>
      </c>
      <c r="Y196" s="69">
        <f>RIGHT(D196,LEN(D196)-4)/10000</f>
        <v>9.8500000000000004E-2</v>
      </c>
      <c r="Z196" s="69">
        <f>RIGHT(H196,LEN(H196)-4)/10000</f>
        <v>5.8917999999999999</v>
      </c>
      <c r="AA196" s="69">
        <f>ABS(Z196-Y196)</f>
        <v>5.7933000000000003</v>
      </c>
      <c r="AB196" s="66" t="e">
        <f>VLOOKUP(A196,Enforcements!$C$7:$K$21,8,0)</f>
        <v>#N/A</v>
      </c>
      <c r="AC196" s="62" t="e">
        <f>VLOOKUP(A196,Enforcements!$C$7:$E$21,3,0)</f>
        <v>#N/A</v>
      </c>
      <c r="AD196" s="63" t="str">
        <f>IF(LEN(A196)=6,"0"&amp;A196,A196)</f>
        <v>0833-04</v>
      </c>
      <c r="AE196" s="9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s3://rtdc.mdm.uploadarchive.raw/RTDC4018/ "%USERPROFILE%\AppData\Local\Temp\OnboardLogs"\RTDC4018\2016-10-04 --exclude "*" --recursive --include "*20161004*" &amp; "%USERPROFILE%\Documents\GitHub\mrs-test-scripts\Headless Mode &amp; Sideloading\WalkAndUnGZ.bat" "%USERPROFILE%\AppData\Local\Temp\OnboardLogs"\RTDC4018\2016-10-04 &amp; aws s3 cp s3://rtdc.mdm.uploadarchive.raw/RTDC4018/ "%USERPROFILE%\AppData\Local\Temp\OnboardLogs"\RTDC4018\2016-10-05 --exclude "*" --recursive --include "*20161005*" &amp; "%USERPROFILE%\Documents\GitHub\mrs-test-scripts\Headless Mode &amp; Sideloading\WalkAndUnGZ.bat" "%USERPROFILE%\AppData\Local\Temp\OnboardLogs"\RTDC4018\2016-10-05</v>
      </c>
      <c r="AF196" s="92" t="str">
        <f>astrogrep_path&amp;" /spath="&amp;search_path&amp;" /stypes=""app*"&amp;B196&amp;"*"&amp;TEXT(I196-utc_offset/24,"YYYYMMDD")&amp;"*"" /stext="" "&amp;TEXT(I196-utc_offset/24,"HH")&amp;search_regexp&amp;""" /e /r /s"</f>
        <v>"C:\Program Files (x86)\AstroGrep\AstroGrep.exe" /spath="%USERPROFILE%\AppData\Local\Temp\OnboardLogs" /stypes="app*4018*20161004*" /stext=" 23:.+((SYSTEM_STATE.+slice.+state.+changed )|(ment ac)|(system.+state.+changed )|(\[timeout)|(PRM\|1\|D)|(kpr)|(kdp)|(\|lc)|(penalty))" /e /r /s</v>
      </c>
      <c r="AG196" s="1" t="str">
        <f>IFERROR(IF(VALUE(LEFT(AD196,2))&lt;=2,"EC",IF(OR(VALUE(LEFT(AD196,2))=8,VALUE(LEFT(AD196,2))=18),"NW","Other")),"Other")</f>
        <v>NW</v>
      </c>
      <c r="AH196" s="96" t="str">
        <f t="shared" si="6"/>
        <v>"%USERPROFILE%\Documents\GitHub\eaglep3\Utilities\RefineRTDCRunTimes.py" --tripid 833-04 --locoid 4018 --swversion DE.1.0.7.0 --startMP 204:985 --initTime 2016-10-04T17:13:29 --startdatetime 2016-10-04T17:21:30 --delay 1 --endMP 300:58918 --enddatetime 2016-10-04T17:36:04 --enforcementcount 0 &gt;&gt;C:\Users\stu\Documents\GitHub\eaglep3-reporting\EC\2016-10-04-refined-times.txt</v>
      </c>
      <c r="AI196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{"issue":{"subject":"","project_id":79,"tracker_id":40,"status_id":1,"priority_id":2,"assigned_to_id":23,"start_date":"2016-10-04","description":"","custom_fields":[{"id":1,"name":"Subdivision","value":"NW"},{"id":4,"name":"Milepost","value":"5.8918"},{"id":17,"name":"Train ID","value":"833-04"},{"id":16,"name":"Locomotive ID","value":"4018"},{"id":130,"name":"Impact","value":""},{"id":150,"name":"Time of Event (Mountain Time)","value":"17:36:04"},{"id":151,"name":"Denver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5"/>
      <c r="AK196" s="55"/>
      <c r="AL196" s="55"/>
    </row>
    <row r="197" spans="1:38" s="23" customFormat="1" x14ac:dyDescent="0.25">
      <c r="A197" s="39" t="s">
        <v>538</v>
      </c>
      <c r="B197" s="7">
        <v>4017</v>
      </c>
      <c r="C197" s="24" t="s">
        <v>106</v>
      </c>
      <c r="D197" s="24" t="s">
        <v>767</v>
      </c>
      <c r="E197" s="15">
        <v>42647.734305555554</v>
      </c>
      <c r="F197" s="15">
        <v>42647.735486111109</v>
      </c>
      <c r="G197" s="7">
        <v>1</v>
      </c>
      <c r="H197" s="15" t="s">
        <v>768</v>
      </c>
      <c r="I197" s="15">
        <v>42647.747210648151</v>
      </c>
      <c r="J197" s="7">
        <v>0</v>
      </c>
      <c r="K197" s="117" t="str">
        <f>IF(ISEVEN(B197),(B197-1)&amp;"/"&amp;B197,B197&amp;"/"&amp;(B197+1))</f>
        <v>4017/4018</v>
      </c>
      <c r="L197" s="24" t="str">
        <f>VLOOKUP(A197,'Trips&amp;Operators'!$C$1:$E$10000,3,FALSE)</f>
        <v>HAITHCOX</v>
      </c>
      <c r="M197" s="6">
        <f>I197-F197</f>
        <v>1.1724537042027805E-2</v>
      </c>
      <c r="N197" s="7">
        <f>24*60*SUM($M197:$M197)</f>
        <v>16.883333340520039</v>
      </c>
      <c r="O197" s="7"/>
      <c r="P197" s="7"/>
      <c r="Q197" s="25"/>
      <c r="R197" s="25"/>
      <c r="S197" s="37">
        <f>SUM(U197:U197)/IF(AG197="EC",12,1)</f>
        <v>1</v>
      </c>
      <c r="T197" s="52" t="str">
        <f>IF(ISEVEN(LEFT(AD197,4)),"Southbound","NorthBound")</f>
        <v>Southbound</v>
      </c>
      <c r="U197" s="159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02" t="str">
        <f>"https://search-rtdc-monitor-bjffxe2xuh6vdkpspy63sjmuny.us-east-1.es.amazonaws.com/_plugin/kibana/#/discover/Steve-Slow-Train-Analysis-(2080s-and-2083s)?_g=(refreshInterval:(display:Off,section:0,value:0),time:(from:'"&amp;TEXT(E197-1/24,"yyyy-MM-DD hh:mm:ss")&amp;"-0600',mode:absolute,to:'"&amp;TEXT(I197+1/24,"yyyy-MM-DD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197&amp;"%22')),sort:!(Time,asc))"</f>
        <v>https://search-rtdc-monitor-bjffxe2xuh6vdkpspy63sjmuny.us-east-1.es.amazonaws.com/_plugin/kibana/#/discover/Steve-Slow-Train-Analysis-(2080s-and-2083s)?_g=(refreshInterval:(display:Off,section:0,value:0),time:(from:'2016-10-04 16:37:24-0600',mode:absolute,to:'2016-10-04 18:55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97" s="54" t="str">
        <f>IF(AA197&lt;IF(AG197="EC",23,5.65),"Y","N")</f>
        <v>N</v>
      </c>
      <c r="X197" s="164">
        <f>VALUE(LEFT(AD197,4))-VALUE(LEFT(AD196,4))</f>
        <v>1</v>
      </c>
      <c r="Y197" s="69">
        <f>RIGHT(D197,LEN(D197)-4)/10000</f>
        <v>5.8597999999999999</v>
      </c>
      <c r="Z197" s="69">
        <f>RIGHT(H197,LEN(H197)-4)/10000</f>
        <v>6.8500000000000005E-2</v>
      </c>
      <c r="AA197" s="69">
        <f>ABS(Z197-Y197)</f>
        <v>5.7912999999999997</v>
      </c>
      <c r="AB197" s="66" t="e">
        <f>VLOOKUP(A197,Enforcements!$C$7:$K$21,8,0)</f>
        <v>#N/A</v>
      </c>
      <c r="AC197" s="62" t="e">
        <f>VLOOKUP(A197,Enforcements!$C$7:$E$21,3,0)</f>
        <v>#N/A</v>
      </c>
      <c r="AD197" s="63" t="str">
        <f>IF(LEN(A197)=6,"0"&amp;A197,A197)</f>
        <v>0834-04</v>
      </c>
      <c r="AE197" s="9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 &amp; 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</v>
      </c>
      <c r="AF197" s="92" t="str">
        <f>astrogrep_path&amp;" /spath="&amp;search_path&amp;" /stypes=""app*"&amp;B197&amp;"*"&amp;TEXT(I197-utc_offset/24,"YYYYMMDD")&amp;"*"" /stext="" "&amp;TEXT(I197-utc_offset/24,"HH")&amp;search_regexp&amp;""" /e /r /s"</f>
        <v>"C:\Program Files (x86)\AstroGrep\AstroGrep.exe" /spath="%USERPROFILE%\AppData\Local\Temp\OnboardLogs" /stypes="app*4017*20161004*" /stext=" 23:.+((SYSTEM_STATE.+slice.+state.+changed )|(ment ac)|(system.+state.+changed )|(\[timeout)|(PRM\|1\|D)|(kpr)|(kdp)|(\|lc)|(penalty))" /e /r /s</v>
      </c>
      <c r="AG197" s="1" t="str">
        <f>IFERROR(IF(VALUE(LEFT(AD197,2))&lt;=2,"EC",IF(OR(VALUE(LEFT(AD197,2))=8,VALUE(LEFT(AD197,2))=18),"NW","Other")),"Other")</f>
        <v>NW</v>
      </c>
      <c r="AH197" s="96" t="str">
        <f t="shared" si="6"/>
        <v>"%USERPROFILE%\Documents\GitHub\eaglep3\Utilities\RefineRTDCRunTimes.py" --tripid 834-04 --locoid 4017 --swversion DE.1.0.7.0 --startMP 300:58598 --initTime 2016-10-04T17:37:24 --startdatetime 2016-10-04T17:39:06 --delay 1 --endMP 204:685 --enddatetime 2016-10-04T17:55:59 --enforcementcount 0 &gt;&gt;C:\Users\stu\Documents\GitHub\eaglep3-reporting\EC\2016-10-04-refined-times.txt</v>
      </c>
      <c r="AI197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{"issue":{"subject":"","project_id":79,"tracker_id":40,"status_id":1,"priority_id":2,"assigned_to_id":23,"start_date":"2016-10-04","description":"","custom_fields":[{"id":1,"name":"Subdivision","value":"NW"},{"id":4,"name":"Milepost","value":"0.0685"},{"id":17,"name":"Train ID","value":"834-04"},{"id":16,"name":"Locomotive ID","value":"4017"},{"id":130,"name":"Impact","value":""},{"id":150,"name":"Time of Event (Mountain Time)","value":"17:55:59"},{"id":151,"name":"Denver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5"/>
      <c r="AK197" s="55"/>
      <c r="AL197" s="55"/>
    </row>
    <row r="198" spans="1:38" x14ac:dyDescent="0.25">
      <c r="A198" s="39" t="s">
        <v>536</v>
      </c>
      <c r="B198" s="7">
        <v>4003</v>
      </c>
      <c r="C198" s="24" t="s">
        <v>106</v>
      </c>
      <c r="D198" s="24" t="s">
        <v>341</v>
      </c>
      <c r="E198" s="15">
        <v>42647.731342592589</v>
      </c>
      <c r="F198" s="15">
        <v>42647.743981481479</v>
      </c>
      <c r="G198" s="7">
        <v>3</v>
      </c>
      <c r="H198" s="15" t="s">
        <v>740</v>
      </c>
      <c r="I198" s="15">
        <v>42647.755046296297</v>
      </c>
      <c r="J198" s="7">
        <v>0</v>
      </c>
      <c r="K198" s="117" t="str">
        <f>IF(ISEVEN(B198),(B198-1)&amp;"/"&amp;B198,B198&amp;"/"&amp;(B198+1))</f>
        <v>4003/4004</v>
      </c>
      <c r="L198" s="24" t="str">
        <f>VLOOKUP(A198,'Trips&amp;Operators'!$C$1:$E$10000,3,FALSE)</f>
        <v>STURGEON</v>
      </c>
      <c r="M198" s="6">
        <f>I198-F198</f>
        <v>1.1064814818382729E-2</v>
      </c>
      <c r="N198" s="7">
        <f>24*60*SUM($M198:$M198)</f>
        <v>15.93333333847113</v>
      </c>
      <c r="O198" s="7"/>
      <c r="P198" s="7"/>
      <c r="Q198" s="25"/>
      <c r="R198" s="25"/>
      <c r="S198" s="37">
        <f>SUM(U198:U198)/IF(AG198="EC",12,1)</f>
        <v>1</v>
      </c>
      <c r="T198" s="52" t="str">
        <f>IF(ISEVEN(LEFT(AD198,4)),"Southbound","NorthBound")</f>
        <v>NorthBound</v>
      </c>
      <c r="U198" s="159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02" t="str">
        <f>"https://search-rtdc-monitor-bjffxe2xuh6vdkpspy63sjmuny.us-east-1.es.amazonaws.com/_plugin/kibana/#/discover/Steve-Slow-Train-Analysis-(2080s-and-2083s)?_g=(refreshInterval:(display:Off,section:0,value:0),time:(from:'"&amp;TEXT(E198-1/24,"yyyy-MM-DD hh:mm:ss")&amp;"-0600',mode:absolute,to:'"&amp;TEXT(I198+1/24,"yyyy-MM-DD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198&amp;"%22')),sort:!(Time,asc))"</f>
        <v>https://search-rtdc-monitor-bjffxe2xuh6vdkpspy63sjmuny.us-east-1.es.amazonaws.com/_plugin/kibana/#/discover/Steve-Slow-Train-Analysis-(2080s-and-2083s)?_g=(refreshInterval:(display:Off,section:0,value:0),time:(from:'2016-10-04 16:33:08-0600',mode:absolute,to:'2016-10-04 19:07:16-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198" s="54" t="str">
        <f>IF(AA198&lt;IF(AG198="EC",23,5.65),"Y","N")</f>
        <v>N</v>
      </c>
      <c r="X198" s="164">
        <f>VALUE(LEFT(AD198,4))-VALUE(LEFT(AD197,4))</f>
        <v>1</v>
      </c>
      <c r="Y198" s="69">
        <f>RIGHT(D198,LEN(D198)-4)/10000</f>
        <v>9.9299999999999999E-2</v>
      </c>
      <c r="Z198" s="69">
        <f>RIGHT(H198,LEN(H198)-4)/10000</f>
        <v>5.8917999999999999</v>
      </c>
      <c r="AA198" s="69">
        <f>ABS(Z198-Y198)</f>
        <v>5.7924999999999995</v>
      </c>
      <c r="AB198" s="66" t="e">
        <f>VLOOKUP(A198,Enforcements!$C$7:$K$21,8,0)</f>
        <v>#N/A</v>
      </c>
      <c r="AC198" s="62" t="e">
        <f>VLOOKUP(A198,Enforcements!$C$7:$E$21,3,0)</f>
        <v>#N/A</v>
      </c>
      <c r="AD198" s="63" t="str">
        <f>IF(LEN(A198)=6,"0"&amp;A198,A198)</f>
        <v>0835-04</v>
      </c>
      <c r="AE198" s="9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s3://rtdc.mdm.uploadarchive.raw/RTDC4003/ "%USERPROFILE%\AppData\Local\Temp\OnboardLogs"\RTDC4003\2016-10-04 --exclude "*" --recursive --include "*20161004*" &amp; "%USERPROFILE%\Documents\GitHub\mrs-test-scripts\Headless Mode &amp; Sideloading\WalkAndUnGZ.bat" "%USERPROFILE%\AppData\Local\Temp\OnboardLogs"\RTDC4003\2016-10-04 &amp; aws s3 cp s3://rtdc.mdm.uploadarchive.raw/RTDC4003/ "%USERPROFILE%\AppData\Local\Temp\OnboardLogs"\RTDC4003\2016-10-05 --exclude "*" --recursive --include "*20161005*" &amp; "%USERPROFILE%\Documents\GitHub\mrs-test-scripts\Headless Mode &amp; Sideloading\WalkAndUnGZ.bat" "%USERPROFILE%\AppData\Local\Temp\OnboardLogs"\RTDC4003\2016-10-05</v>
      </c>
      <c r="AF198" s="92" t="str">
        <f>astrogrep_path&amp;" /spath="&amp;search_path&amp;" /stypes=""app*"&amp;B198&amp;"*"&amp;TEXT(I198-utc_offset/24,"YYYYMMDD")&amp;"*"" /stext="" "&amp;TEXT(I198-utc_offset/24,"HH")&amp;search_regexp&amp;""" /e /r /s"</f>
        <v>"C:\Program Files (x86)\AstroGrep\AstroGrep.exe" /spath="%USERPROFILE%\AppData\Local\Temp\OnboardLogs" /stypes="app*4003*20161005*" /stext=" 00:.+((SYSTEM_STATE.+slice.+state.+changed )|(ment ac)|(system.+state.+changed )|(\[timeout)|(PRM\|1\|D)|(kpr)|(kdp)|(\|lc)|(penalty))" /e /r /s</v>
      </c>
      <c r="AG198" s="1" t="str">
        <f>IFERROR(IF(VALUE(LEFT(AD198,2))&lt;=2,"EC",IF(OR(VALUE(LEFT(AD198,2))=8,VALUE(LEFT(AD198,2))=18),"NW","Other")),"Other")</f>
        <v>NW</v>
      </c>
      <c r="AH198" s="96" t="str">
        <f t="shared" si="6"/>
        <v>"%USERPROFILE%\Documents\GitHub\eaglep3\Utilities\RefineRTDCRunTimes.py" --tripid 835-04 --locoid 4003 --swversion DE.1.0.7.0 --startMP 204:993 --initTime 2016-10-04T17:33:08 --startdatetime 2016-10-04T17:51:20 --delay 3 --endMP 300:58918 --enddatetime 2016-10-04T18:07:16 --enforcementcount 0 &gt;&gt;C:\Users\stu\Documents\GitHub\eaglep3-reporting\EC\2016-10-04-refined-times.txt</v>
      </c>
      <c r="AI198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{"issue":{"subject":"","project_id":79,"tracker_id":40,"status_id":1,"priority_id":2,"assigned_to_id":23,"start_date":"2016-10-04","description":"","custom_fields":[{"id":1,"name":"Subdivision","value":"NW"},{"id":4,"name":"Milepost","value":"5.8918"},{"id":17,"name":"Train ID","value":"835-04"},{"id":16,"name":"Locomotive ID","value":"4003"},{"id":130,"name":"Impact","value":""},{"id":150,"name":"Time of Event (Mountain Time)","value":"18:07:16"},{"id":151,"name":"Denver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5"/>
      <c r="AK198" s="55"/>
      <c r="AL198" s="55"/>
    </row>
    <row r="199" spans="1:38" x14ac:dyDescent="0.25">
      <c r="A199" s="39" t="s">
        <v>547</v>
      </c>
      <c r="B199" s="7">
        <v>4004</v>
      </c>
      <c r="C199" s="24" t="s">
        <v>106</v>
      </c>
      <c r="D199" s="24" t="s">
        <v>731</v>
      </c>
      <c r="E199" s="15">
        <v>42647.756192129629</v>
      </c>
      <c r="F199" s="15">
        <v>42647.758136574077</v>
      </c>
      <c r="G199" s="7">
        <v>2</v>
      </c>
      <c r="H199" s="15" t="s">
        <v>769</v>
      </c>
      <c r="I199" s="15">
        <v>42647.768738425926</v>
      </c>
      <c r="J199" s="7">
        <v>0</v>
      </c>
      <c r="K199" s="117" t="str">
        <f>IF(ISEVEN(B199),(B199-1)&amp;"/"&amp;B199,B199&amp;"/"&amp;(B199+1))</f>
        <v>4003/4004</v>
      </c>
      <c r="L199" s="24" t="str">
        <f>VLOOKUP(A199,'Trips&amp;Operators'!$C$1:$E$10000,3,FALSE)</f>
        <v>STURGEON</v>
      </c>
      <c r="M199" s="6">
        <f>I199-F199</f>
        <v>1.060185184906004E-2</v>
      </c>
      <c r="N199" s="7">
        <f>24*60*SUM($M199:$M199)</f>
        <v>15.266666662646458</v>
      </c>
      <c r="O199" s="7"/>
      <c r="P199" s="7"/>
      <c r="Q199" s="25"/>
      <c r="R199" s="25"/>
      <c r="S199" s="37">
        <f>SUM(U199:U199)/IF(AG199="EC",12,1)</f>
        <v>1</v>
      </c>
      <c r="T199" s="52" t="str">
        <f>IF(ISEVEN(LEFT(AD199,4)),"Southbound","NorthBound")</f>
        <v>Southbound</v>
      </c>
      <c r="U199" s="159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02" t="str">
        <f>"https://search-rtdc-monitor-bjffxe2xuh6vdkpspy63sjmuny.us-east-1.es.amazonaws.com/_plugin/kibana/#/discover/Steve-Slow-Train-Analysis-(2080s-and-2083s)?_g=(refreshInterval:(display:Off,section:0,value:0),time:(from:'"&amp;TEXT(E199-1/24,"yyyy-MM-DD hh:mm:ss")&amp;"-0600',mode:absolute,to:'"&amp;TEXT(I199+1/24,"yyyy-MM-DD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199&amp;"%22')),sort:!(Time,asc))"</f>
        <v>https://search-rtdc-monitor-bjffxe2xuh6vdkpspy63sjmuny.us-east-1.es.amazonaws.com/_plugin/kibana/#/discover/Steve-Slow-Train-Analysis-(2080s-and-2083s)?_g=(refreshInterval:(display:Off,section:0,value:0),time:(from:'2016-10-04 17:08:55-0600',mode:absolute,to:'2016-10-04 19:26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199" s="54" t="str">
        <f>IF(AA199&lt;IF(AG199="EC",23,5.65),"Y","N")</f>
        <v>N</v>
      </c>
      <c r="X199" s="164">
        <f>VALUE(LEFT(AD199,4))-VALUE(LEFT(AD198,4))</f>
        <v>1</v>
      </c>
      <c r="Y199" s="69">
        <f>RIGHT(D199,LEN(D199)-4)/10000</f>
        <v>5.8605999999999998</v>
      </c>
      <c r="Z199" s="69">
        <f>RIGHT(H199,LEN(H199)-4)/10000</f>
        <v>7.0999999999999994E-2</v>
      </c>
      <c r="AA199" s="69">
        <f>ABS(Z199-Y199)</f>
        <v>5.7896000000000001</v>
      </c>
      <c r="AB199" s="66" t="e">
        <f>VLOOKUP(A199,Enforcements!$C$7:$K$21,8,0)</f>
        <v>#N/A</v>
      </c>
      <c r="AC199" s="62" t="e">
        <f>VLOOKUP(A199,Enforcements!$C$7:$E$21,3,0)</f>
        <v>#N/A</v>
      </c>
      <c r="AD199" s="63" t="str">
        <f>IF(LEN(A199)=6,"0"&amp;A199,A199)</f>
        <v>0836-04</v>
      </c>
      <c r="AE199" s="9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s3://rtdc.mdm.uploadarchive.raw/RTDC4004/ "%USERPROFILE%\AppData\Local\Temp\OnboardLogs"\RTDC4004\2016-10-04 --exclude "*" --recursive --include "*20161004*" &amp; "%USERPROFILE%\Documents\GitHub\mrs-test-scripts\Headless Mode &amp; Sideloading\WalkAndUnGZ.bat" "%USERPROFILE%\AppData\Local\Temp\OnboardLogs"\RTDC4004\2016-10-04 &amp; aws s3 cp s3://rtdc.mdm.uploadarchive.raw/RTDC4004/ "%USERPROFILE%\AppData\Local\Temp\OnboardLogs"\RTDC4004\2016-10-05 --exclude "*" --recursive --include "*20161005*" &amp; "%USERPROFILE%\Documents\GitHub\mrs-test-scripts\Headless Mode &amp; Sideloading\WalkAndUnGZ.bat" "%USERPROFILE%\AppData\Local\Temp\OnboardLogs"\RTDC4004\2016-10-05</v>
      </c>
      <c r="AF199" s="92" t="str">
        <f>astrogrep_path&amp;" /spath="&amp;search_path&amp;" /stypes=""app*"&amp;B199&amp;"*"&amp;TEXT(I199-utc_offset/24,"YYYYMMDD")&amp;"*"" /stext="" "&amp;TEXT(I199-utc_offset/24,"HH")&amp;search_regexp&amp;""" /e /r /s"</f>
        <v>"C:\Program Files (x86)\AstroGrep\AstroGrep.exe" /spath="%USERPROFILE%\AppData\Local\Temp\OnboardLogs" /stypes="app*4004*20161005*" /stext=" 00:.+((SYSTEM_STATE.+slice.+state.+changed )|(ment ac)|(system.+state.+changed )|(\[timeout)|(PRM\|1\|D)|(kpr)|(kdp)|(\|lc)|(penalty))" /e /r /s</v>
      </c>
      <c r="AG199" s="1" t="str">
        <f>IFERROR(IF(VALUE(LEFT(AD199,2))&lt;=2,"EC",IF(OR(VALUE(LEFT(AD199,2))=8,VALUE(LEFT(AD199,2))=18),"NW","Other")),"Other")</f>
        <v>NW</v>
      </c>
      <c r="AH199" s="96" t="str">
        <f t="shared" si="6"/>
        <v>"%USERPROFILE%\Documents\GitHub\eaglep3\Utilities\RefineRTDCRunTimes.py" --tripid 836-04 --locoid 4004 --swversion DE.1.0.7.0 --startMP 300:58606 --initTime 2016-10-04T18:08:55 --startdatetime 2016-10-04T18:11:43 --delay 2 --endMP 204:710 --enddatetime 2016-10-04T18:26:59 --enforcementcount 0 &gt;&gt;C:\Users\stu\Documents\GitHub\eaglep3-reporting\EC\2016-10-04-refined-times.txt</v>
      </c>
      <c r="AI199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{"issue":{"subject":"","project_id":79,"tracker_id":40,"status_id":1,"priority_id":2,"assigned_to_id":23,"start_date":"2016-10-04","description":"","custom_fields":[{"id":1,"name":"Subdivision","value":"NW"},{"id":4,"name":"Milepost","value":"0.071"},{"id":17,"name":"Train ID","value":"836-04"},{"id":16,"name":"Locomotive ID","value":"4004"},{"id":130,"name":"Impact","value":""},{"id":150,"name":"Time of Event (Mountain Time)","value":"18:26:59"},{"id":151,"name":"Denver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5"/>
      <c r="AK199" s="55"/>
      <c r="AL199" s="55"/>
    </row>
    <row r="200" spans="1:38" x14ac:dyDescent="0.25">
      <c r="A200" s="39" t="s">
        <v>550</v>
      </c>
      <c r="B200" s="7">
        <v>4018</v>
      </c>
      <c r="C200" s="24" t="s">
        <v>106</v>
      </c>
      <c r="D200" s="24" t="s">
        <v>343</v>
      </c>
      <c r="E200" s="15">
        <v>42647.761967592596</v>
      </c>
      <c r="F200" s="15">
        <v>42647.764826388891</v>
      </c>
      <c r="G200" s="7">
        <v>1</v>
      </c>
      <c r="H200" s="15" t="s">
        <v>770</v>
      </c>
      <c r="I200" s="15">
        <v>42647.774884259263</v>
      </c>
      <c r="J200" s="7">
        <v>0</v>
      </c>
      <c r="K200" s="117" t="str">
        <f>IF(ISEVEN(B200),(B200-1)&amp;"/"&amp;B200,B200&amp;"/"&amp;(B200+1))</f>
        <v>4017/4018</v>
      </c>
      <c r="L200" s="24" t="str">
        <f>VLOOKUP(A200,'Trips&amp;Operators'!$C$1:$E$10000,3,FALSE)</f>
        <v>HAITHCOX</v>
      </c>
      <c r="M200" s="6">
        <f>I200-F200</f>
        <v>1.0057870371383615E-2</v>
      </c>
      <c r="N200" s="7">
        <f>24*60*SUM($M200:$M200)</f>
        <v>14.483333334792405</v>
      </c>
      <c r="O200" s="7"/>
      <c r="P200" s="7"/>
      <c r="Q200" s="25"/>
      <c r="R200" s="25"/>
      <c r="S200" s="37">
        <f>SUM(U200:U200)/IF(AG200="EC",12,1)</f>
        <v>1</v>
      </c>
      <c r="T200" s="52" t="str">
        <f>IF(ISEVEN(LEFT(AD200,4)),"Southbound","NorthBound")</f>
        <v>NorthBound</v>
      </c>
      <c r="U200" s="159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02" t="str">
        <f>"https://search-rtdc-monitor-bjffxe2xuh6vdkpspy63sjmuny.us-east-1.es.amazonaws.com/_plugin/kibana/#/discover/Steve-Slow-Train-Analysis-(2080s-and-2083s)?_g=(refreshInterval:(display:Off,section:0,value:0),time:(from:'"&amp;TEXT(E200-1/24,"yyyy-MM-DD hh:mm:ss")&amp;"-0600',mode:absolute,to:'"&amp;TEXT(I200+1/24,"yyyy-MM-DD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200&amp;"%22')),sort:!(Time,asc))"</f>
        <v>https://search-rtdc-monitor-bjffxe2xuh6vdkpspy63sjmuny.us-east-1.es.amazonaws.com/_plugin/kibana/#/discover/Steve-Slow-Train-Analysis-(2080s-and-2083s)?_g=(refreshInterval:(display:Off,section:0,value:0),time:(from:'2016-10-04 17:17:14-0600',mode:absolute,to:'2016-10-04 19:35:50-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0" s="54" t="str">
        <f>IF(AA200&lt;IF(AG200="EC",23,5.65),"Y","N")</f>
        <v>N</v>
      </c>
      <c r="X200" s="164">
        <f>VALUE(LEFT(AD200,4))-VALUE(LEFT(AD199,4))</f>
        <v>1</v>
      </c>
      <c r="Y200" s="69">
        <f>RIGHT(D200,LEN(D200)-4)/10000</f>
        <v>9.7799999999999998E-2</v>
      </c>
      <c r="Z200" s="69">
        <f>RIGHT(H200,LEN(H200)-4)/10000</f>
        <v>5.8921999999999999</v>
      </c>
      <c r="AA200" s="69">
        <f>ABS(Z200-Y200)</f>
        <v>5.7943999999999996</v>
      </c>
      <c r="AB200" s="66" t="e">
        <f>VLOOKUP(A200,Enforcements!$C$7:$K$21,8,0)</f>
        <v>#N/A</v>
      </c>
      <c r="AC200" s="62" t="e">
        <f>VLOOKUP(A200,Enforcements!$C$7:$E$21,3,0)</f>
        <v>#N/A</v>
      </c>
      <c r="AD200" s="63" t="str">
        <f>IF(LEN(A200)=6,"0"&amp;A200,A200)</f>
        <v>0837-04</v>
      </c>
      <c r="AE200" s="9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s3://rtdc.mdm.uploadarchive.raw/RTDC4018/ "%USERPROFILE%\AppData\Local\Temp\OnboardLogs"\RTDC4018\2016-10-04 --exclude "*" --recursive --include "*20161004*" &amp; "%USERPROFILE%\Documents\GitHub\mrs-test-scripts\Headless Mode &amp; Sideloading\WalkAndUnGZ.bat" "%USERPROFILE%\AppData\Local\Temp\OnboardLogs"\RTDC4018\2016-10-04 &amp; aws s3 cp s3://rtdc.mdm.uploadarchive.raw/RTDC4018/ "%USERPROFILE%\AppData\Local\Temp\OnboardLogs"\RTDC4018\2016-10-05 --exclude "*" --recursive --include "*20161005*" &amp; "%USERPROFILE%\Documents\GitHub\mrs-test-scripts\Headless Mode &amp; Sideloading\WalkAndUnGZ.bat" "%USERPROFILE%\AppData\Local\Temp\OnboardLogs"\RTDC4018\2016-10-05</v>
      </c>
      <c r="AF200" s="92" t="str">
        <f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/stypes="app*4018*20161005*" /stext=" 00:.+((SYSTEM_STATE.+slice.+state.+changed )|(ment ac)|(system.+state.+changed )|(\[timeout)|(PRM\|1\|D)|(kpr)|(kdp)|(\|lc)|(penalty))" /e /r /s</v>
      </c>
      <c r="AG200" s="1" t="str">
        <f>IFERROR(IF(VALUE(LEFT(AD200,2))&lt;=2,"EC",IF(OR(VALUE(LEFT(AD200,2))=8,VALUE(LEFT(AD200,2))=18),"NW","Other")),"Other")</f>
        <v>NW</v>
      </c>
      <c r="AH200" s="96" t="str">
        <f t="shared" si="6"/>
        <v>"%USERPROFILE%\Documents\GitHub\eaglep3\Utilities\RefineRTDCRunTimes.py" --tripid 837-04 --locoid 4018 --swversion DE.1.0.7.0 --startMP 204:978 --initTime 2016-10-04T18:17:14 --startdatetime 2016-10-04T18:21:21 --delay 1 --endMP 300:58922 --enddatetime 2016-10-04T18:35:50 --enforcementcount 0 &gt;&gt;C:\Users\stu\Documents\GitHub\eaglep3-reporting\EC\2016-10-04-refined-times.txt</v>
      </c>
      <c r="AI200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{"issue":{"subject":"","project_id":79,"tracker_id":40,"status_id":1,"priority_id":2,"assigned_to_id":23,"start_date":"2016-10-04","description":"","custom_fields":[{"id":1,"name":"Subdivision","value":"NW"},{"id":4,"name":"Milepost","value":"5.8922"},{"id":17,"name":"Train ID","value":"837-04"},{"id":16,"name":"Locomotive ID","value":"4018"},{"id":130,"name":"Impact","value":""},{"id":150,"name":"Time of Event (Mountain Time)","value":"18:35:50"},{"id":151,"name":"Denver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5"/>
      <c r="AK200" s="55"/>
      <c r="AL200" s="55"/>
    </row>
    <row r="201" spans="1:38" x14ac:dyDescent="0.25">
      <c r="A201" s="39" t="s">
        <v>555</v>
      </c>
      <c r="B201" s="7">
        <v>4017</v>
      </c>
      <c r="C201" s="24" t="s">
        <v>106</v>
      </c>
      <c r="D201" s="24" t="s">
        <v>761</v>
      </c>
      <c r="E201" s="15">
        <v>42647.775914351849</v>
      </c>
      <c r="F201" s="15">
        <v>42647.777581018519</v>
      </c>
      <c r="G201" s="7">
        <v>1</v>
      </c>
      <c r="H201" s="15" t="s">
        <v>771</v>
      </c>
      <c r="I201" s="15">
        <v>42647.789236111108</v>
      </c>
      <c r="J201" s="7">
        <v>0</v>
      </c>
      <c r="K201" s="117" t="str">
        <f>IF(ISEVEN(B201),(B201-1)&amp;"/"&amp;B201,B201&amp;"/"&amp;(B201+1))</f>
        <v>4017/4018</v>
      </c>
      <c r="L201" s="24" t="str">
        <f>VLOOKUP(A201,'Trips&amp;Operators'!$C$1:$E$10000,3,FALSE)</f>
        <v>HAITHCOX</v>
      </c>
      <c r="M201" s="6">
        <f>I201-F201</f>
        <v>1.1655092588625848E-2</v>
      </c>
      <c r="N201" s="7">
        <f>24*60*SUM($M201:$M201)</f>
        <v>16.783333327621222</v>
      </c>
      <c r="O201" s="7"/>
      <c r="P201" s="7"/>
      <c r="Q201" s="25"/>
      <c r="R201" s="25"/>
      <c r="S201" s="37">
        <f>SUM(U201:U201)/IF(AG201="EC",12,1)</f>
        <v>1</v>
      </c>
      <c r="T201" s="52" t="str">
        <f>IF(ISEVEN(LEFT(AD201,4)),"Southbound","NorthBound")</f>
        <v>Southbound</v>
      </c>
      <c r="U201" s="159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02" t="str">
        <f>"https://search-rtdc-monitor-bjffxe2xuh6vdkpspy63sjmuny.us-east-1.es.amazonaws.com/_plugin/kibana/#/discover/Steve-Slow-Train-Analysis-(2080s-and-2083s)?_g=(refreshInterval:(display:Off,section:0,value:0),time:(from:'"&amp;TEXT(E201-1/24,"yyyy-MM-DD hh:mm:ss")&amp;"-0600',mode:absolute,to:'"&amp;TEXT(I201+1/24,"yyyy-MM-DD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201&amp;"%22')),sort:!(Time,asc))"</f>
        <v>https://search-rtdc-monitor-bjffxe2xuh6vdkpspy63sjmuny.us-east-1.es.amazonaws.com/_plugin/kibana/#/discover/Steve-Slow-Train-Analysis-(2080s-and-2083s)?_g=(refreshInterval:(display:Off,section:0,value:0),time:(from:'2016-10-04 17:37:19-0600',mode:absolute,to:'2016-10-04 19:56:30-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1" s="54" t="str">
        <f>IF(AA201&lt;IF(AG201="EC",23,5.65),"Y","N")</f>
        <v>N</v>
      </c>
      <c r="X201" s="164">
        <f>VALUE(LEFT(AD201,4))-VALUE(LEFT(AD200,4))</f>
        <v>1</v>
      </c>
      <c r="Y201" s="69">
        <f>RIGHT(D201,LEN(D201)-4)/10000</f>
        <v>5.8604000000000003</v>
      </c>
      <c r="Z201" s="69">
        <f>RIGHT(H201,LEN(H201)-4)/10000</f>
        <v>6.9599999999999995E-2</v>
      </c>
      <c r="AA201" s="69">
        <f>ABS(Z201-Y201)</f>
        <v>5.7907999999999999</v>
      </c>
      <c r="AB201" s="66" t="e">
        <f>VLOOKUP(A201,Enforcements!$C$7:$K$21,8,0)</f>
        <v>#N/A</v>
      </c>
      <c r="AC201" s="62" t="e">
        <f>VLOOKUP(A201,Enforcements!$C$7:$E$21,3,0)</f>
        <v>#N/A</v>
      </c>
      <c r="AD201" s="63" t="str">
        <f>IF(LEN(A201)=6,"0"&amp;A201,A201)</f>
        <v>0838-04</v>
      </c>
      <c r="AE201" s="9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 &amp; 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</v>
      </c>
      <c r="AF201" s="92" t="str">
        <f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/stypes="app*4017*20161005*" /stext=" 00:.+((SYSTEM_STATE.+slice.+state.+changed )|(ment ac)|(system.+state.+changed )|(\[timeout)|(PRM\|1\|D)|(kpr)|(kdp)|(\|lc)|(penalty))" /e /r /s</v>
      </c>
      <c r="AG201" s="1" t="str">
        <f>IFERROR(IF(VALUE(LEFT(AD201,2))&lt;=2,"EC",IF(OR(VALUE(LEFT(AD201,2))=8,VALUE(LEFT(AD201,2))=18),"NW","Other")),"Other")</f>
        <v>NW</v>
      </c>
      <c r="AH201" s="96" t="str">
        <f t="shared" si="6"/>
        <v>"%USERPROFILE%\Documents\GitHub\eaglep3\Utilities\RefineRTDCRunTimes.py" --tripid 838-04 --locoid 4017 --swversion DE.1.0.7.0 --startMP 300:58604 --initTime 2016-10-04T18:37:19 --startdatetime 2016-10-04T18:39:43 --delay 1 --endMP 204:696 --enddatetime 2016-10-04T18:56:30 --enforcementcount 0 &gt;&gt;C:\Users\stu\Documents\GitHub\eaglep3-reporting\EC\2016-10-04-refined-times.txt</v>
      </c>
      <c r="AI201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{"issue":{"subject":"","project_id":79,"tracker_id":40,"status_id":1,"priority_id":2,"assigned_to_id":23,"start_date":"2016-10-04","description":"","custom_fields":[{"id":1,"name":"Subdivision","value":"NW"},{"id":4,"name":"Milepost","value":"0.0696"},{"id":17,"name":"Train ID","value":"838-04"},{"id":16,"name":"Locomotive ID","value":"4017"},{"id":130,"name":"Impact","value":""},{"id":150,"name":"Time of Event (Mountain Time)","value":"18:56:30"},{"id":151,"name":"Denver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5"/>
      <c r="AK201" s="55"/>
      <c r="AL201" s="55"/>
    </row>
    <row r="202" spans="1:38" x14ac:dyDescent="0.25">
      <c r="A202" s="39" t="s">
        <v>558</v>
      </c>
      <c r="B202" s="7">
        <v>4003</v>
      </c>
      <c r="C202" s="24" t="s">
        <v>106</v>
      </c>
      <c r="D202" s="24" t="s">
        <v>772</v>
      </c>
      <c r="E202" s="15">
        <v>42647.780601851853</v>
      </c>
      <c r="F202" s="15">
        <v>42647.785879629628</v>
      </c>
      <c r="G202" s="7">
        <v>2</v>
      </c>
      <c r="H202" s="15" t="s">
        <v>770</v>
      </c>
      <c r="I202" s="15">
        <v>42647.796990740739</v>
      </c>
      <c r="J202" s="7">
        <v>0</v>
      </c>
      <c r="K202" s="117" t="str">
        <f>IF(ISEVEN(B202),(B202-1)&amp;"/"&amp;B202,B202&amp;"/"&amp;(B202+1))</f>
        <v>4003/4004</v>
      </c>
      <c r="L202" s="24" t="str">
        <f>VLOOKUP(A202,'Trips&amp;Operators'!$C$1:$E$10000,3,FALSE)</f>
        <v>STURGEON</v>
      </c>
      <c r="M202" s="6">
        <f>I202-F202</f>
        <v>1.1111111110949423E-2</v>
      </c>
      <c r="N202" s="7">
        <f>24*60*SUM($M202:$M202)</f>
        <v>15.999999999767169</v>
      </c>
      <c r="O202" s="7"/>
      <c r="P202" s="7"/>
      <c r="Q202" s="25"/>
      <c r="R202" s="25"/>
      <c r="S202" s="37">
        <f>SUM(U202:U202)/IF(AG202="EC",12,1)</f>
        <v>1</v>
      </c>
      <c r="T202" s="52" t="str">
        <f>IF(ISEVEN(LEFT(AD202,4)),"Southbound","NorthBound")</f>
        <v>NorthBound</v>
      </c>
      <c r="U202" s="159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02" t="str">
        <f>"https://search-rtdc-monitor-bjffxe2xuh6vdkpspy63sjmuny.us-east-1.es.amazonaws.com/_plugin/kibana/#/discover/Steve-Slow-Train-Analysis-(2080s-and-2083s)?_g=(refreshInterval:(display:Off,section:0,value:0),time:(from:'"&amp;TEXT(E202-1/24,"yyyy-MM-DD hh:mm:ss")&amp;"-0600',mode:absolute,to:'"&amp;TEXT(I202+1/24,"yyyy-MM-DD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202&amp;"%22')),sort:!(Time,asc))"</f>
        <v>https://search-rtdc-monitor-bjffxe2xuh6vdkpspy63sjmuny.us-east-1.es.amazonaws.com/_plugin/kibana/#/discover/Steve-Slow-Train-Analysis-(2080s-and-2083s)?_g=(refreshInterval:(display:Off,section:0,value:0),time:(from:'2016-10-04 17:44:04-0600',mode:absolute,to:'2016-10-04 20:07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2" s="54" t="str">
        <f>IF(AA202&lt;IF(AG202="EC",23,5.65),"Y","N")</f>
        <v>N</v>
      </c>
      <c r="X202" s="164">
        <f>VALUE(LEFT(AD202,4))-VALUE(LEFT(AD201,4))</f>
        <v>1</v>
      </c>
      <c r="Y202" s="69">
        <f>RIGHT(D202,LEN(D202)-4)/10000</f>
        <v>0.10059999999999999</v>
      </c>
      <c r="Z202" s="69">
        <f>RIGHT(H202,LEN(H202)-4)/10000</f>
        <v>5.8921999999999999</v>
      </c>
      <c r="AA202" s="69">
        <f>ABS(Z202-Y202)</f>
        <v>5.7915999999999999</v>
      </c>
      <c r="AB202" s="66" t="e">
        <f>VLOOKUP(A202,Enforcements!$C$7:$K$21,8,0)</f>
        <v>#N/A</v>
      </c>
      <c r="AC202" s="62" t="e">
        <f>VLOOKUP(A202,Enforcements!$C$7:$E$21,3,0)</f>
        <v>#N/A</v>
      </c>
      <c r="AD202" s="63" t="str">
        <f>IF(LEN(A202)=6,"0"&amp;A202,A202)</f>
        <v>0839-04</v>
      </c>
      <c r="AE202" s="9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s3://rtdc.mdm.uploadarchive.raw/RTDC4003/ "%USERPROFILE%\AppData\Local\Temp\OnboardLogs"\RTDC4003\2016-10-04 --exclude "*" --recursive --include "*20161004*" &amp; "%USERPROFILE%\Documents\GitHub\mrs-test-scripts\Headless Mode &amp; Sideloading\WalkAndUnGZ.bat" "%USERPROFILE%\AppData\Local\Temp\OnboardLogs"\RTDC4003\2016-10-04 &amp; aws s3 cp s3://rtdc.mdm.uploadarchive.raw/RTDC4003/ "%USERPROFILE%\AppData\Local\Temp\OnboardLogs"\RTDC4003\2016-10-05 --exclude "*" --recursive --include "*20161005*" &amp; "%USERPROFILE%\Documents\GitHub\mrs-test-scripts\Headless Mode &amp; Sideloading\WalkAndUnGZ.bat" "%USERPROFILE%\AppData\Local\Temp\OnboardLogs"\RTDC4003\2016-10-05</v>
      </c>
      <c r="AF202" s="92" t="str">
        <f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/stypes="app*4003*20161005*" /stext=" 01:.+((SYSTEM_STATE.+slice.+state.+changed )|(ment ac)|(system.+state.+changed )|(\[timeout)|(PRM\|1\|D)|(kpr)|(kdp)|(\|lc)|(penalty))" /e /r /s</v>
      </c>
      <c r="AG202" s="1" t="str">
        <f>IFERROR(IF(VALUE(LEFT(AD202,2))&lt;=2,"EC",IF(OR(VALUE(LEFT(AD202,2))=8,VALUE(LEFT(AD202,2))=18),"NW","Other")),"Other")</f>
        <v>NW</v>
      </c>
      <c r="AH202" s="96" t="str">
        <f t="shared" si="6"/>
        <v>"%USERPROFILE%\Documents\GitHub\eaglep3\Utilities\RefineRTDCRunTimes.py" --tripid 839-04 --locoid 4003 --swversion DE.1.0.7.0 --startMP 204:1006 --initTime 2016-10-04T18:44:04 --startdatetime 2016-10-04T18:51:40 --delay 2 --endMP 300:58922 --enddatetime 2016-10-04T19:07:40 --enforcementcount 0 &gt;&gt;C:\Users\stu\Documents\GitHub\eaglep3-reporting\EC\2016-10-04-refined-times.txt</v>
      </c>
      <c r="AI202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{"issue":{"subject":"","project_id":79,"tracker_id":40,"status_id":1,"priority_id":2,"assigned_to_id":23,"start_date":"2016-10-04","description":"","custom_fields":[{"id":1,"name":"Subdivision","value":"NW"},{"id":4,"name":"Milepost","value":"5.8922"},{"id":17,"name":"Train ID","value":"839-04"},{"id":16,"name":"Locomotive ID","value":"4003"},{"id":130,"name":"Impact","value":""},{"id":150,"name":"Time of Event (Mountain Time)","value":"19:07:40"},{"id":151,"name":"Denver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5"/>
      <c r="AK202" s="55"/>
      <c r="AL202" s="55"/>
    </row>
    <row r="203" spans="1:38" x14ac:dyDescent="0.25">
      <c r="A203" s="39" t="s">
        <v>567</v>
      </c>
      <c r="B203" s="7">
        <v>4017</v>
      </c>
      <c r="C203" s="24" t="s">
        <v>106</v>
      </c>
      <c r="D203" s="24" t="s">
        <v>348</v>
      </c>
      <c r="E203" s="15">
        <v>42647.817708333336</v>
      </c>
      <c r="F203" s="15">
        <v>42647.818969907406</v>
      </c>
      <c r="G203" s="7">
        <v>0</v>
      </c>
      <c r="H203" s="15" t="s">
        <v>340</v>
      </c>
      <c r="I203" s="15">
        <v>42647.83021990741</v>
      </c>
      <c r="J203" s="7">
        <v>0</v>
      </c>
      <c r="K203" s="117" t="str">
        <f>IF(ISEVEN(B203),(B203-1)&amp;"/"&amp;B203,B203&amp;"/"&amp;(B203+1))</f>
        <v>4017/4018</v>
      </c>
      <c r="L203" s="24" t="str">
        <f>VLOOKUP(A203,'Trips&amp;Operators'!$C$1:$E$10000,3,FALSE)</f>
        <v>HAITHCOX</v>
      </c>
      <c r="M203" s="6">
        <f>I203-F203</f>
        <v>1.1250000003201421E-2</v>
      </c>
      <c r="N203" s="7">
        <f>24*60*SUM($M203:$M203)</f>
        <v>16.200000004610047</v>
      </c>
      <c r="O203" s="7"/>
      <c r="P203" s="7"/>
      <c r="Q203" s="25"/>
      <c r="R203" s="25"/>
      <c r="S203" s="37">
        <f>SUM(U203:U203)/IF(AG203="EC",12,1)</f>
        <v>1</v>
      </c>
      <c r="T203" s="52" t="str">
        <f>IF(ISEVEN(LEFT(AD203,4)),"Southbound","NorthBound")</f>
        <v>Southbound</v>
      </c>
      <c r="U203" s="159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02" t="str">
        <f>"https://search-rtdc-monitor-bjffxe2xuh6vdkpspy63sjmuny.us-east-1.es.amazonaws.com/_plugin/kibana/#/discover/Steve-Slow-Train-Analysis-(2080s-and-2083s)?_g=(refreshInterval:(display:Off,section:0,value:0),time:(from:'"&amp;TEXT(E203-1/24,"yyyy-MM-DD hh:mm:ss")&amp;"-0600',mode:absolute,to:'"&amp;TEXT(I203+1/24,"yyyy-MM-DD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203&amp;"%22')),sort:!(Time,asc))"</f>
        <v>https://search-rtdc-monitor-bjffxe2xuh6vdkpspy63sjmuny.us-east-1.es.amazonaws.com/_plugin/kibana/#/discover/Steve-Slow-Train-Analysis-(2080s-and-2083s)?_g=(refreshInterval:(display:Off,section:0,value:0),time:(from:'2016-10-04 18:37:30-0600',mode:absolute,to:'2016-10-04 20:55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3" s="54" t="str">
        <f>IF(AA203&lt;IF(AG203="EC",23,5.65),"Y","N")</f>
        <v>N</v>
      </c>
      <c r="X203" s="164">
        <f>VALUE(LEFT(AD203,4))-VALUE(LEFT(AD202,4))</f>
        <v>1</v>
      </c>
      <c r="Y203" s="69">
        <f>RIGHT(D203,LEN(D203)-4)/10000</f>
        <v>5.8619000000000003</v>
      </c>
      <c r="Z203" s="69">
        <f>RIGHT(H203,LEN(H203)-4)/10000</f>
        <v>7.0300000000000001E-2</v>
      </c>
      <c r="AA203" s="69">
        <f>ABS(Z203-Y203)</f>
        <v>5.7916000000000007</v>
      </c>
      <c r="AB203" s="66" t="e">
        <f>VLOOKUP(A203,Enforcements!$C$7:$K$21,8,0)</f>
        <v>#N/A</v>
      </c>
      <c r="AC203" s="62" t="e">
        <f>VLOOKUP(A203,Enforcements!$C$7:$E$21,3,0)</f>
        <v>#N/A</v>
      </c>
      <c r="AD203" s="63" t="str">
        <f>IF(LEN(A203)=6,"0"&amp;A203,A203)</f>
        <v>0840-04</v>
      </c>
      <c r="AE203" s="9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 &amp; 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</v>
      </c>
      <c r="AF203" s="92" t="str">
        <f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/stypes="app*4017*20161005*" /stext=" 01:.+((SYSTEM_STATE.+slice.+state.+changed )|(ment ac)|(system.+state.+changed )|(\[timeout)|(PRM\|1\|D)|(kpr)|(kdp)|(\|lc)|(penalty))" /e /r /s</v>
      </c>
      <c r="AG203" s="1" t="str">
        <f>IFERROR(IF(VALUE(LEFT(AD203,2))&lt;=2,"EC",IF(OR(VALUE(LEFT(AD203,2))=8,VALUE(LEFT(AD203,2))=18),"NW","Other")),"Other")</f>
        <v>NW</v>
      </c>
      <c r="AH203" s="96" t="str">
        <f t="shared" si="6"/>
        <v>"%USERPROFILE%\Documents\GitHub\eaglep3\Utilities\RefineRTDCRunTimes.py" --tripid 840-04 --locoid 4017 --swversion DE.1.0.7.0 --startMP 300:58619 --initTime 2016-10-04T19:37:30 --startdatetime 2016-10-04T19:39:19 --delay 0 --endMP 204:703 --enddatetime 2016-10-04T19:55:31 --enforcementcount 0 &gt;&gt;C:\Users\stu\Documents\GitHub\eaglep3-reporting\EC\2016-10-04-refined-times.txt</v>
      </c>
      <c r="AI203" s="130" t="str">
        <f t="shared" si="7"/>
        <v>echo {"issue":{"subject":"","project_id":79,"tracker_id":40,"status_id":1,"priority_id":2,"assigned_to_id":23,"start_date":"2016-10-04","description":"","custom_fields":[{"id":1,"name":"Subdivision","value":"NW"},{"id":4,"name":"Milepost","value":"0.0703"},{"id":17,"name":"Train ID","value":"840-04"},{"id":16,"name":"Locomotive ID","value":"4017"},{"id":130,"name":"Impact","value":""},{"id":150,"name":"Time of Event (Mountain Time)","value":"19:55:31"},{"id":151,"name":"Denver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5"/>
      <c r="AK203" s="55"/>
      <c r="AL203" s="55"/>
    </row>
    <row r="204" spans="1:38" x14ac:dyDescent="0.25">
      <c r="A204" s="39" t="s">
        <v>563</v>
      </c>
      <c r="B204" s="7">
        <v>4018</v>
      </c>
      <c r="C204" s="24" t="s">
        <v>106</v>
      </c>
      <c r="D204" s="24" t="s">
        <v>773</v>
      </c>
      <c r="E204" s="15">
        <v>42647.804097222222</v>
      </c>
      <c r="F204" s="15">
        <v>42647.806562500002</v>
      </c>
      <c r="G204" s="7">
        <v>1</v>
      </c>
      <c r="H204" s="15" t="s">
        <v>729</v>
      </c>
      <c r="I204" s="15">
        <v>42647.816701388889</v>
      </c>
      <c r="J204" s="7">
        <v>0</v>
      </c>
      <c r="K204" s="117" t="str">
        <f>IF(ISEVEN(B204),(B204-1)&amp;"/"&amp;B204,B204&amp;"/"&amp;(B204+1))</f>
        <v>4017/4018</v>
      </c>
      <c r="L204" s="24" t="str">
        <f>VLOOKUP(A204,'Trips&amp;Operators'!$C$1:$E$10000,3,FALSE)</f>
        <v>HAITHCOX</v>
      </c>
      <c r="M204" s="6">
        <f>I204-F204</f>
        <v>1.0138888887013309E-2</v>
      </c>
      <c r="N204" s="7">
        <f>24*60*SUM($M204:$M204)</f>
        <v>14.599999997299165</v>
      </c>
      <c r="O204" s="7"/>
      <c r="P204" s="7"/>
      <c r="Q204" s="25"/>
      <c r="R204" s="25"/>
      <c r="S204" s="37">
        <f>SUM(U204:U204)/IF(AG204="EC",12,1)</f>
        <v>1</v>
      </c>
      <c r="T204" s="52" t="str">
        <f>IF(ISEVEN(LEFT(AD204,4)),"Southbound","NorthBound")</f>
        <v>NorthBound</v>
      </c>
      <c r="U204" s="159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02" t="str">
        <f>"https://search-rtdc-monitor-bjffxe2xuh6vdkpspy63sjmuny.us-east-1.es.amazonaws.com/_plugin/kibana/#/discover/Steve-Slow-Train-Analysis-(2080s-and-2083s)?_g=(refreshInterval:(display:Off,section:0,value:0),time:(from:'"&amp;TEXT(E204-1/24,"yyyy-MM-DD hh:mm:ss")&amp;"-0600',mode:absolute,to:'"&amp;TEXT(I204+1/24,"yyyy-MM-DD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https://search-rtdc-monitor-bjffxe2xuh6vdkpspy63sjmuny.us-east-1.es.amazonaws.com/_plugin/kibana/#/discover/Steve-Slow-Train-Analysis-(2080s-and-2083s)?_g=(refreshInterval:(display:Off,section:0,value:0),time:(from:'2016-10-04 18:17:54-0600',mode:absolute,to:'2016-10-04 20:36:03-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4" s="54" t="str">
        <f>IF(AA204&lt;IF(AG204="EC",23,5.65),"Y","N")</f>
        <v>N</v>
      </c>
      <c r="X204" s="164">
        <f>VALUE(LEFT(AD204,4))-VALUE(LEFT(AD203,4))</f>
        <v>1</v>
      </c>
      <c r="Y204" s="69">
        <f>RIGHT(D204,LEN(D204)-4)/10000</f>
        <v>9.7900000000000001E-2</v>
      </c>
      <c r="Z204" s="69">
        <f>RIGHT(H204,LEN(H204)-4)/10000</f>
        <v>5.8933</v>
      </c>
      <c r="AA204" s="69">
        <f>ABS(Z204-Y204)</f>
        <v>5.7953999999999999</v>
      </c>
      <c r="AB204" s="66" t="e">
        <f>VLOOKUP(A204,Enforcements!$C$7:$K$21,8,0)</f>
        <v>#N/A</v>
      </c>
      <c r="AC204" s="62" t="e">
        <f>VLOOKUP(A204,Enforcements!$C$7:$E$21,3,0)</f>
        <v>#N/A</v>
      </c>
      <c r="AD204" s="63" t="str">
        <f>IF(LEN(A204)=6,"0"&amp;A204,A204)</f>
        <v>0841-04</v>
      </c>
      <c r="AE204" s="9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s3://rtdc.mdm.uploadarchive.raw/RTDC4018/ "%USERPROFILE%\AppData\Local\Temp\OnboardLogs"\RTDC4018\2016-10-04 --exclude "*" --recursive --include "*20161004*" &amp; "%USERPROFILE%\Documents\GitHub\mrs-test-scripts\Headless Mode &amp; Sideloading\WalkAndUnGZ.bat" "%USERPROFILE%\AppData\Local\Temp\OnboardLogs"\RTDC4018\2016-10-04 &amp; aws s3 cp s3://rtdc.mdm.uploadarchive.raw/RTDC4018/ "%USERPROFILE%\AppData\Local\Temp\OnboardLogs"\RTDC4018\2016-10-05 --exclude "*" --recursive --include "*20161005*" &amp; "%USERPROFILE%\Documents\GitHub\mrs-test-scripts\Headless Mode &amp; Sideloading\WalkAndUnGZ.bat" "%USERPROFILE%\AppData\Local\Temp\OnboardLogs"\RTDC4018\2016-10-05</v>
      </c>
      <c r="AF204" s="92" t="str">
        <f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/stypes="app*4018*20161005*" /stext=" 01:.+((SYSTEM_STATE.+slice.+state.+changed )|(ment ac)|(system.+state.+changed )|(\[timeout)|(PRM\|1\|D)|(kpr)|(kdp)|(\|lc)|(penalty))" /e /r /s</v>
      </c>
      <c r="AG204" s="1" t="str">
        <f>IFERROR(IF(VALUE(LEFT(AD204,2))&lt;=2,"EC",IF(OR(VALUE(LEFT(AD204,2))=8,VALUE(LEFT(AD204,2))=18),"NW","Other")),"Other")</f>
        <v>NW</v>
      </c>
      <c r="AH204" s="96" t="str">
        <f t="shared" ref="AH204:AH251" si="9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841-04 --locoid 4018 --swversion DE.1.0.7.0 --startMP 204:979 --initTime 2016-10-04T19:17:54 --startdatetime 2016-10-04T19:21:27 --delay 1 --endMP 300:58933 --enddatetime 2016-10-04T19:36:03 --enforcementcount 0 &gt;&gt;C:\Users\stu\Documents\GitHub\eaglep3-reporting\EC\2016-10-04-refined-times.txt</v>
      </c>
      <c r="AI204" s="130" t="str">
        <f t="shared" ref="AI204:AI251" si="10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{"issue":{"subject":"","project_id":79,"tracker_id":40,"status_id":1,"priority_id":2,"assigned_to_id":23,"start_date":"2016-10-04","description":"","custom_fields":[{"id":1,"name":"Subdivision","value":"NW"},{"id":4,"name":"Milepost","value":"5.8933"},{"id":17,"name":"Train ID","value":"841-04"},{"id":16,"name":"Locomotive ID","value":"4018"},{"id":130,"name":"Impact","value":""},{"id":150,"name":"Time of Event (Mountain Time)","value":"19:36:03"},{"id":151,"name":"Denver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5"/>
      <c r="AK204" s="55"/>
      <c r="AL204" s="55"/>
    </row>
    <row r="205" spans="1:38" x14ac:dyDescent="0.25">
      <c r="A205" s="39" t="s">
        <v>574</v>
      </c>
      <c r="B205" s="7">
        <v>4017</v>
      </c>
      <c r="C205" s="24" t="s">
        <v>106</v>
      </c>
      <c r="D205" s="24" t="s">
        <v>726</v>
      </c>
      <c r="E205" s="15">
        <v>42647.859224537038</v>
      </c>
      <c r="F205" s="15">
        <v>42647.860543981478</v>
      </c>
      <c r="G205" s="7">
        <v>1</v>
      </c>
      <c r="H205" s="15" t="s">
        <v>345</v>
      </c>
      <c r="I205" s="15">
        <v>42647.872175925928</v>
      </c>
      <c r="J205" s="7">
        <v>0</v>
      </c>
      <c r="K205" s="117" t="str">
        <f>IF(ISEVEN(B205),(B205-1)&amp;"/"&amp;B205,B205&amp;"/"&amp;(B205+1))</f>
        <v>4017/4018</v>
      </c>
      <c r="L205" s="24" t="str">
        <f>VLOOKUP(A205,'Trips&amp;Operators'!$C$1:$E$10000,3,FALSE)</f>
        <v>HAITHCOX</v>
      </c>
      <c r="M205" s="6">
        <f>I205-F205</f>
        <v>1.1631944449618459E-2</v>
      </c>
      <c r="N205" s="7">
        <f>24*60*SUM($M205:$M205)</f>
        <v>16.750000007450581</v>
      </c>
      <c r="O205" s="7"/>
      <c r="P205" s="7"/>
      <c r="Q205" s="25"/>
      <c r="R205" s="25"/>
      <c r="S205" s="37">
        <f>SUM(U205:U205)/IF(AG205="EC",12,1)</f>
        <v>1</v>
      </c>
      <c r="T205" s="52" t="str">
        <f>IF(ISEVEN(LEFT(AD205,4)),"Southbound","NorthBound")</f>
        <v>Southbound</v>
      </c>
      <c r="U205" s="159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02" t="str">
        <f>"https://search-rtdc-monitor-bjffxe2xuh6vdkpspy63sjmuny.us-east-1.es.amazonaws.com/_plugin/kibana/#/discover/Steve-Slow-Train-Analysis-(2080s-and-2083s)?_g=(refreshInterval:(display:Off,section:0,value:0),time:(from:'"&amp;TEXT(E205-1/24,"yyyy-MM-DD hh:mm:ss")&amp;"-0600',mode:absolute,to:'"&amp;TEXT(I205+1/24,"yyyy-MM-DD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https://search-rtdc-monitor-bjffxe2xuh6vdkpspy63sjmuny.us-east-1.es.amazonaws.com/_plugin/kibana/#/discover/Steve-Slow-Train-Analysis-(2080s-and-2083s)?_g=(refreshInterval:(display:Off,section:0,value:0),time:(from:'2016-10-04 19:37:17-0600',mode:absolute,to:'2016-10-04 21:55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5" s="54" t="str">
        <f>IF(AA205&lt;IF(AG205="EC",23,5.65),"Y","N")</f>
        <v>N</v>
      </c>
      <c r="X205" s="164">
        <f>VALUE(LEFT(AD205,4))-VALUE(LEFT(AD204,4))</f>
        <v>1</v>
      </c>
      <c r="Y205" s="69">
        <f>RIGHT(D205,LEN(D205)-4)/10000</f>
        <v>5.8609</v>
      </c>
      <c r="Z205" s="69">
        <f>RIGHT(H205,LEN(H205)-4)/10000</f>
        <v>6.8400000000000002E-2</v>
      </c>
      <c r="AA205" s="69">
        <f>ABS(Z205-Y205)</f>
        <v>5.7925000000000004</v>
      </c>
      <c r="AB205" s="66" t="e">
        <f>VLOOKUP(A205,Enforcements!$C$7:$K$21,8,0)</f>
        <v>#N/A</v>
      </c>
      <c r="AC205" s="62" t="e">
        <f>VLOOKUP(A205,Enforcements!$C$7:$E$21,3,0)</f>
        <v>#N/A</v>
      </c>
      <c r="AD205" s="63" t="str">
        <f>IF(LEN(A205)=6,"0"&amp;A205,A205)</f>
        <v>0842-04</v>
      </c>
      <c r="AE205" s="9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 &amp; 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</v>
      </c>
      <c r="AF205" s="92" t="str">
        <f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/stypes="app*4017*20161005*" /stext=" 02:.+((SYSTEM_STATE.+slice.+state.+changed )|(ment ac)|(system.+state.+changed )|(\[timeout)|(PRM\|1\|D)|(kpr)|(kdp)|(\|lc)|(penalty))" /e /r /s</v>
      </c>
      <c r="AG205" s="1" t="str">
        <f>IFERROR(IF(VALUE(LEFT(AD205,2))&lt;=2,"EC",IF(OR(VALUE(LEFT(AD205,2))=8,VALUE(LEFT(AD205,2))=18),"NW","Other")),"Other")</f>
        <v>NW</v>
      </c>
      <c r="AH205" s="96" t="str">
        <f t="shared" si="9"/>
        <v>"%USERPROFILE%\Documents\GitHub\eaglep3\Utilities\RefineRTDCRunTimes.py" --tripid 842-04 --locoid 4017 --swversion DE.1.0.7.0 --startMP 300:58609 --initTime 2016-10-04T20:37:17 --startdatetime 2016-10-04T20:39:11 --delay 1 --endMP 204:684 --enddatetime 2016-10-04T20:55:56 --enforcementcount 0 &gt;&gt;C:\Users\stu\Documents\GitHub\eaglep3-reporting\EC\2016-10-04-refined-times.txt</v>
      </c>
      <c r="AI205" s="130" t="str">
        <f t="shared" si="10"/>
        <v>echo {"issue":{"subject":"","project_id":79,"tracker_id":40,"status_id":1,"priority_id":2,"assigned_to_id":23,"start_date":"2016-10-04","description":"","custom_fields":[{"id":1,"name":"Subdivision","value":"NW"},{"id":4,"name":"Milepost","value":"0.0684"},{"id":17,"name":"Train ID","value":"842-04"},{"id":16,"name":"Locomotive ID","value":"4017"},{"id":130,"name":"Impact","value":""},{"id":150,"name":"Time of Event (Mountain Time)","value":"20:55:56"},{"id":151,"name":"Denver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5"/>
      <c r="AK205" s="55"/>
      <c r="AL205" s="55"/>
    </row>
    <row r="206" spans="1:38" x14ac:dyDescent="0.25">
      <c r="A206" s="39" t="s">
        <v>571</v>
      </c>
      <c r="B206" s="7">
        <v>4018</v>
      </c>
      <c r="C206" s="24" t="s">
        <v>106</v>
      </c>
      <c r="D206" s="24" t="s">
        <v>757</v>
      </c>
      <c r="E206" s="15">
        <v>42647.845972222225</v>
      </c>
      <c r="F206" s="15">
        <v>42647.848310185182</v>
      </c>
      <c r="G206" s="7">
        <v>1</v>
      </c>
      <c r="H206" s="15" t="s">
        <v>729</v>
      </c>
      <c r="I206" s="15">
        <v>42647.858032407406</v>
      </c>
      <c r="J206" s="7">
        <v>0</v>
      </c>
      <c r="K206" s="117" t="str">
        <f>IF(ISEVEN(B206),(B206-1)&amp;"/"&amp;B206,B206&amp;"/"&amp;(B206+1))</f>
        <v>4017/4018</v>
      </c>
      <c r="L206" s="24" t="str">
        <f>VLOOKUP(A206,'Trips&amp;Operators'!$C$1:$E$10000,3,FALSE)</f>
        <v>HAITHCOX</v>
      </c>
      <c r="M206" s="6">
        <f>I206-F206</f>
        <v>9.7222222248092294E-3</v>
      </c>
      <c r="N206" s="7">
        <f>24*60*SUM($M206:$M206)</f>
        <v>14.00000000372529</v>
      </c>
      <c r="O206" s="7"/>
      <c r="P206" s="7"/>
      <c r="Q206" s="25"/>
      <c r="R206" s="25"/>
      <c r="S206" s="37">
        <f>SUM(U206:U206)/IF(AG206="EC",12,1)</f>
        <v>1</v>
      </c>
      <c r="T206" s="52" t="str">
        <f>IF(ISEVEN(LEFT(AD206,4)),"Southbound","NorthBound")</f>
        <v>NorthBound</v>
      </c>
      <c r="U206" s="159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02" t="str">
        <f>"https://search-rtdc-monitor-bjffxe2xuh6vdkpspy63sjmuny.us-east-1.es.amazonaws.com/_plugin/kibana/#/discover/Steve-Slow-Train-Analysis-(2080s-and-2083s)?_g=(refreshInterval:(display:Off,section:0,value:0),time:(from:'"&amp;TEXT(E206-1/24,"yyyy-MM-DD hh:mm:ss")&amp;"-0600',mode:absolute,to:'"&amp;TEXT(I206+1/24,"yyyy-MM-DD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206&amp;"%22')),sort:!(Time,asc))"</f>
        <v>https://search-rtdc-monitor-bjffxe2xuh6vdkpspy63sjmuny.us-east-1.es.amazonaws.com/_plugin/kibana/#/discover/Steve-Slow-Train-Analysis-(2080s-and-2083s)?_g=(refreshInterval:(display:Off,section:0,value:0),time:(from:'2016-10-04 19:18:12-0600',mode:absolute,to:'2016-10-04 21:35:34-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6" s="54" t="str">
        <f>IF(AA206&lt;IF(AG206="EC",23,5.65),"Y","N")</f>
        <v>N</v>
      </c>
      <c r="X206" s="164">
        <f>VALUE(LEFT(AD206,4))-VALUE(LEFT(AD205,4))</f>
        <v>1</v>
      </c>
      <c r="Y206" s="69">
        <f>RIGHT(D206,LEN(D206)-4)/10000</f>
        <v>9.74E-2</v>
      </c>
      <c r="Z206" s="69">
        <f>RIGHT(H206,LEN(H206)-4)/10000</f>
        <v>5.8933</v>
      </c>
      <c r="AA206" s="69">
        <f>ABS(Z206-Y206)</f>
        <v>5.7958999999999996</v>
      </c>
      <c r="AB206" s="66" t="e">
        <f>VLOOKUP(A206,Enforcements!$C$7:$K$21,8,0)</f>
        <v>#N/A</v>
      </c>
      <c r="AC206" s="62" t="e">
        <f>VLOOKUP(A206,Enforcements!$C$7:$E$21,3,0)</f>
        <v>#N/A</v>
      </c>
      <c r="AD206" s="63" t="str">
        <f>IF(LEN(A206)=6,"0"&amp;A206,A206)</f>
        <v>0843-04</v>
      </c>
      <c r="AE206" s="9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s3://rtdc.mdm.uploadarchive.raw/RTDC4018/ "%USERPROFILE%\AppData\Local\Temp\OnboardLogs"\RTDC4018\2016-10-04 --exclude "*" --recursive --include "*20161004*" &amp; "%USERPROFILE%\Documents\GitHub\mrs-test-scripts\Headless Mode &amp; Sideloading\WalkAndUnGZ.bat" "%USERPROFILE%\AppData\Local\Temp\OnboardLogs"\RTDC4018\2016-10-04 &amp; aws s3 cp s3://rtdc.mdm.uploadarchive.raw/RTDC4018/ "%USERPROFILE%\AppData\Local\Temp\OnboardLogs"\RTDC4018\2016-10-05 --exclude "*" --recursive --include "*20161005*" &amp; "%USERPROFILE%\Documents\GitHub\mrs-test-scripts\Headless Mode &amp; Sideloading\WalkAndUnGZ.bat" "%USERPROFILE%\AppData\Local\Temp\OnboardLogs"\RTDC4018\2016-10-05</v>
      </c>
      <c r="AF206" s="92" t="str">
        <f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/stypes="app*4018*20161005*" /stext=" 02:.+((SYSTEM_STATE.+slice.+state.+changed )|(ment ac)|(system.+state.+changed )|(\[timeout)|(PRM\|1\|D)|(kpr)|(kdp)|(\|lc)|(penalty))" /e /r /s</v>
      </c>
      <c r="AG206" s="1" t="str">
        <f>IFERROR(IF(VALUE(LEFT(AD206,2))&lt;=2,"EC",IF(OR(VALUE(LEFT(AD206,2))=8,VALUE(LEFT(AD206,2))=18),"NW","Other")),"Other")</f>
        <v>NW</v>
      </c>
      <c r="AH206" s="96" t="str">
        <f t="shared" si="9"/>
        <v>"%USERPROFILE%\Documents\GitHub\eaglep3\Utilities\RefineRTDCRunTimes.py" --tripid 843-04 --locoid 4018 --swversion DE.1.0.7.0 --startMP 204:974 --initTime 2016-10-04T20:18:12 --startdatetime 2016-10-04T20:21:34 --delay 1 --endMP 300:58933 --enddatetime 2016-10-04T20:35:34 --enforcementcount 0 &gt;&gt;C:\Users\stu\Documents\GitHub\eaglep3-reporting\EC\2016-10-04-refined-times.txt</v>
      </c>
      <c r="AI206" s="130" t="str">
        <f t="shared" si="10"/>
        <v>echo {"issue":{"subject":"","project_id":79,"tracker_id":40,"status_id":1,"priority_id":2,"assigned_to_id":23,"start_date":"2016-10-04","description":"","custom_fields":[{"id":1,"name":"Subdivision","value":"NW"},{"id":4,"name":"Milepost","value":"5.8933"},{"id":17,"name":"Train ID","value":"843-04"},{"id":16,"name":"Locomotive ID","value":"4018"},{"id":130,"name":"Impact","value":""},{"id":150,"name":"Time of Event (Mountain Time)","value":"20:35:34"},{"id":151,"name":"Denver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5"/>
      <c r="AK206" s="55"/>
      <c r="AL206" s="55"/>
    </row>
    <row r="207" spans="1:38" x14ac:dyDescent="0.25">
      <c r="A207" s="39" t="s">
        <v>580</v>
      </c>
      <c r="B207" s="7">
        <v>4017</v>
      </c>
      <c r="C207" s="24" t="s">
        <v>106</v>
      </c>
      <c r="D207" s="24" t="s">
        <v>765</v>
      </c>
      <c r="E207" s="15">
        <v>42647.902488425927</v>
      </c>
      <c r="F207" s="15">
        <v>42647.904942129629</v>
      </c>
      <c r="G207" s="7">
        <v>3</v>
      </c>
      <c r="H207" s="15" t="s">
        <v>732</v>
      </c>
      <c r="I207" s="15">
        <v>42647.915648148148</v>
      </c>
      <c r="J207" s="7">
        <v>0</v>
      </c>
      <c r="K207" s="117" t="str">
        <f>IF(ISEVEN(B207),(B207-1)&amp;"/"&amp;B207,B207&amp;"/"&amp;(B207+1))</f>
        <v>4017/4018</v>
      </c>
      <c r="L207" s="24" t="str">
        <f>VLOOKUP(A207,'Trips&amp;Operators'!$C$1:$E$10000,3,FALSE)</f>
        <v>STURGEON</v>
      </c>
      <c r="M207" s="6">
        <f>I207-F207</f>
        <v>1.0706018518249039E-2</v>
      </c>
      <c r="N207" s="7">
        <f>24*60*SUM($M207:$M207)</f>
        <v>15.416666666278616</v>
      </c>
      <c r="O207" s="7"/>
      <c r="P207" s="7"/>
      <c r="Q207" s="25"/>
      <c r="R207" s="25"/>
      <c r="S207" s="37">
        <f>SUM(U207:U207)/IF(AG207="EC",12,1)</f>
        <v>1</v>
      </c>
      <c r="T207" s="52" t="str">
        <f>IF(ISEVEN(LEFT(AD207,4)),"Southbound","NorthBound")</f>
        <v>Southbound</v>
      </c>
      <c r="U207" s="159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02" t="str">
        <f>"https://search-rtdc-monitor-bjffxe2xuh6vdkpspy63sjmuny.us-east-1.es.amazonaws.com/_plugin/kibana/#/discover/Steve-Slow-Train-Analysis-(2080s-and-2083s)?_g=(refreshInterval:(display:Off,section:0,value:0),time:(from:'"&amp;TEXT(E207-1/24,"yyyy-MM-DD hh:mm:ss")&amp;"-0600',mode:absolute,to:'"&amp;TEXT(I207+1/24,"yyyy-MM-DD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207&amp;"%22')),sort:!(Time,asc))"</f>
        <v>https://search-rtdc-monitor-bjffxe2xuh6vdkpspy63sjmuny.us-east-1.es.amazonaws.com/_plugin/kibana/#/discover/Steve-Slow-Train-Analysis-(2080s-and-2083s)?_g=(refreshInterval:(display:Off,section:0,value:0),time:(from:'2016-10-04 20:39:35-0600',mode:absolute,to:'2016-10-04 22:58:32-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7" s="54" t="str">
        <f>IF(AA207&lt;IF(AG207="EC",23,5.65),"Y","N")</f>
        <v>N</v>
      </c>
      <c r="X207" s="164">
        <f>VALUE(LEFT(AD207,4))-VALUE(LEFT(AD206,4))</f>
        <v>1</v>
      </c>
      <c r="Y207" s="69">
        <f>RIGHT(D207,LEN(D207)-4)/10000</f>
        <v>5.8593999999999999</v>
      </c>
      <c r="Z207" s="69">
        <f>RIGHT(H207,LEN(H207)-4)/10000</f>
        <v>7.2900000000000006E-2</v>
      </c>
      <c r="AA207" s="69">
        <f>ABS(Z207-Y207)</f>
        <v>5.7865000000000002</v>
      </c>
      <c r="AB207" s="66" t="e">
        <f>VLOOKUP(A207,Enforcements!$C$7:$K$21,8,0)</f>
        <v>#N/A</v>
      </c>
      <c r="AC207" s="62" t="e">
        <f>VLOOKUP(A207,Enforcements!$C$7:$E$21,3,0)</f>
        <v>#N/A</v>
      </c>
      <c r="AD207" s="63" t="str">
        <f>IF(LEN(A207)=6,"0"&amp;A207,A207)</f>
        <v>0844-04</v>
      </c>
      <c r="AE207" s="9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 &amp; 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</v>
      </c>
      <c r="AF207" s="92" t="str">
        <f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/stypes="app*4017*20161005*" /stext=" 03:.+((SYSTEM_STATE.+slice.+state.+changed )|(ment ac)|(system.+state.+changed )|(\[timeout)|(PRM\|1\|D)|(kpr)|(kdp)|(\|lc)|(penalty))" /e /r /s</v>
      </c>
      <c r="AG207" s="1" t="str">
        <f>IFERROR(IF(VALUE(LEFT(AD207,2))&lt;=2,"EC",IF(OR(VALUE(LEFT(AD207,2))=8,VALUE(LEFT(AD207,2))=18),"NW","Other")),"Other")</f>
        <v>NW</v>
      </c>
      <c r="AH207" s="96" t="str">
        <f t="shared" si="9"/>
        <v>"%USERPROFILE%\Documents\GitHub\eaglep3\Utilities\RefineRTDCRunTimes.py" --tripid 844-04 --locoid 4017 --swversion DE.1.0.7.0 --startMP 300:58594 --initTime 2016-10-04T21:39:35 --startdatetime 2016-10-04T21:43:07 --delay 3 --endMP 204:729 --enddatetime 2016-10-04T21:58:32 --enforcementcount 0 &gt;&gt;C:\Users\stu\Documents\GitHub\eaglep3-reporting\EC\2016-10-04-refined-times.txt</v>
      </c>
      <c r="AI207" s="130" t="str">
        <f t="shared" si="10"/>
        <v>echo {"issue":{"subject":"","project_id":79,"tracker_id":40,"status_id":1,"priority_id":2,"assigned_to_id":23,"start_date":"2016-10-04","description":"","custom_fields":[{"id":1,"name":"Subdivision","value":"NW"},{"id":4,"name":"Milepost","value":"0.0729"},{"id":17,"name":"Train ID","value":"844-04"},{"id":16,"name":"Locomotive ID","value":"4017"},{"id":130,"name":"Impact","value":""},{"id":150,"name":"Time of Event (Mountain Time)","value":"21:58:32"},{"id":151,"name":"Denver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5"/>
      <c r="AK207" s="55"/>
      <c r="AL207" s="55"/>
    </row>
    <row r="208" spans="1:38" x14ac:dyDescent="0.25">
      <c r="A208" s="39" t="s">
        <v>577</v>
      </c>
      <c r="B208" s="7">
        <v>4018</v>
      </c>
      <c r="C208" s="24" t="s">
        <v>106</v>
      </c>
      <c r="D208" s="24" t="s">
        <v>753</v>
      </c>
      <c r="E208" s="15">
        <v>42647.875023148146</v>
      </c>
      <c r="F208" s="15">
        <v>42647.890520833331</v>
      </c>
      <c r="G208" s="7">
        <v>3</v>
      </c>
      <c r="H208" s="15" t="s">
        <v>740</v>
      </c>
      <c r="I208" s="15">
        <v>42647.90121527778</v>
      </c>
      <c r="J208" s="7">
        <v>0</v>
      </c>
      <c r="K208" s="117" t="str">
        <f>IF(ISEVEN(B208),(B208-1)&amp;"/"&amp;B208,B208&amp;"/"&amp;(B208+1))</f>
        <v>4017/4018</v>
      </c>
      <c r="L208" s="24" t="str">
        <f>VLOOKUP(A208,'Trips&amp;Operators'!$C$1:$E$10000,3,FALSE)</f>
        <v>STURGEON</v>
      </c>
      <c r="M208" s="6">
        <f>I208-F208</f>
        <v>1.0694444448745344E-2</v>
      </c>
      <c r="N208" s="7">
        <f>24*60*SUM($M208:$M208)</f>
        <v>15.400000006193295</v>
      </c>
      <c r="O208" s="7"/>
      <c r="P208" s="7"/>
      <c r="Q208" s="25"/>
      <c r="R208" s="25"/>
      <c r="S208" s="37">
        <f>SUM(U208:U208)/IF(AG208="EC",12,1)</f>
        <v>1</v>
      </c>
      <c r="T208" s="52" t="str">
        <f>IF(ISEVEN(LEFT(AD208,4)),"Southbound","NorthBound")</f>
        <v>NorthBound</v>
      </c>
      <c r="U208" s="159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02" t="str">
        <f>"https://search-rtdc-monitor-bjffxe2xuh6vdkpspy63sjmuny.us-east-1.es.amazonaws.com/_plugin/kibana/#/discover/Steve-Slow-Train-Analysis-(2080s-and-2083s)?_g=(refreshInterval:(display:Off,section:0,value:0),time:(from:'"&amp;TEXT(E208-1/24,"yyyy-MM-DD hh:mm:ss")&amp;"-0600',mode:absolute,to:'"&amp;TEXT(I208+1/24,"yyyy-MM-DD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208&amp;"%22')),sort:!(Time,asc))"</f>
        <v>https://search-rtdc-monitor-bjffxe2xuh6vdkpspy63sjmuny.us-east-1.es.amazonaws.com/_plugin/kibana/#/discover/Steve-Slow-Train-Analysis-(2080s-and-2083s)?_g=(refreshInterval:(display:Off,section:0,value:0),time:(from:'2016-10-04 20:00:02-0600',mode:absolute,to:'2016-10-04 22:37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8" s="54" t="str">
        <f>IF(AA208&lt;IF(AG208="EC",23,5.65),"Y","N")</f>
        <v>N</v>
      </c>
      <c r="X208" s="164">
        <f>VALUE(LEFT(AD208,4))-VALUE(LEFT(AD207,4))</f>
        <v>1</v>
      </c>
      <c r="Y208" s="69">
        <f>RIGHT(D208,LEN(D208)-4)/10000</f>
        <v>9.7199999999999995E-2</v>
      </c>
      <c r="Z208" s="69">
        <f>RIGHT(H208,LEN(H208)-4)/10000</f>
        <v>5.8917999999999999</v>
      </c>
      <c r="AA208" s="69">
        <f>ABS(Z208-Y208)</f>
        <v>5.7946</v>
      </c>
      <c r="AB208" s="66" t="e">
        <f>VLOOKUP(A208,Enforcements!$C$7:$K$21,8,0)</f>
        <v>#N/A</v>
      </c>
      <c r="AC208" s="62" t="e">
        <f>VLOOKUP(A208,Enforcements!$C$7:$E$21,3,0)</f>
        <v>#N/A</v>
      </c>
      <c r="AD208" s="63" t="str">
        <f>IF(LEN(A208)=6,"0"&amp;A208,A208)</f>
        <v>0845-04</v>
      </c>
      <c r="AE208" s="9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s3://rtdc.mdm.uploadarchive.raw/RTDC4018/ "%USERPROFILE%\AppData\Local\Temp\OnboardLogs"\RTDC4018\2016-10-04 --exclude "*" --recursive --include "*20161004*" &amp; "%USERPROFILE%\Documents\GitHub\mrs-test-scripts\Headless Mode &amp; Sideloading\WalkAndUnGZ.bat" "%USERPROFILE%\AppData\Local\Temp\OnboardLogs"\RTDC4018\2016-10-04 &amp; aws s3 cp s3://rtdc.mdm.uploadarchive.raw/RTDC4018/ "%USERPROFILE%\AppData\Local\Temp\OnboardLogs"\RTDC4018\2016-10-05 --exclude "*" --recursive --include "*20161005*" &amp; "%USERPROFILE%\Documents\GitHub\mrs-test-scripts\Headless Mode &amp; Sideloading\WalkAndUnGZ.bat" "%USERPROFILE%\AppData\Local\Temp\OnboardLogs"\RTDC4018\2016-10-05</v>
      </c>
      <c r="AF208" s="92" t="str">
        <f>astrogrep_path&amp;" /spath="&amp;search_path&amp;" /stypes=""app*"&amp;B208&amp;"*"&amp;TEXT(I208-utc_offset/24,"YYYYMMDD")&amp;"*"" /stext="" "&amp;TEXT(I208-utc_offset/24,"HH")&amp;search_regexp&amp;""" /e /r /s"</f>
        <v>"C:\Program Files (x86)\AstroGrep\AstroGrep.exe" /spath="%USERPROFILE%\AppData\Local\Temp\OnboardLogs" /stypes="app*4018*20161005*" /stext=" 03:.+((SYSTEM_STATE.+slice.+state.+changed )|(ment ac)|(system.+state.+changed )|(\[timeout)|(PRM\|1\|D)|(kpr)|(kdp)|(\|lc)|(penalty))" /e /r /s</v>
      </c>
      <c r="AG208" s="1" t="str">
        <f>IFERROR(IF(VALUE(LEFT(AD208,2))&lt;=2,"EC",IF(OR(VALUE(LEFT(AD208,2))=8,VALUE(LEFT(AD208,2))=18),"NW","Other")),"Other")</f>
        <v>NW</v>
      </c>
      <c r="AH208" s="96" t="str">
        <f t="shared" si="9"/>
        <v>"%USERPROFILE%\Documents\GitHub\eaglep3\Utilities\RefineRTDCRunTimes.py" --tripid 845-04 --locoid 4018 --swversion DE.1.0.7.0 --startMP 204:972 --initTime 2016-10-04T21:00:02 --startdatetime 2016-10-04T21:22:21 --delay 3 --endMP 300:58918 --enddatetime 2016-10-04T21:37:45 --enforcementcount 0 &gt;&gt;C:\Users\stu\Documents\GitHub\eaglep3-reporting\EC\2016-10-04-refined-times.txt</v>
      </c>
      <c r="AI208" s="130" t="str">
        <f t="shared" si="10"/>
        <v>echo {"issue":{"subject":"","project_id":79,"tracker_id":40,"status_id":1,"priority_id":2,"assigned_to_id":23,"start_date":"2016-10-04","description":"","custom_fields":[{"id":1,"name":"Subdivision","value":"NW"},{"id":4,"name":"Milepost","value":"5.8918"},{"id":17,"name":"Train ID","value":"845-04"},{"id":16,"name":"Locomotive ID","value":"4018"},{"id":130,"name":"Impact","value":""},{"id":150,"name":"Time of Event (Mountain Time)","value":"21:37:45"},{"id":151,"name":"Denver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5"/>
      <c r="AK208" s="55"/>
      <c r="AL208" s="55"/>
    </row>
    <row r="209" spans="1:38" x14ac:dyDescent="0.25">
      <c r="A209" s="39" t="s">
        <v>583</v>
      </c>
      <c r="B209" s="7">
        <v>4018</v>
      </c>
      <c r="C209" s="24" t="s">
        <v>106</v>
      </c>
      <c r="D209" s="24" t="s">
        <v>774</v>
      </c>
      <c r="E209" s="15">
        <v>42647.917187500003</v>
      </c>
      <c r="F209" s="15">
        <v>42647.931527777779</v>
      </c>
      <c r="G209" s="7">
        <v>2</v>
      </c>
      <c r="H209" s="15" t="s">
        <v>764</v>
      </c>
      <c r="I209" s="15">
        <v>42647.942314814813</v>
      </c>
      <c r="J209" s="7">
        <v>0</v>
      </c>
      <c r="K209" s="117" t="str">
        <f>IF(ISEVEN(B209),(B209-1)&amp;"/"&amp;B209,B209&amp;"/"&amp;(B209+1))</f>
        <v>4017/4018</v>
      </c>
      <c r="L209" s="24" t="str">
        <f>VLOOKUP(A209,'Trips&amp;Operators'!$C$1:$E$10000,3,FALSE)</f>
        <v>STURGEON</v>
      </c>
      <c r="M209" s="6">
        <f>I209-F209</f>
        <v>1.0787037033878732E-2</v>
      </c>
      <c r="N209" s="7">
        <f>24*60*SUM($M209:$M209)</f>
        <v>15.533333328785375</v>
      </c>
      <c r="O209" s="7"/>
      <c r="P209" s="7"/>
      <c r="Q209" s="25"/>
      <c r="R209" s="25"/>
      <c r="S209" s="37">
        <f>SUM(U209:U209)/IF(AG209="EC",12,1)</f>
        <v>1</v>
      </c>
      <c r="T209" s="52" t="str">
        <f>IF(ISEVEN(LEFT(AD209,4)),"Southbound","NorthBound")</f>
        <v>NorthBound</v>
      </c>
      <c r="U209" s="159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02" t="str">
        <f>"https://search-rtdc-monitor-bjffxe2xuh6vdkpspy63sjmuny.us-east-1.es.amazonaws.com/_plugin/kibana/#/discover/Steve-Slow-Train-Analysis-(2080s-and-2083s)?_g=(refreshInterval:(display:Off,section:0,value:0),time:(from:'"&amp;TEXT(E209-1/24,"yyyy-MM-DD hh:mm:ss")&amp;"-0600',mode:absolute,to:'"&amp;TEXT(I209+1/24,"yyyy-MM-DD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209&amp;"%22')),sort:!(Time,asc))"</f>
        <v>https://search-rtdc-monitor-bjffxe2xuh6vdkpspy63sjmuny.us-east-1.es.amazonaws.com/_plugin/kibana/#/discover/Steve-Slow-Train-Analysis-(2080s-and-2083s)?_g=(refreshInterval:(display:Off,section:0,value:0),time:(from:'2016-10-04 21:00:45-0600',mode:absolute,to:'2016-10-04 23:36:56-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9" s="54" t="str">
        <f>IF(AA209&lt;IF(AG209="EC",23,5.65),"Y","N")</f>
        <v>N</v>
      </c>
      <c r="X209" s="164">
        <f>VALUE(LEFT(AD209,4))-VALUE(LEFT(AD208,4))</f>
        <v>2</v>
      </c>
      <c r="Y209" s="69">
        <f>RIGHT(D209,LEN(D209)-4)/10000</f>
        <v>0.1016</v>
      </c>
      <c r="Z209" s="69">
        <f>RIGHT(H209,LEN(H209)-4)/10000</f>
        <v>5.8912000000000004</v>
      </c>
      <c r="AA209" s="69">
        <f>ABS(Z209-Y209)</f>
        <v>5.7896000000000001</v>
      </c>
      <c r="AB209" s="66" t="e">
        <f>VLOOKUP(A209,Enforcements!$C$7:$K$21,8,0)</f>
        <v>#N/A</v>
      </c>
      <c r="AC209" s="62" t="e">
        <f>VLOOKUP(A209,Enforcements!$C$7:$E$21,3,0)</f>
        <v>#N/A</v>
      </c>
      <c r="AD209" s="63" t="str">
        <f>IF(LEN(A209)=6,"0"&amp;A209,A209)</f>
        <v>0847-04</v>
      </c>
      <c r="AE209" s="9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s3://rtdc.mdm.uploadarchive.raw/RTDC4018/ "%USERPROFILE%\AppData\Local\Temp\OnboardLogs"\RTDC4018\2016-10-04 --exclude "*" --recursive --include "*20161004*" &amp; "%USERPROFILE%\Documents\GitHub\mrs-test-scripts\Headless Mode &amp; Sideloading\WalkAndUnGZ.bat" "%USERPROFILE%\AppData\Local\Temp\OnboardLogs"\RTDC4018\2016-10-04 &amp; aws s3 cp s3://rtdc.mdm.uploadarchive.raw/RTDC4018/ "%USERPROFILE%\AppData\Local\Temp\OnboardLogs"\RTDC4018\2016-10-05 --exclude "*" --recursive --include "*20161005*" &amp; "%USERPROFILE%\Documents\GitHub\mrs-test-scripts\Headless Mode &amp; Sideloading\WalkAndUnGZ.bat" "%USERPROFILE%\AppData\Local\Temp\OnboardLogs"\RTDC4018\2016-10-05</v>
      </c>
      <c r="AF209" s="92" t="str">
        <f>astrogrep_path&amp;" /spath="&amp;search_path&amp;" /stypes=""app*"&amp;B209&amp;"*"&amp;TEXT(I209-utc_offset/24,"YYYYMMDD")&amp;"*"" /stext="" "&amp;TEXT(I209-utc_offset/24,"HH")&amp;search_regexp&amp;""" /e /r /s"</f>
        <v>"C:\Program Files (x86)\AstroGrep\AstroGrep.exe" /spath="%USERPROFILE%\AppData\Local\Temp\OnboardLogs" /stypes="app*4018*20161005*" /stext=" 04:.+((SYSTEM_STATE.+slice.+state.+changed )|(ment ac)|(system.+state.+changed )|(\[timeout)|(PRM\|1\|D)|(kpr)|(kdp)|(\|lc)|(penalty))" /e /r /s</v>
      </c>
      <c r="AG209" s="1" t="str">
        <f>IFERROR(IF(VALUE(LEFT(AD209,2))&lt;=2,"EC",IF(OR(VALUE(LEFT(AD209,2))=8,VALUE(LEFT(AD209,2))=18),"NW","Other")),"Other")</f>
        <v>NW</v>
      </c>
      <c r="AH209" s="96" t="str">
        <f t="shared" si="9"/>
        <v>"%USERPROFILE%\Documents\GitHub\eaglep3\Utilities\RefineRTDCRunTimes.py" --tripid 847-04 --locoid 4018 --swversion DE.1.0.7.0 --startMP 204:1016 --initTime 2016-10-04T22:00:45 --startdatetime 2016-10-04T22:21:24 --delay 2 --endMP 300:58912 --enddatetime 2016-10-04T22:36:56 --enforcementcount 0 &gt;&gt;C:\Users\stu\Documents\GitHub\eaglep3-reporting\EC\2016-10-04-refined-times.txt</v>
      </c>
      <c r="AI209" s="130" t="str">
        <f t="shared" si="10"/>
        <v>echo {"issue":{"subject":"","project_id":79,"tracker_id":40,"status_id":1,"priority_id":2,"assigned_to_id":23,"start_date":"2016-10-04","description":"","custom_fields":[{"id":1,"name":"Subdivision","value":"NW"},{"id":4,"name":"Milepost","value":"5.8912"},{"id":17,"name":"Train ID","value":"847-04"},{"id":16,"name":"Locomotive ID","value":"4018"},{"id":130,"name":"Impact","value":""},{"id":150,"name":"Time of Event (Mountain Time)","value":"22:36:56"},{"id":151,"name":"Denver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5"/>
      <c r="AK209" s="55"/>
      <c r="AL209" s="55"/>
    </row>
    <row r="210" spans="1:38" x14ac:dyDescent="0.25">
      <c r="A210" s="39" t="s">
        <v>361</v>
      </c>
      <c r="B210" s="7">
        <v>4015</v>
      </c>
      <c r="C210" s="24" t="s">
        <v>106</v>
      </c>
      <c r="D210" s="24" t="s">
        <v>669</v>
      </c>
      <c r="E210" s="15">
        <v>42647.115902777776</v>
      </c>
      <c r="F210" s="15">
        <v>42647.117326388892</v>
      </c>
      <c r="G210" s="7">
        <v>1</v>
      </c>
      <c r="H210" s="15" t="s">
        <v>210</v>
      </c>
      <c r="I210" s="15">
        <v>42647.124664351853</v>
      </c>
      <c r="J210" s="7">
        <v>0</v>
      </c>
      <c r="K210" s="117" t="str">
        <f>IF(ISEVEN(B210),(B210-1)&amp;"/"&amp;B210,B210&amp;"/"&amp;(B210+1))</f>
        <v>4015/4016</v>
      </c>
      <c r="L210" s="24" t="str">
        <f>VLOOKUP(A210,'Trips&amp;Operators'!$C$1:$E$10000,3,FALSE)</f>
        <v>KILLION</v>
      </c>
      <c r="M210" s="6">
        <f>I210-F210</f>
        <v>7.3379629611736163E-3</v>
      </c>
      <c r="N210" s="7">
        <f>24*60*SUM($M210:$M210)</f>
        <v>10.566666664090008</v>
      </c>
      <c r="O210" s="7"/>
      <c r="P210" s="7"/>
      <c r="Q210" s="25"/>
      <c r="R210" s="25"/>
      <c r="S210" s="37">
        <f>SUM(U210:U210)/IF(AG210="EC",12,1)</f>
        <v>1</v>
      </c>
      <c r="T210" s="52" t="str">
        <f>IF(ISEVEN(LEFT(AD210,4)),"Southbound","NorthBound")</f>
        <v>Southbound</v>
      </c>
      <c r="U210" s="159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02" t="str">
        <f>"https://search-rtdc-monitor-bjffxe2xuh6vdkpspy63sjmuny.us-east-1.es.amazonaws.com/_plugin/kibana/#/discover/Steve-Slow-Train-Analysis-(2080s-and-2083s)?_g=(refreshInterval:(display:Off,section:0,value:0),time:(from:'"&amp;TEXT(E210-1/24,"yyyy-MM-DD hh:mm:ss")&amp;"-0600',mode:absolute,to:'"&amp;TEXT(I210+1/24,"yyyy-MM-DD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210&amp;"%22')),sort:!(Time,asc))"</f>
        <v>https://search-rtdc-monitor-bjffxe2xuh6vdkpspy63sjmuny.us-east-1.es.amazonaws.com/_plugin/kibana/#/discover/Steve-Slow-Train-Analysis-(2080s-and-2083s)?_g=(refreshInterval:(display:Off,section:0,value:0),time:(from:'2016-10-04 01:46:54-0600',mode:absolute,to:'2016-10-04 03:59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10" s="54" t="str">
        <f>IF(AA210&lt;IF(AG210="EC",23,5.65),"Y","N")</f>
        <v>Y</v>
      </c>
      <c r="X210" s="164">
        <f>VALUE(LEFT(AD210,4))-VALUE(LEFT(AD209,4))</f>
        <v>-545</v>
      </c>
      <c r="Y210" s="69">
        <f>RIGHT(D210,LEN(D210)-4)/10000</f>
        <v>2.1835</v>
      </c>
      <c r="Z210" s="69">
        <f>RIGHT(H210,LEN(H210)-4)/10000</f>
        <v>1.5599999999999999E-2</v>
      </c>
      <c r="AA210" s="69">
        <f>ABS(Z210-Y210)</f>
        <v>2.1678999999999999</v>
      </c>
      <c r="AB210" s="66" t="e">
        <f>VLOOKUP(A210,Enforcements!$C$7:$K$21,8,0)</f>
        <v>#N/A</v>
      </c>
      <c r="AC210" s="62" t="e">
        <f>VLOOKUP(A210,Enforcements!$C$7:$E$21,3,0)</f>
        <v>#N/A</v>
      </c>
      <c r="AD210" s="63" t="str">
        <f>IF(LEN(A210)=6,"0"&amp;A210,A210)</f>
        <v>0302-04</v>
      </c>
      <c r="AE210" s="9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s3://rtdc.mdm.uploadarchive.raw/RTDC4015/ "%USERPROFILE%\AppData\Local\Temp\OnboardLogs"\RTDC4015\2016-10-04 --exclude "*" --recursive --include "*20161004*" &amp; "%USERPROFILE%\Documents\GitHub\mrs-test-scripts\Headless Mode &amp; Sideloading\WalkAndUnGZ.bat" "%USERPROFILE%\AppData\Local\Temp\OnboardLogs"\RTDC4015\2016-10-04 &amp; aws s3 cp s3://rtdc.mdm.uploadarchive.raw/RTDC4015/ "%USERPROFILE%\AppData\Local\Temp\OnboardLogs"\RTDC4015\2016-10-05 --exclude "*" --recursive --include "*20161005*" &amp; "%USERPROFILE%\Documents\GitHub\mrs-test-scripts\Headless Mode &amp; Sideloading\WalkAndUnGZ.bat" "%USERPROFILE%\AppData\Local\Temp\OnboardLogs"\RTDC4015\2016-10-05</v>
      </c>
      <c r="AF210" s="92" t="str">
        <f>astrogrep_path&amp;" /spath="&amp;search_path&amp;" /stypes=""app*"&amp;B210&amp;"*"&amp;TEXT(I210-utc_offset/24,"YYYYMMDD")&amp;"*"" /stext="" "&amp;TEXT(I210-utc_offset/24,"HH")&amp;search_regexp&amp;""" /e /r /s"</f>
        <v>"C:\Program Files (x86)\AstroGrep\AstroGrep.exe" /spath="%USERPROFILE%\AppData\Local\Temp\OnboardLogs" /stypes="app*4015*20161004*" /stext=" 08:.+((SYSTEM_STATE.+slice.+state.+changed )|(ment ac)|(system.+state.+changed )|(\[timeout)|(PRM\|1\|D)|(kpr)|(kdp)|(\|lc)|(penalty))" /e /r /s</v>
      </c>
      <c r="AG210" s="1" t="str">
        <f>IFERROR(IF(VALUE(LEFT(AD210,2))&lt;=2,"EC",IF(OR(VALUE(LEFT(AD210,2))=8,VALUE(LEFT(AD210,2))=18),"NW","Other")),"Other")</f>
        <v>Other</v>
      </c>
      <c r="AH210" s="96" t="str">
        <f t="shared" si="9"/>
        <v>"%USERPROFILE%\Documents\GitHub\eaglep3\Utilities\RefineRTDCRunTimes.py" --tripid 302-04 --locoid 4015 --swversion DE.1.0.7.0 --startMP 300:21835 --initTime 2016-10-04T02:46:54 --startdatetime 2016-10-04T02:48:57 --delay 1 --endMP 204:156 --enddatetime 2016-10-04T02:59:31 --enforcementcount 0 &gt;&gt;C:\Users\stu\Documents\GitHub\eaglep3-reporting\EC\2016-10-04-refined-times.txt</v>
      </c>
      <c r="AI210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{"issue":{"subject":"","project_id":79,"tracker_id":40,"status_id":1,"priority_id":2,"assigned_to_id":23,"start_date":"2016-10-04","description":"","custom_fields":[{"id":1,"name":"Subdivision","value":"Other"},{"id":4,"name":"Milepost","value":"0.0156"},{"id":17,"name":"Train ID","value":"302-04"},{"id":16,"name":"Locomotive ID","value":"4015"},{"id":130,"name":"Impact","value":""},{"id":150,"name":"Time of Event (Mountain Time)","value":"02:59:31"},{"id":151,"name":"Denver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5"/>
      <c r="AK210" s="55"/>
      <c r="AL210" s="55"/>
    </row>
    <row r="211" spans="1:38" x14ac:dyDescent="0.25">
      <c r="A211" s="39" t="s">
        <v>557</v>
      </c>
      <c r="B211" s="7">
        <v>4025</v>
      </c>
      <c r="C211" s="24" t="s">
        <v>106</v>
      </c>
      <c r="D211" s="24" t="s">
        <v>303</v>
      </c>
      <c r="E211" s="15">
        <v>42647.778831018521</v>
      </c>
      <c r="F211" s="15">
        <v>42647.790439814817</v>
      </c>
      <c r="G211" s="7">
        <v>1</v>
      </c>
      <c r="H211" s="15" t="s">
        <v>670</v>
      </c>
      <c r="I211" s="15">
        <v>42647.795567129629</v>
      </c>
      <c r="J211" s="7">
        <v>0</v>
      </c>
      <c r="K211" s="117" t="str">
        <f>IF(ISEVEN(B211),(B211-1)&amp;"/"&amp;B211,B211&amp;"/"&amp;(B211+1))</f>
        <v>4025/4026</v>
      </c>
      <c r="L211" s="24" t="str">
        <f>VLOOKUP(A211,'Trips&amp;Operators'!$C$1:$E$10000,3,FALSE)</f>
        <v>BONDS</v>
      </c>
      <c r="M211" s="6">
        <f>I211-F211</f>
        <v>5.1273148128530011E-3</v>
      </c>
      <c r="N211" s="7">
        <f>24*60*SUM($M211:$M211)</f>
        <v>7.3833333305083215</v>
      </c>
      <c r="O211" s="7"/>
      <c r="P211" s="7"/>
      <c r="Q211" s="25"/>
      <c r="R211" s="25"/>
      <c r="S211" s="37">
        <f>SUM(U211:U211)/IF(AG211="EC",12,1)</f>
        <v>1</v>
      </c>
      <c r="T211" s="52" t="str">
        <f>IF(ISEVEN(LEFT(AD211,4)),"Southbound","NorthBound")</f>
        <v>NorthBound</v>
      </c>
      <c r="U211" s="159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02" t="str">
        <f>"https://search-rtdc-monitor-bjffxe2xuh6vdkpspy63sjmuny.us-east-1.es.amazonaws.com/_plugin/kibana/#/discover/Steve-Slow-Train-Analysis-(2080s-and-2083s)?_g=(refreshInterval:(display:Off,section:0,value:0),time:(from:'"&amp;TEXT(E211-1/24,"yyyy-MM-DD hh:mm:ss")&amp;"-0600',mode:absolute,to:'"&amp;TEXT(I211+1/24,"yyyy-MM-DD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211&amp;"%22')),sort:!(Time,asc))"</f>
        <v>https://search-rtdc-monitor-bjffxe2xuh6vdkpspy63sjmuny.us-east-1.es.amazonaws.com/_plugin/kibana/#/discover/Steve-Slow-Train-Analysis-(2080s-and-2083s)?_g=(refreshInterval:(display:Off,section:0,value:0),time:(from:'2016-10-04 17:41:31-0600',mode:absolute,to:'2016-10-04 20:05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11" s="54" t="str">
        <f>IF(AA211&lt;IF(AG211="EC",23,5.65),"Y","N")</f>
        <v>Y</v>
      </c>
      <c r="X211" s="164">
        <f>VALUE(LEFT(AD211,4))-VALUE(LEFT(AD210,4))</f>
        <v>1</v>
      </c>
      <c r="Y211" s="69">
        <f>RIGHT(D211,LEN(D211)-4)/10000</f>
        <v>4.6899999999999997E-2</v>
      </c>
      <c r="Z211" s="69">
        <f>RIGHT(H211,LEN(H211)-4)/10000</f>
        <v>2.3304</v>
      </c>
      <c r="AA211" s="69">
        <f>ABS(Z211-Y211)</f>
        <v>2.2835000000000001</v>
      </c>
      <c r="AB211" s="66" t="e">
        <f>VLOOKUP(A211,Enforcements!$C$7:$K$21,8,0)</f>
        <v>#N/A</v>
      </c>
      <c r="AC211" s="62" t="e">
        <f>VLOOKUP(A211,Enforcements!$C$7:$E$21,3,0)</f>
        <v>#N/A</v>
      </c>
      <c r="AD211" s="63" t="str">
        <f>IF(LEN(A211)=6,"0"&amp;A211,A211)</f>
        <v>0303-04</v>
      </c>
      <c r="AE211" s="9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s3://rtdc.mdm.uploadarchive.raw/RTDC4025/ "%USERPROFILE%\AppData\Local\Temp\OnboardLogs"\RTDC4025\2016-10-04 --exclude "*" --recursive --include "*20161004*" &amp; "%USERPROFILE%\Documents\GitHub\mrs-test-scripts\Headless Mode &amp; Sideloading\WalkAndUnGZ.bat" "%USERPROFILE%\AppData\Local\Temp\OnboardLogs"\RTDC4025\2016-10-04 &amp; aws s3 cp s3://rtdc.mdm.uploadarchive.raw/RTDC4025/ "%USERPROFILE%\AppData\Local\Temp\OnboardLogs"\RTDC4025\2016-10-05 --exclude "*" --recursive --include "*20161005*" &amp; "%USERPROFILE%\Documents\GitHub\mrs-test-scripts\Headless Mode &amp; Sideloading\WalkAndUnGZ.bat" "%USERPROFILE%\AppData\Local\Temp\OnboardLogs"\RTDC4025\2016-10-05</v>
      </c>
      <c r="AF211" s="92" t="str">
        <f>astrogrep_path&amp;" /spath="&amp;search_path&amp;" /stypes=""app*"&amp;B211&amp;"*"&amp;TEXT(I211-utc_offset/24,"YYYYMMDD")&amp;"*"" /stext="" "&amp;TEXT(I211-utc_offset/24,"HH")&amp;search_regexp&amp;""" /e /r /s"</f>
        <v>"C:\Program Files (x86)\AstroGrep\AstroGrep.exe" /spath="%USERPROFILE%\AppData\Local\Temp\OnboardLogs" /stypes="app*4025*20161005*" /stext=" 01:.+((SYSTEM_STATE.+slice.+state.+changed )|(ment ac)|(system.+state.+changed )|(\[timeout)|(PRM\|1\|D)|(kpr)|(kdp)|(\|lc)|(penalty))" /e /r /s</v>
      </c>
      <c r="AG211" s="1" t="str">
        <f>IFERROR(IF(VALUE(LEFT(AD211,2))&lt;=2,"EC",IF(OR(VALUE(LEFT(AD211,2))=8,VALUE(LEFT(AD211,2))=18),"NW","Other")),"Other")</f>
        <v>Other</v>
      </c>
      <c r="AH211" s="96" t="str">
        <f t="shared" si="9"/>
        <v>"%USERPROFILE%\Documents\GitHub\eaglep3\Utilities\RefineRTDCRunTimes.py" --tripid 303-04 --locoid 4025 --swversion DE.1.0.7.0 --startMP 204:469 --initTime 2016-10-04T18:41:31 --startdatetime 2016-10-04T18:58:14 --delay 1 --endMP 300:23304 --enddatetime 2016-10-04T19:05:37 --enforcementcount 0 &gt;&gt;C:\Users\stu\Documents\GitHub\eaglep3-reporting\EC\2016-10-04-refined-times.txt</v>
      </c>
      <c r="AI211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{"issue":{"subject":"","project_id":79,"tracker_id":40,"status_id":1,"priority_id":2,"assigned_to_id":23,"start_date":"2016-10-04","description":"","custom_fields":[{"id":1,"name":"Subdivision","value":"Other"},{"id":4,"name":"Milepost","value":"2.3304"},{"id":17,"name":"Train ID","value":"303-04"},{"id":16,"name":"Locomotive ID","value":"4025"},{"id":130,"name":"Impact","value":""},{"id":150,"name":"Time of Event (Mountain Time)","value":"19:05:37"},{"id":151,"name":"Denver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5"/>
      <c r="AK211" s="55"/>
      <c r="AL211" s="55"/>
    </row>
    <row r="212" spans="1:38" x14ac:dyDescent="0.25">
      <c r="A212" s="39" t="s">
        <v>364</v>
      </c>
      <c r="B212" s="7">
        <v>4008</v>
      </c>
      <c r="C212" s="24" t="s">
        <v>106</v>
      </c>
      <c r="D212" s="24" t="s">
        <v>671</v>
      </c>
      <c r="E212" s="15">
        <v>42647.141516203701</v>
      </c>
      <c r="F212" s="15">
        <v>42647.142835648148</v>
      </c>
      <c r="G212" s="7">
        <v>1</v>
      </c>
      <c r="H212" s="15" t="s">
        <v>672</v>
      </c>
      <c r="I212" s="15">
        <v>42647.15047453704</v>
      </c>
      <c r="J212" s="7">
        <v>0</v>
      </c>
      <c r="K212" s="117" t="str">
        <f>IF(ISEVEN(B212),(B212-1)&amp;"/"&amp;B212,B212&amp;"/"&amp;(B212+1))</f>
        <v>4007/4008</v>
      </c>
      <c r="L212" s="24" t="str">
        <f>VLOOKUP(A212,'Trips&amp;Operators'!$C$1:$E$10000,3,FALSE)</f>
        <v>ACKERMAN</v>
      </c>
      <c r="M212" s="6">
        <f>I212-F212</f>
        <v>7.6388888919609599E-3</v>
      </c>
      <c r="N212" s="7">
        <f>24*60*SUM($M212:$M212)</f>
        <v>11.000000004423782</v>
      </c>
      <c r="O212" s="7"/>
      <c r="P212" s="7"/>
      <c r="Q212" s="25"/>
      <c r="R212" s="25"/>
      <c r="S212" s="37">
        <f>SUM(U212:U212)/IF(AG212="EC",12,1)</f>
        <v>1</v>
      </c>
      <c r="T212" s="52" t="str">
        <f>IF(ISEVEN(LEFT(AD212,4)),"Southbound","NorthBound")</f>
        <v>Southbound</v>
      </c>
      <c r="U212" s="159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02" t="str">
        <f>"https://search-rtdc-monitor-bjffxe2xuh6vdkpspy63sjmuny.us-east-1.es.amazonaws.com/_plugin/kibana/#/discover/Steve-Slow-Train-Analysis-(2080s-and-2083s)?_g=(refreshInterval:(display:Off,section:0,value:0),time:(from:'"&amp;TEXT(E212-1/24,"yyyy-MM-DD hh:mm:ss")&amp;"-0600',mode:absolute,to:'"&amp;TEXT(I212+1/24,"yyyy-MM-DD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212&amp;"%22')),sort:!(Time,asc))"</f>
        <v>https://search-rtdc-monitor-bjffxe2xuh6vdkpspy63sjmuny.us-east-1.es.amazonaws.com/_plugin/kibana/#/discover/Steve-Slow-Train-Analysis-(2080s-and-2083s)?_g=(refreshInterval:(display:Off,section:0,value:0),time:(from:'2016-10-04 02:23:47-0600',mode:absolute,to:'2016-10-04 04:36:41-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W212" s="54" t="str">
        <f>IF(AA212&lt;IF(AG212="EC",23,5.65),"Y","N")</f>
        <v>Y</v>
      </c>
      <c r="X212" s="164">
        <f>VALUE(LEFT(AD212,4))-VALUE(LEFT(AD211,4))</f>
        <v>1</v>
      </c>
      <c r="Y212" s="69">
        <f>RIGHT(D212,LEN(D212)-4)/10000</f>
        <v>2.3159999999999998</v>
      </c>
      <c r="Z212" s="69">
        <f>RIGHT(H212,LEN(H212)-4)/10000</f>
        <v>1.0500000000000001E-2</v>
      </c>
      <c r="AA212" s="69">
        <f>ABS(Z212-Y212)</f>
        <v>2.3054999999999999</v>
      </c>
      <c r="AB212" s="66" t="e">
        <f>VLOOKUP(A212,Enforcements!$C$7:$K$21,8,0)</f>
        <v>#N/A</v>
      </c>
      <c r="AC212" s="62" t="e">
        <f>VLOOKUP(A212,Enforcements!$C$7:$E$21,3,0)</f>
        <v>#N/A</v>
      </c>
      <c r="AD212" s="63" t="str">
        <f>IF(LEN(A212)=6,"0"&amp;A212,A212)</f>
        <v>0304-04</v>
      </c>
      <c r="AE212" s="9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s3://rtdc.mdm.uploadarchive.raw/RTDC4008/ "%USERPROFILE%\AppData\Local\Temp\OnboardLogs"\RTDC4008\2016-10-04 --exclude "*" --recursive --include "*20161004*" &amp; "%USERPROFILE%\Documents\GitHub\mrs-test-scripts\Headless Mode &amp; Sideloading\WalkAndUnGZ.bat" "%USERPROFILE%\AppData\Local\Temp\OnboardLogs"\RTDC4008\2016-10-04 &amp; aws s3 cp s3://rtdc.mdm.uploadarchive.raw/RTDC4008/ "%USERPROFILE%\AppData\Local\Temp\OnboardLogs"\RTDC4008\2016-10-05 --exclude "*" --recursive --include "*20161005*" &amp; "%USERPROFILE%\Documents\GitHub\mrs-test-scripts\Headless Mode &amp; Sideloading\WalkAndUnGZ.bat" "%USERPROFILE%\AppData\Local\Temp\OnboardLogs"\RTDC4008\2016-10-05</v>
      </c>
      <c r="AF212" s="92" t="str">
        <f>astrogrep_path&amp;" /spath="&amp;search_path&amp;" /stypes=""app*"&amp;B212&amp;"*"&amp;TEXT(I212-utc_offset/24,"YYYYMMDD")&amp;"*"" /stext="" "&amp;TEXT(I212-utc_offset/24,"HH")&amp;search_regexp&amp;""" /e /r /s"</f>
        <v>"C:\Program Files (x86)\AstroGrep\AstroGrep.exe" /spath="%USERPROFILE%\AppData\Local\Temp\OnboardLogs" /stypes="app*4008*20161004*" /stext=" 09:.+((SYSTEM_STATE.+slice.+state.+changed )|(ment ac)|(system.+state.+changed )|(\[timeout)|(PRM\|1\|D)|(kpr)|(kdp)|(\|lc)|(penalty))" /e /r /s</v>
      </c>
      <c r="AG212" s="1" t="str">
        <f>IFERROR(IF(VALUE(LEFT(AD212,2))&lt;=2,"EC",IF(OR(VALUE(LEFT(AD212,2))=8,VALUE(LEFT(AD212,2))=18),"NW","Other")),"Other")</f>
        <v>Other</v>
      </c>
      <c r="AH212" s="96" t="str">
        <f t="shared" si="9"/>
        <v>"%USERPROFILE%\Documents\GitHub\eaglep3\Utilities\RefineRTDCRunTimes.py" --tripid 304-04 --locoid 4008 --swversion DE.1.0.7.0 --startMP 300:23160 --initTime 2016-10-04T03:23:47 --startdatetime 2016-10-04T03:25:41 --delay 1 --endMP 204:105 --enddatetime 2016-10-04T03:36:41 --enforcementcount 0 &gt;&gt;C:\Users\stu\Documents\GitHub\eaglep3-reporting\EC\2016-10-04-refined-times.txt</v>
      </c>
      <c r="AI212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{"issue":{"subject":"","project_id":79,"tracker_id":40,"status_id":1,"priority_id":2,"assigned_to_id":23,"start_date":"2016-10-04","description":"","custom_fields":[{"id":1,"name":"Subdivision","value":"Other"},{"id":4,"name":"Milepost","value":"0.0105"},{"id":17,"name":"Train ID","value":"304-04"},{"id":16,"name":"Locomotive ID","value":"4008"},{"id":130,"name":"Impact","value":""},{"id":150,"name":"Time of Event (Mountain Time)","value":"03:36:41"},{"id":151,"name":"Denver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5"/>
      <c r="AK212" s="55"/>
      <c r="AL212" s="55"/>
    </row>
    <row r="213" spans="1:38" x14ac:dyDescent="0.25">
      <c r="A213" s="39" t="s">
        <v>565</v>
      </c>
      <c r="B213" s="7">
        <v>4016</v>
      </c>
      <c r="C213" s="24" t="s">
        <v>106</v>
      </c>
      <c r="D213" s="24" t="s">
        <v>256</v>
      </c>
      <c r="E213" s="15">
        <v>42647.805995370371</v>
      </c>
      <c r="F213" s="15">
        <v>42647.811296296299</v>
      </c>
      <c r="G213" s="7">
        <v>1</v>
      </c>
      <c r="H213" s="15" t="s">
        <v>673</v>
      </c>
      <c r="I213" s="15">
        <v>42647.816759259258</v>
      </c>
      <c r="J213" s="7">
        <v>0</v>
      </c>
      <c r="K213" s="117" t="str">
        <f>IF(ISEVEN(B213),(B213-1)&amp;"/"&amp;B213,B213&amp;"/"&amp;(B213+1))</f>
        <v>4015/4016</v>
      </c>
      <c r="L213" s="24" t="str">
        <f>VLOOKUP(A213,'Trips&amp;Operators'!$C$1:$E$10000,3,FALSE)</f>
        <v>CLARK</v>
      </c>
      <c r="M213" s="6">
        <f>I213-F213</f>
        <v>5.4629629594273865E-3</v>
      </c>
      <c r="N213" s="7">
        <f>24*60*SUM($M213:$M213)</f>
        <v>7.8666666615754366</v>
      </c>
      <c r="O213" s="7"/>
      <c r="P213" s="7"/>
      <c r="Q213" s="25"/>
      <c r="R213" s="25"/>
      <c r="S213" s="37">
        <f>SUM(U213:U213)/IF(AG213="EC",12,1)</f>
        <v>1</v>
      </c>
      <c r="T213" s="52" t="str">
        <f>IF(ISEVEN(LEFT(AD213,4)),"Southbound","NorthBound")</f>
        <v>NorthBound</v>
      </c>
      <c r="U213" s="159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02" t="str">
        <f>"https://search-rtdc-monitor-bjffxe2xuh6vdkpspy63sjmuny.us-east-1.es.amazonaws.com/_plugin/kibana/#/discover/Steve-Slow-Train-Analysis-(2080s-and-2083s)?_g=(refreshInterval:(display:Off,section:0,value:0),time:(from:'"&amp;TEXT(E213-1/24,"yyyy-MM-DD hh:mm:ss")&amp;"-0600',mode:absolute,to:'"&amp;TEXT(I213+1/24,"yyyy-MM-DD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213&amp;"%22')),sort:!(Time,asc))"</f>
        <v>https://search-rtdc-monitor-bjffxe2xuh6vdkpspy63sjmuny.us-east-1.es.amazonaws.com/_plugin/kibana/#/discover/Steve-Slow-Train-Analysis-(2080s-and-2083s)?_g=(refreshInterval:(display:Off,section:0,value:0),time:(from:'2016-10-04 18:20:38-0600',mode:absolute,to:'2016-10-04 20:36:08-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3" s="54" t="str">
        <f>IF(AA213&lt;IF(AG213="EC",23,5.65),"Y","N")</f>
        <v>Y</v>
      </c>
      <c r="X213" s="164">
        <f>VALUE(LEFT(AD213,4))-VALUE(LEFT(AD212,4))</f>
        <v>1</v>
      </c>
      <c r="Y213" s="69">
        <f>RIGHT(D213,LEN(D213)-4)/10000</f>
        <v>4.4900000000000002E-2</v>
      </c>
      <c r="Z213" s="69">
        <f>RIGHT(H213,LEN(H213)-4)/10000</f>
        <v>2.3315999999999999</v>
      </c>
      <c r="AA213" s="69">
        <f>ABS(Z213-Y213)</f>
        <v>2.2866999999999997</v>
      </c>
      <c r="AB213" s="66" t="e">
        <f>VLOOKUP(A213,Enforcements!$C$7:$K$21,8,0)</f>
        <v>#N/A</v>
      </c>
      <c r="AC213" s="62" t="e">
        <f>VLOOKUP(A213,Enforcements!$C$7:$E$21,3,0)</f>
        <v>#N/A</v>
      </c>
      <c r="AD213" s="63" t="str">
        <f>IF(LEN(A213)=6,"0"&amp;A213,A213)</f>
        <v>0305-04</v>
      </c>
      <c r="AE213" s="9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s3://rtdc.mdm.uploadarchive.raw/RTDC4016/ "%USERPROFILE%\AppData\Local\Temp\OnboardLogs"\RTDC4016\2016-10-04 --exclude "*" --recursive --include "*20161004*" &amp; "%USERPROFILE%\Documents\GitHub\mrs-test-scripts\Headless Mode &amp; Sideloading\WalkAndUnGZ.bat" "%USERPROFILE%\AppData\Local\Temp\OnboardLogs"\RTDC4016\2016-10-04 &amp; aws s3 cp s3://rtdc.mdm.uploadarchive.raw/RTDC4016/ "%USERPROFILE%\AppData\Local\Temp\OnboardLogs"\RTDC4016\2016-10-05 --exclude "*" --recursive --include "*20161005*" &amp; "%USERPROFILE%\Documents\GitHub\mrs-test-scripts\Headless Mode &amp; Sideloading\WalkAndUnGZ.bat" "%USERPROFILE%\AppData\Local\Temp\OnboardLogs"\RTDC4016\2016-10-05</v>
      </c>
      <c r="AF213" s="92" t="str">
        <f>astrogrep_path&amp;" /spath="&amp;search_path&amp;" /stypes=""app*"&amp;B213&amp;"*"&amp;TEXT(I213-utc_offset/24,"YYYYMMDD")&amp;"*"" /stext="" "&amp;TEXT(I213-utc_offset/24,"HH")&amp;search_regexp&amp;""" /e /r /s"</f>
        <v>"C:\Program Files (x86)\AstroGrep\AstroGrep.exe" /spath="%USERPROFILE%\AppData\Local\Temp\OnboardLogs" /stypes="app*4016*20161005*" /stext=" 01:.+((SYSTEM_STATE.+slice.+state.+changed )|(ment ac)|(system.+state.+changed )|(\[timeout)|(PRM\|1\|D)|(kpr)|(kdp)|(\|lc)|(penalty))" /e /r /s</v>
      </c>
      <c r="AG213" s="1" t="str">
        <f>IFERROR(IF(VALUE(LEFT(AD213,2))&lt;=2,"EC",IF(OR(VALUE(LEFT(AD213,2))=8,VALUE(LEFT(AD213,2))=18),"NW","Other")),"Other")</f>
        <v>Other</v>
      </c>
      <c r="AH213" s="96" t="str">
        <f t="shared" si="9"/>
        <v>"%USERPROFILE%\Documents\GitHub\eaglep3\Utilities\RefineRTDCRunTimes.py" --tripid 305-04 --locoid 4016 --swversion DE.1.0.7.0 --startMP 204:449 --initTime 2016-10-04T19:20:38 --startdatetime 2016-10-04T19:28:16 --delay 1 --endMP 300:23316 --enddatetime 2016-10-04T19:36:08 --enforcementcount 0 &gt;&gt;C:\Users\stu\Documents\GitHub\eaglep3-reporting\EC\2016-10-04-refined-times.txt</v>
      </c>
      <c r="AI213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{"issue":{"subject":"","project_id":79,"tracker_id":40,"status_id":1,"priority_id":2,"assigned_to_id":23,"start_date":"2016-10-04","description":"","custom_fields":[{"id":1,"name":"Subdivision","value":"Other"},{"id":4,"name":"Milepost","value":"2.3316"},{"id":17,"name":"Train ID","value":"305-04"},{"id":16,"name":"Locomotive ID","value":"4016"},{"id":130,"name":"Impact","value":""},{"id":150,"name":"Time of Event (Mountain Time)","value":"19:36:08"},{"id":151,"name":"Denver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5"/>
      <c r="AK213" s="55"/>
      <c r="AL213" s="55"/>
    </row>
    <row r="214" spans="1:38" x14ac:dyDescent="0.25">
      <c r="A214" s="39" t="s">
        <v>367</v>
      </c>
      <c r="B214" s="7">
        <v>4041</v>
      </c>
      <c r="C214" s="24" t="s">
        <v>106</v>
      </c>
      <c r="D214" s="24" t="s">
        <v>674</v>
      </c>
      <c r="E214" s="15">
        <v>42647.161122685182</v>
      </c>
      <c r="F214" s="15">
        <v>42647.163229166668</v>
      </c>
      <c r="G214" s="7">
        <v>1</v>
      </c>
      <c r="H214" s="15" t="s">
        <v>199</v>
      </c>
      <c r="I214" s="15">
        <v>42647.170370370368</v>
      </c>
      <c r="J214" s="7">
        <v>0</v>
      </c>
      <c r="K214" s="117" t="str">
        <f>IF(ISEVEN(B214),(B214-1)&amp;"/"&amp;B214,B214&amp;"/"&amp;(B214+1))</f>
        <v>4041/4042</v>
      </c>
      <c r="L214" s="24" t="str">
        <f>VLOOKUP(A214,'Trips&amp;Operators'!$C$1:$E$10000,3,FALSE)</f>
        <v>BRANNON</v>
      </c>
      <c r="M214" s="6">
        <f>I214-F214</f>
        <v>7.1412036995752715E-3</v>
      </c>
      <c r="N214" s="7">
        <f>24*60*SUM($M214:$M214)</f>
        <v>10.283333327388391</v>
      </c>
      <c r="O214" s="7"/>
      <c r="P214" s="7"/>
      <c r="Q214" s="25"/>
      <c r="R214" s="25"/>
      <c r="S214" s="37">
        <f>SUM(U214:U214)/IF(AG214="EC",12,1)</f>
        <v>1</v>
      </c>
      <c r="T214" s="52" t="str">
        <f>IF(ISEVEN(LEFT(AD214,4)),"Southbound","NorthBound")</f>
        <v>Southbound</v>
      </c>
      <c r="U214" s="159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02" t="str">
        <f>"https://search-rtdc-monitor-bjffxe2xuh6vdkpspy63sjmuny.us-east-1.es.amazonaws.com/_plugin/kibana/#/discover/Steve-Slow-Train-Analysis-(2080s-and-2083s)?_g=(refreshInterval:(display:Off,section:0,value:0),time:(from:'"&amp;TEXT(E214-1/24,"yyyy-MM-DD hh:mm:ss")&amp;"-0600',mode:absolute,to:'"&amp;TEXT(I214+1/24,"yyyy-MM-DD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214&amp;"%22')),sort:!(Time,asc))"</f>
        <v>https://search-rtdc-monitor-bjffxe2xuh6vdkpspy63sjmuny.us-east-1.es.amazonaws.com/_plugin/kibana/#/discover/Steve-Slow-Train-Analysis-(2080s-and-2083s)?_g=(refreshInterval:(display:Off,section:0,value:0),time:(from:'2016-10-04 02:52:01-0600',mode:absolute,to:'2016-10-04 05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14" s="54" t="str">
        <f>IF(AA214&lt;IF(AG214="EC",23,5.65),"Y","N")</f>
        <v>Y</v>
      </c>
      <c r="X214" s="164">
        <f>VALUE(LEFT(AD214,4))-VALUE(LEFT(AD213,4))</f>
        <v>1</v>
      </c>
      <c r="Y214" s="69">
        <f>RIGHT(D214,LEN(D214)-4)/10000</f>
        <v>2.1800999999999999</v>
      </c>
      <c r="Z214" s="69">
        <f>RIGHT(H214,LEN(H214)-4)/10000</f>
        <v>1.52E-2</v>
      </c>
      <c r="AA214" s="69">
        <f>ABS(Z214-Y214)</f>
        <v>2.1648999999999998</v>
      </c>
      <c r="AB214" s="66" t="e">
        <f>VLOOKUP(A214,Enforcements!$C$7:$K$21,8,0)</f>
        <v>#N/A</v>
      </c>
      <c r="AC214" s="62" t="e">
        <f>VLOOKUP(A214,Enforcements!$C$7:$E$21,3,0)</f>
        <v>#N/A</v>
      </c>
      <c r="AD214" s="63" t="str">
        <f>IF(LEN(A214)=6,"0"&amp;A214,A214)</f>
        <v>0306-04</v>
      </c>
      <c r="AE214" s="9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s3://rtdc.mdm.uploadarchive.raw/RTDC4041/ "%USERPROFILE%\AppData\Local\Temp\OnboardLogs"\RTDC4041\2016-10-04 --exclude "*" --recursive --include "*20161004*" &amp; "%USERPROFILE%\Documents\GitHub\mrs-test-scripts\Headless Mode &amp; Sideloading\WalkAndUnGZ.bat" "%USERPROFILE%\AppData\Local\Temp\OnboardLogs"\RTDC4041\2016-10-04 &amp; aws s3 cp s3://rtdc.mdm.uploadarchive.raw/RTDC4041/ "%USERPROFILE%\AppData\Local\Temp\OnboardLogs"\RTDC4041\2016-10-05 --exclude "*" --recursive --include "*20161005*" &amp; "%USERPROFILE%\Documents\GitHub\mrs-test-scripts\Headless Mode &amp; Sideloading\WalkAndUnGZ.bat" "%USERPROFILE%\AppData\Local\Temp\OnboardLogs"\RTDC4041\2016-10-05</v>
      </c>
      <c r="AF214" s="92" t="str">
        <f>astrogrep_path&amp;" /spath="&amp;search_path&amp;" /stypes=""app*"&amp;B214&amp;"*"&amp;TEXT(I214-utc_offset/24,"YYYYMMDD")&amp;"*"" /stext="" "&amp;TEXT(I214-utc_offset/24,"HH")&amp;search_regexp&amp;""" /e /r /s"</f>
        <v>"C:\Program Files (x86)\AstroGrep\AstroGrep.exe" /spath="%USERPROFILE%\AppData\Local\Temp\OnboardLogs" /stypes="app*4041*20161004*" /stext=" 10:.+((SYSTEM_STATE.+slice.+state.+changed )|(ment ac)|(system.+state.+changed )|(\[timeout)|(PRM\|1\|D)|(kpr)|(kdp)|(\|lc)|(penalty))" /e /r /s</v>
      </c>
      <c r="AG214" s="1" t="str">
        <f>IFERROR(IF(VALUE(LEFT(AD214,2))&lt;=2,"EC",IF(OR(VALUE(LEFT(AD214,2))=8,VALUE(LEFT(AD214,2))=18),"NW","Other")),"Other")</f>
        <v>Other</v>
      </c>
      <c r="AH214" s="96" t="str">
        <f t="shared" si="9"/>
        <v>"%USERPROFILE%\Documents\GitHub\eaglep3\Utilities\RefineRTDCRunTimes.py" --tripid 306-04 --locoid 4041 --swversion DE.1.0.7.0 --startMP 300:21801 --initTime 2016-10-04T03:52:01 --startdatetime 2016-10-04T03:55:03 --delay 1 --endMP 204:152 --enddatetime 2016-10-04T04:05:20 --enforcementcount 0 &gt;&gt;C:\Users\stu\Documents\GitHub\eaglep3-reporting\EC\2016-10-04-refined-times.txt</v>
      </c>
      <c r="AI214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{"issue":{"subject":"","project_id":79,"tracker_id":40,"status_id":1,"priority_id":2,"assigned_to_id":23,"start_date":"2016-10-04","description":"","custom_fields":[{"id":1,"name":"Subdivision","value":"Other"},{"id":4,"name":"Milepost","value":"0.0152"},{"id":17,"name":"Train ID","value":"306-04"},{"id":16,"name":"Locomotive ID","value":"4041"},{"id":130,"name":"Impact","value":""},{"id":150,"name":"Time of Event (Mountain Time)","value":"04:05:20"},{"id":151,"name":"Denver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5"/>
      <c r="AK214" s="55"/>
      <c r="AL214" s="55"/>
    </row>
    <row r="215" spans="1:38" x14ac:dyDescent="0.25">
      <c r="A215" s="39" t="s">
        <v>568</v>
      </c>
      <c r="B215" s="7">
        <v>4007</v>
      </c>
      <c r="C215" s="24" t="s">
        <v>106</v>
      </c>
      <c r="D215" s="24" t="s">
        <v>675</v>
      </c>
      <c r="E215" s="15">
        <v>42647.822662037041</v>
      </c>
      <c r="F215" s="15">
        <v>25568.708333333332</v>
      </c>
      <c r="G215" s="7">
        <v>1</v>
      </c>
      <c r="H215" s="15" t="s">
        <v>676</v>
      </c>
      <c r="I215" s="15">
        <v>25568.708333333332</v>
      </c>
      <c r="J215" s="7">
        <v>0</v>
      </c>
      <c r="K215" s="117" t="str">
        <f>IF(ISEVEN(B215),(B215-1)&amp;"/"&amp;B215,B215&amp;"/"&amp;(B215+1))</f>
        <v>4007/4008</v>
      </c>
      <c r="L215" s="24" t="str">
        <f>VLOOKUP(A215,'Trips&amp;Operators'!$C$1:$E$10000,3,FALSE)</f>
        <v>STORY</v>
      </c>
      <c r="M215" s="6">
        <f>I215-F215</f>
        <v>0</v>
      </c>
      <c r="N215" s="7">
        <f>24*60*SUM($M215:$M215)</f>
        <v>0</v>
      </c>
      <c r="O215" s="7"/>
      <c r="P215" s="7"/>
      <c r="Q215" s="25"/>
      <c r="R215" s="25"/>
      <c r="S215" s="37">
        <f>SUM(U215:U215)/IF(AG215="EC",12,1)</f>
        <v>1</v>
      </c>
      <c r="T215" s="52" t="str">
        <f>IF(ISEVEN(LEFT(AD215,4)),"Southbound","NorthBound")</f>
        <v>NorthBound</v>
      </c>
      <c r="U215" s="159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02" t="str">
        <f>"https://search-rtdc-monitor-bjffxe2xuh6vdkpspy63sjmuny.us-east-1.es.amazonaws.com/_plugin/kibana/#/discover/Steve-Slow-Train-Analysis-(2080s-and-2083s)?_g=(refreshInterval:(display:Off,section:0,value:0),time:(from:'"&amp;TEXT(E215-1/24,"yyyy-MM-DD hh:mm:ss")&amp;"-0600',mode:absolute,to:'"&amp;TEXT(I215+1/24,"yyyy-MM-DD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215&amp;"%22')),sort:!(Time,asc))"</f>
        <v>https://search-rtdc-monitor-bjffxe2xuh6vdkpspy63sjmuny.us-east-1.es.amazonaws.com/_plugin/kibana/#/discover/Steve-Slow-Train-Analysis-(2080s-and-2083s)?_g=(refreshInterval:(display:Off,section:0,value:0),time:(from:'2016-10-04 18:44:38-0600',mode:absolute,to:'1969-12-31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4007%22')),sort:!(Time,asc))</v>
      </c>
      <c r="W215" s="54" t="str">
        <f>IF(AA215&lt;IF(AG215="EC",23,5.65),"Y","N")</f>
        <v>Y</v>
      </c>
      <c r="X215" s="164">
        <f>VALUE(LEFT(AD215,4))-VALUE(LEFT(AD214,4))</f>
        <v>1</v>
      </c>
      <c r="Y215" s="69">
        <f>RIGHT(D215,LEN(D215)-4)/10000</f>
        <v>3.56E-2</v>
      </c>
      <c r="Z215" s="69">
        <f>RIGHT(H215,LEN(H215)-4)/10000</f>
        <v>2.331</v>
      </c>
      <c r="AA215" s="69">
        <f>ABS(Z215-Y215)</f>
        <v>2.2953999999999999</v>
      </c>
      <c r="AB215" s="66" t="e">
        <f>VLOOKUP(A215,Enforcements!$C$7:$K$21,8,0)</f>
        <v>#N/A</v>
      </c>
      <c r="AC215" s="62" t="e">
        <f>VLOOKUP(A215,Enforcements!$C$7:$E$21,3,0)</f>
        <v>#N/A</v>
      </c>
      <c r="AD215" s="63" t="str">
        <f>IF(LEN(A215)=6,"0"&amp;A215,A215)</f>
        <v>0307-04</v>
      </c>
      <c r="AE215" s="9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s3://rtdc.mdm.uploadarchive.raw/RTDC4007/ "%USERPROFILE%\AppData\Local\Temp\OnboardLogs"\RTDC4007\1969-12-31 --exclude "*" --recursive --include "*19691231*" &amp; "%USERPROFILE%\Documents\GitHub\mrs-test-scripts\Headless Mode &amp; Sideloading\WalkAndUnGZ.bat" "%USERPROFILE%\AppData\Local\Temp\OnboardLogs"\RTDC4007\1969-12-31 &amp; aws s3 cp s3://rtdc.mdm.uploadarchive.raw/RTDC4007/ "%USERPROFILE%\AppData\Local\Temp\OnboardLogs"\RTDC4007\1970-01-01 --exclude "*" --recursive --include "*19700101*" &amp; "%USERPROFILE%\Documents\GitHub\mrs-test-scripts\Headless Mode &amp; Sideloading\WalkAndUnGZ.bat" "%USERPROFILE%\AppData\Local\Temp\OnboardLogs"\RTDC4007\1970-01-01</v>
      </c>
      <c r="AF215" s="92" t="str">
        <f>astrogrep_path&amp;" /spath="&amp;search_path&amp;" /stypes=""app*"&amp;B215&amp;"*"&amp;TEXT(I215-utc_offset/24,"YYYYMMDD")&amp;"*"" /stext="" "&amp;TEXT(I215-utc_offset/24,"HH")&amp;search_regexp&amp;""" /e /r /s"</f>
        <v>"C:\Program Files (x86)\AstroGrep\AstroGrep.exe" /spath="%USERPROFILE%\AppData\Local\Temp\OnboardLogs" /stypes="app*4007*19691231*" /stext=" 23:.+((SYSTEM_STATE.+slice.+state.+changed )|(ment ac)|(system.+state.+changed )|(\[timeout)|(PRM\|1\|D)|(kpr)|(kdp)|(\|lc)|(penalty))" /e /r /s</v>
      </c>
      <c r="AG215" s="1" t="str">
        <f>IFERROR(IF(VALUE(LEFT(AD215,2))&lt;=2,"EC",IF(OR(VALUE(LEFT(AD215,2))=8,VALUE(LEFT(AD215,2))=18),"NW","Other")),"Other")</f>
        <v>Other</v>
      </c>
      <c r="AH215" s="96" t="str">
        <f t="shared" si="9"/>
        <v>"%USERPROFILE%\Documents\GitHub\eaglep3\Utilities\RefineRTDCRunTimes.py" --tripid 307-04 --locoid 4007 --swversion DE.1.0.7.0 --startMP 204:356 --initTime 2016-10-04T19:44:38 --startdatetime 1969-12-31T17:00:00 --delay 1 --endMP 300:23310 --enddatetime 1969-12-31T17:00:00 --enforcementcount 0 &gt;&gt;C:\Users\stu\Documents\GitHub\eaglep3-reporting\EC\2016-10-04-refined-times.txt</v>
      </c>
      <c r="AI215" s="130" t="str">
        <f t="shared" si="10"/>
        <v>echo {"issue":{"subject":"","project_id":79,"tracker_id":40,"status_id":1,"priority_id":2,"assigned_to_id":23,"start_date":"1969-12-31","description":"","custom_fields":[{"id":1,"name":"Subdivision","value":"Other"},{"id":4,"name":"Milepost","value":"2.331"},{"id":17,"name":"Train ID","value":"307-04"},{"id":16,"name":"Locomotive ID","value":"4007"},{"id":130,"name":"Impact","value":""},{"id":150,"name":"Time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5"/>
      <c r="AK215" s="55"/>
      <c r="AL215" s="55"/>
    </row>
    <row r="216" spans="1:38" x14ac:dyDescent="0.25">
      <c r="A216" s="39" t="s">
        <v>369</v>
      </c>
      <c r="B216" s="7">
        <v>4026</v>
      </c>
      <c r="C216" s="24" t="s">
        <v>106</v>
      </c>
      <c r="D216" s="24" t="s">
        <v>677</v>
      </c>
      <c r="E216" s="15">
        <v>42647.173217592594</v>
      </c>
      <c r="F216" s="15">
        <v>42647.174826388888</v>
      </c>
      <c r="G216" s="7">
        <v>1</v>
      </c>
      <c r="H216" s="15" t="s">
        <v>214</v>
      </c>
      <c r="I216" s="15">
        <v>42647.182430555556</v>
      </c>
      <c r="J216" s="7">
        <v>0</v>
      </c>
      <c r="K216" s="117" t="str">
        <f>IF(ISEVEN(B216),(B216-1)&amp;"/"&amp;B216,B216&amp;"/"&amp;(B216+1))</f>
        <v>4025/4026</v>
      </c>
      <c r="L216" s="24" t="str">
        <f>VLOOKUP(A216,'Trips&amp;Operators'!$C$1:$E$10000,3,FALSE)</f>
        <v>SPECTOR</v>
      </c>
      <c r="M216" s="6">
        <f>I216-F216</f>
        <v>7.6041666688979603E-3</v>
      </c>
      <c r="N216" s="7">
        <f>24*60*SUM($M216:$M216)</f>
        <v>10.950000003213063</v>
      </c>
      <c r="O216" s="7"/>
      <c r="P216" s="7"/>
      <c r="Q216" s="25"/>
      <c r="R216" s="25"/>
      <c r="S216" s="37">
        <f>SUM(U216:U216)/IF(AG216="EC",12,1)</f>
        <v>1</v>
      </c>
      <c r="T216" s="52" t="str">
        <f>IF(ISEVEN(LEFT(AD216,4)),"Southbound","NorthBound")</f>
        <v>Southbound</v>
      </c>
      <c r="U216" s="159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02" t="str">
        <f>"https://search-rtdc-monitor-bjffxe2xuh6vdkpspy63sjmuny.us-east-1.es.amazonaws.com/_plugin/kibana/#/discover/Steve-Slow-Train-Analysis-(2080s-and-2083s)?_g=(refreshInterval:(display:Off,section:0,value:0),time:(from:'"&amp;TEXT(E216-1/24,"yyyy-MM-DD hh:mm:ss")&amp;"-0600',mode:absolute,to:'"&amp;TEXT(I216+1/24,"yyyy-MM-DD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216&amp;"%22')),sort:!(Time,asc))"</f>
        <v>https://search-rtdc-monitor-bjffxe2xuh6vdkpspy63sjmuny.us-east-1.es.amazonaws.com/_plugin/kibana/#/discover/Steve-Slow-Train-Analysis-(2080s-and-2083s)?_g=(refreshInterval:(display:Off,section:0,value:0),time:(from:'2016-10-04 03:09:26-0600',mode:absolute,to:'2016-10-04 05:22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16" s="54" t="str">
        <f>IF(AA216&lt;IF(AG216="EC",23,5.65),"Y","N")</f>
        <v>Y</v>
      </c>
      <c r="X216" s="164">
        <f>VALUE(LEFT(AD216,4))-VALUE(LEFT(AD215,4))</f>
        <v>1</v>
      </c>
      <c r="Y216" s="69">
        <f>RIGHT(D216,LEN(D216)-4)/10000</f>
        <v>2.3252000000000002</v>
      </c>
      <c r="Z216" s="69">
        <f>RIGHT(H216,LEN(H216)-4)/10000</f>
        <v>1.41E-2</v>
      </c>
      <c r="AA216" s="69">
        <f>ABS(Z216-Y216)</f>
        <v>2.3111000000000002</v>
      </c>
      <c r="AB216" s="66" t="e">
        <f>VLOOKUP(A216,Enforcements!$C$7:$K$21,8,0)</f>
        <v>#N/A</v>
      </c>
      <c r="AC216" s="62" t="e">
        <f>VLOOKUP(A216,Enforcements!$C$7:$E$21,3,0)</f>
        <v>#N/A</v>
      </c>
      <c r="AD216" s="63" t="str">
        <f>IF(LEN(A216)=6,"0"&amp;A216,A216)</f>
        <v>0308-04</v>
      </c>
      <c r="AE216" s="9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s3://rtdc.mdm.uploadarchive.raw/RTDC4026/ "%USERPROFILE%\AppData\Local\Temp\OnboardLogs"\RTDC4026\2016-10-04 --exclude "*" --recursive --include "*20161004*" &amp; "%USERPROFILE%\Documents\GitHub\mrs-test-scripts\Headless Mode &amp; Sideloading\WalkAndUnGZ.bat" "%USERPROFILE%\AppData\Local\Temp\OnboardLogs"\RTDC4026\2016-10-04 &amp; aws s3 cp s3://rtdc.mdm.uploadarchive.raw/RTDC4026/ "%USERPROFILE%\AppData\Local\Temp\OnboardLogs"\RTDC4026\2016-10-05 --exclude "*" --recursive --include "*20161005*" &amp; "%USERPROFILE%\Documents\GitHub\mrs-test-scripts\Headless Mode &amp; Sideloading\WalkAndUnGZ.bat" "%USERPROFILE%\AppData\Local\Temp\OnboardLogs"\RTDC4026\2016-10-05</v>
      </c>
      <c r="AF216" s="92" t="str">
        <f>astrogrep_path&amp;" /spath="&amp;search_path&amp;" /stypes=""app*"&amp;B216&amp;"*"&amp;TEXT(I216-utc_offset/24,"YYYYMMDD")&amp;"*"" /stext="" "&amp;TEXT(I216-utc_offset/24,"HH")&amp;search_regexp&amp;""" /e /r /s"</f>
        <v>"C:\Program Files (x86)\AstroGrep\AstroGrep.exe" /spath="%USERPROFILE%\AppData\Local\Temp\OnboardLogs" /stypes="app*4026*20161004*" /stext=" 10:.+((SYSTEM_STATE.+slice.+state.+changed )|(ment ac)|(system.+state.+changed )|(\[timeout)|(PRM\|1\|D)|(kpr)|(kdp)|(\|lc)|(penalty))" /e /r /s</v>
      </c>
      <c r="AG216" s="1" t="str">
        <f>IFERROR(IF(VALUE(LEFT(AD216,2))&lt;=2,"EC",IF(OR(VALUE(LEFT(AD216,2))=8,VALUE(LEFT(AD216,2))=18),"NW","Other")),"Other")</f>
        <v>Other</v>
      </c>
      <c r="AH216" s="96" t="str">
        <f t="shared" si="9"/>
        <v>"%USERPROFILE%\Documents\GitHub\eaglep3\Utilities\RefineRTDCRunTimes.py" --tripid 308-04 --locoid 4026 --swversion DE.1.0.7.0 --startMP 300:23252 --initTime 2016-10-04T04:09:26 --startdatetime 2016-10-04T04:11:45 --delay 1 --endMP 204:141 --enddatetime 2016-10-04T04:22:42 --enforcementcount 0 &gt;&gt;C:\Users\stu\Documents\GitHub\eaglep3-reporting\EC\2016-10-04-refined-times.txt</v>
      </c>
      <c r="AI216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{"issue":{"subject":"","project_id":79,"tracker_id":40,"status_id":1,"priority_id":2,"assigned_to_id":23,"start_date":"2016-10-04","description":"","custom_fields":[{"id":1,"name":"Subdivision","value":"Other"},{"id":4,"name":"Milepost","value":"0.0141"},{"id":17,"name":"Train ID","value":"308-04"},{"id":16,"name":"Locomotive ID","value":"4026"},{"id":130,"name":"Impact","value":""},{"id":150,"name":"Time of Event (Mountain Time)","value":"04:22:42"},{"id":151,"name":"Denver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5"/>
      <c r="AK216" s="55"/>
      <c r="AL216" s="55"/>
    </row>
    <row r="217" spans="1:38" x14ac:dyDescent="0.25">
      <c r="A217" s="39" t="s">
        <v>596</v>
      </c>
      <c r="B217" s="7">
        <v>4053</v>
      </c>
      <c r="C217" s="24" t="s">
        <v>106</v>
      </c>
      <c r="D217" s="24" t="s">
        <v>678</v>
      </c>
      <c r="E217" s="15">
        <v>42648.032650462963</v>
      </c>
      <c r="F217" s="15">
        <v>42648.038668981484</v>
      </c>
      <c r="G217" s="7">
        <v>1</v>
      </c>
      <c r="H217" s="15" t="s">
        <v>679</v>
      </c>
      <c r="I217" s="15">
        <v>42648.045428240737</v>
      </c>
      <c r="J217" s="7">
        <v>0</v>
      </c>
      <c r="K217" s="117" t="str">
        <f>IF(ISEVEN(B217),(B217-1)&amp;"/"&amp;B217,B217&amp;"/"&amp;(B217+1))</f>
        <v>4053/4054</v>
      </c>
      <c r="L217" s="24" t="str">
        <f>VLOOKUP(A217,'Trips&amp;Operators'!$C$1:$E$10000,3,FALSE)</f>
        <v>LEVERE</v>
      </c>
      <c r="M217" s="6">
        <f>I217-F217</f>
        <v>6.7592592531582341E-3</v>
      </c>
      <c r="N217" s="7">
        <f>24*60*SUM($M217:$M217)</f>
        <v>9.733333324547857</v>
      </c>
      <c r="O217" s="7"/>
      <c r="P217" s="7"/>
      <c r="Q217" s="25"/>
      <c r="R217" s="25"/>
      <c r="S217" s="37">
        <f>SUM(U217:U217)/IF(AG217="EC",12,1)</f>
        <v>1</v>
      </c>
      <c r="T217" s="52" t="str">
        <f>IF(ISEVEN(LEFT(AD217,4)),"Southbound","NorthBound")</f>
        <v>NorthBound</v>
      </c>
      <c r="U217" s="159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02" t="str">
        <f>"https://search-rtdc-monitor-bjffxe2xuh6vdkpspy63sjmuny.us-east-1.es.amazonaws.com/_plugin/kibana/#/discover/Steve-Slow-Train-Analysis-(2080s-and-2083s)?_g=(refreshInterval:(display:Off,section:0,value:0),time:(from:'"&amp;TEXT(E217-1/24,"yyyy-MM-DD hh:mm:ss")&amp;"-0600',mode:absolute,to:'"&amp;TEXT(I217+1/24,"yyyy-MM-DD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217&amp;"%22')),sort:!(Time,asc))"</f>
        <v>https://search-rtdc-monitor-bjffxe2xuh6vdkpspy63sjmuny.us-east-1.es.amazonaws.com/_plugin/kibana/#/discover/Steve-Slow-Train-Analysis-(2080s-and-2083s)?_g=(refreshInterval:(display:Off,section:0,value:0),time:(from:'2016-10-04 23:47:01-0600',mode:absolute,to:'2016-10-05 02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7" s="54" t="str">
        <f>IF(AA217&lt;IF(AG217="EC",23,5.65),"Y","N")</f>
        <v>Y</v>
      </c>
      <c r="X217" s="164">
        <f>VALUE(LEFT(AD217,4))-VALUE(LEFT(AD216,4))</f>
        <v>1</v>
      </c>
      <c r="Y217" s="69">
        <f>RIGHT(D217,LEN(D217)-4)/10000</f>
        <v>4.7800000000000002E-2</v>
      </c>
      <c r="Z217" s="69">
        <f>RIGHT(H217,LEN(H217)-4)/10000</f>
        <v>2.2826</v>
      </c>
      <c r="AA217" s="69">
        <f>ABS(Z217-Y217)</f>
        <v>2.2347999999999999</v>
      </c>
      <c r="AB217" s="66" t="e">
        <f>VLOOKUP(A217,Enforcements!$C$7:$K$21,8,0)</f>
        <v>#N/A</v>
      </c>
      <c r="AC217" s="62" t="e">
        <f>VLOOKUP(A217,Enforcements!$C$7:$E$21,3,0)</f>
        <v>#N/A</v>
      </c>
      <c r="AD217" s="63" t="str">
        <f>IF(LEN(A217)=6,"0"&amp;A217,A217)</f>
        <v>0309-04</v>
      </c>
      <c r="AE217" s="95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s3://rtdc.mdm.uploadarchive.raw/RTDC4053/ "%USERPROFILE%\AppData\Local\Temp\OnboardLogs"\RTDC4053\2016-10-05 --exclude "*" --recursive --include "*20161005*" &amp; "%USERPROFILE%\Documents\GitHub\mrs-test-scripts\Headless Mode &amp; Sideloading\WalkAndUnGZ.bat" "%USERPROFILE%\AppData\Local\Temp\OnboardLogs"\RTDC4053\2016-10-05 &amp; aws s3 cp s3://rtdc.mdm.uploadarchive.raw/RTDC4053/ "%USERPROFILE%\AppData\Local\Temp\OnboardLogs"\RTDC4053\2016-10-06 --exclude "*" --recursive --include "*20161006*" &amp; "%USERPROFILE%\Documents\GitHub\mrs-test-scripts\Headless Mode &amp; Sideloading\WalkAndUnGZ.bat" "%USERPROFILE%\AppData\Local\Temp\OnboardLogs"\RTDC4053\2016-10-06</v>
      </c>
      <c r="AF217" s="92" t="str">
        <f>astrogrep_path&amp;" /spath="&amp;search_path&amp;" /stypes=""app*"&amp;B217&amp;"*"&amp;TEXT(I217-utc_offset/24,"YYYYMMDD")&amp;"*"" /stext="" "&amp;TEXT(I217-utc_offset/24,"HH")&amp;search_regexp&amp;""" /e /r /s"</f>
        <v>"C:\Program Files (x86)\AstroGrep\AstroGrep.exe" /spath="%USERPROFILE%\AppData\Local\Temp\OnboardLogs" /stypes="app*4053*20161005*" /stext=" 07:.+((SYSTEM_STATE.+slice.+state.+changed )|(ment ac)|(system.+state.+changed )|(\[timeout)|(PRM\|1\|D)|(kpr)|(kdp)|(\|lc)|(penalty))" /e /r /s</v>
      </c>
      <c r="AG217" s="1" t="str">
        <f>IFERROR(IF(VALUE(LEFT(AD217,2))&lt;=2,"EC",IF(OR(VALUE(LEFT(AD217,2))=8,VALUE(LEFT(AD217,2))=18),"NW","Other")),"Other")</f>
        <v>Other</v>
      </c>
      <c r="AH217" s="96" t="str">
        <f t="shared" si="9"/>
        <v>"%USERPROFILE%\Documents\GitHub\eaglep3\Utilities\RefineRTDCRunTimes.py" --tripid 309-04 --locoid 4053 --swversion DE.1.0.7.0 --startMP 204:478 --initTime 2016-10-05T00:47:01 --startdatetime 2016-10-05T00:55:41 --delay 1 --endMP 300:22826 --enddatetime 2016-10-05T01:05:25 --enforcementcount 0 &gt;&gt;C:\Users\stu\Documents\GitHub\eaglep3-reporting\EC\2016-10-04-refined-times.txt</v>
      </c>
      <c r="AI217" s="130" t="str">
        <f t="shared" si="10"/>
        <v>echo {"issue":{"subject":"","project_id":79,"tracker_id":40,"status_id":1,"priority_id":2,"assigned_to_id":23,"start_date":"2016-10-05","description":"","custom_fields":[{"id":1,"name":"Subdivision","value":"Other"},{"id":4,"name":"Milepost","value":"2.2826"},{"id":17,"name":"Train ID","value":"309-04"},{"id":16,"name":"Locomotive ID","value":"4053"},{"id":130,"name":"Impact","value":""},{"id":150,"name":"Time of Event (Mountain Time)","value":"01:05:25"},{"id":151,"name":"Denver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5"/>
      <c r="AK217" s="55"/>
      <c r="AL217" s="55"/>
    </row>
    <row r="218" spans="1:38" x14ac:dyDescent="0.25">
      <c r="A218" s="39" t="s">
        <v>371</v>
      </c>
      <c r="B218" s="7">
        <v>4032</v>
      </c>
      <c r="C218" s="24" t="s">
        <v>106</v>
      </c>
      <c r="D218" s="24" t="s">
        <v>680</v>
      </c>
      <c r="E218" s="15">
        <v>42647.182534722226</v>
      </c>
      <c r="F218" s="15">
        <v>42647.184108796297</v>
      </c>
      <c r="G218" s="7">
        <v>1</v>
      </c>
      <c r="H218" s="15" t="s">
        <v>210</v>
      </c>
      <c r="I218" s="15">
        <v>42647.19195601852</v>
      </c>
      <c r="J218" s="7">
        <v>0</v>
      </c>
      <c r="K218" s="117" t="str">
        <f>IF(ISEVEN(B218),(B218-1)&amp;"/"&amp;B218,B218&amp;"/"&amp;(B218+1))</f>
        <v>4031/4032</v>
      </c>
      <c r="L218" s="24" t="str">
        <f>VLOOKUP(A218,'Trips&amp;Operators'!$C$1:$E$10000,3,FALSE)</f>
        <v>DAVIS</v>
      </c>
      <c r="M218" s="6">
        <f>I218-F218</f>
        <v>7.8472222230629995E-3</v>
      </c>
      <c r="N218" s="7">
        <f>24*60*SUM($M218:$M218)</f>
        <v>11.300000001210719</v>
      </c>
      <c r="O218" s="7"/>
      <c r="P218" s="7"/>
      <c r="Q218" s="25"/>
      <c r="R218" s="25"/>
      <c r="S218" s="37">
        <f>SUM(U218:U218)/IF(AG218="EC",12,1)</f>
        <v>1</v>
      </c>
      <c r="T218" s="52" t="str">
        <f>IF(ISEVEN(LEFT(AD218,4)),"Southbound","NorthBound")</f>
        <v>Southbound</v>
      </c>
      <c r="U218" s="159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02" t="str">
        <f>"https://search-rtdc-monitor-bjffxe2xuh6vdkpspy63sjmuny.us-east-1.es.amazonaws.com/_plugin/kibana/#/discover/Steve-Slow-Train-Analysis-(2080s-and-2083s)?_g=(refreshInterval:(display:Off,section:0,value:0),time:(from:'"&amp;TEXT(E218-1/24,"yyyy-MM-DD hh:mm:ss")&amp;"-0600',mode:absolute,to:'"&amp;TEXT(I218+1/24,"yyyy-MM-DD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218&amp;"%22')),sort:!(Time,asc))"</f>
        <v>https://search-rtdc-monitor-bjffxe2xuh6vdkpspy63sjmuny.us-east-1.es.amazonaws.com/_plugin/kibana/#/discover/Steve-Slow-Train-Analysis-(2080s-and-2083s)?_g=(refreshInterval:(display:Off,section:0,value:0),time:(from:'2016-10-04 03:22:51-0600',mode:absolute,to:'2016-10-04 05:36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18" s="54" t="str">
        <f>IF(AA218&lt;IF(AG218="EC",23,5.65),"Y","N")</f>
        <v>Y</v>
      </c>
      <c r="X218" s="164">
        <f>VALUE(LEFT(AD218,4))-VALUE(LEFT(AD217,4))</f>
        <v>1</v>
      </c>
      <c r="Y218" s="69">
        <f>RIGHT(D218,LEN(D218)-4)/10000</f>
        <v>2.2505999999999999</v>
      </c>
      <c r="Z218" s="69">
        <f>RIGHT(H218,LEN(H218)-4)/10000</f>
        <v>1.5599999999999999E-2</v>
      </c>
      <c r="AA218" s="69">
        <f>ABS(Z218-Y218)</f>
        <v>2.2349999999999999</v>
      </c>
      <c r="AB218" s="66" t="e">
        <f>VLOOKUP(A218,Enforcements!$C$7:$K$21,8,0)</f>
        <v>#N/A</v>
      </c>
      <c r="AC218" s="62" t="e">
        <f>VLOOKUP(A218,Enforcements!$C$7:$E$21,3,0)</f>
        <v>#N/A</v>
      </c>
      <c r="AD218" s="63" t="str">
        <f>IF(LEN(A218)=6,"0"&amp;A218,A218)</f>
        <v>0310-04</v>
      </c>
      <c r="AE218" s="95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s3://rtdc.mdm.uploadarchive.raw/RTDC4032/ "%USERPROFILE%\AppData\Local\Temp\OnboardLogs"\RTDC4032\2016-10-04 --exclude "*" --recursive --include "*20161004*" &amp; "%USERPROFILE%\Documents\GitHub\mrs-test-scripts\Headless Mode &amp; Sideloading\WalkAndUnGZ.bat" "%USERPROFILE%\AppData\Local\Temp\OnboardLogs"\RTDC4032\2016-10-04 &amp; aws s3 cp s3://rtdc.mdm.uploadarchive.raw/RTDC4032/ "%USERPROFILE%\AppData\Local\Temp\OnboardLogs"\RTDC4032\2016-10-05 --exclude "*" --recursive --include "*20161005*" &amp; "%USERPROFILE%\Documents\GitHub\mrs-test-scripts\Headless Mode &amp; Sideloading\WalkAndUnGZ.bat" "%USERPROFILE%\AppData\Local\Temp\OnboardLogs"\RTDC4032\2016-10-05</v>
      </c>
      <c r="AF218" s="92" t="str">
        <f>astrogrep_path&amp;" /spath="&amp;search_path&amp;" /stypes=""app*"&amp;B218&amp;"*"&amp;TEXT(I218-utc_offset/24,"YYYYMMDD")&amp;"*"" /stext="" "&amp;TEXT(I218-utc_offset/24,"HH")&amp;search_regexp&amp;""" /e /r /s"</f>
        <v>"C:\Program Files (x86)\AstroGrep\AstroGrep.exe" /spath="%USERPROFILE%\AppData\Local\Temp\OnboardLogs" /stypes="app*4032*20161004*" /stext=" 10:.+((SYSTEM_STATE.+slice.+state.+changed )|(ment ac)|(system.+state.+changed )|(\[timeout)|(PRM\|1\|D)|(kpr)|(kdp)|(\|lc)|(penalty))" /e /r /s</v>
      </c>
      <c r="AG218" s="1" t="str">
        <f>IFERROR(IF(VALUE(LEFT(AD218,2))&lt;=2,"EC",IF(OR(VALUE(LEFT(AD218,2))=8,VALUE(LEFT(AD218,2))=18),"NW","Other")),"Other")</f>
        <v>Other</v>
      </c>
      <c r="AH218" s="96" t="str">
        <f t="shared" si="9"/>
        <v>"%USERPROFILE%\Documents\GitHub\eaglep3\Utilities\RefineRTDCRunTimes.py" --tripid 310-04 --locoid 4032 --swversion DE.1.0.7.0 --startMP 300:22506 --initTime 2016-10-04T04:22:51 --startdatetime 2016-10-04T04:25:07 --delay 1 --endMP 204:156 --enddatetime 2016-10-04T04:36:25 --enforcementcount 0 &gt;&gt;C:\Users\stu\Documents\GitHub\eaglep3-reporting\EC\2016-10-04-refined-times.txt</v>
      </c>
      <c r="AI218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{"issue":{"subject":"","project_id":79,"tracker_id":40,"status_id":1,"priority_id":2,"assigned_to_id":23,"start_date":"2016-10-04","description":"","custom_fields":[{"id":1,"name":"Subdivision","value":"Other"},{"id":4,"name":"Milepost","value":"0.0156"},{"id":17,"name":"Train ID","value":"310-04"},{"id":16,"name":"Locomotive ID","value":"4032"},{"id":130,"name":"Impact","value":""},{"id":150,"name":"Time of Event (Mountain Time)","value":"04:36:25"},{"id":151,"name":"Denver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5"/>
      <c r="AK218" s="55"/>
      <c r="AL218" s="55"/>
    </row>
    <row r="219" spans="1:38" x14ac:dyDescent="0.25">
      <c r="A219" s="39" t="s">
        <v>598</v>
      </c>
      <c r="B219" s="7">
        <v>4044</v>
      </c>
      <c r="C219" s="24" t="s">
        <v>106</v>
      </c>
      <c r="D219" s="24" t="s">
        <v>314</v>
      </c>
      <c r="E219" s="15">
        <v>42648.048668981479</v>
      </c>
      <c r="F219" s="15">
        <v>25568.708333333332</v>
      </c>
      <c r="G219" s="7">
        <v>1</v>
      </c>
      <c r="H219" s="15" t="s">
        <v>681</v>
      </c>
      <c r="I219" s="15">
        <v>25568.708333333332</v>
      </c>
      <c r="J219" s="7">
        <v>0</v>
      </c>
      <c r="K219" s="117" t="str">
        <f>IF(ISEVEN(B219),(B219-1)&amp;"/"&amp;B219,B219&amp;"/"&amp;(B219+1))</f>
        <v>4043/4044</v>
      </c>
      <c r="L219" s="24" t="str">
        <f>VLOOKUP(A219,'Trips&amp;Operators'!$C$1:$E$10000,3,FALSE)</f>
        <v>COOLAHAN</v>
      </c>
      <c r="M219" s="6">
        <f>I219-F219</f>
        <v>0</v>
      </c>
      <c r="N219" s="7">
        <f>24*60*SUM($M219:$M219)</f>
        <v>0</v>
      </c>
      <c r="O219" s="7"/>
      <c r="P219" s="7"/>
      <c r="Q219" s="25"/>
      <c r="R219" s="25"/>
      <c r="S219" s="37">
        <f>SUM(U219:U219)/IF(AG219="EC",12,1)</f>
        <v>1</v>
      </c>
      <c r="T219" s="52" t="str">
        <f>IF(ISEVEN(LEFT(AD219,4)),"Southbound","NorthBound")</f>
        <v>NorthBound</v>
      </c>
      <c r="U219" s="159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02" t="str">
        <f>"https://search-rtdc-monitor-bjffxe2xuh6vdkpspy63sjmuny.us-east-1.es.amazonaws.com/_plugin/kibana/#/discover/Steve-Slow-Train-Analysis-(2080s-and-2083s)?_g=(refreshInterval:(display:Off,section:0,value:0),time:(from:'"&amp;TEXT(E219-1/24,"yyyy-MM-DD hh:mm:ss")&amp;"-0600',mode:absolute,to:'"&amp;TEXT(I219+1/24,"yyyy-MM-DD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219&amp;"%22')),sort:!(Time,asc))"</f>
        <v>https://search-rtdc-monitor-bjffxe2xuh6vdkpspy63sjmuny.us-east-1.es.amazonaws.com/_plugin/kibana/#/discover/Steve-Slow-Train-Analysis-(2080s-and-2083s)?_g=(refreshInterval:(display:Off,section:0,value:0),time:(from:'2016-10-05 00:10:05-0600',mode:absolute,to:'1969-12-31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19" s="54" t="str">
        <f>IF(AA219&lt;IF(AG219="EC",23,5.65),"Y","N")</f>
        <v>Y</v>
      </c>
      <c r="X219" s="164">
        <f>VALUE(LEFT(AD219,4))-VALUE(LEFT(AD218,4))</f>
        <v>1</v>
      </c>
      <c r="Y219" s="69">
        <f>RIGHT(D219,LEN(D219)-4)/10000</f>
        <v>4.3799999999999999E-2</v>
      </c>
      <c r="Z219" s="69">
        <f>RIGHT(H219,LEN(H219)-4)/10000</f>
        <v>2.3298999999999999</v>
      </c>
      <c r="AA219" s="69">
        <f>ABS(Z219-Y219)</f>
        <v>2.2860999999999998</v>
      </c>
      <c r="AB219" s="66" t="e">
        <f>VLOOKUP(A219,Enforcements!$C$7:$K$21,8,0)</f>
        <v>#N/A</v>
      </c>
      <c r="AC219" s="62" t="e">
        <f>VLOOKUP(A219,Enforcements!$C$7:$E$21,3,0)</f>
        <v>#N/A</v>
      </c>
      <c r="AD219" s="63" t="str">
        <f>IF(LEN(A219)=6,"0"&amp;A219,A219)</f>
        <v>0311-04</v>
      </c>
      <c r="AE219" s="95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19" s="92" t="str">
        <f>astrogrep_path&amp;" /spath="&amp;search_path&amp;" /stypes=""app*"&amp;B219&amp;"*"&amp;TEXT(I219-utc_offset/24,"YYYYMMDD")&amp;"*"" /stext="" "&amp;TEXT(I219-utc_offset/24,"HH")&amp;search_regexp&amp;""" /e /r /s"</f>
        <v>"C:\Program Files (x86)\AstroGrep\AstroGrep.exe" /spath="%USERPROFILE%\AppData\Local\Temp\OnboardLogs" /stypes="app*4044*19691231*" /stext=" 23:.+((SYSTEM_STATE.+slice.+state.+changed )|(ment ac)|(system.+state.+changed )|(\[timeout)|(PRM\|1\|D)|(kpr)|(kdp)|(\|lc)|(penalty))" /e /r /s</v>
      </c>
      <c r="AG219" s="1" t="str">
        <f>IFERROR(IF(VALUE(LEFT(AD219,2))&lt;=2,"EC",IF(OR(VALUE(LEFT(AD219,2))=8,VALUE(LEFT(AD219,2))=18),"NW","Other")),"Other")</f>
        <v>Other</v>
      </c>
      <c r="AH219" s="96" t="str">
        <f t="shared" si="9"/>
        <v>"%USERPROFILE%\Documents\GitHub\eaglep3\Utilities\RefineRTDCRunTimes.py" --tripid 311-04 --locoid 4044 --swversion DE.1.0.7.0 --startMP 204:438 --initTime 2016-10-05T01:10:05 --startdatetime 1969-12-31T17:00:00 --delay 1 --endMP 300:23299 --enddatetime 1969-12-31T17:00:00 --enforcementcount 0 &gt;&gt;C:\Users\stu\Documents\GitHub\eaglep3-reporting\EC\2016-10-04-refined-times.txt</v>
      </c>
      <c r="AI219" s="130" t="str">
        <f t="shared" si="10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ID","value":"311-04"},{"id":16,"name":"Locomotive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5"/>
      <c r="AK219" s="55"/>
      <c r="AL219" s="55"/>
    </row>
    <row r="220" spans="1:38" x14ac:dyDescent="0.25">
      <c r="A220" s="39" t="s">
        <v>601</v>
      </c>
      <c r="B220" s="7">
        <v>4042</v>
      </c>
      <c r="C220" s="24" t="s">
        <v>106</v>
      </c>
      <c r="D220" s="24" t="s">
        <v>682</v>
      </c>
      <c r="E220" s="15">
        <v>42648.074548611112</v>
      </c>
      <c r="F220" s="15">
        <v>25568.708333333332</v>
      </c>
      <c r="G220" s="7">
        <v>1</v>
      </c>
      <c r="H220" s="15" t="s">
        <v>683</v>
      </c>
      <c r="I220" s="15">
        <v>25568.708333333332</v>
      </c>
      <c r="J220" s="7">
        <v>0</v>
      </c>
      <c r="K220" s="117" t="str">
        <f>IF(ISEVEN(B220),(B220-1)&amp;"/"&amp;B220,B220&amp;"/"&amp;(B220+1))</f>
        <v>4041/4042</v>
      </c>
      <c r="L220" s="24" t="str">
        <f>VLOOKUP(A220,'Trips&amp;Operators'!$C$1:$E$10000,3,FALSE)</f>
        <v>YANAI</v>
      </c>
      <c r="M220" s="6">
        <f>I220-F220</f>
        <v>0</v>
      </c>
      <c r="N220" s="7">
        <f>24*60*SUM($M220:$M220)</f>
        <v>0</v>
      </c>
      <c r="O220" s="7"/>
      <c r="P220" s="7"/>
      <c r="Q220" s="25"/>
      <c r="R220" s="25"/>
      <c r="S220" s="37">
        <f>SUM(U220:U220)/IF(AG220="EC",12,1)</f>
        <v>1</v>
      </c>
      <c r="T220" s="52" t="str">
        <f>IF(ISEVEN(LEFT(AD220,4)),"Southbound","NorthBound")</f>
        <v>NorthBound</v>
      </c>
      <c r="U220" s="159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02" t="str">
        <f>"https://search-rtdc-monitor-bjffxe2xuh6vdkpspy63sjmuny.us-east-1.es.amazonaws.com/_plugin/kibana/#/discover/Steve-Slow-Train-Analysis-(2080s-and-2083s)?_g=(refreshInterval:(display:Off,section:0,value:0),time:(from:'"&amp;TEXT(E220-1/24,"yyyy-MM-DD hh:mm:ss")&amp;"-0600',mode:absolute,to:'"&amp;TEXT(I220+1/24,"yyyy-MM-DD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220&amp;"%22')),sort:!(Time,asc))"</f>
        <v>https://search-rtdc-monitor-bjffxe2xuh6vdkpspy63sjmuny.us-east-1.es.amazonaws.com/_plugin/kibana/#/discover/Steve-Slow-Train-Analysis-(2080s-and-2083s)?_g=(refreshInterval:(display:Off,section:0,value:0),time:(from:'2016-10-05 00:47:21-0600',mode:absolute,to:'1969-12-31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20" s="54" t="str">
        <f>IF(AA220&lt;IF(AG220="EC",23,5.65),"Y","N")</f>
        <v>Y</v>
      </c>
      <c r="X220" s="164">
        <f>VALUE(LEFT(AD220,4))-VALUE(LEFT(AD219,4))</f>
        <v>2</v>
      </c>
      <c r="Y220" s="69">
        <f>RIGHT(D220,LEN(D220)-4)/10000</f>
        <v>5.2600000000000001E-2</v>
      </c>
      <c r="Z220" s="69">
        <f>RIGHT(H220,LEN(H220)-4)/10000</f>
        <v>2.2437999999999998</v>
      </c>
      <c r="AA220" s="69">
        <f>ABS(Z220-Y220)</f>
        <v>2.1911999999999998</v>
      </c>
      <c r="AB220" s="66" t="e">
        <f>VLOOKUP(A220,Enforcements!$C$7:$K$21,8,0)</f>
        <v>#N/A</v>
      </c>
      <c r="AC220" s="62" t="e">
        <f>VLOOKUP(A220,Enforcements!$C$7:$E$21,3,0)</f>
        <v>#N/A</v>
      </c>
      <c r="AD220" s="63" t="str">
        <f>IF(LEN(A220)=6,"0"&amp;A220,A220)</f>
        <v>0313-04</v>
      </c>
      <c r="AE220" s="95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20" s="92" t="str">
        <f>astrogrep_path&amp;" /spath="&amp;search_path&amp;" /stypes=""app*"&amp;B220&amp;"*"&amp;TEXT(I220-utc_offset/24,"YYYYMMDD")&amp;"*"" /stext="" "&amp;TEXT(I220-utc_offset/24,"HH")&amp;search_regexp&amp;""" /e /r /s"</f>
        <v>"C:\Program Files (x86)\AstroGrep\AstroGrep.exe" /spath="%USERPROFILE%\AppData\Local\Temp\OnboardLogs" /stypes="app*4042*19691231*" /stext=" 23:.+((SYSTEM_STATE.+slice.+state.+changed )|(ment ac)|(system.+state.+changed )|(\[timeout)|(PRM\|1\|D)|(kpr)|(kdp)|(\|lc)|(penalty))" /e /r /s</v>
      </c>
      <c r="AG220" s="1" t="str">
        <f>IFERROR(IF(VALUE(LEFT(AD220,2))&lt;=2,"EC",IF(OR(VALUE(LEFT(AD220,2))=8,VALUE(LEFT(AD220,2))=18),"NW","Other")),"Other")</f>
        <v>Other</v>
      </c>
      <c r="AH220" s="96" t="str">
        <f t="shared" si="9"/>
        <v>"%USERPROFILE%\Documents\GitHub\eaglep3\Utilities\RefineRTDCRunTimes.py" --tripid 313-04 --locoid 4042 --swversion DE.1.0.7.0 --startMP 204:526 --initTime 2016-10-05T01:47:21 --startdatetime 1969-12-31T17:00:00 --delay 1 --endMP 300:22438 --enddatetime 1969-12-31T17:00:00 --enforcementcount 0 &gt;&gt;C:\Users\stu\Documents\GitHub\eaglep3-reporting\EC\2016-10-04-refined-times.txt</v>
      </c>
      <c r="AI220" s="130" t="str">
        <f t="shared" si="10"/>
        <v>echo {"issue":{"subject":"","project_id":79,"tracker_id":40,"status_id":1,"priority_id":2,"assigned_to_id":23,"start_date":"1969-12-31","description":"","custom_fields":[{"id":1,"name":"Subdivision","value":"Other"},{"id":4,"name":"Milepost","value":"2.2438"},{"id":17,"name":"Train ID","value":"313-04"},{"id":16,"name":"Locomotive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5"/>
      <c r="AK220" s="55"/>
      <c r="AL220" s="55"/>
    </row>
    <row r="221" spans="1:38" x14ac:dyDescent="0.25">
      <c r="A221" s="39" t="s">
        <v>336</v>
      </c>
      <c r="B221" s="7">
        <v>4002</v>
      </c>
      <c r="C221" s="24" t="s">
        <v>106</v>
      </c>
      <c r="D221" s="24" t="s">
        <v>327</v>
      </c>
      <c r="E221" s="15">
        <v>42647.089108796295</v>
      </c>
      <c r="F221" s="15">
        <v>42647.092511574076</v>
      </c>
      <c r="G221" s="7">
        <v>1</v>
      </c>
      <c r="H221" s="15" t="s">
        <v>333</v>
      </c>
      <c r="I221" s="15">
        <v>42647.100428240738</v>
      </c>
      <c r="J221" s="7">
        <v>0</v>
      </c>
      <c r="K221" s="117" t="str">
        <f>IF(ISEVEN(B221),(B221-1)&amp;"/"&amp;B221,B221&amp;"/"&amp;(B221+1))</f>
        <v>4001/4002</v>
      </c>
      <c r="L221" s="24" t="str">
        <f>VLOOKUP(A221,'Trips&amp;Operators'!$C$1:$E$10000,3,FALSE)</f>
        <v>SMITH</v>
      </c>
      <c r="M221" s="6">
        <f>I221-F221</f>
        <v>7.916666661913041E-3</v>
      </c>
      <c r="N221" s="7">
        <f>24*60*SUM($M221:$M221)</f>
        <v>11.399999993154779</v>
      </c>
      <c r="O221" s="7"/>
      <c r="P221" s="7"/>
      <c r="Q221" s="25"/>
      <c r="R221" s="25"/>
      <c r="S221" s="37">
        <f>SUM(U221:U221)/IF(AG221="EC",12,1)</f>
        <v>1</v>
      </c>
      <c r="T221" s="52" t="str">
        <f>IF(ISEVEN(LEFT(AD221,4)),"Southbound","NorthBound")</f>
        <v>NorthBound</v>
      </c>
      <c r="U221" s="159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02" t="str">
        <f>"https://search-rtdc-monitor-bjffxe2xuh6vdkpspy63sjmuny.us-east-1.es.amazonaws.com/_plugin/kibana/#/discover/Steve-Slow-Train-Analysis-(2080s-and-2083s)?_g=(refreshInterval:(display:Off,section:0,value:0),time:(from:'"&amp;TEXT(E221-1/24,"yyyy-MM-DD hh:mm:ss")&amp;"-0600',mode:absolute,to:'"&amp;TEXT(I221+1/24,"yyyy-MM-DD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221&amp;"%22')),sort:!(Time,asc))"</f>
        <v>https://search-rtdc-monitor-bjffxe2xuh6vdkpspy63sjmuny.us-east-1.es.amazonaws.com/_plugin/kibana/#/discover/Steve-Slow-Train-Analysis-(2080s-and-2083s)?_g=(refreshInterval:(display:Off,section:0,value:0),time:(from:'2016-10-04 01:08:19-0600',mode:absolute,to:'2016-10-04 03:24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21" s="54" t="str">
        <f>IF(AA221&lt;IF(AG221="EC",23,5.65),"Y","N")</f>
        <v>Y</v>
      </c>
      <c r="X221" s="164">
        <f>VALUE(LEFT(AD221,4))-VALUE(LEFT(AD220,4))</f>
        <v>2</v>
      </c>
      <c r="Y221" s="69">
        <f>RIGHT(D221,LEN(D221)-4)/10000</f>
        <v>4.8000000000000001E-2</v>
      </c>
      <c r="Z221" s="69">
        <f>RIGHT(H221,LEN(H221)-4)/10000</f>
        <v>2.3306</v>
      </c>
      <c r="AA221" s="69">
        <f>ABS(Z221-Y221)</f>
        <v>2.2826</v>
      </c>
      <c r="AB221" s="66" t="e">
        <f>VLOOKUP(A221,Enforcements!$C$7:$K$21,8,0)</f>
        <v>#N/A</v>
      </c>
      <c r="AC221" s="62" t="e">
        <f>VLOOKUP(A221,Enforcements!$C$7:$E$21,3,0)</f>
        <v>#N/A</v>
      </c>
      <c r="AD221" s="63" t="str">
        <f>IF(LEN(A221)=6,"0"&amp;A221,A221)</f>
        <v>0315-03</v>
      </c>
      <c r="AE221" s="95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s3://rtdc.mdm.uploadarchive.raw/RTDC4002/ "%USERPROFILE%\AppData\Local\Temp\OnboardLogs"\RTDC4002\2016-10-04 --exclude "*" --recursive --include "*20161004*" &amp; "%USERPROFILE%\Documents\GitHub\mrs-test-scripts\Headless Mode &amp; Sideloading\WalkAndUnGZ.bat" "%USERPROFILE%\AppData\Local\Temp\OnboardLogs"\RTDC4002\2016-10-04 &amp; aws s3 cp s3://rtdc.mdm.uploadarchive.raw/RTDC4002/ "%USERPROFILE%\AppData\Local\Temp\OnboardLogs"\RTDC4002\2016-10-05 --exclude "*" --recursive --include "*20161005*" &amp; "%USERPROFILE%\Documents\GitHub\mrs-test-scripts\Headless Mode &amp; Sideloading\WalkAndUnGZ.bat" "%USERPROFILE%\AppData\Local\Temp\OnboardLogs"\RTDC4002\2016-10-05</v>
      </c>
      <c r="AF221" s="92" t="str">
        <f>astrogrep_path&amp;" /spath="&amp;search_path&amp;" /stypes=""app*"&amp;B221&amp;"*"&amp;TEXT(I221-utc_offset/24,"YYYYMMDD")&amp;"*"" /stext="" "&amp;TEXT(I221-utc_offset/24,"HH")&amp;search_regexp&amp;""" /e /r /s"</f>
        <v>"C:\Program Files (x86)\AstroGrep\AstroGrep.exe" /spath="%USERPROFILE%\AppData\Local\Temp\OnboardLogs" /stypes="app*4002*20161004*" /stext=" 08:.+((SYSTEM_STATE.+slice.+state.+changed )|(ment ac)|(system.+state.+changed )|(\[timeout)|(PRM\|1\|D)|(kpr)|(kdp)|(\|lc)|(penalty))" /e /r /s</v>
      </c>
      <c r="AG221" s="1" t="str">
        <f>IFERROR(IF(VALUE(LEFT(AD221,2))&lt;=2,"EC",IF(OR(VALUE(LEFT(AD221,2))=8,VALUE(LEFT(AD221,2))=18),"NW","Other")),"Other")</f>
        <v>Other</v>
      </c>
      <c r="AH221" s="96" t="str">
        <f t="shared" si="9"/>
        <v>"%USERPROFILE%\Documents\GitHub\eaglep3\Utilities\RefineRTDCRunTimes.py" --tripid 315-03 --locoid 4002 --swversion DE.1.0.7.0 --startMP 204:480 --initTime 2016-10-04T02:08:19 --startdatetime 2016-10-04T02:13:13 --delay 1 --endMP 300:23306 --enddatetime 2016-10-04T02:24:37 --enforcementcount 0 &gt;&gt;C:\Users\stu\Documents\GitHub\eaglep3-reporting\EC\2016-10-04-refined-times.txt</v>
      </c>
      <c r="AI221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{"issue":{"subject":"","project_id":79,"tracker_id":40,"status_id":1,"priority_id":2,"assigned_to_id":23,"start_date":"2016-10-04","description":"","custom_fields":[{"id":1,"name":"Subdivision","value":"Other"},{"id":4,"name":"Milepost","value":"2.3306"},{"id":17,"name":"Train ID","value":"315-03"},{"id":16,"name":"Locomotive ID","value":"4002"},{"id":130,"name":"Impact","value":""},{"id":150,"name":"Time of Event (Mountain Time)","value":"02:24:37"},{"id":151,"name":"Denver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5"/>
      <c r="AK221" s="55"/>
      <c r="AL221" s="55"/>
    </row>
    <row r="222" spans="1:38" x14ac:dyDescent="0.25">
      <c r="A222" s="39" t="s">
        <v>599</v>
      </c>
      <c r="B222" s="7">
        <v>4051</v>
      </c>
      <c r="C222" s="24" t="s">
        <v>684</v>
      </c>
      <c r="D222" s="24" t="s">
        <v>685</v>
      </c>
      <c r="E222" s="15">
        <v>42648.048043981478</v>
      </c>
      <c r="F222" s="15">
        <v>42648.072662037041</v>
      </c>
      <c r="G222" s="7">
        <v>2</v>
      </c>
      <c r="H222" s="15" t="s">
        <v>686</v>
      </c>
      <c r="I222" s="15">
        <v>42648.090486111112</v>
      </c>
      <c r="J222" s="7">
        <v>0</v>
      </c>
      <c r="K222" s="117" t="str">
        <f>IF(ISEVEN(B222),(B222-1)&amp;"/"&amp;B222,B222&amp;"/"&amp;(B222+1))</f>
        <v>4051/4052</v>
      </c>
      <c r="L222" s="24" t="b">
        <f>VLOOKUP(A222,'Trips&amp;Operators'!$C$1:$E$10000,3,FALSE)</f>
        <v>1</v>
      </c>
      <c r="M222" s="6">
        <f>I222-F222</f>
        <v>1.7824074071540963E-2</v>
      </c>
      <c r="N222" s="7">
        <f>24*60*SUM($M222:$M222)</f>
        <v>25.666666663018987</v>
      </c>
      <c r="O222" s="7"/>
      <c r="P222" s="7"/>
      <c r="Q222" s="25"/>
      <c r="R222" s="25"/>
      <c r="S222" s="37">
        <f>SUM(U222:U222)/IF(AG222="EC",12,1)</f>
        <v>1</v>
      </c>
      <c r="T222" s="52" t="str">
        <f>IF(ISEVEN(LEFT(AD222,4)),"Southbound","NorthBound")</f>
        <v>NorthBound</v>
      </c>
      <c r="U222" s="159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02" t="str">
        <f>"https://search-rtdc-monitor-bjffxe2xuh6vdkpspy63sjmuny.us-east-1.es.amazonaws.com/_plugin/kibana/#/discover/Steve-Slow-Train-Analysis-(2080s-and-2083s)?_g=(refreshInterval:(display:Off,section:0,value:0),time:(from:'"&amp;TEXT(E222-1/24,"yyyy-MM-DD hh:mm:ss")&amp;"-0600',mode:absolute,to:'"&amp;TEXT(I222+1/24,"yyyy-MM-DD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222&amp;"%22')),sort:!(Time,asc))"</f>
        <v>https://search-rtdc-monitor-bjffxe2xuh6vdkpspy63sjmuny.us-east-1.es.amazonaws.com/_plugin/kibana/#/discover/Steve-Slow-Train-Analysis-(2080s-and-2083s)?_g=(refreshInterval:(display:Off,section:0,value:0),time:(from:'2016-10-05 00:09:11-0600',mode:absolute,to:'2016-10-05 03:10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22" s="54" t="str">
        <f>IF(AA222&lt;IF(AG222="EC",23,5.65),"Y","N")</f>
        <v>N</v>
      </c>
      <c r="X222" s="164">
        <f>VALUE(LEFT(AD222,4))-VALUE(LEFT(AD221,4))</f>
        <v>0</v>
      </c>
      <c r="Y222" s="69">
        <f>RIGHT(D222,LEN(D222)-4)/10000</f>
        <v>1.0629</v>
      </c>
      <c r="Z222" s="69">
        <f>RIGHT(H222,LEN(H222)-4)/10000</f>
        <v>12.813599999999999</v>
      </c>
      <c r="AA222" s="69">
        <f>ABS(Z222-Y222)</f>
        <v>11.750699999999998</v>
      </c>
      <c r="AB222" s="66" t="e">
        <f>VLOOKUP(A222,Enforcements!$C$7:$K$21,8,0)</f>
        <v>#N/A</v>
      </c>
      <c r="AC222" s="62" t="e">
        <f>VLOOKUP(A222,Enforcements!$C$7:$E$21,3,0)</f>
        <v>#N/A</v>
      </c>
      <c r="AD222" s="63" t="str">
        <f>IF(LEN(A222)=6,"0"&amp;A222,A222)</f>
        <v>0315-04</v>
      </c>
      <c r="AE222" s="95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s3://rtdc.mdm.uploadarchive.raw/RTDC4051/ "%USERPROFILE%\AppData\Local\Temp\OnboardLogs"\RTDC4051\2016-10-05 --exclude "*" --recursive --include "*20161005*" &amp; "%USERPROFILE%\Documents\GitHub\mrs-test-scripts\Headless Mode &amp; Sideloading\WalkAndUnGZ.bat" "%USERPROFILE%\AppData\Local\Temp\OnboardLogs"\RTDC4051\2016-10-05 &amp; aws s3 cp s3://rtdc.mdm.uploadarchive.raw/RTDC4051/ "%USERPROFILE%\AppData\Local\Temp\OnboardLogs"\RTDC4051\2016-10-06 --exclude "*" --recursive --include "*20161006*" &amp; "%USERPROFILE%\Documents\GitHub\mrs-test-scripts\Headless Mode &amp; Sideloading\WalkAndUnGZ.bat" "%USERPROFILE%\AppData\Local\Temp\OnboardLogs"\RTDC4051\2016-10-06</v>
      </c>
      <c r="AF222" s="92" t="str">
        <f>astrogrep_path&amp;" /spath="&amp;search_path&amp;" /stypes=""app*"&amp;B222&amp;"*"&amp;TEXT(I222-utc_offset/24,"YYYYMMDD")&amp;"*"" /stext="" "&amp;TEXT(I222-utc_offset/24,"HH")&amp;search_regexp&amp;""" /e /r /s"</f>
        <v>"C:\Program Files (x86)\AstroGrep\AstroGrep.exe" /spath="%USERPROFILE%\AppData\Local\Temp\OnboardLogs" /stypes="app*4051*20161005*" /stext=" 08:.+((SYSTEM_STATE.+slice.+state.+changed )|(ment ac)|(system.+state.+changed )|(\[timeout)|(PRM\|1\|D)|(kpr)|(kdp)|(\|lc)|(penalty))" /e /r /s</v>
      </c>
      <c r="AG222" s="1" t="str">
        <f>IFERROR(IF(VALUE(LEFT(AD222,2))&lt;=2,"EC",IF(OR(VALUE(LEFT(AD222,2))=8,VALUE(LEFT(AD222,2))=18),"NW","Other")),"Other")</f>
        <v>Other</v>
      </c>
      <c r="AH222" s="96" t="str">
        <f t="shared" si="9"/>
        <v>"%USERPROFILE%\Documents\GitHub\eaglep3\Utilities\RefineRTDCRunTimes.py" --tripid 315-04 --locoid 4051 --swversion DE.1.0.8.0 --startMP 204:10629 --initTime 2016-10-05T01:09:11 --startdatetime 2016-10-05T01:44:38 --delay 2 --endMP 204:128136 --enddatetime 2016-10-05T02:10:18 --enforcementcount 0 &gt;&gt;C:\Users\stu\Documents\GitHub\eaglep3-reporting\EC\2016-10-04-refined-times.txt</v>
      </c>
      <c r="AI222" s="130" t="str">
        <f t="shared" si="10"/>
        <v>echo {"issue":{"subject":"","project_id":79,"tracker_id":40,"status_id":1,"priority_id":2,"assigned_to_id":23,"start_date":"2016-10-05","description":"","custom_fields":[{"id":1,"name":"Subdivision","value":"Other"},{"id":4,"name":"Milepost","value":"12.8136"},{"id":17,"name":"Train ID","value":"315-04"},{"id":16,"name":"Locomotive ID","value":"4051"},{"id":130,"name":"Impact","value":""},{"id":150,"name":"Time of Event (Mountain Time)","value":"02:10:18"},{"id":151,"name":"Denver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5"/>
      <c r="AK222" s="55"/>
      <c r="AL222" s="55"/>
    </row>
    <row r="223" spans="1:38" x14ac:dyDescent="0.25">
      <c r="A223" s="39" t="s">
        <v>599</v>
      </c>
      <c r="B223" s="7">
        <v>4051</v>
      </c>
      <c r="C223" s="24" t="s">
        <v>684</v>
      </c>
      <c r="D223" s="24" t="s">
        <v>687</v>
      </c>
      <c r="E223" s="15">
        <v>42648.095277777778</v>
      </c>
      <c r="F223" s="15">
        <v>42648.101875</v>
      </c>
      <c r="G223" s="7">
        <v>0</v>
      </c>
      <c r="H223" s="15" t="s">
        <v>688</v>
      </c>
      <c r="I223" s="15">
        <v>42648.117523148147</v>
      </c>
      <c r="J223" s="7">
        <v>0</v>
      </c>
      <c r="K223" s="117" t="str">
        <f>IF(ISEVEN(B223),(B223-1)&amp;"/"&amp;B223,B223&amp;"/"&amp;(B223+1))</f>
        <v>4051/4052</v>
      </c>
      <c r="L223" s="24" t="b">
        <f>VLOOKUP(A223,'Trips&amp;Operators'!$C$1:$E$10000,3,FALSE)</f>
        <v>1</v>
      </c>
      <c r="M223" s="6">
        <f>I223-F223</f>
        <v>1.5648148146283347E-2</v>
      </c>
      <c r="N223" s="7">
        <f>24*60*SUM($M223:$M223)</f>
        <v>22.53333333064802</v>
      </c>
      <c r="O223" s="7"/>
      <c r="P223" s="7"/>
      <c r="Q223" s="25"/>
      <c r="R223" s="25"/>
      <c r="S223" s="37">
        <f>SUM(U223:U223)/IF(AG223="EC",12,1)</f>
        <v>0</v>
      </c>
      <c r="T223" s="52" t="str">
        <f>IF(ISEVEN(LEFT(AD223,4)),"Southbound","NorthBound")</f>
        <v>NorthBound</v>
      </c>
      <c r="U223" s="159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02" t="str">
        <f>"https://search-rtdc-monitor-bjffxe2xuh6vdkpspy63sjmuny.us-east-1.es.amazonaws.com/_plugin/kibana/#/discover/Steve-Slow-Train-Analysis-(2080s-and-2083s)?_g=(refreshInterval:(display:Off,section:0,value:0),time:(from:'"&amp;TEXT(E223-1/24,"yyyy-MM-DD hh:mm:ss")&amp;"-0600',mode:absolute,to:'"&amp;TEXT(I223+1/24,"yyyy-MM-DD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223&amp;"%22')),sort:!(Time,asc))"</f>
        <v>https://search-rtdc-monitor-bjffxe2xuh6vdkpspy63sjmuny.us-east-1.es.amazonaws.com/_plugin/kibana/#/discover/Steve-Slow-Train-Analysis-(2080s-and-2083s)?_g=(refreshInterval:(display:Off,section:0,value:0),time:(from:'2016-10-05 01:17:12-0600',mode:absolute,to:'2016-10-05 03:49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23" s="54" t="str">
        <f>IF(AA223&lt;IF(AG223="EC",23,5.65),"Y","N")</f>
        <v>Y</v>
      </c>
      <c r="X223" s="164">
        <f>VALUE(LEFT(AD223,4))-VALUE(LEFT(AD222,4))</f>
        <v>0</v>
      </c>
      <c r="Y223" s="69">
        <f>RIGHT(D223,LEN(D223)-4)/10000</f>
        <v>1.0674999999999999</v>
      </c>
      <c r="Z223" s="69">
        <f>RIGHT(H223,LEN(H223)-4)/10000</f>
        <v>1.0851</v>
      </c>
      <c r="AA223" s="69">
        <f>ABS(Z223-Y223)</f>
        <v>1.760000000000006E-2</v>
      </c>
      <c r="AB223" s="66" t="e">
        <f>VLOOKUP(A223,Enforcements!$C$7:$K$21,8,0)</f>
        <v>#N/A</v>
      </c>
      <c r="AC223" s="62" t="e">
        <f>VLOOKUP(A223,Enforcements!$C$7:$E$21,3,0)</f>
        <v>#N/A</v>
      </c>
      <c r="AD223" s="63" t="str">
        <f>IF(LEN(A223)=6,"0"&amp;A223,A223)</f>
        <v>0315-04</v>
      </c>
      <c r="AE223" s="95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s3://rtdc.mdm.uploadarchive.raw/RTDC4051/ "%USERPROFILE%\AppData\Local\Temp\OnboardLogs"\RTDC4051\2016-10-05 --exclude "*" --recursive --include "*20161005*" &amp; "%USERPROFILE%\Documents\GitHub\mrs-test-scripts\Headless Mode &amp; Sideloading\WalkAndUnGZ.bat" "%USERPROFILE%\AppData\Local\Temp\OnboardLogs"\RTDC4051\2016-10-05 &amp; aws s3 cp s3://rtdc.mdm.uploadarchive.raw/RTDC4051/ "%USERPROFILE%\AppData\Local\Temp\OnboardLogs"\RTDC4051\2016-10-06 --exclude "*" --recursive --include "*20161006*" &amp; "%USERPROFILE%\Documents\GitHub\mrs-test-scripts\Headless Mode &amp; Sideloading\WalkAndUnGZ.bat" "%USERPROFILE%\AppData\Local\Temp\OnboardLogs"\RTDC4051\2016-10-06</v>
      </c>
      <c r="AF223" s="92" t="str">
        <f>astrogrep_path&amp;" /spath="&amp;search_path&amp;" /stypes=""app*"&amp;B223&amp;"*"&amp;TEXT(I223-utc_offset/24,"YYYYMMDD")&amp;"*"" /stext="" "&amp;TEXT(I223-utc_offset/24,"HH")&amp;search_regexp&amp;""" /e /r /s"</f>
        <v>"C:\Program Files (x86)\AstroGrep\AstroGrep.exe" /spath="%USERPROFILE%\AppData\Local\Temp\OnboardLogs" /stypes="app*4051*20161005*" /stext=" 08:.+((SYSTEM_STATE.+slice.+state.+changed )|(ment ac)|(system.+state.+changed )|(\[timeout)|(PRM\|1\|D)|(kpr)|(kdp)|(\|lc)|(penalty))" /e /r /s</v>
      </c>
      <c r="AG223" s="1" t="str">
        <f>IFERROR(IF(VALUE(LEFT(AD223,2))&lt;=2,"EC",IF(OR(VALUE(LEFT(AD223,2))=8,VALUE(LEFT(AD223,2))=18),"NW","Other")),"Other")</f>
        <v>Other</v>
      </c>
      <c r="AH223" s="96" t="str">
        <f t="shared" si="9"/>
        <v>"%USERPROFILE%\Documents\GitHub\eaglep3\Utilities\RefineRTDCRunTimes.py" --tripid 315-04 --locoid 4051 --swversion DE.1.0.8.0 --startMP 204:10675 --initTime 2016-10-05T02:17:12 --startdatetime 2016-10-05T02:26:42 --delay 0 --endMP 204:10851 --enddatetime 2016-10-05T02:49:14 --enforcementcount 0 &gt;&gt;C:\Users\stu\Documents\GitHub\eaglep3-reporting\EC\2016-10-04-refined-times.txt</v>
      </c>
      <c r="AI223" s="130" t="str">
        <f t="shared" si="10"/>
        <v>echo {"issue":{"subject":"","project_id":79,"tracker_id":40,"status_id":1,"priority_id":2,"assigned_to_id":23,"start_date":"2016-10-05","description":"","custom_fields":[{"id":1,"name":"Subdivision","value":"Other"},{"id":4,"name":"Milepost","value":"1.0851"},{"id":17,"name":"Train ID","value":"315-04"},{"id":16,"name":"Locomotive ID","value":"4051"},{"id":130,"name":"Impact","value":""},{"id":150,"name":"Time of Event (Mountain Time)","value":"02:49:14"},{"id":151,"name":"Denver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5"/>
      <c r="AK223" s="55"/>
      <c r="AL223" s="55"/>
    </row>
    <row r="224" spans="1:38" x14ac:dyDescent="0.25">
      <c r="A224" s="39" t="s">
        <v>599</v>
      </c>
      <c r="B224" s="7">
        <v>4051</v>
      </c>
      <c r="C224" s="24" t="s">
        <v>684</v>
      </c>
      <c r="D224" s="24" t="s">
        <v>689</v>
      </c>
      <c r="E224" s="15">
        <v>42648.100555555553</v>
      </c>
      <c r="F224" s="15">
        <v>42648.139328703706</v>
      </c>
      <c r="G224" s="7">
        <v>1</v>
      </c>
      <c r="H224" s="15" t="s">
        <v>690</v>
      </c>
      <c r="I224" s="15">
        <v>42648.152673611112</v>
      </c>
      <c r="J224" s="7">
        <v>0</v>
      </c>
      <c r="K224" s="117" t="str">
        <f>IF(ISEVEN(B224),(B224-1)&amp;"/"&amp;B224,B224&amp;"/"&amp;(B224+1))</f>
        <v>4051/4052</v>
      </c>
      <c r="L224" s="24" t="b">
        <f>VLOOKUP(A224,'Trips&amp;Operators'!$C$1:$E$10000,3,FALSE)</f>
        <v>1</v>
      </c>
      <c r="M224" s="6">
        <f>I224-F224</f>
        <v>1.3344907405553386E-2</v>
      </c>
      <c r="N224" s="7">
        <f>24*60*SUM($M224:$M224)</f>
        <v>19.216666663996875</v>
      </c>
      <c r="O224" s="7"/>
      <c r="P224" s="7"/>
      <c r="Q224" s="25"/>
      <c r="R224" s="25"/>
      <c r="S224" s="37">
        <f>SUM(U224:U224)/IF(AG224="EC",12,1)</f>
        <v>0</v>
      </c>
      <c r="T224" s="52" t="str">
        <f>IF(ISEVEN(LEFT(AD224,4)),"Southbound","NorthBound")</f>
        <v>NorthBound</v>
      </c>
      <c r="U224" s="159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02" t="str">
        <f>"https://search-rtdc-monitor-bjffxe2xuh6vdkpspy63sjmuny.us-east-1.es.amazonaws.com/_plugin/kibana/#/discover/Steve-Slow-Train-Analysis-(2080s-and-2083s)?_g=(refreshInterval:(display:Off,section:0,value:0),time:(from:'"&amp;TEXT(E224-1/24,"yyyy-MM-DD hh:mm:ss")&amp;"-0600',mode:absolute,to:'"&amp;TEXT(I224+1/24,"yyyy-MM-DD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224&amp;"%22')),sort:!(Time,asc))"</f>
        <v>https://search-rtdc-monitor-bjffxe2xuh6vdkpspy63sjmuny.us-east-1.es.amazonaws.com/_plugin/kibana/#/discover/Steve-Slow-Train-Analysis-(2080s-and-2083s)?_g=(refreshInterval:(display:Off,section:0,value:0),time:(from:'2016-10-05 01:24:48-0600',mode:absolute,to:'2016-10-05 04:39:51-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24" s="54" t="str">
        <f>IF(AA224&lt;IF(AG224="EC",23,5.65),"Y","N")</f>
        <v>N</v>
      </c>
      <c r="X224" s="164">
        <f>VALUE(LEFT(AD224,4))-VALUE(LEFT(AD223,4))</f>
        <v>0</v>
      </c>
      <c r="Y224" s="69">
        <f>RIGHT(D224,LEN(D224)-4)/10000</f>
        <v>1.9140999999999999</v>
      </c>
      <c r="Z224" s="69">
        <f>RIGHT(H224,LEN(H224)-4)/10000</f>
        <v>12.6341</v>
      </c>
      <c r="AA224" s="69">
        <f>ABS(Z224-Y224)</f>
        <v>10.72</v>
      </c>
      <c r="AB224" s="66" t="e">
        <f>VLOOKUP(A224,Enforcements!$C$7:$K$21,8,0)</f>
        <v>#N/A</v>
      </c>
      <c r="AC224" s="62" t="e">
        <f>VLOOKUP(A224,Enforcements!$C$7:$E$21,3,0)</f>
        <v>#N/A</v>
      </c>
      <c r="AD224" s="63" t="str">
        <f>IF(LEN(A224)=6,"0"&amp;A224,A224)</f>
        <v>0315-04</v>
      </c>
      <c r="AE224" s="95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s3://rtdc.mdm.uploadarchive.raw/RTDC4051/ "%USERPROFILE%\AppData\Local\Temp\OnboardLogs"\RTDC4051\2016-10-05 --exclude "*" --recursive --include "*20161005*" &amp; "%USERPROFILE%\Documents\GitHub\mrs-test-scripts\Headless Mode &amp; Sideloading\WalkAndUnGZ.bat" "%USERPROFILE%\AppData\Local\Temp\OnboardLogs"\RTDC4051\2016-10-05 &amp; aws s3 cp s3://rtdc.mdm.uploadarchive.raw/RTDC4051/ "%USERPROFILE%\AppData\Local\Temp\OnboardLogs"\RTDC4051\2016-10-06 --exclude "*" --recursive --include "*20161006*" &amp; "%USERPROFILE%\Documents\GitHub\mrs-test-scripts\Headless Mode &amp; Sideloading\WalkAndUnGZ.bat" "%USERPROFILE%\AppData\Local\Temp\OnboardLogs"\RTDC4051\2016-10-06</v>
      </c>
      <c r="AF224" s="92" t="str">
        <f>astrogrep_path&amp;" /spath="&amp;search_path&amp;" /stypes=""app*"&amp;B224&amp;"*"&amp;TEXT(I224-utc_offset/24,"YYYYMMDD")&amp;"*"" /stext="" "&amp;TEXT(I224-utc_offset/24,"HH")&amp;search_regexp&amp;""" /e /r /s"</f>
        <v>"C:\Program Files (x86)\AstroGrep\AstroGrep.exe" /spath="%USERPROFILE%\AppData\Local\Temp\OnboardLogs" /stypes="app*4051*20161005*" /stext=" 09:.+((SYSTEM_STATE.+slice.+state.+changed )|(ment ac)|(system.+state.+changed )|(\[timeout)|(PRM\|1\|D)|(kpr)|(kdp)|(\|lc)|(penalty))" /e /r /s</v>
      </c>
      <c r="AG224" s="1" t="str">
        <f>IFERROR(IF(VALUE(LEFT(AD224,2))&lt;=2,"EC",IF(OR(VALUE(LEFT(AD224,2))=8,VALUE(LEFT(AD224,2))=18),"NW","Other")),"Other")</f>
        <v>Other</v>
      </c>
      <c r="AH224" s="96" t="str">
        <f t="shared" si="9"/>
        <v>"%USERPROFILE%\Documents\GitHub\eaglep3\Utilities\RefineRTDCRunTimes.py" --tripid 315-04 --locoid 4051 --swversion DE.1.0.8.0 --startMP 204:19141 --initTime 2016-10-05T02:24:48 --startdatetime 2016-10-05T03:20:38 --delay 1 --endMP 204:126341 --enddatetime 2016-10-05T03:39:51 --enforcementcount 0 &gt;&gt;C:\Users\stu\Documents\GitHub\eaglep3-reporting\EC\2016-10-04-refined-times.txt</v>
      </c>
      <c r="AI224" s="130" t="str">
        <f t="shared" si="10"/>
        <v>echo {"issue":{"subject":"","project_id":79,"tracker_id":40,"status_id":1,"priority_id":2,"assigned_to_id":23,"start_date":"2016-10-05","description":"","custom_fields":[{"id":1,"name":"Subdivision","value":"Other"},{"id":4,"name":"Milepost","value":"12.6341"},{"id":17,"name":"Train ID","value":"315-04"},{"id":16,"name":"Locomotive ID","value":"4051"},{"id":130,"name":"Impact","value":""},{"id":150,"name":"Time of Event (Mountain Time)","value":"03:39:51"},{"id":151,"name":"Denver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5"/>
      <c r="AK224" s="55"/>
      <c r="AL224" s="55"/>
    </row>
    <row r="225" spans="1:38" x14ac:dyDescent="0.25">
      <c r="A225" s="39" t="s">
        <v>599</v>
      </c>
      <c r="B225" s="7">
        <v>4052</v>
      </c>
      <c r="C225" s="24" t="s">
        <v>684</v>
      </c>
      <c r="D225" s="24" t="s">
        <v>691</v>
      </c>
      <c r="E225" s="15">
        <v>42648.070138888892</v>
      </c>
      <c r="F225" s="15">
        <v>42648.101875</v>
      </c>
      <c r="G225" s="7">
        <v>2</v>
      </c>
      <c r="H225" s="15" t="s">
        <v>692</v>
      </c>
      <c r="I225" s="15">
        <v>42648.117523148147</v>
      </c>
      <c r="J225" s="7">
        <v>0</v>
      </c>
      <c r="K225" s="117" t="str">
        <f>IF(ISEVEN(B225),(B225-1)&amp;"/"&amp;B225,B225&amp;"/"&amp;(B225+1))</f>
        <v>4051/4052</v>
      </c>
      <c r="L225" s="24" t="b">
        <f>VLOOKUP(A225,'Trips&amp;Operators'!$C$1:$E$10000,3,FALSE)</f>
        <v>1</v>
      </c>
      <c r="M225" s="6">
        <f>I225-F225</f>
        <v>1.5648148146283347E-2</v>
      </c>
      <c r="N225" s="7">
        <f>24*60*SUM($M225:$M225)</f>
        <v>22.53333333064802</v>
      </c>
      <c r="O225" s="7"/>
      <c r="P225" s="7"/>
      <c r="Q225" s="25"/>
      <c r="R225" s="25"/>
      <c r="S225" s="37">
        <f>SUM(U225:U225)/IF(AG225="EC",12,1)</f>
        <v>0</v>
      </c>
      <c r="T225" s="52" t="str">
        <f>IF(ISEVEN(LEFT(AD225,4)),"Southbound","NorthBound")</f>
        <v>NorthBound</v>
      </c>
      <c r="U225" s="159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02" t="str">
        <f>"https://search-rtdc-monitor-bjffxe2xuh6vdkpspy63sjmuny.us-east-1.es.amazonaws.com/_plugin/kibana/#/discover/Steve-Slow-Train-Analysis-(2080s-and-2083s)?_g=(refreshInterval:(display:Off,section:0,value:0),time:(from:'"&amp;TEXT(E225-1/24,"yyyy-MM-DD hh:mm:ss")&amp;"-0600',mode:absolute,to:'"&amp;TEXT(I225+1/24,"yyyy-MM-DD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225&amp;"%22')),sort:!(Time,asc))"</f>
        <v>https://search-rtdc-monitor-bjffxe2xuh6vdkpspy63sjmuny.us-east-1.es.amazonaws.com/_plugin/kibana/#/discover/Steve-Slow-Train-Analysis-(2080s-and-2083s)?_g=(refreshInterval:(display:Off,section:0,value:0),time:(from:'2016-10-05 00:41:00-0600',mode:absolute,to:'2016-10-05 03:49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25" s="54" t="str">
        <f>IF(AA225&lt;IF(AG225="EC",23,5.65),"Y","N")</f>
        <v>N</v>
      </c>
      <c r="X225" s="164">
        <f>VALUE(LEFT(AD225,4))-VALUE(LEFT(AD224,4))</f>
        <v>0</v>
      </c>
      <c r="Y225" s="69">
        <f>RIGHT(D225,LEN(D225)-4)/10000</f>
        <v>12.786199999999999</v>
      </c>
      <c r="Z225" s="69">
        <f>RIGHT(H225,LEN(H225)-4)/10000</f>
        <v>0.99219999999999997</v>
      </c>
      <c r="AA225" s="69">
        <f>ABS(Z225-Y225)</f>
        <v>11.793999999999999</v>
      </c>
      <c r="AB225" s="66" t="e">
        <f>VLOOKUP(A225,Enforcements!$C$7:$K$21,8,0)</f>
        <v>#N/A</v>
      </c>
      <c r="AC225" s="62" t="e">
        <f>VLOOKUP(A225,Enforcements!$C$7:$E$21,3,0)</f>
        <v>#N/A</v>
      </c>
      <c r="AD225" s="63" t="str">
        <f>IF(LEN(A225)=6,"0"&amp;A225,A225)</f>
        <v>0315-04</v>
      </c>
      <c r="AE225" s="95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s3://rtdc.mdm.uploadarchive.raw/RTDC4052/ "%USERPROFILE%\AppData\Local\Temp\OnboardLogs"\RTDC4052\2016-10-05 --exclude "*" --recursive --include "*20161005*" &amp; "%USERPROFILE%\Documents\GitHub\mrs-test-scripts\Headless Mode &amp; Sideloading\WalkAndUnGZ.bat" "%USERPROFILE%\AppData\Local\Temp\OnboardLogs"\RTDC4052\2016-10-05 &amp; aws s3 cp s3://rtdc.mdm.uploadarchive.raw/RTDC4052/ "%USERPROFILE%\AppData\Local\Temp\OnboardLogs"\RTDC4052\2016-10-06 --exclude "*" --recursive --include "*20161006*" &amp; "%USERPROFILE%\Documents\GitHub\mrs-test-scripts\Headless Mode &amp; Sideloading\WalkAndUnGZ.bat" "%USERPROFILE%\AppData\Local\Temp\OnboardLogs"\RTDC4052\2016-10-06</v>
      </c>
      <c r="AF225" s="92" t="str">
        <f>astrogrep_path&amp;" /spath="&amp;search_path&amp;" /stypes=""app*"&amp;B225&amp;"*"&amp;TEXT(I225-utc_offset/24,"YYYYMMDD")&amp;"*"" /stext="" "&amp;TEXT(I225-utc_offset/24,"HH")&amp;search_regexp&amp;""" /e /r /s"</f>
        <v>"C:\Program Files (x86)\AstroGrep\AstroGrep.exe" /spath="%USERPROFILE%\AppData\Local\Temp\OnboardLogs" /stypes="app*4052*20161005*" /stext=" 08:.+((SYSTEM_STATE.+slice.+state.+changed )|(ment ac)|(system.+state.+changed )|(\[timeout)|(PRM\|1\|D)|(kpr)|(kdp)|(\|lc)|(penalty))" /e /r /s</v>
      </c>
      <c r="AG225" s="1" t="str">
        <f>IFERROR(IF(VALUE(LEFT(AD225,2))&lt;=2,"EC",IF(OR(VALUE(LEFT(AD225,2))=8,VALUE(LEFT(AD225,2))=18),"NW","Other")),"Other")</f>
        <v>Other</v>
      </c>
      <c r="AH225" s="96" t="str">
        <f t="shared" si="9"/>
        <v>"%USERPROFILE%\Documents\GitHub\eaglep3\Utilities\RefineRTDCRunTimes.py" --tripid 315-04 --locoid 4052 --swversion DE.1.0.8.0 --startMP 204:127862 --initTime 2016-10-05T01:41:00 --startdatetime 2016-10-05T02:26:42 --delay 2 --endMP 204:9922 --enddatetime 2016-10-05T02:49:14 --enforcementcount 0 &gt;&gt;C:\Users\stu\Documents\GitHub\eaglep3-reporting\EC\2016-10-04-refined-times.txt</v>
      </c>
      <c r="AI225" s="130" t="str">
        <f t="shared" si="10"/>
        <v>echo {"issue":{"subject":"","project_id":79,"tracker_id":40,"status_id":1,"priority_id":2,"assigned_to_id":23,"start_date":"2016-10-05","description":"","custom_fields":[{"id":1,"name":"Subdivision","value":"Other"},{"id":4,"name":"Milepost","value":"0.9922"},{"id":17,"name":"Train ID","value":"315-04"},{"id":16,"name":"Locomotive ID","value":"4052"},{"id":130,"name":"Impact","value":""},{"id":150,"name":"Time of Event (Mountain Time)","value":"02:49:14"},{"id":151,"name":"Denver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55"/>
      <c r="AK225" s="55"/>
      <c r="AL225" s="55"/>
    </row>
    <row r="226" spans="1:38" x14ac:dyDescent="0.25">
      <c r="A226" s="39" t="s">
        <v>375</v>
      </c>
      <c r="B226" s="7">
        <v>4003</v>
      </c>
      <c r="C226" s="24" t="s">
        <v>106</v>
      </c>
      <c r="D226" s="24" t="s">
        <v>775</v>
      </c>
      <c r="E226" s="15">
        <v>42647.203182870369</v>
      </c>
      <c r="F226" s="15">
        <v>42647.207592592589</v>
      </c>
      <c r="G226" s="7">
        <v>6</v>
      </c>
      <c r="H226" s="15" t="s">
        <v>729</v>
      </c>
      <c r="I226" s="15">
        <v>42647.212476851855</v>
      </c>
      <c r="J226" s="7">
        <v>0</v>
      </c>
      <c r="K226" s="117" t="str">
        <f>IF(ISEVEN(B226),(B226-1)&amp;"/"&amp;B226,B226&amp;"/"&amp;(B226+1))</f>
        <v>4003/4004</v>
      </c>
      <c r="L226" s="24" t="str">
        <f>VLOOKUP(A226,'Trips&amp;Operators'!$C$1:$E$10000,3,FALSE)</f>
        <v>STARKS</v>
      </c>
      <c r="M226" s="6">
        <f>I226-F226</f>
        <v>4.8842592659639195E-3</v>
      </c>
      <c r="N226" s="7">
        <f>24*60*SUM($M226:$M226)</f>
        <v>7.033333342988044</v>
      </c>
      <c r="O226" s="7"/>
      <c r="P226" s="7"/>
      <c r="Q226" s="25"/>
      <c r="R226" s="25"/>
      <c r="S226" s="37">
        <f>SUM(U226:U226)/IF(AG226="EC",12,1)</f>
        <v>0</v>
      </c>
      <c r="T226" s="52" t="str">
        <f>IF(ISEVEN(LEFT(AD226,4)),"Southbound","NorthBound")</f>
        <v>NorthBound</v>
      </c>
      <c r="U226" s="159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02" t="str">
        <f>"https://search-rtdc-monitor-bjffxe2xuh6vdkpspy63sjmuny.us-east-1.es.amazonaws.com/_plugin/kibana/#/discover/Steve-Slow-Train-Analysis-(2080s-and-2083s)?_g=(refreshInterval:(display:Off,section:0,value:0),time:(from:'"&amp;TEXT(E226-1/24,"yyyy-MM-DD hh:mm:ss")&amp;"-0600',mode:absolute,to:'"&amp;TEXT(I226+1/24,"yyyy-MM-DD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226&amp;"%22')),sort:!(Time,asc))"</f>
        <v>https://search-rtdc-monitor-bjffxe2xuh6vdkpspy63sjmuny.us-east-1.es.amazonaws.com/_plugin/kibana/#/discover/Steve-Slow-Train-Analysis-(2080s-and-2083s)?_g=(refreshInterval:(display:Off,section:0,value:0),time:(from:'2016-10-04 03:52:35-0600',mode:absolute,to:'2016-10-04 06:05:58-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26" s="54" t="str">
        <f>IF(AA226&lt;IF(AG226="EC",23,5.65),"Y","N")</f>
        <v>Y</v>
      </c>
      <c r="X226" s="164">
        <f>VALUE(LEFT(AD226,4))-VALUE(LEFT(AD225,4))</f>
        <v>586</v>
      </c>
      <c r="Y226" s="69">
        <f>RIGHT(D226,LEN(D226)-4)/10000</f>
        <v>3.0411000000000001</v>
      </c>
      <c r="Z226" s="69">
        <f>RIGHT(H226,LEN(H226)-4)/10000</f>
        <v>5.8933</v>
      </c>
      <c r="AA226" s="69">
        <f>ABS(Z226-Y226)</f>
        <v>2.8521999999999998</v>
      </c>
      <c r="AB226" s="66" t="e">
        <f>VLOOKUP(A226,Enforcements!$C$7:$K$21,8,0)</f>
        <v>#N/A</v>
      </c>
      <c r="AC226" s="62" t="e">
        <f>VLOOKUP(A226,Enforcements!$C$7:$E$21,3,0)</f>
        <v>#N/A</v>
      </c>
      <c r="AD226" s="63" t="str">
        <f>IF(LEN(A226)=6,"0"&amp;A226,A226)</f>
        <v>0901-04</v>
      </c>
      <c r="AE226" s="95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s3://rtdc.mdm.uploadarchive.raw/RTDC4003/ "%USERPROFILE%\AppData\Local\Temp\OnboardLogs"\RTDC4003\2016-10-04 --exclude "*" --recursive --include "*20161004*" &amp; "%USERPROFILE%\Documents\GitHub\mrs-test-scripts\Headless Mode &amp; Sideloading\WalkAndUnGZ.bat" "%USERPROFILE%\AppData\Local\Temp\OnboardLogs"\RTDC4003\2016-10-04 &amp; aws s3 cp s3://rtdc.mdm.uploadarchive.raw/RTDC4003/ "%USERPROFILE%\AppData\Local\Temp\OnboardLogs"\RTDC4003\2016-10-05 --exclude "*" --recursive --include "*20161005*" &amp; "%USERPROFILE%\Documents\GitHub\mrs-test-scripts\Headless Mode &amp; Sideloading\WalkAndUnGZ.bat" "%USERPROFILE%\AppData\Local\Temp\OnboardLogs"\RTDC4003\2016-10-05</v>
      </c>
      <c r="AF226" s="92" t="str">
        <f>astrogrep_path&amp;" /spath="&amp;search_path&amp;" /stypes=""app*"&amp;B226&amp;"*"&amp;TEXT(I226-utc_offset/24,"YYYYMMDD")&amp;"*"" /stext="" "&amp;TEXT(I226-utc_offset/24,"HH")&amp;search_regexp&amp;""" /e /r /s"</f>
        <v>"C:\Program Files (x86)\AstroGrep\AstroGrep.exe" /spath="%USERPROFILE%\AppData\Local\Temp\OnboardLogs" /stypes="app*4003*20161004*" /stext=" 11:.+((SYSTEM_STATE.+slice.+state.+changed )|(ment ac)|(system.+state.+changed )|(\[timeout)|(PRM\|1\|D)|(kpr)|(kdp)|(\|lc)|(penalty))" /e /r /s</v>
      </c>
      <c r="AG226" s="1" t="str">
        <f>IFERROR(IF(VALUE(LEFT(AD226,2))&lt;=2,"EC",IF(OR(VALUE(LEFT(AD226,2))=8,VALUE(LEFT(AD226,2))=18),"NW","Other")),"Other")</f>
        <v>Other</v>
      </c>
      <c r="AH226" s="96" t="str">
        <f t="shared" si="9"/>
        <v>"%USERPROFILE%\Documents\GitHub\eaglep3\Utilities\RefineRTDCRunTimes.py" --tripid 901-04 --locoid 4003 --swversion DE.1.0.7.0 --startMP 300:30411 --initTime 2016-10-04T04:52:35 --startdatetime 2016-10-04T04:58:56 --delay 6 --endMP 300:58933 --enddatetime 2016-10-04T05:05:58 --enforcementcount 0 &gt;&gt;C:\Users\stu\Documents\GitHub\eaglep3-reporting\EC\2016-10-04-refined-times.txt</v>
      </c>
      <c r="AI226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{"issue":{"subject":"","project_id":79,"tracker_id":40,"status_id":1,"priority_id":2,"assigned_to_id":23,"start_date":"2016-10-04","description":"","custom_fields":[{"id":1,"name":"Subdivision","value":"Other"},{"id":4,"name":"Milepost","value":"5.8933"},{"id":17,"name":"Train ID","value":"901-04"},{"id":16,"name":"Locomotive ID","value":"4003"},{"id":130,"name":"Impact","value":""},{"id":150,"name":"Time of Event (Mountain Time)","value":"05:05:58"},{"id":151,"name":"Denver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55"/>
      <c r="AK226" s="55"/>
      <c r="AL226" s="55"/>
    </row>
    <row r="227" spans="1:38" x14ac:dyDescent="0.25">
      <c r="A227" s="39" t="s">
        <v>389</v>
      </c>
      <c r="B227" s="7">
        <v>4017</v>
      </c>
      <c r="C227" s="24" t="s">
        <v>106</v>
      </c>
      <c r="D227" s="24" t="s">
        <v>776</v>
      </c>
      <c r="E227" s="15">
        <v>42647.244560185187</v>
      </c>
      <c r="F227" s="15">
        <v>42647.24732638889</v>
      </c>
      <c r="G227" s="7">
        <v>3</v>
      </c>
      <c r="H227" s="15" t="s">
        <v>736</v>
      </c>
      <c r="I227" s="15">
        <v>42647.25277777778</v>
      </c>
      <c r="J227" s="7">
        <v>0</v>
      </c>
      <c r="K227" s="117" t="str">
        <f>IF(ISEVEN(B227),(B227-1)&amp;"/"&amp;B227,B227&amp;"/"&amp;(B227+1))</f>
        <v>4017/4018</v>
      </c>
      <c r="L227" s="24" t="str">
        <f>VLOOKUP(A227,'Trips&amp;Operators'!$C$1:$E$10000,3,FALSE)</f>
        <v>LEVIN</v>
      </c>
      <c r="M227" s="6">
        <f>I227-F227</f>
        <v>5.4513888899236917E-3</v>
      </c>
      <c r="N227" s="7">
        <f>24*60*SUM($M227:$M227)</f>
        <v>7.8500000014901161</v>
      </c>
      <c r="O227" s="7"/>
      <c r="P227" s="7"/>
      <c r="Q227" s="25"/>
      <c r="R227" s="25"/>
      <c r="S227" s="37">
        <f>SUM(U227:U227)/IF(AG227="EC",12,1)</f>
        <v>1</v>
      </c>
      <c r="T227" s="52" t="str">
        <f>IF(ISEVEN(LEFT(AD227,4)),"Southbound","NorthBound")</f>
        <v>Southbound</v>
      </c>
      <c r="U227" s="159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102" t="str">
        <f>"https://search-rtdc-monitor-bjffxe2xuh6vdkpspy63sjmuny.us-east-1.es.amazonaws.com/_plugin/kibana/#/discover/Steve-Slow-Train-Analysis-(2080s-and-2083s)?_g=(refreshInterval:(display:Off,section:0,value:0),time:(from:'"&amp;TEXT(E227-1/24,"yyyy-MM-DD hh:mm:ss")&amp;"-0600',mode:absolute,to:'"&amp;TEXT(I227+1/24,"yyyy-MM-DD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227&amp;"%22')),sort:!(Time,asc))"</f>
        <v>https://search-rtdc-monitor-bjffxe2xuh6vdkpspy63sjmuny.us-east-1.es.amazonaws.com/_plugin/kibana/#/discover/Steve-Slow-Train-Analysis-(2080s-and-2083s)?_g=(refreshInterval:(display:Off,section:0,value:0),time:(from:'2016-10-04 04:52:10-0600',mode:absolute,to:'2016-10-04 07:04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27" s="54" t="str">
        <f>IF(AA227&lt;IF(AG227="EC",23,5.65),"Y","N")</f>
        <v>Y</v>
      </c>
      <c r="X227" s="164">
        <f>VALUE(LEFT(AD227,4))-VALUE(LEFT(AD226,4))</f>
        <v>1</v>
      </c>
      <c r="Y227" s="69">
        <f>RIGHT(D227,LEN(D227)-4)/10000</f>
        <v>2.3262999999999998</v>
      </c>
      <c r="Z227" s="69">
        <f>RIGHT(H227,LEN(H227)-4)/10000</f>
        <v>7.1499999999999994E-2</v>
      </c>
      <c r="AA227" s="69">
        <f>ABS(Z227-Y227)</f>
        <v>2.2547999999999999</v>
      </c>
      <c r="AB227" s="66" t="e">
        <f>VLOOKUP(A227,Enforcements!$C$7:$K$21,8,0)</f>
        <v>#N/A</v>
      </c>
      <c r="AC227" s="62" t="e">
        <f>VLOOKUP(A227,Enforcements!$C$7:$E$21,3,0)</f>
        <v>#N/A</v>
      </c>
      <c r="AD227" s="63" t="str">
        <f>IF(LEN(A227)=6,"0"&amp;A227,A227)</f>
        <v>0902-04</v>
      </c>
      <c r="AE227" s="95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 &amp; 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</v>
      </c>
      <c r="AF227" s="92" t="str">
        <f>astrogrep_path&amp;" /spath="&amp;search_path&amp;" /stypes=""app*"&amp;B227&amp;"*"&amp;TEXT(I227-utc_offset/24,"YYYYMMDD")&amp;"*"" /stext="" "&amp;TEXT(I227-utc_offset/24,"HH")&amp;search_regexp&amp;""" /e /r /s"</f>
        <v>"C:\Program Files (x86)\AstroGrep\AstroGrep.exe" /spath="%USERPROFILE%\AppData\Local\Temp\OnboardLogs" /stypes="app*4017*20161004*" /stext=" 12:.+((SYSTEM_STATE.+slice.+state.+changed )|(ment ac)|(system.+state.+changed )|(\[timeout)|(PRM\|1\|D)|(kpr)|(kdp)|(\|lc)|(penalty))" /e /r /s</v>
      </c>
      <c r="AG227" s="1" t="str">
        <f>IFERROR(IF(VALUE(LEFT(AD227,2))&lt;=2,"EC",IF(OR(VALUE(LEFT(AD227,2))=8,VALUE(LEFT(AD227,2))=18),"NW","Other")),"Other")</f>
        <v>Other</v>
      </c>
      <c r="AH227" s="96" t="str">
        <f t="shared" si="9"/>
        <v>"%USERPROFILE%\Documents\GitHub\eaglep3\Utilities\RefineRTDCRunTimes.py" --tripid 902-04 --locoid 4017 --swversion DE.1.0.7.0 --startMP 300:23263 --initTime 2016-10-04T05:52:10 --startdatetime 2016-10-04T05:56:09 --delay 3 --endMP 204:715 --enddatetime 2016-10-04T06:04:00 --enforcementcount 0 &gt;&gt;C:\Users\stu\Documents\GitHub\eaglep3-reporting\EC\2016-10-04-refined-times.txt</v>
      </c>
      <c r="AI227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{"issue":{"subject":"","project_id":79,"tracker_id":40,"status_id":1,"priority_id":2,"assigned_to_id":23,"start_date":"2016-10-04","description":"","custom_fields":[{"id":1,"name":"Subdivision","value":"Other"},{"id":4,"name":"Milepost","value":"0.0715"},{"id":17,"name":"Train ID","value":"902-04"},{"id":16,"name":"Locomotive ID","value":"4017"},{"id":130,"name":"Impact","value":""},{"id":150,"name":"Time of Event (Mountain Time)","value":"06:04:00"},{"id":151,"name":"Denver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55"/>
      <c r="AK227" s="55"/>
      <c r="AL227" s="55"/>
    </row>
    <row r="228" spans="1:38" x14ac:dyDescent="0.25">
      <c r="A228" s="39" t="s">
        <v>509</v>
      </c>
      <c r="B228" s="7">
        <v>4004</v>
      </c>
      <c r="C228" s="24" t="s">
        <v>106</v>
      </c>
      <c r="D228" s="24" t="s">
        <v>777</v>
      </c>
      <c r="E228" s="15">
        <v>42647.648680555554</v>
      </c>
      <c r="F228" s="15">
        <v>42647.649953703702</v>
      </c>
      <c r="G228" s="7">
        <v>1</v>
      </c>
      <c r="H228" s="15" t="s">
        <v>337</v>
      </c>
      <c r="I228" s="15">
        <v>42647.65724537037</v>
      </c>
      <c r="J228" s="7">
        <v>0</v>
      </c>
      <c r="K228" s="117" t="str">
        <f>IF(ISEVEN(B228),(B228-1)&amp;"/"&amp;B228,B228&amp;"/"&amp;(B228+1))</f>
        <v>4003/4004</v>
      </c>
      <c r="L228" s="24" t="str">
        <f>VLOOKUP(A228,'Trips&amp;Operators'!$C$1:$E$10000,3,FALSE)</f>
        <v>STURGEON</v>
      </c>
      <c r="M228" s="6">
        <f>I228-F228</f>
        <v>7.291666668606922E-3</v>
      </c>
      <c r="N228" s="7">
        <f>24*60*SUM($M228:$M228)</f>
        <v>10.500000002793968</v>
      </c>
      <c r="O228" s="7"/>
      <c r="P228" s="7"/>
      <c r="Q228" s="25"/>
      <c r="R228" s="25"/>
      <c r="S228" s="37">
        <f>SUM(U228:U228)/IF(AG228="EC",12,1)</f>
        <v>1</v>
      </c>
      <c r="T228" s="52" t="str">
        <f>IF(ISEVEN(LEFT(AD228,4)),"Southbound","NorthBound")</f>
        <v>Southbound</v>
      </c>
      <c r="U228" s="159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102" t="str">
        <f>"https://search-rtdc-monitor-bjffxe2xuh6vdkpspy63sjmuny.us-east-1.es.amazonaws.com/_plugin/kibana/#/discover/Steve-Slow-Train-Analysis-(2080s-and-2083s)?_g=(refreshInterval:(display:Off,section:0,value:0),time:(from:'"&amp;TEXT(E228-1/24,"yyyy-MM-DD hh:mm:ss")&amp;"-0600',mode:absolute,to:'"&amp;TEXT(I228+1/24,"yyyy-MM-DD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228&amp;"%22')),sort:!(Time,asc))"</f>
        <v>https://search-rtdc-monitor-bjffxe2xuh6vdkpspy63sjmuny.us-east-1.es.amazonaws.com/_plugin/kibana/#/discover/Steve-Slow-Train-Analysis-(2080s-and-2083s)?_g=(refreshInterval:(display:Off,section:0,value:0),time:(from:'2016-10-04 14:34:06-0600',mode:absolute,to:'2016-10-04 16:46:26-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28" s="54" t="str">
        <f>IF(AA228&lt;IF(AG228="EC",23,5.65),"Y","N")</f>
        <v>Y</v>
      </c>
      <c r="X228" s="164">
        <f>VALUE(LEFT(AD228,4))-VALUE(LEFT(AD227,4))</f>
        <v>2</v>
      </c>
      <c r="Y228" s="69">
        <f>RIGHT(D228,LEN(D228)-4)/10000</f>
        <v>2.3365999999999998</v>
      </c>
      <c r="Z228" s="69">
        <f>RIGHT(H228,LEN(H228)-4)/10000</f>
        <v>7.0499999999999993E-2</v>
      </c>
      <c r="AA228" s="69">
        <f>ABS(Z228-Y228)</f>
        <v>2.2660999999999998</v>
      </c>
      <c r="AB228" s="66" t="e">
        <f>VLOOKUP(A228,Enforcements!$C$7:$K$21,8,0)</f>
        <v>#N/A</v>
      </c>
      <c r="AC228" s="62" t="e">
        <f>VLOOKUP(A228,Enforcements!$C$7:$E$21,3,0)</f>
        <v>#N/A</v>
      </c>
      <c r="AD228" s="63" t="str">
        <f>IF(LEN(A228)=6,"0"&amp;A228,A228)</f>
        <v>0904-04</v>
      </c>
      <c r="AE228" s="95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s3://rtdc.mdm.uploadarchive.raw/RTDC4004/ "%USERPROFILE%\AppData\Local\Temp\OnboardLogs"\RTDC4004\2016-10-04 --exclude "*" --recursive --include "*20161004*" &amp; "%USERPROFILE%\Documents\GitHub\mrs-test-scripts\Headless Mode &amp; Sideloading\WalkAndUnGZ.bat" "%USERPROFILE%\AppData\Local\Temp\OnboardLogs"\RTDC4004\2016-10-04 &amp; aws s3 cp s3://rtdc.mdm.uploadarchive.raw/RTDC4004/ "%USERPROFILE%\AppData\Local\Temp\OnboardLogs"\RTDC4004\2016-10-05 --exclude "*" --recursive --include "*20161005*" &amp; "%USERPROFILE%\Documents\GitHub\mrs-test-scripts\Headless Mode &amp; Sideloading\WalkAndUnGZ.bat" "%USERPROFILE%\AppData\Local\Temp\OnboardLogs"\RTDC4004\2016-10-05</v>
      </c>
      <c r="AF228" s="92" t="str">
        <f>astrogrep_path&amp;" /spath="&amp;search_path&amp;" /stypes=""app*"&amp;B228&amp;"*"&amp;TEXT(I228-utc_offset/24,"YYYYMMDD")&amp;"*"" /stext="" "&amp;TEXT(I228-utc_offset/24,"HH")&amp;search_regexp&amp;""" /e /r /s"</f>
        <v>"C:\Program Files (x86)\AstroGrep\AstroGrep.exe" /spath="%USERPROFILE%\AppData\Local\Temp\OnboardLogs" /stypes="app*4004*20161004*" /stext=" 21:.+((SYSTEM_STATE.+slice.+state.+changed )|(ment ac)|(system.+state.+changed )|(\[timeout)|(PRM\|1\|D)|(kpr)|(kdp)|(\|lc)|(penalty))" /e /r /s</v>
      </c>
      <c r="AG228" s="1" t="str">
        <f>IFERROR(IF(VALUE(LEFT(AD228,2))&lt;=2,"EC",IF(OR(VALUE(LEFT(AD228,2))=8,VALUE(LEFT(AD228,2))=18),"NW","Other")),"Other")</f>
        <v>Other</v>
      </c>
      <c r="AH228" s="96" t="str">
        <f t="shared" si="9"/>
        <v>"%USERPROFILE%\Documents\GitHub\eaglep3\Utilities\RefineRTDCRunTimes.py" --tripid 904-04 --locoid 4004 --swversion DE.1.0.7.0 --startMP 300:23366 --initTime 2016-10-04T15:34:06 --startdatetime 2016-10-04T15:35:56 --delay 1 --endMP 204:705 --enddatetime 2016-10-04T15:46:26 --enforcementcount 0 &gt;&gt;C:\Users\stu\Documents\GitHub\eaglep3-reporting\EC\2016-10-04-refined-times.txt</v>
      </c>
      <c r="AI228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{"issue":{"subject":"","project_id":79,"tracker_id":40,"status_id":1,"priority_id":2,"assigned_to_id":23,"start_date":"2016-10-04","description":"","custom_fields":[{"id":1,"name":"Subdivision","value":"Other"},{"id":4,"name":"Milepost","value":"0.0705"},{"id":17,"name":"Train ID","value":"904-04"},{"id":16,"name":"Locomotive ID","value":"4004"},{"id":130,"name":"Impact","value":""},{"id":150,"name":"Time of Event (Mountain Time)","value":"15:46:26"},{"id":151,"name":"Denver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55"/>
      <c r="AK228" s="55"/>
      <c r="AL228" s="55"/>
    </row>
    <row r="229" spans="1:38" x14ac:dyDescent="0.25">
      <c r="A229" s="39" t="s">
        <v>562</v>
      </c>
      <c r="B229" s="7">
        <v>4004</v>
      </c>
      <c r="C229" s="24" t="s">
        <v>106</v>
      </c>
      <c r="D229" s="24" t="s">
        <v>778</v>
      </c>
      <c r="E229" s="15">
        <v>42647.798379629632</v>
      </c>
      <c r="F229" s="15">
        <v>42647.800219907411</v>
      </c>
      <c r="G229" s="7">
        <v>1</v>
      </c>
      <c r="H229" s="15" t="s">
        <v>779</v>
      </c>
      <c r="I229" s="15">
        <v>42647.805428240739</v>
      </c>
      <c r="J229" s="7">
        <v>0</v>
      </c>
      <c r="K229" s="117" t="str">
        <f>IF(ISEVEN(B229),(B229-1)&amp;"/"&amp;B229,B229&amp;"/"&amp;(B229+1))</f>
        <v>4003/4004</v>
      </c>
      <c r="L229" s="24" t="str">
        <f>VLOOKUP(A229,'Trips&amp;Operators'!$C$1:$E$10000,3,FALSE)</f>
        <v>STURGEON</v>
      </c>
      <c r="M229" s="6">
        <f>I229-F229</f>
        <v>5.2083333284826949E-3</v>
      </c>
      <c r="N229" s="7">
        <f>24*60*SUM($M229:$M229)</f>
        <v>7.4999999930150807</v>
      </c>
      <c r="O229" s="7"/>
      <c r="P229" s="7"/>
      <c r="Q229" s="25"/>
      <c r="R229" s="25"/>
      <c r="S229" s="37">
        <f>SUM(U229:U229)/IF(AG229="EC",12,1)</f>
        <v>0</v>
      </c>
      <c r="T229" s="52" t="str">
        <f>IF(ISEVEN(LEFT(AD229,4)),"Southbound","NorthBound")</f>
        <v>Southbound</v>
      </c>
      <c r="U229" s="159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02" t="str">
        <f>"https://search-rtdc-monitor-bjffxe2xuh6vdkpspy63sjmuny.us-east-1.es.amazonaws.com/_plugin/kibana/#/discover/Steve-Slow-Train-Analysis-(2080s-and-2083s)?_g=(refreshInterval:(display:Off,section:0,value:0),time:(from:'"&amp;TEXT(E229-1/24,"yyyy-MM-DD hh:mm:ss")&amp;"-0600',mode:absolute,to:'"&amp;TEXT(I229+1/24,"yyyy-MM-DD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229&amp;"%22')),sort:!(Time,asc))"</f>
        <v>https://search-rtdc-monitor-bjffxe2xuh6vdkpspy63sjmuny.us-east-1.es.amazonaws.com/_plugin/kibana/#/discover/Steve-Slow-Train-Analysis-(2080s-and-2083s)?_g=(refreshInterval:(display:Off,section:0,value:0),time:(from:'2016-10-04 18:09:40-0600',mode:absolute,to:'2016-10-04 20:19:49-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29" s="54" t="str">
        <f>IF(AA229&lt;IF(AG229="EC",23,5.65),"Y","N")</f>
        <v>Y</v>
      </c>
      <c r="X229" s="164">
        <f>VALUE(LEFT(AD229,4))-VALUE(LEFT(AD228,4))</f>
        <v>2</v>
      </c>
      <c r="Y229" s="69">
        <f>RIGHT(D229,LEN(D229)-4)/10000</f>
        <v>5.86</v>
      </c>
      <c r="Z229" s="69">
        <f>RIGHT(H229,LEN(H229)-4)/10000</f>
        <v>2.8765000000000001</v>
      </c>
      <c r="AA229" s="69">
        <f>ABS(Z229-Y229)</f>
        <v>2.9835000000000003</v>
      </c>
      <c r="AB229" s="66" t="e">
        <f>VLOOKUP(A229,Enforcements!$C$7:$K$21,8,0)</f>
        <v>#N/A</v>
      </c>
      <c r="AC229" s="62" t="e">
        <f>VLOOKUP(A229,Enforcements!$C$7:$E$21,3,0)</f>
        <v>#N/A</v>
      </c>
      <c r="AD229" s="63" t="str">
        <f>IF(LEN(A229)=6,"0"&amp;A229,A229)</f>
        <v>0906-04</v>
      </c>
      <c r="AE229" s="95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s3://rtdc.mdm.uploadarchive.raw/RTDC4004/ "%USERPROFILE%\AppData\Local\Temp\OnboardLogs"\RTDC4004\2016-10-04 --exclude "*" --recursive --include "*20161004*" &amp; "%USERPROFILE%\Documents\GitHub\mrs-test-scripts\Headless Mode &amp; Sideloading\WalkAndUnGZ.bat" "%USERPROFILE%\AppData\Local\Temp\OnboardLogs"\RTDC4004\2016-10-04 &amp; aws s3 cp s3://rtdc.mdm.uploadarchive.raw/RTDC4004/ "%USERPROFILE%\AppData\Local\Temp\OnboardLogs"\RTDC4004\2016-10-05 --exclude "*" --recursive --include "*20161005*" &amp; "%USERPROFILE%\Documents\GitHub\mrs-test-scripts\Headless Mode &amp; Sideloading\WalkAndUnGZ.bat" "%USERPROFILE%\AppData\Local\Temp\OnboardLogs"\RTDC4004\2016-10-05</v>
      </c>
      <c r="AF229" s="92" t="str">
        <f>astrogrep_path&amp;" /spath="&amp;search_path&amp;" /stypes=""app*"&amp;B229&amp;"*"&amp;TEXT(I229-utc_offset/24,"YYYYMMDD")&amp;"*"" /stext="" "&amp;TEXT(I229-utc_offset/24,"HH")&amp;search_regexp&amp;""" /e /r /s"</f>
        <v>"C:\Program Files (x86)\AstroGrep\AstroGrep.exe" /spath="%USERPROFILE%\AppData\Local\Temp\OnboardLogs" /stypes="app*4004*20161005*" /stext=" 01:.+((SYSTEM_STATE.+slice.+state.+changed )|(ment ac)|(system.+state.+changed )|(\[timeout)|(PRM\|1\|D)|(kpr)|(kdp)|(\|lc)|(penalty))" /e /r /s</v>
      </c>
      <c r="AG229" s="1" t="str">
        <f>IFERROR(IF(VALUE(LEFT(AD229,2))&lt;=2,"EC",IF(OR(VALUE(LEFT(AD229,2))=8,VALUE(LEFT(AD229,2))=18),"NW","Other")),"Other")</f>
        <v>Other</v>
      </c>
      <c r="AH229" s="96" t="str">
        <f t="shared" si="9"/>
        <v>"%USERPROFILE%\Documents\GitHub\eaglep3\Utilities\RefineRTDCRunTimes.py" --tripid 906-04 --locoid 4004 --swversion DE.1.0.7.0 --startMP 300:58600 --initTime 2016-10-04T19:09:40 --startdatetime 2016-10-04T19:12:19 --delay 1 --endMP 300:28765 --enddatetime 2016-10-04T19:19:49 --enforcementcount 0 &gt;&gt;C:\Users\stu\Documents\GitHub\eaglep3-reporting\EC\2016-10-04-refined-times.txt</v>
      </c>
      <c r="AI229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{"issue":{"subject":"","project_id":79,"tracker_id":40,"status_id":1,"priority_id":2,"assigned_to_id":23,"start_date":"2016-10-04","description":"","custom_fields":[{"id":1,"name":"Subdivision","value":"Other"},{"id":4,"name":"Milepost","value":"2.8765"},{"id":17,"name":"Train ID","value":"906-04"},{"id":16,"name":"Locomotive ID","value":"4004"},{"id":130,"name":"Impact","value":""},{"id":150,"name":"Time of Event (Mountain Time)","value":"19:19:49"},{"id":151,"name":"Denver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55"/>
      <c r="AK229" s="55"/>
      <c r="AL229" s="55"/>
    </row>
    <row r="230" spans="1:38" x14ac:dyDescent="0.25">
      <c r="A230" s="39" t="s">
        <v>586</v>
      </c>
      <c r="B230" s="7">
        <v>4017</v>
      </c>
      <c r="C230" s="24" t="s">
        <v>106</v>
      </c>
      <c r="D230" s="24" t="s">
        <v>339</v>
      </c>
      <c r="E230" s="15">
        <v>42647.943738425929</v>
      </c>
      <c r="F230" s="15">
        <v>42647.94568287037</v>
      </c>
      <c r="G230" s="7">
        <v>1</v>
      </c>
      <c r="H230" s="15" t="s">
        <v>780</v>
      </c>
      <c r="I230" s="15">
        <v>42647.950462962966</v>
      </c>
      <c r="J230" s="7">
        <v>0</v>
      </c>
      <c r="K230" s="117" t="str">
        <f>IF(ISEVEN(B230),(B230-1)&amp;"/"&amp;B230,B230&amp;"/"&amp;(B230+1))</f>
        <v>4017/4018</v>
      </c>
      <c r="L230" s="24" t="str">
        <f>VLOOKUP(A230,'Trips&amp;Operators'!$C$1:$E$10000,3,FALSE)</f>
        <v>STURGEON</v>
      </c>
      <c r="M230" s="6">
        <f>I230-F230</f>
        <v>4.7800925967749208E-3</v>
      </c>
      <c r="N230" s="7">
        <f>24*60*SUM($M230:$M230)</f>
        <v>6.883333339355886</v>
      </c>
      <c r="O230" s="7"/>
      <c r="P230" s="7"/>
      <c r="Q230" s="25"/>
      <c r="R230" s="25"/>
      <c r="S230" s="37">
        <f>SUM(U230:U230)/IF(AG230="EC",12,1)</f>
        <v>0</v>
      </c>
      <c r="T230" s="52" t="str">
        <f>IF(ISEVEN(LEFT(AD230,4)),"Southbound","NorthBound")</f>
        <v>Southbound</v>
      </c>
      <c r="U230" s="159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02" t="str">
        <f>"https://search-rtdc-monitor-bjffxe2xuh6vdkpspy63sjmuny.us-east-1.es.amazonaws.com/_plugin/kibana/#/discover/Steve-Slow-Train-Analysis-(2080s-and-2083s)?_g=(refreshInterval:(display:Off,section:0,value:0),time:(from:'"&amp;TEXT(E230-1/24,"yyyy-MM-DD hh:mm:ss")&amp;"-0600',mode:absolute,to:'"&amp;TEXT(I230+1/24,"yyyy-MM-DD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230&amp;"%22')),sort:!(Time,asc))"</f>
        <v>https://search-rtdc-monitor-bjffxe2xuh6vdkpspy63sjmuny.us-east-1.es.amazonaws.com/_plugin/kibana/#/discover/Steve-Slow-Train-Analysis-(2080s-and-2083s)?_g=(refreshInterval:(display:Off,section:0,value:0),time:(from:'2016-10-04 21:38:59-0600',mode:absolute,to:'2016-10-04 23:48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30" s="54" t="str">
        <f>IF(AA230&lt;IF(AG230="EC",23,5.65),"Y","N")</f>
        <v>Y</v>
      </c>
      <c r="X230" s="164">
        <f>VALUE(LEFT(AD230,4))-VALUE(LEFT(AD229,4))</f>
        <v>2</v>
      </c>
      <c r="Y230" s="69">
        <f>RIGHT(D230,LEN(D230)-4)/10000</f>
        <v>5.8596000000000004</v>
      </c>
      <c r="Z230" s="69">
        <f>RIGHT(H230,LEN(H230)-4)/10000</f>
        <v>2.1695000000000002</v>
      </c>
      <c r="AA230" s="69">
        <f>ABS(Z230-Y230)</f>
        <v>3.6901000000000002</v>
      </c>
      <c r="AB230" s="66" t="e">
        <f>VLOOKUP(A230,Enforcements!$C$7:$K$21,8,0)</f>
        <v>#N/A</v>
      </c>
      <c r="AC230" s="62" t="e">
        <f>VLOOKUP(A230,Enforcements!$C$7:$E$21,3,0)</f>
        <v>#N/A</v>
      </c>
      <c r="AD230" s="63" t="str">
        <f>IF(LEN(A230)=6,"0"&amp;A230,A230)</f>
        <v>0908-04</v>
      </c>
      <c r="AE230" s="95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 &amp; 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</v>
      </c>
      <c r="AF230" s="92" t="str">
        <f>astrogrep_path&amp;" /spath="&amp;search_path&amp;" /stypes=""app*"&amp;B230&amp;"*"&amp;TEXT(I230-utc_offset/24,"YYYYMMDD")&amp;"*"" /stext="" "&amp;TEXT(I230-utc_offset/24,"HH")&amp;search_regexp&amp;""" /e /r /s"</f>
        <v>"C:\Program Files (x86)\AstroGrep\AstroGrep.exe" /spath="%USERPROFILE%\AppData\Local\Temp\OnboardLogs" /stypes="app*4017*20161005*" /stext=" 04:.+((SYSTEM_STATE.+slice.+state.+changed )|(ment ac)|(system.+state.+changed )|(\[timeout)|(PRM\|1\|D)|(kpr)|(kdp)|(\|lc)|(penalty))" /e /r /s</v>
      </c>
      <c r="AG230" s="1" t="str">
        <f>IFERROR(IF(VALUE(LEFT(AD230,2))&lt;=2,"EC",IF(OR(VALUE(LEFT(AD230,2))=8,VALUE(LEFT(AD230,2))=18),"NW","Other")),"Other")</f>
        <v>Other</v>
      </c>
      <c r="AH230" s="96" t="str">
        <f t="shared" si="9"/>
        <v>"%USERPROFILE%\Documents\GitHub\eaglep3\Utilities\RefineRTDCRunTimes.py" --tripid 908-04 --locoid 4017 --swversion DE.1.0.7.0 --startMP 300:58596 --initTime 2016-10-04T22:38:59 --startdatetime 2016-10-04T22:41:47 --delay 1 --endMP 300:21695 --enddatetime 2016-10-04T22:48:40 --enforcementcount 0 &gt;&gt;C:\Users\stu\Documents\GitHub\eaglep3-reporting\EC\2016-10-04-refined-times.txt</v>
      </c>
      <c r="AI230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{"issue":{"subject":"","project_id":79,"tracker_id":40,"status_id":1,"priority_id":2,"assigned_to_id":23,"start_date":"2016-10-04","description":"","custom_fields":[{"id":1,"name":"Subdivision","value":"Other"},{"id":4,"name":"Milepost","value":"2.1695"},{"id":17,"name":"Train ID","value":"908-04"},{"id":16,"name":"Locomotive ID","value":"4017"},{"id":130,"name":"Impact","value":""},{"id":150,"name":"Time of Event (Mountain Time)","value":"22:48:40"},{"id":151,"name":"Denver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55"/>
      <c r="AK230" s="55"/>
      <c r="AL230" s="55"/>
    </row>
    <row r="231" spans="1:38" x14ac:dyDescent="0.25">
      <c r="A231" s="39" t="s">
        <v>498</v>
      </c>
      <c r="B231" s="7">
        <v>4010</v>
      </c>
      <c r="C231" s="24" t="s">
        <v>106</v>
      </c>
      <c r="D231" s="24" t="s">
        <v>693</v>
      </c>
      <c r="E231" s="15">
        <v>42647.596666666665</v>
      </c>
      <c r="F231" s="15">
        <v>42647.599120370367</v>
      </c>
      <c r="G231" s="7">
        <v>2</v>
      </c>
      <c r="H231" s="15" t="s">
        <v>694</v>
      </c>
      <c r="I231" s="15">
        <v>42647.608587962961</v>
      </c>
      <c r="J231" s="7">
        <v>0</v>
      </c>
      <c r="K231" s="117" t="str">
        <f>IF(ISEVEN(B231),(B231-1)&amp;"/"&amp;B231,B231&amp;"/"&amp;(B231+1))</f>
        <v>4009/4010</v>
      </c>
      <c r="L231" s="24" t="str">
        <f>VLOOKUP(A231,'Trips&amp;Operators'!$C$1:$E$10000,3,FALSE)</f>
        <v>ARNOLD</v>
      </c>
      <c r="M231" s="6">
        <f>I231-F231</f>
        <v>9.4675925938645378E-3</v>
      </c>
      <c r="N231" s="7">
        <f>24*60*SUM($M231:$M231)</f>
        <v>13.633333335164934</v>
      </c>
      <c r="O231" s="7"/>
      <c r="P231" s="7"/>
      <c r="Q231" s="25"/>
      <c r="R231" s="25"/>
      <c r="S231" s="37">
        <f>SUM(U231:U231)/IF(AG231="EC",12,1)</f>
        <v>0</v>
      </c>
      <c r="T231" s="52" t="e">
        <f>IF(ISEVEN(LEFT(AD231,4)),"Southbound","NorthBound")</f>
        <v>#VALUE!</v>
      </c>
      <c r="U231" s="159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02" t="str">
        <f>"https://search-rtdc-monitor-bjffxe2xuh6vdkpspy63sjmuny.us-east-1.es.amazonaws.com/_plugin/kibana/#/discover/Steve-Slow-Train-Analysis-(2080s-and-2083s)?_g=(refreshInterval:(display:Off,section:0,value:0),time:(from:'"&amp;TEXT(E231-1/24,"yyyy-MM-DD hh:mm:ss")&amp;"-0600',mode:absolute,to:'"&amp;TEXT(I231+1/24,"yyyy-MM-DD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231&amp;"%22')),sort:!(Time,asc))"</f>
        <v>https://search-rtdc-monitor-bjffxe2xuh6vdkpspy63sjmuny.us-east-1.es.amazonaws.com/_plugin/kibana/#/discover/Steve-Slow-Train-Analysis-(2080s-and-2083s)?_g=(refreshInterval:(display:Off,section:0,value:0),time:(from:'2016-10-04 13:19:12-0600',mode:absolute,to:'2016-10-04 15:36:22-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31" s="54" t="str">
        <f>IF(AA231&lt;IF(AG231="EC",23,5.65),"Y","N")</f>
        <v>Y</v>
      </c>
      <c r="X231" s="164" t="e">
        <f>VALUE(LEFT(AD231,4))-VALUE(LEFT(AD230,4))</f>
        <v>#VALUE!</v>
      </c>
      <c r="Y231" s="69">
        <f>RIGHT(D231,LEN(D231)-4)/10000</f>
        <v>4.2149999999999999</v>
      </c>
      <c r="Z231" s="69">
        <f>RIGHT(H231,LEN(H231)-4)/10000</f>
        <v>1.89E-2</v>
      </c>
      <c r="AA231" s="69">
        <f>ABS(Z231-Y231)</f>
        <v>4.1960999999999995</v>
      </c>
      <c r="AB231" s="66" t="e">
        <f>VLOOKUP(A231,Enforcements!$C$7:$K$21,8,0)</f>
        <v>#N/A</v>
      </c>
      <c r="AC231" s="62" t="e">
        <f>VLOOKUP(A231,Enforcements!$C$7:$E$21,3,0)</f>
        <v>#N/A</v>
      </c>
      <c r="AD231" s="63" t="str">
        <f>IF(LEN(A231)=6,"0"&amp;A231,A231)</f>
        <v>50-04</v>
      </c>
      <c r="AE231" s="95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s3://rtdc.mdm.uploadarchive.raw/RTDC4010/ "%USERPROFILE%\AppData\Local\Temp\OnboardLogs"\RTDC4010\2016-10-04 --exclude "*" --recursive --include "*20161004*" &amp; "%USERPROFILE%\Documents\GitHub\mrs-test-scripts\Headless Mode &amp; Sideloading\WalkAndUnGZ.bat" "%USERPROFILE%\AppData\Local\Temp\OnboardLogs"\RTDC4010\2016-10-04 &amp; aws s3 cp s3://rtdc.mdm.uploadarchive.raw/RTDC4010/ "%USERPROFILE%\AppData\Local\Temp\OnboardLogs"\RTDC4010\2016-10-05 --exclude "*" --recursive --include "*20161005*" &amp; "%USERPROFILE%\Documents\GitHub\mrs-test-scripts\Headless Mode &amp; Sideloading\WalkAndUnGZ.bat" "%USERPROFILE%\AppData\Local\Temp\OnboardLogs"\RTDC4010\2016-10-05</v>
      </c>
      <c r="AF231" s="92" t="str">
        <f>astrogrep_path&amp;" /spath="&amp;search_path&amp;" /stypes=""app*"&amp;B231&amp;"*"&amp;TEXT(I231-utc_offset/24,"YYYYMMDD")&amp;"*"" /stext="" "&amp;TEXT(I231-utc_offset/24,"HH")&amp;search_regexp&amp;""" /e /r /s"</f>
        <v>"C:\Program Files (x86)\AstroGrep\AstroGrep.exe" /spath="%USERPROFILE%\AppData\Local\Temp\OnboardLogs" /stypes="app*4010*20161004*" /stext=" 20:.+((SYSTEM_STATE.+slice.+state.+changed )|(ment ac)|(system.+state.+changed )|(\[timeout)|(PRM\|1\|D)|(kpr)|(kdp)|(\|lc)|(penalty))" /e /r /s</v>
      </c>
      <c r="AG231" s="1" t="str">
        <f>IFERROR(IF(VALUE(LEFT(AD231,2))&lt;=2,"EC",IF(OR(VALUE(LEFT(AD231,2))=8,VALUE(LEFT(AD231,2))=18),"NW","Other")),"Other")</f>
        <v>Other</v>
      </c>
      <c r="AH231" s="96" t="str">
        <f t="shared" si="9"/>
        <v>"%USERPROFILE%\Documents\GitHub\eaglep3\Utilities\RefineRTDCRunTimes.py" --tripid 50-04 --locoid 4010 --swversion DE.1.0.7.0 --startMP 300:42150 --initTime 2016-10-04T14:19:12 --startdatetime 2016-10-04T14:22:44 --delay 2 --endMP 204:189 --enddatetime 2016-10-04T14:36:22 --enforcementcount 0 &gt;&gt;C:\Users\stu\Documents\GitHub\eaglep3-reporting\EC\2016-10-04-refined-times.txt</v>
      </c>
      <c r="AI231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{"issue":{"subject":"","project_id":79,"tracker_id":40,"status_id":1,"priority_id":2,"assigned_to_id":23,"start_date":"2016-10-04","description":"","custom_fields":[{"id":1,"name":"Subdivision","value":"Other"},{"id":4,"name":"Milepost","value":"0.0189"},{"id":17,"name":"Train ID","value":"50-04"},{"id":16,"name":"Locomotive ID","value":"4010"},{"id":130,"name":"Impact","value":""},{"id":150,"name":"Time of Event (Mountain Time)","value":"14:36:22"},{"id":151,"name":"Denver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55"/>
      <c r="AK231" s="55"/>
      <c r="AL231" s="55"/>
    </row>
    <row r="232" spans="1:38" x14ac:dyDescent="0.25">
      <c r="A232" s="39" t="s">
        <v>552</v>
      </c>
      <c r="B232" s="7">
        <v>4006</v>
      </c>
      <c r="C232" s="24" t="s">
        <v>106</v>
      </c>
      <c r="D232" s="24" t="s">
        <v>695</v>
      </c>
      <c r="E232" s="15">
        <v>42647.769201388888</v>
      </c>
      <c r="F232" s="15">
        <v>25568.708333333332</v>
      </c>
      <c r="G232" s="7">
        <v>1</v>
      </c>
      <c r="H232" s="15" t="s">
        <v>696</v>
      </c>
      <c r="I232" s="15">
        <v>25568.708333333332</v>
      </c>
      <c r="J232" s="7">
        <v>0</v>
      </c>
      <c r="K232" s="117" t="str">
        <f>IF(ISEVEN(B232),(B232-1)&amp;"/"&amp;B232,B232&amp;"/"&amp;(B232+1))</f>
        <v>4005/4006</v>
      </c>
      <c r="L232" s="24" t="str">
        <f>VLOOKUP(A232,'Trips&amp;Operators'!$C$1:$E$10000,3,FALSE)</f>
        <v>HELVIE</v>
      </c>
      <c r="M232" s="6">
        <f>I232-F232</f>
        <v>0</v>
      </c>
      <c r="N232" s="7">
        <f>24*60*SUM($M232:$M232)</f>
        <v>0</v>
      </c>
      <c r="O232" s="7"/>
      <c r="P232" s="7"/>
      <c r="Q232" s="25"/>
      <c r="R232" s="25"/>
      <c r="S232" s="37">
        <f>SUM(U232:U232)/IF(AG232="EC",12,1)</f>
        <v>0</v>
      </c>
      <c r="T232" s="52" t="e">
        <f>IF(ISEVEN(LEFT(AD232,4)),"Southbound","NorthBound")</f>
        <v>#VALUE!</v>
      </c>
      <c r="U232" s="159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02" t="str">
        <f>"https://search-rtdc-monitor-bjffxe2xuh6vdkpspy63sjmuny.us-east-1.es.amazonaws.com/_plugin/kibana/#/discover/Steve-Slow-Train-Analysis-(2080s-and-2083s)?_g=(refreshInterval:(display:Off,section:0,value:0),time:(from:'"&amp;TEXT(E232-1/24,"yyyy-MM-DD hh:mm:ss")&amp;"-0600',mode:absolute,to:'"&amp;TEXT(I232+1/24,"yyyy-MM-DD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232&amp;"%22')),sort:!(Time,asc))"</f>
        <v>https://search-rtdc-monitor-bjffxe2xuh6vdkpspy63sjmuny.us-east-1.es.amazonaws.com/_plugin/kibana/#/discover/Steve-Slow-Train-Analysis-(2080s-and-2083s)?_g=(refreshInterval:(display:Off,section:0,value:0),time:(from:'2016-10-04 17:27:39-0600',mode:absolute,to:'1969-12-31 18:00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4006%22')),sort:!(Time,asc))</v>
      </c>
      <c r="W232" s="54" t="str">
        <f>IF(AA232&lt;IF(AG232="EC",23,5.65),"Y","N")</f>
        <v>Y</v>
      </c>
      <c r="X232" s="164" t="e">
        <f>VALUE(LEFT(AD232,4))-VALUE(LEFT(AD231,4))</f>
        <v>#VALUE!</v>
      </c>
      <c r="Y232" s="69">
        <f>RIGHT(D232,LEN(D232)-4)/10000</f>
        <v>3.6299999999999999E-2</v>
      </c>
      <c r="Z232" s="69">
        <f>RIGHT(H232,LEN(H232)-4)/10000</f>
        <v>2.4226000000000001</v>
      </c>
      <c r="AA232" s="69">
        <f>ABS(Z232-Y232)</f>
        <v>2.3863000000000003</v>
      </c>
      <c r="AB232" s="66" t="e">
        <f>VLOOKUP(A232,Enforcements!$C$7:$K$21,8,0)</f>
        <v>#N/A</v>
      </c>
      <c r="AC232" s="62" t="e">
        <f>VLOOKUP(A232,Enforcements!$C$7:$E$21,3,0)</f>
        <v>#N/A</v>
      </c>
      <c r="AD232" s="63" t="str">
        <f>IF(LEN(A232)=6,"0"&amp;A232,A232)</f>
        <v>52-04</v>
      </c>
      <c r="AE232" s="95" t="str">
        <f>"aws s3 cp "&amp;s3_bucket&amp;"/RTDC"&amp;B232&amp;"/ "&amp;search_path&amp;"\RTDC"&amp;B232&amp;"\"&amp;TEXT(F232,"YYYY-MM-DD")&amp;" --exclude ""*"" --recursive --include ""*"&amp;TEXT(F232,"YYYYMMDD")&amp;"*"" &amp; """&amp;walkandungz&amp;""" "&amp;search_path&amp;"\RTDC"&amp;B232&amp;"\"&amp;TEXT(F232,"YYYY-MM-DD")
&amp;" &amp; "&amp;"aws s3 cp "&amp;s3_bucket&amp;"/RTDC"&amp;B232&amp;"/ "&amp;search_path&amp;"\RTDC"&amp;B232&amp;"\"&amp;TEXT(F232+1,"YYYY-MM-DD")&amp;" --exclude ""*"" --recursive --include ""*"&amp;TEXT(F232+1,"YYYYMMDD")&amp;"*"" &amp; """&amp;walkandungz&amp;""" "&amp;search_path&amp;"\RTDC"&amp;B232&amp;"\"&amp;TEXT(F232+1,"YYYY-MM-DD")</f>
        <v>aws s3 cp s3://rtdc.mdm.uploadarchive.raw/RTDC4006/ "%USERPROFILE%\AppData\Local\Temp\OnboardLogs"\RTDC4006\1969-12-31 --exclude "*" --recursive --include "*19691231*" &amp; "%USERPROFILE%\Documents\GitHub\mrs-test-scripts\Headless Mode &amp; Sideloading\WalkAndUnGZ.bat" "%USERPROFILE%\AppData\Local\Temp\OnboardLogs"\RTDC4006\1969-12-31 &amp; aws s3 cp s3://rtdc.mdm.uploadarchive.raw/RTDC4006/ "%USERPROFILE%\AppData\Local\Temp\OnboardLogs"\RTDC4006\1970-01-01 --exclude "*" --recursive --include "*19700101*" &amp; "%USERPROFILE%\Documents\GitHub\mrs-test-scripts\Headless Mode &amp; Sideloading\WalkAndUnGZ.bat" "%USERPROFILE%\AppData\Local\Temp\OnboardLogs"\RTDC4006\1970-01-01</v>
      </c>
      <c r="AF232" s="92" t="str">
        <f>astrogrep_path&amp;" /spath="&amp;search_path&amp;" /stypes=""app*"&amp;B232&amp;"*"&amp;TEXT(I232-utc_offset/24,"YYYYMMDD")&amp;"*"" /stext="" "&amp;TEXT(I232-utc_offset/24,"HH")&amp;search_regexp&amp;""" /e /r /s"</f>
        <v>"C:\Program Files (x86)\AstroGrep\AstroGrep.exe" /spath="%USERPROFILE%\AppData\Local\Temp\OnboardLogs" /stypes="app*4006*19691231*" /stext=" 23:.+((SYSTEM_STATE.+slice.+state.+changed )|(ment ac)|(system.+state.+changed )|(\[timeout)|(PRM\|1\|D)|(kpr)|(kdp)|(\|lc)|(penalty))" /e /r /s</v>
      </c>
      <c r="AG232" s="1" t="str">
        <f>IFERROR(IF(VALUE(LEFT(AD232,2))&lt;=2,"EC",IF(OR(VALUE(LEFT(AD232,2))=8,VALUE(LEFT(AD232,2))=18),"NW","Other")),"Other")</f>
        <v>Other</v>
      </c>
      <c r="AH232" s="96" t="str">
        <f t="shared" si="9"/>
        <v>"%USERPROFILE%\Documents\GitHub\eaglep3\Utilities\RefineRTDCRunTimes.py" --tripid 52-04 --locoid 4006 --swversion DE.1.0.7.0 --startMP 204:363 --initTime 2016-10-04T18:27:39 --startdatetime 1969-12-31T17:00:00 --delay 1 --endMP 300:24226 --enddatetime 1969-12-31T17:00:00 --enforcementcount 0 &gt;&gt;C:\Users\stu\Documents\GitHub\eaglep3-reporting\EC\2016-10-04-refined-times.txt</v>
      </c>
      <c r="AI232" s="130" t="str">
        <f t="shared" si="10"/>
        <v>echo {"issue":{"subject":"","project_id":79,"tracker_id":40,"status_id":1,"priority_id":2,"assigned_to_id":23,"start_date":"1969-12-31","description":"","custom_fields":[{"id":1,"name":"Subdivision","value":"Other"},{"id":4,"name":"Milepost","value":"2.4226"},{"id":17,"name":"Train ID","value":"52-04"},{"id":16,"name":"Locomotive ID","value":"4006"},{"id":130,"name":"Impact","value":""},{"id":150,"name":"Time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55"/>
      <c r="AK232" s="55"/>
      <c r="AL232" s="55"/>
    </row>
    <row r="233" spans="1:38" x14ac:dyDescent="0.25">
      <c r="A233" s="39" t="s">
        <v>546</v>
      </c>
      <c r="B233" s="7">
        <v>4005</v>
      </c>
      <c r="C233" s="24" t="s">
        <v>106</v>
      </c>
      <c r="D233" s="24" t="s">
        <v>697</v>
      </c>
      <c r="E233" s="15">
        <v>42647.755613425928</v>
      </c>
      <c r="F233" s="15">
        <v>42647.756851851853</v>
      </c>
      <c r="G233" s="7">
        <v>1</v>
      </c>
      <c r="H233" s="15" t="s">
        <v>698</v>
      </c>
      <c r="I233" s="15">
        <v>42647.765243055554</v>
      </c>
      <c r="J233" s="7">
        <v>0</v>
      </c>
      <c r="K233" s="117" t="str">
        <f>IF(ISEVEN(B233),(B233-1)&amp;"/"&amp;B233,B233&amp;"/"&amp;(B233+1))</f>
        <v>4005/4006</v>
      </c>
      <c r="L233" s="24" t="str">
        <f>VLOOKUP(A233,'Trips&amp;Operators'!$C$1:$E$10000,3,FALSE)</f>
        <v>CHANDLER</v>
      </c>
      <c r="M233" s="6">
        <f>I233-F233</f>
        <v>8.3912037007394247E-3</v>
      </c>
      <c r="N233" s="7">
        <f>24*60*SUM($M233:$M233)</f>
        <v>12.083333329064772</v>
      </c>
      <c r="O233" s="7"/>
      <c r="P233" s="7"/>
      <c r="Q233" s="25"/>
      <c r="R233" s="25"/>
      <c r="S233" s="37">
        <f>SUM(U233:U233)/IF(AG233="EC",12,1)</f>
        <v>0</v>
      </c>
      <c r="T233" s="52" t="e">
        <f>IF(ISEVEN(LEFT(AD233,4)),"Southbound","NorthBound")</f>
        <v>#VALUE!</v>
      </c>
      <c r="U233" s="159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02" t="str">
        <f>"https://search-rtdc-monitor-bjffxe2xuh6vdkpspy63sjmuny.us-east-1.es.amazonaws.com/_plugin/kibana/#/discover/Steve-Slow-Train-Analysis-(2080s-and-2083s)?_g=(refreshInterval:(display:Off,section:0,value:0),time:(from:'"&amp;TEXT(E233-1/24,"yyyy-MM-DD hh:mm:ss")&amp;"-0600',mode:absolute,to:'"&amp;TEXT(I233+1/24,"yyyy-MM-DD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233&amp;"%22')),sort:!(Time,asc))"</f>
        <v>https://search-rtdc-monitor-bjffxe2xuh6vdkpspy63sjmuny.us-east-1.es.amazonaws.com/_plugin/kibana/#/discover/Steve-Slow-Train-Analysis-(2080s-and-2083s)?_g=(refreshInterval:(display:Off,section:0,value:0),time:(from:'2016-10-04 17:08:05-0600',mode:absolute,to:'2016-10-04 19:21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4005%22')),sort:!(Time,asc))</v>
      </c>
      <c r="W233" s="54" t="str">
        <f>IF(AA233&lt;IF(AG233="EC",23,5.65),"Y","N")</f>
        <v>Y</v>
      </c>
      <c r="X233" s="164" t="e">
        <f>VALUE(LEFT(AD233,4))-VALUE(LEFT(AD232,4))</f>
        <v>#VALUE!</v>
      </c>
      <c r="Y233" s="69">
        <f>RIGHT(D233,LEN(D233)-4)/10000</f>
        <v>2.3624999999999998</v>
      </c>
      <c r="Z233" s="69">
        <f>RIGHT(H233,LEN(H233)-4)/10000</f>
        <v>6.1000000000000004E-3</v>
      </c>
      <c r="AA233" s="69">
        <f>ABS(Z233-Y233)</f>
        <v>2.3563999999999998</v>
      </c>
      <c r="AB233" s="66" t="e">
        <f>VLOOKUP(A233,Enforcements!$C$7:$K$21,8,0)</f>
        <v>#N/A</v>
      </c>
      <c r="AC233" s="62" t="e">
        <f>VLOOKUP(A233,Enforcements!$C$7:$E$21,3,0)</f>
        <v>#N/A</v>
      </c>
      <c r="AD233" s="63" t="str">
        <f>IF(LEN(A233)=6,"0"&amp;A233,A233)</f>
        <v>54-04</v>
      </c>
      <c r="AE233" s="95" t="str">
        <f>"aws s3 cp "&amp;s3_bucket&amp;"/RTDC"&amp;B233&amp;"/ "&amp;search_path&amp;"\RTDC"&amp;B233&amp;"\"&amp;TEXT(F233,"YYYY-MM-DD")&amp;" --exclude ""*"" --recursive --include ""*"&amp;TEXT(F233,"YYYYMMDD")&amp;"*"" &amp; """&amp;walkandungz&amp;""" "&amp;search_path&amp;"\RTDC"&amp;B233&amp;"\"&amp;TEXT(F233,"YYYY-MM-DD")
&amp;" &amp; "&amp;"aws s3 cp "&amp;s3_bucket&amp;"/RTDC"&amp;B233&amp;"/ "&amp;search_path&amp;"\RTDC"&amp;B233&amp;"\"&amp;TEXT(F233+1,"YYYY-MM-DD")&amp;" --exclude ""*"" --recursive --include ""*"&amp;TEXT(F233+1,"YYYYMMDD")&amp;"*"" &amp; """&amp;walkandungz&amp;""" "&amp;search_path&amp;"\RTDC"&amp;B233&amp;"\"&amp;TEXT(F233+1,"YYYY-MM-DD")</f>
        <v>aws s3 cp s3://rtdc.mdm.uploadarchive.raw/RTDC4005/ "%USERPROFILE%\AppData\Local\Temp\OnboardLogs"\RTDC4005\2016-10-04 --exclude "*" --recursive --include "*20161004*" &amp; "%USERPROFILE%\Documents\GitHub\mrs-test-scripts\Headless Mode &amp; Sideloading\WalkAndUnGZ.bat" "%USERPROFILE%\AppData\Local\Temp\OnboardLogs"\RTDC4005\2016-10-04 &amp; aws s3 cp s3://rtdc.mdm.uploadarchive.raw/RTDC4005/ "%USERPROFILE%\AppData\Local\Temp\OnboardLogs"\RTDC4005\2016-10-05 --exclude "*" --recursive --include "*20161005*" &amp; "%USERPROFILE%\Documents\GitHub\mrs-test-scripts\Headless Mode &amp; Sideloading\WalkAndUnGZ.bat" "%USERPROFILE%\AppData\Local\Temp\OnboardLogs"\RTDC4005\2016-10-05</v>
      </c>
      <c r="AF233" s="92" t="str">
        <f>astrogrep_path&amp;" /spath="&amp;search_path&amp;" /stypes=""app*"&amp;B233&amp;"*"&amp;TEXT(I233-utc_offset/24,"YYYYMMDD")&amp;"*"" /stext="" "&amp;TEXT(I233-utc_offset/24,"HH")&amp;search_regexp&amp;""" /e /r /s"</f>
        <v>"C:\Program Files (x86)\AstroGrep\AstroGrep.exe" /spath="%USERPROFILE%\AppData\Local\Temp\OnboardLogs" /stypes="app*4005*20161005*" /stext=" 00:.+((SYSTEM_STATE.+slice.+state.+changed )|(ment ac)|(system.+state.+changed )|(\[timeout)|(PRM\|1\|D)|(kpr)|(kdp)|(\|lc)|(penalty))" /e /r /s</v>
      </c>
      <c r="AG233" s="1" t="str">
        <f>IFERROR(IF(VALUE(LEFT(AD233,2))&lt;=2,"EC",IF(OR(VALUE(LEFT(AD233,2))=8,VALUE(LEFT(AD233,2))=18),"NW","Other")),"Other")</f>
        <v>Other</v>
      </c>
      <c r="AH233" s="96" t="str">
        <f t="shared" si="9"/>
        <v>"%USERPROFILE%\Documents\GitHub\eaglep3\Utilities\RefineRTDCRunTimes.py" --tripid 54-04 --locoid 4005 --swversion DE.1.0.7.0 --startMP 300:23625 --initTime 2016-10-04T18:08:05 --startdatetime 2016-10-04T18:09:52 --delay 1 --endMP 204:61 --enddatetime 2016-10-04T18:21:57 --enforcementcount 0 &gt;&gt;C:\Users\stu\Documents\GitHub\eaglep3-reporting\EC\2016-10-04-refined-times.txt</v>
      </c>
      <c r="AI233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{"issue":{"subject":"","project_id":79,"tracker_id":40,"status_id":1,"priority_id":2,"assigned_to_id":23,"start_date":"2016-10-04","description":"","custom_fields":[{"id":1,"name":"Subdivision","value":"Other"},{"id":4,"name":"Milepost","value":"0.0061"},{"id":17,"name":"Train ID","value":"54-04"},{"id":16,"name":"Locomotive ID","value":"4005"},{"id":130,"name":"Impact","value":""},{"id":150,"name":"Time of Event (Mountain Time)","value":"18:21:57"},{"id":151,"name":"Denver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55"/>
      <c r="AK233" s="55"/>
      <c r="AL233" s="55"/>
    </row>
    <row r="234" spans="1:38" x14ac:dyDescent="0.25">
      <c r="A234" s="39" t="s">
        <v>533</v>
      </c>
      <c r="B234" s="7">
        <v>4021</v>
      </c>
      <c r="C234" s="24" t="s">
        <v>106</v>
      </c>
      <c r="D234" s="24" t="s">
        <v>699</v>
      </c>
      <c r="E234" s="15">
        <v>42647.717210648145</v>
      </c>
      <c r="F234" s="15">
        <v>42647.719710648147</v>
      </c>
      <c r="G234" s="7">
        <v>3</v>
      </c>
      <c r="H234" s="15" t="s">
        <v>700</v>
      </c>
      <c r="I234" s="15">
        <v>42647.726504629631</v>
      </c>
      <c r="J234" s="7">
        <v>0</v>
      </c>
      <c r="K234" s="117" t="str">
        <f>IF(ISEVEN(B234),(B234-1)&amp;"/"&amp;B234,B234&amp;"/"&amp;(B234+1))</f>
        <v>4021/4022</v>
      </c>
      <c r="L234" s="24" t="str">
        <f>VLOOKUP(A234,'Trips&amp;Operators'!$C$1:$E$10000,3,FALSE)</f>
        <v>COOLAHAN</v>
      </c>
      <c r="M234" s="6">
        <f>I234-F234</f>
        <v>6.7939814834971912E-3</v>
      </c>
      <c r="N234" s="7">
        <f>24*60*SUM($M234:$M234)</f>
        <v>9.7833333362359554</v>
      </c>
      <c r="O234" s="7"/>
      <c r="P234" s="7"/>
      <c r="Q234" s="25"/>
      <c r="R234" s="25"/>
      <c r="S234" s="37">
        <f>SUM(U234:U234)/IF(AG234="EC",12,1)</f>
        <v>0</v>
      </c>
      <c r="T234" s="52" t="e">
        <f>IF(ISEVEN(LEFT(AD234,4)),"Southbound","NorthBound")</f>
        <v>#VALUE!</v>
      </c>
      <c r="U234" s="159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02" t="str">
        <f>"https://search-rtdc-monitor-bjffxe2xuh6vdkpspy63sjmuny.us-east-1.es.amazonaws.com/_plugin/kibana/#/discover/Steve-Slow-Train-Analysis-(2080s-and-2083s)?_g=(refreshInterval:(display:Off,section:0,value:0),time:(from:'"&amp;TEXT(E234-1/24,"yyyy-MM-DD hh:mm:ss")&amp;"-0600',mode:absolute,to:'"&amp;TEXT(I234+1/24,"yyyy-MM-DD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234&amp;"%22')),sort:!(Time,asc))"</f>
        <v>https://search-rtdc-monitor-bjffxe2xuh6vdkpspy63sjmuny.us-east-1.es.amazonaws.com/_plugin/kibana/#/discover/Steve-Slow-Train-Analysis-(2080s-and-2083s)?_g=(refreshInterval:(display:Off,section:0,value:0),time:(from:'2016-10-04 16:12:47-0600',mode:absolute,to:'2016-10-04 18:26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34" s="54" t="str">
        <f>IF(AA234&lt;IF(AG234="EC",23,5.65),"Y","N")</f>
        <v>Y</v>
      </c>
      <c r="X234" s="164" t="e">
        <f>VALUE(LEFT(AD234,4))-VALUE(LEFT(AD233,4))</f>
        <v>#VALUE!</v>
      </c>
      <c r="Y234" s="69">
        <f>RIGHT(D234,LEN(D234)-4)/10000</f>
        <v>2.3307000000000002</v>
      </c>
      <c r="Z234" s="69">
        <f>RIGHT(H234,LEN(H234)-4)/10000</f>
        <v>1.44E-2</v>
      </c>
      <c r="AA234" s="69">
        <f>ABS(Z234-Y234)</f>
        <v>2.3163</v>
      </c>
      <c r="AB234" s="66" t="e">
        <f>VLOOKUP(A234,Enforcements!$C$7:$K$21,8,0)</f>
        <v>#N/A</v>
      </c>
      <c r="AC234" s="62" t="e">
        <f>VLOOKUP(A234,Enforcements!$C$7:$E$21,3,0)</f>
        <v>#N/A</v>
      </c>
      <c r="AD234" s="63" t="str">
        <f>IF(LEN(A234)=6,"0"&amp;A234,A234)</f>
        <v>56-04</v>
      </c>
      <c r="AE234" s="95" t="str">
        <f>"aws s3 cp "&amp;s3_bucket&amp;"/RTDC"&amp;B234&amp;"/ "&amp;search_path&amp;"\RTDC"&amp;B234&amp;"\"&amp;TEXT(F234,"YYYY-MM-DD")&amp;" --exclude ""*"" --recursive --include ""*"&amp;TEXT(F234,"YYYYMMDD")&amp;"*"" &amp; """&amp;walkandungz&amp;""" "&amp;search_path&amp;"\RTDC"&amp;B234&amp;"\"&amp;TEXT(F234,"YYYY-MM-DD")
&amp;" &amp; "&amp;"aws s3 cp "&amp;s3_bucket&amp;"/RTDC"&amp;B234&amp;"/ "&amp;search_path&amp;"\RTDC"&amp;B234&amp;"\"&amp;TEXT(F234+1,"YYYY-MM-DD")&amp;" --exclude ""*"" --recursive --include ""*"&amp;TEXT(F234+1,"YYYYMMDD")&amp;"*"" &amp; """&amp;walkandungz&amp;""" "&amp;search_path&amp;"\RTDC"&amp;B234&amp;"\"&amp;TEXT(F234+1,"YYYY-MM-DD")</f>
        <v>aws s3 cp s3://rtdc.mdm.uploadarchive.raw/RTDC4021/ "%USERPROFILE%\AppData\Local\Temp\OnboardLogs"\RTDC4021\2016-10-04 --exclude "*" --recursive --include "*20161004*" &amp; "%USERPROFILE%\Documents\GitHub\mrs-test-scripts\Headless Mode &amp; Sideloading\WalkAndUnGZ.bat" "%USERPROFILE%\AppData\Local\Temp\OnboardLogs"\RTDC4021\2016-10-04 &amp; aws s3 cp s3://rtdc.mdm.uploadarchive.raw/RTDC4021/ "%USERPROFILE%\AppData\Local\Temp\OnboardLogs"\RTDC4021\2016-10-05 --exclude "*" --recursive --include "*20161005*" &amp; "%USERPROFILE%\Documents\GitHub\mrs-test-scripts\Headless Mode &amp; Sideloading\WalkAndUnGZ.bat" "%USERPROFILE%\AppData\Local\Temp\OnboardLogs"\RTDC4021\2016-10-05</v>
      </c>
      <c r="AF234" s="92" t="str">
        <f>astrogrep_path&amp;" /spath="&amp;search_path&amp;" /stypes=""app*"&amp;B234&amp;"*"&amp;TEXT(I234-utc_offset/24,"YYYYMMDD")&amp;"*"" /stext="" "&amp;TEXT(I234-utc_offset/24,"HH")&amp;search_regexp&amp;""" /e /r /s"</f>
        <v>"C:\Program Files (x86)\AstroGrep\AstroGrep.exe" /spath="%USERPROFILE%\AppData\Local\Temp\OnboardLogs" /stypes="app*4021*20161004*" /stext=" 23:.+((SYSTEM_STATE.+slice.+state.+changed )|(ment ac)|(system.+state.+changed )|(\[timeout)|(PRM\|1\|D)|(kpr)|(kdp)|(\|lc)|(penalty))" /e /r /s</v>
      </c>
      <c r="AG234" s="1" t="str">
        <f>IFERROR(IF(VALUE(LEFT(AD234,2))&lt;=2,"EC",IF(OR(VALUE(LEFT(AD234,2))=8,VALUE(LEFT(AD234,2))=18),"NW","Other")),"Other")</f>
        <v>Other</v>
      </c>
      <c r="AH234" s="96" t="str">
        <f t="shared" si="9"/>
        <v>"%USERPROFILE%\Documents\GitHub\eaglep3\Utilities\RefineRTDCRunTimes.py" --tripid 56-04 --locoid 4021 --swversion DE.1.0.7.0 --startMP 300:23307 --initTime 2016-10-04T17:12:47 --startdatetime 2016-10-04T17:16:23 --delay 3 --endMP 204:144 --enddatetime 2016-10-04T17:26:10 --enforcementcount 0 &gt;&gt;C:\Users\stu\Documents\GitHub\eaglep3-reporting\EC\2016-10-04-refined-times.txt</v>
      </c>
      <c r="AI234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{"issue":{"subject":"","project_id":79,"tracker_id":40,"status_id":1,"priority_id":2,"assigned_to_id":23,"start_date":"2016-10-04","description":"","custom_fields":[{"id":1,"name":"Subdivision","value":"Other"},{"id":4,"name":"Milepost","value":"0.0144"},{"id":17,"name":"Train ID","value":"56-04"},{"id":16,"name":"Locomotive ID","value":"4021"},{"id":130,"name":"Impact","value":""},{"id":150,"name":"Time of Event (Mountain Time)","value":"17:26:10"},{"id":151,"name":"Denver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55"/>
      <c r="AK234" s="55"/>
      <c r="AL234" s="55"/>
    </row>
    <row r="235" spans="1:38" x14ac:dyDescent="0.25">
      <c r="A235" s="39" t="s">
        <v>426</v>
      </c>
      <c r="B235" s="7">
        <v>4010</v>
      </c>
      <c r="C235" s="24" t="s">
        <v>106</v>
      </c>
      <c r="D235" s="24" t="s">
        <v>701</v>
      </c>
      <c r="E235" s="15">
        <v>42647.369143518517</v>
      </c>
      <c r="F235" s="15">
        <v>42647.402581018519</v>
      </c>
      <c r="G235" s="7">
        <v>4</v>
      </c>
      <c r="H235" s="15" t="s">
        <v>702</v>
      </c>
      <c r="I235" s="15">
        <v>42647.41196759259</v>
      </c>
      <c r="J235" s="7">
        <v>0</v>
      </c>
      <c r="K235" s="117" t="str">
        <f>IF(ISEVEN(B235),(B235-1)&amp;"/"&amp;B235,B235&amp;"/"&amp;(B235+1))</f>
        <v>4009/4010</v>
      </c>
      <c r="L235" s="24" t="str">
        <f>VLOOKUP(A235,'Trips&amp;Operators'!$C$1:$E$10000,3,FALSE)</f>
        <v>ARNOLD</v>
      </c>
      <c r="M235" s="6">
        <f>I235-F235</f>
        <v>9.3865740709588863E-3</v>
      </c>
      <c r="N235" s="7">
        <f>24*60*SUM($M235:$M235)</f>
        <v>13.516666662180796</v>
      </c>
      <c r="O235" s="7"/>
      <c r="P235" s="7"/>
      <c r="Q235" s="25"/>
      <c r="R235" s="25"/>
      <c r="S235" s="37">
        <f>SUM(U235:U235)/IF(AG235="EC",12,1)</f>
        <v>0</v>
      </c>
      <c r="T235" s="52" t="e">
        <f>IF(ISEVEN(LEFT(AD235,4)),"Southbound","NorthBound")</f>
        <v>#VALUE!</v>
      </c>
      <c r="U235" s="159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02" t="str">
        <f>"https://search-rtdc-monitor-bjffxe2xuh6vdkpspy63sjmuny.us-east-1.es.amazonaws.com/_plugin/kibana/#/discover/Steve-Slow-Train-Analysis-(2080s-and-2083s)?_g=(refreshInterval:(display:Off,section:0,value:0),time:(from:'"&amp;TEXT(E235-1/24,"yyyy-MM-DD hh:mm:ss")&amp;"-0600',mode:absolute,to:'"&amp;TEXT(I235+1/24,"yyyy-MM-DD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235&amp;"%22')),sort:!(Time,asc))"</f>
        <v>https://search-rtdc-monitor-bjffxe2xuh6vdkpspy63sjmuny.us-east-1.es.amazonaws.com/_plugin/kibana/#/discover/Steve-Slow-Train-Analysis-(2080s-and-2083s)?_g=(refreshInterval:(display:Off,section:0,value:0),time:(from:'2016-10-04 07:51:34-0600',mode:absolute,to:'2016-10-04 10:53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35" s="54" t="str">
        <f>IF(AA235&lt;IF(AG235="EC",23,5.65),"Y","N")</f>
        <v>Y</v>
      </c>
      <c r="X235" s="164" t="e">
        <f>VALUE(LEFT(AD235,4))-VALUE(LEFT(AD234,4))</f>
        <v>#VALUE!</v>
      </c>
      <c r="Y235" s="69">
        <f>RIGHT(D235,LEN(D235)-4)/10000</f>
        <v>1.9544999999999999</v>
      </c>
      <c r="Z235" s="69">
        <f>RIGHT(H235,LEN(H235)-4)/10000</f>
        <v>1.4800000000000001E-2</v>
      </c>
      <c r="AA235" s="69">
        <f>ABS(Z235-Y235)</f>
        <v>1.9397</v>
      </c>
      <c r="AB235" s="66" t="e">
        <f>VLOOKUP(A235,Enforcements!$C$7:$K$21,8,0)</f>
        <v>#N/A</v>
      </c>
      <c r="AC235" s="62" t="e">
        <f>VLOOKUP(A235,Enforcements!$C$7:$E$21,3,0)</f>
        <v>#N/A</v>
      </c>
      <c r="AD235" s="63" t="str">
        <f>IF(LEN(A235)=6,"0"&amp;A235,A235)</f>
        <v>57-04</v>
      </c>
      <c r="AE235" s="95" t="str">
        <f>"aws s3 cp "&amp;s3_bucket&amp;"/RTDC"&amp;B235&amp;"/ "&amp;search_path&amp;"\RTDC"&amp;B235&amp;"\"&amp;TEXT(F235,"YYYY-MM-DD")&amp;" --exclude ""*"" --recursive --include ""*"&amp;TEXT(F235,"YYYYMMDD")&amp;"*"" &amp; """&amp;walkandungz&amp;""" "&amp;search_path&amp;"\RTDC"&amp;B235&amp;"\"&amp;TEXT(F235,"YYYY-MM-DD")
&amp;" &amp; "&amp;"aws s3 cp "&amp;s3_bucket&amp;"/RTDC"&amp;B235&amp;"/ "&amp;search_path&amp;"\RTDC"&amp;B235&amp;"\"&amp;TEXT(F235+1,"YYYY-MM-DD")&amp;" --exclude ""*"" --recursive --include ""*"&amp;TEXT(F235+1,"YYYYMMDD")&amp;"*"" &amp; """&amp;walkandungz&amp;""" "&amp;search_path&amp;"\RTDC"&amp;B235&amp;"\"&amp;TEXT(F235+1,"YYYY-MM-DD")</f>
        <v>aws s3 cp s3://rtdc.mdm.uploadarchive.raw/RTDC4010/ "%USERPROFILE%\AppData\Local\Temp\OnboardLogs"\RTDC4010\2016-10-04 --exclude "*" --recursive --include "*20161004*" &amp; "%USERPROFILE%\Documents\GitHub\mrs-test-scripts\Headless Mode &amp; Sideloading\WalkAndUnGZ.bat" "%USERPROFILE%\AppData\Local\Temp\OnboardLogs"\RTDC4010\2016-10-04 &amp; aws s3 cp s3://rtdc.mdm.uploadarchive.raw/RTDC4010/ "%USERPROFILE%\AppData\Local\Temp\OnboardLogs"\RTDC4010\2016-10-05 --exclude "*" --recursive --include "*20161005*" &amp; "%USERPROFILE%\Documents\GitHub\mrs-test-scripts\Headless Mode &amp; Sideloading\WalkAndUnGZ.bat" "%USERPROFILE%\AppData\Local\Temp\OnboardLogs"\RTDC4010\2016-10-05</v>
      </c>
      <c r="AF235" s="92" t="str">
        <f>astrogrep_path&amp;" /spath="&amp;search_path&amp;" /stypes=""app*"&amp;B235&amp;"*"&amp;TEXT(I235-utc_offset/24,"YYYYMMDD")&amp;"*"" /stext="" "&amp;TEXT(I235-utc_offset/24,"HH")&amp;search_regexp&amp;""" /e /r /s"</f>
        <v>"C:\Program Files (x86)\AstroGrep\AstroGrep.exe" /spath="%USERPROFILE%\AppData\Local\Temp\OnboardLogs" /stypes="app*4010*20161004*" /stext=" 15:.+((SYSTEM_STATE.+slice.+state.+changed )|(ment ac)|(system.+state.+changed )|(\[timeout)|(PRM\|1\|D)|(kpr)|(kdp)|(\|lc)|(penalty))" /e /r /s</v>
      </c>
      <c r="AG235" s="1" t="str">
        <f>IFERROR(IF(VALUE(LEFT(AD235,2))&lt;=2,"EC",IF(OR(VALUE(LEFT(AD235,2))=8,VALUE(LEFT(AD235,2))=18),"NW","Other")),"Other")</f>
        <v>Other</v>
      </c>
      <c r="AH235" s="96" t="str">
        <f t="shared" si="9"/>
        <v>"%USERPROFILE%\Documents\GitHub\eaglep3\Utilities\RefineRTDCRunTimes.py" --tripid 57-04 --locoid 4010 --swversion DE.1.0.7.0 --startMP 300:19545 --initTime 2016-10-04T08:51:34 --startdatetime 2016-10-04T09:39:43 --delay 4 --endMP 204:148 --enddatetime 2016-10-04T09:53:14 --enforcementcount 0 &gt;&gt;C:\Users\stu\Documents\GitHub\eaglep3-reporting\EC\2016-10-04-refined-times.txt</v>
      </c>
      <c r="AI235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{"issue":{"subject":"","project_id":79,"tracker_id":40,"status_id":1,"priority_id":2,"assigned_to_id":23,"start_date":"2016-10-04","description":"","custom_fields":[{"id":1,"name":"Subdivision","value":"Other"},{"id":4,"name":"Milepost","value":"0.0148"},{"id":17,"name":"Train ID","value":"57-04"},{"id":16,"name":"Locomotive ID","value":"4010"},{"id":130,"name":"Impact","value":""},{"id":150,"name":"Time of Event (Mountain Time)","value":"09:53:14"},{"id":151,"name":"Denver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55"/>
      <c r="AK235" s="55"/>
      <c r="AL235" s="55"/>
    </row>
    <row r="236" spans="1:38" x14ac:dyDescent="0.25">
      <c r="A236" s="39" t="s">
        <v>434</v>
      </c>
      <c r="B236" s="7">
        <v>4009</v>
      </c>
      <c r="C236" s="24" t="s">
        <v>106</v>
      </c>
      <c r="D236" s="24" t="s">
        <v>703</v>
      </c>
      <c r="E236" s="15">
        <v>42647.396921296298</v>
      </c>
      <c r="F236" s="15">
        <v>42647.402581018519</v>
      </c>
      <c r="G236" s="7">
        <v>8</v>
      </c>
      <c r="H236" s="15" t="s">
        <v>704</v>
      </c>
      <c r="I236" s="15">
        <v>42647.41196759259</v>
      </c>
      <c r="J236" s="7">
        <v>0</v>
      </c>
      <c r="K236" s="117" t="str">
        <f>IF(ISEVEN(B236),(B236-1)&amp;"/"&amp;B236,B236&amp;"/"&amp;(B236+1))</f>
        <v>4009/4010</v>
      </c>
      <c r="L236" s="24" t="str">
        <f>VLOOKUP(A236,'Trips&amp;Operators'!$C$1:$E$10000,3,FALSE)</f>
        <v>ARNOLD</v>
      </c>
      <c r="M236" s="6">
        <f>I236-F236</f>
        <v>9.3865740709588863E-3</v>
      </c>
      <c r="N236" s="7">
        <f>24*60*SUM($M236:$M236)</f>
        <v>13.516666662180796</v>
      </c>
      <c r="O236" s="7"/>
      <c r="P236" s="7"/>
      <c r="Q236" s="25"/>
      <c r="R236" s="25"/>
      <c r="S236" s="37">
        <f>SUM(U236:U236)/IF(AG236="EC",12,1)</f>
        <v>0</v>
      </c>
      <c r="T236" s="52" t="e">
        <f>IF(ISEVEN(LEFT(AD236,4)),"Southbound","NorthBound")</f>
        <v>#VALUE!</v>
      </c>
      <c r="U236" s="159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02" t="str">
        <f>"https://search-rtdc-monitor-bjffxe2xuh6vdkpspy63sjmuny.us-east-1.es.amazonaws.com/_plugin/kibana/#/discover/Steve-Slow-Train-Analysis-(2080s-and-2083s)?_g=(refreshInterval:(display:Off,section:0,value:0),time:(from:'"&amp;TEXT(E236-1/24,"yyyy-MM-DD hh:mm:ss")&amp;"-0600',mode:absolute,to:'"&amp;TEXT(I236+1/24,"yyyy-MM-DD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236&amp;"%22')),sort:!(Time,asc))"</f>
        <v>https://search-rtdc-monitor-bjffxe2xuh6vdkpspy63sjmuny.us-east-1.es.amazonaws.com/_plugin/kibana/#/discover/Steve-Slow-Train-Analysis-(2080s-and-2083s)?_g=(refreshInterval:(display:Off,section:0,value:0),time:(from:'2016-10-04 08:31:34-0600',mode:absolute,to:'2016-10-04 10:53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36" s="54" t="str">
        <f>IF(AA236&lt;IF(AG236="EC",23,5.65),"Y","N")</f>
        <v>Y</v>
      </c>
      <c r="X236" s="164" t="e">
        <f>VALUE(LEFT(AD236,4))-VALUE(LEFT(AD235,4))</f>
        <v>#VALUE!</v>
      </c>
      <c r="Y236" s="69">
        <f>RIGHT(D236,LEN(D236)-4)/10000</f>
        <v>0.1048</v>
      </c>
      <c r="Z236" s="69">
        <f>RIGHT(H236,LEN(H236)-4)/10000</f>
        <v>4.2526999999999999</v>
      </c>
      <c r="AA236" s="69">
        <f>ABS(Z236-Y236)</f>
        <v>4.1478999999999999</v>
      </c>
      <c r="AB236" s="66" t="e">
        <f>VLOOKUP(A236,Enforcements!$C$7:$K$21,8,0)</f>
        <v>#N/A</v>
      </c>
      <c r="AC236" s="62" t="e">
        <f>VLOOKUP(A236,Enforcements!$C$7:$E$21,3,0)</f>
        <v>#N/A</v>
      </c>
      <c r="AD236" s="63" t="str">
        <f>IF(LEN(A236)=6,"0"&amp;A236,A236)</f>
        <v>58-04</v>
      </c>
      <c r="AE236" s="95" t="str">
        <f>"aws s3 cp "&amp;s3_bucket&amp;"/RTDC"&amp;B236&amp;"/ "&amp;search_path&amp;"\RTDC"&amp;B236&amp;"\"&amp;TEXT(F236,"YYYY-MM-DD")&amp;" --exclude ""*"" --recursive --include ""*"&amp;TEXT(F236,"YYYYMMDD")&amp;"*"" &amp; """&amp;walkandungz&amp;""" "&amp;search_path&amp;"\RTDC"&amp;B236&amp;"\"&amp;TEXT(F236,"YYYY-MM-DD")
&amp;" &amp; "&amp;"aws s3 cp "&amp;s3_bucket&amp;"/RTDC"&amp;B236&amp;"/ "&amp;search_path&amp;"\RTDC"&amp;B236&amp;"\"&amp;TEXT(F236+1,"YYYY-MM-DD")&amp;" --exclude ""*"" --recursive --include ""*"&amp;TEXT(F236+1,"YYYYMMDD")&amp;"*"" &amp; """&amp;walkandungz&amp;""" "&amp;search_path&amp;"\RTDC"&amp;B236&amp;"\"&amp;TEXT(F236+1,"YYYY-MM-DD")</f>
        <v>aws s3 cp s3://rtdc.mdm.uploadarchive.raw/RTDC4009/ "%USERPROFILE%\AppData\Local\Temp\OnboardLogs"\RTDC4009\2016-10-04 --exclude "*" --recursive --include "*20161004*" &amp; "%USERPROFILE%\Documents\GitHub\mrs-test-scripts\Headless Mode &amp; Sideloading\WalkAndUnGZ.bat" "%USERPROFILE%\AppData\Local\Temp\OnboardLogs"\RTDC4009\2016-10-04 &amp; aws s3 cp s3://rtdc.mdm.uploadarchive.raw/RTDC4009/ "%USERPROFILE%\AppData\Local\Temp\OnboardLogs"\RTDC4009\2016-10-05 --exclude "*" --recursive --include "*20161005*" &amp; "%USERPROFILE%\Documents\GitHub\mrs-test-scripts\Headless Mode &amp; Sideloading\WalkAndUnGZ.bat" "%USERPROFILE%\AppData\Local\Temp\OnboardLogs"\RTDC4009\2016-10-05</v>
      </c>
      <c r="AF236" s="92" t="str">
        <f>astrogrep_path&amp;" /spath="&amp;search_path&amp;" /stypes=""app*"&amp;B236&amp;"*"&amp;TEXT(I236-utc_offset/24,"YYYYMMDD")&amp;"*"" /stext="" "&amp;TEXT(I236-utc_offset/24,"HH")&amp;search_regexp&amp;""" /e /r /s"</f>
        <v>"C:\Program Files (x86)\AstroGrep\AstroGrep.exe" /spath="%USERPROFILE%\AppData\Local\Temp\OnboardLogs" /stypes="app*4009*20161004*" /stext=" 15:.+((SYSTEM_STATE.+slice.+state.+changed )|(ment ac)|(system.+state.+changed )|(\[timeout)|(PRM\|1\|D)|(kpr)|(kdp)|(\|lc)|(penalty))" /e /r /s</v>
      </c>
      <c r="AG236" s="1" t="str">
        <f>IFERROR(IF(VALUE(LEFT(AD236,2))&lt;=2,"EC",IF(OR(VALUE(LEFT(AD236,2))=8,VALUE(LEFT(AD236,2))=18),"NW","Other")),"Other")</f>
        <v>Other</v>
      </c>
      <c r="AH236" s="96" t="str">
        <f t="shared" si="9"/>
        <v>"%USERPROFILE%\Documents\GitHub\eaglep3\Utilities\RefineRTDCRunTimes.py" --tripid 58-04 --locoid 4009 --swversion DE.1.0.7.0 --startMP 204:1048 --initTime 2016-10-04T09:31:34 --startdatetime 2016-10-04T09:39:43 --delay 8 --endMP 300:42527 --enddatetime 2016-10-04T09:53:14 --enforcementcount 0 &gt;&gt;C:\Users\stu\Documents\GitHub\eaglep3-reporting\EC\2016-10-04-refined-times.txt</v>
      </c>
      <c r="AI236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{"issue":{"subject":"","project_id":79,"tracker_id":40,"status_id":1,"priority_id":2,"assigned_to_id":23,"start_date":"2016-10-04","description":"","custom_fields":[{"id":1,"name":"Subdivision","value":"Other"},{"id":4,"name":"Milepost","value":"4.2527"},{"id":17,"name":"Train ID","value":"58-04"},{"id":16,"name":"Locomotive ID","value":"4009"},{"id":130,"name":"Impact","value":""},{"id":150,"name":"Time of Event (Mountain Time)","value":"09:53:14"},{"id":151,"name":"Denver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55"/>
      <c r="AK236" s="55"/>
      <c r="AL236" s="55"/>
    </row>
    <row r="237" spans="1:38" x14ac:dyDescent="0.25">
      <c r="A237" s="39" t="s">
        <v>434</v>
      </c>
      <c r="B237" s="7">
        <v>4009</v>
      </c>
      <c r="C237" s="24" t="s">
        <v>106</v>
      </c>
      <c r="D237" s="24" t="s">
        <v>705</v>
      </c>
      <c r="E237" s="15">
        <v>42647.396921296298</v>
      </c>
      <c r="F237" s="15">
        <v>42647.402581018519</v>
      </c>
      <c r="G237" s="7">
        <v>4</v>
      </c>
      <c r="H237" s="15" t="s">
        <v>704</v>
      </c>
      <c r="I237" s="15">
        <v>42647.41196759259</v>
      </c>
      <c r="J237" s="7">
        <v>0</v>
      </c>
      <c r="K237" s="117" t="str">
        <f>IF(ISEVEN(B237),(B237-1)&amp;"/"&amp;B237,B237&amp;"/"&amp;(B237+1))</f>
        <v>4009/4010</v>
      </c>
      <c r="L237" s="24" t="str">
        <f>VLOOKUP(A237,'Trips&amp;Operators'!$C$1:$E$10000,3,FALSE)</f>
        <v>ARNOLD</v>
      </c>
      <c r="M237" s="6">
        <f>I237-F237</f>
        <v>9.3865740709588863E-3</v>
      </c>
      <c r="N237" s="7">
        <f>24*60*SUM($M237:$M237)</f>
        <v>13.516666662180796</v>
      </c>
      <c r="O237" s="7"/>
      <c r="P237" s="7"/>
      <c r="Q237" s="25"/>
      <c r="R237" s="25"/>
      <c r="S237" s="37">
        <f>SUM(U237:U237)/IF(AG237="EC",12,1)</f>
        <v>0</v>
      </c>
      <c r="T237" s="52" t="e">
        <f>IF(ISEVEN(LEFT(AD237,4)),"Southbound","NorthBound")</f>
        <v>#VALUE!</v>
      </c>
      <c r="U237" s="159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02" t="str">
        <f>"https://search-rtdc-monitor-bjffxe2xuh6vdkpspy63sjmuny.us-east-1.es.amazonaws.com/_plugin/kibana/#/discover/Steve-Slow-Train-Analysis-(2080s-and-2083s)?_g=(refreshInterval:(display:Off,section:0,value:0),time:(from:'"&amp;TEXT(E237-1/24,"yyyy-MM-DD hh:mm:ss")&amp;"-0600',mode:absolute,to:'"&amp;TEXT(I237+1/24,"yyyy-MM-DD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237&amp;"%22')),sort:!(Time,asc))"</f>
        <v>https://search-rtdc-monitor-bjffxe2xuh6vdkpspy63sjmuny.us-east-1.es.amazonaws.com/_plugin/kibana/#/discover/Steve-Slow-Train-Analysis-(2080s-and-2083s)?_g=(refreshInterval:(display:Off,section:0,value:0),time:(from:'2016-10-04 08:31:34-0600',mode:absolute,to:'2016-10-04 10:53:14-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37" s="54" t="str">
        <f>IF(AA237&lt;IF(AG237="EC",23,5.65),"Y","N")</f>
        <v>Y</v>
      </c>
      <c r="X237" s="164" t="e">
        <f>VALUE(LEFT(AD237,4))-VALUE(LEFT(AD236,4))</f>
        <v>#VALUE!</v>
      </c>
      <c r="Y237" s="69">
        <f>RIGHT(D237,LEN(D237)-4)/10000</f>
        <v>4.6800000000000001E-2</v>
      </c>
      <c r="Z237" s="69">
        <f>RIGHT(H237,LEN(H237)-4)/10000</f>
        <v>4.2526999999999999</v>
      </c>
      <c r="AA237" s="69">
        <f>ABS(Z237-Y237)</f>
        <v>4.2058999999999997</v>
      </c>
      <c r="AB237" s="66" t="e">
        <f>VLOOKUP(A237,Enforcements!$C$7:$K$21,8,0)</f>
        <v>#N/A</v>
      </c>
      <c r="AC237" s="62" t="e">
        <f>VLOOKUP(A237,Enforcements!$C$7:$E$21,3,0)</f>
        <v>#N/A</v>
      </c>
      <c r="AD237" s="63" t="str">
        <f>IF(LEN(A237)=6,"0"&amp;A237,A237)</f>
        <v>58-04</v>
      </c>
      <c r="AE237" s="95" t="str">
        <f>"aws s3 cp "&amp;s3_bucket&amp;"/RTDC"&amp;B237&amp;"/ "&amp;search_path&amp;"\RTDC"&amp;B237&amp;"\"&amp;TEXT(F237,"YYYY-MM-DD")&amp;" --exclude ""*"" --recursive --include ""*"&amp;TEXT(F237,"YYYYMMDD")&amp;"*"" &amp; """&amp;walkandungz&amp;""" "&amp;search_path&amp;"\RTDC"&amp;B237&amp;"\"&amp;TEXT(F237,"YYYY-MM-DD")
&amp;" &amp; "&amp;"aws s3 cp "&amp;s3_bucket&amp;"/RTDC"&amp;B237&amp;"/ "&amp;search_path&amp;"\RTDC"&amp;B237&amp;"\"&amp;TEXT(F237+1,"YYYY-MM-DD")&amp;" --exclude ""*"" --recursive --include ""*"&amp;TEXT(F237+1,"YYYYMMDD")&amp;"*"" &amp; """&amp;walkandungz&amp;""" "&amp;search_path&amp;"\RTDC"&amp;B237&amp;"\"&amp;TEXT(F237+1,"YYYY-MM-DD")</f>
        <v>aws s3 cp s3://rtdc.mdm.uploadarchive.raw/RTDC4009/ "%USERPROFILE%\AppData\Local\Temp\OnboardLogs"\RTDC4009\2016-10-04 --exclude "*" --recursive --include "*20161004*" &amp; "%USERPROFILE%\Documents\GitHub\mrs-test-scripts\Headless Mode &amp; Sideloading\WalkAndUnGZ.bat" "%USERPROFILE%\AppData\Local\Temp\OnboardLogs"\RTDC4009\2016-10-04 &amp; aws s3 cp s3://rtdc.mdm.uploadarchive.raw/RTDC4009/ "%USERPROFILE%\AppData\Local\Temp\OnboardLogs"\RTDC4009\2016-10-05 --exclude "*" --recursive --include "*20161005*" &amp; "%USERPROFILE%\Documents\GitHub\mrs-test-scripts\Headless Mode &amp; Sideloading\WalkAndUnGZ.bat" "%USERPROFILE%\AppData\Local\Temp\OnboardLogs"\RTDC4009\2016-10-05</v>
      </c>
      <c r="AF237" s="92" t="str">
        <f>astrogrep_path&amp;" /spath="&amp;search_path&amp;" /stypes=""app*"&amp;B237&amp;"*"&amp;TEXT(I237-utc_offset/24,"YYYYMMDD")&amp;"*"" /stext="" "&amp;TEXT(I237-utc_offset/24,"HH")&amp;search_regexp&amp;""" /e /r /s"</f>
        <v>"C:\Program Files (x86)\AstroGrep\AstroGrep.exe" /spath="%USERPROFILE%\AppData\Local\Temp\OnboardLogs" /stypes="app*4009*20161004*" /stext=" 15:.+((SYSTEM_STATE.+slice.+state.+changed )|(ment ac)|(system.+state.+changed )|(\[timeout)|(PRM\|1\|D)|(kpr)|(kdp)|(\|lc)|(penalty))" /e /r /s</v>
      </c>
      <c r="AG237" s="1" t="str">
        <f>IFERROR(IF(VALUE(LEFT(AD237,2))&lt;=2,"EC",IF(OR(VALUE(LEFT(AD237,2))=8,VALUE(LEFT(AD237,2))=18),"NW","Other")),"Other")</f>
        <v>Other</v>
      </c>
      <c r="AH237" s="96" t="str">
        <f t="shared" si="9"/>
        <v>"%USERPROFILE%\Documents\GitHub\eaglep3\Utilities\RefineRTDCRunTimes.py" --tripid 58-04 --locoid 4009 --swversion DE.1.0.7.0 --startMP 204:468 --initTime 2016-10-04T09:31:34 --startdatetime 2016-10-04T09:39:43 --delay 4 --endMP 300:42527 --enddatetime 2016-10-04T09:53:14 --enforcementcount 0 &gt;&gt;C:\Users\stu\Documents\GitHub\eaglep3-reporting\EC\2016-10-04-refined-times.txt</v>
      </c>
      <c r="AI237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{"issue":{"subject":"","project_id":79,"tracker_id":40,"status_id":1,"priority_id":2,"assigned_to_id":23,"start_date":"2016-10-04","description":"","custom_fields":[{"id":1,"name":"Subdivision","value":"Other"},{"id":4,"name":"Milepost","value":"4.2527"},{"id":17,"name":"Train ID","value":"58-04"},{"id":16,"name":"Locomotive ID","value":"4009"},{"id":130,"name":"Impact","value":""},{"id":150,"name":"Time of Event (Mountain Time)","value":"09:53:14"},{"id":151,"name":"Denver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55"/>
      <c r="AK237" s="55"/>
      <c r="AL237" s="55"/>
    </row>
    <row r="238" spans="1:38" x14ac:dyDescent="0.25">
      <c r="A238" s="39" t="s">
        <v>442</v>
      </c>
      <c r="B238" s="7">
        <v>4010</v>
      </c>
      <c r="C238" s="24" t="s">
        <v>106</v>
      </c>
      <c r="D238" s="24" t="s">
        <v>706</v>
      </c>
      <c r="E238" s="15">
        <v>42647.414224537039</v>
      </c>
      <c r="F238" s="15">
        <v>42647.417395833334</v>
      </c>
      <c r="G238" s="7">
        <v>2</v>
      </c>
      <c r="H238" s="15" t="s">
        <v>700</v>
      </c>
      <c r="I238" s="15">
        <v>42647.427071759259</v>
      </c>
      <c r="J238" s="7">
        <v>0</v>
      </c>
      <c r="K238" s="117" t="str">
        <f>IF(ISEVEN(B238),(B238-1)&amp;"/"&amp;B238,B238&amp;"/"&amp;(B238+1))</f>
        <v>4009/4010</v>
      </c>
      <c r="L238" s="24" t="str">
        <f>VLOOKUP(A238,'Trips&amp;Operators'!$C$1:$E$10000,3,FALSE)</f>
        <v>ARNOLD</v>
      </c>
      <c r="M238" s="6">
        <f>I238-F238</f>
        <v>9.6759259249665774E-3</v>
      </c>
      <c r="N238" s="7">
        <f>24*60*SUM($M238:$M238)</f>
        <v>13.933333331951872</v>
      </c>
      <c r="O238" s="7"/>
      <c r="P238" s="7"/>
      <c r="Q238" s="25"/>
      <c r="R238" s="25"/>
      <c r="S238" s="37">
        <f>SUM(U238:U238)/IF(AG238="EC",12,1)</f>
        <v>0</v>
      </c>
      <c r="T238" s="52" t="e">
        <f>IF(ISEVEN(LEFT(AD238,4)),"Southbound","NorthBound")</f>
        <v>#VALUE!</v>
      </c>
      <c r="U238" s="159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02" t="str">
        <f>"https://search-rtdc-monitor-bjffxe2xuh6vdkpspy63sjmuny.us-east-1.es.amazonaws.com/_plugin/kibana/#/discover/Steve-Slow-Train-Analysis-(2080s-and-2083s)?_g=(refreshInterval:(display:Off,section:0,value:0),time:(from:'"&amp;TEXT(E238-1/24,"yyyy-MM-DD hh:mm:ss")&amp;"-0600',mode:absolute,to:'"&amp;TEXT(I238+1/24,"yyyy-MM-DD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238&amp;"%22')),sort:!(Time,asc))"</f>
        <v>https://search-rtdc-monitor-bjffxe2xuh6vdkpspy63sjmuny.us-east-1.es.amazonaws.com/_plugin/kibana/#/discover/Steve-Slow-Train-Analysis-(2080s-and-2083s)?_g=(refreshInterval:(display:Off,section:0,value:0),time:(from:'2016-10-04 08:56:29-0600',mode:absolute,to:'2016-10-04 11:14:59-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38" s="54" t="str">
        <f>IF(AA238&lt;IF(AG238="EC",23,5.65),"Y","N")</f>
        <v>Y</v>
      </c>
      <c r="X238" s="164" t="e">
        <f>VALUE(LEFT(AD238,4))-VALUE(LEFT(AD237,4))</f>
        <v>#VALUE!</v>
      </c>
      <c r="Y238" s="69">
        <f>RIGHT(D238,LEN(D238)-4)/10000</f>
        <v>4.2237</v>
      </c>
      <c r="Z238" s="69">
        <f>RIGHT(H238,LEN(H238)-4)/10000</f>
        <v>1.44E-2</v>
      </c>
      <c r="AA238" s="69">
        <f>ABS(Z238-Y238)</f>
        <v>4.2092999999999998</v>
      </c>
      <c r="AB238" s="66" t="e">
        <f>VLOOKUP(A238,Enforcements!$C$7:$K$21,8,0)</f>
        <v>#N/A</v>
      </c>
      <c r="AC238" s="62" t="e">
        <f>VLOOKUP(A238,Enforcements!$C$7:$E$21,3,0)</f>
        <v>#N/A</v>
      </c>
      <c r="AD238" s="63" t="str">
        <f>IF(LEN(A238)=6,"0"&amp;A238,A238)</f>
        <v>59-04</v>
      </c>
      <c r="AE238" s="95" t="str">
        <f>"aws s3 cp "&amp;s3_bucket&amp;"/RTDC"&amp;B238&amp;"/ "&amp;search_path&amp;"\RTDC"&amp;B238&amp;"\"&amp;TEXT(F238,"YYYY-MM-DD")&amp;" --exclude ""*"" --recursive --include ""*"&amp;TEXT(F238,"YYYYMMDD")&amp;"*"" &amp; """&amp;walkandungz&amp;""" "&amp;search_path&amp;"\RTDC"&amp;B238&amp;"\"&amp;TEXT(F238,"YYYY-MM-DD")
&amp;" &amp; "&amp;"aws s3 cp "&amp;s3_bucket&amp;"/RTDC"&amp;B238&amp;"/ "&amp;search_path&amp;"\RTDC"&amp;B238&amp;"\"&amp;TEXT(F238+1,"YYYY-MM-DD")&amp;" --exclude ""*"" --recursive --include ""*"&amp;TEXT(F238+1,"YYYYMMDD")&amp;"*"" &amp; """&amp;walkandungz&amp;""" "&amp;search_path&amp;"\RTDC"&amp;B238&amp;"\"&amp;TEXT(F238+1,"YYYY-MM-DD")</f>
        <v>aws s3 cp s3://rtdc.mdm.uploadarchive.raw/RTDC4010/ "%USERPROFILE%\AppData\Local\Temp\OnboardLogs"\RTDC4010\2016-10-04 --exclude "*" --recursive --include "*20161004*" &amp; "%USERPROFILE%\Documents\GitHub\mrs-test-scripts\Headless Mode &amp; Sideloading\WalkAndUnGZ.bat" "%USERPROFILE%\AppData\Local\Temp\OnboardLogs"\RTDC4010\2016-10-04 &amp; aws s3 cp s3://rtdc.mdm.uploadarchive.raw/RTDC4010/ "%USERPROFILE%\AppData\Local\Temp\OnboardLogs"\RTDC4010\2016-10-05 --exclude "*" --recursive --include "*20161005*" &amp; "%USERPROFILE%\Documents\GitHub\mrs-test-scripts\Headless Mode &amp; Sideloading\WalkAndUnGZ.bat" "%USERPROFILE%\AppData\Local\Temp\OnboardLogs"\RTDC4010\2016-10-05</v>
      </c>
      <c r="AF238" s="92" t="str">
        <f>astrogrep_path&amp;" /spath="&amp;search_path&amp;" /stypes=""app*"&amp;B238&amp;"*"&amp;TEXT(I238-utc_offset/24,"YYYYMMDD")&amp;"*"" /stext="" "&amp;TEXT(I238-utc_offset/24,"HH")&amp;search_regexp&amp;""" /e /r /s"</f>
        <v>"C:\Program Files (x86)\AstroGrep\AstroGrep.exe" /spath="%USERPROFILE%\AppData\Local\Temp\OnboardLogs" /stypes="app*4010*20161004*" /stext=" 16:.+((SYSTEM_STATE.+slice.+state.+changed )|(ment ac)|(system.+state.+changed )|(\[timeout)|(PRM\|1\|D)|(kpr)|(kdp)|(\|lc)|(penalty))" /e /r /s</v>
      </c>
      <c r="AG238" s="1" t="str">
        <f>IFERROR(IF(VALUE(LEFT(AD238,2))&lt;=2,"EC",IF(OR(VALUE(LEFT(AD238,2))=8,VALUE(LEFT(AD238,2))=18),"NW","Other")),"Other")</f>
        <v>Other</v>
      </c>
      <c r="AH238" s="96" t="str">
        <f t="shared" si="9"/>
        <v>"%USERPROFILE%\Documents\GitHub\eaglep3\Utilities\RefineRTDCRunTimes.py" --tripid 59-04 --locoid 4010 --swversion DE.1.0.7.0 --startMP 300:42237 --initTime 2016-10-04T09:56:29 --startdatetime 2016-10-04T10:01:03 --delay 2 --endMP 204:144 --enddatetime 2016-10-04T10:14:59 --enforcementcount 0 &gt;&gt;C:\Users\stu\Documents\GitHub\eaglep3-reporting\EC\2016-10-04-refined-times.txt</v>
      </c>
      <c r="AI238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{"issue":{"subject":"","project_id":79,"tracker_id":40,"status_id":1,"priority_id":2,"assigned_to_id":23,"start_date":"2016-10-04","description":"","custom_fields":[{"id":1,"name":"Subdivision","value":"Other"},{"id":4,"name":"Milepost","value":"0.0144"},{"id":17,"name":"Train ID","value":"59-04"},{"id":16,"name":"Locomotive ID","value":"4010"},{"id":130,"name":"Impact","value":""},{"id":150,"name":"Time of Event (Mountain Time)","value":"10:14:59"},{"id":151,"name":"Denver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55"/>
      <c r="AK238" s="55"/>
      <c r="AL238" s="55"/>
    </row>
    <row r="239" spans="1:38" x14ac:dyDescent="0.25">
      <c r="A239" s="39" t="s">
        <v>448</v>
      </c>
      <c r="B239" s="7">
        <v>4009</v>
      </c>
      <c r="C239" s="24" t="s">
        <v>106</v>
      </c>
      <c r="D239" s="24" t="s">
        <v>203</v>
      </c>
      <c r="E239" s="15">
        <v>42647.432615740741</v>
      </c>
      <c r="F239" s="15">
        <v>42647.437800925924</v>
      </c>
      <c r="G239" s="7">
        <v>5</v>
      </c>
      <c r="H239" s="15" t="s">
        <v>707</v>
      </c>
      <c r="I239" s="15">
        <v>42647.449918981481</v>
      </c>
      <c r="J239" s="7">
        <v>0</v>
      </c>
      <c r="K239" s="117" t="str">
        <f>IF(ISEVEN(B239),(B239-1)&amp;"/"&amp;B239,B239&amp;"/"&amp;(B239+1))</f>
        <v>4009/4010</v>
      </c>
      <c r="L239" s="24" t="str">
        <f>VLOOKUP(A239,'Trips&amp;Operators'!$C$1:$E$10000,3,FALSE)</f>
        <v>ARNOLD</v>
      </c>
      <c r="M239" s="6">
        <f>I239-F239</f>
        <v>1.2118055557948537E-2</v>
      </c>
      <c r="N239" s="7">
        <f>24*60*SUM($M239:$M239)</f>
        <v>17.450000003445894</v>
      </c>
      <c r="O239" s="7"/>
      <c r="P239" s="7"/>
      <c r="Q239" s="25"/>
      <c r="R239" s="25"/>
      <c r="S239" s="37">
        <f>SUM(U239:U239)/IF(AG239="EC",12,1)</f>
        <v>0</v>
      </c>
      <c r="T239" s="52" t="e">
        <f>IF(ISEVEN(LEFT(AD239,4)),"Southbound","NorthBound")</f>
        <v>#VALUE!</v>
      </c>
      <c r="U239" s="159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02" t="str">
        <f>"https://search-rtdc-monitor-bjffxe2xuh6vdkpspy63sjmuny.us-east-1.es.amazonaws.com/_plugin/kibana/#/discover/Steve-Slow-Train-Analysis-(2080s-and-2083s)?_g=(refreshInterval:(display:Off,section:0,value:0),time:(from:'"&amp;TEXT(E239-1/24,"yyyy-MM-DD hh:mm:ss")&amp;"-0600',mode:absolute,to:'"&amp;TEXT(I239+1/24,"yyyy-MM-DD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239&amp;"%22')),sort:!(Time,asc))"</f>
        <v>https://search-rtdc-monitor-bjffxe2xuh6vdkpspy63sjmuny.us-east-1.es.amazonaws.com/_plugin/kibana/#/discover/Steve-Slow-Train-Analysis-(2080s-and-2083s)?_g=(refreshInterval:(display:Off,section:0,value:0),time:(from:'2016-10-04 09:22:58-0600',mode:absolute,to:'2016-10-04 11:47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39" s="54" t="str">
        <f>IF(AA239&lt;IF(AG239="EC",23,5.65),"Y","N")</f>
        <v>Y</v>
      </c>
      <c r="X239" s="164" t="e">
        <f>VALUE(LEFT(AD239,4))-VALUE(LEFT(AD238,4))</f>
        <v>#VALUE!</v>
      </c>
      <c r="Y239" s="69">
        <f>RIGHT(D239,LEN(D239)-4)/10000</f>
        <v>4.5499999999999999E-2</v>
      </c>
      <c r="Z239" s="69">
        <f>RIGHT(H239,LEN(H239)-4)/10000</f>
        <v>4.2821999999999996</v>
      </c>
      <c r="AA239" s="69">
        <f>ABS(Z239-Y239)</f>
        <v>4.2366999999999999</v>
      </c>
      <c r="AB239" s="66" t="e">
        <f>VLOOKUP(A239,Enforcements!$C$7:$K$21,8,0)</f>
        <v>#N/A</v>
      </c>
      <c r="AC239" s="62" t="e">
        <f>VLOOKUP(A239,Enforcements!$C$7:$E$21,3,0)</f>
        <v>#N/A</v>
      </c>
      <c r="AD239" s="63" t="str">
        <f>IF(LEN(A239)=6,"0"&amp;A239,A239)</f>
        <v>61-04</v>
      </c>
      <c r="AE239" s="95" t="str">
        <f>"aws s3 cp "&amp;s3_bucket&amp;"/RTDC"&amp;B239&amp;"/ "&amp;search_path&amp;"\RTDC"&amp;B239&amp;"\"&amp;TEXT(F239,"YYYY-MM-DD")&amp;" --exclude ""*"" --recursive --include ""*"&amp;TEXT(F239,"YYYYMMDD")&amp;"*"" &amp; """&amp;walkandungz&amp;""" "&amp;search_path&amp;"\RTDC"&amp;B239&amp;"\"&amp;TEXT(F239,"YYYY-MM-DD")
&amp;" &amp; "&amp;"aws s3 cp "&amp;s3_bucket&amp;"/RTDC"&amp;B239&amp;"/ "&amp;search_path&amp;"\RTDC"&amp;B239&amp;"\"&amp;TEXT(F239+1,"YYYY-MM-DD")&amp;" --exclude ""*"" --recursive --include ""*"&amp;TEXT(F239+1,"YYYYMMDD")&amp;"*"" &amp; """&amp;walkandungz&amp;""" "&amp;search_path&amp;"\RTDC"&amp;B239&amp;"\"&amp;TEXT(F239+1,"YYYY-MM-DD")</f>
        <v>aws s3 cp s3://rtdc.mdm.uploadarchive.raw/RTDC4009/ "%USERPROFILE%\AppData\Local\Temp\OnboardLogs"\RTDC4009\2016-10-04 --exclude "*" --recursive --include "*20161004*" &amp; "%USERPROFILE%\Documents\GitHub\mrs-test-scripts\Headless Mode &amp; Sideloading\WalkAndUnGZ.bat" "%USERPROFILE%\AppData\Local\Temp\OnboardLogs"\RTDC4009\2016-10-04 &amp; aws s3 cp s3://rtdc.mdm.uploadarchive.raw/RTDC4009/ "%USERPROFILE%\AppData\Local\Temp\OnboardLogs"\RTDC4009\2016-10-05 --exclude "*" --recursive --include "*20161005*" &amp; "%USERPROFILE%\Documents\GitHub\mrs-test-scripts\Headless Mode &amp; Sideloading\WalkAndUnGZ.bat" "%USERPROFILE%\AppData\Local\Temp\OnboardLogs"\RTDC4009\2016-10-05</v>
      </c>
      <c r="AF239" s="92" t="str">
        <f>astrogrep_path&amp;" /spath="&amp;search_path&amp;" /stypes=""app*"&amp;B239&amp;"*"&amp;TEXT(I239-utc_offset/24,"YYYYMMDD")&amp;"*"" /stext="" "&amp;TEXT(I239-utc_offset/24,"HH")&amp;search_regexp&amp;""" /e /r /s"</f>
        <v>"C:\Program Files (x86)\AstroGrep\AstroGrep.exe" /spath="%USERPROFILE%\AppData\Local\Temp\OnboardLogs" /stypes="app*4009*20161004*" /stext=" 16:.+((SYSTEM_STATE.+slice.+state.+changed )|(ment ac)|(system.+state.+changed )|(\[timeout)|(PRM\|1\|D)|(kpr)|(kdp)|(\|lc)|(penalty))" /e /r /s</v>
      </c>
      <c r="AG239" s="1" t="str">
        <f>IFERROR(IF(VALUE(LEFT(AD239,2))&lt;=2,"EC",IF(OR(VALUE(LEFT(AD239,2))=8,VALUE(LEFT(AD239,2))=18),"NW","Other")),"Other")</f>
        <v>Other</v>
      </c>
      <c r="AH239" s="96" t="str">
        <f t="shared" si="9"/>
        <v>"%USERPROFILE%\Documents\GitHub\eaglep3\Utilities\RefineRTDCRunTimes.py" --tripid 61-04 --locoid 4009 --swversion DE.1.0.7.0 --startMP 204:455 --initTime 2016-10-04T10:22:58 --startdatetime 2016-10-04T10:30:26 --delay 5 --endMP 300:42822 --enddatetime 2016-10-04T10:47:53 --enforcementcount 0 &gt;&gt;C:\Users\stu\Documents\GitHub\eaglep3-reporting\EC\2016-10-04-refined-times.txt</v>
      </c>
      <c r="AI239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{"issue":{"subject":"","project_id":79,"tracker_id":40,"status_id":1,"priority_id":2,"assigned_to_id":23,"start_date":"2016-10-04","description":"","custom_fields":[{"id":1,"name":"Subdivision","value":"Other"},{"id":4,"name":"Milepost","value":"4.2822"},{"id":17,"name":"Train ID","value":"61-04"},{"id":16,"name":"Locomotive ID","value":"4009"},{"id":130,"name":"Impact","value":""},{"id":150,"name":"Time of Event (Mountain Time)","value":"10:47:53"},{"id":151,"name":"Denver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55"/>
      <c r="AK239" s="55"/>
      <c r="AL239" s="55"/>
    </row>
    <row r="240" spans="1:38" x14ac:dyDescent="0.25">
      <c r="A240" s="39" t="s">
        <v>452</v>
      </c>
      <c r="B240" s="7">
        <v>4010</v>
      </c>
      <c r="C240" s="24" t="s">
        <v>106</v>
      </c>
      <c r="D240" s="24" t="s">
        <v>708</v>
      </c>
      <c r="E240" s="15">
        <v>42647.451539351852</v>
      </c>
      <c r="F240" s="15">
        <v>42647.454062500001</v>
      </c>
      <c r="G240" s="7">
        <v>2</v>
      </c>
      <c r="H240" s="15" t="s">
        <v>709</v>
      </c>
      <c r="I240" s="15">
        <v>42647.466331018521</v>
      </c>
      <c r="J240" s="7">
        <v>0</v>
      </c>
      <c r="K240" s="117" t="str">
        <f>IF(ISEVEN(B240),(B240-1)&amp;"/"&amp;B240,B240&amp;"/"&amp;(B240+1))</f>
        <v>4009/4010</v>
      </c>
      <c r="L240" s="24" t="str">
        <f>VLOOKUP(A240,'Trips&amp;Operators'!$C$1:$E$10000,3,FALSE)</f>
        <v>ARNOLD</v>
      </c>
      <c r="M240" s="6">
        <f>I240-F240</f>
        <v>1.226851851970423E-2</v>
      </c>
      <c r="N240" s="7">
        <f>24*60*SUM($M240:$M240)</f>
        <v>17.666666668374091</v>
      </c>
      <c r="O240" s="7"/>
      <c r="P240" s="7"/>
      <c r="Q240" s="25"/>
      <c r="R240" s="25"/>
      <c r="S240" s="37">
        <f>SUM(U240:U240)/IF(AG240="EC",12,1)</f>
        <v>0</v>
      </c>
      <c r="T240" s="52" t="e">
        <f>IF(ISEVEN(LEFT(AD240,4)),"Southbound","NorthBound")</f>
        <v>#VALUE!</v>
      </c>
      <c r="U240" s="159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02" t="str">
        <f>"https://search-rtdc-monitor-bjffxe2xuh6vdkpspy63sjmuny.us-east-1.es.amazonaws.com/_plugin/kibana/#/discover/Steve-Slow-Train-Analysis-(2080s-and-2083s)?_g=(refreshInterval:(display:Off,section:0,value:0),time:(from:'"&amp;TEXT(E240-1/24,"yyyy-MM-DD hh:mm:ss")&amp;"-0600',mode:absolute,to:'"&amp;TEXT(I240+1/24,"yyyy-MM-DD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240&amp;"%22')),sort:!(Time,asc))"</f>
        <v>https://search-rtdc-monitor-bjffxe2xuh6vdkpspy63sjmuny.us-east-1.es.amazonaws.com/_plugin/kibana/#/discover/Steve-Slow-Train-Analysis-(2080s-and-2083s)?_g=(refreshInterval:(display:Off,section:0,value:0),time:(from:'2016-10-04 09:50:13-0600',mode:absolute,to:'2016-10-04 12:11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40" s="54" t="str">
        <f>IF(AA240&lt;IF(AG240="EC",23,5.65),"Y","N")</f>
        <v>Y</v>
      </c>
      <c r="X240" s="164" t="e">
        <f>VALUE(LEFT(AD240,4))-VALUE(LEFT(AD239,4))</f>
        <v>#VALUE!</v>
      </c>
      <c r="Y240" s="69">
        <f>RIGHT(D240,LEN(D240)-4)/10000</f>
        <v>4.2554999999999996</v>
      </c>
      <c r="Z240" s="69">
        <f>RIGHT(H240,LEN(H240)-4)/10000</f>
        <v>0.05</v>
      </c>
      <c r="AA240" s="69">
        <f>ABS(Z240-Y240)</f>
        <v>4.2054999999999998</v>
      </c>
      <c r="AB240" s="66" t="e">
        <f>VLOOKUP(A240,Enforcements!$C$7:$K$21,8,0)</f>
        <v>#N/A</v>
      </c>
      <c r="AC240" s="62" t="e">
        <f>VLOOKUP(A240,Enforcements!$C$7:$E$21,3,0)</f>
        <v>#N/A</v>
      </c>
      <c r="AD240" s="63" t="str">
        <f>IF(LEN(A240)=6,"0"&amp;A240,A240)</f>
        <v>62-04</v>
      </c>
      <c r="AE240" s="95" t="str">
        <f>"aws s3 cp "&amp;s3_bucket&amp;"/RTDC"&amp;B240&amp;"/ "&amp;search_path&amp;"\RTDC"&amp;B240&amp;"\"&amp;TEXT(F240,"YYYY-MM-DD")&amp;" --exclude ""*"" --recursive --include ""*"&amp;TEXT(F240,"YYYYMMDD")&amp;"*"" &amp; """&amp;walkandungz&amp;""" "&amp;search_path&amp;"\RTDC"&amp;B240&amp;"\"&amp;TEXT(F240,"YYYY-MM-DD")
&amp;" &amp; "&amp;"aws s3 cp "&amp;s3_bucket&amp;"/RTDC"&amp;B240&amp;"/ "&amp;search_path&amp;"\RTDC"&amp;B240&amp;"\"&amp;TEXT(F240+1,"YYYY-MM-DD")&amp;" --exclude ""*"" --recursive --include ""*"&amp;TEXT(F240+1,"YYYYMMDD")&amp;"*"" &amp; """&amp;walkandungz&amp;""" "&amp;search_path&amp;"\RTDC"&amp;B240&amp;"\"&amp;TEXT(F240+1,"YYYY-MM-DD")</f>
        <v>aws s3 cp s3://rtdc.mdm.uploadarchive.raw/RTDC4010/ "%USERPROFILE%\AppData\Local\Temp\OnboardLogs"\RTDC4010\2016-10-04 --exclude "*" --recursive --include "*20161004*" &amp; "%USERPROFILE%\Documents\GitHub\mrs-test-scripts\Headless Mode &amp; Sideloading\WalkAndUnGZ.bat" "%USERPROFILE%\AppData\Local\Temp\OnboardLogs"\RTDC4010\2016-10-04 &amp; aws s3 cp s3://rtdc.mdm.uploadarchive.raw/RTDC4010/ "%USERPROFILE%\AppData\Local\Temp\OnboardLogs"\RTDC4010\2016-10-05 --exclude "*" --recursive --include "*20161005*" &amp; "%USERPROFILE%\Documents\GitHub\mrs-test-scripts\Headless Mode &amp; Sideloading\WalkAndUnGZ.bat" "%USERPROFILE%\AppData\Local\Temp\OnboardLogs"\RTDC4010\2016-10-05</v>
      </c>
      <c r="AF240" s="92" t="str">
        <f>astrogrep_path&amp;" /spath="&amp;search_path&amp;" /stypes=""app*"&amp;B240&amp;"*"&amp;TEXT(I240-utc_offset/24,"YYYYMMDD")&amp;"*"" /stext="" "&amp;TEXT(I240-utc_offset/24,"HH")&amp;search_regexp&amp;""" /e /r /s"</f>
        <v>"C:\Program Files (x86)\AstroGrep\AstroGrep.exe" /spath="%USERPROFILE%\AppData\Local\Temp\OnboardLogs" /stypes="app*4010*20161004*" /stext=" 17:.+((SYSTEM_STATE.+slice.+state.+changed )|(ment ac)|(system.+state.+changed )|(\[timeout)|(PRM\|1\|D)|(kpr)|(kdp)|(\|lc)|(penalty))" /e /r /s</v>
      </c>
      <c r="AG240" s="1" t="str">
        <f>IFERROR(IF(VALUE(LEFT(AD240,2))&lt;=2,"EC",IF(OR(VALUE(LEFT(AD240,2))=8,VALUE(LEFT(AD240,2))=18),"NW","Other")),"Other")</f>
        <v>Other</v>
      </c>
      <c r="AH240" s="96" t="str">
        <f t="shared" si="9"/>
        <v>"%USERPROFILE%\Documents\GitHub\eaglep3\Utilities\RefineRTDCRunTimes.py" --tripid 62-04 --locoid 4010 --swversion DE.1.0.7.0 --startMP 300:42555 --initTime 2016-10-04T10:50:13 --startdatetime 2016-10-04T10:53:51 --delay 2 --endMP 204:500 --enddatetime 2016-10-04T11:11:31 --enforcementcount 0 &gt;&gt;C:\Users\stu\Documents\GitHub\eaglep3-reporting\EC\2016-10-04-refined-times.txt</v>
      </c>
      <c r="AI240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{"issue":{"subject":"","project_id":79,"tracker_id":40,"status_id":1,"priority_id":2,"assigned_to_id":23,"start_date":"2016-10-04","description":"","custom_fields":[{"id":1,"name":"Subdivision","value":"Other"},{"id":4,"name":"Milepost","value":"0.05"},{"id":17,"name":"Train ID","value":"62-04"},{"id":16,"name":"Locomotive ID","value":"4010"},{"id":130,"name":"Impact","value":""},{"id":150,"name":"Time of Event (Mountain Time)","value":"11:11:31"},{"id":151,"name":"Denver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55"/>
      <c r="AK240" s="55"/>
      <c r="AL240" s="55"/>
    </row>
    <row r="241" spans="1:38" x14ac:dyDescent="0.25">
      <c r="A241" s="39" t="s">
        <v>457</v>
      </c>
      <c r="B241" s="7">
        <v>4009</v>
      </c>
      <c r="C241" s="24" t="s">
        <v>106</v>
      </c>
      <c r="D241" s="24" t="s">
        <v>710</v>
      </c>
      <c r="E241" s="15">
        <v>42647.468124999999</v>
      </c>
      <c r="F241" s="15">
        <v>42647.474293981482</v>
      </c>
      <c r="G241" s="7">
        <v>7</v>
      </c>
      <c r="H241" s="15" t="s">
        <v>711</v>
      </c>
      <c r="I241" s="15">
        <v>42647.482719907406</v>
      </c>
      <c r="J241" s="7">
        <v>0</v>
      </c>
      <c r="K241" s="117" t="str">
        <f>IF(ISEVEN(B241),(B241-1)&amp;"/"&amp;B241,B241&amp;"/"&amp;(B241+1))</f>
        <v>4009/4010</v>
      </c>
      <c r="L241" s="24" t="str">
        <f>VLOOKUP(A241,'Trips&amp;Operators'!$C$1:$E$10000,3,FALSE)</f>
        <v>ARNOLD</v>
      </c>
      <c r="M241" s="6">
        <f>I241-F241</f>
        <v>8.4259259238024242E-3</v>
      </c>
      <c r="N241" s="7">
        <f>24*60*SUM($M241:$M241)</f>
        <v>12.133333330275491</v>
      </c>
      <c r="O241" s="7"/>
      <c r="P241" s="7"/>
      <c r="Q241" s="25"/>
      <c r="R241" s="25"/>
      <c r="S241" s="37">
        <f>SUM(U241:U241)/IF(AG241="EC",12,1)</f>
        <v>0</v>
      </c>
      <c r="T241" s="52" t="e">
        <f>IF(ISEVEN(LEFT(AD241,4)),"Southbound","NorthBound")</f>
        <v>#VALUE!</v>
      </c>
      <c r="U241" s="159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02" t="str">
        <f>"https://search-rtdc-monitor-bjffxe2xuh6vdkpspy63sjmuny.us-east-1.es.amazonaws.com/_plugin/kibana/#/discover/Steve-Slow-Train-Analysis-(2080s-and-2083s)?_g=(refreshInterval:(display:Off,section:0,value:0),time:(from:'"&amp;TEXT(E241-1/24,"yyyy-MM-DD hh:mm:ss")&amp;"-0600',mode:absolute,to:'"&amp;TEXT(I241+1/24,"yyyy-MM-DD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241&amp;"%22')),sort:!(Time,asc))"</f>
        <v>https://search-rtdc-monitor-bjffxe2xuh6vdkpspy63sjmuny.us-east-1.es.amazonaws.com/_plugin/kibana/#/discover/Steve-Slow-Train-Analysis-(2080s-and-2083s)?_g=(refreshInterval:(display:Off,section:0,value:0),time:(from:'2016-10-04 10:14:06-0600',mode:absolute,to:'2016-10-04 12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41" s="54" t="str">
        <f>IF(AA241&lt;IF(AG241="EC",23,5.65),"Y","N")</f>
        <v>Y</v>
      </c>
      <c r="X241" s="164" t="e">
        <f>VALUE(LEFT(AD241,4))-VALUE(LEFT(AD240,4))</f>
        <v>#VALUE!</v>
      </c>
      <c r="Y241" s="69">
        <f>RIGHT(D241,LEN(D241)-4)/10000</f>
        <v>8.3699999999999997E-2</v>
      </c>
      <c r="Z241" s="69">
        <f>RIGHT(H241,LEN(H241)-4)/10000</f>
        <v>4.2478999999999996</v>
      </c>
      <c r="AA241" s="69">
        <f>ABS(Z241-Y241)</f>
        <v>4.1641999999999992</v>
      </c>
      <c r="AB241" s="66" t="e">
        <f>VLOOKUP(A241,Enforcements!$C$7:$K$21,8,0)</f>
        <v>#N/A</v>
      </c>
      <c r="AC241" s="62" t="e">
        <f>VLOOKUP(A241,Enforcements!$C$7:$E$21,3,0)</f>
        <v>#N/A</v>
      </c>
      <c r="AD241" s="63" t="str">
        <f>IF(LEN(A241)=6,"0"&amp;A241,A241)</f>
        <v>63-04</v>
      </c>
      <c r="AE241" s="95" t="str">
        <f>"aws s3 cp "&amp;s3_bucket&amp;"/RTDC"&amp;B241&amp;"/ "&amp;search_path&amp;"\RTDC"&amp;B241&amp;"\"&amp;TEXT(F241,"YYYY-MM-DD")&amp;" --exclude ""*"" --recursive --include ""*"&amp;TEXT(F241,"YYYYMMDD")&amp;"*"" &amp; """&amp;walkandungz&amp;""" "&amp;search_path&amp;"\RTDC"&amp;B241&amp;"\"&amp;TEXT(F241,"YYYY-MM-DD")
&amp;" &amp; "&amp;"aws s3 cp "&amp;s3_bucket&amp;"/RTDC"&amp;B241&amp;"/ "&amp;search_path&amp;"\RTDC"&amp;B241&amp;"\"&amp;TEXT(F241+1,"YYYY-MM-DD")&amp;" --exclude ""*"" --recursive --include ""*"&amp;TEXT(F241+1,"YYYYMMDD")&amp;"*"" &amp; """&amp;walkandungz&amp;""" "&amp;search_path&amp;"\RTDC"&amp;B241&amp;"\"&amp;TEXT(F241+1,"YYYY-MM-DD")</f>
        <v>aws s3 cp s3://rtdc.mdm.uploadarchive.raw/RTDC4009/ "%USERPROFILE%\AppData\Local\Temp\OnboardLogs"\RTDC4009\2016-10-04 --exclude "*" --recursive --include "*20161004*" &amp; "%USERPROFILE%\Documents\GitHub\mrs-test-scripts\Headless Mode &amp; Sideloading\WalkAndUnGZ.bat" "%USERPROFILE%\AppData\Local\Temp\OnboardLogs"\RTDC4009\2016-10-04 &amp; aws s3 cp s3://rtdc.mdm.uploadarchive.raw/RTDC4009/ "%USERPROFILE%\AppData\Local\Temp\OnboardLogs"\RTDC4009\2016-10-05 --exclude "*" --recursive --include "*20161005*" &amp; "%USERPROFILE%\Documents\GitHub\mrs-test-scripts\Headless Mode &amp; Sideloading\WalkAndUnGZ.bat" "%USERPROFILE%\AppData\Local\Temp\OnboardLogs"\RTDC4009\2016-10-05</v>
      </c>
      <c r="AF241" s="92" t="str">
        <f>astrogrep_path&amp;" /spath="&amp;search_path&amp;" /stypes=""app*"&amp;B241&amp;"*"&amp;TEXT(I241-utc_offset/24,"YYYYMMDD")&amp;"*"" /stext="" "&amp;TEXT(I241-utc_offset/24,"HH")&amp;search_regexp&amp;""" /e /r /s"</f>
        <v>"C:\Program Files (x86)\AstroGrep\AstroGrep.exe" /spath="%USERPROFILE%\AppData\Local\Temp\OnboardLogs" /stypes="app*4009*20161004*" /stext=" 17:.+((SYSTEM_STATE.+slice.+state.+changed )|(ment ac)|(system.+state.+changed )|(\[timeout)|(PRM\|1\|D)|(kpr)|(kdp)|(\|lc)|(penalty))" /e /r /s</v>
      </c>
      <c r="AG241" s="1" t="str">
        <f>IFERROR(IF(VALUE(LEFT(AD241,2))&lt;=2,"EC",IF(OR(VALUE(LEFT(AD241,2))=8,VALUE(LEFT(AD241,2))=18),"NW","Other")),"Other")</f>
        <v>Other</v>
      </c>
      <c r="AH241" s="96" t="str">
        <f t="shared" si="9"/>
        <v>"%USERPROFILE%\Documents\GitHub\eaglep3\Utilities\RefineRTDCRunTimes.py" --tripid 63-04 --locoid 4009 --swversion DE.1.0.7.0 --startMP 204:837 --initTime 2016-10-04T11:14:06 --startdatetime 2016-10-04T11:22:59 --delay 7 --endMP 300:42479 --enddatetime 2016-10-04T11:35:07 --enforcementcount 0 &gt;&gt;C:\Users\stu\Documents\GitHub\eaglep3-reporting\EC\2016-10-04-refined-times.txt</v>
      </c>
      <c r="AI241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{"issue":{"subject":"","project_id":79,"tracker_id":40,"status_id":1,"priority_id":2,"assigned_to_id":23,"start_date":"2016-10-04","description":"","custom_fields":[{"id":1,"name":"Subdivision","value":"Other"},{"id":4,"name":"Milepost","value":"4.2479"},{"id":17,"name":"Train ID","value":"63-04"},{"id":16,"name":"Locomotive ID","value":"4009"},{"id":130,"name":"Impact","value":""},{"id":150,"name":"Time of Event (Mountain Time)","value":"11:35:07"},{"id":151,"name":"Denver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55"/>
      <c r="AK241" s="55"/>
      <c r="AL241" s="55"/>
    </row>
    <row r="242" spans="1:38" x14ac:dyDescent="0.25">
      <c r="A242" s="39" t="s">
        <v>457</v>
      </c>
      <c r="B242" s="7">
        <v>4009</v>
      </c>
      <c r="C242" s="24" t="s">
        <v>106</v>
      </c>
      <c r="D242" s="24" t="s">
        <v>712</v>
      </c>
      <c r="E242" s="15">
        <v>42647.468124999999</v>
      </c>
      <c r="F242" s="15">
        <v>42647.474293981482</v>
      </c>
      <c r="G242" s="7">
        <v>1</v>
      </c>
      <c r="H242" s="15" t="s">
        <v>711</v>
      </c>
      <c r="I242" s="15">
        <v>42647.482719907406</v>
      </c>
      <c r="J242" s="7">
        <v>0</v>
      </c>
      <c r="K242" s="117" t="str">
        <f>IF(ISEVEN(B242),(B242-1)&amp;"/"&amp;B242,B242&amp;"/"&amp;(B242+1))</f>
        <v>4009/4010</v>
      </c>
      <c r="L242" s="24" t="str">
        <f>VLOOKUP(A242,'Trips&amp;Operators'!$C$1:$E$10000,3,FALSE)</f>
        <v>ARNOLD</v>
      </c>
      <c r="M242" s="6">
        <f>I242-F242</f>
        <v>8.4259259238024242E-3</v>
      </c>
      <c r="N242" s="7">
        <f>24*60*SUM($M242:$M242)</f>
        <v>12.133333330275491</v>
      </c>
      <c r="O242" s="7"/>
      <c r="P242" s="7"/>
      <c r="Q242" s="25"/>
      <c r="R242" s="25"/>
      <c r="S242" s="37">
        <f>SUM(U242:U242)/IF(AG242="EC",12,1)</f>
        <v>0</v>
      </c>
      <c r="T242" s="52" t="e">
        <f>IF(ISEVEN(LEFT(AD242,4)),"Southbound","NorthBound")</f>
        <v>#VALUE!</v>
      </c>
      <c r="U242" s="159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02" t="str">
        <f>"https://search-rtdc-monitor-bjffxe2xuh6vdkpspy63sjmuny.us-east-1.es.amazonaws.com/_plugin/kibana/#/discover/Steve-Slow-Train-Analysis-(2080s-and-2083s)?_g=(refreshInterval:(display:Off,section:0,value:0),time:(from:'"&amp;TEXT(E242-1/24,"yyyy-MM-DD hh:mm:ss")&amp;"-0600',mode:absolute,to:'"&amp;TEXT(I242+1/24,"yyyy-MM-DD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242&amp;"%22')),sort:!(Time,asc))"</f>
        <v>https://search-rtdc-monitor-bjffxe2xuh6vdkpspy63sjmuny.us-east-1.es.amazonaws.com/_plugin/kibana/#/discover/Steve-Slow-Train-Analysis-(2080s-and-2083s)?_g=(refreshInterval:(display:Off,section:0,value:0),time:(from:'2016-10-04 10:14:06-0600',mode:absolute,to:'2016-10-04 12:35:07-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42" s="54" t="str">
        <f>IF(AA242&lt;IF(AG242="EC",23,5.65),"Y","N")</f>
        <v>Y</v>
      </c>
      <c r="X242" s="164" t="e">
        <f>VALUE(LEFT(AD242,4))-VALUE(LEFT(AD241,4))</f>
        <v>#VALUE!</v>
      </c>
      <c r="Y242" s="69">
        <f>RIGHT(D242,LEN(D242)-4)/10000</f>
        <v>8.48E-2</v>
      </c>
      <c r="Z242" s="69">
        <f>RIGHT(H242,LEN(H242)-4)/10000</f>
        <v>4.2478999999999996</v>
      </c>
      <c r="AA242" s="69">
        <f>ABS(Z242-Y242)</f>
        <v>4.1630999999999991</v>
      </c>
      <c r="AB242" s="66" t="e">
        <f>VLOOKUP(A242,Enforcements!$C$7:$K$21,8,0)</f>
        <v>#N/A</v>
      </c>
      <c r="AC242" s="62" t="e">
        <f>VLOOKUP(A242,Enforcements!$C$7:$E$21,3,0)</f>
        <v>#N/A</v>
      </c>
      <c r="AD242" s="63" t="str">
        <f>IF(LEN(A242)=6,"0"&amp;A242,A242)</f>
        <v>63-04</v>
      </c>
      <c r="AE242" s="95" t="str">
        <f>"aws s3 cp "&amp;s3_bucket&amp;"/RTDC"&amp;B242&amp;"/ "&amp;search_path&amp;"\RTDC"&amp;B242&amp;"\"&amp;TEXT(F242,"YYYY-MM-DD")&amp;" --exclude ""*"" --recursive --include ""*"&amp;TEXT(F242,"YYYYMMDD")&amp;"*"" &amp; """&amp;walkandungz&amp;""" "&amp;search_path&amp;"\RTDC"&amp;B242&amp;"\"&amp;TEXT(F242,"YYYY-MM-DD")
&amp;" &amp; "&amp;"aws s3 cp "&amp;s3_bucket&amp;"/RTDC"&amp;B242&amp;"/ "&amp;search_path&amp;"\RTDC"&amp;B242&amp;"\"&amp;TEXT(F242+1,"YYYY-MM-DD")&amp;" --exclude ""*"" --recursive --include ""*"&amp;TEXT(F242+1,"YYYYMMDD")&amp;"*"" &amp; """&amp;walkandungz&amp;""" "&amp;search_path&amp;"\RTDC"&amp;B242&amp;"\"&amp;TEXT(F242+1,"YYYY-MM-DD")</f>
        <v>aws s3 cp s3://rtdc.mdm.uploadarchive.raw/RTDC4009/ "%USERPROFILE%\AppData\Local\Temp\OnboardLogs"\RTDC4009\2016-10-04 --exclude "*" --recursive --include "*20161004*" &amp; "%USERPROFILE%\Documents\GitHub\mrs-test-scripts\Headless Mode &amp; Sideloading\WalkAndUnGZ.bat" "%USERPROFILE%\AppData\Local\Temp\OnboardLogs"\RTDC4009\2016-10-04 &amp; aws s3 cp s3://rtdc.mdm.uploadarchive.raw/RTDC4009/ "%USERPROFILE%\AppData\Local\Temp\OnboardLogs"\RTDC4009\2016-10-05 --exclude "*" --recursive --include "*20161005*" &amp; "%USERPROFILE%\Documents\GitHub\mrs-test-scripts\Headless Mode &amp; Sideloading\WalkAndUnGZ.bat" "%USERPROFILE%\AppData\Local\Temp\OnboardLogs"\RTDC4009\2016-10-05</v>
      </c>
      <c r="AF242" s="92" t="str">
        <f>astrogrep_path&amp;" /spath="&amp;search_path&amp;" /stypes=""app*"&amp;B242&amp;"*"&amp;TEXT(I242-utc_offset/24,"YYYYMMDD")&amp;"*"" /stext="" "&amp;TEXT(I242-utc_offset/24,"HH")&amp;search_regexp&amp;""" /e /r /s"</f>
        <v>"C:\Program Files (x86)\AstroGrep\AstroGrep.exe" /spath="%USERPROFILE%\AppData\Local\Temp\OnboardLogs" /stypes="app*4009*20161004*" /stext=" 17:.+((SYSTEM_STATE.+slice.+state.+changed )|(ment ac)|(system.+state.+changed )|(\[timeout)|(PRM\|1\|D)|(kpr)|(kdp)|(\|lc)|(penalty))" /e /r /s</v>
      </c>
      <c r="AG242" s="1" t="str">
        <f>IFERROR(IF(VALUE(LEFT(AD242,2))&lt;=2,"EC",IF(OR(VALUE(LEFT(AD242,2))=8,VALUE(LEFT(AD242,2))=18),"NW","Other")),"Other")</f>
        <v>Other</v>
      </c>
      <c r="AH242" s="96" t="str">
        <f t="shared" si="9"/>
        <v>"%USERPROFILE%\Documents\GitHub\eaglep3\Utilities\RefineRTDCRunTimes.py" --tripid 63-04 --locoid 4009 --swversion DE.1.0.7.0 --startMP 204:848 --initTime 2016-10-04T11:14:06 --startdatetime 2016-10-04T11:22:59 --delay 1 --endMP 300:42479 --enddatetime 2016-10-04T11:35:07 --enforcementcount 0 &gt;&gt;C:\Users\stu\Documents\GitHub\eaglep3-reporting\EC\2016-10-04-refined-times.txt</v>
      </c>
      <c r="AI242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{"issue":{"subject":"","project_id":79,"tracker_id":40,"status_id":1,"priority_id":2,"assigned_to_id":23,"start_date":"2016-10-04","description":"","custom_fields":[{"id":1,"name":"Subdivision","value":"Other"},{"id":4,"name":"Milepost","value":"4.2479"},{"id":17,"name":"Train ID","value":"63-04"},{"id":16,"name":"Locomotive ID","value":"4009"},{"id":130,"name":"Impact","value":""},{"id":150,"name":"Time of Event (Mountain Time)","value":"11:35:07"},{"id":151,"name":"Denver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55"/>
      <c r="AK242" s="55"/>
      <c r="AL242" s="55"/>
    </row>
    <row r="243" spans="1:38" x14ac:dyDescent="0.25">
      <c r="A243" s="39" t="s">
        <v>468</v>
      </c>
      <c r="B243" s="7">
        <v>4009</v>
      </c>
      <c r="C243" s="24" t="s">
        <v>106</v>
      </c>
      <c r="D243" s="24" t="s">
        <v>713</v>
      </c>
      <c r="E243" s="15">
        <v>42647.497511574074</v>
      </c>
      <c r="F243" s="15">
        <v>42647.500625000001</v>
      </c>
      <c r="G243" s="7">
        <v>1</v>
      </c>
      <c r="H243" s="15" t="s">
        <v>714</v>
      </c>
      <c r="I243" s="15">
        <v>42647.508564814816</v>
      </c>
      <c r="J243" s="7">
        <v>0</v>
      </c>
      <c r="K243" s="117" t="str">
        <f>IF(ISEVEN(B243),(B243-1)&amp;"/"&amp;B243,B243&amp;"/"&amp;(B243+1))</f>
        <v>4009/4010</v>
      </c>
      <c r="L243" s="24" t="str">
        <f>VLOOKUP(A243,'Trips&amp;Operators'!$C$1:$E$10000,3,FALSE)</f>
        <v>ARNOLD</v>
      </c>
      <c r="M243" s="6">
        <f>I243-F243</f>
        <v>7.9398148154723458E-3</v>
      </c>
      <c r="N243" s="7">
        <f>24*60*SUM($M243:$M243)</f>
        <v>11.433333334280178</v>
      </c>
      <c r="O243" s="7"/>
      <c r="P243" s="7"/>
      <c r="Q243" s="25"/>
      <c r="R243" s="25"/>
      <c r="S243" s="37">
        <f>SUM(U243:U243)/IF(AG243="EC",12,1)</f>
        <v>0</v>
      </c>
      <c r="T243" s="52" t="e">
        <f>IF(ISEVEN(LEFT(AD243,4)),"Southbound","NorthBound")</f>
        <v>#VALUE!</v>
      </c>
      <c r="U243" s="159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02" t="str">
        <f>"https://search-rtdc-monitor-bjffxe2xuh6vdkpspy63sjmuny.us-east-1.es.amazonaws.com/_plugin/kibana/#/discover/Steve-Slow-Train-Analysis-(2080s-and-2083s)?_g=(refreshInterval:(display:Off,section:0,value:0),time:(from:'"&amp;TEXT(E243-1/24,"yyyy-MM-DD hh:mm:ss")&amp;"-0600',mode:absolute,to:'"&amp;TEXT(I243+1/24,"yyyy-MM-DD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243&amp;"%22')),sort:!(Time,asc))"</f>
        <v>https://search-rtdc-monitor-bjffxe2xuh6vdkpspy63sjmuny.us-east-1.es.amazonaws.com/_plugin/kibana/#/discover/Steve-Slow-Train-Analysis-(2080s-and-2083s)?_g=(refreshInterval:(display:Off,section:0,value:0),time:(from:'2016-10-04 10:56:25-0600',mode:absolute,to:'2016-10-04 13:12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43" s="54" t="str">
        <f>IF(AA243&lt;IF(AG243="EC",23,5.65),"Y","N")</f>
        <v>Y</v>
      </c>
      <c r="X243" s="164" t="e">
        <f>VALUE(LEFT(AD243,4))-VALUE(LEFT(AD242,4))</f>
        <v>#VALUE!</v>
      </c>
      <c r="Y243" s="69">
        <f>RIGHT(D243,LEN(D243)-4)/10000</f>
        <v>8.3299999999999999E-2</v>
      </c>
      <c r="Z243" s="69">
        <f>RIGHT(H243,LEN(H243)-4)/10000</f>
        <v>4.2641999999999998</v>
      </c>
      <c r="AA243" s="69">
        <f>ABS(Z243-Y243)</f>
        <v>4.1808999999999994</v>
      </c>
      <c r="AB243" s="66" t="e">
        <f>VLOOKUP(A243,Enforcements!$C$7:$K$21,8,0)</f>
        <v>#N/A</v>
      </c>
      <c r="AC243" s="62" t="e">
        <f>VLOOKUP(A243,Enforcements!$C$7:$E$21,3,0)</f>
        <v>#N/A</v>
      </c>
      <c r="AD243" s="63" t="str">
        <f>IF(LEN(A243)=6,"0"&amp;A243,A243)</f>
        <v>65-04</v>
      </c>
      <c r="AE243" s="95" t="str">
        <f>"aws s3 cp "&amp;s3_bucket&amp;"/RTDC"&amp;B243&amp;"/ "&amp;search_path&amp;"\RTDC"&amp;B243&amp;"\"&amp;TEXT(F243,"YYYY-MM-DD")&amp;" --exclude ""*"" --recursive --include ""*"&amp;TEXT(F243,"YYYYMMDD")&amp;"*"" &amp; """&amp;walkandungz&amp;""" "&amp;search_path&amp;"\RTDC"&amp;B243&amp;"\"&amp;TEXT(F243,"YYYY-MM-DD")
&amp;" &amp; "&amp;"aws s3 cp "&amp;s3_bucket&amp;"/RTDC"&amp;B243&amp;"/ "&amp;search_path&amp;"\RTDC"&amp;B243&amp;"\"&amp;TEXT(F243+1,"YYYY-MM-DD")&amp;" --exclude ""*"" --recursive --include ""*"&amp;TEXT(F243+1,"YYYYMMDD")&amp;"*"" &amp; """&amp;walkandungz&amp;""" "&amp;search_path&amp;"\RTDC"&amp;B243&amp;"\"&amp;TEXT(F243+1,"YYYY-MM-DD")</f>
        <v>aws s3 cp s3://rtdc.mdm.uploadarchive.raw/RTDC4009/ "%USERPROFILE%\AppData\Local\Temp\OnboardLogs"\RTDC4009\2016-10-04 --exclude "*" --recursive --include "*20161004*" &amp; "%USERPROFILE%\Documents\GitHub\mrs-test-scripts\Headless Mode &amp; Sideloading\WalkAndUnGZ.bat" "%USERPROFILE%\AppData\Local\Temp\OnboardLogs"\RTDC4009\2016-10-04 &amp; aws s3 cp s3://rtdc.mdm.uploadarchive.raw/RTDC4009/ "%USERPROFILE%\AppData\Local\Temp\OnboardLogs"\RTDC4009\2016-10-05 --exclude "*" --recursive --include "*20161005*" &amp; "%USERPROFILE%\Documents\GitHub\mrs-test-scripts\Headless Mode &amp; Sideloading\WalkAndUnGZ.bat" "%USERPROFILE%\AppData\Local\Temp\OnboardLogs"\RTDC4009\2016-10-05</v>
      </c>
      <c r="AF243" s="92" t="str">
        <f>astrogrep_path&amp;" /spath="&amp;search_path&amp;" /stypes=""app*"&amp;B243&amp;"*"&amp;TEXT(I243-utc_offset/24,"YYYYMMDD")&amp;"*"" /stext="" "&amp;TEXT(I243-utc_offset/24,"HH")&amp;search_regexp&amp;""" /e /r /s"</f>
        <v>"C:\Program Files (x86)\AstroGrep\AstroGrep.exe" /spath="%USERPROFILE%\AppData\Local\Temp\OnboardLogs" /stypes="app*4009*20161004*" /stext=" 18:.+((SYSTEM_STATE.+slice.+state.+changed )|(ment ac)|(system.+state.+changed )|(\[timeout)|(PRM\|1\|D)|(kpr)|(kdp)|(\|lc)|(penalty))" /e /r /s</v>
      </c>
      <c r="AG243" s="1" t="str">
        <f>IFERROR(IF(VALUE(LEFT(AD243,2))&lt;=2,"EC",IF(OR(VALUE(LEFT(AD243,2))=8,VALUE(LEFT(AD243,2))=18),"NW","Other")),"Other")</f>
        <v>Other</v>
      </c>
      <c r="AH243" s="96" t="str">
        <f t="shared" si="9"/>
        <v>"%USERPROFILE%\Documents\GitHub\eaglep3\Utilities\RefineRTDCRunTimes.py" --tripid 65-04 --locoid 4009 --swversion DE.1.0.7.0 --startMP 204:833 --initTime 2016-10-04T11:56:25 --startdatetime 2016-10-04T12:00:54 --delay 1 --endMP 300:42642 --enddatetime 2016-10-04T12:12:20 --enforcementcount 0 &gt;&gt;C:\Users\stu\Documents\GitHub\eaglep3-reporting\EC\2016-10-04-refined-times.txt</v>
      </c>
      <c r="AI243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{"issue":{"subject":"","project_id":79,"tracker_id":40,"status_id":1,"priority_id":2,"assigned_to_id":23,"start_date":"2016-10-04","description":"","custom_fields":[{"id":1,"name":"Subdivision","value":"Other"},{"id":4,"name":"Milepost","value":"4.2642"},{"id":17,"name":"Train ID","value":"65-04"},{"id":16,"name":"Locomotive ID","value":"4009"},{"id":130,"name":"Impact","value":""},{"id":150,"name":"Time of Event (Mountain Time)","value":"12:12:20"},{"id":151,"name":"Denver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55"/>
      <c r="AK243" s="55"/>
      <c r="AL243" s="55"/>
    </row>
    <row r="244" spans="1:38" x14ac:dyDescent="0.25">
      <c r="A244" s="39" t="s">
        <v>471</v>
      </c>
      <c r="B244" s="7">
        <v>4010</v>
      </c>
      <c r="C244" s="24" t="s">
        <v>106</v>
      </c>
      <c r="D244" s="24" t="s">
        <v>715</v>
      </c>
      <c r="E244" s="15">
        <v>42647.509976851848</v>
      </c>
      <c r="F244" s="15">
        <v>42647.512685185182</v>
      </c>
      <c r="G244" s="7">
        <v>2</v>
      </c>
      <c r="H244" s="15" t="s">
        <v>716</v>
      </c>
      <c r="I244" s="15">
        <v>42647.523148148146</v>
      </c>
      <c r="J244" s="7">
        <v>0</v>
      </c>
      <c r="K244" s="117" t="str">
        <f>IF(ISEVEN(B244),(B244-1)&amp;"/"&amp;B244,B244&amp;"/"&amp;(B244+1))</f>
        <v>4009/4010</v>
      </c>
      <c r="L244" s="24" t="str">
        <f>VLOOKUP(A244,'Trips&amp;Operators'!$C$1:$E$10000,3,FALSE)</f>
        <v>ARNOLD</v>
      </c>
      <c r="M244" s="6">
        <f>I244-F244</f>
        <v>1.0462962964083999E-2</v>
      </c>
      <c r="N244" s="7">
        <f>24*60*SUM($M244:$M244)</f>
        <v>15.066666668280959</v>
      </c>
      <c r="O244" s="7"/>
      <c r="P244" s="7"/>
      <c r="Q244" s="25"/>
      <c r="R244" s="25"/>
      <c r="S244" s="37">
        <f>SUM(U244:U244)/IF(AG244="EC",12,1)</f>
        <v>0</v>
      </c>
      <c r="T244" s="52" t="e">
        <f>IF(ISEVEN(LEFT(AD244,4)),"Southbound","NorthBound")</f>
        <v>#VALUE!</v>
      </c>
      <c r="U244" s="159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02" t="str">
        <f>"https://search-rtdc-monitor-bjffxe2xuh6vdkpspy63sjmuny.us-east-1.es.amazonaws.com/_plugin/kibana/#/discover/Steve-Slow-Train-Analysis-(2080s-and-2083s)?_g=(refreshInterval:(display:Off,section:0,value:0),time:(from:'"&amp;TEXT(E244-1/24,"yyyy-MM-DD hh:mm:ss")&amp;"-0600',mode:absolute,to:'"&amp;TEXT(I244+1/24,"yyyy-MM-DD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244&amp;"%22')),sort:!(Time,asc))"</f>
        <v>https://search-rtdc-monitor-bjffxe2xuh6vdkpspy63sjmuny.us-east-1.es.amazonaws.com/_plugin/kibana/#/discover/Steve-Slow-Train-Analysis-(2080s-and-2083s)?_g=(refreshInterval:(display:Off,section:0,value:0),time:(from:'2016-10-04 11:14:22-0600',mode:absolute,to:'2016-10-04 13:33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44" s="54" t="str">
        <f>IF(AA244&lt;IF(AG244="EC",23,5.65),"Y","N")</f>
        <v>Y</v>
      </c>
      <c r="X244" s="164" t="e">
        <f>VALUE(LEFT(AD244,4))-VALUE(LEFT(AD243,4))</f>
        <v>#VALUE!</v>
      </c>
      <c r="Y244" s="69">
        <f>RIGHT(D244,LEN(D244)-4)/10000</f>
        <v>4.2305000000000001</v>
      </c>
      <c r="Z244" s="69">
        <f>RIGHT(H244,LEN(H244)-4)/10000</f>
        <v>1.55E-2</v>
      </c>
      <c r="AA244" s="69">
        <f>ABS(Z244-Y244)</f>
        <v>4.2149999999999999</v>
      </c>
      <c r="AB244" s="66" t="e">
        <f>VLOOKUP(A244,Enforcements!$C$7:$K$21,8,0)</f>
        <v>#N/A</v>
      </c>
      <c r="AC244" s="62" t="e">
        <f>VLOOKUP(A244,Enforcements!$C$7:$E$21,3,0)</f>
        <v>#N/A</v>
      </c>
      <c r="AD244" s="63" t="str">
        <f>IF(LEN(A244)=6,"0"&amp;A244,A244)</f>
        <v>66-04</v>
      </c>
      <c r="AE244" s="95" t="str">
        <f>"aws s3 cp "&amp;s3_bucket&amp;"/RTDC"&amp;B244&amp;"/ "&amp;search_path&amp;"\RTDC"&amp;B244&amp;"\"&amp;TEXT(F244,"YYYY-MM-DD")&amp;" --exclude ""*"" --recursive --include ""*"&amp;TEXT(F244,"YYYYMMDD")&amp;"*"" &amp; """&amp;walkandungz&amp;""" "&amp;search_path&amp;"\RTDC"&amp;B244&amp;"\"&amp;TEXT(F244,"YYYY-MM-DD")
&amp;" &amp; "&amp;"aws s3 cp "&amp;s3_bucket&amp;"/RTDC"&amp;B244&amp;"/ "&amp;search_path&amp;"\RTDC"&amp;B244&amp;"\"&amp;TEXT(F244+1,"YYYY-MM-DD")&amp;" --exclude ""*"" --recursive --include ""*"&amp;TEXT(F244+1,"YYYYMMDD")&amp;"*"" &amp; """&amp;walkandungz&amp;""" "&amp;search_path&amp;"\RTDC"&amp;B244&amp;"\"&amp;TEXT(F244+1,"YYYY-MM-DD")</f>
        <v>aws s3 cp s3://rtdc.mdm.uploadarchive.raw/RTDC4010/ "%USERPROFILE%\AppData\Local\Temp\OnboardLogs"\RTDC4010\2016-10-04 --exclude "*" --recursive --include "*20161004*" &amp; "%USERPROFILE%\Documents\GitHub\mrs-test-scripts\Headless Mode &amp; Sideloading\WalkAndUnGZ.bat" "%USERPROFILE%\AppData\Local\Temp\OnboardLogs"\RTDC4010\2016-10-04 &amp; aws s3 cp s3://rtdc.mdm.uploadarchive.raw/RTDC4010/ "%USERPROFILE%\AppData\Local\Temp\OnboardLogs"\RTDC4010\2016-10-05 --exclude "*" --recursive --include "*20161005*" &amp; "%USERPROFILE%\Documents\GitHub\mrs-test-scripts\Headless Mode &amp; Sideloading\WalkAndUnGZ.bat" "%USERPROFILE%\AppData\Local\Temp\OnboardLogs"\RTDC4010\2016-10-05</v>
      </c>
      <c r="AF244" s="92" t="str">
        <f>astrogrep_path&amp;" /spath="&amp;search_path&amp;" /stypes=""app*"&amp;B244&amp;"*"&amp;TEXT(I244-utc_offset/24,"YYYYMMDD")&amp;"*"" /stext="" "&amp;TEXT(I244-utc_offset/24,"HH")&amp;search_regexp&amp;""" /e /r /s"</f>
        <v>"C:\Program Files (x86)\AstroGrep\AstroGrep.exe" /spath="%USERPROFILE%\AppData\Local\Temp\OnboardLogs" /stypes="app*4010*20161004*" /stext=" 18:.+((SYSTEM_STATE.+slice.+state.+changed )|(ment ac)|(system.+state.+changed )|(\[timeout)|(PRM\|1\|D)|(kpr)|(kdp)|(\|lc)|(penalty))" /e /r /s</v>
      </c>
      <c r="AG244" s="1" t="str">
        <f>IFERROR(IF(VALUE(LEFT(AD244,2))&lt;=2,"EC",IF(OR(VALUE(LEFT(AD244,2))=8,VALUE(LEFT(AD244,2))=18),"NW","Other")),"Other")</f>
        <v>Other</v>
      </c>
      <c r="AH244" s="96" t="str">
        <f t="shared" si="9"/>
        <v>"%USERPROFILE%\Documents\GitHub\eaglep3\Utilities\RefineRTDCRunTimes.py" --tripid 66-04 --locoid 4010 --swversion DE.1.0.7.0 --startMP 300:42305 --initTime 2016-10-04T12:14:22 --startdatetime 2016-10-04T12:18:16 --delay 2 --endMP 204:155 --enddatetime 2016-10-04T12:33:20 --enforcementcount 0 &gt;&gt;C:\Users\stu\Documents\GitHub\eaglep3-reporting\EC\2016-10-04-refined-times.txt</v>
      </c>
      <c r="AI244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{"issue":{"subject":"","project_id":79,"tracker_id":40,"status_id":1,"priority_id":2,"assigned_to_id":23,"start_date":"2016-10-04","description":"","custom_fields":[{"id":1,"name":"Subdivision","value":"Other"},{"id":4,"name":"Milepost","value":"0.0155"},{"id":17,"name":"Train ID","value":"66-04"},{"id":16,"name":"Locomotive ID","value":"4010"},{"id":130,"name":"Impact","value":""},{"id":150,"name":"Time of Event (Mountain Time)","value":"12:33:20"},{"id":151,"name":"Denver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55"/>
      <c r="AK244" s="55"/>
      <c r="AL244" s="55"/>
    </row>
    <row r="245" spans="1:38" x14ac:dyDescent="0.25">
      <c r="A245" s="39" t="s">
        <v>485</v>
      </c>
      <c r="B245" s="7">
        <v>4009</v>
      </c>
      <c r="C245" s="24" t="s">
        <v>106</v>
      </c>
      <c r="D245" s="24" t="s">
        <v>201</v>
      </c>
      <c r="E245" s="15">
        <v>42647.55127314815</v>
      </c>
      <c r="F245" s="15">
        <v>42647.553749999999</v>
      </c>
      <c r="G245" s="7">
        <v>3</v>
      </c>
      <c r="H245" s="15" t="s">
        <v>717</v>
      </c>
      <c r="I245" s="15">
        <v>42647.567766203705</v>
      </c>
      <c r="J245" s="7">
        <v>0</v>
      </c>
      <c r="K245" s="117" t="str">
        <f>IF(ISEVEN(B245),(B245-1)&amp;"/"&amp;B245,B245&amp;"/"&amp;(B245+1))</f>
        <v>4009/4010</v>
      </c>
      <c r="L245" s="24" t="str">
        <f>VLOOKUP(A245,'Trips&amp;Operators'!$C$1:$E$10000,3,FALSE)</f>
        <v>ARNOLD</v>
      </c>
      <c r="M245" s="6">
        <f>I245-F245</f>
        <v>1.4016203705978114E-2</v>
      </c>
      <c r="N245" s="7">
        <f>24*60*SUM($M245:$M245)</f>
        <v>20.183333336608484</v>
      </c>
      <c r="O245" s="7"/>
      <c r="P245" s="7"/>
      <c r="Q245" s="25"/>
      <c r="R245" s="25"/>
      <c r="S245" s="37">
        <f>SUM(U245:U245)/IF(AG245="EC",12,1)</f>
        <v>0</v>
      </c>
      <c r="T245" s="52" t="e">
        <f>IF(ISEVEN(LEFT(AD245,4)),"Southbound","NorthBound")</f>
        <v>#VALUE!</v>
      </c>
      <c r="U245" s="159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02" t="str">
        <f>"https://search-rtdc-monitor-bjffxe2xuh6vdkpspy63sjmuny.us-east-1.es.amazonaws.com/_plugin/kibana/#/discover/Steve-Slow-Train-Analysis-(2080s-and-2083s)?_g=(refreshInterval:(display:Off,section:0,value:0),time:(from:'"&amp;TEXT(E245-1/24,"yyyy-MM-DD hh:mm:ss")&amp;"-0600',mode:absolute,to:'"&amp;TEXT(I245+1/24,"yyyy-MM-DD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245&amp;"%22')),sort:!(Time,asc))"</f>
        <v>https://search-rtdc-monitor-bjffxe2xuh6vdkpspy63sjmuny.us-east-1.es.amazonaws.com/_plugin/kibana/#/discover/Steve-Slow-Train-Analysis-(2080s-and-2083s)?_g=(refreshInterval:(display:Off,section:0,value:0),time:(from:'2016-10-04 12:13:50-0600',mode:absolute,to:'2016-10-04 14:37:35-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45" s="54" t="str">
        <f>IF(AA245&lt;IF(AG245="EC",23,5.65),"Y","N")</f>
        <v>Y</v>
      </c>
      <c r="X245" s="164" t="e">
        <f>VALUE(LEFT(AD245,4))-VALUE(LEFT(AD244,4))</f>
        <v>#VALUE!</v>
      </c>
      <c r="Y245" s="69">
        <f>RIGHT(D245,LEN(D245)-4)/10000</f>
        <v>4.6600000000000003E-2</v>
      </c>
      <c r="Z245" s="69">
        <f>RIGHT(H245,LEN(H245)-4)/10000</f>
        <v>4.2897999999999996</v>
      </c>
      <c r="AA245" s="69">
        <f>ABS(Z245-Y245)</f>
        <v>4.2431999999999999</v>
      </c>
      <c r="AB245" s="66" t="e">
        <f>VLOOKUP(A245,Enforcements!$C$7:$K$21,8,0)</f>
        <v>#N/A</v>
      </c>
      <c r="AC245" s="62" t="e">
        <f>VLOOKUP(A245,Enforcements!$C$7:$E$21,3,0)</f>
        <v>#N/A</v>
      </c>
      <c r="AD245" s="63" t="str">
        <f>IF(LEN(A245)=6,"0"&amp;A245,A245)</f>
        <v>67-04</v>
      </c>
      <c r="AE245" s="95" t="str">
        <f>"aws s3 cp "&amp;s3_bucket&amp;"/RTDC"&amp;B245&amp;"/ "&amp;search_path&amp;"\RTDC"&amp;B245&amp;"\"&amp;TEXT(F245,"YYYY-MM-DD")&amp;" --exclude ""*"" --recursive --include ""*"&amp;TEXT(F245,"YYYYMMDD")&amp;"*"" &amp; """&amp;walkandungz&amp;""" "&amp;search_path&amp;"\RTDC"&amp;B245&amp;"\"&amp;TEXT(F245,"YYYY-MM-DD")
&amp;" &amp; "&amp;"aws s3 cp "&amp;s3_bucket&amp;"/RTDC"&amp;B245&amp;"/ "&amp;search_path&amp;"\RTDC"&amp;B245&amp;"\"&amp;TEXT(F245+1,"YYYY-MM-DD")&amp;" --exclude ""*"" --recursive --include ""*"&amp;TEXT(F245+1,"YYYYMMDD")&amp;"*"" &amp; """&amp;walkandungz&amp;""" "&amp;search_path&amp;"\RTDC"&amp;B245&amp;"\"&amp;TEXT(F245+1,"YYYY-MM-DD")</f>
        <v>aws s3 cp s3://rtdc.mdm.uploadarchive.raw/RTDC4009/ "%USERPROFILE%\AppData\Local\Temp\OnboardLogs"\RTDC4009\2016-10-04 --exclude "*" --recursive --include "*20161004*" &amp; "%USERPROFILE%\Documents\GitHub\mrs-test-scripts\Headless Mode &amp; Sideloading\WalkAndUnGZ.bat" "%USERPROFILE%\AppData\Local\Temp\OnboardLogs"\RTDC4009\2016-10-04 &amp; aws s3 cp s3://rtdc.mdm.uploadarchive.raw/RTDC4009/ "%USERPROFILE%\AppData\Local\Temp\OnboardLogs"\RTDC4009\2016-10-05 --exclude "*" --recursive --include "*20161005*" &amp; "%USERPROFILE%\Documents\GitHub\mrs-test-scripts\Headless Mode &amp; Sideloading\WalkAndUnGZ.bat" "%USERPROFILE%\AppData\Local\Temp\OnboardLogs"\RTDC4009\2016-10-05</v>
      </c>
      <c r="AF245" s="92" t="str">
        <f>astrogrep_path&amp;" /spath="&amp;search_path&amp;" /stypes=""app*"&amp;B245&amp;"*"&amp;TEXT(I245-utc_offset/24,"YYYYMMDD")&amp;"*"" /stext="" "&amp;TEXT(I245-utc_offset/24,"HH")&amp;search_regexp&amp;""" /e /r /s"</f>
        <v>"C:\Program Files (x86)\AstroGrep\AstroGrep.exe" /spath="%USERPROFILE%\AppData\Local\Temp\OnboardLogs" /stypes="app*4009*20161004*" /stext=" 19:.+((SYSTEM_STATE.+slice.+state.+changed )|(ment ac)|(system.+state.+changed )|(\[timeout)|(PRM\|1\|D)|(kpr)|(kdp)|(\|lc)|(penalty))" /e /r /s</v>
      </c>
      <c r="AG245" s="1" t="str">
        <f>IFERROR(IF(VALUE(LEFT(AD245,2))&lt;=2,"EC",IF(OR(VALUE(LEFT(AD245,2))=8,VALUE(LEFT(AD245,2))=18),"NW","Other")),"Other")</f>
        <v>Other</v>
      </c>
      <c r="AH245" s="96" t="str">
        <f t="shared" si="9"/>
        <v>"%USERPROFILE%\Documents\GitHub\eaglep3\Utilities\RefineRTDCRunTimes.py" --tripid 67-04 --locoid 4009 --swversion DE.1.0.7.0 --startMP 204:466 --initTime 2016-10-04T13:13:50 --startdatetime 2016-10-04T13:17:24 --delay 3 --endMP 300:42898 --enddatetime 2016-10-04T13:37:35 --enforcementcount 0 &gt;&gt;C:\Users\stu\Documents\GitHub\eaglep3-reporting\EC\2016-10-04-refined-times.txt</v>
      </c>
      <c r="AI245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{"issue":{"subject":"","project_id":79,"tracker_id":40,"status_id":1,"priority_id":2,"assigned_to_id":23,"start_date":"2016-10-04","description":"","custom_fields":[{"id":1,"name":"Subdivision","value":"Other"},{"id":4,"name":"Milepost","value":"4.2898"},{"id":17,"name":"Train ID","value":"67-04"},{"id":16,"name":"Locomotive ID","value":"4009"},{"id":130,"name":"Impact","value":""},{"id":150,"name":"Time of Event (Mountain Time)","value":"13:37:35"},{"id":151,"name":"Denver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55"/>
      <c r="AK245" s="55"/>
      <c r="AL245" s="55"/>
    </row>
    <row r="246" spans="1:38" x14ac:dyDescent="0.25">
      <c r="A246" s="39" t="s">
        <v>491</v>
      </c>
      <c r="B246" s="7">
        <v>4009</v>
      </c>
      <c r="C246" s="24" t="s">
        <v>106</v>
      </c>
      <c r="D246" s="24" t="s">
        <v>196</v>
      </c>
      <c r="E246" s="15">
        <v>42647.583425925928</v>
      </c>
      <c r="F246" s="15">
        <v>42647.586273148147</v>
      </c>
      <c r="G246" s="7">
        <v>2</v>
      </c>
      <c r="H246" s="15" t="s">
        <v>718</v>
      </c>
      <c r="I246" s="15">
        <v>42647.594965277778</v>
      </c>
      <c r="J246" s="7">
        <v>0</v>
      </c>
      <c r="K246" s="117" t="str">
        <f>IF(ISEVEN(B246),(B246-1)&amp;"/"&amp;B246,B246&amp;"/"&amp;(B246+1))</f>
        <v>4009/4010</v>
      </c>
      <c r="L246" s="24" t="str">
        <f>VLOOKUP(A246,'Trips&amp;Operators'!$C$1:$E$10000,3,FALSE)</f>
        <v>ARNOLD</v>
      </c>
      <c r="M246" s="6">
        <f>I246-F246</f>
        <v>8.6921296315267682E-3</v>
      </c>
      <c r="N246" s="7">
        <f>24*60*SUM($M246:$M246)</f>
        <v>12.516666669398546</v>
      </c>
      <c r="O246" s="7"/>
      <c r="P246" s="7"/>
      <c r="Q246" s="25"/>
      <c r="R246" s="25"/>
      <c r="S246" s="37">
        <f>SUM(U246:U246)/IF(AG246="EC",12,1)</f>
        <v>0</v>
      </c>
      <c r="T246" s="52" t="e">
        <f>IF(ISEVEN(LEFT(AD246,4)),"Southbound","NorthBound")</f>
        <v>#VALUE!</v>
      </c>
      <c r="U246" s="159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02" t="str">
        <f>"https://search-rtdc-monitor-bjffxe2xuh6vdkpspy63sjmuny.us-east-1.es.amazonaws.com/_plugin/kibana/#/discover/Steve-Slow-Train-Analysis-(2080s-and-2083s)?_g=(refreshInterval:(display:Off,section:0,value:0),time:(from:'"&amp;TEXT(E246-1/24,"yyyy-MM-DD hh:mm:ss")&amp;"-0600',mode:absolute,to:'"&amp;TEXT(I246+1/24,"yyyy-MM-DD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246&amp;"%22')),sort:!(Time,asc))"</f>
        <v>https://search-rtdc-monitor-bjffxe2xuh6vdkpspy63sjmuny.us-east-1.es.amazonaws.com/_plugin/kibana/#/discover/Steve-Slow-Train-Analysis-(2080s-and-2083s)?_g=(refreshInterval:(display:Off,section:0,value:0),time:(from:'2016-10-04 13:00:08-0600',mode:absolute,to:'2016-10-04 15:16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46" s="54" t="str">
        <f>IF(AA246&lt;IF(AG246="EC",23,5.65),"Y","N")</f>
        <v>Y</v>
      </c>
      <c r="X246" s="164" t="e">
        <f>VALUE(LEFT(AD246,4))-VALUE(LEFT(AD245,4))</f>
        <v>#VALUE!</v>
      </c>
      <c r="Y246" s="69">
        <f>RIGHT(D246,LEN(D246)-4)/10000</f>
        <v>4.53E-2</v>
      </c>
      <c r="Z246" s="69">
        <f>RIGHT(H246,LEN(H246)-4)/10000</f>
        <v>4.2468000000000004</v>
      </c>
      <c r="AA246" s="69">
        <f>ABS(Z246-Y246)</f>
        <v>4.2015000000000002</v>
      </c>
      <c r="AB246" s="66" t="e">
        <f>VLOOKUP(A246,Enforcements!$C$7:$K$21,8,0)</f>
        <v>#N/A</v>
      </c>
      <c r="AC246" s="62" t="e">
        <f>VLOOKUP(A246,Enforcements!$C$7:$E$21,3,0)</f>
        <v>#N/A</v>
      </c>
      <c r="AD246" s="63" t="str">
        <f>IF(LEN(A246)=6,"0"&amp;A246,A246)</f>
        <v>68-04</v>
      </c>
      <c r="AE246" s="95" t="str">
        <f>"aws s3 cp "&amp;s3_bucket&amp;"/RTDC"&amp;B246&amp;"/ "&amp;search_path&amp;"\RTDC"&amp;B246&amp;"\"&amp;TEXT(F246,"YYYY-MM-DD")&amp;" --exclude ""*"" --recursive --include ""*"&amp;TEXT(F246,"YYYYMMDD")&amp;"*"" &amp; """&amp;walkandungz&amp;""" "&amp;search_path&amp;"\RTDC"&amp;B246&amp;"\"&amp;TEXT(F246,"YYYY-MM-DD")
&amp;" &amp; "&amp;"aws s3 cp "&amp;s3_bucket&amp;"/RTDC"&amp;B246&amp;"/ "&amp;search_path&amp;"\RTDC"&amp;B246&amp;"\"&amp;TEXT(F246+1,"YYYY-MM-DD")&amp;" --exclude ""*"" --recursive --include ""*"&amp;TEXT(F246+1,"YYYYMMDD")&amp;"*"" &amp; """&amp;walkandungz&amp;""" "&amp;search_path&amp;"\RTDC"&amp;B246&amp;"\"&amp;TEXT(F246+1,"YYYY-MM-DD")</f>
        <v>aws s3 cp s3://rtdc.mdm.uploadarchive.raw/RTDC4009/ "%USERPROFILE%\AppData\Local\Temp\OnboardLogs"\RTDC4009\2016-10-04 --exclude "*" --recursive --include "*20161004*" &amp; "%USERPROFILE%\Documents\GitHub\mrs-test-scripts\Headless Mode &amp; Sideloading\WalkAndUnGZ.bat" "%USERPROFILE%\AppData\Local\Temp\OnboardLogs"\RTDC4009\2016-10-04 &amp; aws s3 cp s3://rtdc.mdm.uploadarchive.raw/RTDC4009/ "%USERPROFILE%\AppData\Local\Temp\OnboardLogs"\RTDC4009\2016-10-05 --exclude "*" --recursive --include "*20161005*" &amp; "%USERPROFILE%\Documents\GitHub\mrs-test-scripts\Headless Mode &amp; Sideloading\WalkAndUnGZ.bat" "%USERPROFILE%\AppData\Local\Temp\OnboardLogs"\RTDC4009\2016-10-05</v>
      </c>
      <c r="AF246" s="92" t="str">
        <f>astrogrep_path&amp;" /spath="&amp;search_path&amp;" /stypes=""app*"&amp;B246&amp;"*"&amp;TEXT(I246-utc_offset/24,"YYYYMMDD")&amp;"*"" /stext="" "&amp;TEXT(I246-utc_offset/24,"HH")&amp;search_regexp&amp;""" /e /r /s"</f>
        <v>"C:\Program Files (x86)\AstroGrep\AstroGrep.exe" /spath="%USERPROFILE%\AppData\Local\Temp\OnboardLogs" /stypes="app*4009*20161004*" /stext=" 20:.+((SYSTEM_STATE.+slice.+state.+changed )|(ment ac)|(system.+state.+changed )|(\[timeout)|(PRM\|1\|D)|(kpr)|(kdp)|(\|lc)|(penalty))" /e /r /s</v>
      </c>
      <c r="AG246" s="1" t="str">
        <f>IFERROR(IF(VALUE(LEFT(AD246,2))&lt;=2,"EC",IF(OR(VALUE(LEFT(AD246,2))=8,VALUE(LEFT(AD246,2))=18),"NW","Other")),"Other")</f>
        <v>Other</v>
      </c>
      <c r="AH246" s="96" t="str">
        <f t="shared" si="9"/>
        <v>"%USERPROFILE%\Documents\GitHub\eaglep3\Utilities\RefineRTDCRunTimes.py" --tripid 68-04 --locoid 4009 --swversion DE.1.0.7.0 --startMP 204:453 --initTime 2016-10-04T14:00:08 --startdatetime 2016-10-04T14:04:14 --delay 2 --endMP 300:42468 --enddatetime 2016-10-04T14:16:45 --enforcementcount 0 &gt;&gt;C:\Users\stu\Documents\GitHub\eaglep3-reporting\EC\2016-10-04-refined-times.txt</v>
      </c>
      <c r="AI246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{"issue":{"subject":"","project_id":79,"tracker_id":40,"status_id":1,"priority_id":2,"assigned_to_id":23,"start_date":"2016-10-04","description":"","custom_fields":[{"id":1,"name":"Subdivision","value":"Other"},{"id":4,"name":"Milepost","value":"4.2468"},{"id":17,"name":"Train ID","value":"68-04"},{"id":16,"name":"Locomotive ID","value":"4009"},{"id":130,"name":"Impact","value":""},{"id":150,"name":"Time of Event (Mountain Time)","value":"14:16:45"},{"id":151,"name":"Denver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55"/>
      <c r="AK246" s="55"/>
      <c r="AL246" s="55"/>
    </row>
    <row r="247" spans="1:38" x14ac:dyDescent="0.25">
      <c r="A247" s="39" t="s">
        <v>491</v>
      </c>
      <c r="B247" s="7">
        <v>4010</v>
      </c>
      <c r="C247" s="24" t="s">
        <v>106</v>
      </c>
      <c r="D247" s="24" t="s">
        <v>719</v>
      </c>
      <c r="E247" s="15">
        <v>42647.569467592592</v>
      </c>
      <c r="F247" s="15">
        <v>42647.586273148147</v>
      </c>
      <c r="G247" s="7">
        <v>1</v>
      </c>
      <c r="H247" s="15" t="s">
        <v>720</v>
      </c>
      <c r="I247" s="15">
        <v>42647.594965277778</v>
      </c>
      <c r="J247" s="7">
        <v>0</v>
      </c>
      <c r="K247" s="117" t="str">
        <f>IF(ISEVEN(B247),(B247-1)&amp;"/"&amp;B247,B247&amp;"/"&amp;(B247+1))</f>
        <v>4009/4010</v>
      </c>
      <c r="L247" s="24" t="str">
        <f>VLOOKUP(A247,'Trips&amp;Operators'!$C$1:$E$10000,3,FALSE)</f>
        <v>ARNOLD</v>
      </c>
      <c r="M247" s="6">
        <f>I247-F247</f>
        <v>8.6921296315267682E-3</v>
      </c>
      <c r="N247" s="7">
        <f>24*60*SUM($M247:$M247)</f>
        <v>12.516666669398546</v>
      </c>
      <c r="O247" s="7"/>
      <c r="P247" s="7"/>
      <c r="Q247" s="25"/>
      <c r="R247" s="25"/>
      <c r="S247" s="37">
        <f>SUM(U247:U247)/IF(AG247="EC",12,1)</f>
        <v>0</v>
      </c>
      <c r="T247" s="52" t="e">
        <f>IF(ISEVEN(LEFT(AD247,4)),"Southbound","NorthBound")</f>
        <v>#VALUE!</v>
      </c>
      <c r="U247" s="159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02" t="str">
        <f>"https://search-rtdc-monitor-bjffxe2xuh6vdkpspy63sjmuny.us-east-1.es.amazonaws.com/_plugin/kibana/#/discover/Steve-Slow-Train-Analysis-(2080s-and-2083s)?_g=(refreshInterval:(display:Off,section:0,value:0),time:(from:'"&amp;TEXT(E247-1/24,"yyyy-MM-DD hh:mm:ss")&amp;"-0600',mode:absolute,to:'"&amp;TEXT(I247+1/24,"yyyy-MM-DD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247&amp;"%22')),sort:!(Time,asc))"</f>
        <v>https://search-rtdc-monitor-bjffxe2xuh6vdkpspy63sjmuny.us-east-1.es.amazonaws.com/_plugin/kibana/#/discover/Steve-Slow-Train-Analysis-(2080s-and-2083s)?_g=(refreshInterval:(display:Off,section:0,value:0),time:(from:'2016-10-04 12:40:02-0600',mode:absolute,to:'2016-10-04 15:16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47" s="54" t="str">
        <f>IF(AA247&lt;IF(AG247="EC",23,5.65),"Y","N")</f>
        <v>Y</v>
      </c>
      <c r="X247" s="164" t="e">
        <f>VALUE(LEFT(AD247,4))-VALUE(LEFT(AD246,4))</f>
        <v>#VALUE!</v>
      </c>
      <c r="Y247" s="69">
        <f>RIGHT(D247,LEN(D247)-4)/10000</f>
        <v>4.2525000000000004</v>
      </c>
      <c r="Z247" s="69">
        <f>RIGHT(H247,LEN(H247)-4)/10000</f>
        <v>1.66E-2</v>
      </c>
      <c r="AA247" s="69">
        <f>ABS(Z247-Y247)</f>
        <v>4.2359</v>
      </c>
      <c r="AB247" s="66" t="e">
        <f>VLOOKUP(A247,Enforcements!$C$7:$K$21,8,0)</f>
        <v>#N/A</v>
      </c>
      <c r="AC247" s="62" t="e">
        <f>VLOOKUP(A247,Enforcements!$C$7:$E$21,3,0)</f>
        <v>#N/A</v>
      </c>
      <c r="AD247" s="63" t="str">
        <f>IF(LEN(A247)=6,"0"&amp;A247,A247)</f>
        <v>68-04</v>
      </c>
      <c r="AE247" s="95" t="str">
        <f>"aws s3 cp "&amp;s3_bucket&amp;"/RTDC"&amp;B247&amp;"/ "&amp;search_path&amp;"\RTDC"&amp;B247&amp;"\"&amp;TEXT(F247,"YYYY-MM-DD")&amp;" --exclude ""*"" --recursive --include ""*"&amp;TEXT(F247,"YYYYMMDD")&amp;"*"" &amp; """&amp;walkandungz&amp;""" "&amp;search_path&amp;"\RTDC"&amp;B247&amp;"\"&amp;TEXT(F247,"YYYY-MM-DD")
&amp;" &amp; "&amp;"aws s3 cp "&amp;s3_bucket&amp;"/RTDC"&amp;B247&amp;"/ "&amp;search_path&amp;"\RTDC"&amp;B247&amp;"\"&amp;TEXT(F247+1,"YYYY-MM-DD")&amp;" --exclude ""*"" --recursive --include ""*"&amp;TEXT(F247+1,"YYYYMMDD")&amp;"*"" &amp; """&amp;walkandungz&amp;""" "&amp;search_path&amp;"\RTDC"&amp;B247&amp;"\"&amp;TEXT(F247+1,"YYYY-MM-DD")</f>
        <v>aws s3 cp s3://rtdc.mdm.uploadarchive.raw/RTDC4010/ "%USERPROFILE%\AppData\Local\Temp\OnboardLogs"\RTDC4010\2016-10-04 --exclude "*" --recursive --include "*20161004*" &amp; "%USERPROFILE%\Documents\GitHub\mrs-test-scripts\Headless Mode &amp; Sideloading\WalkAndUnGZ.bat" "%USERPROFILE%\AppData\Local\Temp\OnboardLogs"\RTDC4010\2016-10-04 &amp; aws s3 cp s3://rtdc.mdm.uploadarchive.raw/RTDC4010/ "%USERPROFILE%\AppData\Local\Temp\OnboardLogs"\RTDC4010\2016-10-05 --exclude "*" --recursive --include "*20161005*" &amp; "%USERPROFILE%\Documents\GitHub\mrs-test-scripts\Headless Mode &amp; Sideloading\WalkAndUnGZ.bat" "%USERPROFILE%\AppData\Local\Temp\OnboardLogs"\RTDC4010\2016-10-05</v>
      </c>
      <c r="AF247" s="92" t="str">
        <f>astrogrep_path&amp;" /spath="&amp;search_path&amp;" /stypes=""app*"&amp;B247&amp;"*"&amp;TEXT(I247-utc_offset/24,"YYYYMMDD")&amp;"*"" /stext="" "&amp;TEXT(I247-utc_offset/24,"HH")&amp;search_regexp&amp;""" /e /r /s"</f>
        <v>"C:\Program Files (x86)\AstroGrep\AstroGrep.exe" /spath="%USERPROFILE%\AppData\Local\Temp\OnboardLogs" /stypes="app*4010*20161004*" /stext=" 20:.+((SYSTEM_STATE.+slice.+state.+changed )|(ment ac)|(system.+state.+changed )|(\[timeout)|(PRM\|1\|D)|(kpr)|(kdp)|(\|lc)|(penalty))" /e /r /s</v>
      </c>
      <c r="AG247" s="1" t="str">
        <f>IFERROR(IF(VALUE(LEFT(AD247,2))&lt;=2,"EC",IF(OR(VALUE(LEFT(AD247,2))=8,VALUE(LEFT(AD247,2))=18),"NW","Other")),"Other")</f>
        <v>Other</v>
      </c>
      <c r="AH247" s="96" t="str">
        <f t="shared" si="9"/>
        <v>"%USERPROFILE%\Documents\GitHub\eaglep3\Utilities\RefineRTDCRunTimes.py" --tripid 68-04 --locoid 4010 --swversion DE.1.0.7.0 --startMP 300:42525 --initTime 2016-10-04T13:40:02 --startdatetime 2016-10-04T14:04:14 --delay 1 --endMP 204:166 --enddatetime 2016-10-04T14:16:45 --enforcementcount 0 &gt;&gt;C:\Users\stu\Documents\GitHub\eaglep3-reporting\EC\2016-10-04-refined-times.txt</v>
      </c>
      <c r="AI247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{"issue":{"subject":"","project_id":79,"tracker_id":40,"status_id":1,"priority_id":2,"assigned_to_id":23,"start_date":"2016-10-04","description":"","custom_fields":[{"id":1,"name":"Subdivision","value":"Other"},{"id":4,"name":"Milepost","value":"0.0166"},{"id":17,"name":"Train ID","value":"68-04"},{"id":16,"name":"Locomotive ID","value":"4010"},{"id":130,"name":"Impact","value":""},{"id":150,"name":"Time of Event (Mountain Time)","value":"14:16:45"},{"id":151,"name":"Denver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55"/>
      <c r="AK247" s="55"/>
      <c r="AL247" s="55"/>
    </row>
    <row r="248" spans="1:38" x14ac:dyDescent="0.25">
      <c r="A248" s="39" t="s">
        <v>541</v>
      </c>
      <c r="B248" s="7">
        <v>4031</v>
      </c>
      <c r="C248" s="24" t="s">
        <v>106</v>
      </c>
      <c r="D248" s="24" t="s">
        <v>721</v>
      </c>
      <c r="E248" s="15">
        <v>42647.740567129629</v>
      </c>
      <c r="F248" s="15">
        <v>42647.747164351851</v>
      </c>
      <c r="G248" s="7">
        <v>1</v>
      </c>
      <c r="H248" s="15" t="s">
        <v>722</v>
      </c>
      <c r="I248" s="15">
        <v>42647.74726851852</v>
      </c>
      <c r="J248" s="7">
        <v>0</v>
      </c>
      <c r="K248" s="117" t="str">
        <f>IF(ISEVEN(B248),(B248-1)&amp;"/"&amp;B248,B248&amp;"/"&amp;(B248+1))</f>
        <v>4031/4032</v>
      </c>
      <c r="L248" s="24" t="str">
        <f>VLOOKUP(A248,'Trips&amp;Operators'!$C$1:$E$10000,3,FALSE)</f>
        <v>SWANSON</v>
      </c>
      <c r="M248" s="6">
        <f>I248-F248</f>
        <v>1.0416666918899864E-4</v>
      </c>
      <c r="N248" s="7">
        <f>24*60*SUM($M248:$M248)</f>
        <v>0.15000000363215804</v>
      </c>
      <c r="O248" s="7"/>
      <c r="P248" s="7"/>
      <c r="Q248" s="25"/>
      <c r="R248" s="25"/>
      <c r="S248" s="37">
        <f>SUM(U248:U248)/IF(AG248="EC",12,1)</f>
        <v>0</v>
      </c>
      <c r="T248" s="52" t="e">
        <f>IF(ISEVEN(LEFT(AD248,4)),"Southbound","NorthBound")</f>
        <v>#VALUE!</v>
      </c>
      <c r="U248" s="159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02" t="str">
        <f>"https://search-rtdc-monitor-bjffxe2xuh6vdkpspy63sjmuny.us-east-1.es.amazonaws.com/_plugin/kibana/#/discover/Steve-Slow-Train-Analysis-(2080s-and-2083s)?_g=(refreshInterval:(display:Off,section:0,value:0),time:(from:'"&amp;TEXT(E248-1/24,"yyyy-MM-DD hh:mm:ss")&amp;"-0600',mode:absolute,to:'"&amp;TEXT(I248+1/24,"yyyy-MM-DD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248&amp;"%22')),sort:!(Time,asc))"</f>
        <v>https://search-rtdc-monitor-bjffxe2xuh6vdkpspy63sjmuny.us-east-1.es.amazonaws.com/_plugin/kibana/#/discover/Steve-Slow-Train-Analysis-(2080s-and-2083s)?_g=(refreshInterval:(display:Off,section:0,value:0),time:(from:'2016-10-04 16:46:25-0600',mode:absolute,to:'2016-10-04 18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48" s="54" t="str">
        <f>IF(AA248&lt;IF(AG248="EC",23,5.65),"Y","N")</f>
        <v>Y</v>
      </c>
      <c r="X248" s="164" t="e">
        <f>VALUE(LEFT(AD248,4))-VALUE(LEFT(AD247,4))</f>
        <v>#VALUE!</v>
      </c>
      <c r="Y248" s="69">
        <f>RIGHT(D248,LEN(D248)-4)/10000</f>
        <v>0.1492</v>
      </c>
      <c r="Z248" s="69">
        <f>RIGHT(H248,LEN(H248)-4)/10000</f>
        <v>0.16980000000000001</v>
      </c>
      <c r="AA248" s="69">
        <f>ABS(Z248-Y248)</f>
        <v>2.0600000000000007E-2</v>
      </c>
      <c r="AB248" s="66" t="e">
        <f>VLOOKUP(A248,Enforcements!$C$7:$K$21,8,0)</f>
        <v>#N/A</v>
      </c>
      <c r="AC248" s="62" t="e">
        <f>VLOOKUP(A248,Enforcements!$C$7:$E$21,3,0)</f>
        <v>#N/A</v>
      </c>
      <c r="AD248" s="63" t="str">
        <f>IF(LEN(A248)=6,"0"&amp;A248,A248)</f>
        <v>69-04</v>
      </c>
      <c r="AE248" s="95" t="str">
        <f>"aws s3 cp "&amp;s3_bucket&amp;"/RTDC"&amp;B248&amp;"/ "&amp;search_path&amp;"\RTDC"&amp;B248&amp;"\"&amp;TEXT(F248,"YYYY-MM-DD")&amp;" --exclude ""*"" --recursive --include ""*"&amp;TEXT(F248,"YYYYMMDD")&amp;"*"" &amp; """&amp;walkandungz&amp;""" "&amp;search_path&amp;"\RTDC"&amp;B248&amp;"\"&amp;TEXT(F248,"YYYY-MM-DD")
&amp;" &amp; "&amp;"aws s3 cp "&amp;s3_bucket&amp;"/RTDC"&amp;B248&amp;"/ "&amp;search_path&amp;"\RTDC"&amp;B248&amp;"\"&amp;TEXT(F248+1,"YYYY-MM-DD")&amp;" --exclude ""*"" --recursive --include ""*"&amp;TEXT(F248+1,"YYYYMMDD")&amp;"*"" &amp; """&amp;walkandungz&amp;""" "&amp;search_path&amp;"\RTDC"&amp;B248&amp;"\"&amp;TEXT(F248+1,"YYYY-MM-DD")</f>
        <v>aws s3 cp s3://rtdc.mdm.uploadarchive.raw/RTDC4031/ "%USERPROFILE%\AppData\Local\Temp\OnboardLogs"\RTDC4031\2016-10-04 --exclude "*" --recursive --include "*20161004*" &amp; "%USERPROFILE%\Documents\GitHub\mrs-test-scripts\Headless Mode &amp; Sideloading\WalkAndUnGZ.bat" "%USERPROFILE%\AppData\Local\Temp\OnboardLogs"\RTDC4031\2016-10-04 &amp; aws s3 cp s3://rtdc.mdm.uploadarchive.raw/RTDC4031/ "%USERPROFILE%\AppData\Local\Temp\OnboardLogs"\RTDC4031\2016-10-05 --exclude "*" --recursive --include "*20161005*" &amp; "%USERPROFILE%\Documents\GitHub\mrs-test-scripts\Headless Mode &amp; Sideloading\WalkAndUnGZ.bat" "%USERPROFILE%\AppData\Local\Temp\OnboardLogs"\RTDC4031\2016-10-05</v>
      </c>
      <c r="AF248" s="92" t="str">
        <f>astrogrep_path&amp;" /spath="&amp;search_path&amp;" /stypes=""app*"&amp;B248&amp;"*"&amp;TEXT(I248-utc_offset/24,"YYYYMMDD")&amp;"*"" /stext="" "&amp;TEXT(I248-utc_offset/24,"HH")&amp;search_regexp&amp;""" /e /r /s"</f>
        <v>"C:\Program Files (x86)\AstroGrep\AstroGrep.exe" /spath="%USERPROFILE%\AppData\Local\Temp\OnboardLogs" /stypes="app*4031*20161004*" /stext=" 23:.+((SYSTEM_STATE.+slice.+state.+changed )|(ment ac)|(system.+state.+changed )|(\[timeout)|(PRM\|1\|D)|(kpr)|(kdp)|(\|lc)|(penalty))" /e /r /s</v>
      </c>
      <c r="AG248" s="1" t="str">
        <f>IFERROR(IF(VALUE(LEFT(AD248,2))&lt;=2,"EC",IF(OR(VALUE(LEFT(AD248,2))=8,VALUE(LEFT(AD248,2))=18),"NW","Other")),"Other")</f>
        <v>Other</v>
      </c>
      <c r="AH248" s="96" t="str">
        <f t="shared" si="9"/>
        <v>"%USERPROFILE%\Documents\GitHub\eaglep3\Utilities\RefineRTDCRunTimes.py" --tripid 69-04 --locoid 4031 --swversion DE.1.0.7.0 --startMP 204:1492 --initTime 2016-10-04T17:46:25 --startdatetime 2016-10-04T17:55:55 --delay 1 --endMP 204:1698 --enddatetime 2016-10-04T17:56:04 --enforcementcount 0 &gt;&gt;C:\Users\stu\Documents\GitHub\eaglep3-reporting\EC\2016-10-04-refined-times.txt</v>
      </c>
      <c r="AI248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{"issue":{"subject":"","project_id":79,"tracker_id":40,"status_id":1,"priority_id":2,"assigned_to_id":23,"start_date":"2016-10-04","description":"","custom_fields":[{"id":1,"name":"Subdivision","value":"Other"},{"id":4,"name":"Milepost","value":"0.1698"},{"id":17,"name":"Train ID","value":"69-04"},{"id":16,"name":"Locomotive ID","value":"4031"},{"id":130,"name":"Impact","value":""},{"id":150,"name":"Time of Event (Mountain Time)","value":"17:56:04"},{"id":151,"name":"Denver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55"/>
      <c r="AK248" s="55"/>
      <c r="AL248" s="55"/>
    </row>
    <row r="249" spans="1:38" x14ac:dyDescent="0.25">
      <c r="A249" s="39" t="s">
        <v>556</v>
      </c>
      <c r="B249" s="7">
        <v>4010</v>
      </c>
      <c r="C249" s="24" t="s">
        <v>106</v>
      </c>
      <c r="D249" s="24" t="s">
        <v>723</v>
      </c>
      <c r="E249" s="15">
        <v>42647.77616898148</v>
      </c>
      <c r="F249" s="15">
        <v>42647.777824074074</v>
      </c>
      <c r="G249" s="7">
        <v>2</v>
      </c>
      <c r="H249" s="15" t="s">
        <v>724</v>
      </c>
      <c r="I249" s="15">
        <v>42647.78334490741</v>
      </c>
      <c r="J249" s="7">
        <v>0</v>
      </c>
      <c r="K249" s="117" t="str">
        <f>IF(ISEVEN(B249),(B249-1)&amp;"/"&amp;B249,B249&amp;"/"&amp;(B249+1))</f>
        <v>4009/4010</v>
      </c>
      <c r="L249" s="24" t="str">
        <f>VLOOKUP(A249,'Trips&amp;Operators'!$C$1:$E$10000,3,FALSE)</f>
        <v>PUGH</v>
      </c>
      <c r="M249" s="6">
        <f>I249-F249</f>
        <v>5.5208333360496908E-3</v>
      </c>
      <c r="N249" s="7">
        <f>24*60*SUM($M249:$M249)</f>
        <v>7.9500000039115548</v>
      </c>
      <c r="O249" s="7"/>
      <c r="P249" s="7"/>
      <c r="Q249" s="25"/>
      <c r="R249" s="25"/>
      <c r="S249" s="37">
        <f>SUM(U249:U249)/IF(AG249="EC",12,1)</f>
        <v>0</v>
      </c>
      <c r="T249" s="52" t="e">
        <f>IF(ISEVEN(LEFT(AD249,4)),"Southbound","NorthBound")</f>
        <v>#VALUE!</v>
      </c>
      <c r="U249" s="159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02" t="str">
        <f>"https://search-rtdc-monitor-bjffxe2xuh6vdkpspy63sjmuny.us-east-1.es.amazonaws.com/_plugin/kibana/#/discover/Steve-Slow-Train-Analysis-(2080s-and-2083s)?_g=(refreshInterval:(display:Off,section:0,value:0),time:(from:'"&amp;TEXT(E249-1/24,"yyyy-MM-DD hh:mm:ss")&amp;"-0600',mode:absolute,to:'"&amp;TEXT(I249+1/24,"yyyy-MM-DD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249&amp;"%22')),sort:!(Time,asc))"</f>
        <v>https://search-rtdc-monitor-bjffxe2xuh6vdkpspy63sjmuny.us-east-1.es.amazonaws.com/_plugin/kibana/#/discover/Steve-Slow-Train-Analysis-(2080s-and-2083s)?_g=(refreshInterval:(display:Off,section:0,value:0),time:(from:'2016-10-04 17:37:41-0600',mode:absolute,to:'2016-10-04 19:48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49" s="54" t="str">
        <f>IF(AA249&lt;IF(AG249="EC",23,5.65),"Y","N")</f>
        <v>Y</v>
      </c>
      <c r="X249" s="164" t="e">
        <f>VALUE(LEFT(AD249,4))-VALUE(LEFT(AD248,4))</f>
        <v>#VALUE!</v>
      </c>
      <c r="Y249" s="69">
        <f>RIGHT(D249,LEN(D249)-4)/10000</f>
        <v>2.2178</v>
      </c>
      <c r="Z249" s="69">
        <f>RIGHT(H249,LEN(H249)-4)/10000</f>
        <v>0.18779999999999999</v>
      </c>
      <c r="AA249" s="69">
        <f>ABS(Z249-Y249)</f>
        <v>2.0299999999999998</v>
      </c>
      <c r="AB249" s="66" t="e">
        <f>VLOOKUP(A249,Enforcements!$C$7:$K$21,8,0)</f>
        <v>#N/A</v>
      </c>
      <c r="AC249" s="62" t="e">
        <f>VLOOKUP(A249,Enforcements!$C$7:$E$21,3,0)</f>
        <v>#N/A</v>
      </c>
      <c r="AD249" s="63" t="str">
        <f>IF(LEN(A249)=6,"0"&amp;A249,A249)</f>
        <v>70-04</v>
      </c>
      <c r="AE249" s="95" t="str">
        <f>"aws s3 cp "&amp;s3_bucket&amp;"/RTDC"&amp;B249&amp;"/ "&amp;search_path&amp;"\RTDC"&amp;B249&amp;"\"&amp;TEXT(F249,"YYYY-MM-DD")&amp;" --exclude ""*"" --recursive --include ""*"&amp;TEXT(F249,"YYYYMMDD")&amp;"*"" &amp; """&amp;walkandungz&amp;""" "&amp;search_path&amp;"\RTDC"&amp;B249&amp;"\"&amp;TEXT(F249,"YYYY-MM-DD")
&amp;" &amp; "&amp;"aws s3 cp "&amp;s3_bucket&amp;"/RTDC"&amp;B249&amp;"/ "&amp;search_path&amp;"\RTDC"&amp;B249&amp;"\"&amp;TEXT(F249+1,"YYYY-MM-DD")&amp;" --exclude ""*"" --recursive --include ""*"&amp;TEXT(F249+1,"YYYYMMDD")&amp;"*"" &amp; """&amp;walkandungz&amp;""" "&amp;search_path&amp;"\RTDC"&amp;B249&amp;"\"&amp;TEXT(F249+1,"YYYY-MM-DD")</f>
        <v>aws s3 cp s3://rtdc.mdm.uploadarchive.raw/RTDC4010/ "%USERPROFILE%\AppData\Local\Temp\OnboardLogs"\RTDC4010\2016-10-04 --exclude "*" --recursive --include "*20161004*" &amp; "%USERPROFILE%\Documents\GitHub\mrs-test-scripts\Headless Mode &amp; Sideloading\WalkAndUnGZ.bat" "%USERPROFILE%\AppData\Local\Temp\OnboardLogs"\RTDC4010\2016-10-04 &amp; aws s3 cp s3://rtdc.mdm.uploadarchive.raw/RTDC4010/ "%USERPROFILE%\AppData\Local\Temp\OnboardLogs"\RTDC4010\2016-10-05 --exclude "*" --recursive --include "*20161005*" &amp; "%USERPROFILE%\Documents\GitHub\mrs-test-scripts\Headless Mode &amp; Sideloading\WalkAndUnGZ.bat" "%USERPROFILE%\AppData\Local\Temp\OnboardLogs"\RTDC4010\2016-10-05</v>
      </c>
      <c r="AF249" s="92" t="str">
        <f>astrogrep_path&amp;" /spath="&amp;search_path&amp;" /stypes=""app*"&amp;B249&amp;"*"&amp;TEXT(I249-utc_offset/24,"YYYYMMDD")&amp;"*"" /stext="" "&amp;TEXT(I249-utc_offset/24,"HH")&amp;search_regexp&amp;""" /e /r /s"</f>
        <v>"C:\Program Files (x86)\AstroGrep\AstroGrep.exe" /spath="%USERPROFILE%\AppData\Local\Temp\OnboardLogs" /stypes="app*4010*20161005*" /stext=" 00:.+((SYSTEM_STATE.+slice.+state.+changed )|(ment ac)|(system.+state.+changed )|(\[timeout)|(PRM\|1\|D)|(kpr)|(kdp)|(\|lc)|(penalty))" /e /r /s</v>
      </c>
      <c r="AG249" s="1" t="str">
        <f>IFERROR(IF(VALUE(LEFT(AD249,2))&lt;=2,"EC",IF(OR(VALUE(LEFT(AD249,2))=8,VALUE(LEFT(AD249,2))=18),"NW","Other")),"Other")</f>
        <v>Other</v>
      </c>
      <c r="AH249" s="96" t="str">
        <f t="shared" si="9"/>
        <v>"%USERPROFILE%\Documents\GitHub\eaglep3\Utilities\RefineRTDCRunTimes.py" --tripid 70-04 --locoid 4010 --swversion DE.1.0.7.0 --startMP 300:22178 --initTime 2016-10-04T18:37:41 --startdatetime 2016-10-04T18:40:04 --delay 2 --endMP 204:1878 --enddatetime 2016-10-04T18:48:01 --enforcementcount 0 &gt;&gt;C:\Users\stu\Documents\GitHub\eaglep3-reporting\EC\2016-10-04-refined-times.txt</v>
      </c>
      <c r="AI249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{"issue":{"subject":"","project_id":79,"tracker_id":40,"status_id":1,"priority_id":2,"assigned_to_id":23,"start_date":"2016-10-04","description":"","custom_fields":[{"id":1,"name":"Subdivision","value":"Other"},{"id":4,"name":"Milepost","value":"0.1878"},{"id":17,"name":"Train ID","value":"70-04"},{"id":16,"name":"Locomotive ID","value":"4010"},{"id":130,"name":"Impact","value":""},{"id":150,"name":"Time of Event (Mountain Time)","value":"18:48:01"},{"id":151,"name":"Denver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55"/>
      <c r="AK249" s="55"/>
      <c r="AL249" s="55"/>
    </row>
    <row r="250" spans="1:38" x14ac:dyDescent="0.25">
      <c r="A250" s="39" t="s">
        <v>544</v>
      </c>
      <c r="B250" s="7">
        <v>4022</v>
      </c>
      <c r="C250" s="24" t="s">
        <v>106</v>
      </c>
      <c r="D250" s="24" t="s">
        <v>324</v>
      </c>
      <c r="E250" s="15">
        <v>42647.747939814813</v>
      </c>
      <c r="F250" s="15">
        <v>42647.750474537039</v>
      </c>
      <c r="G250" s="7">
        <v>1</v>
      </c>
      <c r="H250" s="15" t="s">
        <v>725</v>
      </c>
      <c r="I250" s="15">
        <v>42647.758159722223</v>
      </c>
      <c r="J250" s="7">
        <v>0</v>
      </c>
      <c r="K250" s="117" t="str">
        <f>IF(ISEVEN(B250),(B250-1)&amp;"/"&amp;B250,B250&amp;"/"&amp;(B250+1))</f>
        <v>4021/4022</v>
      </c>
      <c r="L250" s="24" t="str">
        <f>VLOOKUP(A250,'Trips&amp;Operators'!$C$1:$E$10000,3,FALSE)</f>
        <v>BARTLETT</v>
      </c>
      <c r="M250" s="6">
        <f>I250-F250</f>
        <v>7.6851851845276542E-3</v>
      </c>
      <c r="N250" s="7">
        <f>24*60*SUM($M250:$M250)</f>
        <v>11.066666665719822</v>
      </c>
      <c r="O250" s="7"/>
      <c r="P250" s="7"/>
      <c r="Q250" s="25"/>
      <c r="R250" s="25"/>
      <c r="S250" s="37">
        <f>SUM(U250:U250)/IF(AG250="EC",12,1)</f>
        <v>0</v>
      </c>
      <c r="T250" s="52" t="e">
        <f>IF(ISEVEN(LEFT(AD250,4)),"Southbound","NorthBound")</f>
        <v>#VALUE!</v>
      </c>
      <c r="U250" s="159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02" t="str">
        <f>"https://search-rtdc-monitor-bjffxe2xuh6vdkpspy63sjmuny.us-east-1.es.amazonaws.com/_plugin/kibana/#/discover/Steve-Slow-Train-Analysis-(2080s-and-2083s)?_g=(refreshInterval:(display:Off,section:0,value:0),time:(from:'"&amp;TEXT(E250-1/24,"yyyy-MM-DD hh:mm:ss")&amp;"-0600',mode:absolute,to:'"&amp;TEXT(I250+1/24,"yyyy-MM-DD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250&amp;"%22')),sort:!(Time,asc))"</f>
        <v>https://search-rtdc-monitor-bjffxe2xuh6vdkpspy63sjmuny.us-east-1.es.amazonaws.com/_plugin/kibana/#/discover/Steve-Slow-Train-Analysis-(2080s-and-2083s)?_g=(refreshInterval:(display:Off,section:0,value:0),time:(from:'2016-10-04 16:57:02-0600',mode:absolute,to:'2016-10-04 19:11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50" s="54" t="str">
        <f>IF(AA250&lt;IF(AG250="EC",23,5.65),"Y","N")</f>
        <v>Y</v>
      </c>
      <c r="X250" s="164" t="e">
        <f>VALUE(LEFT(AD250,4))-VALUE(LEFT(AD249,4))</f>
        <v>#VALUE!</v>
      </c>
      <c r="Y250" s="69">
        <f>RIGHT(D250,LEN(D250)-4)/10000</f>
        <v>4.4200000000000003E-2</v>
      </c>
      <c r="Z250" s="69">
        <f>RIGHT(H250,LEN(H250)-4)/10000</f>
        <v>2.2486000000000002</v>
      </c>
      <c r="AA250" s="69">
        <f>ABS(Z250-Y250)</f>
        <v>2.2044000000000001</v>
      </c>
      <c r="AB250" s="66" t="e">
        <f>VLOOKUP(A250,Enforcements!$C$7:$K$21,8,0)</f>
        <v>#N/A</v>
      </c>
      <c r="AC250" s="62" t="e">
        <f>VLOOKUP(A250,Enforcements!$C$7:$E$21,3,0)</f>
        <v>#N/A</v>
      </c>
      <c r="AD250" s="63" t="str">
        <f>IF(LEN(A250)=6,"0"&amp;A250,A250)</f>
        <v>71-04</v>
      </c>
      <c r="AE250" s="95" t="str">
        <f>"aws s3 cp "&amp;s3_bucket&amp;"/RTDC"&amp;B250&amp;"/ "&amp;search_path&amp;"\RTDC"&amp;B250&amp;"\"&amp;TEXT(F250,"YYYY-MM-DD")&amp;" --exclude ""*"" --recursive --include ""*"&amp;TEXT(F250,"YYYYMMDD")&amp;"*"" &amp; """&amp;walkandungz&amp;""" "&amp;search_path&amp;"\RTDC"&amp;B250&amp;"\"&amp;TEXT(F250,"YYYY-MM-DD")
&amp;" &amp; "&amp;"aws s3 cp "&amp;s3_bucket&amp;"/RTDC"&amp;B250&amp;"/ "&amp;search_path&amp;"\RTDC"&amp;B250&amp;"\"&amp;TEXT(F250+1,"YYYY-MM-DD")&amp;" --exclude ""*"" --recursive --include ""*"&amp;TEXT(F250+1,"YYYYMMDD")&amp;"*"" &amp; """&amp;walkandungz&amp;""" "&amp;search_path&amp;"\RTDC"&amp;B250&amp;"\"&amp;TEXT(F250+1,"YYYY-MM-DD")</f>
        <v>aws s3 cp s3://rtdc.mdm.uploadarchive.raw/RTDC4022/ "%USERPROFILE%\AppData\Local\Temp\OnboardLogs"\RTDC4022\2016-10-04 --exclude "*" --recursive --include "*20161004*" &amp; "%USERPROFILE%\Documents\GitHub\mrs-test-scripts\Headless Mode &amp; Sideloading\WalkAndUnGZ.bat" "%USERPROFILE%\AppData\Local\Temp\OnboardLogs"\RTDC4022\2016-10-04 &amp; aws s3 cp s3://rtdc.mdm.uploadarchive.raw/RTDC4022/ "%USERPROFILE%\AppData\Local\Temp\OnboardLogs"\RTDC4022\2016-10-05 --exclude "*" --recursive --include "*20161005*" &amp; "%USERPROFILE%\Documents\GitHub\mrs-test-scripts\Headless Mode &amp; Sideloading\WalkAndUnGZ.bat" "%USERPROFILE%\AppData\Local\Temp\OnboardLogs"\RTDC4022\2016-10-05</v>
      </c>
      <c r="AF250" s="92" t="str">
        <f>astrogrep_path&amp;" /spath="&amp;search_path&amp;" /stypes=""app*"&amp;B250&amp;"*"&amp;TEXT(I250-utc_offset/24,"YYYYMMDD")&amp;"*"" /stext="" "&amp;TEXT(I250-utc_offset/24,"HH")&amp;search_regexp&amp;""" /e /r /s"</f>
        <v>"C:\Program Files (x86)\AstroGrep\AstroGrep.exe" /spath="%USERPROFILE%\AppData\Local\Temp\OnboardLogs" /stypes="app*4022*20161005*" /stext=" 00:.+((SYSTEM_STATE.+slice.+state.+changed )|(ment ac)|(system.+state.+changed )|(\[timeout)|(PRM\|1\|D)|(kpr)|(kdp)|(\|lc)|(penalty))" /e /r /s</v>
      </c>
      <c r="AG250" s="1" t="str">
        <f>IFERROR(IF(VALUE(LEFT(AD250,2))&lt;=2,"EC",IF(OR(VALUE(LEFT(AD250,2))=8,VALUE(LEFT(AD250,2))=18),"NW","Other")),"Other")</f>
        <v>Other</v>
      </c>
      <c r="AH250" s="96" t="str">
        <f t="shared" si="9"/>
        <v>"%USERPROFILE%\Documents\GitHub\eaglep3\Utilities\RefineRTDCRunTimes.py" --tripid 71-04 --locoid 4022 --swversion DE.1.0.7.0 --startMP 204:442 --initTime 2016-10-04T17:57:02 --startdatetime 2016-10-04T18:00:41 --delay 1 --endMP 300:22486 --enddatetime 2016-10-04T18:11:45 --enforcementcount 0 &gt;&gt;C:\Users\stu\Documents\GitHub\eaglep3-reporting\EC\2016-10-04-refined-times.txt</v>
      </c>
      <c r="AI250" s="130" t="str">
        <f t="shared" si="10"/>
        <v>echo {"issue":{"subject":"","project_id":79,"tracker_id":40,"status_id":1,"priority_id":2,"assigned_to_id":23,"start_date":"2016-10-04","description":"","custom_fields":[{"id":1,"name":"Subdivision","value":"Other"},{"id":4,"name":"Milepost","value":"2.2486"},{"id":17,"name":"Train ID","value":"71-04"},{"id":16,"name":"Locomotive ID","value":"4022"},{"id":130,"name":"Impact","value":""},{"id":150,"name":"Time of Event (Mountain Time)","value":"18:11:45"},{"id":151,"name":"Denver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55"/>
      <c r="AK250" s="55"/>
      <c r="AL250" s="55"/>
    </row>
    <row r="251" spans="1:38" x14ac:dyDescent="0.25">
      <c r="A251" s="39" t="s">
        <v>593</v>
      </c>
      <c r="B251" s="7">
        <v>4051</v>
      </c>
      <c r="C251" s="24" t="s">
        <v>684</v>
      </c>
      <c r="D251" s="24" t="s">
        <v>781</v>
      </c>
      <c r="E251" s="15">
        <v>42648.006516203706</v>
      </c>
      <c r="F251" s="15">
        <v>42648.051030092596</v>
      </c>
      <c r="G251" s="7">
        <v>2</v>
      </c>
      <c r="H251" s="15" t="s">
        <v>782</v>
      </c>
      <c r="I251" s="15">
        <v>42648.065196759257</v>
      </c>
      <c r="J251" s="7">
        <v>0</v>
      </c>
      <c r="K251" s="117" t="str">
        <f>IF(ISEVEN(B251),(B251-1)&amp;"/"&amp;B251,B251&amp;"/"&amp;(B251+1))</f>
        <v>4051/4052</v>
      </c>
      <c r="L251" s="24" t="b">
        <f>VLOOKUP(A251,'Trips&amp;Operators'!$C$1:$E$10000,3,FALSE)</f>
        <v>1</v>
      </c>
      <c r="M251" s="6">
        <f>I251-F251</f>
        <v>1.416666666045785E-2</v>
      </c>
      <c r="N251" s="7">
        <f>24*60*SUM($M251:$M251)</f>
        <v>20.399999991059303</v>
      </c>
      <c r="O251" s="7"/>
      <c r="P251" s="7"/>
      <c r="Q251" s="25"/>
      <c r="R251" s="25"/>
      <c r="S251" s="37">
        <f>SUM(U251:U251)/IF(AG251="EC",12,1)</f>
        <v>0</v>
      </c>
      <c r="T251" s="52" t="e">
        <f>IF(ISEVEN(LEFT(AD251,4)),"Southbound","NorthBound")</f>
        <v>#VALUE!</v>
      </c>
      <c r="U251" s="159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02" t="str">
        <f>"https://search-rtdc-monitor-bjffxe2xuh6vdkpspy63sjmuny.us-east-1.es.amazonaws.com/_plugin/kibana/#/discover/Steve-Slow-Train-Analysis-(2080s-and-2083s)?_g=(refreshInterval:(display:Off,section:0,value:0),time:(from:'"&amp;TEXT(E251-1/24,"yyyy-MM-DD hh:mm:ss")&amp;"-0600',mode:absolute,to:'"&amp;TEXT(I251+1/24,"yyyy-MM-DD hh:mm:ss")&amp;"-0600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251&amp;"%22')),sort:!(Time,asc))"</f>
        <v>https://search-rtdc-monitor-bjffxe2xuh6vdkpspy63sjmuny.us-east-1.es.amazonaws.com/_plugin/kibana/#/discover/Steve-Slow-Train-Analysis-(2080s-and-2083s)?_g=(refreshInterval:(display:Off,section:0,value:0),time:(from:'2016-10-04 23:09:23-0600',mode:absolute,to:'2016-10-05 02:33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51" s="54" t="str">
        <f>IF(AA251&lt;IF(AG251="EC",23,5.65),"Y","N")</f>
        <v>Y</v>
      </c>
      <c r="X251" s="164" t="e">
        <f>VALUE(LEFT(AD251,4))-VALUE(LEFT(AD250,4))</f>
        <v>#VALUE!</v>
      </c>
      <c r="Y251" s="69">
        <f>RIGHT(D251,LEN(D251)-4)/10000</f>
        <v>0.10009999999999999</v>
      </c>
      <c r="Z251" s="69">
        <f>RIGHT(H251,LEN(H251)-4)/10000</f>
        <v>9.9400000000000002E-2</v>
      </c>
      <c r="AA251" s="69">
        <f>ABS(Z251-Y251)</f>
        <v>6.999999999999923E-4</v>
      </c>
      <c r="AB251" s="66" t="e">
        <f>VLOOKUP(A251,Enforcements!$C$7:$K$21,8,0)</f>
        <v>#N/A</v>
      </c>
      <c r="AC251" s="62" t="e">
        <f>VLOOKUP(A251,Enforcements!$C$7:$E$21,3,0)</f>
        <v>#N/A</v>
      </c>
      <c r="AD251" s="63" t="str">
        <f>IF(LEN(A251)=6,"0"&amp;A251,A251)</f>
        <v>TRUE-04</v>
      </c>
      <c r="AE251" s="95" t="str">
        <f>"aws s3 cp "&amp;s3_bucket&amp;"/RTDC"&amp;B251&amp;"/ "&amp;search_path&amp;"\RTDC"&amp;B251&amp;"\"&amp;TEXT(F251,"YYYY-MM-DD")&amp;" --exclude ""*"" --recursive --include ""*"&amp;TEXT(F251,"YYYYMMDD")&amp;"*"" &amp; """&amp;walkandungz&amp;""" "&amp;search_path&amp;"\RTDC"&amp;B251&amp;"\"&amp;TEXT(F251,"YYYY-MM-DD")
&amp;" &amp; "&amp;"aws s3 cp "&amp;s3_bucket&amp;"/RTDC"&amp;B251&amp;"/ "&amp;search_path&amp;"\RTDC"&amp;B251&amp;"\"&amp;TEXT(F251+1,"YYYY-MM-DD")&amp;" --exclude ""*"" --recursive --include ""*"&amp;TEXT(F251+1,"YYYYMMDD")&amp;"*"" &amp; """&amp;walkandungz&amp;""" "&amp;search_path&amp;"\RTDC"&amp;B251&amp;"\"&amp;TEXT(F251+1,"YYYY-MM-DD")</f>
        <v>aws s3 cp s3://rtdc.mdm.uploadarchive.raw/RTDC4051/ "%USERPROFILE%\AppData\Local\Temp\OnboardLogs"\RTDC4051\2016-10-05 --exclude "*" --recursive --include "*20161005*" &amp; "%USERPROFILE%\Documents\GitHub\mrs-test-scripts\Headless Mode &amp; Sideloading\WalkAndUnGZ.bat" "%USERPROFILE%\AppData\Local\Temp\OnboardLogs"\RTDC4051\2016-10-05 &amp; aws s3 cp s3://rtdc.mdm.uploadarchive.raw/RTDC4051/ "%USERPROFILE%\AppData\Local\Temp\OnboardLogs"\RTDC4051\2016-10-06 --exclude "*" --recursive --include "*20161006*" &amp; "%USERPROFILE%\Documents\GitHub\mrs-test-scripts\Headless Mode &amp; Sideloading\WalkAndUnGZ.bat" "%USERPROFILE%\AppData\Local\Temp\OnboardLogs"\RTDC4051\2016-10-06</v>
      </c>
      <c r="AF251" s="92" t="str">
        <f>astrogrep_path&amp;" /spath="&amp;search_path&amp;" /stypes=""app*"&amp;B251&amp;"*"&amp;TEXT(I251-utc_offset/24,"YYYYMMDD")&amp;"*"" /stext="" "&amp;TEXT(I251-utc_offset/24,"HH")&amp;search_regexp&amp;""" /e /r /s"</f>
        <v>"C:\Program Files (x86)\AstroGrep\AstroGrep.exe" /spath="%USERPROFILE%\AppData\Local\Temp\OnboardLogs" /stypes="app*4051*20161005*" /stext=" 07:.+((SYSTEM_STATE.+slice.+state.+changed )|(ment ac)|(system.+state.+changed )|(\[timeout)|(PRM\|1\|D)|(kpr)|(kdp)|(\|lc)|(penalty))" /e /r /s</v>
      </c>
      <c r="AG251" s="1" t="str">
        <f>IFERROR(IF(VALUE(LEFT(AD251,2))&lt;=2,"EC",IF(OR(VALUE(LEFT(AD251,2))=8,VALUE(LEFT(AD251,2))=18),"NW","Other")),"Other")</f>
        <v>Other</v>
      </c>
      <c r="AH251" s="96" t="str">
        <f t="shared" si="9"/>
        <v>"%USERPROFILE%\Documents\GitHub\eaglep3\Utilities\RefineRTDCRunTimes.py" --tripid TRUE-04 --locoid 4051 --swversion DE.1.0.8.0 --startMP 204:1001 --initTime 2016-10-05T00:09:23 --startdatetime 2016-10-05T01:13:29 --delay 2 --endMP 204:994 --enddatetime 2016-10-05T01:33:53 --enforcementcount 0 &gt;&gt;C:\Users\stu\Documents\GitHub\eaglep3-reporting\EC\2016-10-04-refined-times.txt</v>
      </c>
      <c r="AI251" s="130" t="str">
        <f t="shared" si="10"/>
        <v>echo {"issue":{"subject":"","project_id":79,"tracker_id":40,"status_id":1,"priority_id":2,"assigned_to_id":23,"start_date":"2016-10-05","description":"","custom_fields":[{"id":1,"name":"Subdivision","value":"Other"},{"id":4,"name":"Milepost","value":"0.0994"},{"id":17,"name":"Train ID","value":"TRUE-04"},{"id":16,"name":"Locomotive ID","value":"4051"},{"id":130,"name":"Impact","value":""},{"id":150,"name":"Time of Event (Mountain Time)","value":"01:33:53"},{"id":151,"name":"Denver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55"/>
      <c r="AK251" s="55"/>
      <c r="AL251" s="55"/>
    </row>
  </sheetData>
  <autoFilter ref="A12:AG251"/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1" priority="326" operator="equal">
      <formula>"Y"</formula>
    </cfRule>
  </conditionalFormatting>
  <conditionalFormatting sqref="X13:X1048576">
    <cfRule type="cellIs" dxfId="10" priority="309" operator="greaterThan">
      <formula>1</formula>
    </cfRule>
  </conditionalFormatting>
  <conditionalFormatting sqref="X12:X1048576">
    <cfRule type="cellIs" dxfId="9" priority="306" operator="equal">
      <formula>0</formula>
    </cfRule>
  </conditionalFormatting>
  <conditionalFormatting sqref="A13:S251">
    <cfRule type="expression" dxfId="8" priority="300" stopIfTrue="1">
      <formula>$P13&gt;0</formula>
    </cfRule>
    <cfRule type="expression" dxfId="7" priority="301" stopIfTrue="1">
      <formula>$O13&gt;0</formula>
    </cfRule>
  </conditionalFormatting>
  <hyperlinks>
    <hyperlink ref="AJ90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0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A13:S251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AK13:AK251</xm:sqref>
        </x14:dataValidation>
        <x14:dataValidation type="list" allowBlank="1" showInputMessage="1" showErrorMessage="1">
          <x14:formula1>
            <xm:f>'Redmine List Values'!$C$2:$C$20</xm:f>
          </x14:formula1>
          <xm:sqref>AL13:AL251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C53"/>
  <sheetViews>
    <sheetView topLeftCell="A20" workbookViewId="0">
      <selection activeCell="A2" sqref="A2"/>
    </sheetView>
  </sheetViews>
  <sheetFormatPr defaultRowHeight="15" x14ac:dyDescent="0.25"/>
  <cols>
    <col min="1" max="1" width="17.7109375" style="8" customWidth="1"/>
    <col min="2" max="2" width="15" customWidth="1"/>
    <col min="3" max="3" width="8.28515625" customWidth="1"/>
    <col min="4" max="4" width="13.140625" customWidth="1"/>
    <col min="5" max="5" width="18.5703125" customWidth="1"/>
    <col min="6" max="6" width="5.7109375" style="2" customWidth="1"/>
    <col min="7" max="7" width="5.85546875" style="2" customWidth="1"/>
    <col min="8" max="8" width="7.85546875" style="2" customWidth="1"/>
    <col min="9" max="9" width="9" style="2" customWidth="1"/>
    <col min="10" max="10" width="11.5703125" hidden="1" customWidth="1"/>
    <col min="11" max="11" width="9.140625" style="2" customWidth="1"/>
    <col min="12" max="12" width="7.85546875" style="72" customWidth="1"/>
    <col min="13" max="13" width="7.85546875" style="2" customWidth="1"/>
    <col min="14" max="14" width="11.85546875" style="30" customWidth="1"/>
    <col min="15" max="15" width="5.140625" style="157" customWidth="1"/>
    <col min="16" max="16" width="30.7109375" customWidth="1"/>
    <col min="17" max="17" width="5" hidden="1" customWidth="1"/>
    <col min="18" max="18" width="5.5703125" style="93" customWidth="1"/>
    <col min="19" max="19" width="5.5703125" style="105" customWidth="1"/>
    <col min="20" max="20" width="6" style="90" customWidth="1"/>
    <col min="21" max="21" width="5.140625" customWidth="1"/>
    <col min="22" max="22" width="18.28515625" style="50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71" customWidth="1"/>
  </cols>
  <sheetData>
    <row r="1" spans="1:29" s="23" customFormat="1" ht="15.75" hidden="1" thickBot="1" x14ac:dyDescent="0.3">
      <c r="A1" s="8"/>
      <c r="F1" s="2"/>
      <c r="G1" s="2"/>
      <c r="H1" s="2"/>
      <c r="I1" s="2"/>
      <c r="K1" s="2"/>
      <c r="L1" s="72"/>
      <c r="M1" s="2"/>
      <c r="N1" s="30"/>
      <c r="O1" s="157"/>
      <c r="R1" s="93"/>
      <c r="S1" s="105"/>
      <c r="T1" s="90"/>
      <c r="V1" s="50"/>
      <c r="AC1" s="171"/>
    </row>
    <row r="2" spans="1:29" s="23" customFormat="1" x14ac:dyDescent="0.25">
      <c r="A2" s="8"/>
      <c r="F2" s="2"/>
      <c r="G2" s="2"/>
      <c r="H2" s="2"/>
      <c r="I2" s="2"/>
      <c r="K2" s="2"/>
      <c r="L2" s="143" t="s">
        <v>87</v>
      </c>
      <c r="M2" s="147"/>
      <c r="N2" s="118"/>
      <c r="O2" s="167">
        <f>COUNTIF($O$7:$O$369,"=Y")</f>
        <v>0</v>
      </c>
      <c r="P2" s="119"/>
      <c r="R2" s="93"/>
      <c r="S2" s="105"/>
      <c r="T2" s="90"/>
      <c r="V2" s="50"/>
      <c r="AC2" s="172"/>
    </row>
    <row r="3" spans="1:29" s="23" customFormat="1" ht="15.75" thickBot="1" x14ac:dyDescent="0.3">
      <c r="A3" s="8"/>
      <c r="F3" s="2"/>
      <c r="G3" s="2"/>
      <c r="H3" s="2"/>
      <c r="I3" s="2"/>
      <c r="K3" s="2"/>
      <c r="L3" s="144" t="s">
        <v>88</v>
      </c>
      <c r="M3" s="148"/>
      <c r="N3" s="120"/>
      <c r="O3" s="168">
        <f>COUNTA($O$7:$O$369)-O2</f>
        <v>34</v>
      </c>
      <c r="P3" s="119"/>
      <c r="R3" s="93"/>
      <c r="S3" s="105"/>
      <c r="T3" s="90"/>
      <c r="V3" s="50"/>
      <c r="AC3" s="172"/>
    </row>
    <row r="4" spans="1:29" s="23" customFormat="1" x14ac:dyDescent="0.25">
      <c r="A4" s="8"/>
      <c r="F4" s="2"/>
      <c r="G4" s="2"/>
      <c r="H4" s="2"/>
      <c r="I4" s="2"/>
      <c r="K4" s="2"/>
      <c r="L4" s="72"/>
      <c r="M4" s="2"/>
      <c r="N4" s="30"/>
      <c r="O4" s="157"/>
      <c r="R4" s="93"/>
      <c r="S4" s="105"/>
      <c r="T4" s="90"/>
      <c r="V4" s="50"/>
      <c r="AC4" s="172"/>
    </row>
    <row r="5" spans="1:29" s="11" customFormat="1" ht="15" customHeight="1" x14ac:dyDescent="0.25">
      <c r="A5" s="185" t="str">
        <f>"Eagle P3 Braking Events - "&amp;TEXT(Variables!$A$2,"YYYY-mm-dd")</f>
        <v>Eagle P3 Braking Events - 2016-10-04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2"/>
      <c r="R5" s="103"/>
      <c r="S5" s="106"/>
      <c r="T5" s="108"/>
      <c r="V5" s="51"/>
      <c r="AC5" s="173"/>
    </row>
    <row r="6" spans="1:29" s="142" customFormat="1" ht="69.75" customHeight="1" x14ac:dyDescent="0.2">
      <c r="A6" s="131" t="s">
        <v>38</v>
      </c>
      <c r="B6" s="132" t="s">
        <v>37</v>
      </c>
      <c r="C6" s="132" t="s">
        <v>36</v>
      </c>
      <c r="D6" s="132" t="s">
        <v>35</v>
      </c>
      <c r="E6" s="132" t="s">
        <v>34</v>
      </c>
      <c r="F6" s="133" t="s">
        <v>33</v>
      </c>
      <c r="G6" s="133" t="s">
        <v>32</v>
      </c>
      <c r="H6" s="133" t="s">
        <v>31</v>
      </c>
      <c r="I6" s="133" t="s">
        <v>172</v>
      </c>
      <c r="J6" s="132" t="s">
        <v>30</v>
      </c>
      <c r="K6" s="133" t="s">
        <v>29</v>
      </c>
      <c r="L6" s="145" t="s">
        <v>28</v>
      </c>
      <c r="M6" s="133" t="s">
        <v>173</v>
      </c>
      <c r="N6" s="134" t="s">
        <v>47</v>
      </c>
      <c r="O6" s="169" t="s">
        <v>27</v>
      </c>
      <c r="P6" s="132" t="s">
        <v>24</v>
      </c>
      <c r="Q6" s="135"/>
      <c r="R6" s="136" t="s">
        <v>96</v>
      </c>
      <c r="S6" s="137" t="s">
        <v>61</v>
      </c>
      <c r="T6" s="138" t="s">
        <v>95</v>
      </c>
      <c r="U6" s="132" t="s">
        <v>90</v>
      </c>
      <c r="V6" s="139" t="s">
        <v>91</v>
      </c>
      <c r="W6" s="135" t="s">
        <v>103</v>
      </c>
      <c r="X6" s="135" t="s">
        <v>104</v>
      </c>
      <c r="Y6" s="140" t="s">
        <v>157</v>
      </c>
      <c r="Z6" s="141" t="s">
        <v>158</v>
      </c>
      <c r="AA6" s="141" t="s">
        <v>131</v>
      </c>
      <c r="AB6" s="141" t="s">
        <v>159</v>
      </c>
      <c r="AC6" s="174" t="s">
        <v>212</v>
      </c>
    </row>
    <row r="7" spans="1:29" s="1" customFormat="1" x14ac:dyDescent="0.25">
      <c r="A7" s="38">
        <v>42647.634525462963</v>
      </c>
      <c r="B7" s="33" t="s">
        <v>269</v>
      </c>
      <c r="C7" s="33" t="s">
        <v>500</v>
      </c>
      <c r="D7" s="33" t="s">
        <v>229</v>
      </c>
      <c r="E7" s="33" t="s">
        <v>163</v>
      </c>
      <c r="F7" s="49">
        <v>0</v>
      </c>
      <c r="G7" s="49">
        <v>127</v>
      </c>
      <c r="H7" s="49">
        <v>27252</v>
      </c>
      <c r="I7" s="49">
        <v>27196</v>
      </c>
      <c r="J7" s="33" t="s">
        <v>162</v>
      </c>
      <c r="K7" s="49">
        <v>27350</v>
      </c>
      <c r="L7" s="146" t="s">
        <v>53</v>
      </c>
      <c r="M7" s="149">
        <f>CONVERT((I7-K7)/10000,"mi","ft")*IF(L7="Increasing Mileposts (1)",-1,1)</f>
        <v>-81.311999999999998</v>
      </c>
      <c r="N7" s="88" t="str">
        <f>VLOOKUP(C7,'Trips&amp;Operators'!$C$1:$E$99999,3,FALSE)</f>
        <v>ROBINSON</v>
      </c>
      <c r="O7" s="170" t="s">
        <v>86</v>
      </c>
      <c r="P7" s="10" t="s">
        <v>795</v>
      </c>
      <c r="Q7" s="33"/>
      <c r="R7" s="104" t="str">
        <f>VLOOKUP(C7,'Train Runs'!$A$13:$AE$10004,31,0)</f>
        <v>aws s3 cp s3://rtdc.mdm.uploadarchive.raw/RTDC4054/ "%USERPROFILE%\AppData\Local\Temp\OnboardLogs"\RTDC4054\2016-10-04 --exclude "*" --recursive --include "*20161004*" &amp; "%USERPROFILE%\Documents\GitHub\mrs-test-scripts\Headless Mode &amp; Sideloading\WalkAndUnGZ.bat" "%USERPROFILE%\AppData\Local\Temp\OnboardLogs"\RTDC4054\2016-10-04 &amp; aws s3 cp s3://rtdc.mdm.uploadarchive.raw/RTDC4054/ "%USERPROFILE%\AppData\Local\Temp\OnboardLogs"\RTDC4054\2016-10-05 --exclude "*" --recursive --include "*20161005*" &amp; "%USERPROFILE%\Documents\GitHub\mrs-test-scripts\Headless Mode &amp; Sideloading\WalkAndUnGZ.bat" "%USERPROFILE%\AppData\Local\Temp\OnboardLogs"\RTDC4054\2016-10-05</v>
      </c>
      <c r="S7" s="107" t="str">
        <f>VLOOKUP(C7,'Train Runs'!$A$13:$AE$10004,22,0)</f>
        <v>https://search-rtdc-monitor-bjffxe2xuh6vdkpspy63sjmuny.us-east-1.es.amazonaws.com/_plugin/kibana/#/discover/Steve-Slow-Train-Analysis-(2080s-and-2083s)?_g=(refreshInterval:(display:Off,section:0,value:0),time:(from:'2016-10-04 13:32:17-0600',mode:absolute,to:'2016-10-04 16:21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7" s="109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/stypes="*4054*201610042*" /stext=" 21:.+((SYSTEM_STATE.+slice.+state.+changed )|(ment ac)|(system.+state.+changed )|(\[timeout)|(PRM\|1\|D)|(kpr)|(kdp)|(\|lc)|(penalty))" /e /r /s</v>
      </c>
      <c r="U7" s="9" t="str">
        <f>MID(B7,13,4)</f>
        <v>4054</v>
      </c>
      <c r="V7" s="38">
        <f>A7+6/24</f>
        <v>42647.884525462963</v>
      </c>
      <c r="W7" s="52" t="str">
        <f>IF(VALUE(LEFT(IF(LEN(C7)=6,"0"&amp;C7,C7),2))&lt;=2,"EC",IF(OR(VALUE(LEFT(IF(LEN(C7)=6,"0"&amp;C7,C7),2))=8,VALUE(LEFT(IF(LEN(C7)=6,"0"&amp;C7,C7),2))=18),"NW","Other"))</f>
        <v>EC</v>
      </c>
      <c r="X7" s="52" t="str">
        <f>IF(AND(E7="TRACK WARRANT AUTHORITY",G7&lt;10),"OMIT","KEEP")</f>
        <v>KEEP</v>
      </c>
      <c r="Y7" s="130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arrival","project_id":79,"tracker_id":40,"status_id":1,"priority_id":2,"assigned_to_id":23,"start_date":"2016-10-04","description":"","custom_fields":[{"id":1,"name":"Subdivision","value":"EC"},{"id":4,"name":"Milepost","value":"2.735"},{"id":17,"name":"Train ID","value":"182-04"},{"id":16,"name":"Locomotive ID","value":"4054"},{"id":130,"name":"Impact","value":""},{"id":150,"name":"Time of Event (Mountain Time)","value":"15:13:43"},{"id":151,"name":"Denver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5"/>
      <c r="AA7" s="55"/>
      <c r="AB7" s="23"/>
      <c r="AC7" s="171" t="str">
        <f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"%USERPROFILE%\AppData\Local\Temp\OnboardLogs"\RTDC4054\*4054*201610042* | grep -SE "((Enforcement Ac)|(PRM))" -</v>
      </c>
    </row>
    <row r="8" spans="1:29" s="1" customFormat="1" x14ac:dyDescent="0.25">
      <c r="A8" s="38">
        <v>42647.873738425929</v>
      </c>
      <c r="B8" s="33" t="s">
        <v>394</v>
      </c>
      <c r="C8" s="33" t="s">
        <v>572</v>
      </c>
      <c r="D8" s="33" t="s">
        <v>229</v>
      </c>
      <c r="E8" s="33" t="s">
        <v>163</v>
      </c>
      <c r="F8" s="49">
        <v>0</v>
      </c>
      <c r="G8" s="49">
        <v>150</v>
      </c>
      <c r="H8" s="49">
        <v>27274</v>
      </c>
      <c r="I8" s="49">
        <v>27180</v>
      </c>
      <c r="J8" s="33" t="s">
        <v>162</v>
      </c>
      <c r="K8" s="49">
        <v>27350</v>
      </c>
      <c r="L8" s="146" t="s">
        <v>53</v>
      </c>
      <c r="M8" s="149">
        <f>CONVERT((I8-K8)/10000,"mi","ft")*IF(L8="Increasing Mileposts (1)",-1,1)</f>
        <v>-89.76</v>
      </c>
      <c r="N8" s="88" t="str">
        <f>VLOOKUP(C8,'Trips&amp;Operators'!$C$1:$E$99999,3,FALSE)</f>
        <v>COOLAHAN</v>
      </c>
      <c r="O8" s="170" t="s">
        <v>86</v>
      </c>
      <c r="P8" s="10" t="s">
        <v>795</v>
      </c>
      <c r="Q8" s="33"/>
      <c r="R8" s="104" t="str">
        <f>VLOOKUP(C8,'Train Runs'!$A$13:$AE$10004,31,0)</f>
        <v>aws s3 cp s3://rtdc.mdm.uploadarchive.raw/RTDC4043/ "%USERPROFILE%\AppData\Local\Temp\OnboardLogs"\RTDC4043\2016-10-04 --exclude "*" --recursive --include "*20161004*" &amp; "%USERPROFILE%\Documents\GitHub\mrs-test-scripts\Headless Mode &amp; Sideloading\WalkAndUnGZ.bat" "%USERPROFILE%\AppData\Local\Temp\OnboardLogs"\RTDC4043\2016-10-04 &amp; aws s3 cp s3://rtdc.mdm.uploadarchive.raw/RTDC4043/ "%USERPROFILE%\AppData\Local\Temp\OnboardLogs"\RTDC4043\2016-10-05 --exclude "*" --recursive --include "*20161005*" &amp; "%USERPROFILE%\Documents\GitHub\mrs-test-scripts\Headless Mode &amp; Sideloading\WalkAndUnGZ.bat" "%USERPROFILE%\AppData\Local\Temp\OnboardLogs"\RTDC4043\2016-10-05</v>
      </c>
      <c r="S8" s="107" t="str">
        <f>VLOOKUP(C8,'Train Runs'!$A$13:$AE$10004,22,0)</f>
        <v>https://search-rtdc-monitor-bjffxe2xuh6vdkpspy63sjmuny.us-east-1.es.amazonaws.com/_plugin/kibana/#/discover/Steve-Slow-Train-Analysis-(2080s-and-2083s)?_g=(refreshInterval:(display:Off,section:0,value:0),time:(from:'2016-10-04 19:18:39-0600',mode:absolute,to:'2016-10-04 22:05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8" s="109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/stypes="*4043*201610050*" /stext=" 02:.+((SYSTEM_STATE.+slice.+state.+changed )|(ment ac)|(system.+state.+changed )|(\[timeout)|(PRM\|1\|D)|(kpr)|(kdp)|(\|lc)|(penalty))" /e /r /s</v>
      </c>
      <c r="U8" s="9" t="str">
        <f>MID(B8,13,4)</f>
        <v>4043</v>
      </c>
      <c r="V8" s="38">
        <f>A8+6/24</f>
        <v>42648.123738425929</v>
      </c>
      <c r="W8" s="52" t="str">
        <f>IF(VALUE(LEFT(IF(LEN(C8)=6,"0"&amp;C8,C8),2))&lt;=2,"EC",IF(OR(VALUE(LEFT(IF(LEN(C8)=6,"0"&amp;C8,C8),2))=8,VALUE(LEFT(IF(LEN(C8)=6,"0"&amp;C8,C8),2))=18),"NW","Other"))</f>
        <v>EC</v>
      </c>
      <c r="X8" s="52" t="str">
        <f>IF(AND(E8="TRACK WARRANT AUTHORITY",G8&lt;10),"OMIT","KEEP")</f>
        <v>KEEP</v>
      </c>
      <c r="Y8" s="130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arrival","project_id":79,"tracker_id":40,"status_id":1,"priority_id":2,"assigned_to_id":23,"start_date":"2016-10-04","description":"","custom_fields":[{"id":1,"name":"Subdivision","value":"EC"},{"id":4,"name":"Milepost","value":"2.735"},{"id":17,"name":"Train ID","value":"224-04"},{"id":16,"name":"Locomotive ID","value":"4043"},{"id":130,"name":"Impact","value":""},{"id":150,"name":"Time of Event (Mountain Time)","value":"20:58:11"},{"id":151,"name":"Denver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5"/>
      <c r="AA8" s="55"/>
      <c r="AB8" s="23"/>
      <c r="AC8" s="171" t="str">
        <f>"grep -hSE -A100 ""Enforcement Action"" "&amp;search_path&amp;"\RTDC"&amp;U8&amp;"\*"&amp;U8&amp;"*"&amp;TEXT(A8-utc_offset/24,"YYYYMMDD")&amp;LEFT(TEXT(A8-utc_offset/24,"HH"),1)&amp;"* | grep -SE ""((Enforcement Ac)|(PRM))"" -"</f>
        <v>grep -hSE -A100 "Enforcement Action" "%USERPROFILE%\AppData\Local\Temp\OnboardLogs"\RTDC4043\*4043*201610050* | grep -SE "((Enforcement Ac)|(PRM))" -</v>
      </c>
    </row>
    <row r="9" spans="1:29" s="1" customFormat="1" x14ac:dyDescent="0.25">
      <c r="A9" s="38">
        <v>42647.535266203704</v>
      </c>
      <c r="B9" s="33" t="s">
        <v>292</v>
      </c>
      <c r="C9" s="33" t="s">
        <v>475</v>
      </c>
      <c r="D9" s="33" t="s">
        <v>229</v>
      </c>
      <c r="E9" s="33" t="s">
        <v>163</v>
      </c>
      <c r="F9" s="49">
        <v>0</v>
      </c>
      <c r="G9" s="49">
        <v>59</v>
      </c>
      <c r="H9" s="49">
        <v>63204</v>
      </c>
      <c r="I9" s="49">
        <v>63189</v>
      </c>
      <c r="J9" s="33" t="s">
        <v>162</v>
      </c>
      <c r="K9" s="49">
        <v>63309</v>
      </c>
      <c r="L9" s="146" t="s">
        <v>53</v>
      </c>
      <c r="M9" s="149">
        <f>CONVERT((I9-K9)/10000,"mi","ft")*IF(L9="Increasing Mileposts (1)",-1,1)</f>
        <v>-63.36</v>
      </c>
      <c r="N9" s="88" t="str">
        <f>VLOOKUP(C9,'Trips&amp;Operators'!$C$1:$E$99999,3,FALSE)</f>
        <v>HELVIE</v>
      </c>
      <c r="O9" s="170" t="s">
        <v>86</v>
      </c>
      <c r="P9" s="10" t="s">
        <v>795</v>
      </c>
      <c r="Q9" s="33"/>
      <c r="R9" s="104" t="str">
        <f>VLOOKUP(C9,'Train Runs'!$A$13:$AE$10004,31,0)</f>
        <v>aws s3 cp s3://rtdc.mdm.uploadarchive.raw/RTDC4030/ "%USERPROFILE%\AppData\Local\Temp\OnboardLogs"\RTDC4030\2016-10-04 --exclude "*" --recursive --include "*20161004*" &amp; "%USERPROFILE%\Documents\GitHub\mrs-test-scripts\Headless Mode &amp; Sideloading\WalkAndUnGZ.bat" "%USERPROFILE%\AppData\Local\Temp\OnboardLogs"\RTDC4030\2016-10-04 &amp; aws s3 cp s3://rtdc.mdm.uploadarchive.raw/RTDC4030/ "%USERPROFILE%\AppData\Local\Temp\OnboardLogs"\RTDC4030\2016-10-05 --exclude "*" --recursive --include "*20161005*" &amp; "%USERPROFILE%\Documents\GitHub\mrs-test-scripts\Headless Mode &amp; Sideloading\WalkAndUnGZ.bat" "%USERPROFILE%\AppData\Local\Temp\OnboardLogs"\RTDC4030\2016-10-05</v>
      </c>
      <c r="S9" s="107" t="str">
        <f>VLOOKUP(C9,'Train Runs'!$A$13:$AE$10004,22,0)</f>
        <v>https://search-rtdc-monitor-bjffxe2xuh6vdkpspy63sjmuny.us-east-1.es.amazonaws.com/_plugin/kibana/#/discover/Steve-Slow-Train-Analysis-(2080s-and-2083s)?_g=(refreshInterval:(display:Off,section:0,value:0),time:(from:'2016-10-04 11:23:10-0600',mode:absolute,to:'2016-10-04 14:05:25-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9" s="109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/stypes="*4030*201610041*" /stext=" 18:.+((SYSTEM_STATE.+slice.+state.+changed )|(ment ac)|(system.+state.+changed )|(\[timeout)|(PRM\|1\|D)|(kpr)|(kdp)|(\|lc)|(penalty))" /e /r /s</v>
      </c>
      <c r="U9" s="9" t="str">
        <f>MID(B9,13,4)</f>
        <v>4030</v>
      </c>
      <c r="V9" s="38">
        <f>A9+6/24</f>
        <v>42647.785266203704</v>
      </c>
      <c r="W9" s="52" t="str">
        <f>IF(VALUE(LEFT(IF(LEN(C9)=6,"0"&amp;C9,C9),2))&lt;=2,"EC",IF(OR(VALUE(LEFT(IF(LEN(C9)=6,"0"&amp;C9,C9),2))=8,VALUE(LEFT(IF(LEN(C9)=6,"0"&amp;C9,C9),2))=18),"NW","Other"))</f>
        <v>EC</v>
      </c>
      <c r="X9" s="52" t="str">
        <f>IF(AND(E9="TRACK WARRANT AUTHORITY",G9&lt;10),"OMIT","KEEP")</f>
        <v>KEEP</v>
      </c>
      <c r="Y9" s="130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arrival","project_id":79,"tracker_id":40,"status_id":1,"priority_id":2,"assigned_to_id":23,"start_date":"2016-10-04","description":"","custom_fields":[{"id":1,"name":"Subdivision","value":"EC"},{"id":4,"name":"Milepost","value":"6.3309"},{"id":17,"name":"Train ID","value":"164-04"},{"id":16,"name":"Locomotive ID","value":"4030"},{"id":130,"name":"Impact","value":""},{"id":150,"name":"Time of Event (Mountain Time)","value":"12:50:47"},{"id":151,"name":"Denver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5"/>
      <c r="AA9" s="55"/>
      <c r="AB9" s="23"/>
      <c r="AC9" s="171" t="str">
        <f>"grep -hSE -A100 ""Enforcement Action"" "&amp;search_path&amp;"\RTDC"&amp;U9&amp;"\*"&amp;U9&amp;"*"&amp;TEXT(A9-utc_offset/24,"YYYYMMDD")&amp;LEFT(TEXT(A9-utc_offset/24,"HH"),1)&amp;"* | grep -SE ""((Enforcement Ac)|(PRM))"" -"</f>
        <v>grep -hSE -A100 "Enforcement Action" "%USERPROFILE%\AppData\Local\Temp\OnboardLogs"\RTDC4030\*4030*201610041* | grep -SE "((Enforcement Ac)|(PRM))" -</v>
      </c>
    </row>
    <row r="10" spans="1:29" s="1" customFormat="1" x14ac:dyDescent="0.25">
      <c r="A10" s="38">
        <v>42647.342442129629</v>
      </c>
      <c r="B10" s="33" t="s">
        <v>267</v>
      </c>
      <c r="C10" s="33" t="s">
        <v>413</v>
      </c>
      <c r="D10" s="33" t="s">
        <v>49</v>
      </c>
      <c r="E10" s="33" t="s">
        <v>163</v>
      </c>
      <c r="F10" s="49">
        <v>0</v>
      </c>
      <c r="G10" s="49">
        <v>309</v>
      </c>
      <c r="H10" s="49">
        <v>109425</v>
      </c>
      <c r="I10" s="49">
        <v>109042</v>
      </c>
      <c r="J10" s="33" t="s">
        <v>162</v>
      </c>
      <c r="K10" s="49">
        <v>109135</v>
      </c>
      <c r="L10" s="146" t="s">
        <v>53</v>
      </c>
      <c r="M10" s="149">
        <f>CONVERT((I10-K10)/10000,"mi","ft")*IF(L10="Increasing Mileposts (1)",-1,1)</f>
        <v>-49.103999999999999</v>
      </c>
      <c r="N10" s="88" t="str">
        <f>VLOOKUP(C10,'Trips&amp;Operators'!$C$1:$E$99999,3,FALSE)</f>
        <v>KILLION</v>
      </c>
      <c r="O10" s="170" t="s">
        <v>86</v>
      </c>
      <c r="P10" s="10" t="s">
        <v>795</v>
      </c>
      <c r="Q10" s="33"/>
      <c r="R10" s="104" t="str">
        <f>VLOOKUP(C10,'Train Runs'!$A$13:$AE$10004,31,0)</f>
        <v>aws s3 cp s3://rtdc.mdm.uploadarchive.raw/RTDC4015/ "%USERPROFILE%\AppData\Local\Temp\OnboardLogs"\RTDC4015\2016-10-04 --exclude "*" --recursive --include "*20161004*" &amp; "%USERPROFILE%\Documents\GitHub\mrs-test-scripts\Headless Mode &amp; Sideloading\WalkAndUnGZ.bat" "%USERPROFILE%\AppData\Local\Temp\OnboardLogs"\RTDC4015\2016-10-04 &amp; aws s3 cp s3://rtdc.mdm.uploadarchive.raw/RTDC4015/ "%USERPROFILE%\AppData\Local\Temp\OnboardLogs"\RTDC4015\2016-10-05 --exclude "*" --recursive --include "*20161005*" &amp; "%USERPROFILE%\Documents\GitHub\mrs-test-scripts\Headless Mode &amp; Sideloading\WalkAndUnGZ.bat" "%USERPROFILE%\AppData\Local\Temp\OnboardLogs"\RTDC4015\2016-10-05</v>
      </c>
      <c r="S10" s="107" t="str">
        <f>VLOOKUP(C10,'Train Runs'!$A$13:$AE$10004,22,0)</f>
        <v>https://search-rtdc-monitor-bjffxe2xuh6vdkpspy63sjmuny.us-east-1.es.amazonaws.com/_plugin/kibana/#/discover/Steve-Slow-Train-Analysis-(2080s-and-2083s)?_g=(refreshInterval:(display:Off,section:0,value:0),time:(from:'2016-10-04 06:44:39-0600',mode:absolute,to:'2016-10-04 09:35:37-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0" s="109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/stypes="*4015*201610041*" /stext=" 14:.+((SYSTEM_STATE.+slice.+state.+changed )|(ment ac)|(system.+state.+changed )|(\[timeout)|(PRM\|1\|D)|(kpr)|(kdp)|(\|lc)|(penalty))" /e /r /s</v>
      </c>
      <c r="U10" s="9" t="str">
        <f>MID(B10,13,4)</f>
        <v>4015</v>
      </c>
      <c r="V10" s="38">
        <f>A10+6/24</f>
        <v>42647.592442129629</v>
      </c>
      <c r="W10" s="52" t="str">
        <f>IF(VALUE(LEFT(IF(LEN(C10)=6,"0"&amp;C10,C10),2))&lt;=2,"EC",IF(OR(VALUE(LEFT(IF(LEN(C10)=6,"0"&amp;C10,C10),2))=8,VALUE(LEFT(IF(LEN(C10)=6,"0"&amp;C10,C10),2))=18),"NW","Other"))</f>
        <v>EC</v>
      </c>
      <c r="X10" s="52" t="str">
        <f>IF(AND(E10="TRACK WARRANT AUTHORITY",G10&lt;10),"OMIT","KEEP")</f>
        <v>KEEP</v>
      </c>
      <c r="Y10" s="130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arrival","project_id":79,"tracker_id":40,"status_id":1,"priority_id":2,"assigned_to_id":23,"start_date":"2016-10-04","description":"","custom_fields":[{"id":1,"name":"Subdivision","value":"EC"},{"id":4,"name":"Milepost","value":"10.9135"},{"id":17,"name":"Train ID","value":"128-04"},{"id":16,"name":"Locomotive ID","value":"4015"},{"id":130,"name":"Impact","value":""},{"id":150,"name":"Time of Event (Mountain Time)","value":"08:13:07"},{"id":151,"name":"Denver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5"/>
      <c r="AA10" s="55"/>
      <c r="AB10" s="23"/>
      <c r="AC10" s="171" t="str">
        <f>"grep -hSE -A100 ""Enforcement Action"" "&amp;search_path&amp;"\RTDC"&amp;U10&amp;"\*"&amp;U10&amp;"*"&amp;TEXT(A10-utc_offset/24,"YYYYMMDD")&amp;LEFT(TEXT(A10-utc_offset/24,"HH"),1)&amp;"* | grep -SE ""((Enforcement Ac)|(PRM))"" -"</f>
        <v>grep -hSE -A100 "Enforcement Action" "%USERPROFILE%\AppData\Local\Temp\OnboardLogs"\RTDC4015\*4015*201610041* | grep -SE "((Enforcement Ac)|(PRM))" -</v>
      </c>
    </row>
    <row r="11" spans="1:29" s="1" customFormat="1" x14ac:dyDescent="0.25">
      <c r="A11" s="38">
        <v>42647.408368055556</v>
      </c>
      <c r="B11" s="33" t="s">
        <v>222</v>
      </c>
      <c r="C11" s="33" t="s">
        <v>439</v>
      </c>
      <c r="D11" s="33" t="s">
        <v>105</v>
      </c>
      <c r="E11" s="33" t="s">
        <v>56</v>
      </c>
      <c r="F11" s="49">
        <v>400</v>
      </c>
      <c r="G11" s="49">
        <v>455</v>
      </c>
      <c r="H11" s="49">
        <v>7343</v>
      </c>
      <c r="I11" s="49">
        <v>8577</v>
      </c>
      <c r="J11" s="33" t="s">
        <v>57</v>
      </c>
      <c r="K11" s="49">
        <v>5439</v>
      </c>
      <c r="L11" s="146" t="s">
        <v>52</v>
      </c>
      <c r="M11" s="149">
        <f>CONVERT((I11-K11)/10000,"mi","ft")*IF(L11="Increasing Mileposts (1)",-1,1)</f>
        <v>-1656.864</v>
      </c>
      <c r="N11" s="88" t="str">
        <f>VLOOKUP(C11,'Trips&amp;Operators'!$C$1:$E$99999,3,FALSE)</f>
        <v>BRANNON</v>
      </c>
      <c r="O11" s="170" t="s">
        <v>86</v>
      </c>
      <c r="P11" s="10"/>
      <c r="Q11" s="33"/>
      <c r="R11" s="104" t="str">
        <f>VLOOKUP(C11,'Train Runs'!$A$13:$AE$10004,31,0)</f>
        <v>aws s3 cp s3://rtdc.mdm.uploadarchive.raw/RTDC4029/ "%USERPROFILE%\AppData\Local\Temp\OnboardLogs"\RTDC4029\2016-10-04 --exclude "*" --recursive --include "*20161004*" &amp; "%USERPROFILE%\Documents\GitHub\mrs-test-scripts\Headless Mode &amp; Sideloading\WalkAndUnGZ.bat" "%USERPROFILE%\AppData\Local\Temp\OnboardLogs"\RTDC4029\2016-10-04 &amp; aws s3 cp s3://rtdc.mdm.uploadarchive.raw/RTDC4029/ "%USERPROFILE%\AppData\Local\Temp\OnboardLogs"\RTDC4029\2016-10-05 --exclude "*" --recursive --include "*20161005*" &amp; "%USERPROFILE%\Documents\GitHub\mrs-test-scripts\Headless Mode &amp; Sideloading\WalkAndUnGZ.bat" "%USERPROFILE%\AppData\Local\Temp\OnboardLogs"\RTDC4029\2016-10-05</v>
      </c>
      <c r="S11" s="107" t="str">
        <f>VLOOKUP(C11,'Train Runs'!$A$13:$AE$10004,22,0)</f>
        <v>https://search-rtdc-monitor-bjffxe2xuh6vdkpspy63sjmuny.us-east-1.es.amazonaws.com/_plugin/kibana/#/discover/Steve-Slow-Train-Analysis-(2080s-and-2083s)?_g=(refreshInterval:(display:Off,section:0,value:0),time:(from:'2016-10-04 08:37:08-0600',mode:absolute,to:'2016-10-04 11:23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11" s="109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/stypes="*4029*201610041*" /stext=" 15:.+((SYSTEM_STATE.+slice.+state.+changed )|(ment ac)|(system.+state.+changed )|(\[timeout)|(PRM\|1\|D)|(kpr)|(kdp)|(\|lc)|(penalty))" /e /r /s</v>
      </c>
      <c r="U11" s="9" t="str">
        <f>MID(B11,13,4)</f>
        <v>4029</v>
      </c>
      <c r="V11" s="38">
        <f>A11+6/24</f>
        <v>42647.658368055556</v>
      </c>
      <c r="W11" s="52" t="str">
        <f>IF(VALUE(LEFT(IF(LEN(C11)=6,"0"&amp;C11,C11),2))&lt;=2,"EC",IF(OR(VALUE(LEFT(IF(LEN(C11)=6,"0"&amp;C11,C11),2))=8,VALUE(LEFT(IF(LEN(C11)=6,"0"&amp;C11,C11),2))=18),"NW","Other"))</f>
        <v>EC</v>
      </c>
      <c r="X11" s="52" t="str">
        <f>IF(AND(E11="TRACK WARRANT AUTHORITY",G11&lt;10),"OMIT","KEEP")</f>
        <v>KEEP</v>
      </c>
      <c r="Y11" s="130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{"issue":{"subject":"","project_id":79,"tracker_id":40,"status_id":1,"priority_id":2,"assigned_to_id":23,"start_date":"2016-10-04","description":"","custom_fields":[{"id":1,"name":"Subdivision","value":"EC"},{"id":4,"name":"Milepost","value":"0.5439"},{"id":17,"name":"Train ID","value":"149-04"},{"id":16,"name":"Locomotive ID","value":"4029"},{"id":130,"name":"Impact","value":""},{"id":150,"name":"Time of Event (Mountain Time)","value":"09:48:03"},{"id":151,"name":"Denver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5"/>
      <c r="AA11" s="55"/>
      <c r="AB11" s="23"/>
      <c r="AC11" s="171" t="str">
        <f>"grep -hSE -A100 ""Enforcement Action"" "&amp;search_path&amp;"\RTDC"&amp;U11&amp;"\*"&amp;U11&amp;"*"&amp;TEXT(A11-utc_offset/24,"YYYYMMDD")&amp;LEFT(TEXT(A11-utc_offset/24,"HH"),1)&amp;"* | grep -SE ""((Enforcement Ac)|(PRM))"" -"</f>
        <v>grep -hSE -A100 "Enforcement Action" "%USERPROFILE%\AppData\Local\Temp\OnboardLogs"\RTDC4029\*4029*201610041* | grep -SE "((Enforcement Ac)|(PRM))" -</v>
      </c>
    </row>
    <row r="12" spans="1:29" s="1" customFormat="1" x14ac:dyDescent="0.25">
      <c r="A12" s="38">
        <v>42647.827268518522</v>
      </c>
      <c r="B12" s="33" t="s">
        <v>170</v>
      </c>
      <c r="C12" s="33" t="s">
        <v>561</v>
      </c>
      <c r="D12" s="33" t="s">
        <v>49</v>
      </c>
      <c r="E12" s="33" t="s">
        <v>56</v>
      </c>
      <c r="F12" s="49">
        <v>450</v>
      </c>
      <c r="G12" s="49">
        <v>501</v>
      </c>
      <c r="H12" s="49">
        <v>17391</v>
      </c>
      <c r="I12" s="49">
        <v>13861</v>
      </c>
      <c r="J12" s="33" t="s">
        <v>57</v>
      </c>
      <c r="K12" s="49">
        <v>15167</v>
      </c>
      <c r="L12" s="146" t="s">
        <v>53</v>
      </c>
      <c r="M12" s="149">
        <f>CONVERT((I12-K12)/10000,"mi","ft")*IF(L12="Increasing Mileposts (1)",-1,1)</f>
        <v>-689.56799999999998</v>
      </c>
      <c r="N12" s="88" t="str">
        <f>VLOOKUP(C12,'Trips&amp;Operators'!$C$1:$E$99999,3,FALSE)</f>
        <v>YANAI</v>
      </c>
      <c r="O12" s="170" t="s">
        <v>86</v>
      </c>
      <c r="P12" s="10"/>
      <c r="Q12" s="33"/>
      <c r="R12" s="104" t="str">
        <f>VLOOKUP(C12,'Train Runs'!$A$13:$AE$10004,31,0)</f>
        <v>aws s3 cp s3://rtdc.mdm.uploadarchive.raw/RTDC4041/ "%USERPROFILE%\AppData\Local\Temp\OnboardLogs"\RTDC4041\2016-10-04 --exclude "*" --recursive --include "*20161004*" &amp; "%USERPROFILE%\Documents\GitHub\mrs-test-scripts\Headless Mode &amp; Sideloading\WalkAndUnGZ.bat" "%USERPROFILE%\AppData\Local\Temp\OnboardLogs"\RTDC4041\2016-10-04 &amp; aws s3 cp s3://rtdc.mdm.uploadarchive.raw/RTDC4041/ "%USERPROFILE%\AppData\Local\Temp\OnboardLogs"\RTDC4041\2016-10-05 --exclude "*" --recursive --include "*20161005*" &amp; "%USERPROFILE%\Documents\GitHub\mrs-test-scripts\Headless Mode &amp; Sideloading\WalkAndUnGZ.bat" "%USERPROFILE%\AppData\Local\Temp\OnboardLogs"\RTDC4041\2016-10-05</v>
      </c>
      <c r="S12" s="107" t="str">
        <f>VLOOKUP(C12,'Train Runs'!$A$13:$AE$10004,22,0)</f>
        <v>https://search-rtdc-monitor-bjffxe2xuh6vdkpspy63sjmuny.us-east-1.es.amazonaws.com/_plugin/kibana/#/discover/Steve-Slow-Train-Analysis-(2080s-and-2083s)?_g=(refreshInterval:(display:Off,section:0,value:0),time:(from:'2016-10-04 18:04:11-0600',mode:absolute,to:'2016-10-04 20:56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2" s="109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/stypes="*4041*201610050*" /stext=" 01:.+((SYSTEM_STATE.+slice.+state.+changed )|(ment ac)|(system.+state.+changed )|(\[timeout)|(PRM\|1\|D)|(kpr)|(kdp)|(\|lc)|(penalty))" /e /r /s</v>
      </c>
      <c r="U12" s="9" t="str">
        <f>MID(B12,13,4)</f>
        <v>4041</v>
      </c>
      <c r="V12" s="38">
        <f>A12+6/24</f>
        <v>42648.077268518522</v>
      </c>
      <c r="W12" s="52" t="str">
        <f>IF(VALUE(LEFT(IF(LEN(C12)=6,"0"&amp;C12,C12),2))&lt;=2,"EC",IF(OR(VALUE(LEFT(IF(LEN(C12)=6,"0"&amp;C12,C12),2))=8,VALUE(LEFT(IF(LEN(C12)=6,"0"&amp;C12,C12),2))=18),"NW","Other"))</f>
        <v>EC</v>
      </c>
      <c r="X12" s="52" t="str">
        <f>IF(AND(E12="TRACK WARRANT AUTHORITY",G12&lt;10),"OMIT","KEEP")</f>
        <v>KEEP</v>
      </c>
      <c r="Y12" s="130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{"issue":{"subject":"","project_id":79,"tracker_id":40,"status_id":1,"priority_id":2,"assigned_to_id":23,"start_date":"2016-10-04","description":"","custom_fields":[{"id":1,"name":"Subdivision","value":"EC"},{"id":4,"name":"Milepost","value":"1.5167"},{"id":17,"name":"Train ID","value":"218-04"},{"id":16,"name":"Locomotive ID","value":"4041"},{"id":130,"name":"Impact","value":""},{"id":150,"name":"Time of Event (Mountain Time)","value":"19:51:16"},{"id":151,"name":"Denver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5"/>
      <c r="AA12" s="55"/>
      <c r="AB12" s="23"/>
      <c r="AC12" s="171" t="str">
        <f>"grep -hSE -A100 ""Enforcement Action"" "&amp;search_path&amp;"\RTDC"&amp;U12&amp;"\*"&amp;U12&amp;"*"&amp;TEXT(A12-utc_offset/24,"YYYYMMDD")&amp;LEFT(TEXT(A12-utc_offset/24,"HH"),1)&amp;"* | grep -SE ""((Enforcement Ac)|(PRM))"" -"</f>
        <v>grep -hSE -A100 "Enforcement Action" "%USERPROFILE%\AppData\Local\Temp\OnboardLogs"\RTDC4041\*4041*201610050* | grep -SE "((Enforcement Ac)|(PRM))" -</v>
      </c>
    </row>
    <row r="13" spans="1:29" s="1" customFormat="1" x14ac:dyDescent="0.25">
      <c r="A13" s="38">
        <v>42647.411122685182</v>
      </c>
      <c r="B13" s="33" t="s">
        <v>222</v>
      </c>
      <c r="C13" s="33" t="s">
        <v>439</v>
      </c>
      <c r="D13" s="33" t="s">
        <v>105</v>
      </c>
      <c r="E13" s="33" t="s">
        <v>56</v>
      </c>
      <c r="F13" s="49">
        <v>300</v>
      </c>
      <c r="G13" s="49">
        <v>352</v>
      </c>
      <c r="H13" s="49">
        <v>21032</v>
      </c>
      <c r="I13" s="49">
        <v>21817</v>
      </c>
      <c r="J13" s="33" t="s">
        <v>57</v>
      </c>
      <c r="K13" s="49">
        <v>20338</v>
      </c>
      <c r="L13" s="146" t="s">
        <v>52</v>
      </c>
      <c r="M13" s="149">
        <f>CONVERT((I13-K13)/10000,"mi","ft")*IF(L13="Increasing Mileposts (1)",-1,1)</f>
        <v>-780.91200000000003</v>
      </c>
      <c r="N13" s="88" t="str">
        <f>VLOOKUP(C13,'Trips&amp;Operators'!$C$1:$E$99999,3,FALSE)</f>
        <v>BRANNON</v>
      </c>
      <c r="O13" s="170" t="s">
        <v>86</v>
      </c>
      <c r="P13" s="10"/>
      <c r="Q13" s="33"/>
      <c r="R13" s="104" t="str">
        <f>VLOOKUP(C13,'Train Runs'!$A$13:$AE$10004,31,0)</f>
        <v>aws s3 cp s3://rtdc.mdm.uploadarchive.raw/RTDC4029/ "%USERPROFILE%\AppData\Local\Temp\OnboardLogs"\RTDC4029\2016-10-04 --exclude "*" --recursive --include "*20161004*" &amp; "%USERPROFILE%\Documents\GitHub\mrs-test-scripts\Headless Mode &amp; Sideloading\WalkAndUnGZ.bat" "%USERPROFILE%\AppData\Local\Temp\OnboardLogs"\RTDC4029\2016-10-04 &amp; aws s3 cp s3://rtdc.mdm.uploadarchive.raw/RTDC4029/ "%USERPROFILE%\AppData\Local\Temp\OnboardLogs"\RTDC4029\2016-10-05 --exclude "*" --recursive --include "*20161005*" &amp; "%USERPROFILE%\Documents\GitHub\mrs-test-scripts\Headless Mode &amp; Sideloading\WalkAndUnGZ.bat" "%USERPROFILE%\AppData\Local\Temp\OnboardLogs"\RTDC4029\2016-10-05</v>
      </c>
      <c r="S13" s="107" t="str">
        <f>VLOOKUP(C13,'Train Runs'!$A$13:$AE$10004,22,0)</f>
        <v>https://search-rtdc-monitor-bjffxe2xuh6vdkpspy63sjmuny.us-east-1.es.amazonaws.com/_plugin/kibana/#/discover/Steve-Slow-Train-Analysis-(2080s-and-2083s)?_g=(refreshInterval:(display:Off,section:0,value:0),time:(from:'2016-10-04 08:37:08-0600',mode:absolute,to:'2016-10-04 11:23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13" s="109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/stypes="*4029*201610041*" /stext=" 15:.+((SYSTEM_STATE.+slice.+state.+changed )|(ment ac)|(system.+state.+changed )|(\[timeout)|(PRM\|1\|D)|(kpr)|(kdp)|(\|lc)|(penalty))" /e /r /s</v>
      </c>
      <c r="U13" s="9" t="str">
        <f>MID(B13,13,4)</f>
        <v>4029</v>
      </c>
      <c r="V13" s="38">
        <f>A13+6/24</f>
        <v>42647.661122685182</v>
      </c>
      <c r="W13" s="52" t="str">
        <f>IF(VALUE(LEFT(IF(LEN(C13)=6,"0"&amp;C13,C13),2))&lt;=2,"EC",IF(OR(VALUE(LEFT(IF(LEN(C13)=6,"0"&amp;C13,C13),2))=8,VALUE(LEFT(IF(LEN(C13)=6,"0"&amp;C13,C13),2))=18),"NW","Other"))</f>
        <v>EC</v>
      </c>
      <c r="X13" s="52" t="str">
        <f>IF(AND(E13="TRACK WARRANT AUTHORITY",G13&lt;10),"OMIT","KEEP")</f>
        <v>KEEP</v>
      </c>
      <c r="Y13" s="130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{"issue":{"subject":"","project_id":79,"tracker_id":40,"status_id":1,"priority_id":2,"assigned_to_id":23,"start_date":"2016-10-04","description":"","custom_fields":[{"id":1,"name":"Subdivision","value":"EC"},{"id":4,"name":"Milepost","value":"2.0338"},{"id":17,"name":"Train ID","value":"149-04"},{"id":16,"name":"Locomotive ID","value":"4029"},{"id":130,"name":"Impact","value":""},{"id":150,"name":"Time of Event (Mountain Time)","value":"09:52:01"},{"id":151,"name":"Denver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5"/>
      <c r="AA13" s="55"/>
      <c r="AB13" s="23"/>
      <c r="AC13" s="171" t="str">
        <f>"grep -hSE -A100 ""Enforcement Action"" "&amp;search_path&amp;"\RTDC"&amp;U13&amp;"\*"&amp;U13&amp;"*"&amp;TEXT(A13-utc_offset/24,"YYYYMMDD")&amp;LEFT(TEXT(A13-utc_offset/24,"HH"),1)&amp;"* | grep -SE ""((Enforcement Ac)|(PRM))"" -"</f>
        <v>grep -hSE -A100 "Enforcement Action" "%USERPROFILE%\AppData\Local\Temp\OnboardLogs"\RTDC4029\*4029*201610041* | grep -SE "((Enforcement Ac)|(PRM))" -</v>
      </c>
    </row>
    <row r="14" spans="1:29" s="1" customFormat="1" x14ac:dyDescent="0.25">
      <c r="A14" s="38">
        <v>42647.638414351852</v>
      </c>
      <c r="B14" s="33" t="s">
        <v>394</v>
      </c>
      <c r="C14" s="33" t="s">
        <v>505</v>
      </c>
      <c r="D14" s="33" t="s">
        <v>105</v>
      </c>
      <c r="E14" s="33" t="s">
        <v>56</v>
      </c>
      <c r="F14" s="49">
        <v>600</v>
      </c>
      <c r="G14" s="49">
        <v>654</v>
      </c>
      <c r="H14" s="49">
        <v>184092</v>
      </c>
      <c r="I14" s="49">
        <v>181006</v>
      </c>
      <c r="J14" s="33" t="s">
        <v>57</v>
      </c>
      <c r="K14" s="49">
        <v>190834</v>
      </c>
      <c r="L14" s="146" t="s">
        <v>53</v>
      </c>
      <c r="M14" s="149">
        <f>CONVERT((I14-K14)/10000,"mi","ft")*IF(L14="Increasing Mileposts (1)",-1,1)</f>
        <v>-5189.1840000000002</v>
      </c>
      <c r="N14" s="88" t="str">
        <f>VLOOKUP(C14,'Trips&amp;Operators'!$C$1:$E$99999,3,FALSE)</f>
        <v>STORY</v>
      </c>
      <c r="O14" s="170" t="s">
        <v>86</v>
      </c>
      <c r="P14" s="10"/>
      <c r="Q14" s="33"/>
      <c r="R14" s="104" t="str">
        <f>VLOOKUP(C14,'Train Runs'!$A$13:$AE$10004,31,0)</f>
        <v>aws s3 cp s3://rtdc.mdm.uploadarchive.raw/RTDC4043/ "%USERPROFILE%\AppData\Local\Temp\OnboardLogs"\RTDC4043\2016-10-04 --exclude "*" --recursive --include "*20161004*" &amp; "%USERPROFILE%\Documents\GitHub\mrs-test-scripts\Headless Mode &amp; Sideloading\WalkAndUnGZ.bat" "%USERPROFILE%\AppData\Local\Temp\OnboardLogs"\RTDC4043\2016-10-04 &amp; aws s3 cp s3://rtdc.mdm.uploadarchive.raw/RTDC4043/ "%USERPROFILE%\AppData\Local\Temp\OnboardLogs"\RTDC4043\2016-10-05 --exclude "*" --recursive --include "*20161005*" &amp; "%USERPROFILE%\Documents\GitHub\mrs-test-scripts\Headless Mode &amp; Sideloading\WalkAndUnGZ.bat" "%USERPROFILE%\AppData\Local\Temp\OnboardLogs"\RTDC4043\2016-10-05</v>
      </c>
      <c r="S14" s="107" t="str">
        <f>VLOOKUP(C14,'Train Runs'!$A$13:$AE$10004,22,0)</f>
        <v>https://search-rtdc-monitor-bjffxe2xuh6vdkpspy63sjmuny.us-east-1.es.amazonaws.com/_plugin/kibana/#/discover/Steve-Slow-Train-Analysis-(2080s-and-2083s)?_g=(refreshInterval:(display:Off,section:0,value:0),time:(from:'2016-10-04 13:58:41-0600',mode:absolute,to:'2016-10-04 16:51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4" s="109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/stypes="*4043*201610042*" /stext=" 21:.+((SYSTEM_STATE.+slice.+state.+changed )|(ment ac)|(system.+state.+changed )|(\[timeout)|(PRM\|1\|D)|(kpr)|(kdp)|(\|lc)|(penalty))" /e /r /s</v>
      </c>
      <c r="U14" s="9" t="str">
        <f>MID(B14,13,4)</f>
        <v>4043</v>
      </c>
      <c r="V14" s="38">
        <f>A14+6/24</f>
        <v>42647.888414351852</v>
      </c>
      <c r="W14" s="52" t="str">
        <f>IF(VALUE(LEFT(IF(LEN(C14)=6,"0"&amp;C14,C14),2))&lt;=2,"EC",IF(OR(VALUE(LEFT(IF(LEN(C14)=6,"0"&amp;C14,C14),2))=8,VALUE(LEFT(IF(LEN(C14)=6,"0"&amp;C14,C14),2))=18),"NW","Other"))</f>
        <v>EC</v>
      </c>
      <c r="X14" s="52" t="str">
        <f>IF(AND(E14="TRACK WARRANT AUTHORITY",G14&lt;10),"OMIT","KEEP")</f>
        <v>KEEP</v>
      </c>
      <c r="Y14" s="130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{"issue":{"subject":"","project_id":79,"tracker_id":40,"status_id":1,"priority_id":2,"assigned_to_id":23,"start_date":"2016-10-04","description":"","custom_fields":[{"id":1,"name":"Subdivision","value":"EC"},{"id":4,"name":"Milepost","value":"19.0834"},{"id":17,"name":"Train ID","value":"186-04"},{"id":16,"name":"Locomotive ID","value":"4043"},{"id":130,"name":"Impact","value":""},{"id":150,"name":"Time of Event (Mountain Time)","value":"15:19:19"},{"id":151,"name":"Denver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5"/>
      <c r="AA14" s="55"/>
      <c r="AB14" s="23"/>
      <c r="AC14" s="171" t="str">
        <f>"grep -hSE -A100 ""Enforcement Action"" "&amp;search_path&amp;"\RTDC"&amp;U14&amp;"\*"&amp;U14&amp;"*"&amp;TEXT(A14-utc_offset/24,"YYYYMMDD")&amp;LEFT(TEXT(A14-utc_offset/24,"HH"),1)&amp;"* | grep -SE ""((Enforcement Ac)|(PRM))"" -"</f>
        <v>grep -hSE -A100 "Enforcement Action" "%USERPROFILE%\AppData\Local\Temp\OnboardLogs"\RTDC4043\*4043*201610042* | grep -SE "((Enforcement Ac)|(PRM))" -</v>
      </c>
    </row>
    <row r="15" spans="1:29" s="1" customFormat="1" x14ac:dyDescent="0.25">
      <c r="A15" s="38">
        <v>42647.370567129627</v>
      </c>
      <c r="B15" s="33" t="s">
        <v>272</v>
      </c>
      <c r="C15" s="33" t="s">
        <v>420</v>
      </c>
      <c r="D15" s="33" t="s">
        <v>49</v>
      </c>
      <c r="E15" s="33" t="s">
        <v>54</v>
      </c>
      <c r="F15" s="49">
        <v>0</v>
      </c>
      <c r="G15" s="49">
        <v>231</v>
      </c>
      <c r="H15" s="49">
        <v>102677</v>
      </c>
      <c r="I15" s="49">
        <v>102986</v>
      </c>
      <c r="J15" s="33" t="s">
        <v>55</v>
      </c>
      <c r="K15" s="49">
        <v>103445</v>
      </c>
      <c r="L15" s="146" t="s">
        <v>52</v>
      </c>
      <c r="M15" s="149">
        <f>CONVERT((I15-K15)/10000,"mi","ft")*IF(L15="Increasing Mileposts (1)",-1,1)</f>
        <v>242.352</v>
      </c>
      <c r="N15" s="88" t="str">
        <f>VLOOKUP(C15,'Trips&amp;Operators'!$C$1:$E$99999,3,FALSE)</f>
        <v>GEBRETEKLE</v>
      </c>
      <c r="O15" s="170" t="s">
        <v>86</v>
      </c>
      <c r="P15" s="10" t="s">
        <v>796</v>
      </c>
      <c r="Q15" s="33"/>
      <c r="R15" s="104" t="str">
        <f>VLOOKUP(C15,'Train Runs'!$A$13:$AE$10004,31,0)</f>
        <v>aws s3 cp s3://rtdc.mdm.uploadarchive.raw/RTDC4053/ "%USERPROFILE%\AppData\Local\Temp\OnboardLogs"\RTDC4053\2016-10-04 --exclude "*" --recursive --include "*20161004*" &amp; "%USERPROFILE%\Documents\GitHub\mrs-test-scripts\Headless Mode &amp; Sideloading\WalkAndUnGZ.bat" "%USERPROFILE%\AppData\Local\Temp\OnboardLogs"\RTDC4053\2016-10-04 &amp; aws s3 cp s3://rtdc.mdm.uploadarchive.raw/RTDC4053/ "%USERPROFILE%\AppData\Local\Temp\OnboardLogs"\RTDC4053\2016-10-05 --exclude "*" --recursive --include "*20161005*" &amp; "%USERPROFILE%\Documents\GitHub\mrs-test-scripts\Headless Mode &amp; Sideloading\WalkAndUnGZ.bat" "%USERPROFILE%\AppData\Local\Temp\OnboardLogs"\RTDC4053\2016-10-05</v>
      </c>
      <c r="S15" s="107" t="str">
        <f>VLOOKUP(C15,'Train Runs'!$A$13:$AE$10004,22,0)</f>
        <v>https://search-rtdc-monitor-bjffxe2xuh6vdkpspy63sjmuny.us-east-1.es.amazonaws.com/_plugin/kibana/#/discover/Steve-Slow-Train-Analysis-(2080s-and-2083s)?_g=(refreshInterval:(display:Off,section:0,value:0),time:(from:'2016-10-04 07:25:33-0600',mode:absolute,to:'2016-10-04 10:18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15" s="109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/stypes="*4053*201610041*" /stext=" 14:.+((SYSTEM_STATE.+slice.+state.+changed )|(ment ac)|(system.+state.+changed )|(\[timeout)|(PRM\|1\|D)|(kpr)|(kdp)|(\|lc)|(penalty))" /e /r /s</v>
      </c>
      <c r="U15" s="9" t="str">
        <f>MID(B15,13,4)</f>
        <v>4053</v>
      </c>
      <c r="V15" s="38">
        <f>A15+6/24</f>
        <v>42647.620567129627</v>
      </c>
      <c r="W15" s="52" t="str">
        <f>IF(VALUE(LEFT(IF(LEN(C15)=6,"0"&amp;C15,C15),2))&lt;=2,"EC",IF(OR(VALUE(LEFT(IF(LEN(C15)=6,"0"&amp;C15,C15),2))=8,VALUE(LEFT(IF(LEN(C15)=6,"0"&amp;C15,C15),2))=18),"NW","Other"))</f>
        <v>EC</v>
      </c>
      <c r="X15" s="52" t="str">
        <f>IF(AND(E15="TRACK WARRANT AUTHORITY",G15&lt;10),"OMIT","KEEP")</f>
        <v>KEEP</v>
      </c>
      <c r="Y15" s="130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{"issue":{"subject":"Sable 2N STOP, cleared afterward","project_id":79,"tracker_id":40,"status_id":1,"priority_id":2,"assigned_to_id":23,"start_date":"2016-10-04","description":"","custom_fields":[{"id":1,"name":"Subdivision","value":"EC"},{"id":4,"name":"Milepost","value":"10.3445"},{"id":17,"name":"Train ID","value":"139-04"},{"id":16,"name":"Locomotive ID","value":"4053"},{"id":130,"name":"Impact","value":""},{"id":150,"name":"Time of Event (Mountain Time)","value":"08:53:37"},{"id":151,"name":"Denver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5"/>
      <c r="AA15" s="55"/>
      <c r="AB15" s="23"/>
      <c r="AC15" s="171" t="str">
        <f>"grep -hSE -A100 ""Enforcement Action"" "&amp;search_path&amp;"\RTDC"&amp;U15&amp;"\*"&amp;U15&amp;"*"&amp;TEXT(A15-utc_offset/24,"YYYYMMDD")&amp;LEFT(TEXT(A15-utc_offset/24,"HH"),1)&amp;"* | grep -SE ""((Enforcement Ac)|(PRM))"" -"</f>
        <v>grep -hSE -A100 "Enforcement Action" "%USERPROFILE%\AppData\Local\Temp\OnboardLogs"\RTDC4053\*4053*201610041* | grep -SE "((Enforcement Ac)|(PRM))" -</v>
      </c>
    </row>
    <row r="16" spans="1:29" s="1" customFormat="1" x14ac:dyDescent="0.25">
      <c r="A16" s="38">
        <v>42647.393657407411</v>
      </c>
      <c r="B16" s="33" t="s">
        <v>166</v>
      </c>
      <c r="C16" s="33" t="s">
        <v>429</v>
      </c>
      <c r="D16" s="33" t="s">
        <v>49</v>
      </c>
      <c r="E16" s="33" t="s">
        <v>54</v>
      </c>
      <c r="F16" s="49">
        <v>0</v>
      </c>
      <c r="G16" s="49">
        <v>546</v>
      </c>
      <c r="H16" s="49">
        <v>130656</v>
      </c>
      <c r="I16" s="49">
        <v>128691</v>
      </c>
      <c r="J16" s="33" t="s">
        <v>55</v>
      </c>
      <c r="K16" s="49">
        <v>127587</v>
      </c>
      <c r="L16" s="146" t="s">
        <v>53</v>
      </c>
      <c r="M16" s="149">
        <f>CONVERT((I16-K16)/10000,"mi","ft")*IF(L16="Increasing Mileposts (1)",-1,1)</f>
        <v>582.91200000000003</v>
      </c>
      <c r="N16" s="88" t="str">
        <f>VLOOKUP(C16,'Trips&amp;Operators'!$C$1:$E$99999,3,FALSE)</f>
        <v>SPECTOR</v>
      </c>
      <c r="O16" s="170" t="s">
        <v>86</v>
      </c>
      <c r="P16" s="10" t="s">
        <v>359</v>
      </c>
      <c r="Q16" s="33"/>
      <c r="R16" s="104" t="str">
        <f>VLOOKUP(C16,'Train Runs'!$A$13:$AE$10004,31,0)</f>
        <v>aws s3 cp s3://rtdc.mdm.uploadarchive.raw/RTDC4026/ "%USERPROFILE%\AppData\Local\Temp\OnboardLogs"\RTDC4026\2016-10-04 --exclude "*" --recursive --include "*20161004*" &amp; "%USERPROFILE%\Documents\GitHub\mrs-test-scripts\Headless Mode &amp; Sideloading\WalkAndUnGZ.bat" "%USERPROFILE%\AppData\Local\Temp\OnboardLogs"\RTDC4026\2016-10-04 &amp; aws s3 cp s3://rtdc.mdm.uploadarchive.raw/RTDC4026/ "%USERPROFILE%\AppData\Local\Temp\OnboardLogs"\RTDC4026\2016-10-05 --exclude "*" --recursive --include "*20161005*" &amp; "%USERPROFILE%\Documents\GitHub\mrs-test-scripts\Headless Mode &amp; Sideloading\WalkAndUnGZ.bat" "%USERPROFILE%\AppData\Local\Temp\OnboardLogs"\RTDC4026\2016-10-05</v>
      </c>
      <c r="S16" s="107" t="str">
        <f>VLOOKUP(C16,'Train Runs'!$A$13:$AE$10004,22,0)</f>
        <v>https://search-rtdc-monitor-bjffxe2xuh6vdkpspy63sjmuny.us-east-1.es.amazonaws.com/_plugin/kibana/#/discover/Steve-Slow-Train-Analysis-(2080s-and-2083s)?_g=(refreshInterval:(display:Off,section:0,value:0),time:(from:'2016-10-04 08:12:19-0600',mode:absolute,to:'2016-10-04 10:53:24-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6" s="109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/stypes="*4026*201610041*" /stext=" 15:.+((SYSTEM_STATE.+slice.+state.+changed )|(ment ac)|(system.+state.+changed )|(\[timeout)|(PRM\|1\|D)|(kpr)|(kdp)|(\|lc)|(penalty))" /e /r /s</v>
      </c>
      <c r="U16" s="9" t="str">
        <f>MID(B16,13,4)</f>
        <v>4026</v>
      </c>
      <c r="V16" s="38">
        <f>A16+6/24</f>
        <v>42647.643657407411</v>
      </c>
      <c r="W16" s="52" t="str">
        <f>IF(VALUE(LEFT(IF(LEN(C16)=6,"0"&amp;C16,C16),2))&lt;=2,"EC",IF(OR(VALUE(LEFT(IF(LEN(C16)=6,"0"&amp;C16,C16),2))=8,VALUE(LEFT(IF(LEN(C16)=6,"0"&amp;C16,C16),2))=18),"NW","Other"))</f>
        <v>EC</v>
      </c>
      <c r="X16" s="52" t="str">
        <f>IF(AND(E16="TRACK WARRANT AUTHORITY",G16&lt;10),"OMIT","KEEP")</f>
        <v>KEEP</v>
      </c>
      <c r="Y16" s="130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{"issue":{"subject":"40th 4S STOP, cleared afterward","project_id":79,"tracker_id":40,"status_id":1,"priority_id":2,"assigned_to_id":23,"start_date":"2016-10-04","description":"","custom_fields":[{"id":1,"name":"Subdivision","value":"EC"},{"id":4,"name":"Milepost","value":"12.7587"},{"id":17,"name":"Train ID","value":"136-04"},{"id":16,"name":"Locomotive ID","value":"4026"},{"id":130,"name":"Impact","value":""},{"id":150,"name":"Time of Event (Mountain Time)","value":"09:26:52"},{"id":151,"name":"Denver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5"/>
      <c r="AA16" s="55"/>
      <c r="AB16" s="23"/>
      <c r="AC16" s="171" t="str">
        <f>"grep -hSE -A100 ""Enforcement Action"" "&amp;search_path&amp;"\RTDC"&amp;U16&amp;"\*"&amp;U16&amp;"*"&amp;TEXT(A16-utc_offset/24,"YYYYMMDD")&amp;LEFT(TEXT(A16-utc_offset/24,"HH"),1)&amp;"* | grep -SE ""((Enforcement Ac)|(PRM))"" -"</f>
        <v>grep -hSE -A100 "Enforcement Action" "%USERPROFILE%\AppData\Local\Temp\OnboardLogs"\RTDC4026\*4026*201610041* | grep -SE "((Enforcement Ac)|(PRM))" -</v>
      </c>
    </row>
    <row r="17" spans="1:29" s="1" customFormat="1" x14ac:dyDescent="0.25">
      <c r="A17" s="38">
        <v>42647.380462962959</v>
      </c>
      <c r="B17" s="33" t="s">
        <v>272</v>
      </c>
      <c r="C17" s="33" t="s">
        <v>420</v>
      </c>
      <c r="D17" s="33" t="s">
        <v>105</v>
      </c>
      <c r="E17" s="33" t="s">
        <v>54</v>
      </c>
      <c r="F17" s="49">
        <v>200</v>
      </c>
      <c r="G17" s="49">
        <v>258</v>
      </c>
      <c r="H17" s="49">
        <v>155025</v>
      </c>
      <c r="I17" s="49">
        <v>155881</v>
      </c>
      <c r="J17" s="33" t="s">
        <v>55</v>
      </c>
      <c r="K17" s="49">
        <v>149694</v>
      </c>
      <c r="L17" s="146" t="s">
        <v>52</v>
      </c>
      <c r="M17" s="149">
        <f>CONVERT((I17-K17)/10000,"mi","ft")*IF(L17="Increasing Mileposts (1)",-1,1)</f>
        <v>-3266.7359999999999</v>
      </c>
      <c r="N17" s="88" t="str">
        <f>VLOOKUP(C17,'Trips&amp;Operators'!$C$1:$E$99999,3,FALSE)</f>
        <v>GEBRETEKLE</v>
      </c>
      <c r="O17" s="170" t="s">
        <v>86</v>
      </c>
      <c r="P17" s="10" t="s">
        <v>360</v>
      </c>
      <c r="Q17" s="33"/>
      <c r="R17" s="104" t="str">
        <f>VLOOKUP(C17,'Train Runs'!$A$13:$AE$10004,31,0)</f>
        <v>aws s3 cp s3://rtdc.mdm.uploadarchive.raw/RTDC4053/ "%USERPROFILE%\AppData\Local\Temp\OnboardLogs"\RTDC4053\2016-10-04 --exclude "*" --recursive --include "*20161004*" &amp; "%USERPROFILE%\Documents\GitHub\mrs-test-scripts\Headless Mode &amp; Sideloading\WalkAndUnGZ.bat" "%USERPROFILE%\AppData\Local\Temp\OnboardLogs"\RTDC4053\2016-10-04 &amp; aws s3 cp s3://rtdc.mdm.uploadarchive.raw/RTDC4053/ "%USERPROFILE%\AppData\Local\Temp\OnboardLogs"\RTDC4053\2016-10-05 --exclude "*" --recursive --include "*20161005*" &amp; "%USERPROFILE%\Documents\GitHub\mrs-test-scripts\Headless Mode &amp; Sideloading\WalkAndUnGZ.bat" "%USERPROFILE%\AppData\Local\Temp\OnboardLogs"\RTDC4053\2016-10-05</v>
      </c>
      <c r="S17" s="107" t="str">
        <f>VLOOKUP(C17,'Train Runs'!$A$13:$AE$10004,22,0)</f>
        <v>https://search-rtdc-monitor-bjffxe2xuh6vdkpspy63sjmuny.us-east-1.es.amazonaws.com/_plugin/kibana/#/discover/Steve-Slow-Train-Analysis-(2080s-and-2083s)?_g=(refreshInterval:(display:Off,section:0,value:0),time:(from:'2016-10-04 07:25:33-0600',mode:absolute,to:'2016-10-04 10:18:52-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T17" s="109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/stypes="*4053*201610041*" /stext=" 15:.+((SYSTEM_STATE.+slice.+state.+changed )|(ment ac)|(system.+state.+changed )|(\[timeout)|(PRM\|1\|D)|(kpr)|(kdp)|(\|lc)|(penalty))" /e /r /s</v>
      </c>
      <c r="U17" s="9" t="str">
        <f>MID(B17,13,4)</f>
        <v>4053</v>
      </c>
      <c r="V17" s="38">
        <f>A17+6/24</f>
        <v>42647.630462962959</v>
      </c>
      <c r="W17" s="52" t="str">
        <f>IF(VALUE(LEFT(IF(LEN(C17)=6,"0"&amp;C17,C17),2))&lt;=2,"EC",IF(OR(VALUE(LEFT(IF(LEN(C17)=6,"0"&amp;C17,C17),2))=8,VALUE(LEFT(IF(LEN(C17)=6,"0"&amp;C17,C17),2))=18),"NW","Other"))</f>
        <v>EC</v>
      </c>
      <c r="X17" s="52" t="str">
        <f>IF(AND(E17="TRACK WARRANT AUTHORITY",G17&lt;10),"OMIT","KEEP")</f>
        <v>KEEP</v>
      </c>
      <c r="Y17" s="130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Overspeed","project_id":79,"tracker_id":40,"status_id":1,"priority_id":2,"assigned_to_id":23,"start_date":"2016-10-04","description":"","custom_fields":[{"id":1,"name":"Subdivision","value":"EC"},{"id":4,"name":"Milepost","value":"14.9694"},{"id":17,"name":"Train ID","value":"139-04"},{"id":16,"name":"Locomotive ID","value":"4053"},{"id":130,"name":"Impact","value":""},{"id":150,"name":"Time of Event (Mountain Time)","value":"09:07:52"},{"id":151,"name":"Denver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5"/>
      <c r="AA17" s="55"/>
      <c r="AB17" s="23"/>
      <c r="AC17" s="171" t="str">
        <f>"grep -hSE -A100 ""Enforcement Action"" "&amp;search_path&amp;"\RTDC"&amp;U17&amp;"\*"&amp;U17&amp;"*"&amp;TEXT(A17-utc_offset/24,"YYYYMMDD")&amp;LEFT(TEXT(A17-utc_offset/24,"HH"),1)&amp;"* | grep -SE ""((Enforcement Ac)|(PRM))"" -"</f>
        <v>grep -hSE -A100 "Enforcement Action" "%USERPROFILE%\AppData\Local\Temp\OnboardLogs"\RTDC4053\*4053*201610041* | grep -SE "((Enforcement Ac)|(PRM))" -</v>
      </c>
    </row>
    <row r="18" spans="1:29" s="1" customFormat="1" x14ac:dyDescent="0.25">
      <c r="A18" s="38">
        <v>42647.654224537036</v>
      </c>
      <c r="B18" s="33" t="s">
        <v>363</v>
      </c>
      <c r="C18" s="33" t="s">
        <v>510</v>
      </c>
      <c r="D18" s="33" t="s">
        <v>49</v>
      </c>
      <c r="E18" s="33" t="s">
        <v>54</v>
      </c>
      <c r="F18" s="49">
        <v>0</v>
      </c>
      <c r="G18" s="49">
        <v>112</v>
      </c>
      <c r="H18" s="49">
        <v>150118</v>
      </c>
      <c r="I18" s="49">
        <v>149950</v>
      </c>
      <c r="J18" s="33" t="s">
        <v>55</v>
      </c>
      <c r="K18" s="49">
        <v>149700</v>
      </c>
      <c r="L18" s="146" t="s">
        <v>53</v>
      </c>
      <c r="M18" s="149">
        <f>CONVERT((I18-K18)/10000,"mi","ft")*IF(L18="Increasing Mileposts (1)",-1,1)</f>
        <v>132</v>
      </c>
      <c r="N18" s="88" t="str">
        <f>VLOOKUP(C18,'Trips&amp;Operators'!$C$1:$E$99999,3,FALSE)</f>
        <v>BARTLETT</v>
      </c>
      <c r="O18" s="170" t="s">
        <v>86</v>
      </c>
      <c r="P18" s="10" t="s">
        <v>797</v>
      </c>
      <c r="Q18" s="33"/>
      <c r="R18" s="104" t="str">
        <f>VLOOKUP(C18,'Train Runs'!$A$13:$AE$10004,31,0)</f>
        <v>aws s3 cp s3://rtdc.mdm.uploadarchive.raw/RTDC4008/ "%USERPROFILE%\AppData\Local\Temp\OnboardLogs"\RTDC4008\2016-10-04 --exclude "*" --recursive --include "*20161004*" &amp; "%USERPROFILE%\Documents\GitHub\mrs-test-scripts\Headless Mode &amp; Sideloading\WalkAndUnGZ.bat" "%USERPROFILE%\AppData\Local\Temp\OnboardLogs"\RTDC4008\2016-10-04 &amp; aws s3 cp s3://rtdc.mdm.uploadarchive.raw/RTDC4008/ "%USERPROFILE%\AppData\Local\Temp\OnboardLogs"\RTDC4008\2016-10-05 --exclude "*" --recursive --include "*20161005*" &amp; "%USERPROFILE%\Documents\GitHub\mrs-test-scripts\Headless Mode &amp; Sideloading\WalkAndUnGZ.bat" "%USERPROFILE%\AppData\Local\Temp\OnboardLogs"\RTDC4008\2016-10-05</v>
      </c>
      <c r="S18" s="107" t="str">
        <f>VLOOKUP(C18,'Train Runs'!$A$13:$AE$10004,22,0)</f>
        <v>https://search-rtdc-monitor-bjffxe2xuh6vdkpspy63sjmuny.us-east-1.es.amazonaws.com/_plugin/kibana/#/discover/Steve-Slow-Train-Analysis-(2080s-and-2083s)?_g=(refreshInterval:(display:Off,section:0,value:0),time:(from:'2016-10-04 14:46:29-0600',mode:absolute,to:'2016-10-04 17:16:38-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4008%22')),sort:!(Time,asc))</v>
      </c>
      <c r="T18" s="109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/stypes="*4008*201610042*" /stext=" 21:.+((SYSTEM_STATE.+slice.+state.+changed )|(ment ac)|(system.+state.+changed )|(\[timeout)|(PRM\|1\|D)|(kpr)|(kdp)|(\|lc)|(penalty))" /e /r /s</v>
      </c>
      <c r="U18" s="9" t="str">
        <f>MID(B18,13,4)</f>
        <v>4008</v>
      </c>
      <c r="V18" s="38">
        <f>A18+6/24</f>
        <v>42647.904224537036</v>
      </c>
      <c r="W18" s="52" t="str">
        <f>IF(VALUE(LEFT(IF(LEN(C18)=6,"0"&amp;C18,C18),2))&lt;=2,"EC",IF(OR(VALUE(LEFT(IF(LEN(C18)=6,"0"&amp;C18,C18),2))=8,VALUE(LEFT(IF(LEN(C18)=6,"0"&amp;C18,C18),2))=18),"NW","Other"))</f>
        <v>EC</v>
      </c>
      <c r="X18" s="52" t="str">
        <f>IF(AND(E18="TRACK WARRANT AUTHORITY",G18&lt;10),"OMIT","KEEP")</f>
        <v>KEEP</v>
      </c>
      <c r="Y18" s="130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{"issue":{"subject":"EC1497RH 149-1T 1S STOP, cleared afterward","project_id":79,"tracker_id":40,"status_id":1,"priority_id":2,"assigned_to_id":23,"start_date":"2016-10-04","description":"","custom_fields":[{"id":1,"name":"Subdivision","value":"EC"},{"id":4,"name":"Milepost","value":"14.97"},{"id":17,"name":"Train ID","value":"188-04"},{"id":16,"name":"Locomotive ID","value":"4008"},{"id":130,"name":"Impact","value":""},{"id":150,"name":"Time of Event (Mountain Time)","value":"15:42:05"},{"id":151,"name":"Denver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5"/>
      <c r="AA18" s="55"/>
      <c r="AB18" s="23"/>
      <c r="AC18" s="171" t="str">
        <f>"grep -hSE -A100 ""Enforcement Action"" "&amp;search_path&amp;"\RTDC"&amp;U18&amp;"\*"&amp;U18&amp;"*"&amp;TEXT(A18-utc_offset/24,"YYYYMMDD")&amp;LEFT(TEXT(A18-utc_offset/24,"HH"),1)&amp;"* | grep -SE ""((Enforcement Ac)|(PRM))"" -"</f>
        <v>grep -hSE -A100 "Enforcement Action" "%USERPROFILE%\AppData\Local\Temp\OnboardLogs"\RTDC4008\*4008*201610042* | grep -SE "((Enforcement Ac)|(PRM))" -</v>
      </c>
    </row>
    <row r="19" spans="1:29" s="1" customFormat="1" x14ac:dyDescent="0.25">
      <c r="A19" s="38">
        <v>42647.285208333335</v>
      </c>
      <c r="B19" s="33" t="s">
        <v>267</v>
      </c>
      <c r="C19" s="33" t="s">
        <v>391</v>
      </c>
      <c r="D19" s="33" t="s">
        <v>49</v>
      </c>
      <c r="E19" s="33" t="s">
        <v>50</v>
      </c>
      <c r="F19" s="49">
        <v>0</v>
      </c>
      <c r="G19" s="49">
        <v>51</v>
      </c>
      <c r="H19" s="49">
        <v>174</v>
      </c>
      <c r="I19" s="49">
        <v>132</v>
      </c>
      <c r="J19" s="33" t="s">
        <v>51</v>
      </c>
      <c r="K19" s="49">
        <v>1</v>
      </c>
      <c r="L19" s="146" t="s">
        <v>53</v>
      </c>
      <c r="M19" s="149">
        <f>CONVERT((I19-K19)/10000,"mi","ft")*IF(L19="Increasing Mileposts (1)",-1,1)</f>
        <v>69.168000000000006</v>
      </c>
      <c r="N19" s="88" t="str">
        <f>VLOOKUP(C19,'Trips&amp;Operators'!$C$1:$E$99999,3,FALSE)</f>
        <v>KILLION</v>
      </c>
      <c r="O19" s="170" t="s">
        <v>86</v>
      </c>
      <c r="P19" s="10"/>
      <c r="Q19" s="33"/>
      <c r="R19" s="104" t="str">
        <f>VLOOKUP(C19,'Train Runs'!$A$13:$AE$10004,31,0)</f>
        <v>aws s3 cp s3://rtdc.mdm.uploadarchive.raw/RTDC4015/ "%USERPROFILE%\AppData\Local\Temp\OnboardLogs"\RTDC4015\2016-10-04 --exclude "*" --recursive --include "*20161004*" &amp; "%USERPROFILE%\Documents\GitHub\mrs-test-scripts\Headless Mode &amp; Sideloading\WalkAndUnGZ.bat" "%USERPROFILE%\AppData\Local\Temp\OnboardLogs"\RTDC4015\2016-10-04 &amp; aws s3 cp s3://rtdc.mdm.uploadarchive.raw/RTDC4015/ "%USERPROFILE%\AppData\Local\Temp\OnboardLogs"\RTDC4015\2016-10-05 --exclude "*" --recursive --include "*20161005*" &amp; "%USERPROFILE%\Documents\GitHub\mrs-test-scripts\Headless Mode &amp; Sideloading\WalkAndUnGZ.bat" "%USERPROFILE%\AppData\Local\Temp\OnboardLogs"\RTDC4015\2016-10-05</v>
      </c>
      <c r="S19" s="107" t="str">
        <f>VLOOKUP(C19,'Train Runs'!$A$13:$AE$10004,22,0)</f>
        <v>https://search-rtdc-monitor-bjffxe2xuh6vdkpspy63sjmuny.us-east-1.es.amazonaws.com/_plugin/kibana/#/discover/Steve-Slow-Train-Analysis-(2080s-and-2083s)?_g=(refreshInterval:(display:Off,section:0,value:0),time:(from:'2016-10-04 05:01:50-0600',mode:absolute,to:'2016-10-04 07:50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19" s="109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/stypes="*4015*201610041*" /stext=" 12:.+((SYSTEM_STATE.+slice.+state.+changed )|(ment ac)|(system.+state.+changed )|(\[timeout)|(PRM\|1\|D)|(kpr)|(kdp)|(\|lc)|(penalty))" /e /r /s</v>
      </c>
      <c r="U19" s="9" t="str">
        <f>MID(B19,13,4)</f>
        <v>4015</v>
      </c>
      <c r="V19" s="38">
        <f>A19+6/24</f>
        <v>42647.535208333335</v>
      </c>
      <c r="W19" s="52" t="str">
        <f>IF(VALUE(LEFT(IF(LEN(C19)=6,"0"&amp;C19,C19),2))&lt;=2,"EC",IF(OR(VALUE(LEFT(IF(LEN(C19)=6,"0"&amp;C19,C19),2))=8,VALUE(LEFT(IF(LEN(C19)=6,"0"&amp;C19,C19),2))=18),"NW","Other"))</f>
        <v>EC</v>
      </c>
      <c r="X19" s="52" t="str">
        <f>IF(AND(E19="TRACK WARRANT AUTHORITY",G19&lt;10),"OMIT","KEEP")</f>
        <v>KEEP</v>
      </c>
      <c r="Y19" s="130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{"issue":{"subject":"","project_id":79,"tracker_id":40,"status_id":1,"priority_id":2,"assigned_to_id":23,"start_date":"2016-10-04","description":"","custom_fields":[{"id":1,"name":"Subdivision","value":"EC"},{"id":4,"name":"Milepost","value":"0.0001"},{"id":17,"name":"Train ID","value":"114-04"},{"id":16,"name":"Locomotive ID","value":"4015"},{"id":130,"name":"Impact","value":""},{"id":150,"name":"Time of Event (Mountain Time)","value":"06:50:42"},{"id":151,"name":"Denver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5"/>
      <c r="AA19" s="55"/>
      <c r="AB19" s="23"/>
      <c r="AC19" s="171" t="str">
        <f>"grep -hSE -A100 ""Enforcement Action"" "&amp;search_path&amp;"\RTDC"&amp;U19&amp;"\*"&amp;U19&amp;"*"&amp;TEXT(A19-utc_offset/24,"YYYYMMDD")&amp;LEFT(TEXT(A19-utc_offset/24,"HH"),1)&amp;"* | grep -SE ""((Enforcement Ac)|(PRM))"" -"</f>
        <v>grep -hSE -A100 "Enforcement Action" "%USERPROFILE%\AppData\Local\Temp\OnboardLogs"\RTDC4015\*4015*201610041* | grep -SE "((Enforcement Ac)|(PRM))" -</v>
      </c>
    </row>
    <row r="20" spans="1:29" x14ac:dyDescent="0.25">
      <c r="A20" s="38">
        <v>42647.348553240743</v>
      </c>
      <c r="B20" s="33" t="s">
        <v>269</v>
      </c>
      <c r="C20" s="33" t="s">
        <v>410</v>
      </c>
      <c r="D20" s="33" t="s">
        <v>49</v>
      </c>
      <c r="E20" s="33" t="s">
        <v>50</v>
      </c>
      <c r="F20" s="49">
        <v>0</v>
      </c>
      <c r="G20" s="49">
        <v>50</v>
      </c>
      <c r="H20" s="49">
        <v>169</v>
      </c>
      <c r="I20" s="49">
        <v>125</v>
      </c>
      <c r="J20" s="33" t="s">
        <v>51</v>
      </c>
      <c r="K20" s="49">
        <v>1</v>
      </c>
      <c r="L20" s="146" t="s">
        <v>53</v>
      </c>
      <c r="M20" s="149">
        <f>CONVERT((I20-K20)/10000,"mi","ft")*IF(L20="Increasing Mileposts (1)",-1,1)</f>
        <v>65.471999999999994</v>
      </c>
      <c r="N20" s="88" t="str">
        <f>VLOOKUP(C20,'Trips&amp;Operators'!$C$1:$E$99999,3,FALSE)</f>
        <v>GEBRETEKLE</v>
      </c>
      <c r="O20" s="170" t="s">
        <v>86</v>
      </c>
      <c r="P20" s="10"/>
      <c r="Q20" s="33"/>
      <c r="R20" s="104" t="str">
        <f>VLOOKUP(C20,'Train Runs'!$A$13:$AE$10004,31,0)</f>
        <v>aws s3 cp s3://rtdc.mdm.uploadarchive.raw/RTDC4054/ "%USERPROFILE%\AppData\Local\Temp\OnboardLogs"\RTDC4054\2016-10-04 --exclude "*" --recursive --include "*20161004*" &amp; "%USERPROFILE%\Documents\GitHub\mrs-test-scripts\Headless Mode &amp; Sideloading\WalkAndUnGZ.bat" "%USERPROFILE%\AppData\Local\Temp\OnboardLogs"\RTDC4054\2016-10-04 &amp; aws s3 cp s3://rtdc.mdm.uploadarchive.raw/RTDC4054/ "%USERPROFILE%\AppData\Local\Temp\OnboardLogs"\RTDC4054\2016-10-05 --exclude "*" --recursive --include "*20161005*" &amp; "%USERPROFILE%\Documents\GitHub\mrs-test-scripts\Headless Mode &amp; Sideloading\WalkAndUnGZ.bat" "%USERPROFILE%\AppData\Local\Temp\OnboardLogs"\RTDC4054\2016-10-05</v>
      </c>
      <c r="S20" s="107" t="str">
        <f>VLOOKUP(C20,'Train Runs'!$A$13:$AE$10004,22,0)</f>
        <v>https://search-rtdc-monitor-bjffxe2xuh6vdkpspy63sjmuny.us-east-1.es.amazonaws.com/_plugin/kibana/#/discover/Steve-Slow-Train-Analysis-(2080s-and-2083s)?_g=(refreshInterval:(display:Off,section:0,value:0),time:(from:'2016-10-04 06:30:27-0600',mode:absolute,to:'2016-10-04 09:21:55-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T20" s="109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/stypes="*4054*201610041*" /stext=" 14:.+((SYSTEM_STATE.+slice.+state.+changed )|(ment ac)|(system.+state.+changed )|(\[timeout)|(PRM\|1\|D)|(kpr)|(kdp)|(\|lc)|(penalty))" /e /r /s</v>
      </c>
      <c r="U20" s="9" t="str">
        <f>MID(B20,13,4)</f>
        <v>4054</v>
      </c>
      <c r="V20" s="38">
        <f>A20+6/24</f>
        <v>42647.598553240743</v>
      </c>
      <c r="W20" s="52" t="str">
        <f>IF(VALUE(LEFT(IF(LEN(C20)=6,"0"&amp;C20,C20),2))&lt;=2,"EC",IF(OR(VALUE(LEFT(IF(LEN(C20)=6,"0"&amp;C20,C20),2))=8,VALUE(LEFT(IF(LEN(C20)=6,"0"&amp;C20,C20),2))=18),"NW","Other"))</f>
        <v>EC</v>
      </c>
      <c r="X20" s="52" t="str">
        <f>IF(AND(E20="TRACK WARRANT AUTHORITY",G20&lt;10),"OMIT","KEEP")</f>
        <v>KEEP</v>
      </c>
      <c r="Y20" s="130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{"issue":{"subject":"","project_id":79,"tracker_id":40,"status_id":1,"priority_id":2,"assigned_to_id":23,"start_date":"2016-10-04","description":"","custom_fields":[{"id":1,"name":"Subdivision","value":"EC"},{"id":4,"name":"Milepost","value":"0.0001"},{"id":17,"name":"Train ID","value":"126-04"},{"id":16,"name":"Locomotive ID","value":"4054"},{"id":130,"name":"Impact","value":""},{"id":150,"name":"Time of Event (Mountain Time)","value":"08:21:55"},{"id":151,"name":"Denver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5"/>
      <c r="AA20" s="55"/>
      <c r="AB20" s="23"/>
      <c r="AC20" s="171" t="str">
        <f>"grep -hSE -A100 ""Enforcement Action"" "&amp;search_path&amp;"\RTDC"&amp;U20&amp;"\*"&amp;U20&amp;"*"&amp;TEXT(A20-utc_offset/24,"YYYYMMDD")&amp;LEFT(TEXT(A20-utc_offset/24,"HH"),1)&amp;"* | grep -SE ""((Enforcement Ac)|(PRM))"" -"</f>
        <v>grep -hSE -A100 "Enforcement Action" "%USERPROFILE%\AppData\Local\Temp\OnboardLogs"\RTDC4054\*4054*201610041* | grep -SE "((Enforcement Ac)|(PRM))" -</v>
      </c>
    </row>
    <row r="21" spans="1:29" s="1" customFormat="1" x14ac:dyDescent="0.25">
      <c r="A21" s="38">
        <v>42647.430081018516</v>
      </c>
      <c r="B21" s="33" t="s">
        <v>267</v>
      </c>
      <c r="C21" s="33" t="s">
        <v>437</v>
      </c>
      <c r="D21" s="33" t="s">
        <v>49</v>
      </c>
      <c r="E21" s="33" t="s">
        <v>50</v>
      </c>
      <c r="F21" s="49">
        <v>0</v>
      </c>
      <c r="G21" s="49">
        <v>100</v>
      </c>
      <c r="H21" s="49">
        <v>418</v>
      </c>
      <c r="I21" s="49">
        <v>294</v>
      </c>
      <c r="J21" s="33" t="s">
        <v>51</v>
      </c>
      <c r="K21" s="49">
        <v>1</v>
      </c>
      <c r="L21" s="146" t="s">
        <v>53</v>
      </c>
      <c r="M21" s="149">
        <f>CONVERT((I21-K21)/10000,"mi","ft")*IF(L21="Increasing Mileposts (1)",-1,1)</f>
        <v>154.70400000000001</v>
      </c>
      <c r="N21" s="88" t="str">
        <f>VLOOKUP(C21,'Trips&amp;Operators'!$C$1:$E$99999,3,FALSE)</f>
        <v>KILLION</v>
      </c>
      <c r="O21" s="170" t="s">
        <v>86</v>
      </c>
      <c r="P21" s="10"/>
      <c r="Q21" s="33"/>
      <c r="R21" s="104" t="str">
        <f>VLOOKUP(C21,'Train Runs'!$A$13:$AE$10004,31,0)</f>
        <v>aws s3 cp s3://rtdc.mdm.uploadarchive.raw/RTDC4015/ "%USERPROFILE%\AppData\Local\Temp\OnboardLogs"\RTDC4015\2016-10-04 --exclude "*" --recursive --include "*20161004*" &amp; "%USERPROFILE%\Documents\GitHub\mrs-test-scripts\Headless Mode &amp; Sideloading\WalkAndUnGZ.bat" "%USERPROFILE%\AppData\Local\Temp\OnboardLogs"\RTDC4015\2016-10-04 &amp; aws s3 cp s3://rtdc.mdm.uploadarchive.raw/RTDC4015/ "%USERPROFILE%\AppData\Local\Temp\OnboardLogs"\RTDC4015\2016-10-05 --exclude "*" --recursive --include "*20161005*" &amp; "%USERPROFILE%\Documents\GitHub\mrs-test-scripts\Headless Mode &amp; Sideloading\WalkAndUnGZ.bat" "%USERPROFILE%\AppData\Local\Temp\OnboardLogs"\RTDC4015\2016-10-05</v>
      </c>
      <c r="S21" s="107" t="str">
        <f>VLOOKUP(C21,'Train Runs'!$A$13:$AE$10004,22,0)</f>
        <v>https://search-rtdc-monitor-bjffxe2xuh6vdkpspy63sjmuny.us-east-1.es.amazonaws.com/_plugin/kibana/#/discover/Steve-Slow-Train-Analysis-(2080s-and-2083s)?_g=(refreshInterval:(display:Off,section:0,value:0),time:(from:'2016-10-04 08:33:25-0600',mode:absolute,to:'2016-10-04 11:20:00-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1" s="109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/stypes="*4015*201610041*" /stext=" 16:.+((SYSTEM_STATE.+slice.+state.+changed )|(ment ac)|(system.+state.+changed )|(\[timeout)|(PRM\|1\|D)|(kpr)|(kdp)|(\|lc)|(penalty))" /e /r /s</v>
      </c>
      <c r="U21" s="9" t="str">
        <f>MID(B21,13,4)</f>
        <v>4015</v>
      </c>
      <c r="V21" s="38">
        <f>A21+6/24</f>
        <v>42647.680081018516</v>
      </c>
      <c r="W21" s="52" t="str">
        <f>IF(VALUE(LEFT(IF(LEN(C21)=6,"0"&amp;C21,C21),2))&lt;=2,"EC",IF(OR(VALUE(LEFT(IF(LEN(C21)=6,"0"&amp;C21,C21),2))=8,VALUE(LEFT(IF(LEN(C21)=6,"0"&amp;C21,C21),2))=18),"NW","Other"))</f>
        <v>EC</v>
      </c>
      <c r="X21" s="52" t="str">
        <f>IF(AND(E21="TRACK WARRANT AUTHORITY",G21&lt;10),"OMIT","KEEP")</f>
        <v>KEEP</v>
      </c>
      <c r="Y21" s="130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{"issue":{"subject":"","project_id":79,"tracker_id":40,"status_id":1,"priority_id":2,"assigned_to_id":23,"start_date":"2016-10-04","description":"","custom_fields":[{"id":1,"name":"Subdivision","value":"EC"},{"id":4,"name":"Milepost","value":"0.0001"},{"id":17,"name":"Train ID","value":"142-04"},{"id":16,"name":"Locomotive ID","value":"4015"},{"id":130,"name":"Impact","value":""},{"id":150,"name":"Time of Event (Mountain Time)","value":"10:19:19"},{"id":151,"name":"Denver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5"/>
      <c r="AA21" s="55"/>
      <c r="AB21" s="23"/>
      <c r="AC21" s="171" t="str">
        <f>"grep -hSE -A100 ""Enforcement Action"" "&amp;search_path&amp;"\RTDC"&amp;U21&amp;"\*"&amp;U21&amp;"*"&amp;TEXT(A21-utc_offset/24,"YYYYMMDD")&amp;LEFT(TEXT(A21-utc_offset/24,"HH"),1)&amp;"* | grep -SE ""((Enforcement Ac)|(PRM))"" -"</f>
        <v>grep -hSE -A100 "Enforcement Action" "%USERPROFILE%\AppData\Local\Temp\OnboardLogs"\RTDC4015\*4015*201610041* | grep -SE "((Enforcement Ac)|(PRM))" -</v>
      </c>
    </row>
    <row r="22" spans="1:29" x14ac:dyDescent="0.25">
      <c r="A22" s="38">
        <v>42647.920844907407</v>
      </c>
      <c r="B22" s="33" t="s">
        <v>365</v>
      </c>
      <c r="C22" s="33" t="s">
        <v>579</v>
      </c>
      <c r="D22" s="33" t="s">
        <v>49</v>
      </c>
      <c r="E22" s="33" t="s">
        <v>50</v>
      </c>
      <c r="F22" s="49">
        <v>0</v>
      </c>
      <c r="G22" s="49">
        <v>75</v>
      </c>
      <c r="H22" s="49">
        <v>233249</v>
      </c>
      <c r="I22" s="49">
        <v>233315</v>
      </c>
      <c r="J22" s="33" t="s">
        <v>51</v>
      </c>
      <c r="K22" s="49">
        <v>233491</v>
      </c>
      <c r="L22" s="146" t="s">
        <v>52</v>
      </c>
      <c r="M22" s="149">
        <f>CONVERT((I22-K22)/10000,"mi","ft")*IF(L22="Increasing Mileposts (1)",-1,1)</f>
        <v>92.927999999999997</v>
      </c>
      <c r="N22" s="88" t="str">
        <f>VLOOKUP(C22,'Trips&amp;Operators'!$C$1:$E$99999,3,FALSE)</f>
        <v>COOLAHAN</v>
      </c>
      <c r="O22" s="170" t="s">
        <v>86</v>
      </c>
      <c r="P22" s="10"/>
      <c r="Q22" s="33"/>
      <c r="R22" s="104" t="str">
        <f>VLOOKUP(C22,'Train Runs'!$A$13:$AE$10004,31,0)</f>
        <v>aws s3 cp s3://rtdc.mdm.uploadarchive.raw/RTDC4044/ "%USERPROFILE%\AppData\Local\Temp\OnboardLogs"\RTDC4044\2016-10-04 --exclude "*" --recursive --include "*20161004*" &amp; "%USERPROFILE%\Documents\GitHub\mrs-test-scripts\Headless Mode &amp; Sideloading\WalkAndUnGZ.bat" "%USERPROFILE%\AppData\Local\Temp\OnboardLogs"\RTDC4044\2016-10-04 &amp; aws s3 cp s3://rtdc.mdm.uploadarchive.raw/RTDC4044/ "%USERPROFILE%\AppData\Local\Temp\OnboardLogs"\RTDC4044\2016-10-05 --exclude "*" --recursive --include "*20161005*" &amp; "%USERPROFILE%\Documents\GitHub\mrs-test-scripts\Headless Mode &amp; Sideloading\WalkAndUnGZ.bat" "%USERPROFILE%\AppData\Local\Temp\OnboardLogs"\RTDC4044\2016-10-05</v>
      </c>
      <c r="S22" s="107" t="str">
        <f>VLOOKUP(C22,'Train Runs'!$A$13:$AE$10004,22,0)</f>
        <v>https://search-rtdc-monitor-bjffxe2xuh6vdkpspy63sjmuny.us-east-1.es.amazonaws.com/_plugin/kibana/#/discover/Steve-Slow-Train-Analysis-(2080s-and-2083s)?_g=(refreshInterval:(display:Off,section:0,value:0),time:(from:'2016-10-04 20:25:57-0600',mode:absolute,to:'2016-10-04 23:06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2" s="109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/stypes="*4044*201610050*" /stext=" 04:.+((SYSTEM_STATE.+slice.+state.+changed )|(ment ac)|(system.+state.+changed )|(\[timeout)|(PRM\|1\|D)|(kpr)|(kdp)|(\|lc)|(penalty))" /e /r /s</v>
      </c>
      <c r="U22" s="9" t="str">
        <f>MID(B22,13,4)</f>
        <v>4044</v>
      </c>
      <c r="V22" s="38">
        <f>A22+6/24</f>
        <v>42648.170844907407</v>
      </c>
      <c r="W22" s="52" t="str">
        <f>IF(VALUE(LEFT(IF(LEN(C22)=6,"0"&amp;C22,C22),2))&lt;=2,"EC",IF(OR(VALUE(LEFT(IF(LEN(C22)=6,"0"&amp;C22,C22),2))=8,VALUE(LEFT(IF(LEN(C22)=6,"0"&amp;C22,C22),2))=18),"NW","Other"))</f>
        <v>EC</v>
      </c>
      <c r="X22" s="52" t="str">
        <f>IF(AND(E22="TRACK WARRANT AUTHORITY",G22&lt;10),"OMIT","KEEP")</f>
        <v>KEEP</v>
      </c>
      <c r="Y22" s="130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{"issue":{"subject":"","project_id":79,"tracker_id":40,"status_id":1,"priority_id":2,"assigned_to_id":23,"start_date":"2016-10-04","description":"","custom_fields":[{"id":1,"name":"Subdivision","value":"EC"},{"id":4,"name":"Milepost","value":"23.3491"},{"id":17,"name":"Train ID","value":"231-04"},{"id":16,"name":"Locomotive ID","value":"4044"},{"id":130,"name":"Impact","value":""},{"id":150,"name":"Time of Event (Mountain Time)","value":"22:06:01"},{"id":151,"name":"Denver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5"/>
      <c r="AA22" s="55"/>
      <c r="AB22" s="23"/>
      <c r="AC22" s="171" t="str">
        <f>"grep -hSE -A100 ""Enforcement Action"" "&amp;search_path&amp;"\RTDC"&amp;U22&amp;"\*"&amp;U22&amp;"*"&amp;TEXT(A22-utc_offset/24,"YYYYMMDD")&amp;LEFT(TEXT(A22-utc_offset/24,"HH"),1)&amp;"* | grep -SE ""((Enforcement Ac)|(PRM))"" -"</f>
        <v>grep -hSE -A100 "Enforcement Action" "%USERPROFILE%\AppData\Local\Temp\OnboardLogs"\RTDC4044\*4044*201610050* | grep -SE "((Enforcement Ac)|(PRM))" -</v>
      </c>
    </row>
    <row r="23" spans="1:29" x14ac:dyDescent="0.25">
      <c r="A23" s="38">
        <v>42647.790763888886</v>
      </c>
      <c r="B23" s="33" t="s">
        <v>290</v>
      </c>
      <c r="C23" s="33" t="s">
        <v>558</v>
      </c>
      <c r="D23" s="33" t="s">
        <v>49</v>
      </c>
      <c r="E23" s="33" t="s">
        <v>56</v>
      </c>
      <c r="F23" s="49">
        <v>300</v>
      </c>
      <c r="G23" s="49">
        <v>354</v>
      </c>
      <c r="H23" s="49">
        <v>20138</v>
      </c>
      <c r="I23" s="49">
        <v>21225</v>
      </c>
      <c r="J23" s="33" t="s">
        <v>57</v>
      </c>
      <c r="K23" s="49">
        <v>21299</v>
      </c>
      <c r="L23" s="146" t="s">
        <v>52</v>
      </c>
      <c r="M23" s="149">
        <f>CONVERT((I23-K23)/10000,"mi","ft")*IF(L23="Increasing Mileposts (1)",-1,1)</f>
        <v>39.072000000000003</v>
      </c>
      <c r="N23" s="88" t="str">
        <f>VLOOKUP(C23,'Trips&amp;Operators'!$C$1:$E$99999,3,FALSE)</f>
        <v>STURGEON</v>
      </c>
      <c r="O23" s="170" t="s">
        <v>86</v>
      </c>
      <c r="P23" s="10"/>
      <c r="Q23" s="33"/>
      <c r="R23" s="104" t="str">
        <f>VLOOKUP(C23,'Train Runs'!$A$13:$AE$10004,31,0)</f>
        <v>aws s3 cp s3://rtdc.mdm.uploadarchive.raw/RTDC4003/ "%USERPROFILE%\AppData\Local\Temp\OnboardLogs"\RTDC4003\2016-10-04 --exclude "*" --recursive --include "*20161004*" &amp; "%USERPROFILE%\Documents\GitHub\mrs-test-scripts\Headless Mode &amp; Sideloading\WalkAndUnGZ.bat" "%USERPROFILE%\AppData\Local\Temp\OnboardLogs"\RTDC4003\2016-10-04 &amp; aws s3 cp s3://rtdc.mdm.uploadarchive.raw/RTDC4003/ "%USERPROFILE%\AppData\Local\Temp\OnboardLogs"\RTDC4003\2016-10-05 --exclude "*" --recursive --include "*20161005*" &amp; "%USERPROFILE%\Documents\GitHub\mrs-test-scripts\Headless Mode &amp; Sideloading\WalkAndUnGZ.bat" "%USERPROFILE%\AppData\Local\Temp\OnboardLogs"\RTDC4003\2016-10-05</v>
      </c>
      <c r="S23" s="107" t="str">
        <f>VLOOKUP(C23,'Train Runs'!$A$13:$AE$10004,22,0)</f>
        <v>https://search-rtdc-monitor-bjffxe2xuh6vdkpspy63sjmuny.us-east-1.es.amazonaws.com/_plugin/kibana/#/discover/Steve-Slow-Train-Analysis-(2080s-and-2083s)?_g=(refreshInterval:(display:Off,section:0,value:0),time:(from:'2016-10-04 17:44:04-0600',mode:absolute,to:'2016-10-04 20:07:40-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T23" s="109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/stypes="*4003*201610050*" /stext=" 00:.+((SYSTEM_STATE.+slice.+state.+changed )|(ment ac)|(system.+state.+changed )|(\[timeout)|(PRM\|1\|D)|(kpr)|(kdp)|(\|lc)|(penalty))" /e /r /s</v>
      </c>
      <c r="U23" s="9" t="str">
        <f>MID(B23,13,4)</f>
        <v>4003</v>
      </c>
      <c r="V23" s="38">
        <f>A23+6/24</f>
        <v>42648.040763888886</v>
      </c>
      <c r="W23" s="52" t="str">
        <f>IF(VALUE(LEFT(IF(LEN(C23)=6,"0"&amp;C23,C23),2))&lt;=2,"EC",IF(OR(VALUE(LEFT(IF(LEN(C23)=6,"0"&amp;C23,C23),2))=8,VALUE(LEFT(IF(LEN(C23)=6,"0"&amp;C23,C23),2))=18),"NW","Other"))</f>
        <v>NW</v>
      </c>
      <c r="X23" s="52" t="str">
        <f>IF(AND(E23="TRACK WARRANT AUTHORITY",G23&lt;10),"OMIT","KEEP")</f>
        <v>KEEP</v>
      </c>
      <c r="Y23" s="130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{"issue":{"subject":"","project_id":79,"tracker_id":40,"status_id":1,"priority_id":2,"assigned_to_id":23,"start_date":"2016-10-04","description":"","custom_fields":[{"id":1,"name":"Subdivision","value":"NW"},{"id":4,"name":"Milepost","value":"2.1299"},{"id":17,"name":"Train ID","value":"839-04"},{"id":16,"name":"Locomotive ID","value":"4003"},{"id":130,"name":"Impact","value":""},{"id":150,"name":"Time of Event (Mountain Time)","value":"18:58:42"},{"id":151,"name":"Denver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5"/>
      <c r="AA23" s="55"/>
      <c r="AB23" s="23"/>
      <c r="AC23" s="171" t="str">
        <f>"grep -hSE -A100 ""Enforcement Action"" "&amp;search_path&amp;"\RTDC"&amp;U23&amp;"\*"&amp;U23&amp;"*"&amp;TEXT(A23-utc_offset/24,"YYYYMMDD")&amp;LEFT(TEXT(A23-utc_offset/24,"HH"),1)&amp;"* | grep -SE ""((Enforcement Ac)|(PRM))"" -"</f>
        <v>grep -hSE -A100 "Enforcement Action" "%USERPROFILE%\AppData\Local\Temp\OnboardLogs"\RTDC4003\*4003*201610050* | grep -SE "((Enforcement Ac)|(PRM))" -</v>
      </c>
    </row>
    <row r="24" spans="1:29" x14ac:dyDescent="0.25">
      <c r="A24" s="38">
        <v>42647.396643518521</v>
      </c>
      <c r="B24" s="33" t="s">
        <v>228</v>
      </c>
      <c r="C24" s="33" t="s">
        <v>430</v>
      </c>
      <c r="D24" s="33" t="s">
        <v>105</v>
      </c>
      <c r="E24" s="33" t="s">
        <v>56</v>
      </c>
      <c r="F24" s="49">
        <v>400</v>
      </c>
      <c r="G24" s="49">
        <v>452</v>
      </c>
      <c r="H24" s="49">
        <v>49996</v>
      </c>
      <c r="I24" s="49">
        <v>51530</v>
      </c>
      <c r="J24" s="33" t="s">
        <v>57</v>
      </c>
      <c r="K24" s="49">
        <v>47808</v>
      </c>
      <c r="L24" s="146" t="s">
        <v>52</v>
      </c>
      <c r="M24" s="149">
        <f>CONVERT((I24-K24)/10000,"mi","ft")*IF(L24="Increasing Mileposts (1)",-1,1)</f>
        <v>-1965.2159999999999</v>
      </c>
      <c r="N24" s="88" t="str">
        <f>VLOOKUP(C24,'Trips&amp;Operators'!$C$1:$E$99999,3,FALSE)</f>
        <v>LEVIN</v>
      </c>
      <c r="O24" s="170" t="s">
        <v>86</v>
      </c>
      <c r="P24" s="10"/>
      <c r="Q24" s="33"/>
      <c r="R24" s="104" t="str">
        <f>VLOOKUP(C24,'Train Runs'!$A$13:$AE$10004,31,0)</f>
        <v>aws s3 cp s3://rtdc.mdm.uploadarchive.raw/RTDC4018/ "%USERPROFILE%\AppData\Local\Temp\OnboardLogs"\RTDC4018\2016-10-04 --exclude "*" --recursive --include "*20161004*" &amp; "%USERPROFILE%\Documents\GitHub\mrs-test-scripts\Headless Mode &amp; Sideloading\WalkAndUnGZ.bat" "%USERPROFILE%\AppData\Local\Temp\OnboardLogs"\RTDC4018\2016-10-04 &amp; aws s3 cp s3://rtdc.mdm.uploadarchive.raw/RTDC4018/ "%USERPROFILE%\AppData\Local\Temp\OnboardLogs"\RTDC4018\2016-10-05 --exclude "*" --recursive --include "*20161005*" &amp; "%USERPROFILE%\Documents\GitHub\mrs-test-scripts\Headless Mode &amp; Sideloading\WalkAndUnGZ.bat" "%USERPROFILE%\AppData\Local\Temp\OnboardLogs"\RTDC4018\2016-10-05</v>
      </c>
      <c r="S24" s="107" t="str">
        <f>VLOOKUP(C24,'Train Runs'!$A$13:$AE$10004,22,0)</f>
        <v>https://search-rtdc-monitor-bjffxe2xuh6vdkpspy63sjmuny.us-east-1.es.amazonaws.com/_plugin/kibana/#/discover/Steve-Slow-Train-Analysis-(2080s-and-2083s)?_g=(refreshInterval:(display:Off,section:0,value:0),time:(from:'2016-10-04 08:16:52-0600',mode:absolute,to:'2016-10-04 10:35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24" s="109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/stypes="*4018*201610041*" /stext=" 15:.+((SYSTEM_STATE.+slice.+state.+changed )|(ment ac)|(system.+state.+changed )|(\[timeout)|(PRM\|1\|D)|(kpr)|(kdp)|(\|lc)|(penalty))" /e /r /s</v>
      </c>
      <c r="U24" s="9" t="str">
        <f>MID(B24,13,4)</f>
        <v>4018</v>
      </c>
      <c r="V24" s="38">
        <f>A24+6/24</f>
        <v>42647.646643518521</v>
      </c>
      <c r="W24" s="52" t="str">
        <f>IF(VALUE(LEFT(IF(LEN(C24)=6,"0"&amp;C24,C24),2))&lt;=2,"EC",IF(OR(VALUE(LEFT(IF(LEN(C24)=6,"0"&amp;C24,C24),2))=8,VALUE(LEFT(IF(LEN(C24)=6,"0"&amp;C24,C24),2))=18),"NW","Other"))</f>
        <v>NW</v>
      </c>
      <c r="X24" s="52" t="str">
        <f>IF(AND(E24="TRACK WARRANT AUTHORITY",G24&lt;10),"OMIT","KEEP")</f>
        <v>KEEP</v>
      </c>
      <c r="Y24" s="130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{"issue":{"subject":"","project_id":79,"tracker_id":40,"status_id":1,"priority_id":2,"assigned_to_id":23,"start_date":"2016-10-04","description":"","custom_fields":[{"id":1,"name":"Subdivision","value":"NW"},{"id":4,"name":"Milepost","value":"4.7808"},{"id":17,"name":"Train ID","value":"813-04"},{"id":16,"name":"Locomotive ID","value":"4018"},{"id":130,"name":"Impact","value":""},{"id":150,"name":"Time of Event (Mountain Time)","value":"09:31:10"},{"id":151,"name":"Denver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5"/>
      <c r="AA24" s="55"/>
      <c r="AB24" s="23"/>
      <c r="AC24" s="171" t="str">
        <f>"grep -hSE -A100 ""Enforcement Action"" "&amp;search_path&amp;"\RTDC"&amp;U24&amp;"\*"&amp;U24&amp;"*"&amp;TEXT(A24-utc_offset/24,"YYYYMMDD")&amp;LEFT(TEXT(A24-utc_offset/24,"HH"),1)&amp;"* | grep -SE ""((Enforcement Ac)|(PRM))"" -"</f>
        <v>grep -hSE -A100 "Enforcement Action" "%USERPROFILE%\AppData\Local\Temp\OnboardLogs"\RTDC4018\*4018*201610041* | grep -SE "((Enforcement Ac)|(PRM))" -</v>
      </c>
    </row>
    <row r="25" spans="1:29" ht="15" customHeight="1" x14ac:dyDescent="0.25">
      <c r="A25" s="38">
        <v>42647.522314814814</v>
      </c>
      <c r="B25" s="33" t="s">
        <v>228</v>
      </c>
      <c r="C25" s="33" t="s">
        <v>472</v>
      </c>
      <c r="D25" s="33" t="s">
        <v>49</v>
      </c>
      <c r="E25" s="33" t="s">
        <v>56</v>
      </c>
      <c r="F25" s="49">
        <v>150</v>
      </c>
      <c r="G25" s="49">
        <v>315</v>
      </c>
      <c r="H25" s="49">
        <v>55824</v>
      </c>
      <c r="I25" s="49">
        <v>56486</v>
      </c>
      <c r="J25" s="33" t="s">
        <v>57</v>
      </c>
      <c r="K25" s="49">
        <v>57008</v>
      </c>
      <c r="L25" s="146" t="s">
        <v>52</v>
      </c>
      <c r="M25" s="149">
        <f>CONVERT((I25-K25)/10000,"mi","ft")*IF(L25="Increasing Mileposts (1)",-1,1)</f>
        <v>275.61599999999999</v>
      </c>
      <c r="N25" s="88" t="str">
        <f>VLOOKUP(C25,'Trips&amp;Operators'!$C$1:$E$99999,3,FALSE)</f>
        <v>LEVIN</v>
      </c>
      <c r="O25" s="170" t="s">
        <v>86</v>
      </c>
      <c r="P25" s="10"/>
      <c r="Q25" s="33"/>
      <c r="R25" s="104" t="str">
        <f>VLOOKUP(C25,'Train Runs'!$A$13:$AE$10004,31,0)</f>
        <v>aws s3 cp s3://rtdc.mdm.uploadarchive.raw/RTDC4018/ "%USERPROFILE%\AppData\Local\Temp\OnboardLogs"\RTDC4018\2016-10-04 --exclude "*" --recursive --include "*20161004*" &amp; "%USERPROFILE%\Documents\GitHub\mrs-test-scripts\Headless Mode &amp; Sideloading\WalkAndUnGZ.bat" "%USERPROFILE%\AppData\Local\Temp\OnboardLogs"\RTDC4018\2016-10-04 &amp; aws s3 cp s3://rtdc.mdm.uploadarchive.raw/RTDC4018/ "%USERPROFILE%\AppData\Local\Temp\OnboardLogs"\RTDC4018\2016-10-05 --exclude "*" --recursive --include "*20161005*" &amp; "%USERPROFILE%\Documents\GitHub\mrs-test-scripts\Headless Mode &amp; Sideloading\WalkAndUnGZ.bat" "%USERPROFILE%\AppData\Local\Temp\OnboardLogs"\RTDC4018\2016-10-05</v>
      </c>
      <c r="S25" s="107" t="str">
        <f>VLOOKUP(C25,'Train Runs'!$A$13:$AE$10004,22,0)</f>
        <v>https://search-rtdc-monitor-bjffxe2xuh6vdkpspy63sjmuny.us-east-1.es.amazonaws.com/_plugin/kibana/#/discover/Steve-Slow-Train-Analysis-(2080s-and-2083s)?_g=(refreshInterval:(display:Off,section:0,value:0),time:(from:'2016-10-04 11:16:52-0600',mode:absolute,to:'2016-10-04 13:35:17-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25" s="109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/stypes="*4018*201610041*" /stext=" 18:.+((SYSTEM_STATE.+slice.+state.+changed )|(ment ac)|(system.+state.+changed )|(\[timeout)|(PRM\|1\|D)|(kpr)|(kdp)|(\|lc)|(penalty))" /e /r /s</v>
      </c>
      <c r="U25" s="9" t="str">
        <f>MID(B25,13,4)</f>
        <v>4018</v>
      </c>
      <c r="V25" s="38">
        <f>A25+6/24</f>
        <v>42647.772314814814</v>
      </c>
      <c r="W25" s="52" t="str">
        <f>IF(VALUE(LEFT(IF(LEN(C25)=6,"0"&amp;C25,C25),2))&lt;=2,"EC",IF(OR(VALUE(LEFT(IF(LEN(C25)=6,"0"&amp;C25,C25),2))=8,VALUE(LEFT(IF(LEN(C25)=6,"0"&amp;C25,C25),2))=18),"NW","Other"))</f>
        <v>NW</v>
      </c>
      <c r="X25" s="52" t="str">
        <f>IF(AND(E25="TRACK WARRANT AUTHORITY",G25&lt;10),"OMIT","KEEP")</f>
        <v>KEEP</v>
      </c>
      <c r="Y25" s="130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{"issue":{"subject":"","project_id":79,"tracker_id":40,"status_id":1,"priority_id":2,"assigned_to_id":23,"start_date":"2016-10-04","description":"","custom_fields":[{"id":1,"name":"Subdivision","value":"NW"},{"id":4,"name":"Milepost","value":"5.7008"},{"id":17,"name":"Train ID","value":"819-04"},{"id":16,"name":"Locomotive ID","value":"4018"},{"id":130,"name":"Impact","value":""},{"id":150,"name":"Time of Event (Mountain Time)","value":"12:32:08"},{"id":151,"name":"Denver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5"/>
      <c r="AA25" s="55"/>
      <c r="AB25" s="23"/>
      <c r="AC25" s="171" t="str">
        <f>"grep -hSE -A100 ""Enforcement Action"" "&amp;search_path&amp;"\RTDC"&amp;U25&amp;"\*"&amp;U25&amp;"*"&amp;TEXT(A25-utc_offset/24,"YYYYMMDD")&amp;LEFT(TEXT(A25-utc_offset/24,"HH"),1)&amp;"* | grep -SE ""((Enforcement Ac)|(PRM))"" -"</f>
        <v>grep -hSE -A100 "Enforcement Action" "%USERPROFILE%\AppData\Local\Temp\OnboardLogs"\RTDC4018\*4018*201610041* | grep -SE "((Enforcement Ac)|(PRM))" -</v>
      </c>
    </row>
    <row r="26" spans="1:29" x14ac:dyDescent="0.25">
      <c r="A26" s="38">
        <v>42647.574108796296</v>
      </c>
      <c r="B26" s="33" t="s">
        <v>227</v>
      </c>
      <c r="C26" s="33" t="s">
        <v>489</v>
      </c>
      <c r="D26" s="33" t="s">
        <v>105</v>
      </c>
      <c r="E26" s="33" t="s">
        <v>56</v>
      </c>
      <c r="F26" s="49">
        <v>150</v>
      </c>
      <c r="G26" s="49">
        <v>201</v>
      </c>
      <c r="H26" s="49">
        <v>56703</v>
      </c>
      <c r="I26" s="49">
        <v>56447</v>
      </c>
      <c r="J26" s="33" t="s">
        <v>57</v>
      </c>
      <c r="K26" s="49">
        <v>59050</v>
      </c>
      <c r="L26" s="146" t="s">
        <v>53</v>
      </c>
      <c r="M26" s="149">
        <f>CONVERT((I26-K26)/10000,"mi","ft")*IF(L26="Increasing Mileposts (1)",-1,1)</f>
        <v>-1374.3839999999998</v>
      </c>
      <c r="N26" s="88" t="str">
        <f>VLOOKUP(C26,'Trips&amp;Operators'!$C$1:$E$99999,3,FALSE)</f>
        <v>HAITHCOX</v>
      </c>
      <c r="O26" s="170" t="s">
        <v>86</v>
      </c>
      <c r="P26" s="10"/>
      <c r="Q26" s="33"/>
      <c r="R26" s="104" t="str">
        <f>VLOOKUP(C26,'Train Runs'!$A$13:$AE$10004,31,0)</f>
        <v>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 &amp; 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</v>
      </c>
      <c r="S26" s="107" t="str">
        <f>VLOOKUP(C26,'Train Runs'!$A$13:$AE$10004,22,0)</f>
        <v>https://search-rtdc-monitor-bjffxe2xuh6vdkpspy63sjmuny.us-east-1.es.amazonaws.com/_plugin/kibana/#/discover/Steve-Slow-Train-Analysis-(2080s-and-2083s)?_g=(refreshInterval:(display:Off,section:0,value:0),time:(from:'2016-10-04 12:39:19-0600',mode:absolute,to:'2016-10-04 15:03:57-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6" s="109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/stypes="*4017*201610041*" /stext=" 19:.+((SYSTEM_STATE.+slice.+state.+changed )|(ment ac)|(system.+state.+changed )|(\[timeout)|(PRM\|1\|D)|(kpr)|(kdp)|(\|lc)|(penalty))" /e /r /s</v>
      </c>
      <c r="U26" s="9" t="str">
        <f>MID(B26,13,4)</f>
        <v>4017</v>
      </c>
      <c r="V26" s="38">
        <f>A26+6/24</f>
        <v>42647.824108796296</v>
      </c>
      <c r="W26" s="52" t="str">
        <f>IF(VALUE(LEFT(IF(LEN(C26)=6,"0"&amp;C26,C26),2))&lt;=2,"EC",IF(OR(VALUE(LEFT(IF(LEN(C26)=6,"0"&amp;C26,C26),2))=8,VALUE(LEFT(IF(LEN(C26)=6,"0"&amp;C26,C26),2))=18),"NW","Other"))</f>
        <v>NW</v>
      </c>
      <c r="X26" s="52" t="str">
        <f>IF(AND(E26="TRACK WARRANT AUTHORITY",G26&lt;10),"OMIT","KEEP")</f>
        <v>KEEP</v>
      </c>
      <c r="Y26" s="130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{"issue":{"subject":"","project_id":79,"tracker_id":40,"status_id":1,"priority_id":2,"assigned_to_id":23,"start_date":"2016-10-04","description":"","custom_fields":[{"id":1,"name":"Subdivision","value":"NW"},{"id":4,"name":"Milepost","value":"5.905"},{"id":17,"name":"Train ID","value":"822-04"},{"id":16,"name":"Locomotive ID","value":"4017"},{"id":130,"name":"Impact","value":""},{"id":150,"name":"Time of Event (Mountain Time)","value":"13:46:43"},{"id":151,"name":"Denver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5"/>
      <c r="AA26" s="55"/>
      <c r="AB26" s="23"/>
      <c r="AC26" s="171" t="str">
        <f>"grep -hSE -A100 ""Enforcement Action"" "&amp;search_path&amp;"\RTDC"&amp;U26&amp;"\*"&amp;U26&amp;"*"&amp;TEXT(A26-utc_offset/24,"YYYYMMDD")&amp;LEFT(TEXT(A26-utc_offset/24,"HH"),1)&amp;"* | grep -SE ""((Enforcement Ac)|(PRM))"" -"</f>
        <v>grep -hSE -A100 "Enforcement Action" "%USERPROFILE%\AppData\Local\Temp\OnboardLogs"\RTDC4017\*4017*201610041* | grep -SE "((Enforcement Ac)|(PRM))" -</v>
      </c>
    </row>
    <row r="27" spans="1:29" x14ac:dyDescent="0.25">
      <c r="A27" s="38">
        <v>42647.492766203701</v>
      </c>
      <c r="B27" s="33" t="s">
        <v>227</v>
      </c>
      <c r="C27" s="33" t="s">
        <v>461</v>
      </c>
      <c r="D27" s="33" t="s">
        <v>49</v>
      </c>
      <c r="E27" s="33" t="s">
        <v>54</v>
      </c>
      <c r="F27" s="49">
        <v>0</v>
      </c>
      <c r="G27" s="49">
        <v>329</v>
      </c>
      <c r="H27" s="49">
        <v>20689</v>
      </c>
      <c r="I27" s="49">
        <v>19879</v>
      </c>
      <c r="J27" s="33" t="s">
        <v>55</v>
      </c>
      <c r="K27" s="49">
        <v>19000</v>
      </c>
      <c r="L27" s="146" t="s">
        <v>53</v>
      </c>
      <c r="M27" s="149">
        <f>CONVERT((I27-K27)/10000,"mi","ft")*IF(L27="Increasing Mileposts (1)",-1,1)</f>
        <v>464.11200000000002</v>
      </c>
      <c r="N27" s="88" t="str">
        <f>VLOOKUP(C27,'Trips&amp;Operators'!$C$1:$E$99999,3,FALSE)</f>
        <v>LEVIN</v>
      </c>
      <c r="O27" s="170" t="s">
        <v>86</v>
      </c>
      <c r="P27" s="10" t="s">
        <v>798</v>
      </c>
      <c r="Q27" s="33"/>
      <c r="R27" s="104" t="str">
        <f>VLOOKUP(C27,'Train Runs'!$A$13:$AE$10004,31,0)</f>
        <v>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 &amp; 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</v>
      </c>
      <c r="S27" s="107" t="str">
        <f>VLOOKUP(C27,'Train Runs'!$A$13:$AE$10004,22,0)</f>
        <v>https://search-rtdc-monitor-bjffxe2xuh6vdkpspy63sjmuny.us-east-1.es.amazonaws.com/_plugin/kibana/#/discover/Steve-Slow-Train-Analysis-(2080s-and-2083s)?_g=(refreshInterval:(display:Off,section:0,value:0),time:(from:'2016-10-04 10:35:48-0600',mode:absolute,to:'2016-10-04 12:57:42-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7" s="109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/stypes="*4017*201610041*" /stext=" 17:.+((SYSTEM_STATE.+slice.+state.+changed )|(ment ac)|(system.+state.+changed )|(\[timeout)|(PRM\|1\|D)|(kpr)|(kdp)|(\|lc)|(penalty))" /e /r /s</v>
      </c>
      <c r="U27" s="9" t="str">
        <f>MID(B27,13,4)</f>
        <v>4017</v>
      </c>
      <c r="V27" s="38">
        <f>A27+6/24</f>
        <v>42647.742766203701</v>
      </c>
      <c r="W27" s="52" t="str">
        <f>IF(VALUE(LEFT(IF(LEN(C27)=6,"0"&amp;C27,C27),2))&lt;=2,"EC",IF(OR(VALUE(LEFT(IF(LEN(C27)=6,"0"&amp;C27,C27),2))=8,VALUE(LEFT(IF(LEN(C27)=6,"0"&amp;C27,C27),2))=18),"NW","Other"))</f>
        <v>NW</v>
      </c>
      <c r="X27" s="52" t="str">
        <f>IF(AND(E27="TRACK WARRANT AUTHORITY",G27&lt;10),"OMIT","KEEP")</f>
        <v>KEEP</v>
      </c>
      <c r="Y27" s="130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{"issue":{"subject":"NW0190RH 19-1T 1S was RESTRICTING","project_id":79,"tracker_id":40,"status_id":1,"priority_id":2,"assigned_to_id":23,"start_date":"2016-10-04","description":"","custom_fields":[{"id":1,"name":"Subdivision","value":"NW"},{"id":4,"name":"Milepost","value":"1.9"},{"id":17,"name":"Train ID","value":"818-04"},{"id":16,"name":"Locomotive ID","value":"4017"},{"id":130,"name":"Impact","value":""},{"id":150,"name":"Time of Event (Mountain Time)","value":"11:49:35"},{"id":151,"name":"Denver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5"/>
      <c r="AA27" s="55"/>
      <c r="AB27" s="23"/>
      <c r="AC27" s="171" t="str">
        <f>"grep -hSE -A100 ""Enforcement Action"" "&amp;search_path&amp;"\RTDC"&amp;U27&amp;"\*"&amp;U27&amp;"*"&amp;TEXT(A27-utc_offset/24,"YYYYMMDD")&amp;LEFT(TEXT(A27-utc_offset/24,"HH"),1)&amp;"* | grep -SE ""((Enforcement Ac)|(PRM))"" -"</f>
        <v>grep -hSE -A100 "Enforcement Action" "%USERPROFILE%\AppData\Local\Temp\OnboardLogs"\RTDC4017\*4017*201610041* | grep -SE "((Enforcement Ac)|(PRM))" -</v>
      </c>
    </row>
    <row r="28" spans="1:29" x14ac:dyDescent="0.25">
      <c r="A28" s="38">
        <v>42647.288217592592</v>
      </c>
      <c r="B28" s="33" t="s">
        <v>227</v>
      </c>
      <c r="C28" s="33" t="s">
        <v>399</v>
      </c>
      <c r="D28" s="33" t="s">
        <v>49</v>
      </c>
      <c r="E28" s="33" t="s">
        <v>50</v>
      </c>
      <c r="F28" s="49">
        <v>0</v>
      </c>
      <c r="G28" s="49">
        <v>154</v>
      </c>
      <c r="H28" s="49">
        <v>1413</v>
      </c>
      <c r="I28" s="49">
        <v>1249</v>
      </c>
      <c r="J28" s="33" t="s">
        <v>51</v>
      </c>
      <c r="K28" s="49">
        <v>575</v>
      </c>
      <c r="L28" s="146" t="s">
        <v>53</v>
      </c>
      <c r="M28" s="149">
        <f>CONVERT((I28-K28)/10000,"mi","ft")*IF(L28="Increasing Mileposts (1)",-1,1)</f>
        <v>355.87200000000001</v>
      </c>
      <c r="N28" s="88" t="str">
        <f>VLOOKUP(C28,'Trips&amp;Operators'!$C$1:$E$99999,3,FALSE)</f>
        <v>LEVIN</v>
      </c>
      <c r="O28" s="170" t="s">
        <v>86</v>
      </c>
      <c r="P28" s="10"/>
      <c r="Q28" s="33"/>
      <c r="R28" s="104" t="str">
        <f>VLOOKUP(C28,'Train Runs'!$A$13:$AE$10004,31,0)</f>
        <v>aws s3 cp s3://rtdc.mdm.uploadarchive.raw/RTDC4017/ "%USERPROFILE%\AppData\Local\Temp\OnboardLogs"\RTDC4017\2016-10-04 --exclude "*" --recursive --include "*20161004*" &amp; "%USERPROFILE%\Documents\GitHub\mrs-test-scripts\Headless Mode &amp; Sideloading\WalkAndUnGZ.bat" "%USERPROFILE%\AppData\Local\Temp\OnboardLogs"\RTDC4017\2016-10-04 &amp; aws s3 cp s3://rtdc.mdm.uploadarchive.raw/RTDC4017/ "%USERPROFILE%\AppData\Local\Temp\OnboardLogs"\RTDC4017\2016-10-05 --exclude "*" --recursive --include "*20161005*" &amp; "%USERPROFILE%\Documents\GitHub\mrs-test-scripts\Headless Mode &amp; Sideloading\WalkAndUnGZ.bat" "%USERPROFILE%\AppData\Local\Temp\OnboardLogs"\RTDC4017\2016-10-05</v>
      </c>
      <c r="S28" s="107" t="str">
        <f>VLOOKUP(C28,'Train Runs'!$A$13:$AE$10004,22,0)</f>
        <v>https://search-rtdc-monitor-bjffxe2xuh6vdkpspy63sjmuny.us-east-1.es.amazonaws.com/_plugin/kibana/#/discover/Steve-Slow-Train-Analysis-(2080s-and-2083s)?_g=(refreshInterval:(display:Off,section:0,value:0),time:(from:'2016-10-04 05:36:54-0600',mode:absolute,to:'2016-10-04 07:55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8" s="109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/stypes="*4017*201610041*" /stext=" 12:.+((SYSTEM_STATE.+slice.+state.+changed )|(ment ac)|(system.+state.+changed )|(\[timeout)|(PRM\|1\|D)|(kpr)|(kdp)|(\|lc)|(penalty))" /e /r /s</v>
      </c>
      <c r="U28" s="9" t="str">
        <f>MID(B28,13,4)</f>
        <v>4017</v>
      </c>
      <c r="V28" s="38">
        <f>A28+6/24</f>
        <v>42647.538217592592</v>
      </c>
      <c r="W28" s="52" t="str">
        <f>IF(VALUE(LEFT(IF(LEN(C28)=6,"0"&amp;C28,C28),2))&lt;=2,"EC",IF(OR(VALUE(LEFT(IF(LEN(C28)=6,"0"&amp;C28,C28),2))=8,VALUE(LEFT(IF(LEN(C28)=6,"0"&amp;C28,C28),2))=18),"NW","Other"))</f>
        <v>NW</v>
      </c>
      <c r="X28" s="52" t="str">
        <f>IF(AND(E28="TRACK WARRANT AUTHORITY",G28&lt;10),"OMIT","KEEP")</f>
        <v>KEEP</v>
      </c>
      <c r="Y28" s="130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{"issue":{"subject":"","project_id":79,"tracker_id":40,"status_id":1,"priority_id":2,"assigned_to_id":23,"start_date":"2016-10-04","description":"","custom_fields":[{"id":1,"name":"Subdivision","value":"NW"},{"id":4,"name":"Milepost","value":"0.0575"},{"id":17,"name":"Train ID","value":"804-04"},{"id":16,"name":"Locomotive ID","value":"4017"},{"id":130,"name":"Impact","value":""},{"id":150,"name":"Time of Event (Mountain Time)","value":"06:55:02"},{"id":151,"name":"Denver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5"/>
      <c r="AA28" s="55"/>
      <c r="AB28" s="23"/>
      <c r="AC28" s="171" t="str">
        <f>"grep -hSE -A100 ""Enforcement Action"" "&amp;search_path&amp;"\RTDC"&amp;U28&amp;"\*"&amp;U28&amp;"*"&amp;TEXT(A28-utc_offset/24,"YYYYMMDD")&amp;LEFT(TEXT(A28-utc_offset/24,"HH"),1)&amp;"* | grep -SE ""((Enforcement Ac)|(PRM))"" -"</f>
        <v>grep -hSE -A100 "Enforcement Action" "%USERPROFILE%\AppData\Local\Temp\OnboardLogs"\RTDC4017\*4017*201610041* | grep -SE "((Enforcement Ac)|(PRM))" -</v>
      </c>
    </row>
    <row r="29" spans="1:29" x14ac:dyDescent="0.25">
      <c r="A29" s="38">
        <v>42647.568078703705</v>
      </c>
      <c r="B29" s="33" t="s">
        <v>228</v>
      </c>
      <c r="C29" s="33" t="s">
        <v>482</v>
      </c>
      <c r="D29" s="33" t="s">
        <v>49</v>
      </c>
      <c r="E29" s="33" t="s">
        <v>50</v>
      </c>
      <c r="F29" s="49">
        <v>0</v>
      </c>
      <c r="G29" s="49">
        <v>47</v>
      </c>
      <c r="H29" s="49">
        <v>58924</v>
      </c>
      <c r="I29" s="49">
        <v>58961</v>
      </c>
      <c r="J29" s="33" t="s">
        <v>51</v>
      </c>
      <c r="K29" s="49">
        <v>59048</v>
      </c>
      <c r="L29" s="146" t="s">
        <v>52</v>
      </c>
      <c r="M29" s="149">
        <f>CONVERT((I29-K29)/10000,"mi","ft")*IF(L29="Increasing Mileposts (1)",-1,1)</f>
        <v>45.936</v>
      </c>
      <c r="N29" s="88" t="str">
        <f>VLOOKUP(C29,'Trips&amp;Operators'!$C$1:$E$99999,3,FALSE)</f>
        <v>HAITHCOX</v>
      </c>
      <c r="O29" s="170" t="s">
        <v>86</v>
      </c>
      <c r="P29" s="10"/>
      <c r="Q29" s="33"/>
      <c r="R29" s="104" t="str">
        <f>VLOOKUP(C29,'Train Runs'!$A$13:$AE$10004,31,0)</f>
        <v>aws s3 cp s3://rtdc.mdm.uploadarchive.raw/RTDC4018/ "%USERPROFILE%\AppData\Local\Temp\OnboardLogs"\RTDC4018\2016-10-04 --exclude "*" --recursive --include "*20161004*" &amp; "%USERPROFILE%\Documents\GitHub\mrs-test-scripts\Headless Mode &amp; Sideloading\WalkAndUnGZ.bat" "%USERPROFILE%\AppData\Local\Temp\OnboardLogs"\RTDC4018\2016-10-04 &amp; aws s3 cp s3://rtdc.mdm.uploadarchive.raw/RTDC4018/ "%USERPROFILE%\AppData\Local\Temp\OnboardLogs"\RTDC4018\2016-10-05 --exclude "*" --recursive --include "*20161005*" &amp; "%USERPROFILE%\Documents\GitHub\mrs-test-scripts\Headless Mode &amp; Sideloading\WalkAndUnGZ.bat" "%USERPROFILE%\AppData\Local\Temp\OnboardLogs"\RTDC4018\2016-10-05</v>
      </c>
      <c r="S29" s="107" t="str">
        <f>VLOOKUP(C29,'Train Runs'!$A$13:$AE$10004,22,0)</f>
        <v>https://search-rtdc-monitor-bjffxe2xuh6vdkpspy63sjmuny.us-east-1.es.amazonaws.com/_plugin/kibana/#/discover/Steve-Slow-Train-Analysis-(2080s-and-2083s)?_g=(refreshInterval:(display:Off,section:0,value:0),time:(from:'2016-10-04 12:04:53-0600',mode:absolute,to:'2016-10-04 14:38:02-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29" s="109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/stypes="*4018*201610041*" /stext=" 19:.+((SYSTEM_STATE.+slice.+state.+changed )|(ment ac)|(system.+state.+changed )|(\[timeout)|(PRM\|1\|D)|(kpr)|(kdp)|(\|lc)|(penalty))" /e /r /s</v>
      </c>
      <c r="U29" s="9" t="str">
        <f>MID(B29,13,4)</f>
        <v>4018</v>
      </c>
      <c r="V29" s="38">
        <f>A29+6/24</f>
        <v>42647.818078703705</v>
      </c>
      <c r="W29" s="52" t="str">
        <f>IF(VALUE(LEFT(IF(LEN(C29)=6,"0"&amp;C29,C29),2))&lt;=2,"EC",IF(OR(VALUE(LEFT(IF(LEN(C29)=6,"0"&amp;C29,C29),2))=8,VALUE(LEFT(IF(LEN(C29)=6,"0"&amp;C29,C29),2))=18),"NW","Other"))</f>
        <v>NW</v>
      </c>
      <c r="X29" s="52" t="str">
        <f>IF(AND(E29="TRACK WARRANT AUTHORITY",G29&lt;10),"OMIT","KEEP")</f>
        <v>KEEP</v>
      </c>
      <c r="Y29" s="130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{"issue":{"subject":"","project_id":79,"tracker_id":40,"status_id":1,"priority_id":2,"assigned_to_id":23,"start_date":"2016-10-04","description":"","custom_fields":[{"id":1,"name":"Subdivision","value":"NW"},{"id":4,"name":"Milepost","value":"5.9048"},{"id":17,"name":"Train ID","value":"821-04"},{"id":16,"name":"Locomotive ID","value":"4018"},{"id":130,"name":"Impact","value":""},{"id":150,"name":"Time of Event (Mountain Time)","value":"13:38:02"},{"id":151,"name":"Denver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5"/>
      <c r="AA29" s="55"/>
      <c r="AB29" s="23"/>
      <c r="AC29" s="171" t="str">
        <f>"grep -hSE -A100 ""Enforcement Action"" "&amp;search_path&amp;"\RTDC"&amp;U29&amp;"\*"&amp;U29&amp;"*"&amp;TEXT(A29-utc_offset/24,"YYYYMMDD")&amp;LEFT(TEXT(A29-utc_offset/24,"HH"),1)&amp;"* | grep -SE ""((Enforcement Ac)|(PRM))"" -"</f>
        <v>grep -hSE -A100 "Enforcement Action" "%USERPROFILE%\AppData\Local\Temp\OnboardLogs"\RTDC4018\*4018*201610041* | grep -SE "((Enforcement Ac)|(PRM))" -</v>
      </c>
    </row>
    <row r="30" spans="1:29" x14ac:dyDescent="0.25">
      <c r="A30" s="38">
        <v>42647.610254629632</v>
      </c>
      <c r="B30" s="33" t="s">
        <v>228</v>
      </c>
      <c r="C30" s="33" t="s">
        <v>496</v>
      </c>
      <c r="D30" s="33" t="s">
        <v>49</v>
      </c>
      <c r="E30" s="33" t="s">
        <v>50</v>
      </c>
      <c r="F30" s="49">
        <v>0</v>
      </c>
      <c r="G30" s="49">
        <v>45</v>
      </c>
      <c r="H30" s="49">
        <v>58903</v>
      </c>
      <c r="I30" s="49">
        <v>58935</v>
      </c>
      <c r="J30" s="33" t="s">
        <v>51</v>
      </c>
      <c r="K30" s="49">
        <v>59048</v>
      </c>
      <c r="L30" s="146" t="s">
        <v>52</v>
      </c>
      <c r="M30" s="149">
        <f>CONVERT((I30-K30)/10000,"mi","ft")*IF(L30="Increasing Mileposts (1)",-1,1)</f>
        <v>59.664000000000001</v>
      </c>
      <c r="N30" s="88" t="str">
        <f>VLOOKUP(C30,'Trips&amp;Operators'!$C$1:$E$99999,3,FALSE)</f>
        <v>HAITHCOX</v>
      </c>
      <c r="O30" s="170" t="s">
        <v>86</v>
      </c>
      <c r="P30" s="10"/>
      <c r="Q30" s="33"/>
      <c r="R30" s="104" t="str">
        <f>VLOOKUP(C30,'Train Runs'!$A$13:$AE$10004,31,0)</f>
        <v>aws s3 cp s3://rtdc.mdm.uploadarchive.raw/RTDC4018/ "%USERPROFILE%\AppData\Local\Temp\OnboardLogs"\RTDC4018\2016-10-04 --exclude "*" --recursive --include "*20161004*" &amp; "%USERPROFILE%\Documents\GitHub\mrs-test-scripts\Headless Mode &amp; Sideloading\WalkAndUnGZ.bat" "%USERPROFILE%\AppData\Local\Temp\OnboardLogs"\RTDC4018\2016-10-04 &amp; aws s3 cp s3://rtdc.mdm.uploadarchive.raw/RTDC4018/ "%USERPROFILE%\AppData\Local\Temp\OnboardLogs"\RTDC4018\2016-10-05 --exclude "*" --recursive --include "*20161005*" &amp; "%USERPROFILE%\Documents\GitHub\mrs-test-scripts\Headless Mode &amp; Sideloading\WalkAndUnGZ.bat" "%USERPROFILE%\AppData\Local\Temp\OnboardLogs"\RTDC4018\2016-10-05</v>
      </c>
      <c r="S30" s="107" t="str">
        <f>VLOOKUP(C30,'Train Runs'!$A$13:$AE$10004,22,0)</f>
        <v>https://search-rtdc-monitor-bjffxe2xuh6vdkpspy63sjmuny.us-east-1.es.amazonaws.com/_plugin/kibana/#/discover/Steve-Slow-Train-Analysis-(2080s-and-2083s)?_g=(refreshInterval:(display:Off,section:0,value:0),time:(from:'2016-10-04 13:08:52-0600',mode:absolute,to:'2016-10-04 15:38:46-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30" s="109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/stypes="*4018*201610042*" /stext=" 20:.+((SYSTEM_STATE.+slice.+state.+changed )|(ment ac)|(system.+state.+changed )|(\[timeout)|(PRM\|1\|D)|(kpr)|(kdp)|(\|lc)|(penalty))" /e /r /s</v>
      </c>
      <c r="U30" s="9" t="str">
        <f>MID(B30,13,4)</f>
        <v>4018</v>
      </c>
      <c r="V30" s="38">
        <f>A30+6/24</f>
        <v>42647.860254629632</v>
      </c>
      <c r="W30" s="52" t="str">
        <f>IF(VALUE(LEFT(IF(LEN(C30)=6,"0"&amp;C30,C30),2))&lt;=2,"EC",IF(OR(VALUE(LEFT(IF(LEN(C30)=6,"0"&amp;C30,C30),2))=8,VALUE(LEFT(IF(LEN(C30)=6,"0"&amp;C30,C30),2))=18),"NW","Other"))</f>
        <v>NW</v>
      </c>
      <c r="X30" s="52" t="str">
        <f>IF(AND(E30="TRACK WARRANT AUTHORITY",G30&lt;10),"OMIT","KEEP")</f>
        <v>KEEP</v>
      </c>
      <c r="Y30" s="130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{"issue":{"subject":"","project_id":79,"tracker_id":40,"status_id":1,"priority_id":2,"assigned_to_id":23,"start_date":"2016-10-04","description":"","custom_fields":[{"id":1,"name":"Subdivision","value":"NW"},{"id":4,"name":"Milepost","value":"5.9048"},{"id":17,"name":"Train ID","value":"823-04"},{"id":16,"name":"Locomotive ID","value":"4018"},{"id":130,"name":"Impact","value":""},{"id":150,"name":"Time of Event (Mountain Time)","value":"14:38:46"},{"id":151,"name":"Denver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5"/>
      <c r="AA30" s="55"/>
      <c r="AB30" s="23"/>
      <c r="AC30" s="171" t="str">
        <f>"grep -hSE -A100 ""Enforcement Action"" "&amp;search_path&amp;"\RTDC"&amp;U30&amp;"\*"&amp;U30&amp;"*"&amp;TEXT(A30-utc_offset/24,"YYYYMMDD")&amp;LEFT(TEXT(A30-utc_offset/24,"HH"),1)&amp;"* | grep -SE ""((Enforcement Ac)|(PRM))"" -"</f>
        <v>grep -hSE -A100 "Enforcement Action" "%USERPROFILE%\AppData\Local\Temp\OnboardLogs"\RTDC4018\*4018*201610042* | grep -SE "((Enforcement Ac)|(PRM))" -</v>
      </c>
    </row>
    <row r="31" spans="1:29" ht="15" customHeight="1" x14ac:dyDescent="0.25">
      <c r="A31" s="38">
        <v>42647.165682870371</v>
      </c>
      <c r="B31" s="33" t="s">
        <v>170</v>
      </c>
      <c r="C31" s="33" t="s">
        <v>367</v>
      </c>
      <c r="D31" s="33" t="s">
        <v>49</v>
      </c>
      <c r="E31" s="33" t="s">
        <v>163</v>
      </c>
      <c r="F31" s="49">
        <v>0</v>
      </c>
      <c r="G31" s="49">
        <v>113</v>
      </c>
      <c r="H31" s="49">
        <v>11360</v>
      </c>
      <c r="I31" s="49">
        <v>11210</v>
      </c>
      <c r="J31" s="33" t="s">
        <v>162</v>
      </c>
      <c r="K31" s="49">
        <v>10988</v>
      </c>
      <c r="L31" s="146" t="s">
        <v>53</v>
      </c>
      <c r="M31" s="149">
        <f>CONVERT((I31-K31)/10000,"mi","ft")*IF(L31="Increasing Mileposts (1)",-1,1)</f>
        <v>117.21599999999999</v>
      </c>
      <c r="N31" s="88" t="str">
        <f>VLOOKUP(C31,'Trips&amp;Operators'!$C$1:$E$99999,3,FALSE)</f>
        <v>BRANNON</v>
      </c>
      <c r="O31" s="170" t="s">
        <v>86</v>
      </c>
      <c r="P31" s="10"/>
      <c r="Q31" s="33"/>
      <c r="R31" s="104" t="str">
        <f>VLOOKUP(C31,'Train Runs'!$A$13:$AE$10004,31,0)</f>
        <v>aws s3 cp s3://rtdc.mdm.uploadarchive.raw/RTDC4041/ "%USERPROFILE%\AppData\Local\Temp\OnboardLogs"\RTDC4041\2016-10-04 --exclude "*" --recursive --include "*20161004*" &amp; "%USERPROFILE%\Documents\GitHub\mrs-test-scripts\Headless Mode &amp; Sideloading\WalkAndUnGZ.bat" "%USERPROFILE%\AppData\Local\Temp\OnboardLogs"\RTDC4041\2016-10-04 &amp; aws s3 cp s3://rtdc.mdm.uploadarchive.raw/RTDC4041/ "%USERPROFILE%\AppData\Local\Temp\OnboardLogs"\RTDC4041\2016-10-05 --exclude "*" --recursive --include "*20161005*" &amp; "%USERPROFILE%\Documents\GitHub\mrs-test-scripts\Headless Mode &amp; Sideloading\WalkAndUnGZ.bat" "%USERPROFILE%\AppData\Local\Temp\OnboardLogs"\RTDC4041\2016-10-05</v>
      </c>
      <c r="S31" s="107" t="str">
        <f>VLOOKUP(C31,'Train Runs'!$A$13:$AE$10004,22,0)</f>
        <v>https://search-rtdc-monitor-bjffxe2xuh6vdkpspy63sjmuny.us-east-1.es.amazonaws.com/_plugin/kibana/#/discover/Steve-Slow-Train-Analysis-(2080s-and-2083s)?_g=(refreshInterval:(display:Off,section:0,value:0),time:(from:'2016-10-04 02:52:01-0600',mode:absolute,to:'2016-10-04 05:05:20-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31" s="109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/stypes="*4041*201610040*" /stext=" 09:.+((SYSTEM_STATE.+slice.+state.+changed )|(ment ac)|(system.+state.+changed )|(\[timeout)|(PRM\|1\|D)|(kpr)|(kdp)|(\|lc)|(penalty))" /e /r /s</v>
      </c>
      <c r="U31" s="9" t="str">
        <f>MID(B31,13,4)</f>
        <v>4041</v>
      </c>
      <c r="V31" s="38">
        <f>A31+6/24</f>
        <v>42647.415682870371</v>
      </c>
      <c r="W31" s="52" t="str">
        <f>IF(VALUE(LEFT(IF(LEN(C31)=6,"0"&amp;C31,C31),2))&lt;=2,"EC",IF(OR(VALUE(LEFT(IF(LEN(C31)=6,"0"&amp;C31,C31),2))=8,VALUE(LEFT(IF(LEN(C31)=6,"0"&amp;C31,C31),2))=18),"NW","Other"))</f>
        <v>Other</v>
      </c>
      <c r="X31" s="52" t="str">
        <f>IF(AND(E31="TRACK WARRANT AUTHORITY",G31&lt;10),"OMIT","KEEP")</f>
        <v>KEEP</v>
      </c>
      <c r="Y31" s="130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{"issue":{"subject":"","project_id":79,"tracker_id":40,"status_id":1,"priority_id":2,"assigned_to_id":23,"start_date":"2016-10-04","description":"","custom_fields":[{"id":1,"name":"Subdivision","value":"Other"},{"id":4,"name":"Milepost","value":"1.0988"},{"id":17,"name":"Train ID","value":"306-04"},{"id":16,"name":"Locomotive ID","value":"4041"},{"id":130,"name":"Impact","value":""},{"id":150,"name":"Time of Event (Mountain Time)","value":"03:58:35"},{"id":151,"name":"Denver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5"/>
      <c r="AA31" s="55"/>
      <c r="AB31" s="23"/>
      <c r="AC31" s="171" t="str">
        <f>"grep -hSE -A100 ""Enforcement Action"" "&amp;search_path&amp;"\RTDC"&amp;U31&amp;"\*"&amp;U31&amp;"*"&amp;TEXT(A31-utc_offset/24,"YYYYMMDD")&amp;LEFT(TEXT(A31-utc_offset/24,"HH"),1)&amp;"* | grep -SE ""((Enforcement Ac)|(PRM))"" -"</f>
        <v>grep -hSE -A100 "Enforcement Action" "%USERPROFILE%\AppData\Local\Temp\OnboardLogs"\RTDC4041\*4041*201610040* | grep -SE "((Enforcement Ac)|(PRM))" -</v>
      </c>
    </row>
    <row r="32" spans="1:29" x14ac:dyDescent="0.25">
      <c r="A32" s="38">
        <v>42647.45826388889</v>
      </c>
      <c r="B32" s="33" t="s">
        <v>266</v>
      </c>
      <c r="C32" s="33" t="s">
        <v>452</v>
      </c>
      <c r="D32" s="33" t="s">
        <v>229</v>
      </c>
      <c r="E32" s="33" t="s">
        <v>163</v>
      </c>
      <c r="F32" s="49">
        <v>0</v>
      </c>
      <c r="G32" s="49">
        <v>320</v>
      </c>
      <c r="H32" s="49">
        <v>15586</v>
      </c>
      <c r="I32" s="49">
        <v>14942</v>
      </c>
      <c r="J32" s="33" t="s">
        <v>162</v>
      </c>
      <c r="K32" s="49">
        <v>15777</v>
      </c>
      <c r="L32" s="146" t="s">
        <v>53</v>
      </c>
      <c r="M32" s="149">
        <f>CONVERT((I32-K32)/10000,"mi","ft")*IF(L32="Increasing Mileposts (1)",-1,1)</f>
        <v>-440.88</v>
      </c>
      <c r="N32" s="88" t="str">
        <f>VLOOKUP(C32,'Trips&amp;Operators'!$C$1:$E$99999,3,FALSE)</f>
        <v>ARNOLD</v>
      </c>
      <c r="O32" s="170" t="s">
        <v>86</v>
      </c>
      <c r="P32" s="10"/>
      <c r="Q32" s="33"/>
      <c r="R32" s="104" t="str">
        <f>VLOOKUP(C32,'Train Runs'!$A$13:$AE$10004,31,0)</f>
        <v>aws s3 cp s3://rtdc.mdm.uploadarchive.raw/RTDC4010/ "%USERPROFILE%\AppData\Local\Temp\OnboardLogs"\RTDC4010\2016-10-04 --exclude "*" --recursive --include "*20161004*" &amp; "%USERPROFILE%\Documents\GitHub\mrs-test-scripts\Headless Mode &amp; Sideloading\WalkAndUnGZ.bat" "%USERPROFILE%\AppData\Local\Temp\OnboardLogs"\RTDC4010\2016-10-04 &amp; aws s3 cp s3://rtdc.mdm.uploadarchive.raw/RTDC4010/ "%USERPROFILE%\AppData\Local\Temp\OnboardLogs"\RTDC4010\2016-10-05 --exclude "*" --recursive --include "*20161005*" &amp; "%USERPROFILE%\Documents\GitHub\mrs-test-scripts\Headless Mode &amp; Sideloading\WalkAndUnGZ.bat" "%USERPROFILE%\AppData\Local\Temp\OnboardLogs"\RTDC4010\2016-10-05</v>
      </c>
      <c r="S32" s="107" t="str">
        <f>VLOOKUP(C32,'Train Runs'!$A$13:$AE$10004,22,0)</f>
        <v>https://search-rtdc-monitor-bjffxe2xuh6vdkpspy63sjmuny.us-east-1.es.amazonaws.com/_plugin/kibana/#/discover/Steve-Slow-Train-Analysis-(2080s-and-2083s)?_g=(refreshInterval:(display:Off,section:0,value:0),time:(from:'2016-10-04 09:50:13-0600',mode:absolute,to:'2016-10-04 12:11:31-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32" s="109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/stypes="*4010*201610041*" /stext=" 16:.+((SYSTEM_STATE.+slice.+state.+changed )|(ment ac)|(system.+state.+changed )|(\[timeout)|(PRM\|1\|D)|(kpr)|(kdp)|(\|lc)|(penalty))" /e /r /s</v>
      </c>
      <c r="U32" s="9" t="str">
        <f>MID(B32,13,4)</f>
        <v>4010</v>
      </c>
      <c r="V32" s="38">
        <f>A32+6/24</f>
        <v>42647.70826388889</v>
      </c>
      <c r="W32" s="52" t="str">
        <f>IF(VALUE(LEFT(IF(LEN(C32)=6,"0"&amp;C32,C32),2))&lt;=2,"EC",IF(OR(VALUE(LEFT(IF(LEN(C32)=6,"0"&amp;C32,C32),2))=8,VALUE(LEFT(IF(LEN(C32)=6,"0"&amp;C32,C32),2))=18),"NW","Other"))</f>
        <v>Other</v>
      </c>
      <c r="X32" s="52" t="str">
        <f>IF(AND(E32="TRACK WARRANT AUTHORITY",G32&lt;10),"OMIT","KEEP")</f>
        <v>KEEP</v>
      </c>
      <c r="Y32" s="130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{"issue":{"subject":"","project_id":79,"tracker_id":40,"status_id":1,"priority_id":2,"assigned_to_id":23,"start_date":"2016-10-04","description":"","custom_fields":[{"id":1,"name":"Subdivision","value":"Other"},{"id":4,"name":"Milepost","value":"1.5777"},{"id":17,"name":"Train ID","value":"62-04"},{"id":16,"name":"Locomotive ID","value":"4010"},{"id":130,"name":"Impact","value":""},{"id":150,"name":"Time of Event (Mountain Time)","value":"10:59:54"},{"id":151,"name":"Denver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5"/>
      <c r="AA32" s="55"/>
      <c r="AB32" s="23"/>
      <c r="AC32" s="171" t="str">
        <f>"grep -hSE -A100 ""Enforcement Action"" "&amp;search_path&amp;"\RTDC"&amp;U32&amp;"\*"&amp;U32&amp;"*"&amp;TEXT(A32-utc_offset/24,"YYYYMMDD")&amp;LEFT(TEXT(A32-utc_offset/24,"HH"),1)&amp;"* | grep -SE ""((Enforcement Ac)|(PRM))"" -"</f>
        <v>grep -hSE -A100 "Enforcement Action" "%USERPROFILE%\AppData\Local\Temp\OnboardLogs"\RTDC4010\*4010*201610041* | grep -SE "((Enforcement Ac)|(PRM))" -</v>
      </c>
    </row>
    <row r="33" spans="1:29" ht="15" customHeight="1" x14ac:dyDescent="0.25">
      <c r="A33" s="38">
        <v>42648.056990740741</v>
      </c>
      <c r="B33" s="33" t="s">
        <v>168</v>
      </c>
      <c r="C33" s="33" t="s">
        <v>599</v>
      </c>
      <c r="D33" s="33" t="s">
        <v>49</v>
      </c>
      <c r="E33" s="33" t="s">
        <v>163</v>
      </c>
      <c r="F33" s="49">
        <v>530</v>
      </c>
      <c r="G33" s="49">
        <v>586</v>
      </c>
      <c r="H33" s="49">
        <v>41828</v>
      </c>
      <c r="I33" s="49">
        <v>44029</v>
      </c>
      <c r="J33" s="33" t="s">
        <v>162</v>
      </c>
      <c r="K33" s="49">
        <v>42779</v>
      </c>
      <c r="L33" s="146" t="s">
        <v>52</v>
      </c>
      <c r="M33" s="149">
        <f>CONVERT((I33-K33)/10000,"mi","ft")*IF(L33="Increasing Mileposts (1)",-1,1)</f>
        <v>-660</v>
      </c>
      <c r="N33" s="88" t="b">
        <f>VLOOKUP(C33,'Trips&amp;Operators'!$C$1:$E$99999,3,FALSE)</f>
        <v>1</v>
      </c>
      <c r="O33" s="170" t="s">
        <v>86</v>
      </c>
      <c r="P33" s="10"/>
      <c r="Q33" s="33"/>
      <c r="R33" s="104" t="str">
        <f>VLOOKUP(C33,'Train Runs'!$A$13:$AE$10004,31,0)</f>
        <v>aws s3 cp s3://rtdc.mdm.uploadarchive.raw/RTDC4051/ "%USERPROFILE%\AppData\Local\Temp\OnboardLogs"\RTDC4051\2016-10-05 --exclude "*" --recursive --include "*20161005*" &amp; "%USERPROFILE%\Documents\GitHub\mrs-test-scripts\Headless Mode &amp; Sideloading\WalkAndUnGZ.bat" "%USERPROFILE%\AppData\Local\Temp\OnboardLogs"\RTDC4051\2016-10-05 &amp; aws s3 cp s3://rtdc.mdm.uploadarchive.raw/RTDC4051/ "%USERPROFILE%\AppData\Local\Temp\OnboardLogs"\RTDC4051\2016-10-06 --exclude "*" --recursive --include "*20161006*" &amp; "%USERPROFILE%\Documents\GitHub\mrs-test-scripts\Headless Mode &amp; Sideloading\WalkAndUnGZ.bat" "%USERPROFILE%\AppData\Local\Temp\OnboardLogs"\RTDC4051\2016-10-06</v>
      </c>
      <c r="S33" s="107" t="str">
        <f>VLOOKUP(C33,'Train Runs'!$A$13:$AE$10004,22,0)</f>
        <v>https://search-rtdc-monitor-bjffxe2xuh6vdkpspy63sjmuny.us-east-1.es.amazonaws.com/_plugin/kibana/#/discover/Steve-Slow-Train-Analysis-(2080s-and-2083s)?_g=(refreshInterval:(display:Off,section:0,value:0),time:(from:'2016-10-05 00:09:11-0600',mode:absolute,to:'2016-10-05 03:10:18-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T33" s="109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/stypes="*4051*201610050*" /stext=" 07:.+((SYSTEM_STATE.+slice.+state.+changed )|(ment ac)|(system.+state.+changed )|(\[timeout)|(PRM\|1\|D)|(kpr)|(kdp)|(\|lc)|(penalty))" /e /r /s</v>
      </c>
      <c r="U33" s="9" t="str">
        <f>MID(B33,13,4)</f>
        <v>4051</v>
      </c>
      <c r="V33" s="38">
        <f>A33+6/24</f>
        <v>42648.306990740741</v>
      </c>
      <c r="W33" s="52" t="str">
        <f>IF(VALUE(LEFT(IF(LEN(C33)=6,"0"&amp;C33,C33),2))&lt;=2,"EC",IF(OR(VALUE(LEFT(IF(LEN(C33)=6,"0"&amp;C33,C33),2))=8,VALUE(LEFT(IF(LEN(C33)=6,"0"&amp;C33,C33),2))=18),"NW","Other"))</f>
        <v>Other</v>
      </c>
      <c r="X33" s="52" t="str">
        <f>IF(AND(E33="TRACK WARRANT AUTHORITY",G33&lt;10),"OMIT","KEEP")</f>
        <v>KEEP</v>
      </c>
      <c r="Y33" s="130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{"issue":{"subject":"","project_id":79,"tracker_id":40,"status_id":1,"priority_id":2,"assigned_to_id":23,"start_date":"2016-10-05","description":"","custom_fields":[{"id":1,"name":"Subdivision","value":"Other"},{"id":4,"name":"Milepost","value":"4.2779"},{"id":17,"name":"Train ID","value":"315-04"},{"id":16,"name":"Locomotive ID","value":"4051"},{"id":130,"name":"Impact","value":""},{"id":150,"name":"Time of Event (Mountain Time)","value":"01:22:04"},{"id":151,"name":"Denver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5"/>
      <c r="AA33" s="55"/>
      <c r="AB33" s="23"/>
      <c r="AC33" s="171" t="str">
        <f>"grep -hSE -A100 ""Enforcement Action"" "&amp;search_path&amp;"\RTDC"&amp;U33&amp;"\*"&amp;U33&amp;"*"&amp;TEXT(A33-utc_offset/24,"YYYYMMDD")&amp;LEFT(TEXT(A33-utc_offset/24,"HH"),1)&amp;"* | grep -SE ""((Enforcement Ac)|(PRM))"" -"</f>
        <v>grep -hSE -A100 "Enforcement Action" "%USERPROFILE%\AppData\Local\Temp\OnboardLogs"\RTDC4051\*4051*201610050* | grep -SE "((Enforcement Ac)|(PRM))" -</v>
      </c>
    </row>
    <row r="34" spans="1:29" x14ac:dyDescent="0.25">
      <c r="A34" s="38">
        <v>42647.442858796298</v>
      </c>
      <c r="B34" s="33" t="s">
        <v>275</v>
      </c>
      <c r="C34" s="33" t="s">
        <v>448</v>
      </c>
      <c r="D34" s="33" t="s">
        <v>105</v>
      </c>
      <c r="E34" s="33" t="s">
        <v>56</v>
      </c>
      <c r="F34" s="49">
        <v>500</v>
      </c>
      <c r="G34" s="49">
        <v>550</v>
      </c>
      <c r="H34" s="49">
        <v>16208</v>
      </c>
      <c r="I34" s="49">
        <v>17896</v>
      </c>
      <c r="J34" s="33" t="s">
        <v>57</v>
      </c>
      <c r="K34" s="49">
        <v>14402</v>
      </c>
      <c r="L34" s="146" t="s">
        <v>52</v>
      </c>
      <c r="M34" s="149">
        <f>CONVERT((I34-K34)/10000,"mi","ft")*IF(L34="Increasing Mileposts (1)",-1,1)</f>
        <v>-1844.8320000000001</v>
      </c>
      <c r="N34" s="88" t="str">
        <f>VLOOKUP(C34,'Trips&amp;Operators'!$C$1:$E$99999,3,FALSE)</f>
        <v>ARNOLD</v>
      </c>
      <c r="O34" s="170" t="s">
        <v>86</v>
      </c>
      <c r="P34" s="10"/>
      <c r="Q34" s="33"/>
      <c r="R34" s="104" t="str">
        <f>VLOOKUP(C34,'Train Runs'!$A$13:$AE$10004,31,0)</f>
        <v>aws s3 cp s3://rtdc.mdm.uploadarchive.raw/RTDC4009/ "%USERPROFILE%\AppData\Local\Temp\OnboardLogs"\RTDC4009\2016-10-04 --exclude "*" --recursive --include "*20161004*" &amp; "%USERPROFILE%\Documents\GitHub\mrs-test-scripts\Headless Mode &amp; Sideloading\WalkAndUnGZ.bat" "%USERPROFILE%\AppData\Local\Temp\OnboardLogs"\RTDC4009\2016-10-04 &amp; aws s3 cp s3://rtdc.mdm.uploadarchive.raw/RTDC4009/ "%USERPROFILE%\AppData\Local\Temp\OnboardLogs"\RTDC4009\2016-10-05 --exclude "*" --recursive --include "*20161005*" &amp; "%USERPROFILE%\Documents\GitHub\mrs-test-scripts\Headless Mode &amp; Sideloading\WalkAndUnGZ.bat" "%USERPROFILE%\AppData\Local\Temp\OnboardLogs"\RTDC4009\2016-10-05</v>
      </c>
      <c r="S34" s="107" t="str">
        <f>VLOOKUP(C34,'Train Runs'!$A$13:$AE$10004,22,0)</f>
        <v>https://search-rtdc-monitor-bjffxe2xuh6vdkpspy63sjmuny.us-east-1.es.amazonaws.com/_plugin/kibana/#/discover/Steve-Slow-Train-Analysis-(2080s-and-2083s)?_g=(refreshInterval:(display:Off,section:0,value:0),time:(from:'2016-10-04 09:22:58-0600',mode:absolute,to:'2016-10-04 11:47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34" s="109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/stypes="*4009*201610041*" /stext=" 16:.+((SYSTEM_STATE.+slice.+state.+changed )|(ment ac)|(system.+state.+changed )|(\[timeout)|(PRM\|1\|D)|(kpr)|(kdp)|(\|lc)|(penalty))" /e /r /s</v>
      </c>
      <c r="U34" s="9" t="str">
        <f>MID(B34,13,4)</f>
        <v>4009</v>
      </c>
      <c r="V34" s="38">
        <f>A34+6/24</f>
        <v>42647.692858796298</v>
      </c>
      <c r="W34" s="52" t="str">
        <f>IF(VALUE(LEFT(IF(LEN(C34)=6,"0"&amp;C34,C34),2))&lt;=2,"EC",IF(OR(VALUE(LEFT(IF(LEN(C34)=6,"0"&amp;C34,C34),2))=8,VALUE(LEFT(IF(LEN(C34)=6,"0"&amp;C34,C34),2))=18),"NW","Other"))</f>
        <v>Other</v>
      </c>
      <c r="X34" s="52" t="str">
        <f>IF(AND(E34="TRACK WARRANT AUTHORITY",G34&lt;10),"OMIT","KEEP")</f>
        <v>KEEP</v>
      </c>
      <c r="Y34" s="130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{"issue":{"subject":"","project_id":79,"tracker_id":40,"status_id":1,"priority_id":2,"assigned_to_id":23,"start_date":"2016-10-04","description":"","custom_fields":[{"id":1,"name":"Subdivision","value":"Other"},{"id":4,"name":"Milepost","value":"1.4402"},{"id":17,"name":"Train ID","value":"61-04"},{"id":16,"name":"Locomotive ID","value":"4009"},{"id":130,"name":"Impact","value":""},{"id":150,"name":"Time of Event (Mountain Time)","value":"10:37:43"},{"id":151,"name":"Denver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5"/>
      <c r="AA34" s="55"/>
      <c r="AB34" s="23"/>
      <c r="AC34" s="171" t="str">
        <f>"grep -hSE -A100 ""Enforcement Action"" "&amp;search_path&amp;"\RTDC"&amp;U34&amp;"\*"&amp;U34&amp;"*"&amp;TEXT(A34-utc_offset/24,"YYYYMMDD")&amp;LEFT(TEXT(A34-utc_offset/24,"HH"),1)&amp;"* | grep -SE ""((Enforcement Ac)|(PRM))"" -"</f>
        <v>grep -hSE -A100 "Enforcement Action" "%USERPROFILE%\AppData\Local\Temp\OnboardLogs"\RTDC4009\*4009*201610041* | grep -SE "((Enforcement Ac)|(PRM))" -</v>
      </c>
    </row>
    <row r="35" spans="1:29" x14ac:dyDescent="0.25">
      <c r="A35" s="38">
        <v>42647.59165509259</v>
      </c>
      <c r="B35" s="33" t="s">
        <v>275</v>
      </c>
      <c r="C35" s="33" t="s">
        <v>491</v>
      </c>
      <c r="D35" s="33" t="s">
        <v>49</v>
      </c>
      <c r="E35" s="33" t="s">
        <v>56</v>
      </c>
      <c r="F35" s="49">
        <v>300</v>
      </c>
      <c r="G35" s="49">
        <v>354</v>
      </c>
      <c r="H35" s="49">
        <v>20494</v>
      </c>
      <c r="I35" s="49">
        <v>21519</v>
      </c>
      <c r="J35" s="33" t="s">
        <v>57</v>
      </c>
      <c r="K35" s="49">
        <v>21299</v>
      </c>
      <c r="L35" s="146" t="s">
        <v>52</v>
      </c>
      <c r="M35" s="149">
        <f>CONVERT((I35-K35)/10000,"mi","ft")*IF(L35="Increasing Mileposts (1)",-1,1)</f>
        <v>-116.16</v>
      </c>
      <c r="N35" s="88" t="str">
        <f>VLOOKUP(C35,'Trips&amp;Operators'!$C$1:$E$99999,3,FALSE)</f>
        <v>ARNOLD</v>
      </c>
      <c r="O35" s="170" t="s">
        <v>86</v>
      </c>
      <c r="P35" s="10"/>
      <c r="Q35" s="33"/>
      <c r="R35" s="104" t="str">
        <f>VLOOKUP(C35,'Train Runs'!$A$13:$AE$10004,31,0)</f>
        <v>aws s3 cp s3://rtdc.mdm.uploadarchive.raw/RTDC4009/ "%USERPROFILE%\AppData\Local\Temp\OnboardLogs"\RTDC4009\2016-10-04 --exclude "*" --recursive --include "*20161004*" &amp; "%USERPROFILE%\Documents\GitHub\mrs-test-scripts\Headless Mode &amp; Sideloading\WalkAndUnGZ.bat" "%USERPROFILE%\AppData\Local\Temp\OnboardLogs"\RTDC4009\2016-10-04 &amp; aws s3 cp s3://rtdc.mdm.uploadarchive.raw/RTDC4009/ "%USERPROFILE%\AppData\Local\Temp\OnboardLogs"\RTDC4009\2016-10-05 --exclude "*" --recursive --include "*20161005*" &amp; "%USERPROFILE%\Documents\GitHub\mrs-test-scripts\Headless Mode &amp; Sideloading\WalkAndUnGZ.bat" "%USERPROFILE%\AppData\Local\Temp\OnboardLogs"\RTDC4009\2016-10-05</v>
      </c>
      <c r="S35" s="107" t="str">
        <f>VLOOKUP(C35,'Train Runs'!$A$13:$AE$10004,22,0)</f>
        <v>https://search-rtdc-monitor-bjffxe2xuh6vdkpspy63sjmuny.us-east-1.es.amazonaws.com/_plugin/kibana/#/discover/Steve-Slow-Train-Analysis-(2080s-and-2083s)?_g=(refreshInterval:(display:Off,section:0,value:0),time:(from:'2016-10-04 13:00:08-0600',mode:absolute,to:'2016-10-04 15:16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35" s="109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/stypes="*4009*201610042*" /stext=" 20:.+((SYSTEM_STATE.+slice.+state.+changed )|(ment ac)|(system.+state.+changed )|(\[timeout)|(PRM\|1\|D)|(kpr)|(kdp)|(\|lc)|(penalty))" /e /r /s</v>
      </c>
      <c r="U35" s="9" t="str">
        <f>MID(B35,13,4)</f>
        <v>4009</v>
      </c>
      <c r="V35" s="38">
        <f>A35+6/24</f>
        <v>42647.84165509259</v>
      </c>
      <c r="W35" s="52" t="str">
        <f>IF(VALUE(LEFT(IF(LEN(C35)=6,"0"&amp;C35,C35),2))&lt;=2,"EC",IF(OR(VALUE(LEFT(IF(LEN(C35)=6,"0"&amp;C35,C35),2))=8,VALUE(LEFT(IF(LEN(C35)=6,"0"&amp;C35,C35),2))=18),"NW","Other"))</f>
        <v>Other</v>
      </c>
      <c r="X35" s="52" t="str">
        <f>IF(AND(E35="TRACK WARRANT AUTHORITY",G35&lt;10),"OMIT","KEEP")</f>
        <v>KEEP</v>
      </c>
      <c r="Y35" s="130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{"issue":{"subject":"","project_id":79,"tracker_id":40,"status_id":1,"priority_id":2,"assigned_to_id":23,"start_date":"2016-10-04","description":"","custom_fields":[{"id":1,"name":"Subdivision","value":"Other"},{"id":4,"name":"Milepost","value":"2.1299"},{"id":17,"name":"Train ID","value":"68-04"},{"id":16,"name":"Locomotive ID","value":"4009"},{"id":130,"name":"Impact","value":""},{"id":150,"name":"Time of Event (Mountain Time)","value":"14:11:59"},{"id":151,"name":"Denver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5"/>
      <c r="AA35" s="55"/>
      <c r="AB35" s="23"/>
      <c r="AC35" s="171" t="str">
        <f>"grep -hSE -A100 ""Enforcement Action"" "&amp;search_path&amp;"\RTDC"&amp;U35&amp;"\*"&amp;U35&amp;"*"&amp;TEXT(A35-utc_offset/24,"YYYYMMDD")&amp;LEFT(TEXT(A35-utc_offset/24,"HH"),1)&amp;"* | grep -SE ""((Enforcement Ac)|(PRM))"" -"</f>
        <v>grep -hSE -A100 "Enforcement Action" "%USERPROFILE%\AppData\Local\Temp\OnboardLogs"\RTDC4009\*4009*201610042* | grep -SE "((Enforcement Ac)|(PRM))" -</v>
      </c>
    </row>
    <row r="36" spans="1:29" x14ac:dyDescent="0.25">
      <c r="A36" s="38">
        <v>42647.74726851852</v>
      </c>
      <c r="B36" s="33" t="s">
        <v>271</v>
      </c>
      <c r="C36" s="33" t="s">
        <v>541</v>
      </c>
      <c r="D36" s="33" t="s">
        <v>105</v>
      </c>
      <c r="E36" s="33" t="s">
        <v>54</v>
      </c>
      <c r="F36" s="49">
        <v>0</v>
      </c>
      <c r="G36" s="49">
        <v>10</v>
      </c>
      <c r="H36" s="49">
        <v>1725</v>
      </c>
      <c r="I36" s="49">
        <v>1729</v>
      </c>
      <c r="J36" s="33" t="s">
        <v>55</v>
      </c>
      <c r="K36" s="49">
        <v>1692</v>
      </c>
      <c r="L36" s="146" t="s">
        <v>52</v>
      </c>
      <c r="M36" s="149">
        <f>CONVERT((I36-K36)/10000,"mi","ft")*IF(L36="Increasing Mileposts (1)",-1,1)</f>
        <v>-19.536000000000001</v>
      </c>
      <c r="N36" s="88" t="str">
        <f>VLOOKUP(C36,'Trips&amp;Operators'!$C$1:$E$99999,3,FALSE)</f>
        <v>SWANSON</v>
      </c>
      <c r="O36" s="170" t="s">
        <v>86</v>
      </c>
      <c r="P36" s="10"/>
      <c r="Q36" s="33"/>
      <c r="R36" s="104" t="str">
        <f>VLOOKUP(C36,'Train Runs'!$A$13:$AE$10004,31,0)</f>
        <v>aws s3 cp s3://rtdc.mdm.uploadarchive.raw/RTDC4031/ "%USERPROFILE%\AppData\Local\Temp\OnboardLogs"\RTDC4031\2016-10-04 --exclude "*" --recursive --include "*20161004*" &amp; "%USERPROFILE%\Documents\GitHub\mrs-test-scripts\Headless Mode &amp; Sideloading\WalkAndUnGZ.bat" "%USERPROFILE%\AppData\Local\Temp\OnboardLogs"\RTDC4031\2016-10-04 &amp; aws s3 cp s3://rtdc.mdm.uploadarchive.raw/RTDC4031/ "%USERPROFILE%\AppData\Local\Temp\OnboardLogs"\RTDC4031\2016-10-05 --exclude "*" --recursive --include "*20161005*" &amp; "%USERPROFILE%\Documents\GitHub\mrs-test-scripts\Headless Mode &amp; Sideloading\WalkAndUnGZ.bat" "%USERPROFILE%\AppData\Local\Temp\OnboardLogs"\RTDC4031\2016-10-05</v>
      </c>
      <c r="S36" s="107" t="str">
        <f>VLOOKUP(C36,'Train Runs'!$A$13:$AE$10004,22,0)</f>
        <v>https://search-rtdc-monitor-bjffxe2xuh6vdkpspy63sjmuny.us-east-1.es.amazonaws.com/_plugin/kibana/#/discover/Steve-Slow-Train-Analysis-(2080s-and-2083s)?_g=(refreshInterval:(display:Off,section:0,value:0),time:(from:'2016-10-04 16:46:25-0600',mode:absolute,to:'2016-10-04 18:56:04-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36" s="109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/stypes="*4031*201610042*" /stext=" 23:.+((SYSTEM_STATE.+slice.+state.+changed )|(ment ac)|(system.+state.+changed )|(\[timeout)|(PRM\|1\|D)|(kpr)|(kdp)|(\|lc)|(penalty))" /e /r /s</v>
      </c>
      <c r="U36" s="9" t="str">
        <f>MID(B36,13,4)</f>
        <v>4031</v>
      </c>
      <c r="V36" s="38">
        <f>A36+6/24</f>
        <v>42647.99726851852</v>
      </c>
      <c r="W36" s="52" t="str">
        <f>IF(VALUE(LEFT(IF(LEN(C36)=6,"0"&amp;C36,C36),2))&lt;=2,"EC",IF(OR(VALUE(LEFT(IF(LEN(C36)=6,"0"&amp;C36,C36),2))=8,VALUE(LEFT(IF(LEN(C36)=6,"0"&amp;C36,C36),2))=18),"NW","Other"))</f>
        <v>Other</v>
      </c>
      <c r="X36" s="52" t="str">
        <f>IF(AND(E36="TRACK WARRANT AUTHORITY",G36&lt;10),"OMIT","KEEP")</f>
        <v>KEEP</v>
      </c>
      <c r="Y36" s="130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{"issue":{"subject":"","project_id":79,"tracker_id":40,"status_id":1,"priority_id":2,"assigned_to_id":23,"start_date":"2016-10-04","description":"","custom_fields":[{"id":1,"name":"Subdivision","value":"Other"},{"id":4,"name":"Milepost","value":"0.1692"},{"id":17,"name":"Train ID","value":"69-04"},{"id":16,"name":"Locomotive ID","value":"4031"},{"id":130,"name":"Impact","value":""},{"id":150,"name":"Time of Event (Mountain Time)","value":"17:56:04"},{"id":151,"name":"Denver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5"/>
      <c r="AA36" s="55"/>
      <c r="AB36" s="23"/>
      <c r="AC36" s="171" t="str">
        <f>"grep -hSE -A100 ""Enforcement Action"" "&amp;search_path&amp;"\RTDC"&amp;U36&amp;"\*"&amp;U36&amp;"*"&amp;TEXT(A36-utc_offset/24,"YYYYMMDD")&amp;LEFT(TEXT(A36-utc_offset/24,"HH"),1)&amp;"* | grep -SE ""((Enforcement Ac)|(PRM))"" -"</f>
        <v>grep -hSE -A100 "Enforcement Action" "%USERPROFILE%\AppData\Local\Temp\OnboardLogs"\RTDC4031\*4031*201610042* | grep -SE "((Enforcement Ac)|(PRM))" -</v>
      </c>
    </row>
    <row r="37" spans="1:29" ht="15" customHeight="1" x14ac:dyDescent="0.25">
      <c r="A37" s="38">
        <v>42647.722743055558</v>
      </c>
      <c r="B37" s="33" t="s">
        <v>353</v>
      </c>
      <c r="C37" s="33" t="s">
        <v>533</v>
      </c>
      <c r="D37" s="33" t="s">
        <v>105</v>
      </c>
      <c r="E37" s="33" t="s">
        <v>54</v>
      </c>
      <c r="F37" s="49">
        <v>0</v>
      </c>
      <c r="G37" s="49">
        <v>87</v>
      </c>
      <c r="H37" s="49">
        <v>10996</v>
      </c>
      <c r="I37" s="49">
        <v>10865</v>
      </c>
      <c r="J37" s="33" t="s">
        <v>55</v>
      </c>
      <c r="K37" s="49">
        <v>11016</v>
      </c>
      <c r="L37" s="146" t="s">
        <v>53</v>
      </c>
      <c r="M37" s="149">
        <f>CONVERT((I37-K37)/10000,"mi","ft")*IF(L37="Increasing Mileposts (1)",-1,1)</f>
        <v>-79.727999999999994</v>
      </c>
      <c r="N37" s="88" t="str">
        <f>VLOOKUP(C37,'Trips&amp;Operators'!$C$1:$E$99999,3,FALSE)</f>
        <v>COOLAHAN</v>
      </c>
      <c r="O37" s="170" t="s">
        <v>86</v>
      </c>
      <c r="P37" s="10"/>
      <c r="Q37" s="33"/>
      <c r="R37" s="104" t="str">
        <f>VLOOKUP(C37,'Train Runs'!$A$13:$AE$10004,31,0)</f>
        <v>aws s3 cp s3://rtdc.mdm.uploadarchive.raw/RTDC4021/ "%USERPROFILE%\AppData\Local\Temp\OnboardLogs"\RTDC4021\2016-10-04 --exclude "*" --recursive --include "*20161004*" &amp; "%USERPROFILE%\Documents\GitHub\mrs-test-scripts\Headless Mode &amp; Sideloading\WalkAndUnGZ.bat" "%USERPROFILE%\AppData\Local\Temp\OnboardLogs"\RTDC4021\2016-10-04 &amp; aws s3 cp s3://rtdc.mdm.uploadarchive.raw/RTDC4021/ "%USERPROFILE%\AppData\Local\Temp\OnboardLogs"\RTDC4021\2016-10-05 --exclude "*" --recursive --include "*20161005*" &amp; "%USERPROFILE%\Documents\GitHub\mrs-test-scripts\Headless Mode &amp; Sideloading\WalkAndUnGZ.bat" "%USERPROFILE%\AppData\Local\Temp\OnboardLogs"\RTDC4021\2016-10-05</v>
      </c>
      <c r="S37" s="107" t="str">
        <f>VLOOKUP(C37,'Train Runs'!$A$13:$AE$10004,22,0)</f>
        <v>https://search-rtdc-monitor-bjffxe2xuh6vdkpspy63sjmuny.us-east-1.es.amazonaws.com/_plugin/kibana/#/discover/Steve-Slow-Train-Analysis-(2080s-and-2083s)?_g=(refreshInterval:(display:Off,section:0,value:0),time:(from:'2016-10-04 16:12:47-0600',mode:absolute,to:'2016-10-04 18:26:10-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T37" s="109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/stypes="*4021*201610042*" /stext=" 23:.+((SYSTEM_STATE.+slice.+state.+changed )|(ment ac)|(system.+state.+changed )|(\[timeout)|(PRM\|1\|D)|(kpr)|(kdp)|(\|lc)|(penalty))" /e /r /s</v>
      </c>
      <c r="U37" s="9" t="str">
        <f>MID(B37,13,4)</f>
        <v>4021</v>
      </c>
      <c r="V37" s="38">
        <f>A37+6/24</f>
        <v>42647.972743055558</v>
      </c>
      <c r="W37" s="52" t="str">
        <f>IF(VALUE(LEFT(IF(LEN(C37)=6,"0"&amp;C37,C37),2))&lt;=2,"EC",IF(OR(VALUE(LEFT(IF(LEN(C37)=6,"0"&amp;C37,C37),2))=8,VALUE(LEFT(IF(LEN(C37)=6,"0"&amp;C37,C37),2))=18),"NW","Other"))</f>
        <v>Other</v>
      </c>
      <c r="X37" s="52" t="str">
        <f>IF(AND(E37="TRACK WARRANT AUTHORITY",G37&lt;10),"OMIT","KEEP")</f>
        <v>KEEP</v>
      </c>
      <c r="Y37" s="130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{"issue":{"subject":"","project_id":79,"tracker_id":40,"status_id":1,"priority_id":2,"assigned_to_id":23,"start_date":"2016-10-04","description":"","custom_fields":[{"id":1,"name":"Subdivision","value":"Other"},{"id":4,"name":"Milepost","value":"1.1016"},{"id":17,"name":"Train ID","value":"56-04"},{"id":16,"name":"Locomotive ID","value":"4021"},{"id":130,"name":"Impact","value":""},{"id":150,"name":"Time of Event (Mountain Time)","value":"17:20:45"},{"id":151,"name":"Denver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5"/>
      <c r="AA37" s="55"/>
      <c r="AB37" s="23"/>
      <c r="AC37" s="171" t="str">
        <f>"grep -hSE -A100 ""Enforcement Action"" "&amp;search_path&amp;"\RTDC"&amp;U37&amp;"\*"&amp;U37&amp;"*"&amp;TEXT(A37-utc_offset/24,"YYYYMMDD")&amp;LEFT(TEXT(A37-utc_offset/24,"HH"),1)&amp;"* | grep -SE ""((Enforcement Ac)|(PRM))"" -"</f>
        <v>grep -hSE -A100 "Enforcement Action" "%USERPROFILE%\AppData\Local\Temp\OnboardLogs"\RTDC4021\*4021*201610042* | grep -SE "((Enforcement Ac)|(PRM))" -</v>
      </c>
    </row>
    <row r="38" spans="1:29" x14ac:dyDescent="0.25">
      <c r="A38" s="38">
        <v>42647.758148148147</v>
      </c>
      <c r="B38" s="33" t="s">
        <v>354</v>
      </c>
      <c r="C38" s="33" t="s">
        <v>544</v>
      </c>
      <c r="D38" s="33" t="s">
        <v>105</v>
      </c>
      <c r="E38" s="33" t="s">
        <v>54</v>
      </c>
      <c r="F38" s="49">
        <v>0</v>
      </c>
      <c r="G38" s="49">
        <v>112</v>
      </c>
      <c r="H38" s="49">
        <v>22309</v>
      </c>
      <c r="I38" s="49">
        <v>22517</v>
      </c>
      <c r="J38" s="33" t="s">
        <v>55</v>
      </c>
      <c r="K38" s="49">
        <v>22206</v>
      </c>
      <c r="L38" s="146" t="s">
        <v>52</v>
      </c>
      <c r="M38" s="149">
        <f>CONVERT((I38-K38)/10000,"mi","ft")*IF(L38="Increasing Mileposts (1)",-1,1)</f>
        <v>-164.208</v>
      </c>
      <c r="N38" s="88" t="str">
        <f>VLOOKUP(C38,'Trips&amp;Operators'!$C$1:$E$99999,3,FALSE)</f>
        <v>BARTLETT</v>
      </c>
      <c r="O38" s="170" t="s">
        <v>86</v>
      </c>
      <c r="P38" s="10"/>
      <c r="Q38" s="33"/>
      <c r="R38" s="104" t="str">
        <f>VLOOKUP(C38,'Train Runs'!$A$13:$AE$10004,31,0)</f>
        <v>aws s3 cp s3://rtdc.mdm.uploadarchive.raw/RTDC4022/ "%USERPROFILE%\AppData\Local\Temp\OnboardLogs"\RTDC4022\2016-10-04 --exclude "*" --recursive --include "*20161004*" &amp; "%USERPROFILE%\Documents\GitHub\mrs-test-scripts\Headless Mode &amp; Sideloading\WalkAndUnGZ.bat" "%USERPROFILE%\AppData\Local\Temp\OnboardLogs"\RTDC4022\2016-10-04 &amp; aws s3 cp s3://rtdc.mdm.uploadarchive.raw/RTDC4022/ "%USERPROFILE%\AppData\Local\Temp\OnboardLogs"\RTDC4022\2016-10-05 --exclude "*" --recursive --include "*20161005*" &amp; "%USERPROFILE%\Documents\GitHub\mrs-test-scripts\Headless Mode &amp; Sideloading\WalkAndUnGZ.bat" "%USERPROFILE%\AppData\Local\Temp\OnboardLogs"\RTDC4022\2016-10-05</v>
      </c>
      <c r="S38" s="107" t="str">
        <f>VLOOKUP(C38,'Train Runs'!$A$13:$AE$10004,22,0)</f>
        <v>https://search-rtdc-monitor-bjffxe2xuh6vdkpspy63sjmuny.us-east-1.es.amazonaws.com/_plugin/kibana/#/discover/Steve-Slow-Train-Analysis-(2080s-and-2083s)?_g=(refreshInterval:(display:Off,section:0,value:0),time:(from:'2016-10-04 16:57:02-0600',mode:absolute,to:'2016-10-04 19:11:45-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8" s="109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/stypes="*4022*201610050*" /stext=" 00:.+((SYSTEM_STATE.+slice.+state.+changed )|(ment ac)|(system.+state.+changed )|(\[timeout)|(PRM\|1\|D)|(kpr)|(kdp)|(\|lc)|(penalty))" /e /r /s</v>
      </c>
      <c r="U38" s="9" t="str">
        <f>MID(B38,13,4)</f>
        <v>4022</v>
      </c>
      <c r="V38" s="38">
        <f>A38+6/24</f>
        <v>42648.008148148147</v>
      </c>
      <c r="W38" s="52" t="str">
        <f>IF(VALUE(LEFT(IF(LEN(C38)=6,"0"&amp;C38,C38),2))&lt;=2,"EC",IF(OR(VALUE(LEFT(IF(LEN(C38)=6,"0"&amp;C38,C38),2))=8,VALUE(LEFT(IF(LEN(C38)=6,"0"&amp;C38,C38),2))=18),"NW","Other"))</f>
        <v>Other</v>
      </c>
      <c r="X38" s="52" t="str">
        <f>IF(AND(E38="TRACK WARRANT AUTHORITY",G38&lt;10),"OMIT","KEEP")</f>
        <v>KEEP</v>
      </c>
      <c r="Y38" s="130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{"issue":{"subject":"","project_id":79,"tracker_id":40,"status_id":1,"priority_id":2,"assigned_to_id":23,"start_date":"2016-10-04","description":"","custom_fields":[{"id":1,"name":"Subdivision","value":"Other"},{"id":4,"name":"Milepost","value":"2.2206"},{"id":17,"name":"Train ID","value":"71-04"},{"id":16,"name":"Locomotive ID","value":"4022"},{"id":130,"name":"Impact","value":""},{"id":150,"name":"Time of Event (Mountain Time)","value":"18:11:44"},{"id":151,"name":"Denver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5"/>
      <c r="AA38" s="55"/>
      <c r="AB38" s="23"/>
      <c r="AC38" s="171" t="str">
        <f>"grep -hSE -A100 ""Enforcement Action"" "&amp;search_path&amp;"\RTDC"&amp;U38&amp;"\*"&amp;U38&amp;"*"&amp;TEXT(A38-utc_offset/24,"YYYYMMDD")&amp;LEFT(TEXT(A38-utc_offset/24,"HH"),1)&amp;"* | grep -SE ""((Enforcement Ac)|(PRM))"" -"</f>
        <v>grep -hSE -A100 "Enforcement Action" "%USERPROFILE%\AppData\Local\Temp\OnboardLogs"\RTDC4022\*4022*201610050* | grep -SE "((Enforcement Ac)|(PRM))" -</v>
      </c>
    </row>
    <row r="39" spans="1:29" x14ac:dyDescent="0.25">
      <c r="A39" s="38">
        <v>42647.446574074071</v>
      </c>
      <c r="B39" s="33" t="s">
        <v>275</v>
      </c>
      <c r="C39" s="33" t="s">
        <v>448</v>
      </c>
      <c r="D39" s="33" t="s">
        <v>49</v>
      </c>
      <c r="E39" s="33" t="s">
        <v>54</v>
      </c>
      <c r="F39" s="49">
        <v>0</v>
      </c>
      <c r="G39" s="49">
        <v>125</v>
      </c>
      <c r="H39" s="49">
        <v>39835</v>
      </c>
      <c r="I39" s="49">
        <v>39946</v>
      </c>
      <c r="J39" s="33" t="s">
        <v>55</v>
      </c>
      <c r="K39" s="49">
        <v>40370</v>
      </c>
      <c r="L39" s="146" t="s">
        <v>52</v>
      </c>
      <c r="M39" s="149">
        <f>CONVERT((I39-K39)/10000,"mi","ft")*IF(L39="Increasing Mileposts (1)",-1,1)</f>
        <v>223.87200000000001</v>
      </c>
      <c r="N39" s="88" t="str">
        <f>VLOOKUP(C39,'Trips&amp;Operators'!$C$1:$E$99999,3,FALSE)</f>
        <v>ARNOLD</v>
      </c>
      <c r="O39" s="170" t="s">
        <v>86</v>
      </c>
      <c r="P39" s="10"/>
      <c r="Q39" s="33"/>
      <c r="R39" s="104" t="str">
        <f>VLOOKUP(C39,'Train Runs'!$A$13:$AE$10004,31,0)</f>
        <v>aws s3 cp s3://rtdc.mdm.uploadarchive.raw/RTDC4009/ "%USERPROFILE%\AppData\Local\Temp\OnboardLogs"\RTDC4009\2016-10-04 --exclude "*" --recursive --include "*20161004*" &amp; "%USERPROFILE%\Documents\GitHub\mrs-test-scripts\Headless Mode &amp; Sideloading\WalkAndUnGZ.bat" "%USERPROFILE%\AppData\Local\Temp\OnboardLogs"\RTDC4009\2016-10-04 &amp; aws s3 cp s3://rtdc.mdm.uploadarchive.raw/RTDC4009/ "%USERPROFILE%\AppData\Local\Temp\OnboardLogs"\RTDC4009\2016-10-05 --exclude "*" --recursive --include "*20161005*" &amp; "%USERPROFILE%\Documents\GitHub\mrs-test-scripts\Headless Mode &amp; Sideloading\WalkAndUnGZ.bat" "%USERPROFILE%\AppData\Local\Temp\OnboardLogs"\RTDC4009\2016-10-05</v>
      </c>
      <c r="S39" s="107" t="str">
        <f>VLOOKUP(C39,'Train Runs'!$A$13:$AE$10004,22,0)</f>
        <v>https://search-rtdc-monitor-bjffxe2xuh6vdkpspy63sjmuny.us-east-1.es.amazonaws.com/_plugin/kibana/#/discover/Steve-Slow-Train-Analysis-(2080s-and-2083s)?_g=(refreshInterval:(display:Off,section:0,value:0),time:(from:'2016-10-04 09:22:58-0600',mode:absolute,to:'2016-10-04 11:47:53-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39" s="109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/stypes="*4009*201610041*" /stext=" 16:.+((SYSTEM_STATE.+slice.+state.+changed )|(ment ac)|(system.+state.+changed )|(\[timeout)|(PRM\|1\|D)|(kpr)|(kdp)|(\|lc)|(penalty))" /e /r /s</v>
      </c>
      <c r="U39" s="9" t="str">
        <f>MID(B39,13,4)</f>
        <v>4009</v>
      </c>
      <c r="V39" s="38">
        <f>A39+6/24</f>
        <v>42647.696574074071</v>
      </c>
      <c r="W39" s="52" t="str">
        <f>IF(VALUE(LEFT(IF(LEN(C39)=6,"0"&amp;C39,C39),2))&lt;=2,"EC",IF(OR(VALUE(LEFT(IF(LEN(C39)=6,"0"&amp;C39,C39),2))=8,VALUE(LEFT(IF(LEN(C39)=6,"0"&amp;C39,C39),2))=18),"NW","Other"))</f>
        <v>Other</v>
      </c>
      <c r="X39" s="52" t="str">
        <f>IF(AND(E39="TRACK WARRANT AUTHORITY",G39&lt;10),"OMIT","KEEP")</f>
        <v>KEEP</v>
      </c>
      <c r="Y39" s="130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{"issue":{"subject":"","project_id":79,"tracker_id":40,"status_id":1,"priority_id":2,"assigned_to_id":23,"start_date":"2016-10-04","description":"","custom_fields":[{"id":1,"name":"Subdivision","value":"Other"},{"id":4,"name":"Milepost","value":"4.037"},{"id":17,"name":"Train ID","value":"61-04"},{"id":16,"name":"Locomotive ID","value":"4009"},{"id":130,"name":"Impact","value":""},{"id":150,"name":"Time of Event (Mountain Time)","value":"10:43:04"},{"id":151,"name":"Denver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5"/>
      <c r="AA39" s="55"/>
      <c r="AB39" s="23"/>
      <c r="AC39" s="171" t="str">
        <f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"%USERPROFILE%\AppData\Local\Temp\OnboardLogs"\RTDC4009\*4009*201610041* | grep -SE "((Enforcement Ac)|(PRM))" -</v>
      </c>
    </row>
    <row r="40" spans="1:29" x14ac:dyDescent="0.25">
      <c r="A40" s="38">
        <v>42647.784189814818</v>
      </c>
      <c r="B40" s="33" t="s">
        <v>266</v>
      </c>
      <c r="C40" s="33" t="s">
        <v>556</v>
      </c>
      <c r="D40" s="33" t="s">
        <v>49</v>
      </c>
      <c r="E40" s="33" t="s">
        <v>50</v>
      </c>
      <c r="F40" s="49">
        <v>0</v>
      </c>
      <c r="G40" s="49">
        <v>15</v>
      </c>
      <c r="H40" s="49">
        <v>847</v>
      </c>
      <c r="I40" s="49">
        <v>0</v>
      </c>
      <c r="J40" s="33" t="s">
        <v>51</v>
      </c>
      <c r="K40" s="49">
        <v>839</v>
      </c>
      <c r="L40" s="146" t="s">
        <v>53</v>
      </c>
      <c r="M40" s="149">
        <f>CONVERT((I40-K40)/10000,"mi","ft")*IF(L40="Increasing Mileposts (1)",-1,1)</f>
        <v>-442.99200000000002</v>
      </c>
      <c r="N40" s="88" t="str">
        <f>VLOOKUP(C40,'Trips&amp;Operators'!$C$1:$E$99999,3,FALSE)</f>
        <v>PUGH</v>
      </c>
      <c r="O40" s="170" t="s">
        <v>86</v>
      </c>
      <c r="P40" s="10"/>
      <c r="Q40" s="33"/>
      <c r="R40" s="104" t="str">
        <f>VLOOKUP(C40,'Train Runs'!$A$13:$AE$10004,31,0)</f>
        <v>aws s3 cp s3://rtdc.mdm.uploadarchive.raw/RTDC4010/ "%USERPROFILE%\AppData\Local\Temp\OnboardLogs"\RTDC4010\2016-10-04 --exclude "*" --recursive --include "*20161004*" &amp; "%USERPROFILE%\Documents\GitHub\mrs-test-scripts\Headless Mode &amp; Sideloading\WalkAndUnGZ.bat" "%USERPROFILE%\AppData\Local\Temp\OnboardLogs"\RTDC4010\2016-10-04 &amp; aws s3 cp s3://rtdc.mdm.uploadarchive.raw/RTDC4010/ "%USERPROFILE%\AppData\Local\Temp\OnboardLogs"\RTDC4010\2016-10-05 --exclude "*" --recursive --include "*20161005*" &amp; "%USERPROFILE%\Documents\GitHub\mrs-test-scripts\Headless Mode &amp; Sideloading\WalkAndUnGZ.bat" "%USERPROFILE%\AppData\Local\Temp\OnboardLogs"\RTDC4010\2016-10-05</v>
      </c>
      <c r="S40" s="107" t="str">
        <f>VLOOKUP(C40,'Train Runs'!$A$13:$AE$10004,22,0)</f>
        <v>https://search-rtdc-monitor-bjffxe2xuh6vdkpspy63sjmuny.us-east-1.es.amazonaws.com/_plugin/kibana/#/discover/Steve-Slow-Train-Analysis-(2080s-and-2083s)?_g=(refreshInterval:(display:Off,section:0,value:0),time:(from:'2016-10-04 17:37:41-0600',mode:absolute,to:'2016-10-04 19:48:01-0600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40" s="109" t="str">
        <f>astrogrep_path&amp;" /spath="&amp;search_path&amp;" /stypes=""*"&amp;U40&amp;"*"&amp;TEXT(A40-utc_offset/24,"YYYYMMDD")&amp;LEFT(TEXT(A40-utc_offset/24,"HH"),1)&amp;"*""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/stypes="*4010*201610050*" /stext=" 00:.+((SYSTEM_STATE.+slice.+state.+changed )|(ment ac)|(system.+state.+changed )|(\[timeout)|(PRM\|1\|D)|(kpr)|(kdp)|(\|lc)|(penalty))" /e /r /s</v>
      </c>
      <c r="U40" s="9" t="str">
        <f>MID(B40,13,4)</f>
        <v>4010</v>
      </c>
      <c r="V40" s="38">
        <f>A40+6/24</f>
        <v>42648.034189814818</v>
      </c>
      <c r="W40" s="52" t="str">
        <f>IF(VALUE(LEFT(IF(LEN(C40)=6,"0"&amp;C40,C40),2))&lt;=2,"EC",IF(OR(VALUE(LEFT(IF(LEN(C40)=6,"0"&amp;C40,C40),2))=8,VALUE(LEFT(IF(LEN(C40)=6,"0"&amp;C40,C40),2))=18),"NW","Other"))</f>
        <v>Other</v>
      </c>
      <c r="X40" s="52" t="str">
        <f>IF(AND(E40="TRACK WARRANT AUTHORITY",G40&lt;10),"OMIT","KEEP")</f>
        <v>KEEP</v>
      </c>
      <c r="Y40" s="130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{"issue":{"subject":"","project_id":79,"tracker_id":40,"status_id":1,"priority_id":2,"assigned_to_id":23,"start_date":"2016-10-04","description":"","custom_fields":[{"id":1,"name":"Subdivision","value":"Other"},{"id":4,"name":"Milepost","value":"0.0839"},{"id":17,"name":"Train ID","value":"70-04"},{"id":16,"name":"Locomotive ID","value":"4010"},{"id":130,"name":"Impact","value":""},{"id":150,"name":"Time of Event (Mountain Time)","value":"18:49:14"},{"id":151,"name":"Denver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5"/>
      <c r="AA40" s="55"/>
      <c r="AB40" s="23"/>
      <c r="AC40" s="171" t="str">
        <f>"grep -hSE -A100 ""Enforcement Action"" "&amp;search_path&amp;"\RTDC"&amp;U40&amp;"\*"&amp;U40&amp;"*"&amp;TEXT(A40-utc_offset/24,"YYYYMMDD")&amp;LEFT(TEXT(A40-utc_offset/24,"HH"),1)&amp;"* | grep -SE ""((Enforcement Ac)|(PRM))"" -"</f>
        <v>grep -hSE -A100 "Enforcement Action" "%USERPROFILE%\AppData\Local\Temp\OnboardLogs"\RTDC4010\*4010*201610050* | grep -SE "((Enforcement Ac)|(PRM))" -</v>
      </c>
    </row>
    <row r="41" spans="1:29" x14ac:dyDescent="0.25">
      <c r="A41" s="38"/>
      <c r="B41" s="33"/>
      <c r="C41" s="33"/>
      <c r="D41" s="33"/>
      <c r="E41" s="33"/>
      <c r="F41" s="49"/>
      <c r="G41" s="49"/>
      <c r="H41" s="49"/>
      <c r="I41" s="49"/>
      <c r="J41" s="33"/>
      <c r="K41" s="49"/>
      <c r="L41" s="146"/>
      <c r="M41" s="149"/>
      <c r="N41" s="88"/>
      <c r="O41" s="170"/>
      <c r="P41" s="10"/>
      <c r="Q41" s="33"/>
      <c r="R41" s="104"/>
      <c r="S41" s="107"/>
      <c r="T41" s="109"/>
      <c r="U41" s="9"/>
      <c r="V41" s="38"/>
      <c r="W41" s="52"/>
      <c r="X41" s="52"/>
      <c r="Y41" s="130"/>
      <c r="Z41" s="55"/>
      <c r="AA41" s="55"/>
      <c r="AB41" s="23"/>
    </row>
    <row r="42" spans="1:29" x14ac:dyDescent="0.25">
      <c r="A42" s="38"/>
      <c r="B42" s="33"/>
      <c r="C42" s="33"/>
      <c r="D42" s="33"/>
      <c r="E42" s="33"/>
      <c r="F42" s="49"/>
      <c r="G42" s="49"/>
      <c r="H42" s="49"/>
      <c r="I42" s="49"/>
      <c r="J42" s="33"/>
      <c r="K42" s="49"/>
      <c r="L42" s="146"/>
      <c r="M42" s="149"/>
      <c r="N42" s="88"/>
      <c r="O42" s="170"/>
      <c r="P42" s="10"/>
      <c r="Q42" s="33"/>
      <c r="R42" s="104"/>
      <c r="S42" s="107"/>
      <c r="T42" s="109"/>
      <c r="U42" s="9"/>
      <c r="V42" s="38"/>
      <c r="W42" s="52"/>
      <c r="X42" s="52"/>
      <c r="Y42" s="130"/>
      <c r="Z42" s="55"/>
      <c r="AA42" s="55"/>
      <c r="AB42" s="23"/>
    </row>
    <row r="43" spans="1:29" x14ac:dyDescent="0.25">
      <c r="A43" s="38"/>
      <c r="B43" s="33"/>
      <c r="C43" s="33"/>
      <c r="D43" s="33"/>
      <c r="E43" s="33"/>
      <c r="F43" s="49"/>
      <c r="G43" s="49"/>
      <c r="H43" s="49"/>
      <c r="I43" s="49"/>
      <c r="J43" s="33"/>
      <c r="K43" s="49"/>
      <c r="L43" s="146"/>
      <c r="M43" s="149"/>
      <c r="N43" s="88"/>
      <c r="O43" s="170"/>
      <c r="P43" s="10"/>
      <c r="Q43" s="33"/>
      <c r="R43" s="104"/>
      <c r="S43" s="107"/>
      <c r="T43" s="109"/>
      <c r="U43" s="9"/>
      <c r="V43" s="38"/>
      <c r="W43" s="52"/>
      <c r="X43" s="52"/>
      <c r="Y43" s="130"/>
      <c r="Z43" s="55"/>
      <c r="AA43" s="55"/>
      <c r="AB43" s="23"/>
    </row>
    <row r="44" spans="1:29" x14ac:dyDescent="0.25">
      <c r="A44" s="38"/>
      <c r="B44" s="33"/>
      <c r="C44" s="33"/>
      <c r="D44" s="33"/>
      <c r="E44" s="33"/>
      <c r="F44" s="49"/>
      <c r="G44" s="49"/>
      <c r="H44" s="49"/>
      <c r="I44" s="49"/>
      <c r="J44" s="33"/>
      <c r="K44" s="49"/>
      <c r="L44" s="146"/>
      <c r="M44" s="149"/>
      <c r="N44" s="88"/>
      <c r="O44" s="170"/>
      <c r="P44" s="10"/>
      <c r="Q44" s="33"/>
      <c r="R44" s="104"/>
      <c r="S44" s="107"/>
      <c r="T44" s="109"/>
      <c r="U44" s="9"/>
      <c r="V44" s="38"/>
      <c r="W44" s="52"/>
      <c r="X44" s="52"/>
      <c r="Y44" s="130"/>
      <c r="Z44" s="55"/>
      <c r="AA44" s="55"/>
      <c r="AB44" s="23"/>
    </row>
    <row r="45" spans="1:29" x14ac:dyDescent="0.25">
      <c r="A45" s="38"/>
      <c r="B45" s="33"/>
      <c r="C45" s="33"/>
      <c r="D45" s="33"/>
      <c r="E45" s="33"/>
      <c r="F45" s="49"/>
      <c r="G45" s="49"/>
      <c r="H45" s="49"/>
      <c r="I45" s="49"/>
      <c r="J45" s="33"/>
      <c r="K45" s="49"/>
      <c r="L45" s="146"/>
      <c r="M45" s="149"/>
      <c r="N45" s="88"/>
      <c r="O45" s="170"/>
      <c r="P45" s="10"/>
      <c r="Q45" s="33"/>
      <c r="R45" s="104"/>
      <c r="S45" s="107"/>
      <c r="T45" s="109"/>
      <c r="U45" s="9"/>
      <c r="V45" s="38"/>
      <c r="W45" s="52"/>
      <c r="X45" s="52"/>
      <c r="Y45" s="130"/>
      <c r="Z45" s="55"/>
      <c r="AA45" s="55"/>
      <c r="AB45" s="23"/>
    </row>
    <row r="46" spans="1:29" x14ac:dyDescent="0.25">
      <c r="A46" s="38"/>
      <c r="B46" s="33"/>
      <c r="C46" s="33"/>
      <c r="D46" s="33"/>
      <c r="E46" s="33"/>
      <c r="F46" s="49"/>
      <c r="G46" s="49"/>
      <c r="H46" s="49"/>
      <c r="I46" s="49"/>
      <c r="J46" s="33"/>
      <c r="K46" s="49"/>
      <c r="L46" s="146"/>
      <c r="M46" s="149"/>
      <c r="N46" s="88"/>
      <c r="O46" s="170"/>
      <c r="P46" s="10"/>
      <c r="Q46" s="33"/>
      <c r="R46" s="104"/>
      <c r="S46" s="107"/>
      <c r="T46" s="109"/>
      <c r="U46" s="9"/>
      <c r="V46" s="38"/>
      <c r="W46" s="52"/>
      <c r="X46" s="52"/>
      <c r="Y46" s="130"/>
      <c r="Z46" s="55"/>
      <c r="AA46" s="55"/>
      <c r="AB46" s="23"/>
    </row>
    <row r="47" spans="1:29" x14ac:dyDescent="0.25">
      <c r="A47" s="38"/>
      <c r="B47" s="33"/>
      <c r="C47" s="33"/>
      <c r="D47" s="33"/>
      <c r="E47" s="33"/>
      <c r="F47" s="49"/>
      <c r="G47" s="49"/>
      <c r="H47" s="49"/>
      <c r="I47" s="49"/>
      <c r="J47" s="33"/>
      <c r="K47" s="49"/>
      <c r="L47" s="146"/>
      <c r="M47" s="149"/>
      <c r="N47" s="88"/>
      <c r="O47" s="170"/>
      <c r="P47" s="10"/>
      <c r="Q47" s="33"/>
      <c r="R47" s="104"/>
      <c r="S47" s="107"/>
      <c r="T47" s="109"/>
      <c r="U47" s="9"/>
      <c r="V47" s="38"/>
      <c r="W47" s="52"/>
      <c r="X47" s="52"/>
      <c r="Y47" s="130"/>
      <c r="Z47" s="55"/>
      <c r="AA47" s="55"/>
      <c r="AB47" s="23"/>
    </row>
    <row r="48" spans="1:29" x14ac:dyDescent="0.25">
      <c r="A48" s="38"/>
      <c r="B48" s="33"/>
      <c r="C48" s="33"/>
      <c r="D48" s="33"/>
      <c r="E48" s="33"/>
      <c r="F48" s="49"/>
      <c r="G48" s="49"/>
      <c r="H48" s="49"/>
      <c r="I48" s="49"/>
      <c r="J48" s="33"/>
      <c r="K48" s="49"/>
      <c r="L48" s="146"/>
      <c r="M48" s="149"/>
      <c r="N48" s="88"/>
      <c r="O48" s="170"/>
      <c r="P48" s="10"/>
      <c r="Q48" s="33"/>
      <c r="R48" s="104"/>
      <c r="S48" s="107"/>
      <c r="T48" s="109"/>
      <c r="U48" s="9"/>
      <c r="V48" s="38"/>
      <c r="W48" s="52"/>
      <c r="X48" s="52"/>
      <c r="Y48" s="130"/>
      <c r="Z48" s="55"/>
      <c r="AA48" s="55"/>
      <c r="AB48" s="23"/>
    </row>
    <row r="49" spans="1:28" x14ac:dyDescent="0.25">
      <c r="A49" s="38"/>
      <c r="B49" s="33"/>
      <c r="C49" s="33"/>
      <c r="D49" s="33"/>
      <c r="E49" s="33"/>
      <c r="F49" s="49"/>
      <c r="G49" s="49"/>
      <c r="H49" s="49"/>
      <c r="I49" s="49"/>
      <c r="J49" s="33"/>
      <c r="K49" s="49"/>
      <c r="L49" s="146"/>
      <c r="M49" s="149"/>
      <c r="N49" s="88"/>
      <c r="O49" s="170"/>
      <c r="P49" s="10"/>
      <c r="Q49" s="33"/>
      <c r="R49" s="104"/>
      <c r="S49" s="107"/>
      <c r="T49" s="109"/>
      <c r="U49" s="9"/>
      <c r="V49" s="38"/>
      <c r="W49" s="52"/>
      <c r="X49" s="52"/>
      <c r="Y49" s="130"/>
      <c r="Z49" s="55"/>
      <c r="AA49" s="55"/>
      <c r="AB49" s="23"/>
    </row>
    <row r="50" spans="1:28" x14ac:dyDescent="0.25">
      <c r="A50" s="38"/>
      <c r="B50" s="33"/>
      <c r="C50" s="33"/>
      <c r="D50" s="33"/>
      <c r="E50" s="33"/>
      <c r="F50" s="49"/>
      <c r="G50" s="49"/>
      <c r="H50" s="49"/>
      <c r="I50" s="49"/>
      <c r="J50" s="33"/>
      <c r="K50" s="49"/>
      <c r="L50" s="146"/>
      <c r="M50" s="149"/>
      <c r="N50" s="88"/>
      <c r="O50" s="170"/>
      <c r="P50" s="10"/>
      <c r="Q50" s="33"/>
      <c r="R50" s="104"/>
      <c r="S50" s="107"/>
      <c r="T50" s="109"/>
      <c r="U50" s="9"/>
      <c r="V50" s="38"/>
      <c r="W50" s="52"/>
      <c r="X50" s="52"/>
      <c r="Y50" s="130"/>
      <c r="Z50" s="55"/>
      <c r="AA50" s="55"/>
      <c r="AB50" s="23"/>
    </row>
    <row r="51" spans="1:28" x14ac:dyDescent="0.25">
      <c r="A51" s="38"/>
      <c r="B51" s="33"/>
      <c r="C51" s="33"/>
      <c r="D51" s="33"/>
      <c r="E51" s="33"/>
      <c r="F51" s="49"/>
      <c r="G51" s="49"/>
      <c r="H51" s="49"/>
      <c r="I51" s="49"/>
      <c r="J51" s="33"/>
      <c r="K51" s="49"/>
      <c r="L51" s="146"/>
      <c r="M51" s="149"/>
      <c r="N51" s="88"/>
      <c r="O51" s="170"/>
      <c r="P51" s="10"/>
      <c r="Q51" s="33"/>
      <c r="R51" s="104"/>
      <c r="S51" s="107"/>
      <c r="T51" s="109"/>
      <c r="U51" s="9"/>
      <c r="V51" s="38"/>
      <c r="W51" s="52"/>
      <c r="X51" s="52"/>
      <c r="Y51" s="130"/>
      <c r="Z51" s="55"/>
      <c r="AA51" s="55"/>
      <c r="AB51" s="23"/>
    </row>
    <row r="52" spans="1:28" x14ac:dyDescent="0.25">
      <c r="A52" s="38"/>
      <c r="B52" s="33"/>
      <c r="C52" s="33"/>
      <c r="D52" s="33"/>
      <c r="E52" s="33"/>
      <c r="F52" s="49"/>
      <c r="G52" s="49"/>
      <c r="H52" s="49"/>
      <c r="I52" s="49"/>
      <c r="J52" s="33"/>
      <c r="K52" s="49"/>
      <c r="L52" s="146"/>
      <c r="M52" s="149"/>
      <c r="N52" s="88"/>
      <c r="O52" s="170"/>
      <c r="P52" s="10"/>
      <c r="Q52" s="33"/>
      <c r="R52" s="104"/>
      <c r="S52" s="107"/>
      <c r="T52" s="109"/>
      <c r="U52" s="9"/>
      <c r="V52" s="38"/>
      <c r="W52" s="52"/>
      <c r="X52" s="52"/>
      <c r="Y52" s="130"/>
      <c r="Z52" s="55"/>
      <c r="AA52" s="55"/>
      <c r="AB52" s="23"/>
    </row>
    <row r="53" spans="1:28" x14ac:dyDescent="0.25">
      <c r="A53" s="38"/>
      <c r="B53" s="33"/>
      <c r="C53" s="33"/>
      <c r="D53" s="33"/>
      <c r="E53" s="33"/>
      <c r="F53" s="49"/>
      <c r="G53" s="49"/>
      <c r="H53" s="49"/>
      <c r="I53" s="49"/>
      <c r="J53" s="33"/>
      <c r="K53" s="49"/>
      <c r="L53" s="146"/>
      <c r="M53" s="149"/>
      <c r="N53" s="88"/>
      <c r="O53" s="170"/>
      <c r="P53" s="10"/>
      <c r="Q53" s="33"/>
      <c r="R53" s="104"/>
      <c r="S53" s="107"/>
      <c r="T53" s="109"/>
      <c r="U53" s="9"/>
      <c r="V53" s="38"/>
      <c r="W53" s="52"/>
      <c r="X53" s="52"/>
      <c r="Y53" s="130"/>
      <c r="Z53" s="55"/>
      <c r="AA53" s="55"/>
      <c r="AB53" s="23"/>
    </row>
  </sheetData>
  <autoFilter ref="A6:AC53"/>
  <sortState ref="A7:AB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7:O1048576">
    <cfRule type="cellIs" dxfId="5" priority="15" operator="equal">
      <formula>"Y"</formula>
    </cfRule>
  </conditionalFormatting>
  <conditionalFormatting sqref="A7:P53">
    <cfRule type="expression" dxfId="4" priority="8">
      <formula>$O7="Y"</formula>
    </cfRule>
  </conditionalFormatting>
  <conditionalFormatting sqref="O2:O3">
    <cfRule type="cellIs" dxfId="3" priority="6" operator="equal">
      <formula>"Y"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Values'!$C$2:$C$13</xm:f>
          </x14:formula1>
          <xm:sqref>AB7:AB53</xm:sqref>
        </x14:dataValidation>
        <x14:dataValidation type="list" allowBlank="1" showInputMessage="1" showErrorMessage="1">
          <x14:formula1>
            <xm:f>'Redmine List Values'!$A$2:$A$7</xm:f>
          </x14:formula1>
          <xm:sqref>AA7:AA53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8"/>
  <sheetViews>
    <sheetView workbookViewId="0"/>
  </sheetViews>
  <sheetFormatPr defaultRowHeight="15" x14ac:dyDescent="0.25"/>
  <cols>
    <col min="1" max="1" width="9.140625" style="157"/>
    <col min="2" max="2" width="9.140625" style="2" customWidth="1"/>
    <col min="3" max="3" width="8" style="116" bestFit="1" customWidth="1"/>
    <col min="4" max="4" width="9.85546875" style="112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3" customFormat="1" x14ac:dyDescent="0.25">
      <c r="A1" s="157"/>
      <c r="B1" s="186" t="str">
        <f>"Trips that did not appear in PTC Data "&amp;TEXT(Variables!$A$2,"YYYY-mm-dd")</f>
        <v>Trips that did not appear in PTC Data 2016-10-04</v>
      </c>
      <c r="C1" s="186"/>
      <c r="D1" s="186"/>
      <c r="E1" s="186"/>
      <c r="F1" s="186"/>
    </row>
    <row r="2" spans="1:11" s="26" customFormat="1" ht="45" x14ac:dyDescent="0.25">
      <c r="A2" s="166" t="s">
        <v>164</v>
      </c>
      <c r="B2" s="121" t="s">
        <v>64</v>
      </c>
      <c r="C2" s="113" t="s">
        <v>65</v>
      </c>
      <c r="D2" s="114" t="s">
        <v>66</v>
      </c>
      <c r="E2" s="26" t="s">
        <v>62</v>
      </c>
      <c r="F2" s="26" t="s">
        <v>63</v>
      </c>
      <c r="G2" s="26" t="s">
        <v>67</v>
      </c>
      <c r="H2" s="31" t="s">
        <v>68</v>
      </c>
      <c r="I2" s="31" t="s">
        <v>112</v>
      </c>
    </row>
    <row r="3" spans="1:11" x14ac:dyDescent="0.25">
      <c r="B3" s="2" t="str">
        <f>A3&amp;"-"&amp;IF(DAY(Variables!$A$2)&lt;10,0,"")&amp;DAY(Variables!$A$2)</f>
        <v>-04</v>
      </c>
      <c r="C3" s="115"/>
      <c r="D3" s="115"/>
      <c r="E3" s="33" t="s">
        <v>358</v>
      </c>
      <c r="F3" s="24" t="e">
        <f>VLOOKUP(B3,'Trips&amp;Operators'!$C$2:$E$10000,3,FALSE)</f>
        <v>#N/A</v>
      </c>
      <c r="G3" s="24" t="e">
        <f>VLOOKUP(B3,'Trips&amp;Operators'!$C$1:$F$10000,4,FALSE)</f>
        <v>#N/A</v>
      </c>
      <c r="H3" s="32" t="e">
        <f>VLOOKUP(B3,'Trips&amp;Operators'!$C$1:$H$10000,5,FALSE)</f>
        <v>#N/A</v>
      </c>
      <c r="I3" s="52" t="str">
        <f t="shared" ref="I3:I4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3" s="23"/>
      <c r="K3" s="23"/>
    </row>
    <row r="4" spans="1:11" x14ac:dyDescent="0.25">
      <c r="B4" s="2" t="str">
        <f>A4&amp;"-"&amp;IF(DAY(Variables!$A$2)&lt;10,0,"")&amp;DAY(Variables!$A$2)</f>
        <v>-04</v>
      </c>
      <c r="C4" s="115"/>
      <c r="D4" s="115"/>
      <c r="E4" s="33" t="s">
        <v>358</v>
      </c>
      <c r="F4" s="24" t="e">
        <f>VLOOKUP(B4,'Trips&amp;Operators'!$C$2:$E$10000,3,FALSE)</f>
        <v>#N/A</v>
      </c>
      <c r="G4" s="24" t="e">
        <f>VLOOKUP(B4,'Trips&amp;Operators'!$C$1:$F$10000,4,FALSE)</f>
        <v>#N/A</v>
      </c>
      <c r="H4" s="32" t="e">
        <f>VLOOKUP(B4,'Trips&amp;Operators'!$C$1:$H$10000,5,FALSE)</f>
        <v>#N/A</v>
      </c>
      <c r="I4" s="52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4" s="23"/>
      <c r="K4" s="23"/>
    </row>
    <row r="5" spans="1:11" x14ac:dyDescent="0.25">
      <c r="B5" s="2" t="str">
        <f>A5&amp;"-"&amp;IF(DAY(Variables!$A$2)&lt;10,0,"")&amp;DAY(Variables!$A$2)</f>
        <v>-04</v>
      </c>
      <c r="C5" s="115"/>
      <c r="D5" s="115"/>
      <c r="E5" s="33" t="s">
        <v>358</v>
      </c>
      <c r="F5" s="24" t="e">
        <f>VLOOKUP(B5,'Trips&amp;Operators'!$C$2:$E$10000,3,FALSE)</f>
        <v>#N/A</v>
      </c>
      <c r="G5" s="24" t="e">
        <f>VLOOKUP(B5,'Trips&amp;Operators'!$C$1:$F$10000,4,FALSE)</f>
        <v>#N/A</v>
      </c>
      <c r="H5" s="32" t="e">
        <f>VLOOKUP(B5,'Trips&amp;Operators'!$C$1:$H$10000,5,FALSE)</f>
        <v>#N/A</v>
      </c>
      <c r="I5" s="52" t="str">
        <f t="shared" ref="I5:I13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5" s="23"/>
      <c r="K5" s="23"/>
    </row>
    <row r="6" spans="1:11" x14ac:dyDescent="0.25">
      <c r="B6" s="2" t="str">
        <f>A6&amp;"-"&amp;IF(DAY(Variables!$A$2)&lt;10,0,"")&amp;DAY(Variables!$A$2)</f>
        <v>-04</v>
      </c>
      <c r="C6" s="115"/>
      <c r="D6" s="115"/>
      <c r="E6" s="33" t="s">
        <v>358</v>
      </c>
      <c r="F6" s="24" t="e">
        <f>VLOOKUP(B6,'Trips&amp;Operators'!$C$2:$E$10000,3,FALSE)</f>
        <v>#N/A</v>
      </c>
      <c r="G6" s="24" t="e">
        <f>VLOOKUP(B6,'Trips&amp;Operators'!$C$1:$F$10000,4,FALSE)</f>
        <v>#N/A</v>
      </c>
      <c r="H6" s="32" t="e">
        <f>VLOOKUP(B6,'Trips&amp;Operators'!$C$1:$H$10000,5,FALSE)</f>
        <v>#N/A</v>
      </c>
      <c r="I6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6" s="23"/>
      <c r="K6" s="23"/>
    </row>
    <row r="7" spans="1:11" x14ac:dyDescent="0.25">
      <c r="B7" s="2" t="str">
        <f>A7&amp;"-"&amp;IF(DAY(Variables!$A$2)&lt;10,0,"")&amp;DAY(Variables!$A$2)</f>
        <v>-04</v>
      </c>
      <c r="C7" s="115"/>
      <c r="D7" s="115"/>
      <c r="E7" s="33" t="s">
        <v>358</v>
      </c>
      <c r="F7" s="24" t="e">
        <f>VLOOKUP(B7,'Trips&amp;Operators'!$C$2:$E$10000,3,FALSE)</f>
        <v>#N/A</v>
      </c>
      <c r="G7" s="24" t="e">
        <f>VLOOKUP(B7,'Trips&amp;Operators'!$C$1:$F$10000,4,FALSE)</f>
        <v>#N/A</v>
      </c>
      <c r="H7" s="32" t="e">
        <f>VLOOKUP(B7,'Trips&amp;Operators'!$C$1:$H$10000,5,FALSE)</f>
        <v>#N/A</v>
      </c>
      <c r="I7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7" s="23"/>
      <c r="K7" s="23"/>
    </row>
    <row r="8" spans="1:11" x14ac:dyDescent="0.25">
      <c r="B8" s="2" t="str">
        <f>A8&amp;"-"&amp;IF(DAY(Variables!$A$2)&lt;10,0,"")&amp;DAY(Variables!$A$2)</f>
        <v>-04</v>
      </c>
      <c r="C8" s="115"/>
      <c r="D8" s="115"/>
      <c r="E8" s="33" t="s">
        <v>358</v>
      </c>
      <c r="F8" s="24" t="e">
        <f>VLOOKUP(B8,'Trips&amp;Operators'!$C$2:$E$10000,3,FALSE)</f>
        <v>#N/A</v>
      </c>
      <c r="G8" s="24" t="e">
        <f>VLOOKUP(B8,'Trips&amp;Operators'!$C$1:$F$10000,4,FALSE)</f>
        <v>#N/A</v>
      </c>
      <c r="H8" s="32" t="e">
        <f>VLOOKUP(B8,'Trips&amp;Operators'!$C$1:$H$10000,5,FALSE)</f>
        <v>#N/A</v>
      </c>
      <c r="I8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8" s="23"/>
      <c r="K8" s="23"/>
    </row>
    <row r="9" spans="1:11" x14ac:dyDescent="0.25">
      <c r="B9" s="2" t="str">
        <f>A9&amp;"-"&amp;IF(DAY(Variables!$A$2)&lt;10,0,"")&amp;DAY(Variables!$A$2)</f>
        <v>-04</v>
      </c>
      <c r="C9" s="115"/>
      <c r="D9" s="115"/>
      <c r="E9" s="33" t="s">
        <v>358</v>
      </c>
      <c r="F9" s="24" t="e">
        <f>VLOOKUP(B9,'Trips&amp;Operators'!$C$2:$E$10000,3,FALSE)</f>
        <v>#N/A</v>
      </c>
      <c r="G9" s="24" t="e">
        <f>VLOOKUP(B9,'Trips&amp;Operators'!$C$1:$F$10000,4,FALSE)</f>
        <v>#N/A</v>
      </c>
      <c r="H9" s="32" t="e">
        <f>VLOOKUP(B9,'Trips&amp;Operators'!$C$1:$H$10000,5,FALSE)</f>
        <v>#N/A</v>
      </c>
      <c r="I9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9" s="23"/>
      <c r="K9" s="23"/>
    </row>
    <row r="10" spans="1:11" x14ac:dyDescent="0.25">
      <c r="B10" s="2" t="str">
        <f>A10&amp;"-"&amp;IF(DAY(Variables!$A$2)&lt;10,0,"")&amp;DAY(Variables!$A$2)</f>
        <v>-04</v>
      </c>
      <c r="C10" s="115"/>
      <c r="D10" s="115"/>
      <c r="E10" s="33" t="s">
        <v>358</v>
      </c>
      <c r="F10" s="24" t="e">
        <f>VLOOKUP(B10,'Trips&amp;Operators'!$C$2:$E$10000,3,FALSE)</f>
        <v>#N/A</v>
      </c>
      <c r="G10" s="24" t="e">
        <f>VLOOKUP(B10,'Trips&amp;Operators'!$C$1:$F$10000,4,FALSE)</f>
        <v>#N/A</v>
      </c>
      <c r="H10" s="32" t="e">
        <f>VLOOKUP(B10,'Trips&amp;Operators'!$C$1:$H$10000,5,FALSE)</f>
        <v>#N/A</v>
      </c>
      <c r="I10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10" s="23"/>
      <c r="K10" s="23"/>
    </row>
    <row r="11" spans="1:11" x14ac:dyDescent="0.25">
      <c r="B11" s="2" t="str">
        <f>A11&amp;"-"&amp;IF(DAY(Variables!$A$2)&lt;10,0,"")&amp;DAY(Variables!$A$2)</f>
        <v>-04</v>
      </c>
      <c r="C11" s="115"/>
      <c r="D11" s="115"/>
      <c r="E11" s="33" t="s">
        <v>358</v>
      </c>
      <c r="F11" s="24" t="e">
        <f>VLOOKUP(B11,'Trips&amp;Operators'!$C$2:$E$10000,3,FALSE)</f>
        <v>#N/A</v>
      </c>
      <c r="G11" s="24" t="e">
        <f>VLOOKUP(B11,'Trips&amp;Operators'!$C$1:$F$10000,4,FALSE)</f>
        <v>#N/A</v>
      </c>
      <c r="H11" s="32" t="e">
        <f>VLOOKUP(B11,'Trips&amp;Operators'!$C$1:$H$10000,5,FALSE)</f>
        <v>#N/A</v>
      </c>
      <c r="I11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11" s="23"/>
      <c r="K11" s="23"/>
    </row>
    <row r="12" spans="1:11" x14ac:dyDescent="0.25">
      <c r="B12" s="2" t="str">
        <f>A12&amp;"-"&amp;IF(DAY(Variables!$A$2)&lt;10,0,"")&amp;DAY(Variables!$A$2)</f>
        <v>-04</v>
      </c>
      <c r="C12" s="115"/>
      <c r="D12" s="115"/>
      <c r="E12" s="33" t="s">
        <v>358</v>
      </c>
      <c r="F12" s="24" t="e">
        <f>VLOOKUP(B12,'Trips&amp;Operators'!$C$2:$E$10000,3,FALSE)</f>
        <v>#N/A</v>
      </c>
      <c r="G12" s="24" t="e">
        <f>VLOOKUP(B12,'Trips&amp;Operators'!$C$1:$F$10000,4,FALSE)</f>
        <v>#N/A</v>
      </c>
      <c r="H12" s="32" t="e">
        <f>VLOOKUP(B12,'Trips&amp;Operators'!$C$1:$H$10000,5,FALSE)</f>
        <v>#N/A</v>
      </c>
      <c r="I12" s="52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12" s="23"/>
      <c r="K12" s="23"/>
    </row>
    <row r="13" spans="1:11" x14ac:dyDescent="0.25">
      <c r="B13" s="2" t="str">
        <f>A13&amp;"-"&amp;IF(DAY(Variables!$A$2)&lt;10,0,"")&amp;DAY(Variables!$A$2)</f>
        <v>-04</v>
      </c>
      <c r="C13" s="179"/>
      <c r="D13" s="179"/>
      <c r="E13" s="180" t="s">
        <v>358</v>
      </c>
      <c r="F13" s="181" t="e">
        <f>VLOOKUP(B13,'Trips&amp;Operators'!$C$2:$E$10000,3,FALSE)</f>
        <v>#N/A</v>
      </c>
      <c r="G13" s="181" t="e">
        <f>VLOOKUP(B13,'Trips&amp;Operators'!$C$1:$F$10000,4,FALSE)</f>
        <v>#N/A</v>
      </c>
      <c r="H13" s="182" t="e">
        <f>VLOOKUP(B13,'Trips&amp;Operators'!$C$1:$H$10000,5,FALSE)</f>
        <v>#N/A</v>
      </c>
      <c r="I13" s="183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13" s="23"/>
      <c r="K13" s="23"/>
    </row>
    <row r="14" spans="1:11" s="23" customFormat="1" x14ac:dyDescent="0.25">
      <c r="A14" s="184"/>
      <c r="B14" s="2" t="str">
        <f>A14&amp;"-"&amp;IF(DAY(Variables!$A$2)&lt;10,0,"")&amp;DAY(Variables!$A$2)</f>
        <v>-04</v>
      </c>
      <c r="C14" s="179"/>
      <c r="D14" s="179"/>
      <c r="E14" s="180" t="s">
        <v>358</v>
      </c>
      <c r="F14" s="181" t="e">
        <f>VLOOKUP(B14,'Trips&amp;Operators'!$C$2:$E$10000,3,FALSE)</f>
        <v>#N/A</v>
      </c>
      <c r="G14" s="181" t="e">
        <f>VLOOKUP(B14,'Trips&amp;Operators'!$C$1:$F$10000,4,FALSE)</f>
        <v>#N/A</v>
      </c>
      <c r="H14" s="182" t="e">
        <f>VLOOKUP(B14,'Trips&amp;Operators'!$C$1:$H$10000,5,FALSE)</f>
        <v>#N/A</v>
      </c>
      <c r="I14" s="183" t="str">
        <f t="shared" ref="I14" si="2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14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</row>
    <row r="15" spans="1:11" x14ac:dyDescent="0.25">
      <c r="A15" s="184"/>
      <c r="B15" s="2" t="str">
        <f>A15&amp;"-"&amp;IF(DAY(Variables!$A$2)&lt;10,0,"")&amp;DAY(Variables!$A$2)</f>
        <v>-04</v>
      </c>
      <c r="C15" s="115"/>
      <c r="D15" s="115"/>
      <c r="E15" s="33"/>
      <c r="F15" s="24" t="e">
        <f>VLOOKUP(B15,'Trips&amp;Operators'!$C$2:$E$10000,3,FALSE)</f>
        <v>#N/A</v>
      </c>
      <c r="G15" s="24" t="e">
        <f>VLOOKUP(B15,'Trips&amp;Operators'!$C$1:$F$10000,4,FALSE)</f>
        <v>#N/A</v>
      </c>
      <c r="H15" s="32" t="e">
        <f>VLOOKUP(B15,'Trips&amp;Operators'!$C$1:$H$10000,5,FALSE)</f>
        <v>#N/A</v>
      </c>
      <c r="I15" s="52" t="str">
        <f t="shared" ref="I15:I28" si="3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15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15" s="23"/>
      <c r="K15" s="23"/>
    </row>
    <row r="16" spans="1:11" x14ac:dyDescent="0.25">
      <c r="A16" s="184"/>
      <c r="B16" s="2" t="str">
        <f>A16&amp;"-"&amp;IF(DAY(Variables!$A$2)&lt;10,0,"")&amp;DAY(Variables!$A$2)</f>
        <v>-04</v>
      </c>
      <c r="C16" s="115"/>
      <c r="D16" s="115"/>
      <c r="E16" s="33"/>
      <c r="F16" s="24" t="e">
        <f>VLOOKUP(B16,'Trips&amp;Operators'!$C$2:$E$10000,3,FALSE)</f>
        <v>#N/A</v>
      </c>
      <c r="G16" s="24" t="e">
        <f>VLOOKUP(B16,'Trips&amp;Operators'!$C$1:$F$10000,4,FALSE)</f>
        <v>#N/A</v>
      </c>
      <c r="H16" s="32" t="e">
        <f>VLOOKUP(B16,'Trips&amp;Operators'!$C$1:$H$10000,5,FALSE)</f>
        <v>#N/A</v>
      </c>
      <c r="I16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16" s="23"/>
      <c r="K16" s="23"/>
    </row>
    <row r="17" spans="2:11" x14ac:dyDescent="0.25">
      <c r="B17" s="2" t="str">
        <f>A17&amp;"-"&amp;IF(DAY(Variables!$A$2)&lt;10,0,"")&amp;DAY(Variables!$A$2)</f>
        <v>-04</v>
      </c>
      <c r="C17" s="115"/>
      <c r="D17" s="115"/>
      <c r="E17" s="33"/>
      <c r="F17" s="24" t="e">
        <f>VLOOKUP(B17,'Trips&amp;Operators'!$C$2:$E$10000,3,FALSE)</f>
        <v>#N/A</v>
      </c>
      <c r="G17" s="24" t="e">
        <f>VLOOKUP(B17,'Trips&amp;Operators'!$C$1:$F$10000,4,FALSE)</f>
        <v>#N/A</v>
      </c>
      <c r="H17" s="32" t="e">
        <f>VLOOKUP(B17,'Trips&amp;Operators'!$C$1:$H$10000,5,FALSE)</f>
        <v>#N/A</v>
      </c>
      <c r="I17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17" s="23"/>
      <c r="K17" s="23"/>
    </row>
    <row r="18" spans="2:11" x14ac:dyDescent="0.25">
      <c r="B18" s="2" t="str">
        <f>A18&amp;"-"&amp;IF(DAY(Variables!$A$2)&lt;10,0,"")&amp;DAY(Variables!$A$2)</f>
        <v>-04</v>
      </c>
      <c r="C18" s="115"/>
      <c r="D18" s="115"/>
      <c r="E18" s="33"/>
      <c r="F18" s="24" t="e">
        <f>VLOOKUP(B18,'Trips&amp;Operators'!$C$2:$E$10000,3,FALSE)</f>
        <v>#N/A</v>
      </c>
      <c r="G18" s="24" t="e">
        <f>VLOOKUP(B18,'Trips&amp;Operators'!$C$1:$F$10000,4,FALSE)</f>
        <v>#N/A</v>
      </c>
      <c r="H18" s="32" t="e">
        <f>VLOOKUP(B18,'Trips&amp;Operators'!$C$1:$H$10000,5,FALSE)</f>
        <v>#N/A</v>
      </c>
      <c r="I18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18" s="23"/>
      <c r="K18" s="23"/>
    </row>
    <row r="19" spans="2:11" x14ac:dyDescent="0.25">
      <c r="B19" s="2" t="str">
        <f>A19&amp;"-"&amp;IF(DAY(Variables!$A$2)&lt;10,0,"")&amp;DAY(Variables!$A$2)</f>
        <v>-04</v>
      </c>
      <c r="C19" s="115"/>
      <c r="D19" s="115"/>
      <c r="E19" s="33"/>
      <c r="F19" s="24" t="e">
        <f>VLOOKUP(B19,'Trips&amp;Operators'!$C$2:$E$10000,3,FALSE)</f>
        <v>#N/A</v>
      </c>
      <c r="G19" s="24" t="e">
        <f>VLOOKUP(B19,'Trips&amp;Operators'!$C$1:$F$10000,4,FALSE)</f>
        <v>#N/A</v>
      </c>
      <c r="H19" s="32" t="e">
        <f>VLOOKUP(B19,'Trips&amp;Operators'!$C$1:$H$10000,5,FALSE)</f>
        <v>#N/A</v>
      </c>
      <c r="I19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19" s="23"/>
      <c r="K19" s="23"/>
    </row>
    <row r="20" spans="2:11" x14ac:dyDescent="0.25">
      <c r="B20" s="2" t="str">
        <f>A20&amp;"-"&amp;IF(DAY(Variables!$A$2)&lt;10,0,"")&amp;DAY(Variables!$A$2)</f>
        <v>-04</v>
      </c>
      <c r="C20" s="115"/>
      <c r="D20" s="115"/>
      <c r="E20" s="33"/>
      <c r="F20" s="24" t="e">
        <f>VLOOKUP(B20,'Trips&amp;Operators'!$C$2:$E$10000,3,FALSE)</f>
        <v>#N/A</v>
      </c>
      <c r="G20" s="24" t="e">
        <f>VLOOKUP(B20,'Trips&amp;Operators'!$C$1:$F$10000,4,FALSE)</f>
        <v>#N/A</v>
      </c>
      <c r="H20" s="32" t="e">
        <f>VLOOKUP(B20,'Trips&amp;Operators'!$C$1:$H$10000,5,FALSE)</f>
        <v>#N/A</v>
      </c>
      <c r="I20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20" s="23"/>
      <c r="K20" s="23"/>
    </row>
    <row r="21" spans="2:11" x14ac:dyDescent="0.25">
      <c r="B21" s="2" t="str">
        <f>A21&amp;"-"&amp;IF(DAY(Variables!$A$2)&lt;10,0,"")&amp;DAY(Variables!$A$2)</f>
        <v>-04</v>
      </c>
      <c r="C21" s="115"/>
      <c r="D21" s="115"/>
      <c r="E21" s="33"/>
      <c r="F21" s="24" t="e">
        <f>VLOOKUP(B21,'Trips&amp;Operators'!$C$2:$E$10000,3,FALSE)</f>
        <v>#N/A</v>
      </c>
      <c r="G21" s="24" t="e">
        <f>VLOOKUP(B21,'Trips&amp;Operators'!$C$1:$F$10000,4,FALSE)</f>
        <v>#N/A</v>
      </c>
      <c r="H21" s="32" t="e">
        <f>VLOOKUP(B21,'Trips&amp;Operators'!$C$1:$H$10000,5,FALSE)</f>
        <v>#N/A</v>
      </c>
      <c r="I21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  <c r="J21" s="23"/>
      <c r="K21" s="23"/>
    </row>
    <row r="22" spans="2:11" x14ac:dyDescent="0.25">
      <c r="B22" s="2" t="str">
        <f>A22&amp;"-"&amp;IF(DAY(Variables!$A$2)&lt;10,0,"")&amp;DAY(Variables!$A$2)</f>
        <v>-04</v>
      </c>
      <c r="C22" s="115"/>
      <c r="D22" s="115"/>
      <c r="E22" s="33"/>
      <c r="F22" s="24" t="e">
        <f>VLOOKUP(B22,'Trips&amp;Operators'!$C$2:$E$10000,3,FALSE)</f>
        <v>#N/A</v>
      </c>
      <c r="G22" s="24" t="e">
        <f>VLOOKUP(B22,'Trips&amp;Operators'!$C$1:$F$10000,4,FALSE)</f>
        <v>#N/A</v>
      </c>
      <c r="H22" s="32" t="e">
        <f>VLOOKUP(B22,'Trips&amp;Operators'!$C$1:$H$10000,5,FALSE)</f>
        <v>#N/A</v>
      </c>
      <c r="I22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</row>
    <row r="23" spans="2:11" x14ac:dyDescent="0.25">
      <c r="B23" s="2" t="str">
        <f>A23&amp;"-"&amp;IF(DAY(Variables!$A$2)&lt;10,0,"")&amp;DAY(Variables!$A$2)</f>
        <v>-04</v>
      </c>
      <c r="C23" s="115"/>
      <c r="D23" s="115"/>
      <c r="E23" s="33"/>
      <c r="F23" s="24" t="e">
        <f>VLOOKUP(B23,'Trips&amp;Operators'!$C$2:$E$10000,3,FALSE)</f>
        <v>#N/A</v>
      </c>
      <c r="G23" s="24" t="e">
        <f>VLOOKUP(B23,'Trips&amp;Operators'!$C$1:$F$10000,4,FALSE)</f>
        <v>#N/A</v>
      </c>
      <c r="H23" s="32" t="e">
        <f>VLOOKUP(B23,'Trips&amp;Operators'!$C$1:$H$10000,5,FALSE)</f>
        <v>#N/A</v>
      </c>
      <c r="I23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</row>
    <row r="24" spans="2:11" x14ac:dyDescent="0.25">
      <c r="B24" s="2" t="str">
        <f>A24&amp;"-"&amp;IF(DAY(Variables!$A$2)&lt;10,0,"")&amp;DAY(Variables!$A$2)</f>
        <v>-04</v>
      </c>
      <c r="C24" s="115"/>
      <c r="D24" s="115"/>
      <c r="E24" s="33"/>
      <c r="F24" s="24" t="e">
        <f>VLOOKUP(B24,'Trips&amp;Operators'!$C$2:$E$10000,3,FALSE)</f>
        <v>#N/A</v>
      </c>
      <c r="G24" s="24" t="e">
        <f>VLOOKUP(B24,'Trips&amp;Operators'!$C$1:$F$10000,4,FALSE)</f>
        <v>#N/A</v>
      </c>
      <c r="H24" s="32" t="e">
        <f>VLOOKUP(B24,'Trips&amp;Operators'!$C$1:$H$10000,5,FALSE)</f>
        <v>#N/A</v>
      </c>
      <c r="I24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</row>
    <row r="25" spans="2:11" x14ac:dyDescent="0.25">
      <c r="B25" s="2" t="str">
        <f>A25&amp;"-"&amp;IF(DAY(Variables!$A$2)&lt;10,0,"")&amp;DAY(Variables!$A$2)</f>
        <v>-04</v>
      </c>
      <c r="C25" s="115"/>
      <c r="D25" s="115"/>
      <c r="E25" s="33"/>
      <c r="F25" s="24" t="e">
        <f>VLOOKUP(B25,'Trips&amp;Operators'!$C$2:$E$10000,3,FALSE)</f>
        <v>#N/A</v>
      </c>
      <c r="G25" s="24" t="e">
        <f>VLOOKUP(B25,'Trips&amp;Operators'!$C$1:$F$10000,4,FALSE)</f>
        <v>#N/A</v>
      </c>
      <c r="H25" s="32" t="e">
        <f>VLOOKUP(B25,'Trips&amp;Operators'!$C$1:$H$10000,5,FALSE)</f>
        <v>#N/A</v>
      </c>
      <c r="I25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</row>
    <row r="26" spans="2:11" x14ac:dyDescent="0.25">
      <c r="B26" s="2" t="str">
        <f>A26&amp;"-"&amp;IF(DAY(Variables!$A$2)&lt;10,0,"")&amp;DAY(Variables!$A$2)</f>
        <v>-04</v>
      </c>
      <c r="C26" s="115"/>
      <c r="D26" s="115"/>
      <c r="E26" s="33"/>
      <c r="F26" s="24" t="e">
        <f>VLOOKUP(B26,'Trips&amp;Operators'!$C$2:$E$10000,3,FALSE)</f>
        <v>#N/A</v>
      </c>
      <c r="G26" s="24" t="e">
        <f>VLOOKUP(B26,'Trips&amp;Operators'!$C$1:$F$10000,4,FALSE)</f>
        <v>#N/A</v>
      </c>
      <c r="H26" s="32" t="e">
        <f>VLOOKUP(B26,'Trips&amp;Operators'!$C$1:$H$10000,5,FALSE)</f>
        <v>#N/A</v>
      </c>
      <c r="I26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</row>
    <row r="27" spans="2:11" x14ac:dyDescent="0.25">
      <c r="B27" s="2" t="str">
        <f>A27&amp;"-"&amp;IF(DAY(Variables!$A$2)&lt;10,0,"")&amp;DAY(Variables!$A$2)</f>
        <v>-04</v>
      </c>
      <c r="C27" s="115"/>
      <c r="D27" s="115"/>
      <c r="E27" s="33"/>
      <c r="F27" s="24" t="e">
        <f>VLOOKUP(B27,'Trips&amp;Operators'!$C$2:$E$10000,3,FALSE)</f>
        <v>#N/A</v>
      </c>
      <c r="G27" s="24" t="e">
        <f>VLOOKUP(B27,'Trips&amp;Operators'!$C$1:$F$10000,4,FALSE)</f>
        <v>#N/A</v>
      </c>
      <c r="H27" s="32" t="e">
        <f>VLOOKUP(B27,'Trips&amp;Operators'!$C$1:$H$10000,5,FALSE)</f>
        <v>#N/A</v>
      </c>
      <c r="I27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</row>
    <row r="28" spans="2:11" x14ac:dyDescent="0.25">
      <c r="B28" s="2" t="str">
        <f>A28&amp;"-"&amp;IF(DAY(Variables!$A$2)&lt;10,0,"")&amp;DAY(Variables!$A$2)</f>
        <v>-04</v>
      </c>
      <c r="C28" s="115"/>
      <c r="D28" s="115"/>
      <c r="E28" s="33"/>
      <c r="F28" s="24" t="e">
        <f>VLOOKUP(B28,'Trips&amp;Operators'!$C$2:$E$10000,3,FALSE)</f>
        <v>#N/A</v>
      </c>
      <c r="G28" s="24" t="e">
        <f>VLOOKUP(B28,'Trips&amp;Operators'!$C$1:$F$10000,4,FALSE)</f>
        <v>#N/A</v>
      </c>
      <c r="H28" s="32" t="e">
        <f>VLOOKUP(B28,'Trips&amp;Operators'!$C$1:$H$10000,5,FALSE)</f>
        <v>#N/A</v>
      </c>
      <c r="I28" s="52" t="str">
        <f t="shared" si="3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-04%22)),sort:!(Time,asc))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E258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8" bestFit="1" customWidth="1"/>
    <col min="5" max="5" width="12.140625" bestFit="1" customWidth="1"/>
    <col min="6" max="6" width="17" style="23" bestFit="1" customWidth="1"/>
    <col min="7" max="7" width="18.28515625" style="8" bestFit="1" customWidth="1"/>
  </cols>
  <sheetData>
    <row r="1" spans="1:7" s="23" customFormat="1" x14ac:dyDescent="0.25">
      <c r="A1" s="8" t="s">
        <v>217</v>
      </c>
      <c r="B1" s="23" t="s">
        <v>218</v>
      </c>
      <c r="C1" s="23" t="s">
        <v>0</v>
      </c>
      <c r="D1" s="23" t="s">
        <v>219</v>
      </c>
      <c r="E1" s="23" t="s">
        <v>220</v>
      </c>
      <c r="F1" s="23" t="str">
        <f>B1</f>
        <v>Source</v>
      </c>
      <c r="G1" s="8" t="str">
        <f>A1</f>
        <v>Time (US/Mountain)</v>
      </c>
    </row>
    <row r="2" spans="1:7" x14ac:dyDescent="0.25">
      <c r="A2" s="8">
        <v>42647.036122685182</v>
      </c>
      <c r="B2" s="23" t="s">
        <v>235</v>
      </c>
      <c r="C2" s="23" t="s">
        <v>331</v>
      </c>
      <c r="D2" s="23">
        <v>1800000</v>
      </c>
      <c r="E2" s="23" t="s">
        <v>276</v>
      </c>
      <c r="F2" s="23" t="str">
        <f t="shared" ref="F2:F65" si="0">B2</f>
        <v>rtdc.l.rtdc.4045:itc</v>
      </c>
      <c r="G2" s="8">
        <f t="shared" ref="G2:G65" si="1">A2</f>
        <v>42647.036122685182</v>
      </c>
    </row>
    <row r="3" spans="1:7" x14ac:dyDescent="0.25">
      <c r="A3" s="8">
        <v>42647.047893518517</v>
      </c>
      <c r="B3" s="23" t="s">
        <v>275</v>
      </c>
      <c r="C3" s="23" t="s">
        <v>334</v>
      </c>
      <c r="D3" s="23">
        <v>1810000</v>
      </c>
      <c r="E3" s="23" t="s">
        <v>253</v>
      </c>
      <c r="F3" s="23" t="str">
        <f t="shared" si="0"/>
        <v>rtdc.l.rtdc.4009:itc</v>
      </c>
      <c r="G3" s="8">
        <f t="shared" si="1"/>
        <v>42647.047893518517</v>
      </c>
    </row>
    <row r="4" spans="1:7" x14ac:dyDescent="0.25">
      <c r="A4" s="8">
        <v>42647.054479166669</v>
      </c>
      <c r="B4" s="23" t="s">
        <v>349</v>
      </c>
      <c r="C4" s="23" t="s">
        <v>332</v>
      </c>
      <c r="D4" s="23">
        <v>2230000</v>
      </c>
      <c r="E4" s="23" t="s">
        <v>254</v>
      </c>
      <c r="F4" s="23" t="str">
        <f t="shared" si="0"/>
        <v>rtdc.l.rtdc.4001:itc</v>
      </c>
      <c r="G4" s="8">
        <f t="shared" si="1"/>
        <v>42647.054479166669</v>
      </c>
    </row>
    <row r="5" spans="1:7" x14ac:dyDescent="0.25">
      <c r="A5" s="8">
        <v>42647.055347222224</v>
      </c>
      <c r="B5" s="23" t="s">
        <v>349</v>
      </c>
      <c r="C5" s="23" t="s">
        <v>332</v>
      </c>
      <c r="D5" s="23">
        <v>2230000</v>
      </c>
      <c r="E5" s="23" t="s">
        <v>254</v>
      </c>
      <c r="F5" s="23" t="str">
        <f t="shared" si="0"/>
        <v>rtdc.l.rtdc.4001:itc</v>
      </c>
      <c r="G5" s="8">
        <f t="shared" si="1"/>
        <v>42647.055347222224</v>
      </c>
    </row>
    <row r="6" spans="1:7" x14ac:dyDescent="0.25">
      <c r="A6" s="8">
        <v>42647.069502314815</v>
      </c>
      <c r="B6" s="23" t="s">
        <v>174</v>
      </c>
      <c r="C6" s="23" t="s">
        <v>335</v>
      </c>
      <c r="D6" s="23">
        <v>1800000</v>
      </c>
      <c r="E6" s="23" t="s">
        <v>276</v>
      </c>
      <c r="F6" s="23" t="str">
        <f t="shared" si="0"/>
        <v>rtdc.l.rtdc.4046:itc</v>
      </c>
      <c r="G6" s="8">
        <f t="shared" si="1"/>
        <v>42647.069502314815</v>
      </c>
    </row>
    <row r="7" spans="1:7" x14ac:dyDescent="0.25">
      <c r="A7" s="8">
        <v>42647.089513888888</v>
      </c>
      <c r="B7" s="23" t="s">
        <v>350</v>
      </c>
      <c r="C7" s="23" t="s">
        <v>336</v>
      </c>
      <c r="D7" s="23">
        <v>2230000</v>
      </c>
      <c r="E7" s="23" t="s">
        <v>254</v>
      </c>
      <c r="F7" s="23" t="str">
        <f t="shared" si="0"/>
        <v>rtdc.l.rtdc.4002:itc</v>
      </c>
      <c r="G7" s="8">
        <f t="shared" si="1"/>
        <v>42647.089513888888</v>
      </c>
    </row>
    <row r="8" spans="1:7" x14ac:dyDescent="0.25">
      <c r="A8" s="8">
        <v>42647.116516203707</v>
      </c>
      <c r="B8" s="23" t="s">
        <v>267</v>
      </c>
      <c r="C8" s="23" t="s">
        <v>361</v>
      </c>
      <c r="D8" s="23">
        <v>2030000</v>
      </c>
      <c r="E8" s="23" t="s">
        <v>294</v>
      </c>
      <c r="F8" s="23" t="str">
        <f t="shared" si="0"/>
        <v>rtdc.l.rtdc.4015:itc</v>
      </c>
      <c r="G8" s="8">
        <f t="shared" si="1"/>
        <v>42647.116516203707</v>
      </c>
    </row>
    <row r="9" spans="1:7" ht="15.75" thickBot="1" x14ac:dyDescent="0.3">
      <c r="A9" s="27">
        <v>42647.129108796296</v>
      </c>
      <c r="B9" s="23" t="s">
        <v>272</v>
      </c>
      <c r="C9" s="23" t="s">
        <v>362</v>
      </c>
      <c r="D9" s="23">
        <v>2030000</v>
      </c>
      <c r="E9" s="23" t="s">
        <v>294</v>
      </c>
      <c r="F9" s="23" t="str">
        <f t="shared" si="0"/>
        <v>rtdc.l.rtdc.4053:itc</v>
      </c>
      <c r="G9" s="8">
        <f t="shared" si="1"/>
        <v>42647.129108796296</v>
      </c>
    </row>
    <row r="10" spans="1:7" x14ac:dyDescent="0.25">
      <c r="A10" s="8">
        <v>42647.142118055555</v>
      </c>
      <c r="B10" s="23" t="s">
        <v>363</v>
      </c>
      <c r="C10" s="23" t="s">
        <v>364</v>
      </c>
      <c r="D10" s="23">
        <v>1260000</v>
      </c>
      <c r="E10" s="23" t="s">
        <v>293</v>
      </c>
      <c r="F10" s="23" t="str">
        <f t="shared" si="0"/>
        <v>rtdc.l.rtdc.4008:itc</v>
      </c>
      <c r="G10" s="8">
        <f t="shared" si="1"/>
        <v>42647.142118055555</v>
      </c>
    </row>
    <row r="11" spans="1:7" x14ac:dyDescent="0.25">
      <c r="A11" s="8">
        <v>42647.153819444444</v>
      </c>
      <c r="B11" s="23" t="s">
        <v>365</v>
      </c>
      <c r="C11" s="23" t="s">
        <v>366</v>
      </c>
      <c r="D11" s="23">
        <v>1260000</v>
      </c>
      <c r="E11" s="23" t="s">
        <v>293</v>
      </c>
      <c r="F11" s="23" t="str">
        <f t="shared" si="0"/>
        <v>rtdc.l.rtdc.4044:itc</v>
      </c>
      <c r="G11" s="8">
        <f t="shared" si="1"/>
        <v>42647.153819444444</v>
      </c>
    </row>
    <row r="12" spans="1:7" x14ac:dyDescent="0.25">
      <c r="A12" s="8">
        <v>42647.161597222221</v>
      </c>
      <c r="B12" s="23" t="s">
        <v>170</v>
      </c>
      <c r="C12" s="23" t="s">
        <v>367</v>
      </c>
      <c r="D12" s="23">
        <v>1190000</v>
      </c>
      <c r="E12" s="23" t="s">
        <v>351</v>
      </c>
      <c r="F12" s="23" t="str">
        <f t="shared" si="0"/>
        <v>rtdc.l.rtdc.4041:itc</v>
      </c>
      <c r="G12" s="8">
        <f t="shared" si="1"/>
        <v>42647.161597222221</v>
      </c>
    </row>
    <row r="13" spans="1:7" x14ac:dyDescent="0.25">
      <c r="A13" s="8">
        <v>42647.168206018519</v>
      </c>
      <c r="B13" s="23" t="s">
        <v>267</v>
      </c>
      <c r="C13" s="23" t="s">
        <v>368</v>
      </c>
      <c r="D13" s="23">
        <v>2030000</v>
      </c>
      <c r="E13" s="23" t="s">
        <v>294</v>
      </c>
      <c r="F13" s="23" t="str">
        <f t="shared" si="0"/>
        <v>rtdc.l.rtdc.4015:itc</v>
      </c>
      <c r="G13" s="8">
        <f t="shared" si="1"/>
        <v>42647.168206018519</v>
      </c>
    </row>
    <row r="14" spans="1:7" x14ac:dyDescent="0.25">
      <c r="A14" s="8">
        <v>42647.173784722225</v>
      </c>
      <c r="B14" s="23" t="s">
        <v>166</v>
      </c>
      <c r="C14" s="23" t="s">
        <v>369</v>
      </c>
      <c r="D14" s="23">
        <v>1090000</v>
      </c>
      <c r="E14" s="23" t="s">
        <v>352</v>
      </c>
      <c r="F14" s="23" t="str">
        <f t="shared" si="0"/>
        <v>rtdc.l.rtdc.4026:itc</v>
      </c>
      <c r="G14" s="8">
        <f t="shared" si="1"/>
        <v>42647.173784722225</v>
      </c>
    </row>
    <row r="15" spans="1:7" x14ac:dyDescent="0.25">
      <c r="A15" s="8">
        <v>42647.173993055556</v>
      </c>
      <c r="B15" s="23" t="s">
        <v>222</v>
      </c>
      <c r="C15" s="23" t="s">
        <v>370</v>
      </c>
      <c r="D15" s="23">
        <v>1190000</v>
      </c>
      <c r="E15" s="23" t="s">
        <v>351</v>
      </c>
      <c r="F15" s="23" t="str">
        <f t="shared" si="0"/>
        <v>rtdc.l.rtdc.4029:itc</v>
      </c>
      <c r="G15" s="8">
        <f t="shared" si="1"/>
        <v>42647.173993055556</v>
      </c>
    </row>
    <row r="16" spans="1:7" x14ac:dyDescent="0.25">
      <c r="A16" s="8">
        <v>42647.183113425926</v>
      </c>
      <c r="B16" s="23" t="s">
        <v>270</v>
      </c>
      <c r="C16" s="23" t="s">
        <v>371</v>
      </c>
      <c r="D16" s="23">
        <v>1990000</v>
      </c>
      <c r="E16" s="23" t="s">
        <v>309</v>
      </c>
      <c r="F16" s="23" t="str">
        <f t="shared" si="0"/>
        <v>rtdc.l.rtdc.4032:itc</v>
      </c>
      <c r="G16" s="8">
        <f t="shared" si="1"/>
        <v>42647.183113425926</v>
      </c>
    </row>
    <row r="17" spans="1:7" x14ac:dyDescent="0.25">
      <c r="A17" s="8">
        <v>42647.186747685184</v>
      </c>
      <c r="B17" s="23" t="s">
        <v>165</v>
      </c>
      <c r="C17" s="23" t="s">
        <v>372</v>
      </c>
      <c r="D17" s="23">
        <v>1090000</v>
      </c>
      <c r="E17" s="23" t="s">
        <v>352</v>
      </c>
      <c r="F17" s="23" t="str">
        <f t="shared" si="0"/>
        <v>rtdc.l.rtdc.4025:itc</v>
      </c>
      <c r="G17" s="8">
        <f t="shared" si="1"/>
        <v>42647.186747685184</v>
      </c>
    </row>
    <row r="18" spans="1:7" x14ac:dyDescent="0.25">
      <c r="A18" s="8">
        <v>42647.190127314818</v>
      </c>
      <c r="B18" s="23" t="s">
        <v>363</v>
      </c>
      <c r="C18" s="23" t="s">
        <v>373</v>
      </c>
      <c r="D18" s="23">
        <v>1260000</v>
      </c>
      <c r="E18" s="23" t="s">
        <v>293</v>
      </c>
      <c r="F18" s="23" t="str">
        <f t="shared" si="0"/>
        <v>rtdc.l.rtdc.4008:itc</v>
      </c>
      <c r="G18" s="8">
        <f t="shared" si="1"/>
        <v>42647.190127314818</v>
      </c>
    </row>
    <row r="19" spans="1:7" x14ac:dyDescent="0.25">
      <c r="A19" s="8">
        <v>42647.19431712963</v>
      </c>
      <c r="B19" s="23" t="s">
        <v>271</v>
      </c>
      <c r="C19" s="23" t="s">
        <v>374</v>
      </c>
      <c r="D19" s="23">
        <v>1990000</v>
      </c>
      <c r="E19" s="23" t="s">
        <v>309</v>
      </c>
      <c r="F19" s="23" t="str">
        <f t="shared" si="0"/>
        <v>rtdc.l.rtdc.4031:itc</v>
      </c>
      <c r="G19" s="8">
        <f t="shared" si="1"/>
        <v>42647.19431712963</v>
      </c>
    </row>
    <row r="20" spans="1:7" x14ac:dyDescent="0.25">
      <c r="A20" s="8">
        <v>42647.203796296293</v>
      </c>
      <c r="B20" s="23" t="s">
        <v>290</v>
      </c>
      <c r="C20" s="23" t="s">
        <v>375</v>
      </c>
      <c r="D20" s="23">
        <v>1110000</v>
      </c>
      <c r="E20" s="23" t="s">
        <v>310</v>
      </c>
      <c r="F20" s="23" t="str">
        <f t="shared" si="0"/>
        <v>rtdc.l.rtdc.4003:itc</v>
      </c>
      <c r="G20" s="8">
        <f t="shared" si="1"/>
        <v>42647.203796296293</v>
      </c>
    </row>
    <row r="21" spans="1:7" x14ac:dyDescent="0.25">
      <c r="A21" s="8">
        <v>42647.205081018517</v>
      </c>
      <c r="B21" s="23" t="s">
        <v>268</v>
      </c>
      <c r="C21" s="23" t="s">
        <v>376</v>
      </c>
      <c r="D21" s="23">
        <v>2030000</v>
      </c>
      <c r="E21" s="23" t="s">
        <v>294</v>
      </c>
      <c r="F21" s="23" t="str">
        <f t="shared" si="0"/>
        <v>rtdc.l.rtdc.4016:itc</v>
      </c>
      <c r="G21" s="8">
        <f t="shared" si="1"/>
        <v>42647.205081018517</v>
      </c>
    </row>
    <row r="22" spans="1:7" x14ac:dyDescent="0.25">
      <c r="A22" s="29">
        <v>42647.206331018519</v>
      </c>
      <c r="B22" s="23" t="s">
        <v>170</v>
      </c>
      <c r="C22" s="23" t="s">
        <v>377</v>
      </c>
      <c r="D22" s="23">
        <v>1190000</v>
      </c>
      <c r="E22" s="23" t="s">
        <v>351</v>
      </c>
      <c r="F22" s="23" t="str">
        <f t="shared" si="0"/>
        <v>rtdc.l.rtdc.4041:itc</v>
      </c>
      <c r="G22" s="8">
        <f t="shared" si="1"/>
        <v>42647.206331018519</v>
      </c>
    </row>
    <row r="23" spans="1:7" x14ac:dyDescent="0.25">
      <c r="A23" s="8">
        <v>42647.206342592595</v>
      </c>
      <c r="B23" s="23" t="s">
        <v>272</v>
      </c>
      <c r="C23" s="23" t="s">
        <v>378</v>
      </c>
      <c r="D23" s="23">
        <v>1100000</v>
      </c>
      <c r="E23" s="23" t="s">
        <v>379</v>
      </c>
      <c r="F23" s="23" t="str">
        <f t="shared" si="0"/>
        <v>rtdc.l.rtdc.4053:itc</v>
      </c>
      <c r="G23" s="8">
        <f t="shared" si="1"/>
        <v>42647.206342592595</v>
      </c>
    </row>
    <row r="24" spans="1:7" x14ac:dyDescent="0.25">
      <c r="A24" s="8">
        <v>42647.214259259257</v>
      </c>
      <c r="B24" s="23" t="s">
        <v>291</v>
      </c>
      <c r="C24" s="23" t="s">
        <v>380</v>
      </c>
      <c r="D24" s="23">
        <v>1110000</v>
      </c>
      <c r="E24" s="23" t="s">
        <v>310</v>
      </c>
      <c r="F24" s="23" t="str">
        <f t="shared" si="0"/>
        <v>rtdc.l.rtdc.4004:itc</v>
      </c>
      <c r="G24" s="8">
        <f t="shared" si="1"/>
        <v>42647.214259259257</v>
      </c>
    </row>
    <row r="25" spans="1:7" x14ac:dyDescent="0.25">
      <c r="A25" s="8">
        <v>42647.215567129628</v>
      </c>
      <c r="B25" s="23" t="s">
        <v>291</v>
      </c>
      <c r="C25" s="23" t="s">
        <v>380</v>
      </c>
      <c r="D25" s="23">
        <v>1110000</v>
      </c>
      <c r="E25" s="23" t="s">
        <v>310</v>
      </c>
      <c r="F25" s="23" t="str">
        <f t="shared" si="0"/>
        <v>rtdc.l.rtdc.4004:itc</v>
      </c>
      <c r="G25" s="8">
        <f t="shared" si="1"/>
        <v>42647.215567129628</v>
      </c>
    </row>
    <row r="26" spans="1:7" x14ac:dyDescent="0.25">
      <c r="A26" s="8">
        <v>42647.222650462965</v>
      </c>
      <c r="B26" s="23" t="s">
        <v>166</v>
      </c>
      <c r="C26" s="23" t="s">
        <v>381</v>
      </c>
      <c r="D26" s="23">
        <v>1090000</v>
      </c>
      <c r="E26" s="23" t="s">
        <v>352</v>
      </c>
      <c r="F26" s="23" t="str">
        <f t="shared" si="0"/>
        <v>rtdc.l.rtdc.4026:itc</v>
      </c>
      <c r="G26" s="8">
        <f t="shared" si="1"/>
        <v>42647.222650462965</v>
      </c>
    </row>
    <row r="27" spans="1:7" x14ac:dyDescent="0.25">
      <c r="A27" s="8">
        <v>42647.227222222224</v>
      </c>
      <c r="B27" s="23" t="s">
        <v>365</v>
      </c>
      <c r="C27" s="23" t="s">
        <v>382</v>
      </c>
      <c r="D27" s="23">
        <v>1340000</v>
      </c>
      <c r="E27" s="23" t="s">
        <v>383</v>
      </c>
      <c r="F27" s="23" t="str">
        <f t="shared" si="0"/>
        <v>rtdc.l.rtdc.4044:itc</v>
      </c>
      <c r="G27" s="8">
        <f t="shared" si="1"/>
        <v>42647.227222222224</v>
      </c>
    </row>
    <row r="28" spans="1:7" x14ac:dyDescent="0.25">
      <c r="A28" s="8">
        <v>42647.22996527778</v>
      </c>
      <c r="B28" s="23" t="s">
        <v>270</v>
      </c>
      <c r="C28" s="23" t="s">
        <v>384</v>
      </c>
      <c r="D28" s="23">
        <v>1990000</v>
      </c>
      <c r="E28" s="23" t="s">
        <v>309</v>
      </c>
      <c r="F28" s="23" t="str">
        <f t="shared" si="0"/>
        <v>rtdc.l.rtdc.4032:itc</v>
      </c>
      <c r="G28" s="8">
        <f t="shared" si="1"/>
        <v>42647.22996527778</v>
      </c>
    </row>
    <row r="29" spans="1:7" x14ac:dyDescent="0.25">
      <c r="A29" s="8">
        <v>42647.231342592589</v>
      </c>
      <c r="B29" s="23" t="s">
        <v>385</v>
      </c>
      <c r="C29" s="23" t="s">
        <v>386</v>
      </c>
      <c r="D29" s="23">
        <v>1260000</v>
      </c>
      <c r="E29" s="23" t="s">
        <v>293</v>
      </c>
      <c r="F29" s="23" t="str">
        <f t="shared" si="0"/>
        <v>rtdc.l.rtdc.4007:itc</v>
      </c>
      <c r="G29" s="8">
        <f t="shared" si="1"/>
        <v>42647.231342592589</v>
      </c>
    </row>
    <row r="30" spans="1:7" x14ac:dyDescent="0.25">
      <c r="A30" s="8">
        <v>42647.241678240738</v>
      </c>
      <c r="B30" s="23" t="s">
        <v>290</v>
      </c>
      <c r="C30" s="23" t="s">
        <v>387</v>
      </c>
      <c r="D30" s="23">
        <v>1110000</v>
      </c>
      <c r="E30" s="23" t="s">
        <v>310</v>
      </c>
      <c r="F30" s="23" t="str">
        <f t="shared" si="0"/>
        <v>rtdc.l.rtdc.4003:itc</v>
      </c>
      <c r="G30" s="8">
        <f t="shared" si="1"/>
        <v>42647.241678240738</v>
      </c>
    </row>
    <row r="31" spans="1:7" x14ac:dyDescent="0.25">
      <c r="A31" s="8">
        <v>42647.24322916667</v>
      </c>
      <c r="B31" s="23" t="s">
        <v>269</v>
      </c>
      <c r="C31" s="23" t="s">
        <v>388</v>
      </c>
      <c r="D31" s="23">
        <v>1100000</v>
      </c>
      <c r="E31" s="23" t="s">
        <v>379</v>
      </c>
      <c r="F31" s="23" t="str">
        <f t="shared" si="0"/>
        <v>rtdc.l.rtdc.4054:itc</v>
      </c>
      <c r="G31" s="8">
        <f t="shared" si="1"/>
        <v>42647.24322916667</v>
      </c>
    </row>
    <row r="32" spans="1:7" x14ac:dyDescent="0.25">
      <c r="A32" s="8">
        <v>42647.245243055557</v>
      </c>
      <c r="B32" s="23" t="s">
        <v>227</v>
      </c>
      <c r="C32" s="23" t="s">
        <v>389</v>
      </c>
      <c r="D32" s="23">
        <v>1300000</v>
      </c>
      <c r="E32" s="23" t="s">
        <v>121</v>
      </c>
      <c r="F32" s="23" t="str">
        <f t="shared" si="0"/>
        <v>rtdc.l.rtdc.4017:itc</v>
      </c>
      <c r="G32" s="8">
        <f t="shared" si="1"/>
        <v>42647.245243055557</v>
      </c>
    </row>
    <row r="33" spans="1:7" x14ac:dyDescent="0.25">
      <c r="A33" s="8">
        <v>42647.247175925928</v>
      </c>
      <c r="B33" s="23" t="s">
        <v>222</v>
      </c>
      <c r="C33" s="23" t="s">
        <v>390</v>
      </c>
      <c r="D33" s="23">
        <v>1190000</v>
      </c>
      <c r="E33" s="23" t="s">
        <v>351</v>
      </c>
      <c r="F33" s="23" t="str">
        <f t="shared" si="0"/>
        <v>rtdc.l.rtdc.4029:itc</v>
      </c>
      <c r="G33" s="8">
        <f t="shared" si="1"/>
        <v>42647.247175925928</v>
      </c>
    </row>
    <row r="34" spans="1:7" x14ac:dyDescent="0.25">
      <c r="A34" s="8">
        <v>42647.251736111109</v>
      </c>
      <c r="B34" s="23" t="s">
        <v>267</v>
      </c>
      <c r="C34" s="23" t="s">
        <v>391</v>
      </c>
      <c r="D34" s="23">
        <v>2030000</v>
      </c>
      <c r="E34" s="23" t="s">
        <v>294</v>
      </c>
      <c r="F34" s="23" t="str">
        <f t="shared" si="0"/>
        <v>rtdc.l.rtdc.4015:itc</v>
      </c>
      <c r="G34" s="8">
        <f t="shared" si="1"/>
        <v>42647.251736111109</v>
      </c>
    </row>
    <row r="35" spans="1:7" x14ac:dyDescent="0.25">
      <c r="A35" s="8">
        <v>42647.256273148145</v>
      </c>
      <c r="B35" s="23" t="s">
        <v>291</v>
      </c>
      <c r="C35" s="23" t="s">
        <v>392</v>
      </c>
      <c r="D35" s="23">
        <v>1110000</v>
      </c>
      <c r="E35" s="23" t="s">
        <v>310</v>
      </c>
      <c r="F35" s="23" t="str">
        <f t="shared" si="0"/>
        <v>rtdc.l.rtdc.4004:itc</v>
      </c>
      <c r="G35" s="8">
        <f t="shared" si="1"/>
        <v>42647.256273148145</v>
      </c>
    </row>
    <row r="36" spans="1:7" x14ac:dyDescent="0.25">
      <c r="A36" s="8">
        <v>42647.258194444446</v>
      </c>
      <c r="B36" s="23" t="s">
        <v>165</v>
      </c>
      <c r="C36" s="23" t="s">
        <v>393</v>
      </c>
      <c r="D36" s="23">
        <v>1090000</v>
      </c>
      <c r="E36" s="23" t="s">
        <v>352</v>
      </c>
      <c r="F36" s="23" t="str">
        <f t="shared" si="0"/>
        <v>rtdc.l.rtdc.4025:itc</v>
      </c>
      <c r="G36" s="8">
        <f t="shared" si="1"/>
        <v>42647.258194444446</v>
      </c>
    </row>
    <row r="37" spans="1:7" x14ac:dyDescent="0.25">
      <c r="A37" s="8">
        <v>42647.259976851848</v>
      </c>
      <c r="B37" s="23" t="s">
        <v>394</v>
      </c>
      <c r="C37" s="23" t="s">
        <v>395</v>
      </c>
      <c r="D37" s="23">
        <v>1340000</v>
      </c>
      <c r="E37" s="23" t="s">
        <v>383</v>
      </c>
      <c r="F37" s="23" t="str">
        <f t="shared" si="0"/>
        <v>rtdc.l.rtdc.4043:itc</v>
      </c>
      <c r="G37" s="8">
        <f t="shared" si="1"/>
        <v>42647.259976851848</v>
      </c>
    </row>
    <row r="38" spans="1:7" x14ac:dyDescent="0.25">
      <c r="A38" s="8">
        <v>42647.260439814818</v>
      </c>
      <c r="B38" s="23" t="s">
        <v>228</v>
      </c>
      <c r="C38" s="23" t="s">
        <v>396</v>
      </c>
      <c r="D38" s="23">
        <v>1300000</v>
      </c>
      <c r="E38" s="23" t="s">
        <v>121</v>
      </c>
      <c r="F38" s="23" t="str">
        <f t="shared" si="0"/>
        <v>rtdc.l.rtdc.4018:itc</v>
      </c>
      <c r="G38" s="8">
        <f t="shared" si="1"/>
        <v>42647.260439814818</v>
      </c>
    </row>
    <row r="39" spans="1:7" x14ac:dyDescent="0.25">
      <c r="A39" s="8">
        <v>42647.268773148149</v>
      </c>
      <c r="B39" s="23" t="s">
        <v>271</v>
      </c>
      <c r="C39" s="23" t="s">
        <v>397</v>
      </c>
      <c r="D39" s="23">
        <v>1990000</v>
      </c>
      <c r="E39" s="23" t="s">
        <v>309</v>
      </c>
      <c r="F39" s="23" t="str">
        <f t="shared" si="0"/>
        <v>rtdc.l.rtdc.4031:itc</v>
      </c>
      <c r="G39" s="8">
        <f t="shared" si="1"/>
        <v>42647.268773148149</v>
      </c>
    </row>
    <row r="40" spans="1:7" x14ac:dyDescent="0.25">
      <c r="A40" s="8">
        <v>42647.272604166668</v>
      </c>
      <c r="B40" s="28" t="s">
        <v>363</v>
      </c>
      <c r="C40" s="23" t="s">
        <v>398</v>
      </c>
      <c r="D40" s="23">
        <v>1260000</v>
      </c>
      <c r="E40" s="23" t="s">
        <v>293</v>
      </c>
      <c r="F40" s="23" t="str">
        <f t="shared" si="0"/>
        <v>rtdc.l.rtdc.4008:itc</v>
      </c>
      <c r="G40" s="8">
        <f t="shared" si="1"/>
        <v>42647.272604166668</v>
      </c>
    </row>
    <row r="41" spans="1:7" x14ac:dyDescent="0.25">
      <c r="A41" s="8">
        <v>42647.275983796295</v>
      </c>
      <c r="B41" s="23" t="s">
        <v>227</v>
      </c>
      <c r="C41" s="23" t="s">
        <v>399</v>
      </c>
      <c r="D41" s="23">
        <v>1300000</v>
      </c>
      <c r="E41" s="23" t="s">
        <v>121</v>
      </c>
      <c r="F41" s="23" t="str">
        <f t="shared" si="0"/>
        <v>rtdc.l.rtdc.4017:itc</v>
      </c>
      <c r="G41" s="8">
        <f t="shared" si="1"/>
        <v>42647.275983796295</v>
      </c>
    </row>
    <row r="42" spans="1:7" x14ac:dyDescent="0.25">
      <c r="A42" s="8">
        <v>42647.277604166666</v>
      </c>
      <c r="B42" s="23" t="s">
        <v>272</v>
      </c>
      <c r="C42" s="23" t="s">
        <v>400</v>
      </c>
      <c r="D42" s="23">
        <v>1100000</v>
      </c>
      <c r="E42" s="23" t="s">
        <v>379</v>
      </c>
      <c r="F42" s="23" t="str">
        <f t="shared" si="0"/>
        <v>rtdc.l.rtdc.4053:itc</v>
      </c>
      <c r="G42" s="8">
        <f t="shared" si="1"/>
        <v>42647.277604166666</v>
      </c>
    </row>
    <row r="43" spans="1:7" x14ac:dyDescent="0.25">
      <c r="A43" s="8">
        <v>42647.278483796297</v>
      </c>
      <c r="B43" s="23" t="s">
        <v>292</v>
      </c>
      <c r="C43" s="23" t="s">
        <v>401</v>
      </c>
      <c r="D43" s="23">
        <v>1190000</v>
      </c>
      <c r="E43" s="23" t="s">
        <v>351</v>
      </c>
      <c r="F43" s="23" t="str">
        <f t="shared" si="0"/>
        <v>rtdc.l.rtdc.4030:itc</v>
      </c>
      <c r="G43" s="8">
        <f t="shared" si="1"/>
        <v>42647.278483796297</v>
      </c>
    </row>
    <row r="44" spans="1:7" x14ac:dyDescent="0.25">
      <c r="A44" s="8">
        <v>42647.281770833331</v>
      </c>
      <c r="B44" s="23" t="s">
        <v>290</v>
      </c>
      <c r="C44" s="23" t="s">
        <v>402</v>
      </c>
      <c r="D44" s="23">
        <v>1110000</v>
      </c>
      <c r="E44" s="23" t="s">
        <v>310</v>
      </c>
      <c r="F44" s="23" t="str">
        <f t="shared" si="0"/>
        <v>rtdc.l.rtdc.4003:itc</v>
      </c>
      <c r="G44" s="8">
        <f t="shared" si="1"/>
        <v>42647.281770833331</v>
      </c>
    </row>
    <row r="45" spans="1:7" x14ac:dyDescent="0.25">
      <c r="A45" s="8">
        <v>42647.287048611113</v>
      </c>
      <c r="B45" s="23" t="s">
        <v>268</v>
      </c>
      <c r="C45" s="23" t="s">
        <v>403</v>
      </c>
      <c r="D45" s="23">
        <v>2030000</v>
      </c>
      <c r="E45" s="23" t="s">
        <v>294</v>
      </c>
      <c r="F45" s="23" t="str">
        <f t="shared" si="0"/>
        <v>rtdc.l.rtdc.4016:itc</v>
      </c>
      <c r="G45" s="8">
        <f t="shared" si="1"/>
        <v>42647.287048611113</v>
      </c>
    </row>
    <row r="46" spans="1:7" x14ac:dyDescent="0.25">
      <c r="A46" s="8">
        <v>42647.294224537036</v>
      </c>
      <c r="B46" s="23" t="s">
        <v>166</v>
      </c>
      <c r="C46" s="23" t="s">
        <v>404</v>
      </c>
      <c r="D46" s="23">
        <v>1090000</v>
      </c>
      <c r="E46" s="23" t="s">
        <v>352</v>
      </c>
      <c r="F46" s="23" t="str">
        <f t="shared" si="0"/>
        <v>rtdc.l.rtdc.4026:itc</v>
      </c>
      <c r="G46" s="8">
        <f t="shared" si="1"/>
        <v>42647.294224537036</v>
      </c>
    </row>
    <row r="47" spans="1:7" x14ac:dyDescent="0.25">
      <c r="A47" s="8">
        <v>42647.297395833331</v>
      </c>
      <c r="B47" s="23" t="s">
        <v>291</v>
      </c>
      <c r="C47" s="23" t="s">
        <v>405</v>
      </c>
      <c r="D47" s="23">
        <v>1110000</v>
      </c>
      <c r="E47" s="23" t="s">
        <v>310</v>
      </c>
      <c r="F47" s="23" t="str">
        <f t="shared" si="0"/>
        <v>rtdc.l.rtdc.4004:itc</v>
      </c>
      <c r="G47" s="8">
        <f t="shared" si="1"/>
        <v>42647.297395833331</v>
      </c>
    </row>
    <row r="48" spans="1:7" x14ac:dyDescent="0.25">
      <c r="A48" s="8">
        <v>42647.299675925926</v>
      </c>
      <c r="B48" s="23" t="s">
        <v>365</v>
      </c>
      <c r="C48" s="23" t="s">
        <v>406</v>
      </c>
      <c r="D48" s="23">
        <v>1340000</v>
      </c>
      <c r="E48" s="23" t="s">
        <v>383</v>
      </c>
      <c r="F48" s="23" t="str">
        <f t="shared" si="0"/>
        <v>rtdc.l.rtdc.4044:itc</v>
      </c>
      <c r="G48" s="8">
        <f t="shared" si="1"/>
        <v>42647.299675925926</v>
      </c>
    </row>
    <row r="49" spans="1:7" x14ac:dyDescent="0.25">
      <c r="A49" s="8">
        <v>42647.303564814814</v>
      </c>
      <c r="B49" s="23" t="s">
        <v>270</v>
      </c>
      <c r="C49" s="23" t="s">
        <v>407</v>
      </c>
      <c r="D49" s="23">
        <v>1990000</v>
      </c>
      <c r="E49" s="23" t="s">
        <v>309</v>
      </c>
      <c r="F49" s="23" t="str">
        <f t="shared" si="0"/>
        <v>rtdc.l.rtdc.4032:itc</v>
      </c>
      <c r="G49" s="8">
        <f t="shared" si="1"/>
        <v>42647.303564814814</v>
      </c>
    </row>
    <row r="50" spans="1:7" x14ac:dyDescent="0.25">
      <c r="A50" s="8">
        <v>42647.304340277777</v>
      </c>
      <c r="B50" s="23" t="s">
        <v>228</v>
      </c>
      <c r="C50" s="23" t="s">
        <v>408</v>
      </c>
      <c r="D50" s="23">
        <v>1300000</v>
      </c>
      <c r="E50" s="23" t="s">
        <v>121</v>
      </c>
      <c r="F50" s="23" t="str">
        <f t="shared" si="0"/>
        <v>rtdc.l.rtdc.4018:itc</v>
      </c>
      <c r="G50" s="8">
        <f t="shared" si="1"/>
        <v>42647.304340277777</v>
      </c>
    </row>
    <row r="51" spans="1:7" x14ac:dyDescent="0.25">
      <c r="A51" s="8">
        <v>42647.308854166666</v>
      </c>
      <c r="B51" s="23" t="s">
        <v>385</v>
      </c>
      <c r="C51" s="23" t="s">
        <v>409</v>
      </c>
      <c r="D51" s="23">
        <v>1260000</v>
      </c>
      <c r="E51" s="23" t="s">
        <v>293</v>
      </c>
      <c r="F51" s="23" t="str">
        <f t="shared" si="0"/>
        <v>rtdc.l.rtdc.4007:itc</v>
      </c>
      <c r="G51" s="8">
        <f t="shared" si="1"/>
        <v>42647.308854166666</v>
      </c>
    </row>
    <row r="52" spans="1:7" x14ac:dyDescent="0.25">
      <c r="A52" s="8">
        <v>42647.313379629632</v>
      </c>
      <c r="B52" s="23" t="s">
        <v>269</v>
      </c>
      <c r="C52" s="23" t="s">
        <v>410</v>
      </c>
      <c r="D52" s="23">
        <v>1100000</v>
      </c>
      <c r="E52" s="23" t="s">
        <v>379</v>
      </c>
      <c r="F52" s="23" t="str">
        <f t="shared" si="0"/>
        <v>rtdc.l.rtdc.4054:itc</v>
      </c>
      <c r="G52" s="8">
        <f t="shared" si="1"/>
        <v>42647.313379629632</v>
      </c>
    </row>
    <row r="53" spans="1:7" x14ac:dyDescent="0.25">
      <c r="A53" s="8">
        <v>42647.317152777781</v>
      </c>
      <c r="B53" s="23" t="s">
        <v>227</v>
      </c>
      <c r="C53" s="23" t="s">
        <v>411</v>
      </c>
      <c r="D53" s="23">
        <v>1300000</v>
      </c>
      <c r="E53" s="23" t="s">
        <v>121</v>
      </c>
      <c r="F53" s="23" t="str">
        <f t="shared" si="0"/>
        <v>rtdc.l.rtdc.4017:itc</v>
      </c>
      <c r="G53" s="8">
        <f t="shared" si="1"/>
        <v>42647.317152777781</v>
      </c>
    </row>
    <row r="54" spans="1:7" x14ac:dyDescent="0.25">
      <c r="A54" s="8">
        <v>42647.319108796299</v>
      </c>
      <c r="B54" s="23" t="s">
        <v>222</v>
      </c>
      <c r="C54" s="23" t="s">
        <v>412</v>
      </c>
      <c r="D54" s="23">
        <v>1190000</v>
      </c>
      <c r="E54" s="23" t="s">
        <v>351</v>
      </c>
      <c r="F54" s="23" t="str">
        <f t="shared" si="0"/>
        <v>rtdc.l.rtdc.4029:itc</v>
      </c>
      <c r="G54" s="8">
        <f t="shared" si="1"/>
        <v>42647.319108796299</v>
      </c>
    </row>
    <row r="55" spans="1:7" x14ac:dyDescent="0.25">
      <c r="A55" s="8">
        <v>42647.319895833331</v>
      </c>
      <c r="B55" s="23" t="s">
        <v>166</v>
      </c>
      <c r="C55" s="23" t="s">
        <v>404</v>
      </c>
      <c r="D55" s="23">
        <v>1090000</v>
      </c>
      <c r="E55" s="23" t="s">
        <v>352</v>
      </c>
      <c r="F55" s="23" t="str">
        <f t="shared" si="0"/>
        <v>rtdc.l.rtdc.4026:itc</v>
      </c>
      <c r="G55" s="8">
        <f t="shared" si="1"/>
        <v>42647.319895833331</v>
      </c>
    </row>
    <row r="56" spans="1:7" x14ac:dyDescent="0.25">
      <c r="A56" s="8">
        <v>42647.32203703704</v>
      </c>
      <c r="B56" s="23" t="s">
        <v>365</v>
      </c>
      <c r="C56" s="23" t="s">
        <v>406</v>
      </c>
      <c r="D56" s="23">
        <v>1340000</v>
      </c>
      <c r="E56" s="23" t="s">
        <v>383</v>
      </c>
      <c r="F56" s="23" t="str">
        <f t="shared" si="0"/>
        <v>rtdc.l.rtdc.4044:itc</v>
      </c>
      <c r="G56" s="8">
        <f t="shared" si="1"/>
        <v>42647.32203703704</v>
      </c>
    </row>
    <row r="57" spans="1:7" x14ac:dyDescent="0.25">
      <c r="A57" s="8">
        <v>42647.323055555556</v>
      </c>
      <c r="B57" s="23" t="s">
        <v>267</v>
      </c>
      <c r="C57" s="23" t="s">
        <v>413</v>
      </c>
      <c r="D57" s="23">
        <v>2030000</v>
      </c>
      <c r="E57" s="23" t="s">
        <v>294</v>
      </c>
      <c r="F57" s="23" t="str">
        <f t="shared" si="0"/>
        <v>rtdc.l.rtdc.4015:itc</v>
      </c>
      <c r="G57" s="8">
        <f t="shared" si="1"/>
        <v>42647.323055555556</v>
      </c>
    </row>
    <row r="58" spans="1:7" x14ac:dyDescent="0.25">
      <c r="A58" s="8">
        <v>42647.324282407404</v>
      </c>
      <c r="B58" s="23" t="s">
        <v>290</v>
      </c>
      <c r="C58" s="23" t="s">
        <v>414</v>
      </c>
      <c r="D58" s="23">
        <v>1110000</v>
      </c>
      <c r="E58" s="23" t="s">
        <v>310</v>
      </c>
      <c r="F58" s="23" t="str">
        <f t="shared" si="0"/>
        <v>rtdc.l.rtdc.4003:itc</v>
      </c>
      <c r="G58" s="8">
        <f t="shared" si="1"/>
        <v>42647.324282407404</v>
      </c>
    </row>
    <row r="59" spans="1:7" x14ac:dyDescent="0.25">
      <c r="A59" s="8">
        <v>42647.331296296295</v>
      </c>
      <c r="B59" s="23" t="s">
        <v>365</v>
      </c>
      <c r="C59" s="23" t="s">
        <v>406</v>
      </c>
      <c r="D59" s="23">
        <v>1340000</v>
      </c>
      <c r="E59" s="23" t="s">
        <v>383</v>
      </c>
      <c r="F59" s="23" t="str">
        <f t="shared" si="0"/>
        <v>rtdc.l.rtdc.4044:itc</v>
      </c>
      <c r="G59" s="8">
        <f t="shared" si="1"/>
        <v>42647.331296296295</v>
      </c>
    </row>
    <row r="60" spans="1:7" x14ac:dyDescent="0.25">
      <c r="A60" s="8">
        <v>42647.338240740741</v>
      </c>
      <c r="B60" s="23" t="s">
        <v>165</v>
      </c>
      <c r="C60" s="23" t="s">
        <v>415</v>
      </c>
      <c r="D60" s="23">
        <v>1090000</v>
      </c>
      <c r="E60" s="23" t="s">
        <v>352</v>
      </c>
      <c r="F60" s="23" t="str">
        <f t="shared" si="0"/>
        <v>rtdc.l.rtdc.4025:itc</v>
      </c>
      <c r="G60" s="8">
        <f t="shared" si="1"/>
        <v>42647.338240740741</v>
      </c>
    </row>
    <row r="61" spans="1:7" x14ac:dyDescent="0.25">
      <c r="A61" s="8">
        <v>42647.339444444442</v>
      </c>
      <c r="B61" s="23" t="s">
        <v>271</v>
      </c>
      <c r="C61" s="23" t="s">
        <v>416</v>
      </c>
      <c r="D61" s="23">
        <v>1990000</v>
      </c>
      <c r="E61" s="23" t="s">
        <v>309</v>
      </c>
      <c r="F61" s="23" t="str">
        <f t="shared" si="0"/>
        <v>rtdc.l.rtdc.4031:itc</v>
      </c>
      <c r="G61" s="8">
        <f t="shared" si="1"/>
        <v>42647.339444444442</v>
      </c>
    </row>
    <row r="62" spans="1:7" x14ac:dyDescent="0.25">
      <c r="A62" s="8">
        <v>42647.340231481481</v>
      </c>
      <c r="B62" s="23" t="s">
        <v>291</v>
      </c>
      <c r="C62" s="23" t="s">
        <v>417</v>
      </c>
      <c r="D62" s="23">
        <v>1110000</v>
      </c>
      <c r="E62" s="23" t="s">
        <v>310</v>
      </c>
      <c r="F62" s="23" t="str">
        <f t="shared" si="0"/>
        <v>rtdc.l.rtdc.4004:itc</v>
      </c>
      <c r="G62" s="8">
        <f t="shared" si="1"/>
        <v>42647.340231481481</v>
      </c>
    </row>
    <row r="63" spans="1:7" x14ac:dyDescent="0.25">
      <c r="A63" s="8">
        <v>42647.345243055555</v>
      </c>
      <c r="B63" s="23" t="s">
        <v>394</v>
      </c>
      <c r="C63" s="23" t="s">
        <v>418</v>
      </c>
      <c r="D63" s="23">
        <v>1340000</v>
      </c>
      <c r="E63" s="23" t="s">
        <v>383</v>
      </c>
      <c r="F63" s="23" t="str">
        <f t="shared" si="0"/>
        <v>rtdc.l.rtdc.4043:itc</v>
      </c>
      <c r="G63" s="8">
        <f t="shared" si="1"/>
        <v>42647.345243055555</v>
      </c>
    </row>
    <row r="64" spans="1:7" x14ac:dyDescent="0.25">
      <c r="A64" s="29">
        <v>42647.345335648148</v>
      </c>
      <c r="B64" s="23" t="s">
        <v>228</v>
      </c>
      <c r="C64" s="23" t="s">
        <v>419</v>
      </c>
      <c r="D64" s="23">
        <v>1300000</v>
      </c>
      <c r="E64" s="23" t="s">
        <v>121</v>
      </c>
      <c r="F64" s="23" t="str">
        <f t="shared" si="0"/>
        <v>rtdc.l.rtdc.4018:itc</v>
      </c>
      <c r="G64" s="8">
        <f t="shared" si="1"/>
        <v>42647.345335648148</v>
      </c>
    </row>
    <row r="65" spans="1:7" x14ac:dyDescent="0.25">
      <c r="A65" s="8">
        <v>42647.351539351854</v>
      </c>
      <c r="B65" s="23" t="s">
        <v>272</v>
      </c>
      <c r="C65" s="23" t="s">
        <v>420</v>
      </c>
      <c r="D65" s="23">
        <v>1100000</v>
      </c>
      <c r="E65" s="23" t="s">
        <v>379</v>
      </c>
      <c r="F65" s="23" t="str">
        <f t="shared" si="0"/>
        <v>rtdc.l.rtdc.4053:itc</v>
      </c>
      <c r="G65" s="8">
        <f t="shared" si="1"/>
        <v>42647.351539351854</v>
      </c>
    </row>
    <row r="66" spans="1:7" x14ac:dyDescent="0.25">
      <c r="A66" s="8">
        <v>42647.354895833334</v>
      </c>
      <c r="B66" s="23" t="s">
        <v>290</v>
      </c>
      <c r="C66" s="23" t="s">
        <v>421</v>
      </c>
      <c r="D66" s="23">
        <v>1110000</v>
      </c>
      <c r="E66" s="23" t="s">
        <v>310</v>
      </c>
      <c r="F66" s="23" t="str">
        <f t="shared" ref="F66:F129" si="2">B66</f>
        <v>rtdc.l.rtdc.4003:itc</v>
      </c>
      <c r="G66" s="8">
        <f t="shared" ref="G66:G129" si="3">A66</f>
        <v>42647.354895833334</v>
      </c>
    </row>
    <row r="67" spans="1:7" x14ac:dyDescent="0.25">
      <c r="A67" s="8">
        <v>42647.356759259259</v>
      </c>
      <c r="B67" s="23" t="s">
        <v>363</v>
      </c>
      <c r="C67" s="23" t="s">
        <v>422</v>
      </c>
      <c r="D67" s="23">
        <v>1260000</v>
      </c>
      <c r="E67" s="23" t="s">
        <v>293</v>
      </c>
      <c r="F67" s="23" t="str">
        <f t="shared" si="2"/>
        <v>rtdc.l.rtdc.4008:itc</v>
      </c>
      <c r="G67" s="8">
        <f t="shared" si="3"/>
        <v>42647.356759259259</v>
      </c>
    </row>
    <row r="68" spans="1:7" x14ac:dyDescent="0.25">
      <c r="A68" s="8">
        <v>42647.358356481483</v>
      </c>
      <c r="B68" s="23" t="s">
        <v>227</v>
      </c>
      <c r="C68" s="23" t="s">
        <v>423</v>
      </c>
      <c r="D68" s="23">
        <v>1300000</v>
      </c>
      <c r="E68" s="23" t="s">
        <v>121</v>
      </c>
      <c r="F68" s="23" t="str">
        <f t="shared" si="2"/>
        <v>rtdc.l.rtdc.4017:itc</v>
      </c>
      <c r="G68" s="8">
        <f t="shared" si="3"/>
        <v>42647.358356481483</v>
      </c>
    </row>
    <row r="69" spans="1:7" x14ac:dyDescent="0.25">
      <c r="A69" s="8">
        <v>42647.361388888887</v>
      </c>
      <c r="B69" s="23" t="s">
        <v>268</v>
      </c>
      <c r="C69" s="23" t="s">
        <v>424</v>
      </c>
      <c r="D69" s="23">
        <v>2030000</v>
      </c>
      <c r="E69" s="23" t="s">
        <v>294</v>
      </c>
      <c r="F69" s="23" t="str">
        <f t="shared" si="2"/>
        <v>rtdc.l.rtdc.4016:itc</v>
      </c>
      <c r="G69" s="8">
        <f t="shared" si="3"/>
        <v>42647.361388888887</v>
      </c>
    </row>
    <row r="70" spans="1:7" x14ac:dyDescent="0.25">
      <c r="A70" s="8">
        <v>42647.367083333331</v>
      </c>
      <c r="B70" s="23" t="s">
        <v>292</v>
      </c>
      <c r="C70" s="23" t="s">
        <v>425</v>
      </c>
      <c r="D70" s="23">
        <v>1190000</v>
      </c>
      <c r="E70" s="23" t="s">
        <v>351</v>
      </c>
      <c r="F70" s="23" t="str">
        <f t="shared" si="2"/>
        <v>rtdc.l.rtdc.4030:itc</v>
      </c>
      <c r="G70" s="8">
        <f t="shared" si="3"/>
        <v>42647.367083333331</v>
      </c>
    </row>
    <row r="71" spans="1:7" x14ac:dyDescent="0.25">
      <c r="A71" s="8">
        <v>42647.367974537039</v>
      </c>
      <c r="B71" s="23" t="s">
        <v>165</v>
      </c>
      <c r="C71" s="23" t="s">
        <v>415</v>
      </c>
      <c r="D71" s="23">
        <v>1090000</v>
      </c>
      <c r="E71" s="23" t="s">
        <v>352</v>
      </c>
      <c r="F71" s="23" t="str">
        <f t="shared" si="2"/>
        <v>rtdc.l.rtdc.4025:itc</v>
      </c>
      <c r="G71" s="8">
        <f t="shared" si="3"/>
        <v>42647.367974537039</v>
      </c>
    </row>
    <row r="72" spans="1:7" x14ac:dyDescent="0.25">
      <c r="A72" s="8">
        <v>42647.371712962966</v>
      </c>
      <c r="B72" s="23" t="s">
        <v>266</v>
      </c>
      <c r="C72" s="23" t="s">
        <v>426</v>
      </c>
      <c r="D72" s="23">
        <v>860000</v>
      </c>
      <c r="E72" s="23" t="s">
        <v>427</v>
      </c>
      <c r="F72" s="23" t="str">
        <f t="shared" si="2"/>
        <v>rtdc.l.rtdc.4010:itc</v>
      </c>
      <c r="G72" s="8">
        <f t="shared" si="3"/>
        <v>42647.371712962966</v>
      </c>
    </row>
    <row r="73" spans="1:7" x14ac:dyDescent="0.25">
      <c r="A73" s="8">
        <v>42647.375208333331</v>
      </c>
      <c r="B73" s="23" t="s">
        <v>365</v>
      </c>
      <c r="C73" s="23" t="s">
        <v>428</v>
      </c>
      <c r="D73" s="23">
        <v>1340000</v>
      </c>
      <c r="E73" s="23" t="s">
        <v>383</v>
      </c>
      <c r="F73" s="23" t="str">
        <f t="shared" si="2"/>
        <v>rtdc.l.rtdc.4044:itc</v>
      </c>
      <c r="G73" s="8">
        <f t="shared" si="3"/>
        <v>42647.375208333331</v>
      </c>
    </row>
    <row r="74" spans="1:7" x14ac:dyDescent="0.25">
      <c r="A74" s="8">
        <v>42647.383900462963</v>
      </c>
      <c r="B74" s="23" t="s">
        <v>166</v>
      </c>
      <c r="C74" s="23" t="s">
        <v>429</v>
      </c>
      <c r="D74" s="23">
        <v>1090000</v>
      </c>
      <c r="E74" s="23" t="s">
        <v>352</v>
      </c>
      <c r="F74" s="23" t="str">
        <f t="shared" si="2"/>
        <v>rtdc.l.rtdc.4026:itc</v>
      </c>
      <c r="G74" s="8">
        <f t="shared" si="3"/>
        <v>42647.383900462963</v>
      </c>
    </row>
    <row r="75" spans="1:7" x14ac:dyDescent="0.25">
      <c r="A75" s="8">
        <v>42647.387094907404</v>
      </c>
      <c r="B75" s="23" t="s">
        <v>228</v>
      </c>
      <c r="C75" s="23" t="s">
        <v>430</v>
      </c>
      <c r="D75" s="23">
        <v>1300000</v>
      </c>
      <c r="E75" s="23" t="s">
        <v>121</v>
      </c>
      <c r="F75" s="23" t="str">
        <f t="shared" si="2"/>
        <v>rtdc.l.rtdc.4018:itc</v>
      </c>
      <c r="G75" s="8">
        <f t="shared" si="3"/>
        <v>42647.387094907404</v>
      </c>
    </row>
    <row r="76" spans="1:7" x14ac:dyDescent="0.25">
      <c r="A76" s="8">
        <v>42647.387731481482</v>
      </c>
      <c r="B76" s="23" t="s">
        <v>270</v>
      </c>
      <c r="C76" s="23" t="s">
        <v>431</v>
      </c>
      <c r="D76" s="23">
        <v>1990000</v>
      </c>
      <c r="E76" s="23" t="s">
        <v>309</v>
      </c>
      <c r="F76" s="23" t="str">
        <f t="shared" si="2"/>
        <v>rtdc.l.rtdc.4032:itc</v>
      </c>
      <c r="G76" s="8">
        <f t="shared" si="3"/>
        <v>42647.387731481482</v>
      </c>
    </row>
    <row r="77" spans="1:7" x14ac:dyDescent="0.25">
      <c r="A77" s="8">
        <v>42647.388240740744</v>
      </c>
      <c r="B77" s="23" t="s">
        <v>385</v>
      </c>
      <c r="C77" s="23" t="s">
        <v>432</v>
      </c>
      <c r="D77" s="23">
        <v>1260000</v>
      </c>
      <c r="E77" s="23" t="s">
        <v>293</v>
      </c>
      <c r="F77" s="23" t="str">
        <f t="shared" si="2"/>
        <v>rtdc.l.rtdc.4007:itc</v>
      </c>
      <c r="G77" s="8">
        <f t="shared" si="3"/>
        <v>42647.388240740744</v>
      </c>
    </row>
    <row r="78" spans="1:7" x14ac:dyDescent="0.25">
      <c r="A78" s="8">
        <v>42647.391076388885</v>
      </c>
      <c r="B78" s="23" t="s">
        <v>269</v>
      </c>
      <c r="C78" s="23" t="s">
        <v>433</v>
      </c>
      <c r="D78" s="23">
        <v>1100000</v>
      </c>
      <c r="E78" s="23" t="s">
        <v>379</v>
      </c>
      <c r="F78" s="23" t="str">
        <f t="shared" si="2"/>
        <v>rtdc.l.rtdc.4054:itc</v>
      </c>
      <c r="G78" s="8">
        <f t="shared" si="3"/>
        <v>42647.391076388885</v>
      </c>
    </row>
    <row r="79" spans="1:7" x14ac:dyDescent="0.25">
      <c r="A79" s="8">
        <v>42647.395740740743</v>
      </c>
      <c r="B79" s="23" t="s">
        <v>275</v>
      </c>
      <c r="C79" s="23" t="s">
        <v>426</v>
      </c>
      <c r="D79" s="23">
        <v>860000</v>
      </c>
      <c r="E79" s="23" t="s">
        <v>427</v>
      </c>
      <c r="F79" s="23" t="str">
        <f t="shared" si="2"/>
        <v>rtdc.l.rtdc.4009:itc</v>
      </c>
      <c r="G79" s="8">
        <f t="shared" si="3"/>
        <v>42647.395740740743</v>
      </c>
    </row>
    <row r="80" spans="1:7" x14ac:dyDescent="0.25">
      <c r="A80" s="8">
        <v>42647.397407407407</v>
      </c>
      <c r="B80" s="23" t="s">
        <v>275</v>
      </c>
      <c r="C80" s="23" t="s">
        <v>434</v>
      </c>
      <c r="D80" s="23">
        <v>860000</v>
      </c>
      <c r="E80" s="23" t="s">
        <v>427</v>
      </c>
      <c r="F80" s="23" t="str">
        <f t="shared" si="2"/>
        <v>rtdc.l.rtdc.4009:itc</v>
      </c>
      <c r="G80" s="8">
        <f t="shared" si="3"/>
        <v>42647.397407407407</v>
      </c>
    </row>
    <row r="81" spans="1:7" x14ac:dyDescent="0.25">
      <c r="A81" s="8">
        <v>42647.398101851853</v>
      </c>
      <c r="B81" s="23" t="s">
        <v>171</v>
      </c>
      <c r="C81" s="23" t="s">
        <v>435</v>
      </c>
      <c r="D81" s="23">
        <v>1360000</v>
      </c>
      <c r="E81" s="23" t="s">
        <v>436</v>
      </c>
      <c r="F81" s="23" t="str">
        <f t="shared" si="2"/>
        <v>rtdc.l.rtdc.4042:itc</v>
      </c>
      <c r="G81" s="8">
        <f t="shared" si="3"/>
        <v>42647.398101851853</v>
      </c>
    </row>
    <row r="82" spans="1:7" x14ac:dyDescent="0.25">
      <c r="A82" s="8">
        <v>42647.398553240739</v>
      </c>
      <c r="B82" s="23" t="s">
        <v>267</v>
      </c>
      <c r="C82" s="23" t="s">
        <v>437</v>
      </c>
      <c r="D82" s="23">
        <v>2030000</v>
      </c>
      <c r="E82" s="23" t="s">
        <v>294</v>
      </c>
      <c r="F82" s="23" t="str">
        <f t="shared" si="2"/>
        <v>rtdc.l.rtdc.4015:itc</v>
      </c>
      <c r="G82" s="8">
        <f t="shared" si="3"/>
        <v>42647.398553240739</v>
      </c>
    </row>
    <row r="83" spans="1:7" x14ac:dyDescent="0.25">
      <c r="A83" s="8">
        <v>42647.401180555556</v>
      </c>
      <c r="B83" s="23" t="s">
        <v>227</v>
      </c>
      <c r="C83" s="23" t="s">
        <v>438</v>
      </c>
      <c r="D83" s="23">
        <v>1300000</v>
      </c>
      <c r="E83" s="23" t="s">
        <v>121</v>
      </c>
      <c r="F83" s="23" t="str">
        <f t="shared" si="2"/>
        <v>rtdc.l.rtdc.4017:itc</v>
      </c>
      <c r="G83" s="8">
        <f t="shared" si="3"/>
        <v>42647.401180555556</v>
      </c>
    </row>
    <row r="84" spans="1:7" x14ac:dyDescent="0.25">
      <c r="A84" s="8">
        <v>42647.401203703703</v>
      </c>
      <c r="B84" s="23" t="s">
        <v>222</v>
      </c>
      <c r="C84" s="23" t="s">
        <v>439</v>
      </c>
      <c r="D84" s="23">
        <v>1190000</v>
      </c>
      <c r="E84" s="23" t="s">
        <v>351</v>
      </c>
      <c r="F84" s="23" t="str">
        <f t="shared" si="2"/>
        <v>rtdc.l.rtdc.4029:itc</v>
      </c>
      <c r="G84" s="8">
        <f t="shared" si="3"/>
        <v>42647.401203703703</v>
      </c>
    </row>
    <row r="85" spans="1:7" x14ac:dyDescent="0.25">
      <c r="A85" s="8">
        <v>42647.412951388891</v>
      </c>
      <c r="B85" s="23" t="s">
        <v>394</v>
      </c>
      <c r="C85" s="23" t="s">
        <v>440</v>
      </c>
      <c r="D85" s="23">
        <v>1340000</v>
      </c>
      <c r="E85" s="23" t="s">
        <v>383</v>
      </c>
      <c r="F85" s="23" t="str">
        <f t="shared" si="2"/>
        <v>rtdc.l.rtdc.4043:itc</v>
      </c>
      <c r="G85" s="8">
        <f t="shared" si="3"/>
        <v>42647.412951388891</v>
      </c>
    </row>
    <row r="86" spans="1:7" x14ac:dyDescent="0.25">
      <c r="A86" s="8">
        <v>42647.41511574074</v>
      </c>
      <c r="B86" s="23" t="s">
        <v>165</v>
      </c>
      <c r="C86" s="23" t="s">
        <v>441</v>
      </c>
      <c r="D86" s="23">
        <v>1090000</v>
      </c>
      <c r="E86" s="23" t="s">
        <v>352</v>
      </c>
      <c r="F86" s="23" t="str">
        <f t="shared" si="2"/>
        <v>rtdc.l.rtdc.4025:itc</v>
      </c>
      <c r="G86" s="8">
        <f t="shared" si="3"/>
        <v>42647.41511574074</v>
      </c>
    </row>
    <row r="87" spans="1:7" x14ac:dyDescent="0.25">
      <c r="A87" s="8">
        <v>42647.415671296294</v>
      </c>
      <c r="B87" s="23" t="s">
        <v>266</v>
      </c>
      <c r="C87" s="23" t="s">
        <v>442</v>
      </c>
      <c r="D87" s="23">
        <v>860000</v>
      </c>
      <c r="E87" s="23" t="s">
        <v>427</v>
      </c>
      <c r="F87" s="23" t="str">
        <f t="shared" si="2"/>
        <v>rtdc.l.rtdc.4010:itc</v>
      </c>
      <c r="G87" s="8">
        <f t="shared" si="3"/>
        <v>42647.415671296294</v>
      </c>
    </row>
    <row r="88" spans="1:7" x14ac:dyDescent="0.25">
      <c r="A88" s="8">
        <v>42647.420960648145</v>
      </c>
      <c r="B88" s="23" t="s">
        <v>363</v>
      </c>
      <c r="C88" s="23" t="s">
        <v>443</v>
      </c>
      <c r="D88" s="23">
        <v>1260000</v>
      </c>
      <c r="E88" s="23" t="s">
        <v>293</v>
      </c>
      <c r="F88" s="23" t="str">
        <f t="shared" si="2"/>
        <v>rtdc.l.rtdc.4008:itc</v>
      </c>
      <c r="G88" s="8">
        <f t="shared" si="3"/>
        <v>42647.420960648145</v>
      </c>
    </row>
    <row r="89" spans="1:7" x14ac:dyDescent="0.25">
      <c r="A89" s="8">
        <v>42647.421886574077</v>
      </c>
      <c r="B89" s="23" t="s">
        <v>272</v>
      </c>
      <c r="C89" s="23" t="s">
        <v>444</v>
      </c>
      <c r="D89" s="23">
        <v>1100000</v>
      </c>
      <c r="E89" s="23" t="s">
        <v>379</v>
      </c>
      <c r="F89" s="23" t="str">
        <f t="shared" si="2"/>
        <v>rtdc.l.rtdc.4053:itc</v>
      </c>
      <c r="G89" s="8">
        <f t="shared" si="3"/>
        <v>42647.421886574077</v>
      </c>
    </row>
    <row r="90" spans="1:7" x14ac:dyDescent="0.25">
      <c r="A90" s="8">
        <v>42647.428761574076</v>
      </c>
      <c r="B90" s="23" t="s">
        <v>228</v>
      </c>
      <c r="C90" s="23" t="s">
        <v>445</v>
      </c>
      <c r="D90" s="23">
        <v>1300000</v>
      </c>
      <c r="E90" s="23" t="s">
        <v>121</v>
      </c>
      <c r="F90" s="23" t="str">
        <f t="shared" si="2"/>
        <v>rtdc.l.rtdc.4018:itc</v>
      </c>
      <c r="G90" s="8">
        <f t="shared" si="3"/>
        <v>42647.428761574076</v>
      </c>
    </row>
    <row r="91" spans="1:7" x14ac:dyDescent="0.25">
      <c r="A91" s="8">
        <v>42647.432384259257</v>
      </c>
      <c r="B91" s="23" t="s">
        <v>170</v>
      </c>
      <c r="C91" s="23" t="s">
        <v>446</v>
      </c>
      <c r="D91" s="23">
        <v>1360000</v>
      </c>
      <c r="E91" s="23" t="s">
        <v>436</v>
      </c>
      <c r="F91" s="23" t="str">
        <f t="shared" si="2"/>
        <v>rtdc.l.rtdc.4041:itc</v>
      </c>
      <c r="G91" s="8">
        <f t="shared" si="3"/>
        <v>42647.432384259257</v>
      </c>
    </row>
    <row r="92" spans="1:7" x14ac:dyDescent="0.25">
      <c r="A92" s="8">
        <v>42647.433321759258</v>
      </c>
      <c r="B92" s="23" t="s">
        <v>268</v>
      </c>
      <c r="C92" s="23" t="s">
        <v>447</v>
      </c>
      <c r="D92" s="23">
        <v>1110000</v>
      </c>
      <c r="E92" s="23" t="s">
        <v>310</v>
      </c>
      <c r="F92" s="23" t="str">
        <f t="shared" si="2"/>
        <v>rtdc.l.rtdc.4016:itc</v>
      </c>
      <c r="G92" s="8">
        <f t="shared" si="3"/>
        <v>42647.433321759258</v>
      </c>
    </row>
    <row r="93" spans="1:7" x14ac:dyDescent="0.25">
      <c r="A93" s="8">
        <v>42647.436053240737</v>
      </c>
      <c r="B93" s="23" t="s">
        <v>275</v>
      </c>
      <c r="C93" s="23" t="s">
        <v>448</v>
      </c>
      <c r="D93" s="23">
        <v>860000</v>
      </c>
      <c r="E93" s="23" t="s">
        <v>427</v>
      </c>
      <c r="F93" s="23" t="str">
        <f t="shared" si="2"/>
        <v>rtdc.l.rtdc.4009:itc</v>
      </c>
      <c r="G93" s="8">
        <f t="shared" si="3"/>
        <v>42647.436053240737</v>
      </c>
    </row>
    <row r="94" spans="1:7" x14ac:dyDescent="0.25">
      <c r="A94" s="8">
        <v>42647.439317129632</v>
      </c>
      <c r="B94" s="23" t="s">
        <v>292</v>
      </c>
      <c r="C94" s="23" t="s">
        <v>449</v>
      </c>
      <c r="D94" s="23">
        <v>1190000</v>
      </c>
      <c r="E94" s="23" t="s">
        <v>351</v>
      </c>
      <c r="F94" s="23" t="str">
        <f t="shared" si="2"/>
        <v>rtdc.l.rtdc.4030:itc</v>
      </c>
      <c r="G94" s="8">
        <f t="shared" si="3"/>
        <v>42647.439317129632</v>
      </c>
    </row>
    <row r="95" spans="1:7" x14ac:dyDescent="0.25">
      <c r="A95" s="8">
        <v>42647.442025462966</v>
      </c>
      <c r="B95" s="23" t="s">
        <v>227</v>
      </c>
      <c r="C95" s="23" t="s">
        <v>450</v>
      </c>
      <c r="D95" s="23">
        <v>1300000</v>
      </c>
      <c r="E95" s="23" t="s">
        <v>121</v>
      </c>
      <c r="F95" s="23" t="str">
        <f t="shared" si="2"/>
        <v>rtdc.l.rtdc.4017:itc</v>
      </c>
      <c r="G95" s="8">
        <f t="shared" si="3"/>
        <v>42647.442025462966</v>
      </c>
    </row>
    <row r="96" spans="1:7" x14ac:dyDescent="0.25">
      <c r="A96" s="8">
        <v>42647.446539351855</v>
      </c>
      <c r="B96" s="23" t="s">
        <v>365</v>
      </c>
      <c r="C96" s="23" t="s">
        <v>451</v>
      </c>
      <c r="D96" s="23">
        <v>1340000</v>
      </c>
      <c r="E96" s="23" t="s">
        <v>383</v>
      </c>
      <c r="F96" s="23" t="str">
        <f t="shared" si="2"/>
        <v>rtdc.l.rtdc.4044:itc</v>
      </c>
      <c r="G96" s="8">
        <f t="shared" si="3"/>
        <v>42647.446539351855</v>
      </c>
    </row>
    <row r="97" spans="1:7" x14ac:dyDescent="0.25">
      <c r="A97" s="8">
        <v>42647.447638888887</v>
      </c>
      <c r="B97" s="23" t="s">
        <v>365</v>
      </c>
      <c r="C97" s="23" t="s">
        <v>451</v>
      </c>
      <c r="D97" s="23">
        <v>1340000</v>
      </c>
      <c r="E97" s="23" t="s">
        <v>383</v>
      </c>
      <c r="F97" s="23" t="str">
        <f t="shared" si="2"/>
        <v>rtdc.l.rtdc.4044:itc</v>
      </c>
      <c r="G97" s="8">
        <f t="shared" si="3"/>
        <v>42647.447638888887</v>
      </c>
    </row>
    <row r="98" spans="1:7" x14ac:dyDescent="0.25">
      <c r="A98" s="8">
        <v>42647.452384259261</v>
      </c>
      <c r="B98" s="23" t="s">
        <v>266</v>
      </c>
      <c r="C98" s="23" t="s">
        <v>452</v>
      </c>
      <c r="D98" s="23">
        <v>860000</v>
      </c>
      <c r="E98" s="23" t="s">
        <v>427</v>
      </c>
      <c r="F98" s="23" t="str">
        <f t="shared" si="2"/>
        <v>rtdc.l.rtdc.4010:itc</v>
      </c>
      <c r="G98" s="8">
        <f t="shared" si="3"/>
        <v>42647.452384259261</v>
      </c>
    </row>
    <row r="99" spans="1:7" x14ac:dyDescent="0.25">
      <c r="A99" s="8">
        <v>42647.452939814815</v>
      </c>
      <c r="B99" s="23" t="s">
        <v>166</v>
      </c>
      <c r="C99" s="23" t="s">
        <v>453</v>
      </c>
      <c r="D99" s="23">
        <v>1090000</v>
      </c>
      <c r="E99" s="23" t="s">
        <v>352</v>
      </c>
      <c r="F99" s="23" t="str">
        <f t="shared" si="2"/>
        <v>rtdc.l.rtdc.4026:itc</v>
      </c>
      <c r="G99" s="8">
        <f t="shared" si="3"/>
        <v>42647.452939814815</v>
      </c>
    </row>
    <row r="100" spans="1:7" x14ac:dyDescent="0.25">
      <c r="A100" s="8">
        <v>42647.455312500002</v>
      </c>
      <c r="B100" s="23" t="s">
        <v>385</v>
      </c>
      <c r="C100" s="23" t="s">
        <v>454</v>
      </c>
      <c r="D100" s="23">
        <v>1280000</v>
      </c>
      <c r="E100" s="23" t="s">
        <v>295</v>
      </c>
      <c r="F100" s="23" t="str">
        <f t="shared" si="2"/>
        <v>rtdc.l.rtdc.4007:itc</v>
      </c>
      <c r="G100" s="8">
        <f t="shared" si="3"/>
        <v>42647.455312500002</v>
      </c>
    </row>
    <row r="101" spans="1:7" x14ac:dyDescent="0.25">
      <c r="A101" s="8">
        <v>42647.459085648145</v>
      </c>
      <c r="B101" s="23" t="s">
        <v>269</v>
      </c>
      <c r="C101" s="23" t="s">
        <v>455</v>
      </c>
      <c r="D101" s="23">
        <v>1100000</v>
      </c>
      <c r="E101" s="23" t="s">
        <v>379</v>
      </c>
      <c r="F101" s="23" t="str">
        <f t="shared" si="2"/>
        <v>rtdc.l.rtdc.4054:itc</v>
      </c>
      <c r="G101" s="8">
        <f t="shared" si="3"/>
        <v>42647.459085648145</v>
      </c>
    </row>
    <row r="102" spans="1:7" x14ac:dyDescent="0.25">
      <c r="A102" s="8">
        <v>42647.464363425926</v>
      </c>
      <c r="B102" s="23" t="s">
        <v>171</v>
      </c>
      <c r="C102" s="23" t="s">
        <v>456</v>
      </c>
      <c r="D102" s="23">
        <v>880000</v>
      </c>
      <c r="E102" s="23" t="s">
        <v>273</v>
      </c>
      <c r="F102" s="23" t="str">
        <f t="shared" si="2"/>
        <v>rtdc.l.rtdc.4042:itc</v>
      </c>
      <c r="G102" s="8">
        <f t="shared" si="3"/>
        <v>42647.464363425926</v>
      </c>
    </row>
    <row r="103" spans="1:7" x14ac:dyDescent="0.25">
      <c r="A103" s="8">
        <v>42647.468784722223</v>
      </c>
      <c r="B103" s="23" t="s">
        <v>275</v>
      </c>
      <c r="C103" s="23" t="s">
        <v>457</v>
      </c>
      <c r="D103" s="23">
        <v>860000</v>
      </c>
      <c r="E103" s="23" t="s">
        <v>427</v>
      </c>
      <c r="F103" s="23" t="str">
        <f t="shared" si="2"/>
        <v>rtdc.l.rtdc.4009:itc</v>
      </c>
      <c r="G103" s="8">
        <f t="shared" si="3"/>
        <v>42647.468784722223</v>
      </c>
    </row>
    <row r="104" spans="1:7" x14ac:dyDescent="0.25">
      <c r="A104" s="8">
        <v>42647.470960648148</v>
      </c>
      <c r="B104" s="23" t="s">
        <v>228</v>
      </c>
      <c r="C104" s="23" t="s">
        <v>458</v>
      </c>
      <c r="D104" s="23">
        <v>1300000</v>
      </c>
      <c r="E104" s="23" t="s">
        <v>121</v>
      </c>
      <c r="F104" s="23" t="str">
        <f t="shared" si="2"/>
        <v>rtdc.l.rtdc.4018:itc</v>
      </c>
      <c r="G104" s="8">
        <f t="shared" si="3"/>
        <v>42647.470960648148</v>
      </c>
    </row>
    <row r="105" spans="1:7" x14ac:dyDescent="0.25">
      <c r="A105" s="8">
        <v>42647.474398148152</v>
      </c>
      <c r="B105" s="23" t="s">
        <v>267</v>
      </c>
      <c r="C105" s="23" t="s">
        <v>459</v>
      </c>
      <c r="D105" s="23">
        <v>1110000</v>
      </c>
      <c r="E105" s="23" t="s">
        <v>310</v>
      </c>
      <c r="F105" s="23" t="str">
        <f t="shared" si="2"/>
        <v>rtdc.l.rtdc.4015:itc</v>
      </c>
      <c r="G105" s="8">
        <f t="shared" si="3"/>
        <v>42647.474398148152</v>
      </c>
    </row>
    <row r="106" spans="1:7" x14ac:dyDescent="0.25">
      <c r="A106" s="8">
        <v>42647.475891203707</v>
      </c>
      <c r="B106" s="23" t="s">
        <v>222</v>
      </c>
      <c r="C106" s="23" t="s">
        <v>460</v>
      </c>
      <c r="D106" s="23">
        <v>1540000</v>
      </c>
      <c r="E106" s="23" t="s">
        <v>356</v>
      </c>
      <c r="F106" s="23" t="str">
        <f t="shared" si="2"/>
        <v>rtdc.l.rtdc.4029:itc</v>
      </c>
      <c r="G106" s="8">
        <f t="shared" si="3"/>
        <v>42647.475891203707</v>
      </c>
    </row>
    <row r="107" spans="1:7" x14ac:dyDescent="0.25">
      <c r="A107" s="8">
        <v>42647.483564814815</v>
      </c>
      <c r="B107" s="23" t="s">
        <v>227</v>
      </c>
      <c r="C107" s="23" t="s">
        <v>461</v>
      </c>
      <c r="D107" s="23">
        <v>1300000</v>
      </c>
      <c r="E107" s="23" t="s">
        <v>121</v>
      </c>
      <c r="F107" s="23" t="str">
        <f t="shared" si="2"/>
        <v>rtdc.l.rtdc.4017:itc</v>
      </c>
      <c r="G107" s="8">
        <f t="shared" si="3"/>
        <v>42647.483564814815</v>
      </c>
    </row>
    <row r="108" spans="1:7" x14ac:dyDescent="0.25">
      <c r="A108" s="8">
        <v>42647.484548611108</v>
      </c>
      <c r="B108" s="23" t="s">
        <v>394</v>
      </c>
      <c r="C108" s="23" t="s">
        <v>462</v>
      </c>
      <c r="D108" s="23">
        <v>1340000</v>
      </c>
      <c r="E108" s="23" t="s">
        <v>383</v>
      </c>
      <c r="F108" s="23" t="str">
        <f t="shared" si="2"/>
        <v>rtdc.l.rtdc.4043:itc</v>
      </c>
      <c r="G108" s="8">
        <f t="shared" si="3"/>
        <v>42647.484548611108</v>
      </c>
    </row>
    <row r="109" spans="1:7" x14ac:dyDescent="0.25">
      <c r="A109" s="8">
        <v>42647.484965277778</v>
      </c>
      <c r="B109" s="23" t="s">
        <v>266</v>
      </c>
      <c r="C109" s="23" t="s">
        <v>463</v>
      </c>
      <c r="D109" s="23">
        <v>860000</v>
      </c>
      <c r="E109" s="23" t="s">
        <v>427</v>
      </c>
      <c r="F109" s="23" t="str">
        <f t="shared" si="2"/>
        <v>rtdc.l.rtdc.4010:itc</v>
      </c>
      <c r="G109" s="8">
        <f t="shared" si="3"/>
        <v>42647.484965277778</v>
      </c>
    </row>
    <row r="110" spans="1:7" x14ac:dyDescent="0.25">
      <c r="A110" s="8">
        <v>42647.488113425927</v>
      </c>
      <c r="B110" s="23" t="s">
        <v>165</v>
      </c>
      <c r="C110" s="23" t="s">
        <v>464</v>
      </c>
      <c r="D110" s="23">
        <v>940000</v>
      </c>
      <c r="E110" s="23" t="s">
        <v>355</v>
      </c>
      <c r="F110" s="23" t="str">
        <f t="shared" si="2"/>
        <v>rtdc.l.rtdc.4025:itc</v>
      </c>
      <c r="G110" s="8">
        <f t="shared" si="3"/>
        <v>42647.488113425927</v>
      </c>
    </row>
    <row r="111" spans="1:7" x14ac:dyDescent="0.25">
      <c r="A111" s="8">
        <v>42647.48841435185</v>
      </c>
      <c r="B111" s="23" t="s">
        <v>363</v>
      </c>
      <c r="C111" s="23" t="s">
        <v>465</v>
      </c>
      <c r="D111" s="23">
        <v>1280000</v>
      </c>
      <c r="E111" s="23" t="s">
        <v>295</v>
      </c>
      <c r="F111" s="23" t="str">
        <f t="shared" si="2"/>
        <v>rtdc.l.rtdc.4008:itc</v>
      </c>
      <c r="G111" s="8">
        <f t="shared" si="3"/>
        <v>42647.48841435185</v>
      </c>
    </row>
    <row r="112" spans="1:7" x14ac:dyDescent="0.25">
      <c r="A112" s="8">
        <v>42647.496759259258</v>
      </c>
      <c r="B112" s="23" t="s">
        <v>272</v>
      </c>
      <c r="C112" s="23" t="s">
        <v>466</v>
      </c>
      <c r="D112" s="23">
        <v>2140000</v>
      </c>
      <c r="E112" s="23" t="s">
        <v>467</v>
      </c>
      <c r="F112" s="23" t="str">
        <f t="shared" si="2"/>
        <v>rtdc.l.rtdc.4053:itc</v>
      </c>
      <c r="G112" s="8">
        <f t="shared" si="3"/>
        <v>42647.496759259258</v>
      </c>
    </row>
    <row r="113" spans="1:7" x14ac:dyDescent="0.25">
      <c r="A113" s="8">
        <v>42647.49796296296</v>
      </c>
      <c r="B113" s="23" t="s">
        <v>275</v>
      </c>
      <c r="C113" s="23" t="s">
        <v>468</v>
      </c>
      <c r="D113" s="23">
        <v>860000</v>
      </c>
      <c r="E113" s="23" t="s">
        <v>427</v>
      </c>
      <c r="F113" s="23" t="str">
        <f t="shared" si="2"/>
        <v>rtdc.l.rtdc.4009:itc</v>
      </c>
      <c r="G113" s="8">
        <f t="shared" si="3"/>
        <v>42647.49796296296</v>
      </c>
    </row>
    <row r="114" spans="1:7" x14ac:dyDescent="0.25">
      <c r="A114" s="8">
        <v>42647.504756944443</v>
      </c>
      <c r="B114" s="23" t="s">
        <v>170</v>
      </c>
      <c r="C114" s="23" t="s">
        <v>469</v>
      </c>
      <c r="D114" s="23">
        <v>880000</v>
      </c>
      <c r="E114" s="23" t="s">
        <v>273</v>
      </c>
      <c r="F114" s="23" t="str">
        <f t="shared" si="2"/>
        <v>rtdc.l.rtdc.4041:itc</v>
      </c>
      <c r="G114" s="8">
        <f t="shared" si="3"/>
        <v>42647.504756944443</v>
      </c>
    </row>
    <row r="115" spans="1:7" x14ac:dyDescent="0.25">
      <c r="A115" s="8">
        <v>42647.506782407407</v>
      </c>
      <c r="B115" s="23" t="s">
        <v>268</v>
      </c>
      <c r="C115" s="23" t="s">
        <v>470</v>
      </c>
      <c r="D115" s="23">
        <v>930000</v>
      </c>
      <c r="E115" s="23" t="s">
        <v>274</v>
      </c>
      <c r="F115" s="23" t="str">
        <f t="shared" si="2"/>
        <v>rtdc.l.rtdc.4016:itc</v>
      </c>
      <c r="G115" s="8">
        <f t="shared" si="3"/>
        <v>42647.506782407407</v>
      </c>
    </row>
    <row r="116" spans="1:7" x14ac:dyDescent="0.25">
      <c r="A116" s="8">
        <v>42647.511041666665</v>
      </c>
      <c r="B116" s="23" t="s">
        <v>266</v>
      </c>
      <c r="C116" s="23" t="s">
        <v>471</v>
      </c>
      <c r="D116" s="23">
        <v>860000</v>
      </c>
      <c r="E116" s="23" t="s">
        <v>427</v>
      </c>
      <c r="F116" s="23" t="str">
        <f t="shared" si="2"/>
        <v>rtdc.l.rtdc.4010:itc</v>
      </c>
      <c r="G116" s="8">
        <f t="shared" si="3"/>
        <v>42647.511041666665</v>
      </c>
    </row>
    <row r="117" spans="1:7" x14ac:dyDescent="0.25">
      <c r="A117" s="8">
        <v>42647.512071759258</v>
      </c>
      <c r="B117" s="23" t="s">
        <v>228</v>
      </c>
      <c r="C117" s="23" t="s">
        <v>472</v>
      </c>
      <c r="D117" s="23">
        <v>1300000</v>
      </c>
      <c r="E117" s="23" t="s">
        <v>121</v>
      </c>
      <c r="F117" s="23" t="str">
        <f t="shared" si="2"/>
        <v>rtdc.l.rtdc.4018:itc</v>
      </c>
      <c r="G117" s="8">
        <f t="shared" si="3"/>
        <v>42647.512071759258</v>
      </c>
    </row>
    <row r="118" spans="1:7" x14ac:dyDescent="0.25">
      <c r="A118" s="8">
        <v>42647.516122685185</v>
      </c>
      <c r="B118" s="23" t="s">
        <v>365</v>
      </c>
      <c r="C118" s="23" t="s">
        <v>473</v>
      </c>
      <c r="D118" s="23">
        <v>1740000</v>
      </c>
      <c r="E118" s="23" t="s">
        <v>474</v>
      </c>
      <c r="F118" s="23" t="str">
        <f t="shared" si="2"/>
        <v>rtdc.l.rtdc.4044:itc</v>
      </c>
      <c r="G118" s="8">
        <f t="shared" si="3"/>
        <v>42647.516122685185</v>
      </c>
    </row>
    <row r="119" spans="1:7" x14ac:dyDescent="0.25">
      <c r="A119" s="8">
        <v>42647.516956018517</v>
      </c>
      <c r="B119" s="23" t="s">
        <v>292</v>
      </c>
      <c r="C119" s="23" t="s">
        <v>475</v>
      </c>
      <c r="D119" s="23">
        <v>1540000</v>
      </c>
      <c r="E119" s="23" t="s">
        <v>356</v>
      </c>
      <c r="F119" s="23" t="str">
        <f t="shared" si="2"/>
        <v>rtdc.l.rtdc.4030:itc</v>
      </c>
      <c r="G119" s="8">
        <f t="shared" si="3"/>
        <v>42647.516956018517</v>
      </c>
    </row>
    <row r="120" spans="1:7" x14ac:dyDescent="0.25">
      <c r="A120" s="8">
        <v>42647.520937499998</v>
      </c>
      <c r="B120" s="23" t="s">
        <v>166</v>
      </c>
      <c r="C120" s="23" t="s">
        <v>476</v>
      </c>
      <c r="D120" s="23">
        <v>940000</v>
      </c>
      <c r="E120" s="23" t="s">
        <v>355</v>
      </c>
      <c r="F120" s="23" t="str">
        <f t="shared" si="2"/>
        <v>rtdc.l.rtdc.4026:itc</v>
      </c>
      <c r="G120" s="8">
        <f t="shared" si="3"/>
        <v>42647.520937499998</v>
      </c>
    </row>
    <row r="121" spans="1:7" x14ac:dyDescent="0.25">
      <c r="A121" s="8">
        <v>42647.525648148148</v>
      </c>
      <c r="B121" s="23" t="s">
        <v>227</v>
      </c>
      <c r="C121" s="23" t="s">
        <v>477</v>
      </c>
      <c r="D121" s="23">
        <v>1300000</v>
      </c>
      <c r="E121" s="23" t="s">
        <v>121</v>
      </c>
      <c r="F121" s="23" t="str">
        <f t="shared" si="2"/>
        <v>rtdc.l.rtdc.4017:itc</v>
      </c>
      <c r="G121" s="8">
        <f t="shared" si="3"/>
        <v>42647.525648148148</v>
      </c>
    </row>
    <row r="122" spans="1:7" x14ac:dyDescent="0.25">
      <c r="A122" s="8">
        <v>42647.527858796297</v>
      </c>
      <c r="B122" s="28" t="s">
        <v>385</v>
      </c>
      <c r="C122" s="23" t="s">
        <v>478</v>
      </c>
      <c r="D122" s="23">
        <v>1280000</v>
      </c>
      <c r="E122" s="23" t="s">
        <v>295</v>
      </c>
      <c r="F122" s="23" t="str">
        <f t="shared" si="2"/>
        <v>rtdc.l.rtdc.4007:itc</v>
      </c>
      <c r="G122" s="8">
        <f t="shared" si="3"/>
        <v>42647.527858796297</v>
      </c>
    </row>
    <row r="123" spans="1:7" x14ac:dyDescent="0.25">
      <c r="A123" s="8">
        <v>42647.532696759263</v>
      </c>
      <c r="B123" s="23" t="s">
        <v>269</v>
      </c>
      <c r="C123" s="23" t="s">
        <v>479</v>
      </c>
      <c r="D123" s="23">
        <v>2140000</v>
      </c>
      <c r="E123" s="23" t="s">
        <v>467</v>
      </c>
      <c r="F123" s="23" t="str">
        <f t="shared" si="2"/>
        <v>rtdc.l.rtdc.4054:itc</v>
      </c>
      <c r="G123" s="8">
        <f t="shared" si="3"/>
        <v>42647.532696759263</v>
      </c>
    </row>
    <row r="124" spans="1:7" x14ac:dyDescent="0.25">
      <c r="A124" s="8">
        <v>42647.538124999999</v>
      </c>
      <c r="B124" s="23" t="s">
        <v>171</v>
      </c>
      <c r="C124" s="23" t="s">
        <v>480</v>
      </c>
      <c r="D124" s="23">
        <v>880000</v>
      </c>
      <c r="E124" s="23" t="s">
        <v>273</v>
      </c>
      <c r="F124" s="23" t="str">
        <f t="shared" si="2"/>
        <v>rtdc.l.rtdc.4042:itc</v>
      </c>
      <c r="G124" s="8">
        <f t="shared" si="3"/>
        <v>42647.538124999999</v>
      </c>
    </row>
    <row r="125" spans="1:7" x14ac:dyDescent="0.25">
      <c r="A125" s="8">
        <v>42647.545451388891</v>
      </c>
      <c r="B125" s="23" t="s">
        <v>267</v>
      </c>
      <c r="C125" s="23" t="s">
        <v>481</v>
      </c>
      <c r="D125" s="23">
        <v>930000</v>
      </c>
      <c r="E125" s="23" t="s">
        <v>274</v>
      </c>
      <c r="F125" s="23" t="str">
        <f t="shared" si="2"/>
        <v>rtdc.l.rtdc.4015:itc</v>
      </c>
      <c r="G125" s="8">
        <f t="shared" si="3"/>
        <v>42647.545451388891</v>
      </c>
    </row>
    <row r="126" spans="1:7" x14ac:dyDescent="0.25">
      <c r="A126" s="8">
        <v>42647.545983796299</v>
      </c>
      <c r="B126" s="23" t="s">
        <v>228</v>
      </c>
      <c r="C126" s="23" t="s">
        <v>482</v>
      </c>
      <c r="D126" s="23">
        <v>2090000</v>
      </c>
      <c r="E126" s="23" t="s">
        <v>483</v>
      </c>
      <c r="F126" s="23" t="str">
        <f t="shared" si="2"/>
        <v>rtdc.l.rtdc.4018:itc</v>
      </c>
      <c r="G126" s="8">
        <f t="shared" si="3"/>
        <v>42647.545983796299</v>
      </c>
    </row>
    <row r="127" spans="1:7" x14ac:dyDescent="0.25">
      <c r="A127" s="8">
        <v>42647.550243055557</v>
      </c>
      <c r="B127" s="23" t="s">
        <v>222</v>
      </c>
      <c r="C127" s="23" t="s">
        <v>484</v>
      </c>
      <c r="D127" s="23">
        <v>1540000</v>
      </c>
      <c r="E127" s="23" t="s">
        <v>356</v>
      </c>
      <c r="F127" s="23" t="str">
        <f t="shared" si="2"/>
        <v>rtdc.l.rtdc.4029:itc</v>
      </c>
      <c r="G127" s="8">
        <f t="shared" si="3"/>
        <v>42647.550243055557</v>
      </c>
    </row>
    <row r="128" spans="1:7" x14ac:dyDescent="0.25">
      <c r="A128" s="8">
        <v>42647.552071759259</v>
      </c>
      <c r="B128" s="23" t="s">
        <v>275</v>
      </c>
      <c r="C128" s="23" t="s">
        <v>485</v>
      </c>
      <c r="D128" s="23">
        <v>860000</v>
      </c>
      <c r="E128" s="23" t="s">
        <v>427</v>
      </c>
      <c r="F128" s="23" t="str">
        <f t="shared" si="2"/>
        <v>rtdc.l.rtdc.4009:itc</v>
      </c>
      <c r="G128" s="8">
        <f t="shared" si="3"/>
        <v>42647.552071759259</v>
      </c>
    </row>
    <row r="129" spans="1:7" x14ac:dyDescent="0.25">
      <c r="A129" s="8">
        <v>42647.556875000002</v>
      </c>
      <c r="B129" s="23" t="s">
        <v>394</v>
      </c>
      <c r="C129" s="23" t="s">
        <v>486</v>
      </c>
      <c r="D129" s="23">
        <v>1740000</v>
      </c>
      <c r="E129" s="23" t="s">
        <v>474</v>
      </c>
      <c r="F129" s="23" t="str">
        <f t="shared" si="2"/>
        <v>rtdc.l.rtdc.4043:itc</v>
      </c>
      <c r="G129" s="8">
        <f t="shared" si="3"/>
        <v>42647.556875000002</v>
      </c>
    </row>
    <row r="130" spans="1:7" x14ac:dyDescent="0.25">
      <c r="A130" s="8">
        <v>42647.55914351852</v>
      </c>
      <c r="B130" s="23" t="s">
        <v>165</v>
      </c>
      <c r="C130" s="23" t="s">
        <v>487</v>
      </c>
      <c r="D130" s="23">
        <v>940000</v>
      </c>
      <c r="E130" s="23" t="s">
        <v>355</v>
      </c>
      <c r="F130" s="23" t="str">
        <f t="shared" ref="F130:F193" si="4">B130</f>
        <v>rtdc.l.rtdc.4025:itc</v>
      </c>
      <c r="G130" s="8">
        <f t="shared" ref="G130:G193" si="5">A130</f>
        <v>42647.55914351852</v>
      </c>
    </row>
    <row r="131" spans="1:7" x14ac:dyDescent="0.25">
      <c r="A131" s="8">
        <v>42647.568738425929</v>
      </c>
      <c r="B131" s="23" t="s">
        <v>272</v>
      </c>
      <c r="C131" s="23" t="s">
        <v>488</v>
      </c>
      <c r="D131" s="23">
        <v>2140000</v>
      </c>
      <c r="E131" s="23" t="s">
        <v>467</v>
      </c>
      <c r="F131" s="23" t="str">
        <f t="shared" si="4"/>
        <v>rtdc.l.rtdc.4053:itc</v>
      </c>
      <c r="G131" s="8">
        <f t="shared" si="5"/>
        <v>42647.568738425929</v>
      </c>
    </row>
    <row r="132" spans="1:7" x14ac:dyDescent="0.25">
      <c r="A132" s="8">
        <v>42647.569490740738</v>
      </c>
      <c r="B132" s="23" t="s">
        <v>227</v>
      </c>
      <c r="C132" s="23" t="s">
        <v>489</v>
      </c>
      <c r="D132" s="23">
        <v>2090000</v>
      </c>
      <c r="E132" s="23" t="s">
        <v>483</v>
      </c>
      <c r="F132" s="23" t="str">
        <f t="shared" si="4"/>
        <v>rtdc.l.rtdc.4017:itc</v>
      </c>
      <c r="G132" s="8">
        <f t="shared" si="5"/>
        <v>42647.569490740738</v>
      </c>
    </row>
    <row r="133" spans="1:7" x14ac:dyDescent="0.25">
      <c r="A133" s="8">
        <v>42647.569849537038</v>
      </c>
      <c r="B133" s="23" t="s">
        <v>363</v>
      </c>
      <c r="C133" s="23" t="s">
        <v>490</v>
      </c>
      <c r="D133" s="23">
        <v>1280000</v>
      </c>
      <c r="E133" s="23" t="s">
        <v>295</v>
      </c>
      <c r="F133" s="23" t="str">
        <f t="shared" si="4"/>
        <v>rtdc.l.rtdc.4008:itc</v>
      </c>
      <c r="G133" s="8">
        <f t="shared" si="5"/>
        <v>42647.569849537038</v>
      </c>
    </row>
    <row r="134" spans="1:7" x14ac:dyDescent="0.25">
      <c r="A134" s="8">
        <v>42647.570023148146</v>
      </c>
      <c r="B134" s="23" t="s">
        <v>266</v>
      </c>
      <c r="C134" s="23" t="s">
        <v>491</v>
      </c>
      <c r="D134" s="23">
        <v>860000</v>
      </c>
      <c r="E134" s="23" t="s">
        <v>427</v>
      </c>
      <c r="F134" s="23" t="str">
        <f t="shared" si="4"/>
        <v>rtdc.l.rtdc.4010:itc</v>
      </c>
      <c r="G134" s="8">
        <f t="shared" si="5"/>
        <v>42647.570023148146</v>
      </c>
    </row>
    <row r="135" spans="1:7" x14ac:dyDescent="0.25">
      <c r="A135" s="8">
        <v>42647.577106481483</v>
      </c>
      <c r="B135" s="23" t="s">
        <v>170</v>
      </c>
      <c r="C135" s="23" t="s">
        <v>492</v>
      </c>
      <c r="D135" s="23">
        <v>880000</v>
      </c>
      <c r="E135" s="23" t="s">
        <v>273</v>
      </c>
      <c r="F135" s="23" t="str">
        <f t="shared" si="4"/>
        <v>rtdc.l.rtdc.4041:itc</v>
      </c>
      <c r="G135" s="8">
        <f t="shared" si="5"/>
        <v>42647.577106481483</v>
      </c>
    </row>
    <row r="136" spans="1:7" x14ac:dyDescent="0.25">
      <c r="A136" s="8">
        <v>42647.580231481479</v>
      </c>
      <c r="B136" s="23" t="s">
        <v>268</v>
      </c>
      <c r="C136" s="23" t="s">
        <v>493</v>
      </c>
      <c r="D136" s="23">
        <v>930000</v>
      </c>
      <c r="E136" s="23" t="s">
        <v>274</v>
      </c>
      <c r="F136" s="23" t="str">
        <f t="shared" si="4"/>
        <v>rtdc.l.rtdc.4016:itc</v>
      </c>
      <c r="G136" s="8">
        <f t="shared" si="5"/>
        <v>42647.580231481479</v>
      </c>
    </row>
    <row r="137" spans="1:7" x14ac:dyDescent="0.25">
      <c r="A137" s="8">
        <v>42647.581701388888</v>
      </c>
      <c r="B137" s="23" t="s">
        <v>275</v>
      </c>
      <c r="C137" s="23" t="s">
        <v>491</v>
      </c>
      <c r="D137" s="23">
        <v>860000</v>
      </c>
      <c r="E137" s="23" t="s">
        <v>427</v>
      </c>
      <c r="F137" s="23" t="str">
        <f t="shared" si="4"/>
        <v>rtdc.l.rtdc.4009:itc</v>
      </c>
      <c r="G137" s="8">
        <f t="shared" si="5"/>
        <v>42647.581701388888</v>
      </c>
    </row>
    <row r="138" spans="1:7" x14ac:dyDescent="0.25">
      <c r="A138" s="8">
        <v>42647.584664351853</v>
      </c>
      <c r="B138" s="23" t="s">
        <v>275</v>
      </c>
      <c r="C138" s="23" t="s">
        <v>491</v>
      </c>
      <c r="D138" s="23">
        <v>860000</v>
      </c>
      <c r="E138" s="23" t="s">
        <v>427</v>
      </c>
      <c r="F138" s="23" t="str">
        <f t="shared" si="4"/>
        <v>rtdc.l.rtdc.4009:itc</v>
      </c>
      <c r="G138" s="8">
        <f t="shared" si="5"/>
        <v>42647.584664351853</v>
      </c>
    </row>
    <row r="139" spans="1:7" x14ac:dyDescent="0.25">
      <c r="A139" s="8">
        <v>42647.588055555556</v>
      </c>
      <c r="B139" s="23" t="s">
        <v>292</v>
      </c>
      <c r="C139" s="23" t="s">
        <v>494</v>
      </c>
      <c r="D139" s="23">
        <v>1540000</v>
      </c>
      <c r="E139" s="23" t="s">
        <v>356</v>
      </c>
      <c r="F139" s="23" t="str">
        <f t="shared" si="4"/>
        <v>rtdc.l.rtdc.4030:itc</v>
      </c>
      <c r="G139" s="8">
        <f t="shared" si="5"/>
        <v>42647.588055555556</v>
      </c>
    </row>
    <row r="140" spans="1:7" x14ac:dyDescent="0.25">
      <c r="A140" s="8">
        <v>42647.589618055557</v>
      </c>
      <c r="B140" s="23" t="s">
        <v>365</v>
      </c>
      <c r="C140" s="23" t="s">
        <v>495</v>
      </c>
      <c r="D140" s="23">
        <v>1740000</v>
      </c>
      <c r="E140" s="23" t="s">
        <v>474</v>
      </c>
      <c r="F140" s="23" t="str">
        <f t="shared" si="4"/>
        <v>rtdc.l.rtdc.4044:itc</v>
      </c>
      <c r="G140" s="8">
        <f t="shared" si="5"/>
        <v>42647.589618055557</v>
      </c>
    </row>
    <row r="141" spans="1:7" x14ac:dyDescent="0.25">
      <c r="A141" s="8">
        <v>42647.589953703704</v>
      </c>
      <c r="B141" s="23" t="s">
        <v>228</v>
      </c>
      <c r="C141" s="23" t="s">
        <v>496</v>
      </c>
      <c r="D141" s="23">
        <v>2090000</v>
      </c>
      <c r="E141" s="23" t="s">
        <v>483</v>
      </c>
      <c r="F141" s="23" t="str">
        <f t="shared" si="4"/>
        <v>rtdc.l.rtdc.4018:itc</v>
      </c>
      <c r="G141" s="8">
        <f t="shared" si="5"/>
        <v>42647.589953703704</v>
      </c>
    </row>
    <row r="142" spans="1:7" x14ac:dyDescent="0.25">
      <c r="A142" s="8">
        <v>42647.592326388891</v>
      </c>
      <c r="B142" s="23" t="s">
        <v>166</v>
      </c>
      <c r="C142" s="23" t="s">
        <v>497</v>
      </c>
      <c r="D142" s="23">
        <v>940000</v>
      </c>
      <c r="E142" s="23" t="s">
        <v>355</v>
      </c>
      <c r="F142" s="23" t="str">
        <f t="shared" si="4"/>
        <v>rtdc.l.rtdc.4026:itc</v>
      </c>
      <c r="G142" s="8">
        <f t="shared" si="5"/>
        <v>42647.592326388891</v>
      </c>
    </row>
    <row r="143" spans="1:7" x14ac:dyDescent="0.25">
      <c r="A143" s="8">
        <v>42647.59752314815</v>
      </c>
      <c r="B143" s="23" t="s">
        <v>266</v>
      </c>
      <c r="C143" s="23" t="s">
        <v>498</v>
      </c>
      <c r="D143" s="23">
        <v>860000</v>
      </c>
      <c r="E143" s="23" t="s">
        <v>427</v>
      </c>
      <c r="F143" s="23" t="str">
        <f t="shared" si="4"/>
        <v>rtdc.l.rtdc.4010:itc</v>
      </c>
      <c r="G143" s="8">
        <f t="shared" si="5"/>
        <v>42647.59752314815</v>
      </c>
    </row>
    <row r="144" spans="1:7" x14ac:dyDescent="0.25">
      <c r="A144" s="8">
        <v>42647.601817129631</v>
      </c>
      <c r="B144" s="23" t="s">
        <v>385</v>
      </c>
      <c r="C144" s="23" t="s">
        <v>499</v>
      </c>
      <c r="D144" s="23">
        <v>1280000</v>
      </c>
      <c r="E144" s="23" t="s">
        <v>295</v>
      </c>
      <c r="F144" s="23" t="str">
        <f t="shared" si="4"/>
        <v>rtdc.l.rtdc.4007:itc</v>
      </c>
      <c r="G144" s="8">
        <f t="shared" si="5"/>
        <v>42647.601817129631</v>
      </c>
    </row>
    <row r="145" spans="1:7" x14ac:dyDescent="0.25">
      <c r="A145" s="8">
        <v>42647.606099537035</v>
      </c>
      <c r="B145" s="23" t="s">
        <v>269</v>
      </c>
      <c r="C145" s="23" t="s">
        <v>500</v>
      </c>
      <c r="D145" s="23">
        <v>2140000</v>
      </c>
      <c r="E145" s="23" t="s">
        <v>467</v>
      </c>
      <c r="F145" s="23" t="str">
        <f t="shared" si="4"/>
        <v>rtdc.l.rtdc.4054:itc</v>
      </c>
      <c r="G145" s="8">
        <f t="shared" si="5"/>
        <v>42647.606099537035</v>
      </c>
    </row>
    <row r="146" spans="1:7" x14ac:dyDescent="0.25">
      <c r="A146" s="8">
        <v>42647.610694444447</v>
      </c>
      <c r="B146" s="23" t="s">
        <v>171</v>
      </c>
      <c r="C146" s="23" t="s">
        <v>501</v>
      </c>
      <c r="D146" s="23">
        <v>880000</v>
      </c>
      <c r="E146" s="23" t="s">
        <v>273</v>
      </c>
      <c r="F146" s="23" t="str">
        <f t="shared" si="4"/>
        <v>rtdc.l.rtdc.4042:itc</v>
      </c>
      <c r="G146" s="8">
        <f t="shared" si="5"/>
        <v>42647.610694444447</v>
      </c>
    </row>
    <row r="147" spans="1:7" x14ac:dyDescent="0.25">
      <c r="A147" s="8">
        <v>42647.611562500002</v>
      </c>
      <c r="B147" s="23" t="s">
        <v>227</v>
      </c>
      <c r="C147" s="23" t="s">
        <v>502</v>
      </c>
      <c r="D147" s="23">
        <v>2090000</v>
      </c>
      <c r="E147" s="23" t="s">
        <v>483</v>
      </c>
      <c r="F147" s="23" t="str">
        <f t="shared" si="4"/>
        <v>rtdc.l.rtdc.4017:itc</v>
      </c>
      <c r="G147" s="8">
        <f t="shared" si="5"/>
        <v>42647.611562500002</v>
      </c>
    </row>
    <row r="148" spans="1:7" x14ac:dyDescent="0.25">
      <c r="A148" s="8">
        <v>42647.616412037038</v>
      </c>
      <c r="B148" s="23" t="s">
        <v>275</v>
      </c>
      <c r="C148" s="23" t="s">
        <v>448</v>
      </c>
      <c r="D148" s="23">
        <v>860000</v>
      </c>
      <c r="E148" s="23" t="s">
        <v>427</v>
      </c>
      <c r="F148" s="23" t="str">
        <f t="shared" si="4"/>
        <v>rtdc.l.rtdc.4009:itc</v>
      </c>
      <c r="G148" s="8">
        <f t="shared" si="5"/>
        <v>42647.616412037038</v>
      </c>
    </row>
    <row r="149" spans="1:7" x14ac:dyDescent="0.25">
      <c r="A149" s="8">
        <v>42647.616666666669</v>
      </c>
      <c r="B149" s="23" t="s">
        <v>267</v>
      </c>
      <c r="C149" s="23" t="s">
        <v>503</v>
      </c>
      <c r="D149" s="23">
        <v>930000</v>
      </c>
      <c r="E149" s="23" t="s">
        <v>274</v>
      </c>
      <c r="F149" s="23" t="str">
        <f t="shared" si="4"/>
        <v>rtdc.l.rtdc.4015:itc</v>
      </c>
      <c r="G149" s="8">
        <f t="shared" si="5"/>
        <v>42647.616666666669</v>
      </c>
    </row>
    <row r="150" spans="1:7" x14ac:dyDescent="0.25">
      <c r="A150" s="8">
        <v>42647.62159722222</v>
      </c>
      <c r="B150" s="23" t="s">
        <v>222</v>
      </c>
      <c r="C150" s="23" t="s">
        <v>504</v>
      </c>
      <c r="D150" s="23">
        <v>1540000</v>
      </c>
      <c r="E150" s="23" t="s">
        <v>356</v>
      </c>
      <c r="F150" s="23" t="str">
        <f t="shared" si="4"/>
        <v>rtdc.l.rtdc.4029:itc</v>
      </c>
      <c r="G150" s="8">
        <f t="shared" si="5"/>
        <v>42647.62159722222</v>
      </c>
    </row>
    <row r="151" spans="1:7" x14ac:dyDescent="0.25">
      <c r="A151" s="8">
        <v>42647.624444444446</v>
      </c>
      <c r="B151" s="23" t="s">
        <v>394</v>
      </c>
      <c r="C151" s="23" t="s">
        <v>505</v>
      </c>
      <c r="D151" s="23">
        <v>1740000</v>
      </c>
      <c r="E151" s="23" t="s">
        <v>474</v>
      </c>
      <c r="F151" s="23" t="str">
        <f t="shared" si="4"/>
        <v>rtdc.l.rtdc.4043:itc</v>
      </c>
      <c r="G151" s="8">
        <f t="shared" si="5"/>
        <v>42647.624444444446</v>
      </c>
    </row>
    <row r="152" spans="1:7" x14ac:dyDescent="0.25">
      <c r="A152" s="8">
        <v>42647.632245370369</v>
      </c>
      <c r="B152" s="23" t="s">
        <v>165</v>
      </c>
      <c r="C152" s="23" t="s">
        <v>506</v>
      </c>
      <c r="D152" s="23">
        <v>940000</v>
      </c>
      <c r="E152" s="23" t="s">
        <v>355</v>
      </c>
      <c r="F152" s="23" t="str">
        <f t="shared" si="4"/>
        <v>rtdc.l.rtdc.4025:itc</v>
      </c>
      <c r="G152" s="8">
        <f t="shared" si="5"/>
        <v>42647.632245370369</v>
      </c>
    </row>
    <row r="153" spans="1:7" x14ac:dyDescent="0.25">
      <c r="A153" s="8">
        <v>42647.638032407405</v>
      </c>
      <c r="B153" s="23" t="s">
        <v>228</v>
      </c>
      <c r="C153" s="23" t="s">
        <v>507</v>
      </c>
      <c r="D153" s="23">
        <v>2090000</v>
      </c>
      <c r="E153" s="23" t="s">
        <v>483</v>
      </c>
      <c r="F153" s="23" t="str">
        <f t="shared" si="4"/>
        <v>rtdc.l.rtdc.4018:itc</v>
      </c>
      <c r="G153" s="8">
        <f t="shared" si="5"/>
        <v>42647.638032407405</v>
      </c>
    </row>
    <row r="154" spans="1:7" x14ac:dyDescent="0.25">
      <c r="A154" s="8">
        <v>42647.642314814817</v>
      </c>
      <c r="B154" s="23" t="s">
        <v>272</v>
      </c>
      <c r="C154" s="23" t="s">
        <v>508</v>
      </c>
      <c r="D154" s="23">
        <v>2140000</v>
      </c>
      <c r="E154" s="23" t="s">
        <v>467</v>
      </c>
      <c r="F154" s="23" t="str">
        <f t="shared" si="4"/>
        <v>rtdc.l.rtdc.4053:itc</v>
      </c>
      <c r="G154" s="8">
        <f t="shared" si="5"/>
        <v>42647.642314814817</v>
      </c>
    </row>
    <row r="155" spans="1:7" x14ac:dyDescent="0.25">
      <c r="A155" s="8">
        <v>42647.649201388886</v>
      </c>
      <c r="B155" s="23" t="s">
        <v>291</v>
      </c>
      <c r="C155" s="23" t="s">
        <v>509</v>
      </c>
      <c r="D155" s="23">
        <v>1480000</v>
      </c>
      <c r="E155" s="23" t="s">
        <v>245</v>
      </c>
      <c r="F155" s="23" t="str">
        <f t="shared" si="4"/>
        <v>rtdc.l.rtdc.4004:itc</v>
      </c>
      <c r="G155" s="8">
        <f t="shared" si="5"/>
        <v>42647.649201388886</v>
      </c>
    </row>
    <row r="156" spans="1:7" x14ac:dyDescent="0.25">
      <c r="A156" s="8">
        <v>42647.651377314818</v>
      </c>
      <c r="B156" s="23" t="s">
        <v>363</v>
      </c>
      <c r="C156" s="23" t="s">
        <v>510</v>
      </c>
      <c r="D156" s="23">
        <v>1280000</v>
      </c>
      <c r="E156" s="23" t="s">
        <v>295</v>
      </c>
      <c r="F156" s="23" t="str">
        <f t="shared" si="4"/>
        <v>rtdc.l.rtdc.4008:itc</v>
      </c>
      <c r="G156" s="8">
        <f t="shared" si="5"/>
        <v>42647.651377314818</v>
      </c>
    </row>
    <row r="157" spans="1:7" x14ac:dyDescent="0.25">
      <c r="A157" s="8">
        <v>42647.652025462965</v>
      </c>
      <c r="B157" s="23" t="s">
        <v>227</v>
      </c>
      <c r="C157" s="23" t="s">
        <v>511</v>
      </c>
      <c r="D157" s="23">
        <v>2090000</v>
      </c>
      <c r="E157" s="23" t="s">
        <v>483</v>
      </c>
      <c r="F157" s="23" t="str">
        <f t="shared" si="4"/>
        <v>rtdc.l.rtdc.4017:itc</v>
      </c>
      <c r="G157" s="8">
        <f t="shared" si="5"/>
        <v>42647.652025462965</v>
      </c>
    </row>
    <row r="158" spans="1:7" x14ac:dyDescent="0.25">
      <c r="A158" s="8">
        <v>42647.652199074073</v>
      </c>
      <c r="B158" s="23" t="s">
        <v>170</v>
      </c>
      <c r="C158" s="23" t="s">
        <v>512</v>
      </c>
      <c r="D158" s="23">
        <v>880000</v>
      </c>
      <c r="E158" s="23" t="s">
        <v>273</v>
      </c>
      <c r="F158" s="23" t="str">
        <f t="shared" si="4"/>
        <v>rtdc.l.rtdc.4041:itc</v>
      </c>
      <c r="G158" s="8">
        <f t="shared" si="5"/>
        <v>42647.652199074073</v>
      </c>
    </row>
    <row r="159" spans="1:7" x14ac:dyDescent="0.25">
      <c r="A159" s="8">
        <v>42647.653009259258</v>
      </c>
      <c r="B159" s="23" t="s">
        <v>268</v>
      </c>
      <c r="C159" s="23" t="s">
        <v>513</v>
      </c>
      <c r="D159" s="23">
        <v>930000</v>
      </c>
      <c r="E159" s="23" t="s">
        <v>274</v>
      </c>
      <c r="F159" s="23" t="str">
        <f t="shared" si="4"/>
        <v>rtdc.l.rtdc.4016:itc</v>
      </c>
      <c r="G159" s="8">
        <f t="shared" si="5"/>
        <v>42647.653009259258</v>
      </c>
    </row>
    <row r="160" spans="1:7" x14ac:dyDescent="0.25">
      <c r="A160" s="8">
        <v>42647.657534722224</v>
      </c>
      <c r="B160" s="23" t="s">
        <v>363</v>
      </c>
      <c r="C160" s="23" t="s">
        <v>510</v>
      </c>
      <c r="D160" s="23">
        <v>1280000</v>
      </c>
      <c r="E160" s="23" t="s">
        <v>295</v>
      </c>
      <c r="F160" s="23" t="str">
        <f t="shared" si="4"/>
        <v>rtdc.l.rtdc.4008:itc</v>
      </c>
      <c r="G160" s="8">
        <f t="shared" si="5"/>
        <v>42647.657534722224</v>
      </c>
    </row>
    <row r="161" spans="1:7" x14ac:dyDescent="0.25">
      <c r="A161" s="8">
        <v>42647.659837962965</v>
      </c>
      <c r="B161" s="23" t="s">
        <v>290</v>
      </c>
      <c r="C161" s="23" t="s">
        <v>514</v>
      </c>
      <c r="D161" s="23">
        <v>1480000</v>
      </c>
      <c r="E161" s="23" t="s">
        <v>245</v>
      </c>
      <c r="F161" s="23" t="str">
        <f t="shared" si="4"/>
        <v>rtdc.l.rtdc.4003:itc</v>
      </c>
      <c r="G161" s="8">
        <f t="shared" si="5"/>
        <v>42647.659837962965</v>
      </c>
    </row>
    <row r="162" spans="1:7" x14ac:dyDescent="0.25">
      <c r="A162" s="8">
        <v>42647.661030092589</v>
      </c>
      <c r="B162" s="23" t="s">
        <v>292</v>
      </c>
      <c r="C162" s="23" t="s">
        <v>515</v>
      </c>
      <c r="D162" s="23">
        <v>1540000</v>
      </c>
      <c r="E162" s="23" t="s">
        <v>356</v>
      </c>
      <c r="F162" s="23" t="str">
        <f t="shared" si="4"/>
        <v>rtdc.l.rtdc.4030:itc</v>
      </c>
      <c r="G162" s="8">
        <f t="shared" si="5"/>
        <v>42647.661030092589</v>
      </c>
    </row>
    <row r="163" spans="1:7" x14ac:dyDescent="0.25">
      <c r="A163" s="8">
        <v>42647.663495370369</v>
      </c>
      <c r="B163" s="23" t="s">
        <v>365</v>
      </c>
      <c r="C163" s="23" t="s">
        <v>516</v>
      </c>
      <c r="D163" s="23">
        <v>1740000</v>
      </c>
      <c r="E163" s="23" t="s">
        <v>474</v>
      </c>
      <c r="F163" s="23" t="str">
        <f t="shared" si="4"/>
        <v>rtdc.l.rtdc.4044:itc</v>
      </c>
      <c r="G163" s="8">
        <f t="shared" si="5"/>
        <v>42647.663495370369</v>
      </c>
    </row>
    <row r="164" spans="1:7" x14ac:dyDescent="0.25">
      <c r="A164" s="8">
        <v>42647.66951388889</v>
      </c>
      <c r="B164" s="23" t="s">
        <v>166</v>
      </c>
      <c r="C164" s="23" t="s">
        <v>517</v>
      </c>
      <c r="D164" s="23">
        <v>940000</v>
      </c>
      <c r="E164" s="23" t="s">
        <v>355</v>
      </c>
      <c r="F164" s="23" t="str">
        <f t="shared" si="4"/>
        <v>rtdc.l.rtdc.4026:itc</v>
      </c>
      <c r="G164" s="8">
        <f t="shared" si="5"/>
        <v>42647.66951388889</v>
      </c>
    </row>
    <row r="165" spans="1:7" x14ac:dyDescent="0.25">
      <c r="A165" s="8">
        <v>42647.674293981479</v>
      </c>
      <c r="B165" s="23" t="s">
        <v>291</v>
      </c>
      <c r="C165" s="23" t="s">
        <v>518</v>
      </c>
      <c r="D165" s="23">
        <v>1480000</v>
      </c>
      <c r="E165" s="23" t="s">
        <v>245</v>
      </c>
      <c r="F165" s="23" t="str">
        <f t="shared" si="4"/>
        <v>rtdc.l.rtdc.4004:itc</v>
      </c>
      <c r="G165" s="8">
        <f t="shared" si="5"/>
        <v>42647.674293981479</v>
      </c>
    </row>
    <row r="166" spans="1:7" x14ac:dyDescent="0.25">
      <c r="A166" s="8">
        <v>42647.679282407407</v>
      </c>
      <c r="B166" s="23" t="s">
        <v>228</v>
      </c>
      <c r="C166" s="23" t="s">
        <v>519</v>
      </c>
      <c r="D166" s="23">
        <v>2090000</v>
      </c>
      <c r="E166" s="23" t="s">
        <v>483</v>
      </c>
      <c r="F166" s="23" t="str">
        <f t="shared" si="4"/>
        <v>rtdc.l.rtdc.4018:itc</v>
      </c>
      <c r="G166" s="8">
        <f t="shared" si="5"/>
        <v>42647.679282407407</v>
      </c>
    </row>
    <row r="167" spans="1:7" x14ac:dyDescent="0.25">
      <c r="A167" s="8">
        <v>42647.6799537037</v>
      </c>
      <c r="B167" s="23" t="s">
        <v>385</v>
      </c>
      <c r="C167" s="23" t="s">
        <v>520</v>
      </c>
      <c r="D167" s="23">
        <v>1280000</v>
      </c>
      <c r="E167" s="23" t="s">
        <v>295</v>
      </c>
      <c r="F167" s="23" t="str">
        <f t="shared" si="4"/>
        <v>rtdc.l.rtdc.4007:itc</v>
      </c>
      <c r="G167" s="8">
        <f t="shared" si="5"/>
        <v>42647.6799537037</v>
      </c>
    </row>
    <row r="168" spans="1:7" x14ac:dyDescent="0.25">
      <c r="A168" s="8">
        <v>42647.680451388886</v>
      </c>
      <c r="B168" s="23" t="s">
        <v>269</v>
      </c>
      <c r="C168" s="23" t="s">
        <v>521</v>
      </c>
      <c r="D168" s="23">
        <v>2140000</v>
      </c>
      <c r="E168" s="23" t="s">
        <v>467</v>
      </c>
      <c r="F168" s="23" t="str">
        <f t="shared" si="4"/>
        <v>rtdc.l.rtdc.4054:itc</v>
      </c>
      <c r="G168" s="8">
        <f t="shared" si="5"/>
        <v>42647.680451388886</v>
      </c>
    </row>
    <row r="169" spans="1:7" x14ac:dyDescent="0.25">
      <c r="A169" s="8">
        <v>42647.680891203701</v>
      </c>
      <c r="B169" s="23" t="s">
        <v>291</v>
      </c>
      <c r="C169" s="23" t="s">
        <v>518</v>
      </c>
      <c r="D169" s="23">
        <v>1480000</v>
      </c>
      <c r="E169" s="23" t="s">
        <v>245</v>
      </c>
      <c r="F169" s="23" t="str">
        <f t="shared" si="4"/>
        <v>rtdc.l.rtdc.4004:itc</v>
      </c>
      <c r="G169" s="8">
        <f t="shared" si="5"/>
        <v>42647.680891203701</v>
      </c>
    </row>
    <row r="170" spans="1:7" x14ac:dyDescent="0.25">
      <c r="A170" s="8">
        <v>42647.686354166668</v>
      </c>
      <c r="B170" s="23" t="s">
        <v>171</v>
      </c>
      <c r="C170" s="23" t="s">
        <v>522</v>
      </c>
      <c r="D170" s="23">
        <v>880000</v>
      </c>
      <c r="E170" s="23" t="s">
        <v>273</v>
      </c>
      <c r="F170" s="23" t="str">
        <f t="shared" si="4"/>
        <v>rtdc.l.rtdc.4042:itc</v>
      </c>
      <c r="G170" s="8">
        <f t="shared" si="5"/>
        <v>42647.686354166668</v>
      </c>
    </row>
    <row r="171" spans="1:7" x14ac:dyDescent="0.25">
      <c r="A171" s="8">
        <v>42647.687534722223</v>
      </c>
      <c r="B171" s="23" t="s">
        <v>267</v>
      </c>
      <c r="C171" s="23" t="s">
        <v>523</v>
      </c>
      <c r="D171" s="23">
        <v>930000</v>
      </c>
      <c r="E171" s="23" t="s">
        <v>274</v>
      </c>
      <c r="F171" s="23" t="str">
        <f t="shared" si="4"/>
        <v>rtdc.l.rtdc.4015:itc</v>
      </c>
      <c r="G171" s="8">
        <f t="shared" si="5"/>
        <v>42647.687534722223</v>
      </c>
    </row>
    <row r="172" spans="1:7" x14ac:dyDescent="0.25">
      <c r="A172" s="8">
        <v>42647.693101851852</v>
      </c>
      <c r="B172" s="23" t="s">
        <v>227</v>
      </c>
      <c r="C172" s="23" t="s">
        <v>524</v>
      </c>
      <c r="D172" s="23">
        <v>2090000</v>
      </c>
      <c r="E172" s="23" t="s">
        <v>483</v>
      </c>
      <c r="F172" s="23" t="str">
        <f t="shared" si="4"/>
        <v>rtdc.l.rtdc.4017:itc</v>
      </c>
      <c r="G172" s="8">
        <f t="shared" si="5"/>
        <v>42647.693101851852</v>
      </c>
    </row>
    <row r="173" spans="1:7" x14ac:dyDescent="0.25">
      <c r="A173" s="8">
        <v>42647.695937500001</v>
      </c>
      <c r="B173" s="23" t="s">
        <v>290</v>
      </c>
      <c r="C173" s="23" t="s">
        <v>525</v>
      </c>
      <c r="D173" s="23">
        <v>1480000</v>
      </c>
      <c r="E173" s="23" t="s">
        <v>245</v>
      </c>
      <c r="F173" s="23" t="str">
        <f t="shared" si="4"/>
        <v>rtdc.l.rtdc.4003:itc</v>
      </c>
      <c r="G173" s="8">
        <f t="shared" si="5"/>
        <v>42647.695937500001</v>
      </c>
    </row>
    <row r="174" spans="1:7" x14ac:dyDescent="0.25">
      <c r="A174" s="8">
        <v>42647.69636574074</v>
      </c>
      <c r="B174" s="23" t="s">
        <v>222</v>
      </c>
      <c r="C174" s="23" t="s">
        <v>526</v>
      </c>
      <c r="D174" s="23">
        <v>1540000</v>
      </c>
      <c r="E174" s="23" t="s">
        <v>356</v>
      </c>
      <c r="F174" s="23" t="str">
        <f t="shared" si="4"/>
        <v>rtdc.l.rtdc.4029:itc</v>
      </c>
      <c r="G174" s="8">
        <f t="shared" si="5"/>
        <v>42647.69636574074</v>
      </c>
    </row>
    <row r="175" spans="1:7" x14ac:dyDescent="0.25">
      <c r="A175" s="8">
        <v>42647.69940972222</v>
      </c>
      <c r="B175" s="23" t="s">
        <v>394</v>
      </c>
      <c r="C175" s="23" t="s">
        <v>527</v>
      </c>
      <c r="D175" s="23">
        <v>1740000</v>
      </c>
      <c r="E175" s="23" t="s">
        <v>474</v>
      </c>
      <c r="F175" s="23" t="str">
        <f t="shared" si="4"/>
        <v>rtdc.l.rtdc.4043:itc</v>
      </c>
      <c r="G175" s="8">
        <f t="shared" si="5"/>
        <v>42647.69940972222</v>
      </c>
    </row>
    <row r="176" spans="1:7" x14ac:dyDescent="0.25">
      <c r="A176" s="8">
        <v>42647.703819444447</v>
      </c>
      <c r="B176" s="23" t="s">
        <v>165</v>
      </c>
      <c r="C176" s="23" t="s">
        <v>528</v>
      </c>
      <c r="D176" s="23">
        <v>940000</v>
      </c>
      <c r="E176" s="23" t="s">
        <v>355</v>
      </c>
      <c r="F176" s="23" t="str">
        <f t="shared" si="4"/>
        <v>rtdc.l.rtdc.4025:itc</v>
      </c>
      <c r="G176" s="8">
        <f t="shared" si="5"/>
        <v>42647.703819444447</v>
      </c>
    </row>
    <row r="177" spans="1:7" x14ac:dyDescent="0.25">
      <c r="A177" s="8">
        <v>42647.708437499998</v>
      </c>
      <c r="B177" s="23" t="s">
        <v>363</v>
      </c>
      <c r="C177" s="23" t="s">
        <v>529</v>
      </c>
      <c r="D177" s="23">
        <v>1280000</v>
      </c>
      <c r="E177" s="23" t="s">
        <v>295</v>
      </c>
      <c r="F177" s="23" t="str">
        <f t="shared" si="4"/>
        <v>rtdc.l.rtdc.4008:itc</v>
      </c>
      <c r="G177" s="8">
        <f t="shared" si="5"/>
        <v>42647.708437499998</v>
      </c>
    </row>
    <row r="178" spans="1:7" x14ac:dyDescent="0.25">
      <c r="A178" s="8">
        <v>42647.714953703704</v>
      </c>
      <c r="B178" s="23" t="s">
        <v>291</v>
      </c>
      <c r="C178" s="23" t="s">
        <v>530</v>
      </c>
      <c r="D178" s="23">
        <v>1480000</v>
      </c>
      <c r="E178" s="23" t="s">
        <v>245</v>
      </c>
      <c r="F178" s="23" t="str">
        <f t="shared" si="4"/>
        <v>rtdc.l.rtdc.4004:itc</v>
      </c>
      <c r="G178" s="8">
        <f t="shared" si="5"/>
        <v>42647.714953703704</v>
      </c>
    </row>
    <row r="179" spans="1:7" x14ac:dyDescent="0.25">
      <c r="A179" s="8">
        <v>42647.718055555553</v>
      </c>
      <c r="B179" s="23" t="s">
        <v>228</v>
      </c>
      <c r="C179" s="23" t="s">
        <v>531</v>
      </c>
      <c r="D179" s="23">
        <v>2090000</v>
      </c>
      <c r="E179" s="23" t="s">
        <v>483</v>
      </c>
      <c r="F179" s="23" t="str">
        <f t="shared" si="4"/>
        <v>rtdc.l.rtdc.4018:itc</v>
      </c>
      <c r="G179" s="8">
        <f t="shared" si="5"/>
        <v>42647.718055555553</v>
      </c>
    </row>
    <row r="180" spans="1:7" x14ac:dyDescent="0.25">
      <c r="A180" s="8">
        <v>42647.718194444446</v>
      </c>
      <c r="B180" s="23" t="s">
        <v>272</v>
      </c>
      <c r="C180" s="23" t="s">
        <v>532</v>
      </c>
      <c r="D180" s="23">
        <v>1180000</v>
      </c>
      <c r="E180" s="23" t="s">
        <v>231</v>
      </c>
      <c r="F180" s="23" t="str">
        <f t="shared" si="4"/>
        <v>rtdc.l.rtdc.4053:itc</v>
      </c>
      <c r="G180" s="8">
        <f t="shared" si="5"/>
        <v>42647.718194444446</v>
      </c>
    </row>
    <row r="181" spans="1:7" x14ac:dyDescent="0.25">
      <c r="A181" s="8">
        <v>42647.718993055554</v>
      </c>
      <c r="B181" s="23" t="s">
        <v>353</v>
      </c>
      <c r="C181" s="23" t="s">
        <v>533</v>
      </c>
      <c r="D181" s="23">
        <v>1290000</v>
      </c>
      <c r="E181" s="23" t="s">
        <v>167</v>
      </c>
      <c r="F181" s="23" t="str">
        <f t="shared" si="4"/>
        <v>rtdc.l.rtdc.4021:itc</v>
      </c>
      <c r="G181" s="8">
        <f t="shared" si="5"/>
        <v>42647.718993055554</v>
      </c>
    </row>
    <row r="182" spans="1:7" x14ac:dyDescent="0.25">
      <c r="A182" s="8">
        <v>42647.722881944443</v>
      </c>
      <c r="B182" s="23" t="s">
        <v>170</v>
      </c>
      <c r="C182" s="23" t="s">
        <v>534</v>
      </c>
      <c r="D182" s="23">
        <v>880000</v>
      </c>
      <c r="E182" s="23" t="s">
        <v>273</v>
      </c>
      <c r="F182" s="23" t="str">
        <f t="shared" si="4"/>
        <v>rtdc.l.rtdc.4041:itc</v>
      </c>
      <c r="G182" s="8">
        <f t="shared" si="5"/>
        <v>42647.722881944443</v>
      </c>
    </row>
    <row r="183" spans="1:7" x14ac:dyDescent="0.25">
      <c r="A183" s="8">
        <v>42647.728750000002</v>
      </c>
      <c r="B183" s="23" t="s">
        <v>268</v>
      </c>
      <c r="C183" s="23" t="s">
        <v>535</v>
      </c>
      <c r="D183" s="23">
        <v>930000</v>
      </c>
      <c r="E183" s="23" t="s">
        <v>274</v>
      </c>
      <c r="F183" s="23" t="str">
        <f t="shared" si="4"/>
        <v>rtdc.l.rtdc.4016:itc</v>
      </c>
      <c r="G183" s="8">
        <f t="shared" si="5"/>
        <v>42647.728750000002</v>
      </c>
    </row>
    <row r="184" spans="1:7" x14ac:dyDescent="0.25">
      <c r="A184" s="8">
        <v>42647.732314814813</v>
      </c>
      <c r="B184" s="23" t="s">
        <v>290</v>
      </c>
      <c r="C184" s="23" t="s">
        <v>536</v>
      </c>
      <c r="D184" s="23">
        <v>1480000</v>
      </c>
      <c r="E184" s="23" t="s">
        <v>245</v>
      </c>
      <c r="F184" s="23" t="str">
        <f t="shared" si="4"/>
        <v>rtdc.l.rtdc.4003:itc</v>
      </c>
      <c r="G184" s="8">
        <f t="shared" si="5"/>
        <v>42647.732314814813</v>
      </c>
    </row>
    <row r="185" spans="1:7" x14ac:dyDescent="0.25">
      <c r="A185" s="8">
        <v>42647.733275462961</v>
      </c>
      <c r="B185" s="23" t="s">
        <v>292</v>
      </c>
      <c r="C185" s="23" t="s">
        <v>537</v>
      </c>
      <c r="D185" s="23">
        <v>1540000</v>
      </c>
      <c r="E185" s="23" t="s">
        <v>356</v>
      </c>
      <c r="F185" s="23" t="str">
        <f t="shared" si="4"/>
        <v>rtdc.l.rtdc.4030:itc</v>
      </c>
      <c r="G185" s="8">
        <f t="shared" si="5"/>
        <v>42647.733275462961</v>
      </c>
    </row>
    <row r="186" spans="1:7" x14ac:dyDescent="0.25">
      <c r="A186" s="8">
        <v>42647.734131944446</v>
      </c>
      <c r="B186" s="23" t="s">
        <v>292</v>
      </c>
      <c r="C186" s="23" t="s">
        <v>537</v>
      </c>
      <c r="D186" s="23">
        <v>1540000</v>
      </c>
      <c r="E186" s="23" t="s">
        <v>356</v>
      </c>
      <c r="F186" s="23" t="str">
        <f t="shared" si="4"/>
        <v>rtdc.l.rtdc.4030:itc</v>
      </c>
      <c r="G186" s="8">
        <f t="shared" si="5"/>
        <v>42647.734131944446</v>
      </c>
    </row>
    <row r="187" spans="1:7" x14ac:dyDescent="0.25">
      <c r="A187" s="8">
        <v>42647.734652777777</v>
      </c>
      <c r="B187" s="23" t="s">
        <v>227</v>
      </c>
      <c r="C187" s="23" t="s">
        <v>538</v>
      </c>
      <c r="D187" s="23">
        <v>2090000</v>
      </c>
      <c r="E187" s="23" t="s">
        <v>483</v>
      </c>
      <c r="F187" s="23" t="str">
        <f t="shared" si="4"/>
        <v>rtdc.l.rtdc.4017:itc</v>
      </c>
      <c r="G187" s="8">
        <f t="shared" si="5"/>
        <v>42647.734652777777</v>
      </c>
    </row>
    <row r="188" spans="1:7" x14ac:dyDescent="0.25">
      <c r="A188" s="8">
        <v>42647.737291666665</v>
      </c>
      <c r="B188" s="23" t="s">
        <v>365</v>
      </c>
      <c r="C188" s="23" t="s">
        <v>539</v>
      </c>
      <c r="D188" s="23">
        <v>1290000</v>
      </c>
      <c r="E188" s="23" t="s">
        <v>167</v>
      </c>
      <c r="F188" s="23" t="str">
        <f t="shared" si="4"/>
        <v>rtdc.l.rtdc.4044:itc</v>
      </c>
      <c r="G188" s="8">
        <f t="shared" si="5"/>
        <v>42647.737291666665</v>
      </c>
    </row>
    <row r="189" spans="1:7" x14ac:dyDescent="0.25">
      <c r="A189" s="8">
        <v>42647.739108796297</v>
      </c>
      <c r="B189" s="23" t="s">
        <v>166</v>
      </c>
      <c r="C189" s="23" t="s">
        <v>540</v>
      </c>
      <c r="D189" s="23">
        <v>940000</v>
      </c>
      <c r="E189" s="23" t="s">
        <v>355</v>
      </c>
      <c r="F189" s="23" t="str">
        <f t="shared" si="4"/>
        <v>rtdc.l.rtdc.4026:itc</v>
      </c>
      <c r="G189" s="8">
        <f t="shared" si="5"/>
        <v>42647.739108796297</v>
      </c>
    </row>
    <row r="190" spans="1:7" x14ac:dyDescent="0.25">
      <c r="A190" s="8">
        <v>42647.741087962961</v>
      </c>
      <c r="B190" s="23" t="s">
        <v>271</v>
      </c>
      <c r="C190" s="23" t="s">
        <v>541</v>
      </c>
      <c r="D190" s="23">
        <v>2150000</v>
      </c>
      <c r="E190" s="23" t="s">
        <v>542</v>
      </c>
      <c r="F190" s="23" t="str">
        <f t="shared" si="4"/>
        <v>rtdc.l.rtdc.4031:itc</v>
      </c>
      <c r="G190" s="8">
        <f t="shared" si="5"/>
        <v>42647.741087962961</v>
      </c>
    </row>
    <row r="191" spans="1:7" x14ac:dyDescent="0.25">
      <c r="A191" s="8">
        <v>42647.745682870373</v>
      </c>
      <c r="B191" s="23" t="s">
        <v>385</v>
      </c>
      <c r="C191" s="23" t="s">
        <v>543</v>
      </c>
      <c r="D191" s="23">
        <v>1740000</v>
      </c>
      <c r="E191" s="23" t="s">
        <v>474</v>
      </c>
      <c r="F191" s="23" t="str">
        <f t="shared" si="4"/>
        <v>rtdc.l.rtdc.4007:itc</v>
      </c>
      <c r="G191" s="8">
        <f t="shared" si="5"/>
        <v>42647.745682870373</v>
      </c>
    </row>
    <row r="192" spans="1:7" x14ac:dyDescent="0.25">
      <c r="A192" s="8">
        <v>42647.74858796296</v>
      </c>
      <c r="B192" s="23" t="s">
        <v>354</v>
      </c>
      <c r="C192" s="23" t="s">
        <v>544</v>
      </c>
      <c r="D192" s="23">
        <v>1280000</v>
      </c>
      <c r="E192" s="23" t="s">
        <v>295</v>
      </c>
      <c r="F192" s="23" t="str">
        <f t="shared" si="4"/>
        <v>rtdc.l.rtdc.4022:itc</v>
      </c>
      <c r="G192" s="8">
        <f t="shared" si="5"/>
        <v>42647.74858796296</v>
      </c>
    </row>
    <row r="193" spans="1:7" x14ac:dyDescent="0.25">
      <c r="A193" s="8">
        <v>42647.750625000001</v>
      </c>
      <c r="B193" s="23" t="s">
        <v>269</v>
      </c>
      <c r="C193" s="23" t="s">
        <v>545</v>
      </c>
      <c r="D193" s="23">
        <v>1180000</v>
      </c>
      <c r="E193" s="23" t="s">
        <v>231</v>
      </c>
      <c r="F193" s="23" t="str">
        <f t="shared" si="4"/>
        <v>rtdc.l.rtdc.4054:itc</v>
      </c>
      <c r="G193" s="8">
        <f t="shared" si="5"/>
        <v>42647.750625000001</v>
      </c>
    </row>
    <row r="194" spans="1:7" x14ac:dyDescent="0.25">
      <c r="A194" s="8">
        <v>42647.756180555552</v>
      </c>
      <c r="B194" s="23" t="s">
        <v>236</v>
      </c>
      <c r="C194" s="23" t="s">
        <v>546</v>
      </c>
      <c r="D194" s="23">
        <v>1800000</v>
      </c>
      <c r="E194" s="23" t="s">
        <v>276</v>
      </c>
      <c r="F194" s="23" t="str">
        <f t="shared" ref="F194:F235" si="6">B194</f>
        <v>rtdc.l.rtdc.4005:itc</v>
      </c>
      <c r="G194" s="8">
        <f t="shared" ref="G194:G235" si="7">A194</f>
        <v>42647.756180555552</v>
      </c>
    </row>
    <row r="195" spans="1:7" x14ac:dyDescent="0.25">
      <c r="A195" s="8">
        <v>42647.756782407407</v>
      </c>
      <c r="B195" s="23" t="s">
        <v>291</v>
      </c>
      <c r="C195" s="23" t="s">
        <v>547</v>
      </c>
      <c r="D195" s="23">
        <v>1480000</v>
      </c>
      <c r="E195" s="23" t="s">
        <v>245</v>
      </c>
      <c r="F195" s="23" t="str">
        <f t="shared" si="6"/>
        <v>rtdc.l.rtdc.4004:itc</v>
      </c>
      <c r="G195" s="8">
        <f t="shared" si="7"/>
        <v>42647.756782407407</v>
      </c>
    </row>
    <row r="196" spans="1:7" x14ac:dyDescent="0.25">
      <c r="A196" s="8">
        <v>42647.757164351853</v>
      </c>
      <c r="B196" s="23" t="s">
        <v>171</v>
      </c>
      <c r="C196" s="23" t="s">
        <v>548</v>
      </c>
      <c r="D196" s="23">
        <v>1230000</v>
      </c>
      <c r="E196" s="23" t="s">
        <v>549</v>
      </c>
      <c r="F196" s="23" t="str">
        <f t="shared" si="6"/>
        <v>rtdc.l.rtdc.4042:itc</v>
      </c>
      <c r="G196" s="8">
        <f t="shared" si="7"/>
        <v>42647.757164351853</v>
      </c>
    </row>
    <row r="197" spans="1:7" x14ac:dyDescent="0.25">
      <c r="A197" s="8">
        <v>42647.762291666666</v>
      </c>
      <c r="B197" s="23" t="s">
        <v>228</v>
      </c>
      <c r="C197" s="23" t="s">
        <v>550</v>
      </c>
      <c r="D197" s="23">
        <v>2090000</v>
      </c>
      <c r="E197" s="23" t="s">
        <v>483</v>
      </c>
      <c r="F197" s="23" t="str">
        <f t="shared" si="6"/>
        <v>rtdc.l.rtdc.4018:itc</v>
      </c>
      <c r="G197" s="8">
        <f t="shared" si="7"/>
        <v>42647.762291666666</v>
      </c>
    </row>
    <row r="198" spans="1:7" x14ac:dyDescent="0.25">
      <c r="A198" s="8">
        <v>42647.762986111113</v>
      </c>
      <c r="B198" s="23" t="s">
        <v>267</v>
      </c>
      <c r="C198" s="23" t="s">
        <v>551</v>
      </c>
      <c r="D198" s="23">
        <v>2140000</v>
      </c>
      <c r="E198" s="23" t="s">
        <v>467</v>
      </c>
      <c r="F198" s="23" t="str">
        <f t="shared" si="6"/>
        <v>rtdc.l.rtdc.4015:itc</v>
      </c>
      <c r="G198" s="8">
        <f t="shared" si="7"/>
        <v>42647.762986111113</v>
      </c>
    </row>
    <row r="199" spans="1:7" x14ac:dyDescent="0.25">
      <c r="A199" s="8">
        <v>42647.770196759258</v>
      </c>
      <c r="B199" s="23" t="s">
        <v>237</v>
      </c>
      <c r="C199" s="23" t="s">
        <v>552</v>
      </c>
      <c r="D199" s="23">
        <v>1540000</v>
      </c>
      <c r="E199" s="23" t="s">
        <v>356</v>
      </c>
      <c r="F199" s="23" t="str">
        <f t="shared" si="6"/>
        <v>rtdc.l.rtdc.4006:itc</v>
      </c>
      <c r="G199" s="8">
        <f t="shared" si="7"/>
        <v>42647.770196759258</v>
      </c>
    </row>
    <row r="200" spans="1:7" x14ac:dyDescent="0.25">
      <c r="A200" s="8">
        <v>42647.771307870367</v>
      </c>
      <c r="B200" s="23" t="s">
        <v>222</v>
      </c>
      <c r="C200" s="23" t="s">
        <v>553</v>
      </c>
      <c r="D200" s="23">
        <v>1800000</v>
      </c>
      <c r="E200" s="23" t="s">
        <v>276</v>
      </c>
      <c r="F200" s="23" t="str">
        <f t="shared" si="6"/>
        <v>rtdc.l.rtdc.4029:itc</v>
      </c>
      <c r="G200" s="8">
        <f t="shared" si="7"/>
        <v>42647.771307870367</v>
      </c>
    </row>
    <row r="201" spans="1:7" x14ac:dyDescent="0.25">
      <c r="A201" s="8">
        <v>42647.772650462961</v>
      </c>
      <c r="B201" s="23" t="s">
        <v>394</v>
      </c>
      <c r="C201" s="23" t="s">
        <v>554</v>
      </c>
      <c r="D201" s="23">
        <v>1290000</v>
      </c>
      <c r="E201" s="23" t="s">
        <v>167</v>
      </c>
      <c r="F201" s="23" t="str">
        <f t="shared" si="6"/>
        <v>rtdc.l.rtdc.4043:itc</v>
      </c>
      <c r="G201" s="8">
        <f t="shared" si="7"/>
        <v>42647.772650462961</v>
      </c>
    </row>
    <row r="202" spans="1:7" x14ac:dyDescent="0.25">
      <c r="A202" s="29">
        <v>42647.776331018518</v>
      </c>
      <c r="B202" s="23" t="s">
        <v>227</v>
      </c>
      <c r="C202" s="23" t="s">
        <v>555</v>
      </c>
      <c r="D202" s="23">
        <v>2090000</v>
      </c>
      <c r="E202" s="23" t="s">
        <v>483</v>
      </c>
      <c r="F202" s="23" t="str">
        <f t="shared" si="6"/>
        <v>rtdc.l.rtdc.4017:itc</v>
      </c>
      <c r="G202" s="8">
        <f t="shared" si="7"/>
        <v>42647.776331018518</v>
      </c>
    </row>
    <row r="203" spans="1:7" x14ac:dyDescent="0.25">
      <c r="A203" s="8">
        <v>42647.776886574073</v>
      </c>
      <c r="B203" s="23" t="s">
        <v>266</v>
      </c>
      <c r="C203" s="23" t="s">
        <v>556</v>
      </c>
      <c r="D203" s="23">
        <v>120000</v>
      </c>
      <c r="E203" s="23" t="s">
        <v>357</v>
      </c>
      <c r="F203" s="23" t="str">
        <f t="shared" si="6"/>
        <v>rtdc.l.rtdc.4010:itc</v>
      </c>
      <c r="G203" s="8">
        <f t="shared" si="7"/>
        <v>42647.776886574073</v>
      </c>
    </row>
    <row r="204" spans="1:7" x14ac:dyDescent="0.25">
      <c r="A204" s="8">
        <v>42647.779421296298</v>
      </c>
      <c r="B204" s="23" t="s">
        <v>165</v>
      </c>
      <c r="C204" s="23" t="s">
        <v>557</v>
      </c>
      <c r="D204" s="23">
        <v>940000</v>
      </c>
      <c r="E204" s="23" t="s">
        <v>355</v>
      </c>
      <c r="F204" s="23" t="str">
        <f t="shared" si="6"/>
        <v>rtdc.l.rtdc.4025:itc</v>
      </c>
      <c r="G204" s="8">
        <f t="shared" si="7"/>
        <v>42647.779421296298</v>
      </c>
    </row>
    <row r="205" spans="1:7" x14ac:dyDescent="0.25">
      <c r="A205" s="8">
        <v>42647.781111111108</v>
      </c>
      <c r="B205" s="23" t="s">
        <v>290</v>
      </c>
      <c r="C205" s="23" t="s">
        <v>558</v>
      </c>
      <c r="D205" s="23">
        <v>1480000</v>
      </c>
      <c r="E205" s="23" t="s">
        <v>245</v>
      </c>
      <c r="F205" s="23" t="str">
        <f t="shared" si="6"/>
        <v>rtdc.l.rtdc.4003:itc</v>
      </c>
      <c r="G205" s="8">
        <f t="shared" si="7"/>
        <v>42647.781111111108</v>
      </c>
    </row>
    <row r="206" spans="1:7" x14ac:dyDescent="0.25">
      <c r="A206" s="8">
        <v>42647.782824074071</v>
      </c>
      <c r="B206" s="23" t="s">
        <v>267</v>
      </c>
      <c r="C206" s="23" t="s">
        <v>551</v>
      </c>
      <c r="D206" s="23">
        <v>2140000</v>
      </c>
      <c r="E206" s="23" t="s">
        <v>467</v>
      </c>
      <c r="F206" s="23" t="str">
        <f t="shared" si="6"/>
        <v>rtdc.l.rtdc.4015:itc</v>
      </c>
      <c r="G206" s="8">
        <f t="shared" si="7"/>
        <v>42647.782824074071</v>
      </c>
    </row>
    <row r="207" spans="1:7" x14ac:dyDescent="0.25">
      <c r="A207" s="8">
        <v>42647.783680555556</v>
      </c>
      <c r="B207" s="23" t="s">
        <v>363</v>
      </c>
      <c r="C207" s="23" t="s">
        <v>559</v>
      </c>
      <c r="D207" s="23">
        <v>1740000</v>
      </c>
      <c r="E207" s="23" t="s">
        <v>474</v>
      </c>
      <c r="F207" s="23" t="str">
        <f t="shared" si="6"/>
        <v>rtdc.l.rtdc.4008:itc</v>
      </c>
      <c r="G207" s="8">
        <f t="shared" si="7"/>
        <v>42647.783680555556</v>
      </c>
    </row>
    <row r="208" spans="1:7" x14ac:dyDescent="0.25">
      <c r="A208" s="8">
        <v>42647.787546296298</v>
      </c>
      <c r="B208" s="23" t="s">
        <v>272</v>
      </c>
      <c r="C208" s="23" t="s">
        <v>560</v>
      </c>
      <c r="D208" s="23">
        <v>1180000</v>
      </c>
      <c r="E208" s="23" t="s">
        <v>231</v>
      </c>
      <c r="F208" s="23" t="str">
        <f t="shared" si="6"/>
        <v>rtdc.l.rtdc.4053:itc</v>
      </c>
      <c r="G208" s="8">
        <f t="shared" si="7"/>
        <v>42647.787546296298</v>
      </c>
    </row>
    <row r="209" spans="1:7" x14ac:dyDescent="0.25">
      <c r="A209" s="8">
        <v>42647.787719907406</v>
      </c>
      <c r="B209" s="23" t="s">
        <v>267</v>
      </c>
      <c r="C209" s="23" t="s">
        <v>551</v>
      </c>
      <c r="D209" s="23">
        <v>2140000</v>
      </c>
      <c r="E209" s="23" t="s">
        <v>467</v>
      </c>
      <c r="F209" s="23" t="str">
        <f t="shared" si="6"/>
        <v>rtdc.l.rtdc.4015:itc</v>
      </c>
      <c r="G209" s="8">
        <f t="shared" si="7"/>
        <v>42647.787719907406</v>
      </c>
    </row>
    <row r="210" spans="1:7" x14ac:dyDescent="0.25">
      <c r="A210" s="8">
        <v>42647.795243055552</v>
      </c>
      <c r="B210" s="23" t="s">
        <v>170</v>
      </c>
      <c r="C210" s="23" t="s">
        <v>561</v>
      </c>
      <c r="D210" s="23">
        <v>1230000</v>
      </c>
      <c r="E210" s="23" t="s">
        <v>549</v>
      </c>
      <c r="F210" s="23" t="str">
        <f t="shared" si="6"/>
        <v>rtdc.l.rtdc.4041:itc</v>
      </c>
      <c r="G210" s="8">
        <f t="shared" si="7"/>
        <v>42647.795243055552</v>
      </c>
    </row>
    <row r="211" spans="1:7" x14ac:dyDescent="0.25">
      <c r="A211" s="8">
        <v>42647.798773148148</v>
      </c>
      <c r="B211" s="23" t="s">
        <v>291</v>
      </c>
      <c r="C211" s="23" t="s">
        <v>562</v>
      </c>
      <c r="D211" s="23">
        <v>1480000</v>
      </c>
      <c r="E211" s="23" t="s">
        <v>245</v>
      </c>
      <c r="F211" s="23" t="str">
        <f t="shared" si="6"/>
        <v>rtdc.l.rtdc.4004:itc</v>
      </c>
      <c r="G211" s="8">
        <f t="shared" si="7"/>
        <v>42647.798773148148</v>
      </c>
    </row>
    <row r="212" spans="1:7" x14ac:dyDescent="0.25">
      <c r="A212" s="8">
        <v>42647.804583333331</v>
      </c>
      <c r="B212" s="23" t="s">
        <v>228</v>
      </c>
      <c r="C212" s="23" t="s">
        <v>563</v>
      </c>
      <c r="D212" s="23">
        <v>2090000</v>
      </c>
      <c r="E212" s="23" t="s">
        <v>483</v>
      </c>
      <c r="F212" s="23" t="str">
        <f t="shared" si="6"/>
        <v>rtdc.l.rtdc.4018:itc</v>
      </c>
      <c r="G212" s="8">
        <f t="shared" si="7"/>
        <v>42647.804583333331</v>
      </c>
    </row>
    <row r="213" spans="1:7" x14ac:dyDescent="0.25">
      <c r="A213" s="8">
        <v>42647.804780092592</v>
      </c>
      <c r="B213" s="23" t="s">
        <v>292</v>
      </c>
      <c r="C213" s="23" t="s">
        <v>564</v>
      </c>
      <c r="D213" s="23">
        <v>1800000</v>
      </c>
      <c r="E213" s="23" t="s">
        <v>276</v>
      </c>
      <c r="F213" s="23" t="str">
        <f t="shared" si="6"/>
        <v>rtdc.l.rtdc.4030:itc</v>
      </c>
      <c r="G213" s="8">
        <f t="shared" si="7"/>
        <v>42647.804780092592</v>
      </c>
    </row>
    <row r="214" spans="1:7" x14ac:dyDescent="0.25">
      <c r="A214" s="8">
        <v>42647.806585648148</v>
      </c>
      <c r="B214" s="23" t="s">
        <v>268</v>
      </c>
      <c r="C214" s="23" t="s">
        <v>565</v>
      </c>
      <c r="D214" s="23">
        <v>930000</v>
      </c>
      <c r="E214" s="23" t="s">
        <v>274</v>
      </c>
      <c r="F214" s="23" t="str">
        <f t="shared" si="6"/>
        <v>rtdc.l.rtdc.4016:itc</v>
      </c>
      <c r="G214" s="8">
        <f t="shared" si="7"/>
        <v>42647.806585648148</v>
      </c>
    </row>
    <row r="215" spans="1:7" x14ac:dyDescent="0.25">
      <c r="A215" s="8">
        <v>42647.810486111113</v>
      </c>
      <c r="B215" s="23" t="s">
        <v>365</v>
      </c>
      <c r="C215" s="23" t="s">
        <v>566</v>
      </c>
      <c r="D215" s="23">
        <v>1290000</v>
      </c>
      <c r="E215" s="23" t="s">
        <v>167</v>
      </c>
      <c r="F215" s="23" t="str">
        <f t="shared" si="6"/>
        <v>rtdc.l.rtdc.4044:itc</v>
      </c>
      <c r="G215" s="8">
        <f t="shared" si="7"/>
        <v>42647.810486111113</v>
      </c>
    </row>
    <row r="216" spans="1:7" x14ac:dyDescent="0.25">
      <c r="A216" s="8">
        <v>42647.818055555559</v>
      </c>
      <c r="B216" s="23" t="s">
        <v>227</v>
      </c>
      <c r="C216" s="23" t="s">
        <v>567</v>
      </c>
      <c r="D216" s="23">
        <v>2090000</v>
      </c>
      <c r="E216" s="23" t="s">
        <v>483</v>
      </c>
      <c r="F216" s="23" t="str">
        <f t="shared" si="6"/>
        <v>rtdc.l.rtdc.4017:itc</v>
      </c>
      <c r="G216" s="8">
        <f t="shared" si="7"/>
        <v>42647.818055555559</v>
      </c>
    </row>
    <row r="217" spans="1:7" x14ac:dyDescent="0.25">
      <c r="A217" s="8">
        <v>42647.823368055557</v>
      </c>
      <c r="B217" s="23" t="s">
        <v>385</v>
      </c>
      <c r="C217" s="23" t="s">
        <v>568</v>
      </c>
      <c r="D217" s="23">
        <v>1740000</v>
      </c>
      <c r="E217" s="23" t="s">
        <v>474</v>
      </c>
      <c r="F217" s="23" t="str">
        <f t="shared" si="6"/>
        <v>rtdc.l.rtdc.4007:itc</v>
      </c>
      <c r="G217" s="8">
        <f t="shared" si="7"/>
        <v>42647.823368055557</v>
      </c>
    </row>
    <row r="218" spans="1:7" x14ac:dyDescent="0.25">
      <c r="A218" s="8">
        <v>42647.823460648149</v>
      </c>
      <c r="B218" s="23" t="s">
        <v>269</v>
      </c>
      <c r="C218" s="23" t="s">
        <v>569</v>
      </c>
      <c r="D218" s="23">
        <v>1180000</v>
      </c>
      <c r="E218" s="23" t="s">
        <v>231</v>
      </c>
      <c r="F218" s="23" t="str">
        <f t="shared" si="6"/>
        <v>rtdc.l.rtdc.4054:itc</v>
      </c>
      <c r="G218" s="8">
        <f t="shared" si="7"/>
        <v>42647.823460648149</v>
      </c>
    </row>
    <row r="219" spans="1:7" x14ac:dyDescent="0.25">
      <c r="A219" s="8">
        <v>42647.832465277781</v>
      </c>
      <c r="B219" s="23" t="s">
        <v>171</v>
      </c>
      <c r="C219" s="23" t="s">
        <v>570</v>
      </c>
      <c r="D219" s="23">
        <v>1230000</v>
      </c>
      <c r="E219" s="23" t="s">
        <v>549</v>
      </c>
      <c r="F219" s="23" t="str">
        <f t="shared" si="6"/>
        <v>rtdc.l.rtdc.4042:itc</v>
      </c>
      <c r="G219" s="8">
        <f t="shared" si="7"/>
        <v>42647.832465277781</v>
      </c>
    </row>
    <row r="220" spans="1:7" x14ac:dyDescent="0.25">
      <c r="A220" s="8">
        <v>42647.846331018518</v>
      </c>
      <c r="B220" s="23" t="s">
        <v>228</v>
      </c>
      <c r="C220" s="23" t="s">
        <v>571</v>
      </c>
      <c r="D220" s="23">
        <v>2090000</v>
      </c>
      <c r="E220" s="23" t="s">
        <v>483</v>
      </c>
      <c r="F220" s="23" t="str">
        <f t="shared" si="6"/>
        <v>rtdc.l.rtdc.4018:itc</v>
      </c>
      <c r="G220" s="8">
        <f t="shared" si="7"/>
        <v>42647.846331018518</v>
      </c>
    </row>
    <row r="221" spans="1:7" x14ac:dyDescent="0.25">
      <c r="A221" s="8">
        <v>42647.847002314818</v>
      </c>
      <c r="B221" s="23" t="s">
        <v>394</v>
      </c>
      <c r="C221" s="23" t="s">
        <v>572</v>
      </c>
      <c r="D221" s="23">
        <v>1290000</v>
      </c>
      <c r="E221" s="23" t="s">
        <v>167</v>
      </c>
      <c r="F221" s="23" t="str">
        <f t="shared" si="6"/>
        <v>rtdc.l.rtdc.4043:itc</v>
      </c>
      <c r="G221" s="8">
        <f t="shared" si="7"/>
        <v>42647.847002314818</v>
      </c>
    </row>
    <row r="222" spans="1:7" x14ac:dyDescent="0.25">
      <c r="A222" s="8">
        <v>42647.853217592594</v>
      </c>
      <c r="B222" s="23" t="s">
        <v>222</v>
      </c>
      <c r="C222" s="23" t="s">
        <v>573</v>
      </c>
      <c r="D222" s="23">
        <v>1800000</v>
      </c>
      <c r="E222" s="23" t="s">
        <v>276</v>
      </c>
      <c r="F222" s="23" t="str">
        <f t="shared" si="6"/>
        <v>rtdc.l.rtdc.4029:itc</v>
      </c>
      <c r="G222" s="8">
        <f t="shared" si="7"/>
        <v>42647.853217592594</v>
      </c>
    </row>
    <row r="223" spans="1:7" x14ac:dyDescent="0.25">
      <c r="A223" s="8">
        <v>42647.859583333331</v>
      </c>
      <c r="B223" s="23" t="s">
        <v>227</v>
      </c>
      <c r="C223" s="23" t="s">
        <v>574</v>
      </c>
      <c r="D223" s="23">
        <v>2090000</v>
      </c>
      <c r="E223" s="23" t="s">
        <v>483</v>
      </c>
      <c r="F223" s="23" t="str">
        <f t="shared" si="6"/>
        <v>rtdc.l.rtdc.4017:itc</v>
      </c>
      <c r="G223" s="8">
        <f t="shared" si="7"/>
        <v>42647.859583333331</v>
      </c>
    </row>
    <row r="224" spans="1:7" x14ac:dyDescent="0.25">
      <c r="A224" s="8">
        <v>42647.869537037041</v>
      </c>
      <c r="B224" t="s">
        <v>272</v>
      </c>
      <c r="C224" t="s">
        <v>575</v>
      </c>
      <c r="D224">
        <v>1180000</v>
      </c>
      <c r="E224" t="s">
        <v>231</v>
      </c>
      <c r="F224" s="23" t="str">
        <f t="shared" si="6"/>
        <v>rtdc.l.rtdc.4053:itc</v>
      </c>
      <c r="G224" s="8">
        <f t="shared" si="7"/>
        <v>42647.869537037041</v>
      </c>
    </row>
    <row r="225" spans="1:7" x14ac:dyDescent="0.25">
      <c r="A225" s="8">
        <v>42647.870162037034</v>
      </c>
      <c r="B225" t="s">
        <v>170</v>
      </c>
      <c r="C225" t="s">
        <v>576</v>
      </c>
      <c r="D225">
        <v>1230000</v>
      </c>
      <c r="E225" t="s">
        <v>549</v>
      </c>
      <c r="F225" s="23" t="str">
        <f t="shared" si="6"/>
        <v>rtdc.l.rtdc.4041:itc</v>
      </c>
      <c r="G225" s="8">
        <f t="shared" si="7"/>
        <v>42647.870162037034</v>
      </c>
    </row>
    <row r="226" spans="1:7" x14ac:dyDescent="0.25">
      <c r="A226" s="8">
        <v>42647.876296296294</v>
      </c>
      <c r="B226" t="s">
        <v>228</v>
      </c>
      <c r="C226" t="s">
        <v>577</v>
      </c>
      <c r="D226">
        <v>1480000</v>
      </c>
      <c r="E226" t="s">
        <v>245</v>
      </c>
      <c r="F226" s="23" t="str">
        <f t="shared" si="6"/>
        <v>rtdc.l.rtdc.4018:itc</v>
      </c>
      <c r="G226" s="8">
        <f t="shared" si="7"/>
        <v>42647.876296296294</v>
      </c>
    </row>
    <row r="227" spans="1:7" x14ac:dyDescent="0.25">
      <c r="A227" s="8">
        <v>42647.893240740741</v>
      </c>
      <c r="B227" t="s">
        <v>292</v>
      </c>
      <c r="C227" t="s">
        <v>578</v>
      </c>
      <c r="D227">
        <v>1800000</v>
      </c>
      <c r="E227" t="s">
        <v>276</v>
      </c>
      <c r="F227" s="23" t="str">
        <f t="shared" si="6"/>
        <v>rtdc.l.rtdc.4030:itc</v>
      </c>
      <c r="G227" s="8">
        <f t="shared" si="7"/>
        <v>42647.893240740741</v>
      </c>
    </row>
    <row r="228" spans="1:7" x14ac:dyDescent="0.25">
      <c r="A228" s="8">
        <v>42647.893449074072</v>
      </c>
      <c r="B228" t="s">
        <v>365</v>
      </c>
      <c r="C228" t="s">
        <v>579</v>
      </c>
      <c r="D228">
        <v>1290000</v>
      </c>
      <c r="E228" t="s">
        <v>167</v>
      </c>
      <c r="F228" s="23" t="str">
        <f t="shared" si="6"/>
        <v>rtdc.l.rtdc.4044:itc</v>
      </c>
      <c r="G228" s="8">
        <f t="shared" si="7"/>
        <v>42647.893449074072</v>
      </c>
    </row>
    <row r="229" spans="1:7" x14ac:dyDescent="0.25">
      <c r="A229" s="8">
        <v>42647.903634259259</v>
      </c>
      <c r="B229" t="s">
        <v>227</v>
      </c>
      <c r="C229" t="s">
        <v>580</v>
      </c>
      <c r="D229">
        <v>1480000</v>
      </c>
      <c r="E229" t="s">
        <v>245</v>
      </c>
      <c r="F229" s="23" t="str">
        <f t="shared" si="6"/>
        <v>rtdc.l.rtdc.4017:itc</v>
      </c>
      <c r="G229" s="8">
        <f t="shared" si="7"/>
        <v>42647.903634259259</v>
      </c>
    </row>
    <row r="230" spans="1:7" x14ac:dyDescent="0.25">
      <c r="A230" s="8">
        <v>42647.90861111111</v>
      </c>
      <c r="B230" t="s">
        <v>269</v>
      </c>
      <c r="C230" t="s">
        <v>581</v>
      </c>
      <c r="D230">
        <v>1180000</v>
      </c>
      <c r="E230" t="s">
        <v>231</v>
      </c>
      <c r="F230" s="23" t="str">
        <f t="shared" si="6"/>
        <v>rtdc.l.rtdc.4054:itc</v>
      </c>
      <c r="G230" s="8">
        <f t="shared" si="7"/>
        <v>42647.90861111111</v>
      </c>
    </row>
    <row r="231" spans="1:7" x14ac:dyDescent="0.25">
      <c r="A231" s="8">
        <v>42647.9140162037</v>
      </c>
      <c r="B231" t="s">
        <v>171</v>
      </c>
      <c r="C231" t="s">
        <v>582</v>
      </c>
      <c r="D231">
        <v>1230000</v>
      </c>
      <c r="E231" t="s">
        <v>549</v>
      </c>
      <c r="F231" s="23" t="str">
        <f t="shared" si="6"/>
        <v>rtdc.l.rtdc.4042:itc</v>
      </c>
      <c r="G231" s="8">
        <f t="shared" si="7"/>
        <v>42647.9140162037</v>
      </c>
    </row>
    <row r="232" spans="1:7" x14ac:dyDescent="0.25">
      <c r="A232" s="8">
        <v>42647.918043981481</v>
      </c>
      <c r="B232" t="s">
        <v>228</v>
      </c>
      <c r="C232" t="s">
        <v>583</v>
      </c>
      <c r="D232">
        <v>1480000</v>
      </c>
      <c r="E232" t="s">
        <v>245</v>
      </c>
      <c r="F232" s="23" t="str">
        <f t="shared" si="6"/>
        <v>rtdc.l.rtdc.4018:itc</v>
      </c>
      <c r="G232" s="8">
        <f t="shared" si="7"/>
        <v>42647.918043981481</v>
      </c>
    </row>
    <row r="233" spans="1:7" x14ac:dyDescent="0.25">
      <c r="A233" s="8">
        <v>42647.93204861111</v>
      </c>
      <c r="B233" t="s">
        <v>394</v>
      </c>
      <c r="C233" t="s">
        <v>584</v>
      </c>
      <c r="D233">
        <v>1290000</v>
      </c>
      <c r="E233" t="s">
        <v>167</v>
      </c>
      <c r="F233" s="23" t="str">
        <f t="shared" si="6"/>
        <v>rtdc.l.rtdc.4043:itc</v>
      </c>
      <c r="G233" s="8">
        <f t="shared" si="7"/>
        <v>42647.93204861111</v>
      </c>
    </row>
    <row r="234" spans="1:7" x14ac:dyDescent="0.25">
      <c r="A234" s="8">
        <v>42647.937037037038</v>
      </c>
      <c r="B234" t="s">
        <v>222</v>
      </c>
      <c r="C234" t="s">
        <v>585</v>
      </c>
      <c r="D234">
        <v>1800000</v>
      </c>
      <c r="E234" t="s">
        <v>276</v>
      </c>
      <c r="F234" s="23" t="str">
        <f t="shared" si="6"/>
        <v>rtdc.l.rtdc.4029:itc</v>
      </c>
      <c r="G234" s="8">
        <f t="shared" si="7"/>
        <v>42647.937037037038</v>
      </c>
    </row>
    <row r="235" spans="1:7" x14ac:dyDescent="0.25">
      <c r="A235" s="8">
        <v>42647.944224537037</v>
      </c>
      <c r="B235" t="s">
        <v>227</v>
      </c>
      <c r="C235" t="s">
        <v>586</v>
      </c>
      <c r="D235">
        <v>1480000</v>
      </c>
      <c r="E235" t="s">
        <v>245</v>
      </c>
      <c r="F235" s="23" t="str">
        <f t="shared" si="6"/>
        <v>rtdc.l.rtdc.4017:itc</v>
      </c>
      <c r="G235" s="8">
        <f t="shared" si="7"/>
        <v>42647.944224537037</v>
      </c>
    </row>
    <row r="236" spans="1:7" x14ac:dyDescent="0.25">
      <c r="A236" s="8">
        <v>42647.952141203707</v>
      </c>
      <c r="B236" t="s">
        <v>170</v>
      </c>
      <c r="C236" t="s">
        <v>587</v>
      </c>
      <c r="D236">
        <v>1230000</v>
      </c>
      <c r="E236" t="s">
        <v>549</v>
      </c>
      <c r="F236" s="23" t="str">
        <f t="shared" ref="F236:F265" si="8">B236</f>
        <v>rtdc.l.rtdc.4041:itc</v>
      </c>
      <c r="G236" s="8">
        <f t="shared" ref="G236:G265" si="9">A236</f>
        <v>42647.952141203707</v>
      </c>
    </row>
    <row r="237" spans="1:7" x14ac:dyDescent="0.25">
      <c r="A237" s="8">
        <v>42647.95385416667</v>
      </c>
      <c r="B237" t="s">
        <v>272</v>
      </c>
      <c r="C237" t="s">
        <v>588</v>
      </c>
      <c r="D237">
        <v>1180000</v>
      </c>
      <c r="E237" t="s">
        <v>231</v>
      </c>
      <c r="F237" s="23" t="str">
        <f t="shared" si="8"/>
        <v>rtdc.l.rtdc.4053:itc</v>
      </c>
      <c r="G237" s="8">
        <f t="shared" si="9"/>
        <v>42647.95385416667</v>
      </c>
    </row>
    <row r="238" spans="1:7" x14ac:dyDescent="0.25">
      <c r="A238" s="8">
        <v>42647.976238425923</v>
      </c>
      <c r="B238" t="s">
        <v>292</v>
      </c>
      <c r="C238" t="s">
        <v>589</v>
      </c>
      <c r="D238">
        <v>1800000</v>
      </c>
      <c r="E238" t="s">
        <v>276</v>
      </c>
      <c r="F238" s="23" t="str">
        <f t="shared" si="8"/>
        <v>rtdc.l.rtdc.4030:itc</v>
      </c>
      <c r="G238" s="8">
        <f t="shared" si="9"/>
        <v>42647.976238425923</v>
      </c>
    </row>
    <row r="239" spans="1:7" x14ac:dyDescent="0.25">
      <c r="A239" s="8">
        <v>42647.977430555555</v>
      </c>
      <c r="B239" t="s">
        <v>365</v>
      </c>
      <c r="C239" t="s">
        <v>590</v>
      </c>
      <c r="D239">
        <v>1290000</v>
      </c>
      <c r="E239" t="s">
        <v>167</v>
      </c>
      <c r="F239" s="23" t="str">
        <f t="shared" si="8"/>
        <v>rtdc.l.rtdc.4044:itc</v>
      </c>
      <c r="G239" s="8">
        <f t="shared" si="9"/>
        <v>42647.977430555555</v>
      </c>
    </row>
    <row r="240" spans="1:7" x14ac:dyDescent="0.25">
      <c r="A240" s="8">
        <v>42647.986979166664</v>
      </c>
      <c r="B240" t="s">
        <v>171</v>
      </c>
      <c r="C240" t="s">
        <v>587</v>
      </c>
      <c r="D240">
        <v>1230000</v>
      </c>
      <c r="E240" t="s">
        <v>549</v>
      </c>
      <c r="F240" s="23" t="str">
        <f t="shared" si="8"/>
        <v>rtdc.l.rtdc.4042:itc</v>
      </c>
      <c r="G240" s="8">
        <f t="shared" si="9"/>
        <v>42647.986979166664</v>
      </c>
    </row>
    <row r="241" spans="1:7" x14ac:dyDescent="0.25">
      <c r="A241" s="8">
        <v>42647.987523148149</v>
      </c>
      <c r="B241" t="s">
        <v>171</v>
      </c>
      <c r="C241" t="s">
        <v>591</v>
      </c>
      <c r="D241">
        <v>1230000</v>
      </c>
      <c r="E241" t="s">
        <v>549</v>
      </c>
      <c r="F241" s="23" t="str">
        <f t="shared" si="8"/>
        <v>rtdc.l.rtdc.4042:itc</v>
      </c>
      <c r="G241" s="8">
        <f t="shared" si="9"/>
        <v>42647.987523148149</v>
      </c>
    </row>
    <row r="242" spans="1:7" x14ac:dyDescent="0.25">
      <c r="A242" s="8">
        <v>42647.994131944448</v>
      </c>
      <c r="B242" t="s">
        <v>269</v>
      </c>
      <c r="C242" t="s">
        <v>592</v>
      </c>
      <c r="D242">
        <v>1180000</v>
      </c>
      <c r="E242" t="s">
        <v>231</v>
      </c>
      <c r="F242" s="23" t="str">
        <f t="shared" si="8"/>
        <v>rtdc.l.rtdc.4054:itc</v>
      </c>
      <c r="G242" s="8">
        <f t="shared" si="9"/>
        <v>42647.994131944448</v>
      </c>
    </row>
    <row r="243" spans="1:7" x14ac:dyDescent="0.25">
      <c r="A243" s="8">
        <v>42648.007511574076</v>
      </c>
      <c r="B243" t="s">
        <v>168</v>
      </c>
      <c r="C243" t="s">
        <v>593</v>
      </c>
      <c r="D243">
        <v>630000</v>
      </c>
      <c r="E243" t="b">
        <v>1</v>
      </c>
      <c r="F243" s="23" t="str">
        <f t="shared" si="8"/>
        <v>rtdc.l.rtdc.4051:itc</v>
      </c>
      <c r="G243" s="8">
        <f t="shared" si="9"/>
        <v>42648.007511574076</v>
      </c>
    </row>
    <row r="244" spans="1:7" x14ac:dyDescent="0.25">
      <c r="A244" s="8">
        <v>42648.013090277775</v>
      </c>
      <c r="B244" t="s">
        <v>394</v>
      </c>
      <c r="C244" t="s">
        <v>594</v>
      </c>
      <c r="D244">
        <v>1290000</v>
      </c>
      <c r="E244" t="s">
        <v>167</v>
      </c>
      <c r="F244" s="23" t="str">
        <f t="shared" si="8"/>
        <v>rtdc.l.rtdc.4043:itc</v>
      </c>
      <c r="G244" s="8">
        <f t="shared" si="9"/>
        <v>42648.013090277775</v>
      </c>
    </row>
    <row r="245" spans="1:7" x14ac:dyDescent="0.25">
      <c r="A245" s="8">
        <v>42648.022557870368</v>
      </c>
      <c r="B245" t="s">
        <v>222</v>
      </c>
      <c r="C245" t="s">
        <v>595</v>
      </c>
      <c r="D245">
        <v>1800000</v>
      </c>
      <c r="E245" t="s">
        <v>276</v>
      </c>
      <c r="F245" s="23" t="str">
        <f t="shared" si="8"/>
        <v>rtdc.l.rtdc.4029:itc</v>
      </c>
      <c r="G245" s="8">
        <f t="shared" si="9"/>
        <v>42648.022557870368</v>
      </c>
    </row>
    <row r="246" spans="1:7" x14ac:dyDescent="0.25">
      <c r="A246" s="8">
        <v>42648.033101851855</v>
      </c>
      <c r="B246" t="s">
        <v>272</v>
      </c>
      <c r="C246" t="s">
        <v>596</v>
      </c>
      <c r="D246">
        <v>1180000</v>
      </c>
      <c r="E246" t="s">
        <v>231</v>
      </c>
      <c r="F246" s="23" t="str">
        <f t="shared" si="8"/>
        <v>rtdc.l.rtdc.4053:itc</v>
      </c>
      <c r="G246" s="8">
        <f t="shared" si="9"/>
        <v>42648.033101851855</v>
      </c>
    </row>
    <row r="247" spans="1:7" x14ac:dyDescent="0.25">
      <c r="A247" s="8">
        <v>42648.036157407405</v>
      </c>
      <c r="B247" t="s">
        <v>170</v>
      </c>
      <c r="C247" t="s">
        <v>597</v>
      </c>
      <c r="D247">
        <v>1230000</v>
      </c>
      <c r="E247" t="s">
        <v>549</v>
      </c>
      <c r="F247" s="23" t="str">
        <f t="shared" si="8"/>
        <v>rtdc.l.rtdc.4041:itc</v>
      </c>
      <c r="G247" s="8">
        <f t="shared" si="9"/>
        <v>42648.036157407405</v>
      </c>
    </row>
    <row r="248" spans="1:7" x14ac:dyDescent="0.25">
      <c r="A248" s="8">
        <v>42648.047476851854</v>
      </c>
      <c r="B248" t="s">
        <v>365</v>
      </c>
      <c r="C248" t="s">
        <v>598</v>
      </c>
      <c r="D248">
        <v>1290000</v>
      </c>
      <c r="E248" t="s">
        <v>167</v>
      </c>
      <c r="F248" s="23" t="str">
        <f t="shared" si="8"/>
        <v>rtdc.l.rtdc.4044:itc</v>
      </c>
      <c r="G248" s="8">
        <f t="shared" si="9"/>
        <v>42648.047476851854</v>
      </c>
    </row>
    <row r="249" spans="1:7" x14ac:dyDescent="0.25">
      <c r="A249" s="8">
        <v>42648.049085648148</v>
      </c>
      <c r="B249" t="s">
        <v>365</v>
      </c>
      <c r="C249" t="s">
        <v>598</v>
      </c>
      <c r="D249">
        <v>1290000</v>
      </c>
      <c r="E249" t="s">
        <v>167</v>
      </c>
      <c r="F249" s="23" t="str">
        <f t="shared" si="8"/>
        <v>rtdc.l.rtdc.4044:itc</v>
      </c>
      <c r="G249" s="8">
        <f t="shared" si="9"/>
        <v>42648.049085648148</v>
      </c>
    </row>
    <row r="250" spans="1:7" x14ac:dyDescent="0.25">
      <c r="A250" s="8">
        <v>42648.049444444441</v>
      </c>
      <c r="B250" t="s">
        <v>168</v>
      </c>
      <c r="C250" t="s">
        <v>599</v>
      </c>
      <c r="D250">
        <v>630000</v>
      </c>
      <c r="E250" t="b">
        <v>1</v>
      </c>
      <c r="F250" s="23" t="str">
        <f t="shared" si="8"/>
        <v>rtdc.l.rtdc.4051:itc</v>
      </c>
      <c r="G250" s="8">
        <f t="shared" si="9"/>
        <v>42648.049444444441</v>
      </c>
    </row>
    <row r="251" spans="1:7" x14ac:dyDescent="0.25">
      <c r="A251" s="8">
        <v>42648.056122685186</v>
      </c>
      <c r="B251" t="s">
        <v>170</v>
      </c>
      <c r="C251" t="s">
        <v>597</v>
      </c>
      <c r="D251">
        <v>1230000</v>
      </c>
      <c r="E251" t="s">
        <v>549</v>
      </c>
      <c r="F251" s="23" t="str">
        <f t="shared" si="8"/>
        <v>rtdc.l.rtdc.4041:itc</v>
      </c>
      <c r="G251" s="8">
        <f t="shared" si="9"/>
        <v>42648.056122685186</v>
      </c>
    </row>
    <row r="252" spans="1:7" x14ac:dyDescent="0.25">
      <c r="A252" s="8">
        <v>42648.058946759258</v>
      </c>
      <c r="B252" t="s">
        <v>292</v>
      </c>
      <c r="C252" t="s">
        <v>600</v>
      </c>
      <c r="D252">
        <v>1800000</v>
      </c>
      <c r="E252" t="s">
        <v>276</v>
      </c>
      <c r="F252" s="23" t="str">
        <f t="shared" si="8"/>
        <v>rtdc.l.rtdc.4030:itc</v>
      </c>
      <c r="G252" s="8">
        <f t="shared" si="9"/>
        <v>42648.058946759258</v>
      </c>
    </row>
    <row r="253" spans="1:7" x14ac:dyDescent="0.25">
      <c r="A253" s="8">
        <v>42648.071516203701</v>
      </c>
      <c r="B253" t="s">
        <v>169</v>
      </c>
      <c r="C253" t="s">
        <v>599</v>
      </c>
      <c r="D253">
        <v>630000</v>
      </c>
      <c r="E253" t="b">
        <v>1</v>
      </c>
      <c r="F253" s="23" t="str">
        <f t="shared" si="8"/>
        <v>rtdc.l.rtdc.4052:itc</v>
      </c>
      <c r="G253" s="8">
        <f t="shared" si="9"/>
        <v>42648.071516203701</v>
      </c>
    </row>
    <row r="254" spans="1:7" x14ac:dyDescent="0.25">
      <c r="A254" s="8">
        <v>42648.074988425928</v>
      </c>
      <c r="B254" t="s">
        <v>171</v>
      </c>
      <c r="C254" t="s">
        <v>601</v>
      </c>
      <c r="D254">
        <v>1230000</v>
      </c>
      <c r="E254" t="s">
        <v>549</v>
      </c>
      <c r="F254" s="23" t="str">
        <f t="shared" si="8"/>
        <v>rtdc.l.rtdc.4042:itc</v>
      </c>
      <c r="G254" s="8">
        <f t="shared" si="9"/>
        <v>42648.074988425928</v>
      </c>
    </row>
    <row r="255" spans="1:7" x14ac:dyDescent="0.25">
      <c r="A255" s="8">
        <v>42648.09275462963</v>
      </c>
      <c r="B255" t="s">
        <v>168</v>
      </c>
      <c r="C255" t="s">
        <v>599</v>
      </c>
      <c r="D255">
        <v>630000</v>
      </c>
      <c r="E255" t="b">
        <v>1</v>
      </c>
      <c r="F255" s="23" t="str">
        <f t="shared" si="8"/>
        <v>rtdc.l.rtdc.4051:itc</v>
      </c>
      <c r="G255" s="8">
        <f t="shared" si="9"/>
        <v>42648.09275462963</v>
      </c>
    </row>
    <row r="256" spans="1:7" x14ac:dyDescent="0.25">
      <c r="A256" s="8">
        <v>42648.095393518517</v>
      </c>
      <c r="B256" t="s">
        <v>168</v>
      </c>
      <c r="C256" t="s">
        <v>599</v>
      </c>
      <c r="D256">
        <v>630000</v>
      </c>
      <c r="E256" t="b">
        <v>1</v>
      </c>
      <c r="F256" s="23" t="str">
        <f t="shared" si="8"/>
        <v>rtdc.l.rtdc.4051:itc</v>
      </c>
      <c r="G256" s="8">
        <f t="shared" si="9"/>
        <v>42648.095393518517</v>
      </c>
    </row>
    <row r="257" spans="1:7" x14ac:dyDescent="0.25">
      <c r="A257" s="8">
        <v>42648.100671296299</v>
      </c>
      <c r="B257" t="s">
        <v>168</v>
      </c>
      <c r="C257" t="s">
        <v>599</v>
      </c>
      <c r="D257">
        <v>630000</v>
      </c>
      <c r="E257" t="b">
        <v>1</v>
      </c>
      <c r="F257" s="23" t="str">
        <f t="shared" si="8"/>
        <v>rtdc.l.rtdc.4051:itc</v>
      </c>
      <c r="G257" s="8">
        <f t="shared" si="9"/>
        <v>42648.100671296299</v>
      </c>
    </row>
    <row r="258" spans="1:7" x14ac:dyDescent="0.25">
      <c r="F258" s="23">
        <f t="shared" si="8"/>
        <v>0</v>
      </c>
      <c r="G258" s="8">
        <f t="shared" si="9"/>
        <v>0</v>
      </c>
    </row>
    <row r="259" spans="1:7" x14ac:dyDescent="0.25">
      <c r="F259" s="23">
        <f t="shared" si="8"/>
        <v>0</v>
      </c>
      <c r="G259" s="8">
        <f t="shared" si="9"/>
        <v>0</v>
      </c>
    </row>
    <row r="260" spans="1:7" x14ac:dyDescent="0.25">
      <c r="F260" s="23">
        <f t="shared" si="8"/>
        <v>0</v>
      </c>
      <c r="G260" s="8">
        <f t="shared" si="9"/>
        <v>0</v>
      </c>
    </row>
    <row r="261" spans="1:7" x14ac:dyDescent="0.25">
      <c r="F261" s="23">
        <f t="shared" si="8"/>
        <v>0</v>
      </c>
      <c r="G261" s="8">
        <f t="shared" si="9"/>
        <v>0</v>
      </c>
    </row>
    <row r="262" spans="1:7" x14ac:dyDescent="0.25">
      <c r="F262" s="23">
        <f t="shared" si="8"/>
        <v>0</v>
      </c>
      <c r="G262" s="8">
        <f t="shared" si="9"/>
        <v>0</v>
      </c>
    </row>
    <row r="263" spans="1:7" x14ac:dyDescent="0.25">
      <c r="F263" s="23">
        <f t="shared" si="8"/>
        <v>0</v>
      </c>
      <c r="G263" s="8">
        <f t="shared" si="9"/>
        <v>0</v>
      </c>
    </row>
    <row r="264" spans="1:7" x14ac:dyDescent="0.25">
      <c r="F264" s="23">
        <f t="shared" si="8"/>
        <v>0</v>
      </c>
      <c r="G264" s="8">
        <f t="shared" si="9"/>
        <v>0</v>
      </c>
    </row>
    <row r="265" spans="1:7" x14ac:dyDescent="0.25">
      <c r="F265" s="23">
        <f t="shared" si="8"/>
        <v>0</v>
      </c>
      <c r="G265" s="8">
        <f t="shared" si="9"/>
        <v>0</v>
      </c>
    </row>
    <row r="266" spans="1:7" x14ac:dyDescent="0.25">
      <c r="F266" s="23">
        <f t="shared" ref="F266:F281" si="10">B266</f>
        <v>0</v>
      </c>
      <c r="G266" s="8">
        <f t="shared" ref="G266:G281" si="11">A266</f>
        <v>0</v>
      </c>
    </row>
    <row r="267" spans="1:7" x14ac:dyDescent="0.25">
      <c r="F267" s="23">
        <f t="shared" si="10"/>
        <v>0</v>
      </c>
      <c r="G267" s="8">
        <f t="shared" si="11"/>
        <v>0</v>
      </c>
    </row>
    <row r="268" spans="1:7" x14ac:dyDescent="0.25">
      <c r="F268" s="23">
        <f t="shared" si="10"/>
        <v>0</v>
      </c>
      <c r="G268" s="8">
        <f t="shared" si="11"/>
        <v>0</v>
      </c>
    </row>
    <row r="269" spans="1:7" x14ac:dyDescent="0.25">
      <c r="F269" s="23">
        <f t="shared" si="10"/>
        <v>0</v>
      </c>
      <c r="G269" s="8">
        <f t="shared" si="11"/>
        <v>0</v>
      </c>
    </row>
    <row r="270" spans="1:7" x14ac:dyDescent="0.25">
      <c r="F270" s="23">
        <f t="shared" si="10"/>
        <v>0</v>
      </c>
      <c r="G270" s="8">
        <f t="shared" si="11"/>
        <v>0</v>
      </c>
    </row>
    <row r="271" spans="1:7" x14ac:dyDescent="0.25">
      <c r="F271" s="23">
        <f t="shared" si="10"/>
        <v>0</v>
      </c>
      <c r="G271" s="8">
        <f t="shared" si="11"/>
        <v>0</v>
      </c>
    </row>
    <row r="272" spans="1:7" x14ac:dyDescent="0.25">
      <c r="F272" s="23">
        <f t="shared" si="10"/>
        <v>0</v>
      </c>
      <c r="G272" s="8">
        <f t="shared" si="11"/>
        <v>0</v>
      </c>
    </row>
    <row r="273" spans="6:7" x14ac:dyDescent="0.25">
      <c r="F273" s="23">
        <f t="shared" si="10"/>
        <v>0</v>
      </c>
      <c r="G273" s="8">
        <f t="shared" si="11"/>
        <v>0</v>
      </c>
    </row>
    <row r="274" spans="6:7" x14ac:dyDescent="0.25">
      <c r="F274" s="23">
        <f t="shared" si="10"/>
        <v>0</v>
      </c>
      <c r="G274" s="8">
        <f t="shared" si="11"/>
        <v>0</v>
      </c>
    </row>
    <row r="275" spans="6:7" x14ac:dyDescent="0.25">
      <c r="F275" s="23">
        <f t="shared" si="10"/>
        <v>0</v>
      </c>
      <c r="G275" s="8">
        <f t="shared" si="11"/>
        <v>0</v>
      </c>
    </row>
    <row r="276" spans="6:7" x14ac:dyDescent="0.25">
      <c r="F276" s="23">
        <f t="shared" si="10"/>
        <v>0</v>
      </c>
      <c r="G276" s="8">
        <f t="shared" si="11"/>
        <v>0</v>
      </c>
    </row>
    <row r="277" spans="6:7" x14ac:dyDescent="0.25">
      <c r="F277" s="23">
        <f t="shared" si="10"/>
        <v>0</v>
      </c>
      <c r="G277" s="8">
        <f t="shared" si="11"/>
        <v>0</v>
      </c>
    </row>
    <row r="278" spans="6:7" x14ac:dyDescent="0.25">
      <c r="F278" s="23">
        <f t="shared" si="10"/>
        <v>0</v>
      </c>
      <c r="G278" s="8">
        <f t="shared" si="11"/>
        <v>0</v>
      </c>
    </row>
    <row r="279" spans="6:7" x14ac:dyDescent="0.25">
      <c r="F279" s="23">
        <f t="shared" si="10"/>
        <v>0</v>
      </c>
      <c r="G279" s="8">
        <f t="shared" si="11"/>
        <v>0</v>
      </c>
    </row>
    <row r="280" spans="6:7" x14ac:dyDescent="0.25">
      <c r="F280" s="23">
        <f t="shared" si="10"/>
        <v>0</v>
      </c>
      <c r="G280" s="8">
        <f t="shared" si="11"/>
        <v>0</v>
      </c>
    </row>
    <row r="281" spans="6:7" x14ac:dyDescent="0.25">
      <c r="F281" s="23">
        <f t="shared" si="10"/>
        <v>0</v>
      </c>
      <c r="G281" s="8">
        <f t="shared" si="11"/>
        <v>0</v>
      </c>
    </row>
    <row r="282" spans="6:7" x14ac:dyDescent="0.25">
      <c r="F282" s="23">
        <f t="shared" ref="F282:F345" si="12">B282</f>
        <v>0</v>
      </c>
      <c r="G282" s="8">
        <f t="shared" ref="G282:G345" si="13">A282</f>
        <v>0</v>
      </c>
    </row>
    <row r="283" spans="6:7" x14ac:dyDescent="0.25">
      <c r="F283" s="23">
        <f t="shared" si="12"/>
        <v>0</v>
      </c>
      <c r="G283" s="8">
        <f t="shared" si="13"/>
        <v>0</v>
      </c>
    </row>
    <row r="284" spans="6:7" x14ac:dyDescent="0.25">
      <c r="F284" s="23">
        <f t="shared" si="12"/>
        <v>0</v>
      </c>
      <c r="G284" s="8">
        <f t="shared" si="13"/>
        <v>0</v>
      </c>
    </row>
    <row r="285" spans="6:7" x14ac:dyDescent="0.25">
      <c r="F285" s="23">
        <f t="shared" si="12"/>
        <v>0</v>
      </c>
      <c r="G285" s="8">
        <f t="shared" si="13"/>
        <v>0</v>
      </c>
    </row>
    <row r="286" spans="6:7" x14ac:dyDescent="0.25">
      <c r="F286" s="23">
        <f t="shared" si="12"/>
        <v>0</v>
      </c>
      <c r="G286" s="8">
        <f t="shared" si="13"/>
        <v>0</v>
      </c>
    </row>
    <row r="287" spans="6:7" x14ac:dyDescent="0.25">
      <c r="F287" s="23">
        <f t="shared" si="12"/>
        <v>0</v>
      </c>
      <c r="G287" s="8">
        <f t="shared" si="13"/>
        <v>0</v>
      </c>
    </row>
    <row r="288" spans="6:7" x14ac:dyDescent="0.25">
      <c r="F288" s="23">
        <f t="shared" si="12"/>
        <v>0</v>
      </c>
      <c r="G288" s="8">
        <f t="shared" si="13"/>
        <v>0</v>
      </c>
    </row>
    <row r="289" spans="6:7" x14ac:dyDescent="0.25">
      <c r="F289" s="23">
        <f t="shared" si="12"/>
        <v>0</v>
      </c>
      <c r="G289" s="8">
        <f t="shared" si="13"/>
        <v>0</v>
      </c>
    </row>
    <row r="290" spans="6:7" x14ac:dyDescent="0.25">
      <c r="F290" s="23">
        <f t="shared" si="12"/>
        <v>0</v>
      </c>
      <c r="G290" s="8">
        <f t="shared" si="13"/>
        <v>0</v>
      </c>
    </row>
    <row r="291" spans="6:7" x14ac:dyDescent="0.25">
      <c r="F291" s="23">
        <f t="shared" si="12"/>
        <v>0</v>
      </c>
      <c r="G291" s="8">
        <f t="shared" si="13"/>
        <v>0</v>
      </c>
    </row>
    <row r="292" spans="6:7" x14ac:dyDescent="0.25">
      <c r="F292" s="23">
        <f t="shared" si="12"/>
        <v>0</v>
      </c>
      <c r="G292" s="8">
        <f t="shared" si="13"/>
        <v>0</v>
      </c>
    </row>
    <row r="293" spans="6:7" x14ac:dyDescent="0.25">
      <c r="F293" s="23">
        <f t="shared" si="12"/>
        <v>0</v>
      </c>
      <c r="G293" s="8">
        <f t="shared" si="13"/>
        <v>0</v>
      </c>
    </row>
    <row r="294" spans="6:7" x14ac:dyDescent="0.25">
      <c r="F294" s="23">
        <f t="shared" si="12"/>
        <v>0</v>
      </c>
      <c r="G294" s="8">
        <f t="shared" si="13"/>
        <v>0</v>
      </c>
    </row>
    <row r="295" spans="6:7" x14ac:dyDescent="0.25">
      <c r="F295" s="23">
        <f t="shared" si="12"/>
        <v>0</v>
      </c>
      <c r="G295" s="8">
        <f t="shared" si="13"/>
        <v>0</v>
      </c>
    </row>
    <row r="296" spans="6:7" x14ac:dyDescent="0.25">
      <c r="F296" s="23">
        <f t="shared" si="12"/>
        <v>0</v>
      </c>
      <c r="G296" s="8">
        <f t="shared" si="13"/>
        <v>0</v>
      </c>
    </row>
    <row r="297" spans="6:7" x14ac:dyDescent="0.25">
      <c r="F297" s="23">
        <f t="shared" si="12"/>
        <v>0</v>
      </c>
      <c r="G297" s="8">
        <f t="shared" si="13"/>
        <v>0</v>
      </c>
    </row>
    <row r="298" spans="6:7" x14ac:dyDescent="0.25">
      <c r="F298" s="23">
        <f t="shared" si="12"/>
        <v>0</v>
      </c>
      <c r="G298" s="8">
        <f t="shared" si="13"/>
        <v>0</v>
      </c>
    </row>
    <row r="299" spans="6:7" x14ac:dyDescent="0.25">
      <c r="F299" s="23">
        <f t="shared" si="12"/>
        <v>0</v>
      </c>
      <c r="G299" s="8">
        <f t="shared" si="13"/>
        <v>0</v>
      </c>
    </row>
    <row r="300" spans="6:7" x14ac:dyDescent="0.25">
      <c r="F300" s="23">
        <f t="shared" si="12"/>
        <v>0</v>
      </c>
      <c r="G300" s="8">
        <f t="shared" si="13"/>
        <v>0</v>
      </c>
    </row>
    <row r="301" spans="6:7" x14ac:dyDescent="0.25">
      <c r="F301" s="23">
        <f t="shared" si="12"/>
        <v>0</v>
      </c>
      <c r="G301" s="8">
        <f t="shared" si="13"/>
        <v>0</v>
      </c>
    </row>
    <row r="302" spans="6:7" x14ac:dyDescent="0.25">
      <c r="F302" s="23">
        <f t="shared" si="12"/>
        <v>0</v>
      </c>
      <c r="G302" s="8">
        <f t="shared" si="13"/>
        <v>0</v>
      </c>
    </row>
    <row r="303" spans="6:7" x14ac:dyDescent="0.25">
      <c r="F303" s="23">
        <f t="shared" si="12"/>
        <v>0</v>
      </c>
      <c r="G303" s="8">
        <f t="shared" si="13"/>
        <v>0</v>
      </c>
    </row>
    <row r="304" spans="6:7" x14ac:dyDescent="0.25">
      <c r="F304" s="23">
        <f t="shared" si="12"/>
        <v>0</v>
      </c>
      <c r="G304" s="8">
        <f t="shared" si="13"/>
        <v>0</v>
      </c>
    </row>
    <row r="305" spans="6:7" x14ac:dyDescent="0.25">
      <c r="F305" s="23">
        <f t="shared" si="12"/>
        <v>0</v>
      </c>
      <c r="G305" s="8">
        <f t="shared" si="13"/>
        <v>0</v>
      </c>
    </row>
    <row r="306" spans="6:7" x14ac:dyDescent="0.25">
      <c r="F306" s="23">
        <f t="shared" si="12"/>
        <v>0</v>
      </c>
      <c r="G306" s="8">
        <f t="shared" si="13"/>
        <v>0</v>
      </c>
    </row>
    <row r="307" spans="6:7" x14ac:dyDescent="0.25">
      <c r="F307" s="23">
        <f t="shared" si="12"/>
        <v>0</v>
      </c>
      <c r="G307" s="8">
        <f t="shared" si="13"/>
        <v>0</v>
      </c>
    </row>
    <row r="308" spans="6:7" x14ac:dyDescent="0.25">
      <c r="F308" s="23">
        <f t="shared" si="12"/>
        <v>0</v>
      </c>
      <c r="G308" s="8">
        <f t="shared" si="13"/>
        <v>0</v>
      </c>
    </row>
    <row r="309" spans="6:7" x14ac:dyDescent="0.25">
      <c r="F309" s="23">
        <f t="shared" si="12"/>
        <v>0</v>
      </c>
      <c r="G309" s="8">
        <f t="shared" si="13"/>
        <v>0</v>
      </c>
    </row>
    <row r="310" spans="6:7" x14ac:dyDescent="0.25">
      <c r="F310" s="23">
        <f t="shared" si="12"/>
        <v>0</v>
      </c>
      <c r="G310" s="8">
        <f t="shared" si="13"/>
        <v>0</v>
      </c>
    </row>
    <row r="311" spans="6:7" x14ac:dyDescent="0.25">
      <c r="F311" s="23">
        <f t="shared" si="12"/>
        <v>0</v>
      </c>
      <c r="G311" s="8">
        <f t="shared" si="13"/>
        <v>0</v>
      </c>
    </row>
    <row r="312" spans="6:7" x14ac:dyDescent="0.25">
      <c r="F312" s="23">
        <f t="shared" si="12"/>
        <v>0</v>
      </c>
      <c r="G312" s="8">
        <f t="shared" si="13"/>
        <v>0</v>
      </c>
    </row>
    <row r="313" spans="6:7" x14ac:dyDescent="0.25">
      <c r="F313" s="23">
        <f t="shared" si="12"/>
        <v>0</v>
      </c>
      <c r="G313" s="8">
        <f t="shared" si="13"/>
        <v>0</v>
      </c>
    </row>
    <row r="314" spans="6:7" x14ac:dyDescent="0.25">
      <c r="F314" s="23">
        <f t="shared" si="12"/>
        <v>0</v>
      </c>
      <c r="G314" s="8">
        <f t="shared" si="13"/>
        <v>0</v>
      </c>
    </row>
    <row r="315" spans="6:7" x14ac:dyDescent="0.25">
      <c r="F315" s="23">
        <f t="shared" si="12"/>
        <v>0</v>
      </c>
      <c r="G315" s="8">
        <f t="shared" si="13"/>
        <v>0</v>
      </c>
    </row>
    <row r="316" spans="6:7" x14ac:dyDescent="0.25">
      <c r="F316" s="23">
        <f t="shared" si="12"/>
        <v>0</v>
      </c>
      <c r="G316" s="8">
        <f t="shared" si="13"/>
        <v>0</v>
      </c>
    </row>
    <row r="317" spans="6:7" x14ac:dyDescent="0.25">
      <c r="F317" s="23">
        <f t="shared" si="12"/>
        <v>0</v>
      </c>
      <c r="G317" s="8">
        <f t="shared" si="13"/>
        <v>0</v>
      </c>
    </row>
    <row r="318" spans="6:7" x14ac:dyDescent="0.25">
      <c r="F318" s="23">
        <f t="shared" si="12"/>
        <v>0</v>
      </c>
      <c r="G318" s="8">
        <f t="shared" si="13"/>
        <v>0</v>
      </c>
    </row>
    <row r="319" spans="6:7" x14ac:dyDescent="0.25">
      <c r="F319" s="23">
        <f t="shared" si="12"/>
        <v>0</v>
      </c>
      <c r="G319" s="8">
        <f t="shared" si="13"/>
        <v>0</v>
      </c>
    </row>
    <row r="320" spans="6:7" x14ac:dyDescent="0.25">
      <c r="F320" s="23">
        <f t="shared" si="12"/>
        <v>0</v>
      </c>
      <c r="G320" s="8">
        <f t="shared" si="13"/>
        <v>0</v>
      </c>
    </row>
    <row r="321" spans="6:7" x14ac:dyDescent="0.25">
      <c r="F321" s="23">
        <f t="shared" si="12"/>
        <v>0</v>
      </c>
      <c r="G321" s="8">
        <f t="shared" si="13"/>
        <v>0</v>
      </c>
    </row>
    <row r="322" spans="6:7" x14ac:dyDescent="0.25">
      <c r="F322" s="23">
        <f t="shared" si="12"/>
        <v>0</v>
      </c>
      <c r="G322" s="8">
        <f t="shared" si="13"/>
        <v>0</v>
      </c>
    </row>
    <row r="323" spans="6:7" x14ac:dyDescent="0.25">
      <c r="F323" s="23">
        <f t="shared" si="12"/>
        <v>0</v>
      </c>
      <c r="G323" s="8">
        <f t="shared" si="13"/>
        <v>0</v>
      </c>
    </row>
    <row r="324" spans="6:7" x14ac:dyDescent="0.25">
      <c r="F324" s="23">
        <f t="shared" si="12"/>
        <v>0</v>
      </c>
      <c r="G324" s="8">
        <f t="shared" si="13"/>
        <v>0</v>
      </c>
    </row>
    <row r="325" spans="6:7" x14ac:dyDescent="0.25">
      <c r="F325" s="23">
        <f t="shared" si="12"/>
        <v>0</v>
      </c>
      <c r="G325" s="8">
        <f t="shared" si="13"/>
        <v>0</v>
      </c>
    </row>
    <row r="326" spans="6:7" x14ac:dyDescent="0.25">
      <c r="F326" s="23">
        <f t="shared" si="12"/>
        <v>0</v>
      </c>
      <c r="G326" s="8">
        <f t="shared" si="13"/>
        <v>0</v>
      </c>
    </row>
    <row r="327" spans="6:7" x14ac:dyDescent="0.25">
      <c r="F327" s="23">
        <f t="shared" si="12"/>
        <v>0</v>
      </c>
      <c r="G327" s="8">
        <f t="shared" si="13"/>
        <v>0</v>
      </c>
    </row>
    <row r="328" spans="6:7" x14ac:dyDescent="0.25">
      <c r="F328" s="23">
        <f t="shared" si="12"/>
        <v>0</v>
      </c>
      <c r="G328" s="8">
        <f t="shared" si="13"/>
        <v>0</v>
      </c>
    </row>
    <row r="329" spans="6:7" x14ac:dyDescent="0.25">
      <c r="F329" s="23">
        <f t="shared" si="12"/>
        <v>0</v>
      </c>
      <c r="G329" s="8">
        <f t="shared" si="13"/>
        <v>0</v>
      </c>
    </row>
    <row r="330" spans="6:7" x14ac:dyDescent="0.25">
      <c r="F330" s="23">
        <f t="shared" si="12"/>
        <v>0</v>
      </c>
      <c r="G330" s="8">
        <f t="shared" si="13"/>
        <v>0</v>
      </c>
    </row>
    <row r="331" spans="6:7" x14ac:dyDescent="0.25">
      <c r="F331" s="23">
        <f t="shared" si="12"/>
        <v>0</v>
      </c>
      <c r="G331" s="8">
        <f t="shared" si="13"/>
        <v>0</v>
      </c>
    </row>
    <row r="332" spans="6:7" x14ac:dyDescent="0.25">
      <c r="F332" s="23">
        <f t="shared" si="12"/>
        <v>0</v>
      </c>
      <c r="G332" s="8">
        <f t="shared" si="13"/>
        <v>0</v>
      </c>
    </row>
    <row r="333" spans="6:7" x14ac:dyDescent="0.25">
      <c r="F333" s="23">
        <f t="shared" si="12"/>
        <v>0</v>
      </c>
      <c r="G333" s="8">
        <f t="shared" si="13"/>
        <v>0</v>
      </c>
    </row>
    <row r="334" spans="6:7" x14ac:dyDescent="0.25">
      <c r="F334" s="23">
        <f t="shared" si="12"/>
        <v>0</v>
      </c>
      <c r="G334" s="8">
        <f t="shared" si="13"/>
        <v>0</v>
      </c>
    </row>
    <row r="335" spans="6:7" x14ac:dyDescent="0.25">
      <c r="F335" s="23">
        <f t="shared" si="12"/>
        <v>0</v>
      </c>
      <c r="G335" s="8">
        <f t="shared" si="13"/>
        <v>0</v>
      </c>
    </row>
    <row r="336" spans="6:7" x14ac:dyDescent="0.25">
      <c r="F336" s="23">
        <f t="shared" si="12"/>
        <v>0</v>
      </c>
      <c r="G336" s="8">
        <f t="shared" si="13"/>
        <v>0</v>
      </c>
    </row>
    <row r="337" spans="6:7" x14ac:dyDescent="0.25">
      <c r="F337" s="23">
        <f t="shared" si="12"/>
        <v>0</v>
      </c>
      <c r="G337" s="8">
        <f t="shared" si="13"/>
        <v>0</v>
      </c>
    </row>
    <row r="338" spans="6:7" x14ac:dyDescent="0.25">
      <c r="F338" s="23">
        <f t="shared" si="12"/>
        <v>0</v>
      </c>
      <c r="G338" s="8">
        <f t="shared" si="13"/>
        <v>0</v>
      </c>
    </row>
    <row r="339" spans="6:7" x14ac:dyDescent="0.25">
      <c r="F339" s="23">
        <f t="shared" si="12"/>
        <v>0</v>
      </c>
      <c r="G339" s="8">
        <f t="shared" si="13"/>
        <v>0</v>
      </c>
    </row>
    <row r="340" spans="6:7" x14ac:dyDescent="0.25">
      <c r="F340" s="23">
        <f t="shared" si="12"/>
        <v>0</v>
      </c>
      <c r="G340" s="8">
        <f t="shared" si="13"/>
        <v>0</v>
      </c>
    </row>
    <row r="341" spans="6:7" x14ac:dyDescent="0.25">
      <c r="F341" s="23">
        <f t="shared" si="12"/>
        <v>0</v>
      </c>
      <c r="G341" s="8">
        <f t="shared" si="13"/>
        <v>0</v>
      </c>
    </row>
    <row r="342" spans="6:7" x14ac:dyDescent="0.25">
      <c r="F342" s="23">
        <f t="shared" si="12"/>
        <v>0</v>
      </c>
      <c r="G342" s="8">
        <f t="shared" si="13"/>
        <v>0</v>
      </c>
    </row>
    <row r="343" spans="6:7" x14ac:dyDescent="0.25">
      <c r="F343" s="23">
        <f t="shared" si="12"/>
        <v>0</v>
      </c>
      <c r="G343" s="8">
        <f t="shared" si="13"/>
        <v>0</v>
      </c>
    </row>
    <row r="344" spans="6:7" x14ac:dyDescent="0.25">
      <c r="F344" s="23">
        <f t="shared" si="12"/>
        <v>0</v>
      </c>
      <c r="G344" s="8">
        <f t="shared" si="13"/>
        <v>0</v>
      </c>
    </row>
    <row r="345" spans="6:7" x14ac:dyDescent="0.25">
      <c r="F345" s="23">
        <f t="shared" si="12"/>
        <v>0</v>
      </c>
      <c r="G345" s="8">
        <f t="shared" si="13"/>
        <v>0</v>
      </c>
    </row>
    <row r="346" spans="6:7" x14ac:dyDescent="0.25">
      <c r="F346" s="23">
        <f t="shared" ref="F346:F409" si="14">B346</f>
        <v>0</v>
      </c>
      <c r="G346" s="8">
        <f t="shared" ref="G346:G409" si="15">A346</f>
        <v>0</v>
      </c>
    </row>
    <row r="347" spans="6:7" x14ac:dyDescent="0.25">
      <c r="F347" s="23">
        <f t="shared" si="14"/>
        <v>0</v>
      </c>
      <c r="G347" s="8">
        <f t="shared" si="15"/>
        <v>0</v>
      </c>
    </row>
    <row r="348" spans="6:7" x14ac:dyDescent="0.25">
      <c r="F348" s="23">
        <f t="shared" si="14"/>
        <v>0</v>
      </c>
      <c r="G348" s="8">
        <f t="shared" si="15"/>
        <v>0</v>
      </c>
    </row>
    <row r="349" spans="6:7" x14ac:dyDescent="0.25">
      <c r="F349" s="23">
        <f t="shared" si="14"/>
        <v>0</v>
      </c>
      <c r="G349" s="8">
        <f t="shared" si="15"/>
        <v>0</v>
      </c>
    </row>
    <row r="350" spans="6:7" x14ac:dyDescent="0.25">
      <c r="F350" s="23">
        <f t="shared" si="14"/>
        <v>0</v>
      </c>
      <c r="G350" s="8">
        <f t="shared" si="15"/>
        <v>0</v>
      </c>
    </row>
    <row r="351" spans="6:7" x14ac:dyDescent="0.25">
      <c r="F351" s="23">
        <f t="shared" si="14"/>
        <v>0</v>
      </c>
      <c r="G351" s="8">
        <f t="shared" si="15"/>
        <v>0</v>
      </c>
    </row>
    <row r="352" spans="6:7" x14ac:dyDescent="0.25">
      <c r="F352" s="23">
        <f t="shared" si="14"/>
        <v>0</v>
      </c>
      <c r="G352" s="8">
        <f t="shared" si="15"/>
        <v>0</v>
      </c>
    </row>
    <row r="353" spans="6:7" x14ac:dyDescent="0.25">
      <c r="F353" s="23">
        <f t="shared" si="14"/>
        <v>0</v>
      </c>
      <c r="G353" s="8">
        <f t="shared" si="15"/>
        <v>0</v>
      </c>
    </row>
    <row r="354" spans="6:7" x14ac:dyDescent="0.25">
      <c r="F354" s="23">
        <f t="shared" si="14"/>
        <v>0</v>
      </c>
      <c r="G354" s="8">
        <f t="shared" si="15"/>
        <v>0</v>
      </c>
    </row>
    <row r="355" spans="6:7" x14ac:dyDescent="0.25">
      <c r="F355" s="23">
        <f t="shared" si="14"/>
        <v>0</v>
      </c>
      <c r="G355" s="8">
        <f t="shared" si="15"/>
        <v>0</v>
      </c>
    </row>
    <row r="356" spans="6:7" x14ac:dyDescent="0.25">
      <c r="F356" s="23">
        <f t="shared" si="14"/>
        <v>0</v>
      </c>
      <c r="G356" s="8">
        <f t="shared" si="15"/>
        <v>0</v>
      </c>
    </row>
    <row r="357" spans="6:7" x14ac:dyDescent="0.25">
      <c r="F357" s="23">
        <f t="shared" si="14"/>
        <v>0</v>
      </c>
      <c r="G357" s="8">
        <f t="shared" si="15"/>
        <v>0</v>
      </c>
    </row>
    <row r="358" spans="6:7" x14ac:dyDescent="0.25">
      <c r="F358" s="23">
        <f t="shared" si="14"/>
        <v>0</v>
      </c>
      <c r="G358" s="8">
        <f t="shared" si="15"/>
        <v>0</v>
      </c>
    </row>
    <row r="359" spans="6:7" x14ac:dyDescent="0.25">
      <c r="F359" s="23">
        <f t="shared" si="14"/>
        <v>0</v>
      </c>
      <c r="G359" s="8">
        <f t="shared" si="15"/>
        <v>0</v>
      </c>
    </row>
    <row r="360" spans="6:7" x14ac:dyDescent="0.25">
      <c r="F360" s="23">
        <f t="shared" si="14"/>
        <v>0</v>
      </c>
      <c r="G360" s="8">
        <f t="shared" si="15"/>
        <v>0</v>
      </c>
    </row>
    <row r="361" spans="6:7" x14ac:dyDescent="0.25">
      <c r="F361" s="23">
        <f t="shared" si="14"/>
        <v>0</v>
      </c>
      <c r="G361" s="8">
        <f t="shared" si="15"/>
        <v>0</v>
      </c>
    </row>
    <row r="362" spans="6:7" x14ac:dyDescent="0.25">
      <c r="F362" s="23">
        <f t="shared" si="14"/>
        <v>0</v>
      </c>
      <c r="G362" s="8">
        <f t="shared" si="15"/>
        <v>0</v>
      </c>
    </row>
    <row r="363" spans="6:7" x14ac:dyDescent="0.25">
      <c r="F363" s="23">
        <f t="shared" si="14"/>
        <v>0</v>
      </c>
      <c r="G363" s="8">
        <f t="shared" si="15"/>
        <v>0</v>
      </c>
    </row>
    <row r="364" spans="6:7" x14ac:dyDescent="0.25">
      <c r="F364" s="23">
        <f t="shared" si="14"/>
        <v>0</v>
      </c>
      <c r="G364" s="8">
        <f t="shared" si="15"/>
        <v>0</v>
      </c>
    </row>
    <row r="365" spans="6:7" x14ac:dyDescent="0.25">
      <c r="F365" s="23">
        <f t="shared" si="14"/>
        <v>0</v>
      </c>
      <c r="G365" s="8">
        <f t="shared" si="15"/>
        <v>0</v>
      </c>
    </row>
    <row r="366" spans="6:7" x14ac:dyDescent="0.25">
      <c r="F366" s="23">
        <f t="shared" si="14"/>
        <v>0</v>
      </c>
      <c r="G366" s="8">
        <f t="shared" si="15"/>
        <v>0</v>
      </c>
    </row>
    <row r="367" spans="6:7" x14ac:dyDescent="0.25">
      <c r="F367" s="23">
        <f t="shared" si="14"/>
        <v>0</v>
      </c>
      <c r="G367" s="8">
        <f t="shared" si="15"/>
        <v>0</v>
      </c>
    </row>
    <row r="368" spans="6:7" x14ac:dyDescent="0.25">
      <c r="F368" s="23">
        <f t="shared" si="14"/>
        <v>0</v>
      </c>
      <c r="G368" s="8">
        <f t="shared" si="15"/>
        <v>0</v>
      </c>
    </row>
    <row r="369" spans="6:7" x14ac:dyDescent="0.25">
      <c r="F369" s="23">
        <f t="shared" si="14"/>
        <v>0</v>
      </c>
      <c r="G369" s="8">
        <f t="shared" si="15"/>
        <v>0</v>
      </c>
    </row>
    <row r="370" spans="6:7" x14ac:dyDescent="0.25">
      <c r="F370" s="23">
        <f t="shared" si="14"/>
        <v>0</v>
      </c>
      <c r="G370" s="8">
        <f t="shared" si="15"/>
        <v>0</v>
      </c>
    </row>
    <row r="371" spans="6:7" x14ac:dyDescent="0.25">
      <c r="F371" s="23">
        <f t="shared" si="14"/>
        <v>0</v>
      </c>
      <c r="G371" s="8">
        <f t="shared" si="15"/>
        <v>0</v>
      </c>
    </row>
    <row r="372" spans="6:7" x14ac:dyDescent="0.25">
      <c r="F372" s="23">
        <f t="shared" si="14"/>
        <v>0</v>
      </c>
      <c r="G372" s="8">
        <f t="shared" si="15"/>
        <v>0</v>
      </c>
    </row>
    <row r="373" spans="6:7" x14ac:dyDescent="0.25">
      <c r="F373" s="23">
        <f t="shared" si="14"/>
        <v>0</v>
      </c>
      <c r="G373" s="8">
        <f t="shared" si="15"/>
        <v>0</v>
      </c>
    </row>
    <row r="374" spans="6:7" x14ac:dyDescent="0.25">
      <c r="F374" s="23">
        <f t="shared" si="14"/>
        <v>0</v>
      </c>
      <c r="G374" s="8">
        <f t="shared" si="15"/>
        <v>0</v>
      </c>
    </row>
    <row r="375" spans="6:7" x14ac:dyDescent="0.25">
      <c r="F375" s="23">
        <f t="shared" si="14"/>
        <v>0</v>
      </c>
      <c r="G375" s="8">
        <f t="shared" si="15"/>
        <v>0</v>
      </c>
    </row>
    <row r="376" spans="6:7" x14ac:dyDescent="0.25">
      <c r="F376" s="23">
        <f t="shared" si="14"/>
        <v>0</v>
      </c>
      <c r="G376" s="8">
        <f t="shared" si="15"/>
        <v>0</v>
      </c>
    </row>
    <row r="377" spans="6:7" x14ac:dyDescent="0.25">
      <c r="F377" s="23">
        <f t="shared" si="14"/>
        <v>0</v>
      </c>
      <c r="G377" s="8">
        <f t="shared" si="15"/>
        <v>0</v>
      </c>
    </row>
    <row r="378" spans="6:7" x14ac:dyDescent="0.25">
      <c r="F378" s="23">
        <f t="shared" si="14"/>
        <v>0</v>
      </c>
      <c r="G378" s="8">
        <f t="shared" si="15"/>
        <v>0</v>
      </c>
    </row>
    <row r="379" spans="6:7" x14ac:dyDescent="0.25">
      <c r="F379" s="23">
        <f t="shared" si="14"/>
        <v>0</v>
      </c>
      <c r="G379" s="8">
        <f t="shared" si="15"/>
        <v>0</v>
      </c>
    </row>
    <row r="380" spans="6:7" x14ac:dyDescent="0.25">
      <c r="F380" s="23">
        <f t="shared" si="14"/>
        <v>0</v>
      </c>
      <c r="G380" s="8">
        <f t="shared" si="15"/>
        <v>0</v>
      </c>
    </row>
    <row r="381" spans="6:7" x14ac:dyDescent="0.25">
      <c r="F381" s="23">
        <f t="shared" si="14"/>
        <v>0</v>
      </c>
      <c r="G381" s="8">
        <f t="shared" si="15"/>
        <v>0</v>
      </c>
    </row>
    <row r="382" spans="6:7" x14ac:dyDescent="0.25">
      <c r="F382" s="23">
        <f t="shared" si="14"/>
        <v>0</v>
      </c>
      <c r="G382" s="8">
        <f t="shared" si="15"/>
        <v>0</v>
      </c>
    </row>
    <row r="383" spans="6:7" x14ac:dyDescent="0.25">
      <c r="F383" s="23">
        <f t="shared" si="14"/>
        <v>0</v>
      </c>
      <c r="G383" s="8">
        <f t="shared" si="15"/>
        <v>0</v>
      </c>
    </row>
    <row r="384" spans="6:7" x14ac:dyDescent="0.25">
      <c r="F384" s="23">
        <f t="shared" si="14"/>
        <v>0</v>
      </c>
      <c r="G384" s="8">
        <f t="shared" si="15"/>
        <v>0</v>
      </c>
    </row>
    <row r="385" spans="6:7" x14ac:dyDescent="0.25">
      <c r="F385" s="23">
        <f t="shared" si="14"/>
        <v>0</v>
      </c>
      <c r="G385" s="8">
        <f t="shared" si="15"/>
        <v>0</v>
      </c>
    </row>
    <row r="386" spans="6:7" x14ac:dyDescent="0.25">
      <c r="F386" s="23">
        <f t="shared" si="14"/>
        <v>0</v>
      </c>
      <c r="G386" s="8">
        <f t="shared" si="15"/>
        <v>0</v>
      </c>
    </row>
    <row r="387" spans="6:7" x14ac:dyDescent="0.25">
      <c r="F387" s="23">
        <f t="shared" si="14"/>
        <v>0</v>
      </c>
      <c r="G387" s="8">
        <f t="shared" si="15"/>
        <v>0</v>
      </c>
    </row>
    <row r="388" spans="6:7" x14ac:dyDescent="0.25">
      <c r="F388" s="23">
        <f t="shared" si="14"/>
        <v>0</v>
      </c>
      <c r="G388" s="8">
        <f t="shared" si="15"/>
        <v>0</v>
      </c>
    </row>
    <row r="389" spans="6:7" x14ac:dyDescent="0.25">
      <c r="F389" s="23">
        <f t="shared" si="14"/>
        <v>0</v>
      </c>
      <c r="G389" s="8">
        <f t="shared" si="15"/>
        <v>0</v>
      </c>
    </row>
    <row r="390" spans="6:7" x14ac:dyDescent="0.25">
      <c r="F390" s="23">
        <f t="shared" si="14"/>
        <v>0</v>
      </c>
      <c r="G390" s="8">
        <f t="shared" si="15"/>
        <v>0</v>
      </c>
    </row>
    <row r="391" spans="6:7" x14ac:dyDescent="0.25">
      <c r="F391" s="23">
        <f t="shared" si="14"/>
        <v>0</v>
      </c>
      <c r="G391" s="8">
        <f t="shared" si="15"/>
        <v>0</v>
      </c>
    </row>
    <row r="392" spans="6:7" x14ac:dyDescent="0.25">
      <c r="F392" s="23">
        <f t="shared" si="14"/>
        <v>0</v>
      </c>
      <c r="G392" s="8">
        <f t="shared" si="15"/>
        <v>0</v>
      </c>
    </row>
    <row r="393" spans="6:7" x14ac:dyDescent="0.25">
      <c r="F393" s="23">
        <f t="shared" si="14"/>
        <v>0</v>
      </c>
      <c r="G393" s="8">
        <f t="shared" si="15"/>
        <v>0</v>
      </c>
    </row>
    <row r="394" spans="6:7" x14ac:dyDescent="0.25">
      <c r="F394" s="23">
        <f t="shared" si="14"/>
        <v>0</v>
      </c>
      <c r="G394" s="8">
        <f t="shared" si="15"/>
        <v>0</v>
      </c>
    </row>
    <row r="395" spans="6:7" x14ac:dyDescent="0.25">
      <c r="F395" s="23">
        <f t="shared" si="14"/>
        <v>0</v>
      </c>
      <c r="G395" s="8">
        <f t="shared" si="15"/>
        <v>0</v>
      </c>
    </row>
    <row r="396" spans="6:7" x14ac:dyDescent="0.25">
      <c r="F396" s="23">
        <f t="shared" si="14"/>
        <v>0</v>
      </c>
      <c r="G396" s="8">
        <f t="shared" si="15"/>
        <v>0</v>
      </c>
    </row>
    <row r="397" spans="6:7" x14ac:dyDescent="0.25">
      <c r="F397" s="23">
        <f t="shared" si="14"/>
        <v>0</v>
      </c>
      <c r="G397" s="8">
        <f t="shared" si="15"/>
        <v>0</v>
      </c>
    </row>
    <row r="398" spans="6:7" x14ac:dyDescent="0.25">
      <c r="F398" s="23">
        <f t="shared" si="14"/>
        <v>0</v>
      </c>
      <c r="G398" s="8">
        <f t="shared" si="15"/>
        <v>0</v>
      </c>
    </row>
    <row r="399" spans="6:7" x14ac:dyDescent="0.25">
      <c r="F399" s="23">
        <f t="shared" si="14"/>
        <v>0</v>
      </c>
      <c r="G399" s="8">
        <f t="shared" si="15"/>
        <v>0</v>
      </c>
    </row>
    <row r="400" spans="6:7" x14ac:dyDescent="0.25">
      <c r="F400" s="23">
        <f t="shared" si="14"/>
        <v>0</v>
      </c>
      <c r="G400" s="8">
        <f t="shared" si="15"/>
        <v>0</v>
      </c>
    </row>
    <row r="401" spans="6:7" x14ac:dyDescent="0.25">
      <c r="F401" s="23">
        <f t="shared" si="14"/>
        <v>0</v>
      </c>
      <c r="G401" s="8">
        <f t="shared" si="15"/>
        <v>0</v>
      </c>
    </row>
    <row r="402" spans="6:7" x14ac:dyDescent="0.25">
      <c r="F402" s="23">
        <f t="shared" si="14"/>
        <v>0</v>
      </c>
      <c r="G402" s="8">
        <f t="shared" si="15"/>
        <v>0</v>
      </c>
    </row>
    <row r="403" spans="6:7" x14ac:dyDescent="0.25">
      <c r="F403" s="23">
        <f t="shared" si="14"/>
        <v>0</v>
      </c>
      <c r="G403" s="8">
        <f t="shared" si="15"/>
        <v>0</v>
      </c>
    </row>
    <row r="404" spans="6:7" x14ac:dyDescent="0.25">
      <c r="F404" s="23">
        <f t="shared" si="14"/>
        <v>0</v>
      </c>
      <c r="G404" s="8">
        <f t="shared" si="15"/>
        <v>0</v>
      </c>
    </row>
    <row r="405" spans="6:7" x14ac:dyDescent="0.25">
      <c r="F405" s="23">
        <f t="shared" si="14"/>
        <v>0</v>
      </c>
      <c r="G405" s="8">
        <f t="shared" si="15"/>
        <v>0</v>
      </c>
    </row>
    <row r="406" spans="6:7" x14ac:dyDescent="0.25">
      <c r="F406" s="23">
        <f t="shared" si="14"/>
        <v>0</v>
      </c>
      <c r="G406" s="8">
        <f t="shared" si="15"/>
        <v>0</v>
      </c>
    </row>
    <row r="407" spans="6:7" x14ac:dyDescent="0.25">
      <c r="F407" s="23">
        <f t="shared" si="14"/>
        <v>0</v>
      </c>
      <c r="G407" s="8">
        <f t="shared" si="15"/>
        <v>0</v>
      </c>
    </row>
    <row r="408" spans="6:7" x14ac:dyDescent="0.25">
      <c r="F408" s="23">
        <f t="shared" si="14"/>
        <v>0</v>
      </c>
      <c r="G408" s="8">
        <f t="shared" si="15"/>
        <v>0</v>
      </c>
    </row>
    <row r="409" spans="6:7" x14ac:dyDescent="0.25">
      <c r="F409" s="23">
        <f t="shared" si="14"/>
        <v>0</v>
      </c>
      <c r="G409" s="8">
        <f t="shared" si="15"/>
        <v>0</v>
      </c>
    </row>
    <row r="410" spans="6:7" x14ac:dyDescent="0.25">
      <c r="F410" s="23">
        <f t="shared" ref="F410:F473" si="16">B410</f>
        <v>0</v>
      </c>
      <c r="G410" s="8">
        <f t="shared" ref="G410:G473" si="17">A410</f>
        <v>0</v>
      </c>
    </row>
    <row r="411" spans="6:7" x14ac:dyDescent="0.25">
      <c r="F411" s="23">
        <f t="shared" si="16"/>
        <v>0</v>
      </c>
      <c r="G411" s="8">
        <f t="shared" si="17"/>
        <v>0</v>
      </c>
    </row>
    <row r="412" spans="6:7" x14ac:dyDescent="0.25">
      <c r="F412" s="23">
        <f t="shared" si="16"/>
        <v>0</v>
      </c>
      <c r="G412" s="8">
        <f t="shared" si="17"/>
        <v>0</v>
      </c>
    </row>
    <row r="413" spans="6:7" x14ac:dyDescent="0.25">
      <c r="F413" s="23">
        <f t="shared" si="16"/>
        <v>0</v>
      </c>
      <c r="G413" s="8">
        <f t="shared" si="17"/>
        <v>0</v>
      </c>
    </row>
    <row r="414" spans="6:7" x14ac:dyDescent="0.25">
      <c r="F414" s="23">
        <f t="shared" si="16"/>
        <v>0</v>
      </c>
      <c r="G414" s="8">
        <f t="shared" si="17"/>
        <v>0</v>
      </c>
    </row>
    <row r="415" spans="6:7" x14ac:dyDescent="0.25">
      <c r="F415" s="23">
        <f t="shared" si="16"/>
        <v>0</v>
      </c>
      <c r="G415" s="8">
        <f t="shared" si="17"/>
        <v>0</v>
      </c>
    </row>
    <row r="416" spans="6:7" x14ac:dyDescent="0.25">
      <c r="F416" s="23">
        <f t="shared" si="16"/>
        <v>0</v>
      </c>
      <c r="G416" s="8">
        <f t="shared" si="17"/>
        <v>0</v>
      </c>
    </row>
    <row r="417" spans="6:7" x14ac:dyDescent="0.25">
      <c r="F417" s="23">
        <f t="shared" si="16"/>
        <v>0</v>
      </c>
      <c r="G417" s="8">
        <f t="shared" si="17"/>
        <v>0</v>
      </c>
    </row>
    <row r="418" spans="6:7" x14ac:dyDescent="0.25">
      <c r="F418" s="23">
        <f t="shared" si="16"/>
        <v>0</v>
      </c>
      <c r="G418" s="8">
        <f t="shared" si="17"/>
        <v>0</v>
      </c>
    </row>
    <row r="419" spans="6:7" x14ac:dyDescent="0.25">
      <c r="F419" s="23">
        <f t="shared" si="16"/>
        <v>0</v>
      </c>
      <c r="G419" s="8">
        <f t="shared" si="17"/>
        <v>0</v>
      </c>
    </row>
    <row r="420" spans="6:7" x14ac:dyDescent="0.25">
      <c r="F420" s="23">
        <f t="shared" si="16"/>
        <v>0</v>
      </c>
      <c r="G420" s="8">
        <f t="shared" si="17"/>
        <v>0</v>
      </c>
    </row>
    <row r="421" spans="6:7" x14ac:dyDescent="0.25">
      <c r="F421" s="23">
        <f t="shared" si="16"/>
        <v>0</v>
      </c>
      <c r="G421" s="8">
        <f t="shared" si="17"/>
        <v>0</v>
      </c>
    </row>
    <row r="422" spans="6:7" x14ac:dyDescent="0.25">
      <c r="F422" s="23">
        <f t="shared" si="16"/>
        <v>0</v>
      </c>
      <c r="G422" s="8">
        <f t="shared" si="17"/>
        <v>0</v>
      </c>
    </row>
    <row r="423" spans="6:7" x14ac:dyDescent="0.25">
      <c r="F423" s="23">
        <f t="shared" si="16"/>
        <v>0</v>
      </c>
      <c r="G423" s="8">
        <f t="shared" si="17"/>
        <v>0</v>
      </c>
    </row>
    <row r="424" spans="6:7" x14ac:dyDescent="0.25">
      <c r="F424" s="23">
        <f t="shared" si="16"/>
        <v>0</v>
      </c>
      <c r="G424" s="8">
        <f t="shared" si="17"/>
        <v>0</v>
      </c>
    </row>
    <row r="425" spans="6:7" x14ac:dyDescent="0.25">
      <c r="F425" s="23">
        <f t="shared" si="16"/>
        <v>0</v>
      </c>
      <c r="G425" s="8">
        <f t="shared" si="17"/>
        <v>0</v>
      </c>
    </row>
    <row r="426" spans="6:7" x14ac:dyDescent="0.25">
      <c r="F426" s="23">
        <f t="shared" si="16"/>
        <v>0</v>
      </c>
      <c r="G426" s="8">
        <f t="shared" si="17"/>
        <v>0</v>
      </c>
    </row>
    <row r="427" spans="6:7" x14ac:dyDescent="0.25">
      <c r="F427" s="23">
        <f t="shared" si="16"/>
        <v>0</v>
      </c>
      <c r="G427" s="8">
        <f t="shared" si="17"/>
        <v>0</v>
      </c>
    </row>
    <row r="428" spans="6:7" x14ac:dyDescent="0.25">
      <c r="F428" s="23">
        <f t="shared" si="16"/>
        <v>0</v>
      </c>
      <c r="G428" s="8">
        <f t="shared" si="17"/>
        <v>0</v>
      </c>
    </row>
    <row r="429" spans="6:7" x14ac:dyDescent="0.25">
      <c r="F429" s="23">
        <f t="shared" si="16"/>
        <v>0</v>
      </c>
      <c r="G429" s="8">
        <f t="shared" si="17"/>
        <v>0</v>
      </c>
    </row>
    <row r="430" spans="6:7" x14ac:dyDescent="0.25">
      <c r="F430" s="23">
        <f t="shared" si="16"/>
        <v>0</v>
      </c>
      <c r="G430" s="8">
        <f t="shared" si="17"/>
        <v>0</v>
      </c>
    </row>
    <row r="431" spans="6:7" x14ac:dyDescent="0.25">
      <c r="F431" s="23">
        <f t="shared" si="16"/>
        <v>0</v>
      </c>
      <c r="G431" s="8">
        <f t="shared" si="17"/>
        <v>0</v>
      </c>
    </row>
    <row r="432" spans="6:7" x14ac:dyDescent="0.25">
      <c r="F432" s="23">
        <f t="shared" si="16"/>
        <v>0</v>
      </c>
      <c r="G432" s="8">
        <f t="shared" si="17"/>
        <v>0</v>
      </c>
    </row>
    <row r="433" spans="6:7" x14ac:dyDescent="0.25">
      <c r="F433" s="23">
        <f t="shared" si="16"/>
        <v>0</v>
      </c>
      <c r="G433" s="8">
        <f t="shared" si="17"/>
        <v>0</v>
      </c>
    </row>
    <row r="434" spans="6:7" x14ac:dyDescent="0.25">
      <c r="F434" s="23">
        <f t="shared" si="16"/>
        <v>0</v>
      </c>
      <c r="G434" s="8">
        <f t="shared" si="17"/>
        <v>0</v>
      </c>
    </row>
    <row r="435" spans="6:7" x14ac:dyDescent="0.25">
      <c r="F435" s="23">
        <f t="shared" si="16"/>
        <v>0</v>
      </c>
      <c r="G435" s="8">
        <f t="shared" si="17"/>
        <v>0</v>
      </c>
    </row>
    <row r="436" spans="6:7" x14ac:dyDescent="0.25">
      <c r="F436" s="23">
        <f t="shared" si="16"/>
        <v>0</v>
      </c>
      <c r="G436" s="8">
        <f t="shared" si="17"/>
        <v>0</v>
      </c>
    </row>
    <row r="437" spans="6:7" x14ac:dyDescent="0.25">
      <c r="F437" s="23">
        <f t="shared" si="16"/>
        <v>0</v>
      </c>
      <c r="G437" s="8">
        <f t="shared" si="17"/>
        <v>0</v>
      </c>
    </row>
    <row r="438" spans="6:7" x14ac:dyDescent="0.25">
      <c r="F438" s="23">
        <f t="shared" si="16"/>
        <v>0</v>
      </c>
      <c r="G438" s="8">
        <f t="shared" si="17"/>
        <v>0</v>
      </c>
    </row>
    <row r="439" spans="6:7" x14ac:dyDescent="0.25">
      <c r="F439" s="23">
        <f t="shared" si="16"/>
        <v>0</v>
      </c>
      <c r="G439" s="8">
        <f t="shared" si="17"/>
        <v>0</v>
      </c>
    </row>
    <row r="440" spans="6:7" x14ac:dyDescent="0.25">
      <c r="F440" s="23">
        <f t="shared" si="16"/>
        <v>0</v>
      </c>
      <c r="G440" s="8">
        <f t="shared" si="17"/>
        <v>0</v>
      </c>
    </row>
    <row r="441" spans="6:7" x14ac:dyDescent="0.25">
      <c r="F441" s="23">
        <f t="shared" si="16"/>
        <v>0</v>
      </c>
      <c r="G441" s="8">
        <f t="shared" si="17"/>
        <v>0</v>
      </c>
    </row>
    <row r="442" spans="6:7" x14ac:dyDescent="0.25">
      <c r="F442" s="23">
        <f t="shared" si="16"/>
        <v>0</v>
      </c>
      <c r="G442" s="8">
        <f t="shared" si="17"/>
        <v>0</v>
      </c>
    </row>
    <row r="443" spans="6:7" x14ac:dyDescent="0.25">
      <c r="F443" s="23">
        <f t="shared" si="16"/>
        <v>0</v>
      </c>
      <c r="G443" s="8">
        <f t="shared" si="17"/>
        <v>0</v>
      </c>
    </row>
    <row r="444" spans="6:7" x14ac:dyDescent="0.25">
      <c r="F444" s="23">
        <f t="shared" si="16"/>
        <v>0</v>
      </c>
      <c r="G444" s="8">
        <f t="shared" si="17"/>
        <v>0</v>
      </c>
    </row>
    <row r="445" spans="6:7" x14ac:dyDescent="0.25">
      <c r="F445" s="23">
        <f t="shared" si="16"/>
        <v>0</v>
      </c>
      <c r="G445" s="8">
        <f t="shared" si="17"/>
        <v>0</v>
      </c>
    </row>
    <row r="446" spans="6:7" x14ac:dyDescent="0.25">
      <c r="F446" s="23">
        <f t="shared" si="16"/>
        <v>0</v>
      </c>
      <c r="G446" s="8">
        <f t="shared" si="17"/>
        <v>0</v>
      </c>
    </row>
    <row r="447" spans="6:7" x14ac:dyDescent="0.25">
      <c r="F447" s="23">
        <f t="shared" si="16"/>
        <v>0</v>
      </c>
      <c r="G447" s="8">
        <f t="shared" si="17"/>
        <v>0</v>
      </c>
    </row>
    <row r="448" spans="6:7" x14ac:dyDescent="0.25">
      <c r="F448" s="23">
        <f t="shared" si="16"/>
        <v>0</v>
      </c>
      <c r="G448" s="8">
        <f t="shared" si="17"/>
        <v>0</v>
      </c>
    </row>
    <row r="449" spans="6:7" x14ac:dyDescent="0.25">
      <c r="F449" s="23">
        <f t="shared" si="16"/>
        <v>0</v>
      </c>
      <c r="G449" s="8">
        <f t="shared" si="17"/>
        <v>0</v>
      </c>
    </row>
    <row r="450" spans="6:7" x14ac:dyDescent="0.25">
      <c r="F450" s="23">
        <f t="shared" si="16"/>
        <v>0</v>
      </c>
      <c r="G450" s="8">
        <f t="shared" si="17"/>
        <v>0</v>
      </c>
    </row>
    <row r="451" spans="6:7" x14ac:dyDescent="0.25">
      <c r="F451" s="23">
        <f t="shared" si="16"/>
        <v>0</v>
      </c>
      <c r="G451" s="8">
        <f t="shared" si="17"/>
        <v>0</v>
      </c>
    </row>
    <row r="452" spans="6:7" x14ac:dyDescent="0.25">
      <c r="F452" s="23">
        <f t="shared" si="16"/>
        <v>0</v>
      </c>
      <c r="G452" s="8">
        <f t="shared" si="17"/>
        <v>0</v>
      </c>
    </row>
    <row r="453" spans="6:7" x14ac:dyDescent="0.25">
      <c r="F453" s="23">
        <f t="shared" si="16"/>
        <v>0</v>
      </c>
      <c r="G453" s="8">
        <f t="shared" si="17"/>
        <v>0</v>
      </c>
    </row>
    <row r="454" spans="6:7" x14ac:dyDescent="0.25">
      <c r="F454" s="23">
        <f t="shared" si="16"/>
        <v>0</v>
      </c>
      <c r="G454" s="8">
        <f t="shared" si="17"/>
        <v>0</v>
      </c>
    </row>
    <row r="455" spans="6:7" x14ac:dyDescent="0.25">
      <c r="F455" s="23">
        <f t="shared" si="16"/>
        <v>0</v>
      </c>
      <c r="G455" s="8">
        <f t="shared" si="17"/>
        <v>0</v>
      </c>
    </row>
    <row r="456" spans="6:7" x14ac:dyDescent="0.25">
      <c r="F456" s="23">
        <f t="shared" si="16"/>
        <v>0</v>
      </c>
      <c r="G456" s="8">
        <f t="shared" si="17"/>
        <v>0</v>
      </c>
    </row>
    <row r="457" spans="6:7" x14ac:dyDescent="0.25">
      <c r="F457" s="23">
        <f t="shared" si="16"/>
        <v>0</v>
      </c>
      <c r="G457" s="8">
        <f t="shared" si="17"/>
        <v>0</v>
      </c>
    </row>
    <row r="458" spans="6:7" x14ac:dyDescent="0.25">
      <c r="F458" s="23">
        <f t="shared" si="16"/>
        <v>0</v>
      </c>
      <c r="G458" s="8">
        <f t="shared" si="17"/>
        <v>0</v>
      </c>
    </row>
    <row r="459" spans="6:7" x14ac:dyDescent="0.25">
      <c r="F459" s="23">
        <f t="shared" si="16"/>
        <v>0</v>
      </c>
      <c r="G459" s="8">
        <f t="shared" si="17"/>
        <v>0</v>
      </c>
    </row>
    <row r="460" spans="6:7" x14ac:dyDescent="0.25">
      <c r="F460" s="23">
        <f t="shared" si="16"/>
        <v>0</v>
      </c>
      <c r="G460" s="8">
        <f t="shared" si="17"/>
        <v>0</v>
      </c>
    </row>
    <row r="461" spans="6:7" x14ac:dyDescent="0.25">
      <c r="F461" s="23">
        <f t="shared" si="16"/>
        <v>0</v>
      </c>
      <c r="G461" s="8">
        <f t="shared" si="17"/>
        <v>0</v>
      </c>
    </row>
    <row r="462" spans="6:7" x14ac:dyDescent="0.25">
      <c r="F462" s="23">
        <f t="shared" si="16"/>
        <v>0</v>
      </c>
      <c r="G462" s="8">
        <f t="shared" si="17"/>
        <v>0</v>
      </c>
    </row>
    <row r="463" spans="6:7" x14ac:dyDescent="0.25">
      <c r="F463" s="23">
        <f t="shared" si="16"/>
        <v>0</v>
      </c>
      <c r="G463" s="8">
        <f t="shared" si="17"/>
        <v>0</v>
      </c>
    </row>
    <row r="464" spans="6:7" x14ac:dyDescent="0.25">
      <c r="F464" s="23">
        <f t="shared" si="16"/>
        <v>0</v>
      </c>
      <c r="G464" s="8">
        <f t="shared" si="17"/>
        <v>0</v>
      </c>
    </row>
    <row r="465" spans="6:7" x14ac:dyDescent="0.25">
      <c r="F465" s="23">
        <f t="shared" si="16"/>
        <v>0</v>
      </c>
      <c r="G465" s="8">
        <f t="shared" si="17"/>
        <v>0</v>
      </c>
    </row>
    <row r="466" spans="6:7" x14ac:dyDescent="0.25">
      <c r="F466" s="23">
        <f t="shared" si="16"/>
        <v>0</v>
      </c>
      <c r="G466" s="8">
        <f t="shared" si="17"/>
        <v>0</v>
      </c>
    </row>
    <row r="467" spans="6:7" x14ac:dyDescent="0.25">
      <c r="F467" s="23">
        <f t="shared" si="16"/>
        <v>0</v>
      </c>
      <c r="G467" s="8">
        <f t="shared" si="17"/>
        <v>0</v>
      </c>
    </row>
    <row r="468" spans="6:7" x14ac:dyDescent="0.25">
      <c r="F468" s="23">
        <f t="shared" si="16"/>
        <v>0</v>
      </c>
      <c r="G468" s="8">
        <f t="shared" si="17"/>
        <v>0</v>
      </c>
    </row>
    <row r="469" spans="6:7" x14ac:dyDescent="0.25">
      <c r="F469" s="23">
        <f t="shared" si="16"/>
        <v>0</v>
      </c>
      <c r="G469" s="8">
        <f t="shared" si="17"/>
        <v>0</v>
      </c>
    </row>
    <row r="470" spans="6:7" x14ac:dyDescent="0.25">
      <c r="F470" s="23">
        <f t="shared" si="16"/>
        <v>0</v>
      </c>
      <c r="G470" s="8">
        <f t="shared" si="17"/>
        <v>0</v>
      </c>
    </row>
    <row r="471" spans="6:7" x14ac:dyDescent="0.25">
      <c r="F471" s="23">
        <f t="shared" si="16"/>
        <v>0</v>
      </c>
      <c r="G471" s="8">
        <f t="shared" si="17"/>
        <v>0</v>
      </c>
    </row>
    <row r="472" spans="6:7" x14ac:dyDescent="0.25">
      <c r="F472" s="23">
        <f t="shared" si="16"/>
        <v>0</v>
      </c>
      <c r="G472" s="8">
        <f t="shared" si="17"/>
        <v>0</v>
      </c>
    </row>
    <row r="473" spans="6:7" x14ac:dyDescent="0.25">
      <c r="F473" s="23">
        <f t="shared" si="16"/>
        <v>0</v>
      </c>
      <c r="G473" s="8">
        <f t="shared" si="17"/>
        <v>0</v>
      </c>
    </row>
    <row r="474" spans="6:7" x14ac:dyDescent="0.25">
      <c r="F474" s="23">
        <f t="shared" ref="F474:F537" si="18">B474</f>
        <v>0</v>
      </c>
      <c r="G474" s="8">
        <f t="shared" ref="G474:G537" si="19">A474</f>
        <v>0</v>
      </c>
    </row>
    <row r="475" spans="6:7" x14ac:dyDescent="0.25">
      <c r="F475" s="23">
        <f t="shared" si="18"/>
        <v>0</v>
      </c>
      <c r="G475" s="8">
        <f t="shared" si="19"/>
        <v>0</v>
      </c>
    </row>
    <row r="476" spans="6:7" x14ac:dyDescent="0.25">
      <c r="F476" s="23">
        <f t="shared" si="18"/>
        <v>0</v>
      </c>
      <c r="G476" s="8">
        <f t="shared" si="19"/>
        <v>0</v>
      </c>
    </row>
    <row r="477" spans="6:7" x14ac:dyDescent="0.25">
      <c r="F477" s="23">
        <f t="shared" si="18"/>
        <v>0</v>
      </c>
      <c r="G477" s="8">
        <f t="shared" si="19"/>
        <v>0</v>
      </c>
    </row>
    <row r="478" spans="6:7" x14ac:dyDescent="0.25">
      <c r="F478" s="23">
        <f t="shared" si="18"/>
        <v>0</v>
      </c>
      <c r="G478" s="8">
        <f t="shared" si="19"/>
        <v>0</v>
      </c>
    </row>
    <row r="479" spans="6:7" x14ac:dyDescent="0.25">
      <c r="F479" s="23">
        <f t="shared" si="18"/>
        <v>0</v>
      </c>
      <c r="G479" s="8">
        <f t="shared" si="19"/>
        <v>0</v>
      </c>
    </row>
    <row r="480" spans="6:7" x14ac:dyDescent="0.25">
      <c r="F480" s="23">
        <f t="shared" si="18"/>
        <v>0</v>
      </c>
      <c r="G480" s="8">
        <f t="shared" si="19"/>
        <v>0</v>
      </c>
    </row>
    <row r="481" spans="6:7" x14ac:dyDescent="0.25">
      <c r="F481" s="23">
        <f t="shared" si="18"/>
        <v>0</v>
      </c>
      <c r="G481" s="8">
        <f t="shared" si="19"/>
        <v>0</v>
      </c>
    </row>
    <row r="482" spans="6:7" x14ac:dyDescent="0.25">
      <c r="F482" s="23">
        <f t="shared" si="18"/>
        <v>0</v>
      </c>
      <c r="G482" s="8">
        <f t="shared" si="19"/>
        <v>0</v>
      </c>
    </row>
    <row r="483" spans="6:7" x14ac:dyDescent="0.25">
      <c r="F483" s="23">
        <f t="shared" si="18"/>
        <v>0</v>
      </c>
      <c r="G483" s="8">
        <f t="shared" si="19"/>
        <v>0</v>
      </c>
    </row>
    <row r="484" spans="6:7" x14ac:dyDescent="0.25">
      <c r="F484" s="23">
        <f t="shared" si="18"/>
        <v>0</v>
      </c>
      <c r="G484" s="8">
        <f t="shared" si="19"/>
        <v>0</v>
      </c>
    </row>
    <row r="485" spans="6:7" x14ac:dyDescent="0.25">
      <c r="F485" s="23">
        <f t="shared" si="18"/>
        <v>0</v>
      </c>
      <c r="G485" s="8">
        <f t="shared" si="19"/>
        <v>0</v>
      </c>
    </row>
    <row r="486" spans="6:7" x14ac:dyDescent="0.25">
      <c r="F486" s="23">
        <f t="shared" si="18"/>
        <v>0</v>
      </c>
      <c r="G486" s="8">
        <f t="shared" si="19"/>
        <v>0</v>
      </c>
    </row>
    <row r="487" spans="6:7" x14ac:dyDescent="0.25">
      <c r="F487" s="23">
        <f t="shared" si="18"/>
        <v>0</v>
      </c>
      <c r="G487" s="8">
        <f t="shared" si="19"/>
        <v>0</v>
      </c>
    </row>
    <row r="488" spans="6:7" x14ac:dyDescent="0.25">
      <c r="F488" s="23">
        <f t="shared" si="18"/>
        <v>0</v>
      </c>
      <c r="G488" s="8">
        <f t="shared" si="19"/>
        <v>0</v>
      </c>
    </row>
    <row r="489" spans="6:7" x14ac:dyDescent="0.25">
      <c r="F489" s="23">
        <f t="shared" si="18"/>
        <v>0</v>
      </c>
      <c r="G489" s="8">
        <f t="shared" si="19"/>
        <v>0</v>
      </c>
    </row>
    <row r="490" spans="6:7" x14ac:dyDescent="0.25">
      <c r="F490" s="23">
        <f t="shared" si="18"/>
        <v>0</v>
      </c>
      <c r="G490" s="8">
        <f t="shared" si="19"/>
        <v>0</v>
      </c>
    </row>
    <row r="491" spans="6:7" x14ac:dyDescent="0.25">
      <c r="F491" s="23">
        <f t="shared" si="18"/>
        <v>0</v>
      </c>
      <c r="G491" s="8">
        <f t="shared" si="19"/>
        <v>0</v>
      </c>
    </row>
    <row r="492" spans="6:7" x14ac:dyDescent="0.25">
      <c r="F492" s="23">
        <f t="shared" si="18"/>
        <v>0</v>
      </c>
      <c r="G492" s="8">
        <f t="shared" si="19"/>
        <v>0</v>
      </c>
    </row>
    <row r="493" spans="6:7" x14ac:dyDescent="0.25">
      <c r="F493" s="23">
        <f t="shared" si="18"/>
        <v>0</v>
      </c>
      <c r="G493" s="8">
        <f t="shared" si="19"/>
        <v>0</v>
      </c>
    </row>
    <row r="494" spans="6:7" x14ac:dyDescent="0.25">
      <c r="F494" s="23">
        <f t="shared" si="18"/>
        <v>0</v>
      </c>
      <c r="G494" s="8">
        <f t="shared" si="19"/>
        <v>0</v>
      </c>
    </row>
    <row r="495" spans="6:7" x14ac:dyDescent="0.25">
      <c r="F495" s="23">
        <f t="shared" si="18"/>
        <v>0</v>
      </c>
      <c r="G495" s="8">
        <f t="shared" si="19"/>
        <v>0</v>
      </c>
    </row>
    <row r="496" spans="6:7" x14ac:dyDescent="0.25">
      <c r="F496" s="23">
        <f t="shared" si="18"/>
        <v>0</v>
      </c>
      <c r="G496" s="8">
        <f t="shared" si="19"/>
        <v>0</v>
      </c>
    </row>
    <row r="497" spans="6:7" x14ac:dyDescent="0.25">
      <c r="F497" s="23">
        <f t="shared" si="18"/>
        <v>0</v>
      </c>
      <c r="G497" s="8">
        <f t="shared" si="19"/>
        <v>0</v>
      </c>
    </row>
    <row r="498" spans="6:7" x14ac:dyDescent="0.25">
      <c r="F498" s="23">
        <f t="shared" si="18"/>
        <v>0</v>
      </c>
      <c r="G498" s="8">
        <f t="shared" si="19"/>
        <v>0</v>
      </c>
    </row>
    <row r="499" spans="6:7" x14ac:dyDescent="0.25">
      <c r="F499" s="23">
        <f t="shared" si="18"/>
        <v>0</v>
      </c>
      <c r="G499" s="8">
        <f t="shared" si="19"/>
        <v>0</v>
      </c>
    </row>
    <row r="500" spans="6:7" x14ac:dyDescent="0.25">
      <c r="F500" s="23">
        <f t="shared" si="18"/>
        <v>0</v>
      </c>
      <c r="G500" s="8">
        <f t="shared" si="19"/>
        <v>0</v>
      </c>
    </row>
    <row r="501" spans="6:7" x14ac:dyDescent="0.25">
      <c r="F501" s="23">
        <f t="shared" si="18"/>
        <v>0</v>
      </c>
      <c r="G501" s="8">
        <f t="shared" si="19"/>
        <v>0</v>
      </c>
    </row>
    <row r="502" spans="6:7" x14ac:dyDescent="0.25">
      <c r="F502" s="23">
        <f t="shared" si="18"/>
        <v>0</v>
      </c>
      <c r="G502" s="8">
        <f t="shared" si="19"/>
        <v>0</v>
      </c>
    </row>
    <row r="503" spans="6:7" x14ac:dyDescent="0.25">
      <c r="F503" s="23">
        <f t="shared" si="18"/>
        <v>0</v>
      </c>
      <c r="G503" s="8">
        <f t="shared" si="19"/>
        <v>0</v>
      </c>
    </row>
    <row r="504" spans="6:7" x14ac:dyDescent="0.25">
      <c r="F504" s="23">
        <f t="shared" si="18"/>
        <v>0</v>
      </c>
      <c r="G504" s="8">
        <f t="shared" si="19"/>
        <v>0</v>
      </c>
    </row>
    <row r="505" spans="6:7" x14ac:dyDescent="0.25">
      <c r="F505" s="23">
        <f t="shared" si="18"/>
        <v>0</v>
      </c>
      <c r="G505" s="8">
        <f t="shared" si="19"/>
        <v>0</v>
      </c>
    </row>
    <row r="506" spans="6:7" x14ac:dyDescent="0.25">
      <c r="F506" s="23">
        <f t="shared" si="18"/>
        <v>0</v>
      </c>
      <c r="G506" s="8">
        <f t="shared" si="19"/>
        <v>0</v>
      </c>
    </row>
    <row r="507" spans="6:7" x14ac:dyDescent="0.25">
      <c r="F507" s="23">
        <f t="shared" si="18"/>
        <v>0</v>
      </c>
      <c r="G507" s="8">
        <f t="shared" si="19"/>
        <v>0</v>
      </c>
    </row>
    <row r="508" spans="6:7" x14ac:dyDescent="0.25">
      <c r="F508" s="23">
        <f t="shared" si="18"/>
        <v>0</v>
      </c>
      <c r="G508" s="8">
        <f t="shared" si="19"/>
        <v>0</v>
      </c>
    </row>
    <row r="509" spans="6:7" x14ac:dyDescent="0.25">
      <c r="F509" s="23">
        <f t="shared" si="18"/>
        <v>0</v>
      </c>
      <c r="G509" s="8">
        <f t="shared" si="19"/>
        <v>0</v>
      </c>
    </row>
    <row r="510" spans="6:7" x14ac:dyDescent="0.25">
      <c r="F510" s="23">
        <f t="shared" si="18"/>
        <v>0</v>
      </c>
      <c r="G510" s="8">
        <f t="shared" si="19"/>
        <v>0</v>
      </c>
    </row>
    <row r="511" spans="6:7" x14ac:dyDescent="0.25">
      <c r="F511" s="23">
        <f t="shared" si="18"/>
        <v>0</v>
      </c>
      <c r="G511" s="8">
        <f t="shared" si="19"/>
        <v>0</v>
      </c>
    </row>
    <row r="512" spans="6:7" x14ac:dyDescent="0.25">
      <c r="F512" s="23">
        <f t="shared" si="18"/>
        <v>0</v>
      </c>
      <c r="G512" s="8">
        <f t="shared" si="19"/>
        <v>0</v>
      </c>
    </row>
    <row r="513" spans="6:7" x14ac:dyDescent="0.25">
      <c r="F513" s="23">
        <f t="shared" si="18"/>
        <v>0</v>
      </c>
      <c r="G513" s="8">
        <f t="shared" si="19"/>
        <v>0</v>
      </c>
    </row>
    <row r="514" spans="6:7" x14ac:dyDescent="0.25">
      <c r="F514" s="23">
        <f t="shared" si="18"/>
        <v>0</v>
      </c>
      <c r="G514" s="8">
        <f t="shared" si="19"/>
        <v>0</v>
      </c>
    </row>
    <row r="515" spans="6:7" x14ac:dyDescent="0.25">
      <c r="F515" s="23">
        <f t="shared" si="18"/>
        <v>0</v>
      </c>
      <c r="G515" s="8">
        <f t="shared" si="19"/>
        <v>0</v>
      </c>
    </row>
    <row r="516" spans="6:7" x14ac:dyDescent="0.25">
      <c r="F516" s="23">
        <f t="shared" si="18"/>
        <v>0</v>
      </c>
      <c r="G516" s="8">
        <f t="shared" si="19"/>
        <v>0</v>
      </c>
    </row>
    <row r="517" spans="6:7" x14ac:dyDescent="0.25">
      <c r="F517" s="23">
        <f t="shared" si="18"/>
        <v>0</v>
      </c>
      <c r="G517" s="8">
        <f t="shared" si="19"/>
        <v>0</v>
      </c>
    </row>
    <row r="518" spans="6:7" x14ac:dyDescent="0.25">
      <c r="F518" s="23">
        <f t="shared" si="18"/>
        <v>0</v>
      </c>
      <c r="G518" s="8">
        <f t="shared" si="19"/>
        <v>0</v>
      </c>
    </row>
    <row r="519" spans="6:7" x14ac:dyDescent="0.25">
      <c r="F519" s="23">
        <f t="shared" si="18"/>
        <v>0</v>
      </c>
      <c r="G519" s="8">
        <f t="shared" si="19"/>
        <v>0</v>
      </c>
    </row>
    <row r="520" spans="6:7" x14ac:dyDescent="0.25">
      <c r="F520" s="23">
        <f t="shared" si="18"/>
        <v>0</v>
      </c>
      <c r="G520" s="8">
        <f t="shared" si="19"/>
        <v>0</v>
      </c>
    </row>
    <row r="521" spans="6:7" x14ac:dyDescent="0.25">
      <c r="F521" s="23">
        <f t="shared" si="18"/>
        <v>0</v>
      </c>
      <c r="G521" s="8">
        <f t="shared" si="19"/>
        <v>0</v>
      </c>
    </row>
    <row r="522" spans="6:7" x14ac:dyDescent="0.25">
      <c r="F522" s="23">
        <f t="shared" si="18"/>
        <v>0</v>
      </c>
      <c r="G522" s="8">
        <f t="shared" si="19"/>
        <v>0</v>
      </c>
    </row>
    <row r="523" spans="6:7" x14ac:dyDescent="0.25">
      <c r="F523" s="23">
        <f t="shared" si="18"/>
        <v>0</v>
      </c>
      <c r="G523" s="8">
        <f t="shared" si="19"/>
        <v>0</v>
      </c>
    </row>
    <row r="524" spans="6:7" x14ac:dyDescent="0.25">
      <c r="F524" s="23">
        <f t="shared" si="18"/>
        <v>0</v>
      </c>
      <c r="G524" s="8">
        <f t="shared" si="19"/>
        <v>0</v>
      </c>
    </row>
    <row r="525" spans="6:7" x14ac:dyDescent="0.25">
      <c r="F525" s="23">
        <f t="shared" si="18"/>
        <v>0</v>
      </c>
      <c r="G525" s="8">
        <f t="shared" si="19"/>
        <v>0</v>
      </c>
    </row>
    <row r="526" spans="6:7" x14ac:dyDescent="0.25">
      <c r="F526" s="23">
        <f t="shared" si="18"/>
        <v>0</v>
      </c>
      <c r="G526" s="8">
        <f t="shared" si="19"/>
        <v>0</v>
      </c>
    </row>
    <row r="527" spans="6:7" x14ac:dyDescent="0.25">
      <c r="F527" s="23">
        <f t="shared" si="18"/>
        <v>0</v>
      </c>
      <c r="G527" s="8">
        <f t="shared" si="19"/>
        <v>0</v>
      </c>
    </row>
    <row r="528" spans="6:7" x14ac:dyDescent="0.25">
      <c r="F528" s="23">
        <f t="shared" si="18"/>
        <v>0</v>
      </c>
      <c r="G528" s="8">
        <f t="shared" si="19"/>
        <v>0</v>
      </c>
    </row>
    <row r="529" spans="6:7" x14ac:dyDescent="0.25">
      <c r="F529" s="23">
        <f t="shared" si="18"/>
        <v>0</v>
      </c>
      <c r="G529" s="8">
        <f t="shared" si="19"/>
        <v>0</v>
      </c>
    </row>
    <row r="530" spans="6:7" x14ac:dyDescent="0.25">
      <c r="F530" s="23">
        <f t="shared" si="18"/>
        <v>0</v>
      </c>
      <c r="G530" s="8">
        <f t="shared" si="19"/>
        <v>0</v>
      </c>
    </row>
    <row r="531" spans="6:7" x14ac:dyDescent="0.25">
      <c r="F531" s="23">
        <f t="shared" si="18"/>
        <v>0</v>
      </c>
      <c r="G531" s="8">
        <f t="shared" si="19"/>
        <v>0</v>
      </c>
    </row>
    <row r="532" spans="6:7" x14ac:dyDescent="0.25">
      <c r="F532" s="23">
        <f t="shared" si="18"/>
        <v>0</v>
      </c>
      <c r="G532" s="8">
        <f t="shared" si="19"/>
        <v>0</v>
      </c>
    </row>
    <row r="533" spans="6:7" x14ac:dyDescent="0.25">
      <c r="F533" s="23">
        <f t="shared" si="18"/>
        <v>0</v>
      </c>
      <c r="G533" s="8">
        <f t="shared" si="19"/>
        <v>0</v>
      </c>
    </row>
    <row r="534" spans="6:7" x14ac:dyDescent="0.25">
      <c r="F534" s="23">
        <f t="shared" si="18"/>
        <v>0</v>
      </c>
      <c r="G534" s="8">
        <f t="shared" si="19"/>
        <v>0</v>
      </c>
    </row>
    <row r="535" spans="6:7" x14ac:dyDescent="0.25">
      <c r="F535" s="23">
        <f t="shared" si="18"/>
        <v>0</v>
      </c>
      <c r="G535" s="8">
        <f t="shared" si="19"/>
        <v>0</v>
      </c>
    </row>
    <row r="536" spans="6:7" x14ac:dyDescent="0.25">
      <c r="F536" s="23">
        <f t="shared" si="18"/>
        <v>0</v>
      </c>
      <c r="G536" s="8">
        <f t="shared" si="19"/>
        <v>0</v>
      </c>
    </row>
    <row r="537" spans="6:7" x14ac:dyDescent="0.25">
      <c r="F537" s="23">
        <f t="shared" si="18"/>
        <v>0</v>
      </c>
      <c r="G537" s="8">
        <f t="shared" si="19"/>
        <v>0</v>
      </c>
    </row>
    <row r="538" spans="6:7" x14ac:dyDescent="0.25">
      <c r="F538" s="23">
        <f t="shared" ref="F538:F543" si="20">B538</f>
        <v>0</v>
      </c>
      <c r="G538" s="8">
        <f t="shared" ref="G538:G543" si="21">A538</f>
        <v>0</v>
      </c>
    </row>
    <row r="539" spans="6:7" x14ac:dyDescent="0.25">
      <c r="F539" s="23">
        <f t="shared" si="20"/>
        <v>0</v>
      </c>
      <c r="G539" s="8">
        <f t="shared" si="21"/>
        <v>0</v>
      </c>
    </row>
    <row r="540" spans="6:7" x14ac:dyDescent="0.25">
      <c r="F540" s="23">
        <f t="shared" si="20"/>
        <v>0</v>
      </c>
      <c r="G540" s="8">
        <f t="shared" si="21"/>
        <v>0</v>
      </c>
    </row>
    <row r="541" spans="6:7" x14ac:dyDescent="0.25">
      <c r="F541" s="23">
        <f t="shared" si="20"/>
        <v>0</v>
      </c>
      <c r="G541" s="8">
        <f t="shared" si="21"/>
        <v>0</v>
      </c>
    </row>
    <row r="542" spans="6:7" x14ac:dyDescent="0.25">
      <c r="F542" s="23">
        <f t="shared" si="20"/>
        <v>0</v>
      </c>
      <c r="G542" s="8">
        <f t="shared" si="21"/>
        <v>0</v>
      </c>
    </row>
    <row r="543" spans="6:7" x14ac:dyDescent="0.25">
      <c r="F543" s="23">
        <f t="shared" si="20"/>
        <v>0</v>
      </c>
      <c r="G543" s="8">
        <f t="shared" si="21"/>
        <v>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Q33"/>
  <sheetViews>
    <sheetView workbookViewId="0">
      <selection sqref="A1:P33"/>
    </sheetView>
  </sheetViews>
  <sheetFormatPr defaultRowHeight="15" x14ac:dyDescent="0.25"/>
  <cols>
    <col min="1" max="1" width="22.5703125" style="150" customWidth="1"/>
    <col min="2" max="2" width="8.140625" style="150" bestFit="1" customWidth="1"/>
    <col min="3" max="3" width="12.28515625" style="150" bestFit="1" customWidth="1"/>
    <col min="4" max="4" width="18.28515625" style="150" bestFit="1" customWidth="1"/>
    <col min="5" max="5" width="9.5703125" style="150" bestFit="1" customWidth="1"/>
    <col min="6" max="6" width="9" style="150" bestFit="1" customWidth="1"/>
    <col min="7" max="7" width="8.5703125" style="150" bestFit="1" customWidth="1"/>
    <col min="8" max="8" width="13.7109375" style="150" bestFit="1" customWidth="1"/>
    <col min="9" max="9" width="20.85546875" style="150" bestFit="1" customWidth="1"/>
    <col min="10" max="10" width="8.7109375" style="150" bestFit="1" customWidth="1"/>
    <col min="11" max="13" width="11" style="150" bestFit="1" customWidth="1"/>
    <col min="14" max="14" width="12.140625" style="150" bestFit="1" customWidth="1"/>
    <col min="15" max="15" width="14.5703125" style="150" bestFit="1" customWidth="1"/>
    <col min="16" max="16" width="16.42578125" style="150" bestFit="1" customWidth="1"/>
    <col min="17" max="17" width="9.140625" style="150"/>
    <col min="18" max="16384" width="9.140625" style="111"/>
  </cols>
  <sheetData>
    <row r="1" spans="1:17" s="152" customFormat="1" x14ac:dyDescent="0.25">
      <c r="A1" s="151" t="s">
        <v>182</v>
      </c>
      <c r="B1" s="151" t="s">
        <v>185</v>
      </c>
      <c r="C1" s="151" t="s">
        <v>178</v>
      </c>
      <c r="D1" s="151" t="s">
        <v>205</v>
      </c>
      <c r="E1" s="151" t="s">
        <v>179</v>
      </c>
      <c r="F1" s="151" t="s">
        <v>177</v>
      </c>
      <c r="G1" s="151" t="s">
        <v>175</v>
      </c>
      <c r="H1" s="151" t="s">
        <v>188</v>
      </c>
      <c r="I1" s="151" t="s">
        <v>189</v>
      </c>
      <c r="J1" s="151" t="s">
        <v>183</v>
      </c>
      <c r="K1" s="151" t="s">
        <v>181</v>
      </c>
      <c r="L1" s="151" t="s">
        <v>176</v>
      </c>
      <c r="M1" s="151" t="s">
        <v>186</v>
      </c>
      <c r="N1" s="151" t="s">
        <v>180</v>
      </c>
      <c r="O1" s="151" t="s">
        <v>187</v>
      </c>
      <c r="P1" s="151" t="s">
        <v>184</v>
      </c>
      <c r="Q1" s="151" t="s">
        <v>184</v>
      </c>
    </row>
    <row r="2" spans="1:17" x14ac:dyDescent="0.25">
      <c r="A2" s="150">
        <v>50.86</v>
      </c>
      <c r="B2" s="150">
        <v>0.38</v>
      </c>
      <c r="C2" s="150">
        <v>18.440000000000001</v>
      </c>
      <c r="D2" s="165">
        <v>42647</v>
      </c>
      <c r="E2" s="150">
        <v>0.27</v>
      </c>
      <c r="F2" s="150" t="s">
        <v>255</v>
      </c>
      <c r="G2" s="150">
        <v>293.60000000000002</v>
      </c>
      <c r="H2" s="150">
        <v>0</v>
      </c>
      <c r="I2" s="150">
        <v>0</v>
      </c>
      <c r="J2" s="150">
        <v>1004.88</v>
      </c>
      <c r="K2" s="150" t="s">
        <v>244</v>
      </c>
      <c r="L2" s="150">
        <v>50.86</v>
      </c>
      <c r="M2" s="150">
        <v>1475560800</v>
      </c>
      <c r="N2" s="150">
        <v>9.1199999999999992</v>
      </c>
      <c r="O2" s="150">
        <v>285</v>
      </c>
      <c r="P2" s="150">
        <v>7.69</v>
      </c>
      <c r="Q2" s="150">
        <v>5.89</v>
      </c>
    </row>
    <row r="3" spans="1:17" x14ac:dyDescent="0.25">
      <c r="A3" s="150">
        <v>46.34</v>
      </c>
      <c r="B3" s="150">
        <v>0.31</v>
      </c>
      <c r="C3" s="150">
        <v>19.05</v>
      </c>
      <c r="D3" s="165">
        <v>42647.041666666664</v>
      </c>
      <c r="E3" s="150">
        <v>0.3</v>
      </c>
      <c r="F3" s="150" t="s">
        <v>255</v>
      </c>
      <c r="G3" s="150">
        <v>294.23</v>
      </c>
      <c r="H3" s="150">
        <v>0</v>
      </c>
      <c r="I3" s="150">
        <v>0</v>
      </c>
      <c r="J3" s="150">
        <v>1005.31</v>
      </c>
      <c r="K3" s="150" t="s">
        <v>244</v>
      </c>
      <c r="L3" s="150">
        <v>49.15</v>
      </c>
      <c r="M3" s="150">
        <v>1475564400</v>
      </c>
      <c r="N3" s="150">
        <v>9.16</v>
      </c>
      <c r="O3" s="150">
        <v>283</v>
      </c>
      <c r="P3" s="150">
        <v>6.61</v>
      </c>
      <c r="Q3" s="150">
        <v>6.13</v>
      </c>
    </row>
    <row r="4" spans="1:17" x14ac:dyDescent="0.25">
      <c r="A4" s="150">
        <v>44.12</v>
      </c>
      <c r="B4" s="150">
        <v>0.22</v>
      </c>
      <c r="C4" s="150">
        <v>18.98</v>
      </c>
      <c r="D4" s="165">
        <v>42647.083333333336</v>
      </c>
      <c r="E4" s="150">
        <v>0.32</v>
      </c>
      <c r="F4" s="150" t="s">
        <v>225</v>
      </c>
      <c r="G4" s="150">
        <v>294.85000000000002</v>
      </c>
      <c r="H4" s="150">
        <v>0</v>
      </c>
      <c r="I4" s="150">
        <v>0</v>
      </c>
      <c r="J4" s="150">
        <v>1005.62</v>
      </c>
      <c r="K4" s="150" t="s">
        <v>226</v>
      </c>
      <c r="L4" s="150">
        <v>47.02</v>
      </c>
      <c r="M4" s="150">
        <v>1475568000</v>
      </c>
      <c r="N4" s="150">
        <v>9.16</v>
      </c>
      <c r="O4" s="150">
        <v>274</v>
      </c>
      <c r="P4" s="150">
        <v>6</v>
      </c>
      <c r="Q4" s="150">
        <v>5.33</v>
      </c>
    </row>
    <row r="5" spans="1:17" x14ac:dyDescent="0.25">
      <c r="A5" s="150">
        <v>43.07</v>
      </c>
      <c r="B5" s="150">
        <v>0.17</v>
      </c>
      <c r="C5" s="150">
        <v>18.96</v>
      </c>
      <c r="D5" s="165">
        <v>42647.125</v>
      </c>
      <c r="E5" s="150">
        <v>0.34</v>
      </c>
      <c r="F5" s="150" t="s">
        <v>225</v>
      </c>
      <c r="G5" s="150">
        <v>295.48</v>
      </c>
      <c r="H5" s="150">
        <v>0</v>
      </c>
      <c r="I5" s="150">
        <v>0</v>
      </c>
      <c r="J5" s="150">
        <v>1005.95</v>
      </c>
      <c r="K5" s="150" t="s">
        <v>226</v>
      </c>
      <c r="L5" s="150">
        <v>45.56</v>
      </c>
      <c r="M5" s="150">
        <v>1475571600</v>
      </c>
      <c r="N5" s="150">
        <v>8.99</v>
      </c>
      <c r="O5" s="150">
        <v>266</v>
      </c>
      <c r="P5" s="150">
        <v>4.91</v>
      </c>
      <c r="Q5" s="150">
        <v>4.62</v>
      </c>
    </row>
    <row r="6" spans="1:17" x14ac:dyDescent="0.25">
      <c r="A6" s="150">
        <v>41.22</v>
      </c>
      <c r="B6" s="150">
        <v>0.22</v>
      </c>
      <c r="C6" s="150">
        <v>18.78</v>
      </c>
      <c r="D6" s="165">
        <v>42647.166666666664</v>
      </c>
      <c r="E6" s="150">
        <v>0.35</v>
      </c>
      <c r="F6" s="150" t="s">
        <v>225</v>
      </c>
      <c r="G6" s="150">
        <v>296.88</v>
      </c>
      <c r="H6" s="150">
        <v>0</v>
      </c>
      <c r="I6" s="150">
        <v>0</v>
      </c>
      <c r="J6" s="150">
        <v>1006.15</v>
      </c>
      <c r="K6" s="150" t="s">
        <v>226</v>
      </c>
      <c r="L6" s="150">
        <v>44.72</v>
      </c>
      <c r="M6" s="150">
        <v>1475575200</v>
      </c>
      <c r="N6" s="150">
        <v>8.9700000000000006</v>
      </c>
      <c r="O6" s="150">
        <v>252</v>
      </c>
      <c r="P6" s="150">
        <v>6.28</v>
      </c>
      <c r="Q6" s="150">
        <v>3.81</v>
      </c>
    </row>
    <row r="7" spans="1:17" x14ac:dyDescent="0.25">
      <c r="A7" s="150">
        <v>40.31</v>
      </c>
      <c r="B7" s="150">
        <v>0.26</v>
      </c>
      <c r="C7" s="150">
        <v>18.37</v>
      </c>
      <c r="D7" s="165">
        <v>42647.208333333336</v>
      </c>
      <c r="E7" s="150">
        <v>0.36</v>
      </c>
      <c r="F7" s="150" t="s">
        <v>255</v>
      </c>
      <c r="G7" s="150">
        <v>298.48</v>
      </c>
      <c r="H7" s="150">
        <v>0</v>
      </c>
      <c r="I7" s="150">
        <v>0</v>
      </c>
      <c r="J7" s="150">
        <v>1006.08</v>
      </c>
      <c r="K7" s="150" t="s">
        <v>244</v>
      </c>
      <c r="L7" s="150">
        <v>43.35</v>
      </c>
      <c r="M7" s="150">
        <v>1475578800</v>
      </c>
      <c r="N7" s="150">
        <v>9.17</v>
      </c>
      <c r="O7" s="150">
        <v>245</v>
      </c>
      <c r="P7" s="150">
        <v>5.15</v>
      </c>
      <c r="Q7" s="150">
        <v>2.13</v>
      </c>
    </row>
    <row r="8" spans="1:17" x14ac:dyDescent="0.25">
      <c r="A8" s="150">
        <v>40.14</v>
      </c>
      <c r="B8" s="150">
        <v>0.3</v>
      </c>
      <c r="C8" s="150">
        <v>18.739999999999998</v>
      </c>
      <c r="D8" s="165">
        <v>42647.25</v>
      </c>
      <c r="E8" s="150">
        <v>0.37</v>
      </c>
      <c r="F8" s="150" t="s">
        <v>255</v>
      </c>
      <c r="G8" s="150">
        <v>299.22000000000003</v>
      </c>
      <c r="H8" s="150">
        <v>0</v>
      </c>
      <c r="I8" s="150">
        <v>0</v>
      </c>
      <c r="J8" s="150">
        <v>1006.06</v>
      </c>
      <c r="K8" s="150" t="s">
        <v>244</v>
      </c>
      <c r="L8" s="150">
        <v>43.24</v>
      </c>
      <c r="M8" s="150">
        <v>1475582400</v>
      </c>
      <c r="N8" s="150">
        <v>8.6199999999999992</v>
      </c>
      <c r="O8" s="150">
        <v>241</v>
      </c>
      <c r="P8" s="150">
        <v>5.19</v>
      </c>
      <c r="Q8" s="150">
        <v>2.0699999999999998</v>
      </c>
    </row>
    <row r="9" spans="1:17" x14ac:dyDescent="0.25">
      <c r="A9" s="150">
        <v>41.46</v>
      </c>
      <c r="B9" s="150">
        <v>0.28000000000000003</v>
      </c>
      <c r="C9" s="150">
        <v>18.399999999999999</v>
      </c>
      <c r="D9" s="165">
        <v>42647.291666666664</v>
      </c>
      <c r="E9" s="150">
        <v>0.35</v>
      </c>
      <c r="F9" s="150" t="s">
        <v>255</v>
      </c>
      <c r="G9" s="150">
        <v>298.72000000000003</v>
      </c>
      <c r="H9" s="150">
        <v>0</v>
      </c>
      <c r="I9" s="150">
        <v>0</v>
      </c>
      <c r="J9" s="150">
        <v>1006.03</v>
      </c>
      <c r="K9" s="150" t="s">
        <v>244</v>
      </c>
      <c r="L9" s="150">
        <v>44.67</v>
      </c>
      <c r="M9" s="150">
        <v>1475586000</v>
      </c>
      <c r="N9" s="150">
        <v>8.11</v>
      </c>
      <c r="O9" s="150">
        <v>247</v>
      </c>
      <c r="P9" s="150">
        <v>5.77</v>
      </c>
      <c r="Q9" s="150">
        <v>2.58</v>
      </c>
    </row>
    <row r="10" spans="1:17" x14ac:dyDescent="0.25">
      <c r="A10" s="150">
        <v>43.69</v>
      </c>
      <c r="B10" s="150">
        <v>0.27</v>
      </c>
      <c r="C10" s="150">
        <v>18.79</v>
      </c>
      <c r="D10" s="165">
        <v>42647.333333333336</v>
      </c>
      <c r="E10" s="150">
        <v>0.32</v>
      </c>
      <c r="F10" s="150" t="s">
        <v>243</v>
      </c>
      <c r="G10" s="150">
        <v>297.33999999999997</v>
      </c>
      <c r="H10" s="150">
        <v>0</v>
      </c>
      <c r="I10" s="150">
        <v>0</v>
      </c>
      <c r="J10" s="150">
        <v>1005.94</v>
      </c>
      <c r="K10" s="150" t="s">
        <v>244</v>
      </c>
      <c r="L10" s="150">
        <v>47.03</v>
      </c>
      <c r="M10" s="150">
        <v>1475589600</v>
      </c>
      <c r="N10" s="150">
        <v>7.77</v>
      </c>
      <c r="O10" s="150">
        <v>272</v>
      </c>
      <c r="P10" s="150">
        <v>6.83</v>
      </c>
      <c r="Q10" s="150">
        <v>4.6399999999999997</v>
      </c>
    </row>
    <row r="11" spans="1:17" x14ac:dyDescent="0.25">
      <c r="A11" s="150">
        <v>52.04</v>
      </c>
      <c r="B11" s="150">
        <v>0.19</v>
      </c>
      <c r="C11" s="150">
        <v>19.940000000000001</v>
      </c>
      <c r="D11" s="165">
        <v>42647.375</v>
      </c>
      <c r="E11" s="150">
        <v>0.28000000000000003</v>
      </c>
      <c r="F11" s="150" t="s">
        <v>296</v>
      </c>
      <c r="G11" s="150">
        <v>295.13</v>
      </c>
      <c r="H11" s="150">
        <v>0</v>
      </c>
      <c r="I11" s="150">
        <v>0</v>
      </c>
      <c r="J11" s="150">
        <v>1005.78</v>
      </c>
      <c r="K11" s="150" t="s">
        <v>226</v>
      </c>
      <c r="L11" s="150">
        <v>52.04</v>
      </c>
      <c r="M11" s="150">
        <v>1475593200</v>
      </c>
      <c r="N11" s="150">
        <v>7.58</v>
      </c>
      <c r="O11" s="150">
        <v>284</v>
      </c>
      <c r="P11" s="150">
        <v>7.57</v>
      </c>
      <c r="Q11" s="150">
        <v>7.08</v>
      </c>
    </row>
    <row r="12" spans="1:17" x14ac:dyDescent="0.25">
      <c r="A12" s="150">
        <v>55.98</v>
      </c>
      <c r="B12" s="150">
        <v>0.17</v>
      </c>
      <c r="C12" s="150">
        <v>20.59</v>
      </c>
      <c r="D12" s="165">
        <v>42647.416666666664</v>
      </c>
      <c r="E12" s="150">
        <v>0.25</v>
      </c>
      <c r="F12" s="150" t="s">
        <v>296</v>
      </c>
      <c r="G12" s="150">
        <v>291.56</v>
      </c>
      <c r="H12" s="150">
        <v>0</v>
      </c>
      <c r="I12" s="150">
        <v>0</v>
      </c>
      <c r="J12" s="150">
        <v>1005.55</v>
      </c>
      <c r="K12" s="150" t="s">
        <v>226</v>
      </c>
      <c r="L12" s="150">
        <v>55.98</v>
      </c>
      <c r="M12" s="150">
        <v>1475596800</v>
      </c>
      <c r="N12" s="150">
        <v>7.54</v>
      </c>
      <c r="O12" s="150">
        <v>287</v>
      </c>
      <c r="P12" s="150">
        <v>9.1999999999999993</v>
      </c>
      <c r="Q12" s="150">
        <v>7.65</v>
      </c>
    </row>
    <row r="13" spans="1:17" x14ac:dyDescent="0.25">
      <c r="A13" s="150">
        <v>58.68</v>
      </c>
      <c r="B13" s="150">
        <v>0.18</v>
      </c>
      <c r="C13" s="150">
        <v>21.53</v>
      </c>
      <c r="D13" s="165">
        <v>42647.458333333336</v>
      </c>
      <c r="E13" s="150">
        <v>0.24</v>
      </c>
      <c r="F13" s="150" t="s">
        <v>296</v>
      </c>
      <c r="G13" s="150">
        <v>287.16000000000003</v>
      </c>
      <c r="H13" s="150">
        <v>0</v>
      </c>
      <c r="I13" s="150">
        <v>0</v>
      </c>
      <c r="J13" s="150">
        <v>1005.17</v>
      </c>
      <c r="K13" s="150" t="s">
        <v>226</v>
      </c>
      <c r="L13" s="150">
        <v>58.68</v>
      </c>
      <c r="M13" s="150">
        <v>1475600400</v>
      </c>
      <c r="N13" s="150">
        <v>7.57</v>
      </c>
      <c r="O13" s="150">
        <v>281</v>
      </c>
      <c r="P13" s="150">
        <v>8.74</v>
      </c>
      <c r="Q13" s="150">
        <v>10.87</v>
      </c>
    </row>
    <row r="14" spans="1:17" x14ac:dyDescent="0.25">
      <c r="A14" s="150">
        <v>60.43</v>
      </c>
      <c r="B14" s="150">
        <v>0.19</v>
      </c>
      <c r="C14" s="150">
        <v>21.93</v>
      </c>
      <c r="D14" s="165">
        <v>42647.5</v>
      </c>
      <c r="E14" s="150">
        <v>0.22</v>
      </c>
      <c r="F14" s="150" t="s">
        <v>296</v>
      </c>
      <c r="G14" s="150">
        <v>283.49</v>
      </c>
      <c r="H14" s="150">
        <v>0</v>
      </c>
      <c r="I14" s="150">
        <v>0</v>
      </c>
      <c r="J14" s="150">
        <v>1004.82</v>
      </c>
      <c r="K14" s="150" t="s">
        <v>226</v>
      </c>
      <c r="L14" s="150">
        <v>60.43</v>
      </c>
      <c r="M14" s="150">
        <v>1475604000</v>
      </c>
      <c r="N14" s="150">
        <v>7.62</v>
      </c>
      <c r="O14" s="150">
        <v>291</v>
      </c>
      <c r="P14" s="150">
        <v>8.3000000000000007</v>
      </c>
      <c r="Q14" s="150">
        <v>11.79</v>
      </c>
    </row>
    <row r="15" spans="1:17" x14ac:dyDescent="0.25">
      <c r="A15" s="150">
        <v>62.64</v>
      </c>
      <c r="B15" s="150">
        <v>0.26</v>
      </c>
      <c r="C15" s="150">
        <v>23.15</v>
      </c>
      <c r="D15" s="165">
        <v>42647.541666666664</v>
      </c>
      <c r="E15" s="150">
        <v>0.22</v>
      </c>
      <c r="F15" s="150" t="s">
        <v>243</v>
      </c>
      <c r="G15" s="150">
        <v>281.2</v>
      </c>
      <c r="H15" s="150">
        <v>0</v>
      </c>
      <c r="I15" s="150">
        <v>0</v>
      </c>
      <c r="J15" s="150">
        <v>1004.39</v>
      </c>
      <c r="K15" s="150" t="s">
        <v>244</v>
      </c>
      <c r="L15" s="150">
        <v>62.64</v>
      </c>
      <c r="M15" s="150">
        <v>1475607600</v>
      </c>
      <c r="N15" s="150">
        <v>7.64</v>
      </c>
      <c r="O15" s="150">
        <v>299</v>
      </c>
      <c r="P15" s="150">
        <v>7.06</v>
      </c>
      <c r="Q15" s="150">
        <v>10.58</v>
      </c>
    </row>
    <row r="16" spans="1:17" x14ac:dyDescent="0.25">
      <c r="A16" s="150">
        <v>63.4</v>
      </c>
      <c r="B16" s="150">
        <v>0.3</v>
      </c>
      <c r="C16" s="150">
        <v>23.07</v>
      </c>
      <c r="D16" s="165">
        <v>42647.583333333336</v>
      </c>
      <c r="E16" s="150">
        <v>0.21</v>
      </c>
      <c r="F16" s="150" t="s">
        <v>243</v>
      </c>
      <c r="G16" s="150">
        <v>279.64999999999998</v>
      </c>
      <c r="H16" s="150">
        <v>0</v>
      </c>
      <c r="I16" s="150">
        <v>0</v>
      </c>
      <c r="J16" s="150">
        <v>1004</v>
      </c>
      <c r="K16" s="150" t="s">
        <v>244</v>
      </c>
      <c r="L16" s="150">
        <v>63.4</v>
      </c>
      <c r="M16" s="150">
        <v>1475611200</v>
      </c>
      <c r="N16" s="150">
        <v>7.69</v>
      </c>
      <c r="O16" s="150">
        <v>301</v>
      </c>
      <c r="P16" s="150">
        <v>7.43</v>
      </c>
      <c r="Q16" s="150">
        <v>10.34</v>
      </c>
    </row>
    <row r="17" spans="1:17" x14ac:dyDescent="0.25">
      <c r="A17" s="150">
        <v>63.63</v>
      </c>
      <c r="B17" s="150">
        <v>0.39</v>
      </c>
      <c r="C17" s="150">
        <v>22.8</v>
      </c>
      <c r="D17" s="165">
        <v>42647.625</v>
      </c>
      <c r="E17" s="150">
        <v>0.21</v>
      </c>
      <c r="F17" s="150" t="s">
        <v>243</v>
      </c>
      <c r="G17" s="150">
        <v>278.52</v>
      </c>
      <c r="H17" s="150">
        <v>0</v>
      </c>
      <c r="I17" s="150">
        <v>0</v>
      </c>
      <c r="J17" s="150">
        <v>1003.97</v>
      </c>
      <c r="K17" s="150" t="s">
        <v>244</v>
      </c>
      <c r="L17" s="150">
        <v>63.63</v>
      </c>
      <c r="M17" s="150">
        <v>1475614800</v>
      </c>
      <c r="N17" s="150">
        <v>7.7</v>
      </c>
      <c r="O17" s="150">
        <v>296</v>
      </c>
      <c r="P17" s="150">
        <v>7.18</v>
      </c>
      <c r="Q17" s="150">
        <v>12.56</v>
      </c>
    </row>
    <row r="18" spans="1:17" x14ac:dyDescent="0.25">
      <c r="A18" s="150">
        <v>62.65</v>
      </c>
      <c r="B18" s="150">
        <v>0.43</v>
      </c>
      <c r="C18" s="150">
        <v>22.89</v>
      </c>
      <c r="D18" s="165">
        <v>42647.666666666664</v>
      </c>
      <c r="E18" s="150">
        <v>0.22</v>
      </c>
      <c r="F18" s="150" t="s">
        <v>243</v>
      </c>
      <c r="G18" s="150">
        <v>277.79000000000002</v>
      </c>
      <c r="H18" s="150">
        <v>0</v>
      </c>
      <c r="I18" s="150">
        <v>0</v>
      </c>
      <c r="J18" s="150">
        <v>1004.52</v>
      </c>
      <c r="K18" s="150" t="s">
        <v>244</v>
      </c>
      <c r="L18" s="150">
        <v>62.65</v>
      </c>
      <c r="M18" s="150">
        <v>1475618400</v>
      </c>
      <c r="N18" s="150">
        <v>7.73</v>
      </c>
      <c r="O18" s="150">
        <v>293</v>
      </c>
      <c r="P18" s="150">
        <v>7.47</v>
      </c>
      <c r="Q18" s="150">
        <v>14.22</v>
      </c>
    </row>
    <row r="19" spans="1:17" x14ac:dyDescent="0.25">
      <c r="A19" s="150">
        <v>61.09</v>
      </c>
      <c r="B19" s="150">
        <v>0.47</v>
      </c>
      <c r="C19" s="150">
        <v>22.54</v>
      </c>
      <c r="D19" s="165">
        <v>42647.708333333336</v>
      </c>
      <c r="E19" s="150">
        <v>0.23</v>
      </c>
      <c r="F19" s="150" t="s">
        <v>243</v>
      </c>
      <c r="G19" s="150">
        <v>277.5</v>
      </c>
      <c r="H19" s="150">
        <v>0</v>
      </c>
      <c r="I19" s="150">
        <v>0</v>
      </c>
      <c r="J19" s="150">
        <v>1005.43</v>
      </c>
      <c r="K19" s="150" t="s">
        <v>244</v>
      </c>
      <c r="L19" s="150">
        <v>61.09</v>
      </c>
      <c r="M19" s="150">
        <v>1475622000</v>
      </c>
      <c r="N19" s="150">
        <v>7.84</v>
      </c>
      <c r="O19" s="150">
        <v>300</v>
      </c>
      <c r="P19" s="150">
        <v>7.69</v>
      </c>
      <c r="Q19" s="150">
        <v>11.47</v>
      </c>
    </row>
    <row r="20" spans="1:17" x14ac:dyDescent="0.25">
      <c r="A20" s="150">
        <v>58.11</v>
      </c>
      <c r="B20" s="150">
        <v>0.41</v>
      </c>
      <c r="C20" s="150">
        <v>21.63</v>
      </c>
      <c r="D20" s="165">
        <v>42647.75</v>
      </c>
      <c r="E20" s="150">
        <v>0.24</v>
      </c>
      <c r="F20" s="150" t="s">
        <v>243</v>
      </c>
      <c r="G20" s="150">
        <v>277.33</v>
      </c>
      <c r="H20" s="150">
        <v>0</v>
      </c>
      <c r="I20" s="150">
        <v>0</v>
      </c>
      <c r="J20" s="150">
        <v>1006.46</v>
      </c>
      <c r="K20" s="150" t="s">
        <v>244</v>
      </c>
      <c r="L20" s="150">
        <v>58.11</v>
      </c>
      <c r="M20" s="150">
        <v>1475625600</v>
      </c>
      <c r="N20" s="150">
        <v>8.02</v>
      </c>
      <c r="O20" s="150">
        <v>310</v>
      </c>
      <c r="P20" s="150">
        <v>6.93</v>
      </c>
      <c r="Q20" s="150">
        <v>10.74</v>
      </c>
    </row>
    <row r="21" spans="1:17" x14ac:dyDescent="0.25">
      <c r="A21" s="150">
        <v>54.35</v>
      </c>
      <c r="B21" s="150">
        <v>0.23</v>
      </c>
      <c r="C21" s="150">
        <v>20.77</v>
      </c>
      <c r="D21" s="165">
        <v>42647.791666666664</v>
      </c>
      <c r="E21" s="150">
        <v>0.27</v>
      </c>
      <c r="F21" s="150" t="s">
        <v>225</v>
      </c>
      <c r="G21" s="150">
        <v>277.24</v>
      </c>
      <c r="H21" s="150">
        <v>0</v>
      </c>
      <c r="I21" s="150">
        <v>0</v>
      </c>
      <c r="J21" s="150">
        <v>1007.28</v>
      </c>
      <c r="K21" s="150" t="s">
        <v>226</v>
      </c>
      <c r="L21" s="150">
        <v>54.35</v>
      </c>
      <c r="M21" s="150">
        <v>1475629200</v>
      </c>
      <c r="N21" s="150">
        <v>8.31</v>
      </c>
      <c r="O21" s="150">
        <v>319</v>
      </c>
      <c r="P21" s="150">
        <v>5.26</v>
      </c>
      <c r="Q21" s="150">
        <v>10.36</v>
      </c>
    </row>
    <row r="22" spans="1:17" x14ac:dyDescent="0.25">
      <c r="A22" s="150">
        <v>51.01</v>
      </c>
      <c r="B22" s="150">
        <v>0.14000000000000001</v>
      </c>
      <c r="C22" s="150">
        <v>20.88</v>
      </c>
      <c r="D22" s="165">
        <v>42647.833333333336</v>
      </c>
      <c r="E22" s="150">
        <v>0.3</v>
      </c>
      <c r="F22" s="150" t="s">
        <v>225</v>
      </c>
      <c r="G22" s="150">
        <v>277.29000000000002</v>
      </c>
      <c r="H22" s="150">
        <v>0</v>
      </c>
      <c r="I22" s="150">
        <v>0</v>
      </c>
      <c r="J22" s="150">
        <v>1008.32</v>
      </c>
      <c r="K22" s="150" t="s">
        <v>226</v>
      </c>
      <c r="L22" s="150">
        <v>51.01</v>
      </c>
      <c r="M22" s="150">
        <v>1475632800</v>
      </c>
      <c r="N22" s="150">
        <v>8.6999999999999993</v>
      </c>
      <c r="O22" s="150">
        <v>291</v>
      </c>
      <c r="P22" s="150">
        <v>2.65</v>
      </c>
      <c r="Q22" s="150">
        <v>7.02</v>
      </c>
    </row>
    <row r="23" spans="1:17" x14ac:dyDescent="0.25">
      <c r="A23" s="150">
        <v>47.95</v>
      </c>
      <c r="B23" s="150">
        <v>0.09</v>
      </c>
      <c r="C23" s="150">
        <v>20.97</v>
      </c>
      <c r="D23" s="165">
        <v>42647.875</v>
      </c>
      <c r="E23" s="150">
        <v>0.34</v>
      </c>
      <c r="F23" s="150" t="s">
        <v>225</v>
      </c>
      <c r="G23" s="150">
        <v>277.36</v>
      </c>
      <c r="H23" s="150">
        <v>0</v>
      </c>
      <c r="I23" s="150">
        <v>0</v>
      </c>
      <c r="J23" s="150">
        <v>1009.28</v>
      </c>
      <c r="K23" s="150" t="s">
        <v>226</v>
      </c>
      <c r="L23" s="150">
        <v>47.95</v>
      </c>
      <c r="M23" s="150">
        <v>1475636400</v>
      </c>
      <c r="N23" s="150">
        <v>9.1199999999999992</v>
      </c>
      <c r="O23" s="150">
        <v>243</v>
      </c>
      <c r="P23" s="150">
        <v>2.12</v>
      </c>
      <c r="Q23" s="150">
        <v>4.91</v>
      </c>
    </row>
    <row r="24" spans="1:17" x14ac:dyDescent="0.25">
      <c r="A24" s="150">
        <v>46.36</v>
      </c>
      <c r="B24" s="150">
        <v>0.06</v>
      </c>
      <c r="C24" s="150">
        <v>21.49</v>
      </c>
      <c r="D24" s="165">
        <v>42647.916666666664</v>
      </c>
      <c r="E24" s="150">
        <v>0.37</v>
      </c>
      <c r="F24" s="150" t="s">
        <v>225</v>
      </c>
      <c r="G24" s="150">
        <v>277.27</v>
      </c>
      <c r="H24" s="150">
        <v>0</v>
      </c>
      <c r="I24" s="150">
        <v>0</v>
      </c>
      <c r="J24" s="150">
        <v>1010.03</v>
      </c>
      <c r="K24" s="150" t="s">
        <v>226</v>
      </c>
      <c r="L24" s="150">
        <v>46.36</v>
      </c>
      <c r="M24" s="150">
        <v>1475640000</v>
      </c>
      <c r="N24" s="150">
        <v>9.17</v>
      </c>
      <c r="O24" s="150">
        <v>219</v>
      </c>
      <c r="P24" s="150">
        <v>2.5</v>
      </c>
      <c r="Q24" s="150">
        <v>7.94</v>
      </c>
    </row>
    <row r="25" spans="1:17" x14ac:dyDescent="0.25">
      <c r="A25" s="150">
        <v>42.74</v>
      </c>
      <c r="B25" s="150">
        <v>0.05</v>
      </c>
      <c r="C25" s="150">
        <v>21.98</v>
      </c>
      <c r="D25" s="165">
        <v>42647.958333333336</v>
      </c>
      <c r="E25" s="150">
        <v>0.41</v>
      </c>
      <c r="F25" s="150" t="s">
        <v>225</v>
      </c>
      <c r="G25" s="150">
        <v>277.2</v>
      </c>
      <c r="H25" s="150">
        <v>0</v>
      </c>
      <c r="I25" s="150">
        <v>0</v>
      </c>
      <c r="J25" s="150">
        <v>1010.64</v>
      </c>
      <c r="K25" s="150" t="s">
        <v>226</v>
      </c>
      <c r="L25" s="150">
        <v>44.46</v>
      </c>
      <c r="M25" s="150">
        <v>1475643600</v>
      </c>
      <c r="N25" s="150">
        <v>9.01</v>
      </c>
      <c r="O25" s="150">
        <v>231</v>
      </c>
      <c r="P25" s="150">
        <v>3.69</v>
      </c>
      <c r="Q25" s="150">
        <v>8.74</v>
      </c>
    </row>
    <row r="26" spans="1:17" x14ac:dyDescent="0.25">
      <c r="A26" s="150">
        <v>41.46</v>
      </c>
      <c r="B26" s="150">
        <v>0.06</v>
      </c>
      <c r="C26" s="150">
        <v>22.05</v>
      </c>
      <c r="D26" s="165">
        <v>42648</v>
      </c>
      <c r="E26" s="150">
        <v>0.43</v>
      </c>
      <c r="F26" s="150" t="s">
        <v>225</v>
      </c>
      <c r="G26" s="150">
        <v>277.62</v>
      </c>
      <c r="H26" s="150">
        <v>0</v>
      </c>
      <c r="I26" s="150">
        <v>0</v>
      </c>
      <c r="J26" s="150">
        <v>1011.23</v>
      </c>
      <c r="K26" s="150" t="s">
        <v>226</v>
      </c>
      <c r="L26" s="150">
        <v>43.02</v>
      </c>
      <c r="M26" s="150">
        <v>1475647200</v>
      </c>
      <c r="N26" s="150">
        <v>9.1</v>
      </c>
      <c r="O26" s="150">
        <v>213</v>
      </c>
      <c r="P26" s="150">
        <v>3.3</v>
      </c>
      <c r="Q26" s="150">
        <v>8.08</v>
      </c>
    </row>
    <row r="27" spans="1:17" x14ac:dyDescent="0.25">
      <c r="A27" s="150">
        <v>38.92</v>
      </c>
      <c r="B27" s="150">
        <v>0.06</v>
      </c>
      <c r="C27" s="150">
        <v>21.68</v>
      </c>
      <c r="D27" s="165">
        <v>42648.041666666664</v>
      </c>
      <c r="E27" s="150">
        <v>0.46</v>
      </c>
      <c r="F27" s="150" t="s">
        <v>225</v>
      </c>
      <c r="G27" s="150">
        <v>279.19</v>
      </c>
      <c r="H27" s="150">
        <v>0</v>
      </c>
      <c r="I27" s="150">
        <v>0</v>
      </c>
      <c r="J27" s="150">
        <v>1011.8</v>
      </c>
      <c r="K27" s="150" t="s">
        <v>226</v>
      </c>
      <c r="L27" s="150">
        <v>40.57</v>
      </c>
      <c r="M27" s="150">
        <v>1475650800</v>
      </c>
      <c r="N27" s="150">
        <v>9.14</v>
      </c>
      <c r="O27" s="150">
        <v>213</v>
      </c>
      <c r="P27" s="150">
        <v>3.08</v>
      </c>
      <c r="Q27" s="150">
        <v>7.38</v>
      </c>
    </row>
    <row r="28" spans="1:17" x14ac:dyDescent="0.25">
      <c r="A28" s="150">
        <v>37.82</v>
      </c>
      <c r="B28" s="150">
        <v>0.08</v>
      </c>
      <c r="C28" s="150">
        <v>21.82</v>
      </c>
      <c r="D28" s="165">
        <v>42648.083333333336</v>
      </c>
      <c r="E28" s="150">
        <v>0.48</v>
      </c>
      <c r="F28" s="150" t="s">
        <v>225</v>
      </c>
      <c r="G28" s="150">
        <v>280.76</v>
      </c>
      <c r="H28" s="150">
        <v>0</v>
      </c>
      <c r="I28" s="150">
        <v>0</v>
      </c>
      <c r="J28" s="150">
        <v>1012.31</v>
      </c>
      <c r="K28" s="150" t="s">
        <v>226</v>
      </c>
      <c r="L28" s="150">
        <v>39.729999999999997</v>
      </c>
      <c r="M28" s="150">
        <v>1475654400</v>
      </c>
      <c r="N28" s="150">
        <v>9.1199999999999992</v>
      </c>
      <c r="O28" s="150">
        <v>204</v>
      </c>
      <c r="P28" s="150">
        <v>3.21</v>
      </c>
      <c r="Q28" s="150">
        <v>6.19</v>
      </c>
    </row>
    <row r="29" spans="1:17" x14ac:dyDescent="0.25">
      <c r="A29" s="150">
        <v>37.53</v>
      </c>
      <c r="B29" s="150">
        <v>0.13</v>
      </c>
      <c r="C29" s="150">
        <v>22.1</v>
      </c>
      <c r="D29" s="165">
        <v>42648.125</v>
      </c>
      <c r="E29" s="150">
        <v>0.49</v>
      </c>
      <c r="F29" s="150" t="s">
        <v>225</v>
      </c>
      <c r="G29" s="150">
        <v>282.33</v>
      </c>
      <c r="H29" s="150">
        <v>0</v>
      </c>
      <c r="I29" s="150">
        <v>0</v>
      </c>
      <c r="J29" s="150">
        <v>1012.8</v>
      </c>
      <c r="K29" s="150" t="s">
        <v>226</v>
      </c>
      <c r="L29" s="150">
        <v>39.57</v>
      </c>
      <c r="M29" s="150">
        <v>1475658000</v>
      </c>
      <c r="N29" s="150">
        <v>8.19</v>
      </c>
      <c r="O29" s="150">
        <v>210</v>
      </c>
      <c r="P29" s="150">
        <v>3.31</v>
      </c>
      <c r="Q29" s="150">
        <v>3.46</v>
      </c>
    </row>
    <row r="31" spans="1:17" x14ac:dyDescent="0.25">
      <c r="A31" s="150" t="s">
        <v>783</v>
      </c>
    </row>
    <row r="33" spans="1:1" x14ac:dyDescent="0.25">
      <c r="A33" s="150" t="s">
        <v>190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26"/>
  <sheetViews>
    <sheetView workbookViewId="0">
      <selection activeCell="B12" sqref="B12"/>
    </sheetView>
  </sheetViews>
  <sheetFormatPr defaultRowHeight="15" x14ac:dyDescent="0.25"/>
  <cols>
    <col min="1" max="1" width="32.140625" customWidth="1"/>
    <col min="3" max="3" width="24" style="72" customWidth="1"/>
    <col min="4" max="4" width="19.140625" style="72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70" bestFit="1" customWidth="1"/>
  </cols>
  <sheetData>
    <row r="1" spans="1:16" ht="45.75" x14ac:dyDescent="0.3">
      <c r="A1" s="13" t="s">
        <v>25</v>
      </c>
      <c r="C1" s="175" t="s">
        <v>107</v>
      </c>
      <c r="D1" s="176" t="s">
        <v>108</v>
      </c>
      <c r="J1" s="34" t="s">
        <v>109</v>
      </c>
      <c r="K1" s="34" t="s">
        <v>72</v>
      </c>
      <c r="L1" s="34" t="s">
        <v>73</v>
      </c>
      <c r="O1" s="73" t="s">
        <v>110</v>
      </c>
    </row>
    <row r="2" spans="1:16" ht="15.75" thickBot="1" x14ac:dyDescent="0.3">
      <c r="A2" s="14">
        <v>42647</v>
      </c>
      <c r="B2" s="4"/>
      <c r="C2" s="177">
        <v>50</v>
      </c>
      <c r="D2" s="178">
        <v>25</v>
      </c>
      <c r="F2" t="s">
        <v>122</v>
      </c>
      <c r="J2" s="34"/>
      <c r="K2" s="34" t="s">
        <v>72</v>
      </c>
      <c r="L2" s="34" t="s">
        <v>73</v>
      </c>
    </row>
    <row r="3" spans="1:16" x14ac:dyDescent="0.25">
      <c r="F3" t="s">
        <v>58</v>
      </c>
      <c r="J3" s="35" t="s">
        <v>74</v>
      </c>
      <c r="K3" s="36">
        <v>2.7052</v>
      </c>
      <c r="L3" s="36">
        <v>2.7349999999999999</v>
      </c>
      <c r="M3" s="110">
        <f t="shared" ref="M3:M14" si="0">AVERAGE(K3:L3)</f>
        <v>2.7201</v>
      </c>
      <c r="O3" t="s">
        <v>111</v>
      </c>
      <c r="P3" s="70">
        <f>AVERAGE(1.0714,1.1016)</f>
        <v>1.0865</v>
      </c>
    </row>
    <row r="4" spans="1:16" ht="45" x14ac:dyDescent="0.25">
      <c r="C4" s="175" t="s">
        <v>107</v>
      </c>
      <c r="D4" s="176" t="s">
        <v>108</v>
      </c>
      <c r="F4" t="s">
        <v>59</v>
      </c>
      <c r="J4" s="35" t="s">
        <v>75</v>
      </c>
      <c r="K4" s="36">
        <v>3.0830000000000002</v>
      </c>
      <c r="L4" s="36">
        <v>3.097</v>
      </c>
      <c r="M4" s="110">
        <f t="shared" si="0"/>
        <v>3.09</v>
      </c>
    </row>
    <row r="5" spans="1:16" x14ac:dyDescent="0.25">
      <c r="C5" s="72">
        <v>30</v>
      </c>
      <c r="D5" s="72">
        <v>9</v>
      </c>
      <c r="J5" s="35" t="s">
        <v>76</v>
      </c>
      <c r="K5" s="36">
        <v>3.3136000000000001</v>
      </c>
      <c r="L5" s="36">
        <v>3.3256999999999999</v>
      </c>
      <c r="M5" s="110">
        <f t="shared" si="0"/>
        <v>3.3196500000000002</v>
      </c>
    </row>
    <row r="6" spans="1:16" x14ac:dyDescent="0.25">
      <c r="F6" t="s">
        <v>123</v>
      </c>
      <c r="J6" s="35" t="s">
        <v>77</v>
      </c>
      <c r="K6" s="36">
        <v>4.2778999999999998</v>
      </c>
      <c r="L6" s="36">
        <v>4.2961</v>
      </c>
      <c r="M6" s="110">
        <f t="shared" si="0"/>
        <v>4.2869999999999999</v>
      </c>
    </row>
    <row r="7" spans="1:16" x14ac:dyDescent="0.25">
      <c r="F7" t="s">
        <v>124</v>
      </c>
      <c r="J7" s="35" t="s">
        <v>78</v>
      </c>
      <c r="K7" s="36">
        <v>4.7865000000000002</v>
      </c>
      <c r="L7" s="36">
        <v>4.8048000000000002</v>
      </c>
      <c r="M7" s="110">
        <f t="shared" si="0"/>
        <v>4.7956500000000002</v>
      </c>
    </row>
    <row r="8" spans="1:16" x14ac:dyDescent="0.25">
      <c r="F8" t="s">
        <v>125</v>
      </c>
      <c r="J8" s="35" t="s">
        <v>79</v>
      </c>
      <c r="K8" s="36">
        <v>5.3155000000000001</v>
      </c>
      <c r="L8" s="36">
        <v>5.3277000000000001</v>
      </c>
      <c r="M8" s="110">
        <f t="shared" si="0"/>
        <v>5.3216000000000001</v>
      </c>
    </row>
    <row r="9" spans="1:16" x14ac:dyDescent="0.25">
      <c r="J9" s="35" t="s">
        <v>80</v>
      </c>
      <c r="K9" s="36">
        <v>5.8117000000000001</v>
      </c>
      <c r="L9" s="36">
        <v>5.8300999999999998</v>
      </c>
      <c r="M9" s="110">
        <f t="shared" si="0"/>
        <v>5.8209</v>
      </c>
    </row>
    <row r="10" spans="1:16" x14ac:dyDescent="0.25">
      <c r="J10" s="35" t="s">
        <v>81</v>
      </c>
      <c r="K10" s="36">
        <v>5.8783000000000003</v>
      </c>
      <c r="L10" s="36">
        <v>5.8903999999999996</v>
      </c>
      <c r="M10" s="110">
        <f t="shared" si="0"/>
        <v>5.8843499999999995</v>
      </c>
    </row>
    <row r="11" spans="1:16" x14ac:dyDescent="0.25">
      <c r="J11" s="35" t="s">
        <v>82</v>
      </c>
      <c r="K11" s="36">
        <v>6.3068</v>
      </c>
      <c r="L11" s="36">
        <v>6.3308999999999997</v>
      </c>
      <c r="M11" s="110">
        <f t="shared" si="0"/>
        <v>6.3188499999999994</v>
      </c>
    </row>
    <row r="12" spans="1:16" x14ac:dyDescent="0.25">
      <c r="J12" s="35" t="s">
        <v>83</v>
      </c>
      <c r="K12" s="36">
        <v>7.8349000000000002</v>
      </c>
      <c r="L12" s="36">
        <v>7.8468999999999998</v>
      </c>
      <c r="M12" s="110">
        <f t="shared" si="0"/>
        <v>7.8408999999999995</v>
      </c>
    </row>
    <row r="13" spans="1:16" x14ac:dyDescent="0.25">
      <c r="J13" s="35" t="s">
        <v>84</v>
      </c>
      <c r="K13" s="36">
        <v>10.373799999999999</v>
      </c>
      <c r="L13" s="36">
        <v>10.38</v>
      </c>
      <c r="M13" s="110">
        <f t="shared" si="0"/>
        <v>10.376899999999999</v>
      </c>
    </row>
    <row r="14" spans="1:16" x14ac:dyDescent="0.25">
      <c r="J14" s="35" t="s">
        <v>85</v>
      </c>
      <c r="K14" s="36">
        <v>10.8954</v>
      </c>
      <c r="L14" s="36">
        <v>10.913500000000001</v>
      </c>
      <c r="M14" s="110">
        <f t="shared" si="0"/>
        <v>10.904450000000001</v>
      </c>
    </row>
    <row r="15" spans="1:16" x14ac:dyDescent="0.25">
      <c r="J15" s="35"/>
      <c r="K15" s="36"/>
      <c r="L15" s="36"/>
    </row>
    <row r="16" spans="1:16" x14ac:dyDescent="0.25">
      <c r="J16" s="35"/>
      <c r="K16" s="36"/>
      <c r="L16" s="36"/>
    </row>
    <row r="17" spans="10:13" x14ac:dyDescent="0.25">
      <c r="J17" s="35"/>
      <c r="K17" s="36"/>
      <c r="L17" s="36"/>
    </row>
    <row r="18" spans="10:13" x14ac:dyDescent="0.25">
      <c r="J18" s="35" t="s">
        <v>92</v>
      </c>
      <c r="K18" s="36"/>
      <c r="L18" s="36"/>
      <c r="M18" s="70" t="str">
        <f>"""C:\Program Files (x86)\AstroGrep\AstroGrep.exe"""</f>
        <v>"C:\Program Files (x86)\AstroGrep\AstroGrep.exe"</v>
      </c>
    </row>
    <row r="19" spans="10:13" x14ac:dyDescent="0.25">
      <c r="J19" s="35" t="s">
        <v>93</v>
      </c>
      <c r="K19" s="36"/>
      <c r="L19" s="36"/>
      <c r="M19" s="70" t="s">
        <v>120</v>
      </c>
    </row>
    <row r="20" spans="10:13" x14ac:dyDescent="0.25">
      <c r="J20" t="s">
        <v>94</v>
      </c>
      <c r="M20" s="70" t="s">
        <v>242</v>
      </c>
    </row>
    <row r="21" spans="10:13" x14ac:dyDescent="0.25">
      <c r="J21" s="23" t="s">
        <v>97</v>
      </c>
      <c r="K21" s="23" t="s">
        <v>98</v>
      </c>
      <c r="M21" s="70" t="s">
        <v>252</v>
      </c>
    </row>
    <row r="22" spans="10:13" x14ac:dyDescent="0.25">
      <c r="J22" s="23" t="s">
        <v>99</v>
      </c>
      <c r="K22" s="23" t="s">
        <v>100</v>
      </c>
      <c r="M22" s="70" t="s">
        <v>119</v>
      </c>
    </row>
    <row r="23" spans="10:13" x14ac:dyDescent="0.25">
      <c r="J23" s="31" t="s">
        <v>102</v>
      </c>
      <c r="K23" s="23"/>
      <c r="M23" s="72">
        <v>-6</v>
      </c>
    </row>
    <row r="24" spans="10:13" x14ac:dyDescent="0.25">
      <c r="J24" s="23" t="s">
        <v>116</v>
      </c>
      <c r="K24" s="23"/>
      <c r="M24" s="70" t="s">
        <v>118</v>
      </c>
    </row>
    <row r="25" spans="10:13" x14ac:dyDescent="0.25">
      <c r="J25" t="s">
        <v>160</v>
      </c>
      <c r="M25" s="70" t="b">
        <v>1</v>
      </c>
    </row>
    <row r="26" spans="10:13" x14ac:dyDescent="0.25">
      <c r="J26" t="s">
        <v>161</v>
      </c>
      <c r="M26" s="70" t="str">
        <f>"C:\Users\stu\Documents\GitHub\eaglep3-reporting\EC\"&amp;TEXT(A2,"yyyy-mm-dd")&amp;"-refined-times.txt"</f>
        <v>C:\Users\stu\Documents\GitHub\eaglep3-reporting\EC\2016-10-04-refined-times.txt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4"/>
  <sheetViews>
    <sheetView workbookViewId="0"/>
  </sheetViews>
  <sheetFormatPr defaultRowHeight="15" x14ac:dyDescent="0.25"/>
  <cols>
    <col min="1" max="1" width="32.85546875" style="124" bestFit="1" customWidth="1"/>
    <col min="2" max="7" width="9.140625" style="124"/>
    <col min="8" max="8" width="17.7109375" style="124" bestFit="1" customWidth="1"/>
    <col min="9" max="9" width="9.140625" style="126"/>
    <col min="10" max="16384" width="9.140625" style="124"/>
  </cols>
  <sheetData>
    <row r="1" spans="1:11" x14ac:dyDescent="0.25">
      <c r="A1" s="123" t="s">
        <v>131</v>
      </c>
      <c r="B1" s="123" t="s">
        <v>132</v>
      </c>
      <c r="C1" s="124" t="s">
        <v>133</v>
      </c>
      <c r="H1" t="s">
        <v>127</v>
      </c>
      <c r="I1" s="125" t="s">
        <v>129</v>
      </c>
      <c r="J1"/>
    </row>
    <row r="2" spans="1:11" x14ac:dyDescent="0.25">
      <c r="A2" s="124" t="s">
        <v>134</v>
      </c>
      <c r="B2" s="124" t="s">
        <v>135</v>
      </c>
      <c r="C2" s="124" t="s">
        <v>136</v>
      </c>
      <c r="H2" t="s">
        <v>128</v>
      </c>
      <c r="I2" s="110" t="s">
        <v>130</v>
      </c>
      <c r="J2"/>
    </row>
    <row r="3" spans="1:11" x14ac:dyDescent="0.25">
      <c r="A3" s="124" t="s">
        <v>137</v>
      </c>
      <c r="B3" s="124" t="s">
        <v>138</v>
      </c>
      <c r="C3" s="124" t="s">
        <v>139</v>
      </c>
      <c r="H3" t="s">
        <v>153</v>
      </c>
      <c r="I3" s="110">
        <v>1</v>
      </c>
      <c r="J3"/>
      <c r="K3" s="70"/>
    </row>
    <row r="4" spans="1:11" x14ac:dyDescent="0.25">
      <c r="A4" s="124" t="s">
        <v>140</v>
      </c>
      <c r="C4" s="124" t="s">
        <v>141</v>
      </c>
      <c r="H4" t="s">
        <v>154</v>
      </c>
      <c r="I4" s="110">
        <v>2</v>
      </c>
      <c r="J4"/>
      <c r="K4" s="70"/>
    </row>
    <row r="5" spans="1:11" x14ac:dyDescent="0.25">
      <c r="A5" s="124" t="s">
        <v>142</v>
      </c>
      <c r="C5" s="124" t="s">
        <v>143</v>
      </c>
      <c r="H5" t="s">
        <v>155</v>
      </c>
      <c r="I5" s="110">
        <v>23</v>
      </c>
      <c r="J5"/>
      <c r="K5" s="70"/>
    </row>
    <row r="6" spans="1:11" x14ac:dyDescent="0.25">
      <c r="A6" s="124" t="s">
        <v>144</v>
      </c>
      <c r="C6" s="124" t="s">
        <v>145</v>
      </c>
      <c r="H6" s="127" t="s">
        <v>156</v>
      </c>
      <c r="I6" s="128" t="s">
        <v>135</v>
      </c>
    </row>
    <row r="7" spans="1:11" x14ac:dyDescent="0.25">
      <c r="A7" s="124" t="s">
        <v>146</v>
      </c>
      <c r="C7" s="124" t="s">
        <v>147</v>
      </c>
    </row>
    <row r="8" spans="1:11" x14ac:dyDescent="0.25">
      <c r="C8" s="124" t="s">
        <v>148</v>
      </c>
    </row>
    <row r="9" spans="1:11" x14ac:dyDescent="0.25">
      <c r="C9" s="127" t="s">
        <v>208</v>
      </c>
    </row>
    <row r="10" spans="1:11" x14ac:dyDescent="0.25">
      <c r="C10" s="124" t="s">
        <v>149</v>
      </c>
    </row>
    <row r="11" spans="1:11" x14ac:dyDescent="0.25">
      <c r="C11" s="124" t="s">
        <v>150</v>
      </c>
    </row>
    <row r="12" spans="1:11" x14ac:dyDescent="0.25">
      <c r="C12" s="124" t="s">
        <v>151</v>
      </c>
    </row>
    <row r="13" spans="1:11" x14ac:dyDescent="0.25">
      <c r="C13" s="124" t="s">
        <v>152</v>
      </c>
    </row>
    <row r="14" spans="1:11" x14ac:dyDescent="0.25">
      <c r="C14" s="127" t="s">
        <v>209</v>
      </c>
    </row>
  </sheetData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16</vt:i4>
      </vt:variant>
    </vt:vector>
  </HeadingPairs>
  <TitlesOfParts>
    <vt:vector size="23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astrogrep_path</vt:lpstr>
      <vt:lpstr>'Train Runs'!Denver_Train_Runs_04122016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s3_bucket</vt:lpstr>
      <vt:lpstr>search_path</vt:lpstr>
      <vt:lpstr>search_regexp</vt:lpstr>
      <vt:lpstr>utc_offset</vt:lpstr>
      <vt:lpstr>walkandungz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2016-10-05T15:48:00Z</dcterms:modified>
</cp:coreProperties>
</file>