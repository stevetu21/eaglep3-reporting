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Enforcements!$A$6:$AC$21</definedName>
    <definedName name="_xlnm._FilterDatabase" localSheetId="2" hidden="1">'Missing Trips'!$A$2:$J$26</definedName>
    <definedName name="_xlnm._FilterDatabase" localSheetId="0" hidden="1">'Train Runs'!$A$12:$AG$483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6" i="1" l="1"/>
  <c r="X197" i="1"/>
  <c r="K195" i="1"/>
  <c r="L195" i="1"/>
  <c r="M195" i="1"/>
  <c r="N195" i="1"/>
  <c r="V195" i="1"/>
  <c r="AA195" i="1"/>
  <c r="AB195" i="1"/>
  <c r="AC195" i="1"/>
  <c r="AD195" i="1"/>
  <c r="T195" i="1" s="1"/>
  <c r="AE195" i="1"/>
  <c r="AF195" i="1"/>
  <c r="AH195" i="1"/>
  <c r="AM195" i="1"/>
  <c r="AN195" i="1"/>
  <c r="AO195" i="1"/>
  <c r="X171" i="1"/>
  <c r="X172" i="1"/>
  <c r="X173" i="1"/>
  <c r="P148" i="1"/>
  <c r="X121" i="1"/>
  <c r="K14" i="1"/>
  <c r="L14" i="1"/>
  <c r="M14" i="1"/>
  <c r="P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S8" i="3" s="1"/>
  <c r="Y19" i="1"/>
  <c r="Z19" i="1"/>
  <c r="AB19" i="1"/>
  <c r="AC19" i="1"/>
  <c r="AD19" i="1"/>
  <c r="AE19" i="1"/>
  <c r="R8" i="3" s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AO32" i="1"/>
  <c r="K33" i="1"/>
  <c r="L33" i="1"/>
  <c r="M33" i="1"/>
  <c r="N33" i="1" s="1"/>
  <c r="V33" i="1"/>
  <c r="S17" i="3" s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S13" i="3" s="1"/>
  <c r="Y61" i="1"/>
  <c r="Z61" i="1"/>
  <c r="AB61" i="1"/>
  <c r="AC61" i="1"/>
  <c r="AD61" i="1"/>
  <c r="AE61" i="1"/>
  <c r="R13" i="3" s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X66" i="1" s="1"/>
  <c r="AE66" i="1"/>
  <c r="AF66" i="1"/>
  <c r="AH66" i="1"/>
  <c r="AM66" i="1"/>
  <c r="AN66" i="1"/>
  <c r="AO66" i="1"/>
  <c r="K67" i="1"/>
  <c r="L67" i="1"/>
  <c r="M67" i="1"/>
  <c r="N67" i="1" s="1"/>
  <c r="V67" i="1"/>
  <c r="S11" i="3" s="1"/>
  <c r="Y67" i="1"/>
  <c r="Z67" i="1"/>
  <c r="AB67" i="1"/>
  <c r="AC67" i="1"/>
  <c r="AD67" i="1"/>
  <c r="AE67" i="1"/>
  <c r="R11" i="3" s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AA79" i="1" s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A84" i="1" s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S15" i="3" s="1"/>
  <c r="Y98" i="1"/>
  <c r="Z98" i="1"/>
  <c r="AB98" i="1"/>
  <c r="AC98" i="1"/>
  <c r="AD98" i="1"/>
  <c r="AE98" i="1"/>
  <c r="R15" i="3" s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S16" i="3" s="1"/>
  <c r="Y102" i="1"/>
  <c r="Z102" i="1"/>
  <c r="AB102" i="1"/>
  <c r="AC102" i="1"/>
  <c r="AD102" i="1"/>
  <c r="AE102" i="1"/>
  <c r="R16" i="3" s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S12" i="3" s="1"/>
  <c r="Y104" i="1"/>
  <c r="Z104" i="1"/>
  <c r="AA104" i="1" s="1"/>
  <c r="AB104" i="1"/>
  <c r="AC104" i="1"/>
  <c r="AD104" i="1"/>
  <c r="AE104" i="1"/>
  <c r="R12" i="3" s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R7" i="3" s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S9" i="3" s="1"/>
  <c r="Y142" i="1"/>
  <c r="Z142" i="1"/>
  <c r="AB142" i="1"/>
  <c r="AC142" i="1"/>
  <c r="AD142" i="1"/>
  <c r="AE142" i="1"/>
  <c r="R9" i="3" s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AO146" i="1"/>
  <c r="K147" i="1"/>
  <c r="L147" i="1"/>
  <c r="M147" i="1"/>
  <c r="N147" i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V148" i="1"/>
  <c r="S14" i="3" s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A151" i="1" s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P158" i="1" s="1"/>
  <c r="V158" i="1"/>
  <c r="Y158" i="1"/>
  <c r="Z158" i="1"/>
  <c r="AA158" i="1" s="1"/>
  <c r="AB158" i="1"/>
  <c r="AC158" i="1"/>
  <c r="AD158" i="1"/>
  <c r="T158" i="1" s="1"/>
  <c r="AE158" i="1"/>
  <c r="AF158" i="1"/>
  <c r="AH158" i="1"/>
  <c r="AM158" i="1"/>
  <c r="AN158" i="1"/>
  <c r="AO15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59" i="1"/>
  <c r="AM159" i="1"/>
  <c r="AN159" i="1"/>
  <c r="AO159" i="1"/>
  <c r="K210" i="1"/>
  <c r="L210" i="1"/>
  <c r="M210" i="1"/>
  <c r="N210" i="1"/>
  <c r="V210" i="1"/>
  <c r="Y210" i="1"/>
  <c r="Z210" i="1"/>
  <c r="AB210" i="1"/>
  <c r="AC210" i="1"/>
  <c r="AD210" i="1"/>
  <c r="T210" i="1" s="1"/>
  <c r="AE210" i="1"/>
  <c r="AF210" i="1"/>
  <c r="AH160" i="1"/>
  <c r="AM160" i="1"/>
  <c r="AN160" i="1"/>
  <c r="AO160" i="1"/>
  <c r="K211" i="1"/>
  <c r="L211" i="1"/>
  <c r="M211" i="1"/>
  <c r="N211" i="1" s="1"/>
  <c r="V211" i="1"/>
  <c r="S18" i="3" s="1"/>
  <c r="Y211" i="1"/>
  <c r="Z211" i="1"/>
  <c r="AB211" i="1"/>
  <c r="AC211" i="1"/>
  <c r="AD211" i="1"/>
  <c r="T211" i="1" s="1"/>
  <c r="AE211" i="1"/>
  <c r="R18" i="3" s="1"/>
  <c r="AF211" i="1"/>
  <c r="AH161" i="1"/>
  <c r="AM161" i="1"/>
  <c r="AN161" i="1"/>
  <c r="AO16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2" i="1"/>
  <c r="AM162" i="1"/>
  <c r="AN162" i="1"/>
  <c r="AO16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3" i="1"/>
  <c r="AM163" i="1"/>
  <c r="AN163" i="1"/>
  <c r="AO16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0" i="1"/>
  <c r="AM170" i="1"/>
  <c r="AN170" i="1"/>
  <c r="AO17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1" i="1"/>
  <c r="AM171" i="1"/>
  <c r="AN171" i="1"/>
  <c r="AO171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2" i="1"/>
  <c r="AM172" i="1"/>
  <c r="AN172" i="1"/>
  <c r="AO172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3" i="1"/>
  <c r="AM173" i="1"/>
  <c r="AN173" i="1"/>
  <c r="AO173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4" i="1"/>
  <c r="AM174" i="1"/>
  <c r="AN174" i="1"/>
  <c r="AO174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5" i="1"/>
  <c r="AM175" i="1"/>
  <c r="AN175" i="1"/>
  <c r="AO175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6" i="1"/>
  <c r="AM176" i="1"/>
  <c r="AN176" i="1"/>
  <c r="AO176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7" i="1"/>
  <c r="AM177" i="1"/>
  <c r="AN177" i="1"/>
  <c r="AO177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78" i="1"/>
  <c r="AM178" i="1"/>
  <c r="AN178" i="1"/>
  <c r="AO17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9" i="1"/>
  <c r="AM179" i="1"/>
  <c r="AN179" i="1"/>
  <c r="AO179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0" i="1"/>
  <c r="AM180" i="1"/>
  <c r="AN180" i="1"/>
  <c r="AO18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1" i="1"/>
  <c r="AM181" i="1"/>
  <c r="AN181" i="1"/>
  <c r="AO181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2" i="1"/>
  <c r="AM182" i="1"/>
  <c r="AN182" i="1"/>
  <c r="AO18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3" i="1"/>
  <c r="AM183" i="1"/>
  <c r="AN183" i="1"/>
  <c r="AO183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4" i="1"/>
  <c r="AM184" i="1"/>
  <c r="AN184" i="1"/>
  <c r="AO18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5" i="1"/>
  <c r="AM185" i="1"/>
  <c r="AN185" i="1"/>
  <c r="AO18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6" i="1"/>
  <c r="AM186" i="1"/>
  <c r="AN186" i="1"/>
  <c r="AO18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7" i="1"/>
  <c r="AM187" i="1"/>
  <c r="AN187" i="1"/>
  <c r="AO18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8" i="1"/>
  <c r="AM188" i="1"/>
  <c r="AN188" i="1"/>
  <c r="AO18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9" i="1"/>
  <c r="AM189" i="1"/>
  <c r="AN189" i="1"/>
  <c r="AO189" i="1"/>
  <c r="AH190" i="1"/>
  <c r="AM190" i="1"/>
  <c r="AN190" i="1"/>
  <c r="AO190" i="1"/>
  <c r="K171" i="1"/>
  <c r="L171" i="1"/>
  <c r="M171" i="1"/>
  <c r="V171" i="1"/>
  <c r="Y171" i="1"/>
  <c r="Z171" i="1"/>
  <c r="AB171" i="1"/>
  <c r="AC171" i="1"/>
  <c r="AD171" i="1"/>
  <c r="T171" i="1" s="1"/>
  <c r="AE171" i="1"/>
  <c r="AF171" i="1"/>
  <c r="AH191" i="1"/>
  <c r="AM191" i="1"/>
  <c r="AN191" i="1"/>
  <c r="AO19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2" i="1"/>
  <c r="AM192" i="1"/>
  <c r="AN192" i="1"/>
  <c r="AO19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3" i="1"/>
  <c r="AM193" i="1"/>
  <c r="AN193" i="1"/>
  <c r="AO19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4" i="1"/>
  <c r="AM194" i="1"/>
  <c r="AN194" i="1"/>
  <c r="AO19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6" i="1"/>
  <c r="AM196" i="1"/>
  <c r="AN196" i="1"/>
  <c r="AO196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7" i="1"/>
  <c r="AM197" i="1"/>
  <c r="AN197" i="1"/>
  <c r="AO197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8" i="1"/>
  <c r="AM198" i="1"/>
  <c r="AN198" i="1"/>
  <c r="AO19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9" i="1"/>
  <c r="AM199" i="1"/>
  <c r="AN199" i="1"/>
  <c r="AO19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0" i="1"/>
  <c r="AM200" i="1"/>
  <c r="AN200" i="1"/>
  <c r="AO200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1" i="1"/>
  <c r="AM201" i="1"/>
  <c r="AN201" i="1"/>
  <c r="AO201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2" i="1"/>
  <c r="AM202" i="1"/>
  <c r="AN202" i="1"/>
  <c r="AO202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3" i="1"/>
  <c r="AM203" i="1"/>
  <c r="AN203" i="1"/>
  <c r="AO20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4" i="1"/>
  <c r="AM204" i="1"/>
  <c r="AN204" i="1"/>
  <c r="AO204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5" i="1"/>
  <c r="AM205" i="1"/>
  <c r="AN205" i="1"/>
  <c r="AO205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6" i="1"/>
  <c r="AM206" i="1"/>
  <c r="AN206" i="1"/>
  <c r="AO206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7" i="1"/>
  <c r="AM207" i="1"/>
  <c r="AN207" i="1"/>
  <c r="AO20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8" i="1"/>
  <c r="AM208" i="1"/>
  <c r="AN208" i="1"/>
  <c r="AO208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9" i="1"/>
  <c r="AM209" i="1"/>
  <c r="AN209" i="1"/>
  <c r="AO209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0" i="1"/>
  <c r="AM210" i="1"/>
  <c r="AN210" i="1"/>
  <c r="AO210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1" i="1"/>
  <c r="AM211" i="1"/>
  <c r="AN211" i="1"/>
  <c r="AO21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2" i="1"/>
  <c r="AM212" i="1"/>
  <c r="AN212" i="1"/>
  <c r="AO212" i="1"/>
  <c r="K192" i="1"/>
  <c r="L192" i="1"/>
  <c r="M192" i="1"/>
  <c r="N192" i="1" s="1"/>
  <c r="T192" i="1"/>
  <c r="V192" i="1"/>
  <c r="Y192" i="1"/>
  <c r="Z192" i="1"/>
  <c r="AB192" i="1"/>
  <c r="AC192" i="1"/>
  <c r="AD192" i="1"/>
  <c r="X192" i="1" s="1"/>
  <c r="AE192" i="1"/>
  <c r="AF192" i="1"/>
  <c r="AH213" i="1"/>
  <c r="AM213" i="1"/>
  <c r="AN213" i="1"/>
  <c r="AO213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4" i="1"/>
  <c r="AM214" i="1"/>
  <c r="AN214" i="1"/>
  <c r="AO214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215" i="1"/>
  <c r="AM215" i="1"/>
  <c r="AN215" i="1"/>
  <c r="AO21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6" i="1"/>
  <c r="AM216" i="1"/>
  <c r="AN216" i="1"/>
  <c r="AO21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7" i="1"/>
  <c r="AM217" i="1"/>
  <c r="AN217" i="1"/>
  <c r="AO21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8" i="1"/>
  <c r="AM218" i="1"/>
  <c r="AN218" i="1"/>
  <c r="AO21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9" i="1"/>
  <c r="AM219" i="1"/>
  <c r="AN219" i="1"/>
  <c r="AO21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0" i="1"/>
  <c r="AM220" i="1"/>
  <c r="AN220" i="1"/>
  <c r="AO220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1" i="1"/>
  <c r="AM221" i="1"/>
  <c r="AN221" i="1"/>
  <c r="AO22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2" i="1"/>
  <c r="AM222" i="1"/>
  <c r="AN222" i="1"/>
  <c r="AO222" i="1"/>
  <c r="K203" i="1"/>
  <c r="L203" i="1"/>
  <c r="M203" i="1"/>
  <c r="N203" i="1" s="1"/>
  <c r="V203" i="1"/>
  <c r="Y203" i="1"/>
  <c r="Z203" i="1"/>
  <c r="AB203" i="1"/>
  <c r="AC203" i="1"/>
  <c r="AD203" i="1"/>
  <c r="X203" i="1" s="1"/>
  <c r="AE203" i="1"/>
  <c r="AF203" i="1"/>
  <c r="AH223" i="1"/>
  <c r="AM223" i="1"/>
  <c r="AN223" i="1"/>
  <c r="AO22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4" i="1"/>
  <c r="AM224" i="1"/>
  <c r="AN224" i="1"/>
  <c r="AO22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25" i="1"/>
  <c r="AM225" i="1"/>
  <c r="AN225" i="1"/>
  <c r="AO22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6" i="1"/>
  <c r="AM226" i="1"/>
  <c r="AN226" i="1"/>
  <c r="AO22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27" i="1"/>
  <c r="AM227" i="1"/>
  <c r="AN227" i="1"/>
  <c r="AO22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28" i="1"/>
  <c r="AM228" i="1"/>
  <c r="AN228" i="1"/>
  <c r="AO22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9" i="1"/>
  <c r="AM229" i="1"/>
  <c r="AN229" i="1"/>
  <c r="AO229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0" i="1"/>
  <c r="AM230" i="1"/>
  <c r="AN230" i="1"/>
  <c r="AO23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1" i="1"/>
  <c r="AM231" i="1"/>
  <c r="AN231" i="1"/>
  <c r="AO23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2" i="1"/>
  <c r="AM232" i="1"/>
  <c r="AN232" i="1"/>
  <c r="AO23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33" i="1"/>
  <c r="AM233" i="1"/>
  <c r="AN233" i="1"/>
  <c r="AO23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34" i="1"/>
  <c r="AM234" i="1"/>
  <c r="AN234" i="1"/>
  <c r="AO234" i="1"/>
  <c r="M18" i="3"/>
  <c r="U18" i="3"/>
  <c r="T18" i="3" s="1"/>
  <c r="V18" i="3"/>
  <c r="X18" i="3"/>
  <c r="M8" i="3"/>
  <c r="U8" i="3"/>
  <c r="AD8" i="3" s="1"/>
  <c r="V8" i="3"/>
  <c r="X8" i="3"/>
  <c r="M17" i="3"/>
  <c r="R17" i="3"/>
  <c r="U17" i="3"/>
  <c r="AC17" i="3" s="1"/>
  <c r="V17" i="3"/>
  <c r="X17" i="3"/>
  <c r="M13" i="3"/>
  <c r="U13" i="3"/>
  <c r="AC13" i="3" s="1"/>
  <c r="V13" i="3"/>
  <c r="X13" i="3"/>
  <c r="M11" i="3"/>
  <c r="U11" i="3"/>
  <c r="T11" i="3" s="1"/>
  <c r="V11" i="3"/>
  <c r="X11" i="3"/>
  <c r="M15" i="3"/>
  <c r="U15" i="3"/>
  <c r="V15" i="3"/>
  <c r="X15" i="3"/>
  <c r="M7" i="3"/>
  <c r="S7" i="3"/>
  <c r="U7" i="3"/>
  <c r="AC7" i="3" s="1"/>
  <c r="V7" i="3"/>
  <c r="X7" i="3"/>
  <c r="M16" i="3"/>
  <c r="U16" i="3"/>
  <c r="AC16" i="3" s="1"/>
  <c r="V16" i="3"/>
  <c r="X16" i="3"/>
  <c r="M12" i="3"/>
  <c r="U12" i="3"/>
  <c r="AD12" i="3" s="1"/>
  <c r="V12" i="3"/>
  <c r="X12" i="3"/>
  <c r="M9" i="3"/>
  <c r="U9" i="3"/>
  <c r="V9" i="3"/>
  <c r="X9" i="3"/>
  <c r="M14" i="3"/>
  <c r="R14" i="3"/>
  <c r="U14" i="3"/>
  <c r="AC14" i="3" s="1"/>
  <c r="V14" i="3"/>
  <c r="X14" i="3"/>
  <c r="AG195" i="1"/>
  <c r="AG17" i="1"/>
  <c r="AG37" i="1"/>
  <c r="AG53" i="1"/>
  <c r="AG65" i="1"/>
  <c r="AG77" i="1"/>
  <c r="AG96" i="1"/>
  <c r="AG87" i="1"/>
  <c r="AG133" i="1"/>
  <c r="AG145" i="1"/>
  <c r="AG153" i="1"/>
  <c r="AG215" i="1"/>
  <c r="AG233" i="1"/>
  <c r="AG124" i="1"/>
  <c r="AG190" i="1"/>
  <c r="AG171" i="1"/>
  <c r="AG189" i="1"/>
  <c r="AG207" i="1"/>
  <c r="AG184" i="1"/>
  <c r="AG18" i="1"/>
  <c r="AG22" i="1"/>
  <c r="AG26" i="1"/>
  <c r="AG34" i="1"/>
  <c r="AG42" i="1"/>
  <c r="AG46" i="1"/>
  <c r="AG58" i="1"/>
  <c r="AG66" i="1"/>
  <c r="AG78" i="1"/>
  <c r="AG98" i="1"/>
  <c r="AG89" i="1"/>
  <c r="AG120" i="1"/>
  <c r="AG14" i="1"/>
  <c r="AG30" i="1"/>
  <c r="AG38" i="1"/>
  <c r="AG50" i="1"/>
  <c r="AG62" i="1"/>
  <c r="AG70" i="1"/>
  <c r="AG82" i="1"/>
  <c r="AG113" i="1"/>
  <c r="AG105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8" i="1"/>
  <c r="AG72" i="1"/>
  <c r="AG76" i="1"/>
  <c r="AG80" i="1"/>
  <c r="AG86" i="1"/>
  <c r="AG94" i="1"/>
  <c r="AG102" i="1"/>
  <c r="AG110" i="1"/>
  <c r="AG85" i="1"/>
  <c r="AG93" i="1"/>
  <c r="AG101" i="1"/>
  <c r="AG109" i="1"/>
  <c r="AG116" i="1"/>
  <c r="AG123" i="1"/>
  <c r="AG131" i="1"/>
  <c r="AG136" i="1"/>
  <c r="AG140" i="1"/>
  <c r="AG144" i="1"/>
  <c r="AG148" i="1"/>
  <c r="AG152" i="1"/>
  <c r="AG156" i="1"/>
  <c r="AG210" i="1"/>
  <c r="AG214" i="1"/>
  <c r="AG218" i="1"/>
  <c r="AG228" i="1"/>
  <c r="AG232" i="1"/>
  <c r="AG115" i="1"/>
  <c r="AG122" i="1"/>
  <c r="AG130" i="1"/>
  <c r="AG186" i="1"/>
  <c r="AG202" i="1"/>
  <c r="AG162" i="1"/>
  <c r="AG170" i="1"/>
  <c r="AG177" i="1"/>
  <c r="AG188" i="1"/>
  <c r="AG197" i="1"/>
  <c r="AG205" i="1"/>
  <c r="AG226" i="1"/>
  <c r="AG169" i="1"/>
  <c r="AG183" i="1"/>
  <c r="AG196" i="1"/>
  <c r="AG224" i="1"/>
  <c r="AG21" i="1"/>
  <c r="AG25" i="1"/>
  <c r="AG29" i="1"/>
  <c r="AG33" i="1"/>
  <c r="AG41" i="1"/>
  <c r="AG45" i="1"/>
  <c r="AG49" i="1"/>
  <c r="AG57" i="1"/>
  <c r="AG61" i="1"/>
  <c r="AG69" i="1"/>
  <c r="AG73" i="1"/>
  <c r="AG81" i="1"/>
  <c r="AG88" i="1"/>
  <c r="AG104" i="1"/>
  <c r="AG111" i="1"/>
  <c r="AG95" i="1"/>
  <c r="AG103" i="1"/>
  <c r="AG118" i="1"/>
  <c r="AG125" i="1"/>
  <c r="AG137" i="1"/>
  <c r="AG141" i="1"/>
  <c r="AG149" i="1"/>
  <c r="AG157" i="1"/>
  <c r="AG211" i="1"/>
  <c r="AG219" i="1"/>
  <c r="AG229" i="1"/>
  <c r="AG117" i="1"/>
  <c r="AG132" i="1"/>
  <c r="AG174" i="1"/>
  <c r="AG206" i="1"/>
  <c r="AG164" i="1"/>
  <c r="AG179" i="1"/>
  <c r="AG199" i="1"/>
  <c r="AG160" i="1"/>
  <c r="AG172" i="1"/>
  <c r="AG200" i="1"/>
  <c r="AG54" i="1"/>
  <c r="AG74" i="1"/>
  <c r="AG90" i="1"/>
  <c r="AG106" i="1"/>
  <c r="AG97" i="1"/>
  <c r="AG112" i="1"/>
  <c r="AG15" i="1"/>
  <c r="AG31" i="1"/>
  <c r="AG47" i="1"/>
  <c r="AG63" i="1"/>
  <c r="AG79" i="1"/>
  <c r="AG108" i="1"/>
  <c r="AG107" i="1"/>
  <c r="AG129" i="1"/>
  <c r="AG139" i="1"/>
  <c r="AG147" i="1"/>
  <c r="AG155" i="1"/>
  <c r="AG213" i="1"/>
  <c r="AG221" i="1"/>
  <c r="AG159" i="1"/>
  <c r="AG128" i="1"/>
  <c r="AG182" i="1"/>
  <c r="AG227" i="1"/>
  <c r="AG175" i="1"/>
  <c r="AG193" i="1"/>
  <c r="AG225" i="1"/>
  <c r="AG180" i="1"/>
  <c r="AG208" i="1"/>
  <c r="AG35" i="1"/>
  <c r="AG67" i="1"/>
  <c r="AG83" i="1"/>
  <c r="AG134" i="1"/>
  <c r="AG150" i="1"/>
  <c r="AG216" i="1"/>
  <c r="AG119" i="1"/>
  <c r="AG194" i="1"/>
  <c r="AG181" i="1"/>
  <c r="AG161" i="1"/>
  <c r="AG23" i="1"/>
  <c r="AG39" i="1"/>
  <c r="AG55" i="1"/>
  <c r="AG71" i="1"/>
  <c r="AG92" i="1"/>
  <c r="AG91" i="1"/>
  <c r="AG121" i="1"/>
  <c r="AG135" i="1"/>
  <c r="AG143" i="1"/>
  <c r="AG151" i="1"/>
  <c r="AG209" i="1"/>
  <c r="AG217" i="1"/>
  <c r="AG231" i="1"/>
  <c r="AG167" i="1"/>
  <c r="AG198" i="1"/>
  <c r="AG168" i="1"/>
  <c r="AG185" i="1"/>
  <c r="AG203" i="1"/>
  <c r="AG165" i="1"/>
  <c r="AG191" i="1"/>
  <c r="AG19" i="1"/>
  <c r="AG51" i="1"/>
  <c r="AG84" i="1"/>
  <c r="AG114" i="1"/>
  <c r="AG142" i="1"/>
  <c r="AG158" i="1"/>
  <c r="AG230" i="1"/>
  <c r="AG163" i="1"/>
  <c r="AG166" i="1"/>
  <c r="AG201" i="1"/>
  <c r="AG187" i="1"/>
  <c r="AG27" i="1"/>
  <c r="AG43" i="1"/>
  <c r="AG59" i="1"/>
  <c r="AG75" i="1"/>
  <c r="AG100" i="1"/>
  <c r="AG99" i="1"/>
  <c r="AG127" i="1"/>
  <c r="AG138" i="1"/>
  <c r="AG146" i="1"/>
  <c r="AG154" i="1"/>
  <c r="AG212" i="1"/>
  <c r="AG220" i="1"/>
  <c r="AG234" i="1"/>
  <c r="AG126" i="1"/>
  <c r="AG178" i="1"/>
  <c r="AG223" i="1"/>
  <c r="AG173" i="1"/>
  <c r="AG192" i="1"/>
  <c r="AG222" i="1"/>
  <c r="AG176" i="1"/>
  <c r="AG204" i="1"/>
  <c r="W8" i="3"/>
  <c r="W7" i="3"/>
  <c r="W16" i="3"/>
  <c r="W9" i="3"/>
  <c r="W18" i="3"/>
  <c r="W12" i="3"/>
  <c r="W17" i="3"/>
  <c r="W13" i="3"/>
  <c r="W15" i="3"/>
  <c r="W14" i="3"/>
  <c r="W11" i="3"/>
  <c r="AI195" i="1" l="1"/>
  <c r="U195" i="1"/>
  <c r="S195" i="1" s="1"/>
  <c r="W195" i="1"/>
  <c r="X195" i="1"/>
  <c r="AD16" i="3"/>
  <c r="AD17" i="3"/>
  <c r="AA110" i="1"/>
  <c r="AA106" i="1"/>
  <c r="AA102" i="1"/>
  <c r="AA98" i="1"/>
  <c r="AA94" i="1"/>
  <c r="AA90" i="1"/>
  <c r="AA86" i="1"/>
  <c r="AA82" i="1"/>
  <c r="X212" i="1"/>
  <c r="X111" i="1"/>
  <c r="AA137" i="1"/>
  <c r="AA121" i="1"/>
  <c r="AA28" i="1"/>
  <c r="X190" i="1"/>
  <c r="X205" i="1"/>
  <c r="X226" i="1"/>
  <c r="T13" i="3"/>
  <c r="AA148" i="1"/>
  <c r="AA147" i="1"/>
  <c r="AA129" i="1"/>
  <c r="X67" i="1"/>
  <c r="X59" i="1"/>
  <c r="X58" i="1"/>
  <c r="AA159" i="1"/>
  <c r="W159" i="1" s="1"/>
  <c r="X154" i="1"/>
  <c r="AA143" i="1"/>
  <c r="AA120" i="1"/>
  <c r="X69" i="1"/>
  <c r="X65" i="1"/>
  <c r="AA58" i="1"/>
  <c r="AA57" i="1"/>
  <c r="T205" i="1"/>
  <c r="T70" i="1"/>
  <c r="U70" i="1" s="1"/>
  <c r="S70" i="1" s="1"/>
  <c r="T69" i="1"/>
  <c r="T68" i="1"/>
  <c r="T67" i="1"/>
  <c r="T66" i="1"/>
  <c r="U66" i="1" s="1"/>
  <c r="S66" i="1" s="1"/>
  <c r="T65" i="1"/>
  <c r="AA231" i="1"/>
  <c r="AA230" i="1"/>
  <c r="W230" i="1" s="1"/>
  <c r="AA152" i="1"/>
  <c r="W152" i="1" s="1"/>
  <c r="AA134" i="1"/>
  <c r="AA133" i="1"/>
  <c r="AA116" i="1"/>
  <c r="W116" i="1" s="1"/>
  <c r="AA111" i="1"/>
  <c r="W111" i="1" s="1"/>
  <c r="AA63" i="1"/>
  <c r="AA62" i="1"/>
  <c r="AA46" i="1"/>
  <c r="W46" i="1" s="1"/>
  <c r="AA42" i="1"/>
  <c r="W42" i="1" s="1"/>
  <c r="X40" i="1"/>
  <c r="AD13" i="3"/>
  <c r="AC18" i="3"/>
  <c r="AA227" i="1"/>
  <c r="X201" i="1"/>
  <c r="X231" i="1"/>
  <c r="AA228" i="1"/>
  <c r="W228" i="1" s="1"/>
  <c r="AA157" i="1"/>
  <c r="AA139" i="1"/>
  <c r="AA132" i="1"/>
  <c r="W132" i="1" s="1"/>
  <c r="AA113" i="1"/>
  <c r="W113" i="1" s="1"/>
  <c r="AA61" i="1"/>
  <c r="AA44" i="1"/>
  <c r="AA32" i="1"/>
  <c r="W32" i="1" s="1"/>
  <c r="X16" i="1"/>
  <c r="X15" i="1"/>
  <c r="X234" i="1"/>
  <c r="X233" i="1"/>
  <c r="AA229" i="1"/>
  <c r="W229" i="1" s="1"/>
  <c r="AA219" i="1"/>
  <c r="AA215" i="1"/>
  <c r="X214" i="1"/>
  <c r="X211" i="1"/>
  <c r="AA156" i="1"/>
  <c r="AA153" i="1"/>
  <c r="AA138" i="1"/>
  <c r="W138" i="1" s="1"/>
  <c r="AA135" i="1"/>
  <c r="W135" i="1" s="1"/>
  <c r="AA130" i="1"/>
  <c r="AA123" i="1"/>
  <c r="AA81" i="1"/>
  <c r="AA64" i="1"/>
  <c r="AA59" i="1"/>
  <c r="AA54" i="1"/>
  <c r="AA50" i="1"/>
  <c r="W50" i="1" s="1"/>
  <c r="X48" i="1"/>
  <c r="AA34" i="1"/>
  <c r="AA23" i="1"/>
  <c r="AA19" i="1"/>
  <c r="T201" i="1"/>
  <c r="U201" i="1" s="1"/>
  <c r="S201" i="1" s="1"/>
  <c r="T194" i="1"/>
  <c r="T17" i="1"/>
  <c r="T226" i="1"/>
  <c r="T203" i="1"/>
  <c r="U203" i="1" s="1"/>
  <c r="S203" i="1" s="1"/>
  <c r="X199" i="1"/>
  <c r="T197" i="1"/>
  <c r="AA233" i="1"/>
  <c r="W233" i="1" s="1"/>
  <c r="AA232" i="1"/>
  <c r="W232" i="1" s="1"/>
  <c r="AA221" i="1"/>
  <c r="X220" i="1"/>
  <c r="AA217" i="1"/>
  <c r="W217" i="1" s="1"/>
  <c r="AA211" i="1"/>
  <c r="W211" i="1" s="1"/>
  <c r="AA210" i="1"/>
  <c r="AA150" i="1"/>
  <c r="AA149" i="1"/>
  <c r="W149" i="1" s="1"/>
  <c r="AA127" i="1"/>
  <c r="W127" i="1" s="1"/>
  <c r="AA114" i="1"/>
  <c r="AA107" i="1"/>
  <c r="AA103" i="1"/>
  <c r="W103" i="1" s="1"/>
  <c r="AA99" i="1"/>
  <c r="AA95" i="1"/>
  <c r="AA91" i="1"/>
  <c r="AA87" i="1"/>
  <c r="W87" i="1" s="1"/>
  <c r="AA83" i="1"/>
  <c r="W83" i="1" s="1"/>
  <c r="AA77" i="1"/>
  <c r="AA72" i="1"/>
  <c r="AA60" i="1"/>
  <c r="W60" i="1" s="1"/>
  <c r="AA56" i="1"/>
  <c r="AA52" i="1"/>
  <c r="X51" i="1"/>
  <c r="AA48" i="1"/>
  <c r="W48" i="1" s="1"/>
  <c r="AA47" i="1"/>
  <c r="W47" i="1" s="1"/>
  <c r="AA36" i="1"/>
  <c r="AA25" i="1"/>
  <c r="AA21" i="1"/>
  <c r="AA17" i="1"/>
  <c r="W17" i="1" s="1"/>
  <c r="AC8" i="3"/>
  <c r="AA225" i="1"/>
  <c r="X224" i="1"/>
  <c r="AA223" i="1"/>
  <c r="W223" i="1" s="1"/>
  <c r="X222" i="1"/>
  <c r="AA208" i="1"/>
  <c r="X207" i="1"/>
  <c r="T186" i="1"/>
  <c r="U186" i="1" s="1"/>
  <c r="S186" i="1" s="1"/>
  <c r="X186" i="1"/>
  <c r="T182" i="1"/>
  <c r="X182" i="1"/>
  <c r="T199" i="1"/>
  <c r="U199" i="1" s="1"/>
  <c r="S199" i="1" s="1"/>
  <c r="T190" i="1"/>
  <c r="T188" i="1"/>
  <c r="X188" i="1"/>
  <c r="T184" i="1"/>
  <c r="U184" i="1" s="1"/>
  <c r="S184" i="1" s="1"/>
  <c r="X184" i="1"/>
  <c r="T180" i="1"/>
  <c r="U180" i="1" s="1"/>
  <c r="S180" i="1" s="1"/>
  <c r="X180" i="1"/>
  <c r="AA206" i="1"/>
  <c r="W206" i="1" s="1"/>
  <c r="AA204" i="1"/>
  <c r="AA202" i="1"/>
  <c r="AA200" i="1"/>
  <c r="W200" i="1" s="1"/>
  <c r="AA198" i="1"/>
  <c r="W198" i="1" s="1"/>
  <c r="AA196" i="1"/>
  <c r="AA193" i="1"/>
  <c r="AA191" i="1"/>
  <c r="X189" i="1"/>
  <c r="AA189" i="1"/>
  <c r="AA187" i="1"/>
  <c r="X185" i="1"/>
  <c r="AA185" i="1"/>
  <c r="W185" i="1" s="1"/>
  <c r="AA183" i="1"/>
  <c r="X181" i="1"/>
  <c r="AA181" i="1"/>
  <c r="W181" i="1" s="1"/>
  <c r="AA179" i="1"/>
  <c r="W179" i="1" s="1"/>
  <c r="X178" i="1"/>
  <c r="X177" i="1"/>
  <c r="AA177" i="1"/>
  <c r="X176" i="1"/>
  <c r="AA175" i="1"/>
  <c r="X174" i="1"/>
  <c r="AA173" i="1"/>
  <c r="W173" i="1" s="1"/>
  <c r="AA171" i="1"/>
  <c r="X169" i="1"/>
  <c r="X167" i="1"/>
  <c r="X165" i="1"/>
  <c r="X163" i="1"/>
  <c r="X161" i="1"/>
  <c r="X159" i="1"/>
  <c r="X219" i="1"/>
  <c r="X217" i="1"/>
  <c r="X215" i="1"/>
  <c r="X148" i="1"/>
  <c r="X145" i="1"/>
  <c r="AA73" i="1"/>
  <c r="W73" i="1" s="1"/>
  <c r="X62" i="1"/>
  <c r="X61" i="1"/>
  <c r="AA41" i="1"/>
  <c r="AA40" i="1"/>
  <c r="W40" i="1" s="1"/>
  <c r="AA38" i="1"/>
  <c r="W38" i="1" s="1"/>
  <c r="AA33" i="1"/>
  <c r="AA24" i="1"/>
  <c r="AA20" i="1"/>
  <c r="W20" i="1" s="1"/>
  <c r="X18" i="1"/>
  <c r="AA16" i="1"/>
  <c r="T16" i="1"/>
  <c r="X229" i="1"/>
  <c r="AA209" i="1"/>
  <c r="W209" i="1" s="1"/>
  <c r="X156" i="1"/>
  <c r="X153" i="1"/>
  <c r="X151" i="1"/>
  <c r="X149" i="1"/>
  <c r="AA74" i="1"/>
  <c r="AA14" i="1"/>
  <c r="AA169" i="1"/>
  <c r="W169" i="1" s="1"/>
  <c r="AA167" i="1"/>
  <c r="W167" i="1" s="1"/>
  <c r="AA165" i="1"/>
  <c r="AA163" i="1"/>
  <c r="AA161" i="1"/>
  <c r="AA218" i="1"/>
  <c r="W218" i="1" s="1"/>
  <c r="AA216" i="1"/>
  <c r="AA214" i="1"/>
  <c r="AA213" i="1"/>
  <c r="W213" i="1" s="1"/>
  <c r="X157" i="1"/>
  <c r="AA145" i="1"/>
  <c r="AA144" i="1"/>
  <c r="AA142" i="1"/>
  <c r="AA141" i="1"/>
  <c r="W141" i="1" s="1"/>
  <c r="X141" i="1"/>
  <c r="AA125" i="1"/>
  <c r="AA118" i="1"/>
  <c r="W118" i="1" s="1"/>
  <c r="AA112" i="1"/>
  <c r="W112" i="1" s="1"/>
  <c r="AA109" i="1"/>
  <c r="AA105" i="1"/>
  <c r="AA101" i="1"/>
  <c r="AA97" i="1"/>
  <c r="W97" i="1" s="1"/>
  <c r="AA93" i="1"/>
  <c r="AA89" i="1"/>
  <c r="AA85" i="1"/>
  <c r="W85" i="1" s="1"/>
  <c r="AA78" i="1"/>
  <c r="W78" i="1" s="1"/>
  <c r="AA76" i="1"/>
  <c r="AA75" i="1"/>
  <c r="AA71" i="1"/>
  <c r="W71" i="1" s="1"/>
  <c r="X64" i="1"/>
  <c r="X63" i="1"/>
  <c r="T61" i="1"/>
  <c r="X60" i="1"/>
  <c r="X55" i="1"/>
  <c r="X53" i="1"/>
  <c r="X47" i="1"/>
  <c r="X45" i="1"/>
  <c r="X42" i="1"/>
  <c r="X38" i="1"/>
  <c r="AA29" i="1"/>
  <c r="AA22" i="1"/>
  <c r="AA18" i="1"/>
  <c r="W18" i="1" s="1"/>
  <c r="AA30" i="1"/>
  <c r="X206" i="1"/>
  <c r="T206" i="1"/>
  <c r="U206" i="1" s="1"/>
  <c r="S206" i="1" s="1"/>
  <c r="X202" i="1"/>
  <c r="T202" i="1"/>
  <c r="X198" i="1"/>
  <c r="T198" i="1"/>
  <c r="U198" i="1" s="1"/>
  <c r="S198" i="1" s="1"/>
  <c r="X193" i="1"/>
  <c r="T193" i="1"/>
  <c r="X223" i="1"/>
  <c r="T223" i="1"/>
  <c r="X227" i="1"/>
  <c r="T227" i="1"/>
  <c r="X225" i="1"/>
  <c r="AA224" i="1"/>
  <c r="W224" i="1" s="1"/>
  <c r="X208" i="1"/>
  <c r="AA207" i="1"/>
  <c r="X204" i="1"/>
  <c r="AA203" i="1"/>
  <c r="W203" i="1" s="1"/>
  <c r="X200" i="1"/>
  <c r="AA199" i="1"/>
  <c r="AA194" i="1"/>
  <c r="W194" i="1" s="1"/>
  <c r="X191" i="1"/>
  <c r="AA190" i="1"/>
  <c r="T189" i="1"/>
  <c r="X187" i="1"/>
  <c r="AA186" i="1"/>
  <c r="W186" i="1" s="1"/>
  <c r="T185" i="1"/>
  <c r="X183" i="1"/>
  <c r="AA182" i="1"/>
  <c r="W182" i="1" s="1"/>
  <c r="T181" i="1"/>
  <c r="U181" i="1" s="1"/>
  <c r="S181" i="1" s="1"/>
  <c r="X179" i="1"/>
  <c r="AA178" i="1"/>
  <c r="T177" i="1"/>
  <c r="X175" i="1"/>
  <c r="AA174" i="1"/>
  <c r="T173" i="1"/>
  <c r="AA170" i="1"/>
  <c r="X168" i="1"/>
  <c r="AA166" i="1"/>
  <c r="W166" i="1" s="1"/>
  <c r="X164" i="1"/>
  <c r="AA162" i="1"/>
  <c r="X160" i="1"/>
  <c r="X221" i="1"/>
  <c r="AA220" i="1"/>
  <c r="W220" i="1" s="1"/>
  <c r="X218" i="1"/>
  <c r="X216" i="1"/>
  <c r="X155" i="1"/>
  <c r="AA154" i="1"/>
  <c r="W154" i="1" s="1"/>
  <c r="X152" i="1"/>
  <c r="X150" i="1"/>
  <c r="AA140" i="1"/>
  <c r="W140" i="1" s="1"/>
  <c r="X135" i="1"/>
  <c r="T219" i="1"/>
  <c r="T217" i="1"/>
  <c r="T215" i="1"/>
  <c r="U215" i="1" s="1"/>
  <c r="S215" i="1" s="1"/>
  <c r="X209" i="1"/>
  <c r="T153" i="1"/>
  <c r="T151" i="1"/>
  <c r="T149" i="1"/>
  <c r="U149" i="1" s="1"/>
  <c r="S149" i="1" s="1"/>
  <c r="AA226" i="1"/>
  <c r="AA222" i="1"/>
  <c r="AA205" i="1"/>
  <c r="AA201" i="1"/>
  <c r="W201" i="1" s="1"/>
  <c r="AA197" i="1"/>
  <c r="AA192" i="1"/>
  <c r="AA188" i="1"/>
  <c r="AA184" i="1"/>
  <c r="W184" i="1" s="1"/>
  <c r="AA180" i="1"/>
  <c r="AA176" i="1"/>
  <c r="AA172" i="1"/>
  <c r="X170" i="1"/>
  <c r="AA168" i="1"/>
  <c r="W168" i="1" s="1"/>
  <c r="X166" i="1"/>
  <c r="AA164" i="1"/>
  <c r="X162" i="1"/>
  <c r="AA160" i="1"/>
  <c r="W160" i="1" s="1"/>
  <c r="AA234" i="1"/>
  <c r="X232" i="1"/>
  <c r="X230" i="1"/>
  <c r="X228" i="1"/>
  <c r="X213" i="1"/>
  <c r="AA212" i="1"/>
  <c r="X210" i="1"/>
  <c r="X158" i="1"/>
  <c r="X147" i="1"/>
  <c r="AA146" i="1"/>
  <c r="X139" i="1"/>
  <c r="AA136" i="1"/>
  <c r="W136" i="1" s="1"/>
  <c r="X137" i="1"/>
  <c r="AA128" i="1"/>
  <c r="AA126" i="1"/>
  <c r="W126" i="1" s="1"/>
  <c r="AA124" i="1"/>
  <c r="W124" i="1" s="1"/>
  <c r="AA122" i="1"/>
  <c r="AA119" i="1"/>
  <c r="AA117" i="1"/>
  <c r="W117" i="1" s="1"/>
  <c r="AA115" i="1"/>
  <c r="X56" i="1"/>
  <c r="AA55" i="1"/>
  <c r="X54" i="1"/>
  <c r="AA53" i="1"/>
  <c r="X52" i="1"/>
  <c r="AA51" i="1"/>
  <c r="X46" i="1"/>
  <c r="AA45" i="1"/>
  <c r="X44" i="1"/>
  <c r="AA43" i="1"/>
  <c r="AA37" i="1"/>
  <c r="AA31" i="1"/>
  <c r="X26" i="1"/>
  <c r="T42" i="1"/>
  <c r="AA15" i="1"/>
  <c r="W15" i="1" s="1"/>
  <c r="AA49" i="1"/>
  <c r="AA39" i="1"/>
  <c r="AA35" i="1"/>
  <c r="AA27" i="1"/>
  <c r="W27" i="1" s="1"/>
  <c r="AA26" i="1"/>
  <c r="T55" i="1"/>
  <c r="T53" i="1"/>
  <c r="T45" i="1"/>
  <c r="U45" i="1" s="1"/>
  <c r="S45" i="1" s="1"/>
  <c r="X36" i="1"/>
  <c r="AI231" i="1"/>
  <c r="U224" i="1"/>
  <c r="S224" i="1" s="1"/>
  <c r="AI228" i="1"/>
  <c r="U208" i="1"/>
  <c r="S208" i="1" s="1"/>
  <c r="AI224" i="1"/>
  <c r="U204" i="1"/>
  <c r="S204" i="1" s="1"/>
  <c r="AI220" i="1"/>
  <c r="U200" i="1"/>
  <c r="S200" i="1" s="1"/>
  <c r="AI216" i="1"/>
  <c r="U196" i="1"/>
  <c r="S196" i="1" s="1"/>
  <c r="AI212" i="1"/>
  <c r="U191" i="1"/>
  <c r="S191" i="1" s="1"/>
  <c r="AI208" i="1"/>
  <c r="U187" i="1"/>
  <c r="S187" i="1" s="1"/>
  <c r="AI205" i="1"/>
  <c r="AI204" i="1"/>
  <c r="U183" i="1"/>
  <c r="S183" i="1" s="1"/>
  <c r="AI201" i="1"/>
  <c r="AI197" i="1"/>
  <c r="U176" i="1"/>
  <c r="S176" i="1" s="1"/>
  <c r="AI192" i="1"/>
  <c r="U172" i="1"/>
  <c r="S172" i="1" s="1"/>
  <c r="AI188" i="1"/>
  <c r="U169" i="1"/>
  <c r="S169" i="1" s="1"/>
  <c r="AI184" i="1"/>
  <c r="U165" i="1"/>
  <c r="S165" i="1" s="1"/>
  <c r="AI180" i="1"/>
  <c r="U161" i="1"/>
  <c r="S161" i="1" s="1"/>
  <c r="AI179" i="1"/>
  <c r="U160" i="1"/>
  <c r="S160" i="1" s="1"/>
  <c r="U226" i="1"/>
  <c r="S226" i="1" s="1"/>
  <c r="AI233" i="1"/>
  <c r="AI232" i="1"/>
  <c r="U225" i="1"/>
  <c r="S225" i="1" s="1"/>
  <c r="U222" i="1"/>
  <c r="S222" i="1" s="1"/>
  <c r="AI229" i="1"/>
  <c r="AI227" i="1"/>
  <c r="U207" i="1"/>
  <c r="S207" i="1" s="1"/>
  <c r="U205" i="1"/>
  <c r="S205" i="1" s="1"/>
  <c r="AI225" i="1"/>
  <c r="AI223" i="1"/>
  <c r="AI221" i="1"/>
  <c r="AI219" i="1"/>
  <c r="U197" i="1"/>
  <c r="S197" i="1" s="1"/>
  <c r="AI217" i="1"/>
  <c r="U193" i="1"/>
  <c r="S193" i="1" s="1"/>
  <c r="AI214" i="1"/>
  <c r="U192" i="1"/>
  <c r="S192" i="1" s="1"/>
  <c r="AI213" i="1"/>
  <c r="U189" i="1"/>
  <c r="S189" i="1" s="1"/>
  <c r="AI210" i="1"/>
  <c r="U188" i="1"/>
  <c r="S188" i="1" s="1"/>
  <c r="AI209" i="1"/>
  <c r="U185" i="1"/>
  <c r="S185" i="1" s="1"/>
  <c r="AI206" i="1"/>
  <c r="AI202" i="1"/>
  <c r="AI200" i="1"/>
  <c r="U179" i="1"/>
  <c r="S179" i="1" s="1"/>
  <c r="U177" i="1"/>
  <c r="S177" i="1" s="1"/>
  <c r="AI198" i="1"/>
  <c r="U175" i="1"/>
  <c r="S175" i="1" s="1"/>
  <c r="AI196" i="1"/>
  <c r="U173" i="1"/>
  <c r="S173" i="1" s="1"/>
  <c r="AI193" i="1"/>
  <c r="U171" i="1"/>
  <c r="AI191" i="1"/>
  <c r="U170" i="1"/>
  <c r="S170" i="1" s="1"/>
  <c r="AI189" i="1"/>
  <c r="AI187" i="1"/>
  <c r="U168" i="1"/>
  <c r="S168" i="1" s="1"/>
  <c r="AI185" i="1"/>
  <c r="U166" i="1"/>
  <c r="S166" i="1" s="1"/>
  <c r="AI183" i="1"/>
  <c r="U164" i="1"/>
  <c r="S164" i="1" s="1"/>
  <c r="AI181" i="1"/>
  <c r="U162" i="1"/>
  <c r="S162" i="1" s="1"/>
  <c r="U227" i="1"/>
  <c r="S227" i="1" s="1"/>
  <c r="AI234" i="1"/>
  <c r="U223" i="1"/>
  <c r="S223" i="1" s="1"/>
  <c r="AI230" i="1"/>
  <c r="AI226" i="1"/>
  <c r="U202" i="1"/>
  <c r="S202" i="1" s="1"/>
  <c r="AI222" i="1"/>
  <c r="AI218" i="1"/>
  <c r="U194" i="1"/>
  <c r="S194" i="1" s="1"/>
  <c r="AI215" i="1"/>
  <c r="U190" i="1"/>
  <c r="S190" i="1" s="1"/>
  <c r="AI211" i="1"/>
  <c r="AI207" i="1"/>
  <c r="U182" i="1"/>
  <c r="S182" i="1" s="1"/>
  <c r="AI203" i="1"/>
  <c r="U178" i="1"/>
  <c r="S178" i="1" s="1"/>
  <c r="AI199" i="1"/>
  <c r="U174" i="1"/>
  <c r="S174" i="1" s="1"/>
  <c r="AI194" i="1"/>
  <c r="AI190" i="1"/>
  <c r="AI186" i="1"/>
  <c r="U167" i="1"/>
  <c r="S167" i="1" s="1"/>
  <c r="AI182" i="1"/>
  <c r="U163" i="1"/>
  <c r="S163" i="1" s="1"/>
  <c r="AI132" i="1"/>
  <c r="AI130" i="1"/>
  <c r="AI128" i="1"/>
  <c r="AI126" i="1"/>
  <c r="AI124" i="1"/>
  <c r="AI122" i="1"/>
  <c r="AI119" i="1"/>
  <c r="AI117" i="1"/>
  <c r="AI115" i="1"/>
  <c r="U159" i="1"/>
  <c r="S159" i="1" s="1"/>
  <c r="AI178" i="1"/>
  <c r="AI177" i="1"/>
  <c r="U233" i="1"/>
  <c r="S233" i="1" s="1"/>
  <c r="AI176" i="1"/>
  <c r="U232" i="1"/>
  <c r="S232" i="1" s="1"/>
  <c r="AI175" i="1"/>
  <c r="U231" i="1"/>
  <c r="S231" i="1" s="1"/>
  <c r="AI174" i="1"/>
  <c r="U230" i="1"/>
  <c r="S230" i="1" s="1"/>
  <c r="AI173" i="1"/>
  <c r="U229" i="1"/>
  <c r="S229" i="1" s="1"/>
  <c r="AI172" i="1"/>
  <c r="AI171" i="1"/>
  <c r="U221" i="1"/>
  <c r="S221" i="1" s="1"/>
  <c r="AI170" i="1"/>
  <c r="U219" i="1"/>
  <c r="S219" i="1" s="1"/>
  <c r="AI169" i="1"/>
  <c r="U218" i="1"/>
  <c r="S218" i="1" s="1"/>
  <c r="AI168" i="1"/>
  <c r="U217" i="1"/>
  <c r="S217" i="1" s="1"/>
  <c r="AI167" i="1"/>
  <c r="U216" i="1"/>
  <c r="S216" i="1" s="1"/>
  <c r="AI166" i="1"/>
  <c r="AI165" i="1"/>
  <c r="AI164" i="1"/>
  <c r="U213" i="1"/>
  <c r="S213" i="1" s="1"/>
  <c r="AI163" i="1"/>
  <c r="AI162" i="1"/>
  <c r="U211" i="1"/>
  <c r="S211" i="1" s="1"/>
  <c r="AI161" i="1"/>
  <c r="U210" i="1"/>
  <c r="S210" i="1" s="1"/>
  <c r="AI160" i="1"/>
  <c r="U209" i="1"/>
  <c r="S209" i="1" s="1"/>
  <c r="AI159" i="1"/>
  <c r="U158" i="1"/>
  <c r="S158" i="1" s="1"/>
  <c r="AI158" i="1"/>
  <c r="U157" i="1"/>
  <c r="S157" i="1" s="1"/>
  <c r="AI157" i="1"/>
  <c r="AI156" i="1"/>
  <c r="U155" i="1"/>
  <c r="S155" i="1" s="1"/>
  <c r="AI155" i="1"/>
  <c r="AI154" i="1"/>
  <c r="U153" i="1"/>
  <c r="S153" i="1" s="1"/>
  <c r="AI153" i="1"/>
  <c r="U152" i="1"/>
  <c r="S152" i="1" s="1"/>
  <c r="AI152" i="1"/>
  <c r="U151" i="1"/>
  <c r="S151" i="1" s="1"/>
  <c r="AI151" i="1"/>
  <c r="U150" i="1"/>
  <c r="S150" i="1" s="1"/>
  <c r="AI150" i="1"/>
  <c r="AI149" i="1"/>
  <c r="AI148" i="1"/>
  <c r="U147" i="1"/>
  <c r="S147" i="1" s="1"/>
  <c r="AI147" i="1"/>
  <c r="AI146" i="1"/>
  <c r="U145" i="1"/>
  <c r="S145" i="1" s="1"/>
  <c r="AI145" i="1"/>
  <c r="AI144" i="1"/>
  <c r="U143" i="1"/>
  <c r="S143" i="1" s="1"/>
  <c r="AI143" i="1"/>
  <c r="AI142" i="1"/>
  <c r="U141" i="1"/>
  <c r="S141" i="1" s="1"/>
  <c r="AI141" i="1"/>
  <c r="AI140" i="1"/>
  <c r="U139" i="1"/>
  <c r="S139" i="1" s="1"/>
  <c r="AI139" i="1"/>
  <c r="AI138" i="1"/>
  <c r="U137" i="1"/>
  <c r="S137" i="1" s="1"/>
  <c r="AI137" i="1"/>
  <c r="AI136" i="1"/>
  <c r="U135" i="1"/>
  <c r="S135" i="1" s="1"/>
  <c r="AI135" i="1"/>
  <c r="AI134" i="1"/>
  <c r="AI133" i="1"/>
  <c r="W133" i="1"/>
  <c r="AI131" i="1"/>
  <c r="W131" i="1"/>
  <c r="AI129" i="1"/>
  <c r="W129" i="1"/>
  <c r="AI127" i="1"/>
  <c r="AI125" i="1"/>
  <c r="W125" i="1"/>
  <c r="AI123" i="1"/>
  <c r="W123" i="1"/>
  <c r="AI121" i="1"/>
  <c r="W121" i="1"/>
  <c r="AI120" i="1"/>
  <c r="W120" i="1"/>
  <c r="AI118" i="1"/>
  <c r="AI116" i="1"/>
  <c r="AI114" i="1"/>
  <c r="W114" i="1"/>
  <c r="AI112" i="1"/>
  <c r="AI109" i="1"/>
  <c r="W109" i="1"/>
  <c r="AI107" i="1"/>
  <c r="AI105" i="1"/>
  <c r="W105" i="1"/>
  <c r="AI103" i="1"/>
  <c r="AI101" i="1"/>
  <c r="W101" i="1"/>
  <c r="AI99" i="1"/>
  <c r="AI97" i="1"/>
  <c r="AI95" i="1"/>
  <c r="AI93" i="1"/>
  <c r="W93" i="1"/>
  <c r="AI91" i="1"/>
  <c r="AI89" i="1"/>
  <c r="W89" i="1"/>
  <c r="AI87" i="1"/>
  <c r="AI85" i="1"/>
  <c r="AI83" i="1"/>
  <c r="AI113" i="1"/>
  <c r="AI111" i="1"/>
  <c r="AI110" i="1"/>
  <c r="AI108" i="1"/>
  <c r="AI106" i="1"/>
  <c r="AI104" i="1"/>
  <c r="AI102" i="1"/>
  <c r="AI100" i="1"/>
  <c r="AI98" i="1"/>
  <c r="AI96" i="1"/>
  <c r="AI94" i="1"/>
  <c r="AI92" i="1"/>
  <c r="AI90" i="1"/>
  <c r="AI88" i="1"/>
  <c r="AI86" i="1"/>
  <c r="AI84" i="1"/>
  <c r="AI82" i="1"/>
  <c r="AI81" i="1"/>
  <c r="AI80" i="1"/>
  <c r="AI79" i="1"/>
  <c r="AI78" i="1"/>
  <c r="AI77" i="1"/>
  <c r="U76" i="1"/>
  <c r="S76" i="1" s="1"/>
  <c r="AI76" i="1"/>
  <c r="U75" i="1"/>
  <c r="S75" i="1" s="1"/>
  <c r="AI75" i="1"/>
  <c r="U74" i="1"/>
  <c r="S74" i="1" s="1"/>
  <c r="W74" i="1"/>
  <c r="AI74" i="1"/>
  <c r="U73" i="1"/>
  <c r="S73" i="1" s="1"/>
  <c r="AI73" i="1"/>
  <c r="U72" i="1"/>
  <c r="S72" i="1" s="1"/>
  <c r="AI72" i="1"/>
  <c r="W72" i="1"/>
  <c r="U71" i="1"/>
  <c r="S71" i="1" s="1"/>
  <c r="AI71" i="1"/>
  <c r="AI70" i="1"/>
  <c r="AI69" i="1"/>
  <c r="U69" i="1"/>
  <c r="S69" i="1" s="1"/>
  <c r="AI68" i="1"/>
  <c r="U68" i="1"/>
  <c r="S68" i="1" s="1"/>
  <c r="AI67" i="1"/>
  <c r="U67" i="1"/>
  <c r="S67" i="1" s="1"/>
  <c r="AI66" i="1"/>
  <c r="AI65" i="1"/>
  <c r="U65" i="1"/>
  <c r="S65" i="1" s="1"/>
  <c r="U64" i="1"/>
  <c r="S64" i="1" s="1"/>
  <c r="AI64" i="1"/>
  <c r="AI63" i="1"/>
  <c r="U62" i="1"/>
  <c r="S62" i="1" s="1"/>
  <c r="AI62" i="1"/>
  <c r="U61" i="1"/>
  <c r="S61" i="1" s="1"/>
  <c r="AI61" i="1"/>
  <c r="U60" i="1"/>
  <c r="S60" i="1" s="1"/>
  <c r="AI60" i="1"/>
  <c r="AI59" i="1"/>
  <c r="U58" i="1"/>
  <c r="S58" i="1" s="1"/>
  <c r="AI58" i="1"/>
  <c r="AI57" i="1"/>
  <c r="U56" i="1"/>
  <c r="S56" i="1" s="1"/>
  <c r="AI56" i="1"/>
  <c r="U55" i="1"/>
  <c r="S55" i="1" s="1"/>
  <c r="AI55" i="1"/>
  <c r="U54" i="1"/>
  <c r="S54" i="1" s="1"/>
  <c r="AI54" i="1"/>
  <c r="U53" i="1"/>
  <c r="S53" i="1" s="1"/>
  <c r="AI53" i="1"/>
  <c r="U52" i="1"/>
  <c r="S52" i="1" s="1"/>
  <c r="AI52" i="1"/>
  <c r="AI51" i="1"/>
  <c r="U50" i="1"/>
  <c r="S50" i="1" s="1"/>
  <c r="AI50" i="1"/>
  <c r="AI49" i="1"/>
  <c r="U48" i="1"/>
  <c r="S48" i="1" s="1"/>
  <c r="AI48" i="1"/>
  <c r="AI47" i="1"/>
  <c r="U46" i="1"/>
  <c r="S46" i="1" s="1"/>
  <c r="AI46" i="1"/>
  <c r="AI45" i="1"/>
  <c r="U44" i="1"/>
  <c r="S44" i="1" s="1"/>
  <c r="AI44" i="1"/>
  <c r="AI43" i="1"/>
  <c r="U42" i="1"/>
  <c r="S42" i="1" s="1"/>
  <c r="AI42" i="1"/>
  <c r="AI41" i="1"/>
  <c r="U40" i="1"/>
  <c r="S40" i="1" s="1"/>
  <c r="AI40" i="1"/>
  <c r="AI39" i="1"/>
  <c r="U38" i="1"/>
  <c r="S38" i="1" s="1"/>
  <c r="AI38" i="1"/>
  <c r="AI37" i="1"/>
  <c r="U36" i="1"/>
  <c r="S36" i="1" s="1"/>
  <c r="AI36" i="1"/>
  <c r="AI35" i="1"/>
  <c r="U34" i="1"/>
  <c r="S34" i="1" s="1"/>
  <c r="AI34" i="1"/>
  <c r="AI33" i="1"/>
  <c r="U32" i="1"/>
  <c r="S32" i="1" s="1"/>
  <c r="AI32" i="1"/>
  <c r="AI31" i="1"/>
  <c r="U30" i="1"/>
  <c r="S30" i="1" s="1"/>
  <c r="AI30" i="1"/>
  <c r="AI29" i="1"/>
  <c r="U28" i="1"/>
  <c r="S28" i="1" s="1"/>
  <c r="AI28" i="1"/>
  <c r="AI27" i="1"/>
  <c r="U26" i="1"/>
  <c r="S26" i="1" s="1"/>
  <c r="AI26" i="1"/>
  <c r="AI25" i="1"/>
  <c r="U24" i="1"/>
  <c r="S24" i="1" s="1"/>
  <c r="AI24" i="1"/>
  <c r="AI23" i="1"/>
  <c r="AI22" i="1"/>
  <c r="U22" i="1"/>
  <c r="S22" i="1" s="1"/>
  <c r="AI21" i="1"/>
  <c r="AI20" i="1"/>
  <c r="U20" i="1"/>
  <c r="S20" i="1" s="1"/>
  <c r="AI19" i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7" i="1"/>
  <c r="W189" i="1"/>
  <c r="W177" i="1"/>
  <c r="W225" i="1"/>
  <c r="W196" i="1"/>
  <c r="W191" i="1"/>
  <c r="W187" i="1"/>
  <c r="W183" i="1"/>
  <c r="W175" i="1"/>
  <c r="W171" i="1"/>
  <c r="W147" i="1"/>
  <c r="W193" i="1"/>
  <c r="W208" i="1"/>
  <c r="W204" i="1"/>
  <c r="W207" i="1"/>
  <c r="W199" i="1"/>
  <c r="W190" i="1"/>
  <c r="W178" i="1"/>
  <c r="W174" i="1"/>
  <c r="W219" i="1"/>
  <c r="W215" i="1"/>
  <c r="W153" i="1"/>
  <c r="W151" i="1"/>
  <c r="W202" i="1"/>
  <c r="W221" i="1"/>
  <c r="W155" i="1"/>
  <c r="W226" i="1"/>
  <c r="W222" i="1"/>
  <c r="W205" i="1"/>
  <c r="W197" i="1"/>
  <c r="W192" i="1"/>
  <c r="W188" i="1"/>
  <c r="W180" i="1"/>
  <c r="W176" i="1"/>
  <c r="W172" i="1"/>
  <c r="W231" i="1"/>
  <c r="W157" i="1"/>
  <c r="W145" i="1"/>
  <c r="W170" i="1"/>
  <c r="W165" i="1"/>
  <c r="W164" i="1"/>
  <c r="W163" i="1"/>
  <c r="W162" i="1"/>
  <c r="W161" i="1"/>
  <c r="T234" i="1"/>
  <c r="U234" i="1" s="1"/>
  <c r="S234" i="1" s="1"/>
  <c r="T220" i="1"/>
  <c r="U220" i="1" s="1"/>
  <c r="S220" i="1" s="1"/>
  <c r="T212" i="1"/>
  <c r="U212" i="1" s="1"/>
  <c r="S212" i="1" s="1"/>
  <c r="W210" i="1"/>
  <c r="T154" i="1"/>
  <c r="U154" i="1" s="1"/>
  <c r="S154" i="1" s="1"/>
  <c r="T146" i="1"/>
  <c r="U146" i="1" s="1"/>
  <c r="S146" i="1" s="1"/>
  <c r="W144" i="1"/>
  <c r="W143" i="1"/>
  <c r="W128" i="1"/>
  <c r="W107" i="1"/>
  <c r="W99" i="1"/>
  <c r="W91" i="1"/>
  <c r="W214" i="1"/>
  <c r="W156" i="1"/>
  <c r="T142" i="1"/>
  <c r="U142" i="1" s="1"/>
  <c r="S142" i="1" s="1"/>
  <c r="X142" i="1"/>
  <c r="W95" i="1"/>
  <c r="W234" i="1"/>
  <c r="T228" i="1"/>
  <c r="U228" i="1" s="1"/>
  <c r="S228" i="1" s="1"/>
  <c r="T214" i="1"/>
  <c r="U214" i="1" s="1"/>
  <c r="S214" i="1" s="1"/>
  <c r="W212" i="1"/>
  <c r="T156" i="1"/>
  <c r="U156" i="1" s="1"/>
  <c r="S156" i="1" s="1"/>
  <c r="T148" i="1"/>
  <c r="U148" i="1" s="1"/>
  <c r="S148" i="1" s="1"/>
  <c r="W146" i="1"/>
  <c r="T144" i="1"/>
  <c r="U144" i="1" s="1"/>
  <c r="S144" i="1" s="1"/>
  <c r="X144" i="1"/>
  <c r="W142" i="1"/>
  <c r="W139" i="1"/>
  <c r="W137" i="1"/>
  <c r="W134" i="1"/>
  <c r="W119" i="1"/>
  <c r="T108" i="1"/>
  <c r="U108" i="1" s="1"/>
  <c r="S108" i="1" s="1"/>
  <c r="X108" i="1"/>
  <c r="T100" i="1"/>
  <c r="U100" i="1" s="1"/>
  <c r="S100" i="1" s="1"/>
  <c r="X100" i="1"/>
  <c r="T92" i="1"/>
  <c r="U92" i="1" s="1"/>
  <c r="S92" i="1" s="1"/>
  <c r="X92" i="1"/>
  <c r="T84" i="1"/>
  <c r="U84" i="1" s="1"/>
  <c r="S84" i="1" s="1"/>
  <c r="X84" i="1"/>
  <c r="W148" i="1"/>
  <c r="T140" i="1"/>
  <c r="U140" i="1" s="1"/>
  <c r="S140" i="1" s="1"/>
  <c r="X140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W216" i="1"/>
  <c r="W158" i="1"/>
  <c r="W150" i="1"/>
  <c r="X143" i="1"/>
  <c r="W130" i="1"/>
  <c r="W122" i="1"/>
  <c r="W115" i="1"/>
  <c r="T111" i="1"/>
  <c r="U111" i="1" s="1"/>
  <c r="S111" i="1" s="1"/>
  <c r="T104" i="1"/>
  <c r="U104" i="1" s="1"/>
  <c r="S104" i="1" s="1"/>
  <c r="X104" i="1"/>
  <c r="T96" i="1"/>
  <c r="U96" i="1" s="1"/>
  <c r="S96" i="1" s="1"/>
  <c r="X96" i="1"/>
  <c r="T88" i="1"/>
  <c r="U88" i="1" s="1"/>
  <c r="S88" i="1" s="1"/>
  <c r="X88" i="1"/>
  <c r="W79" i="1"/>
  <c r="W75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T121" i="1"/>
  <c r="U121" i="1" s="1"/>
  <c r="S121" i="1" s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3" i="1"/>
  <c r="U113" i="1" s="1"/>
  <c r="S113" i="1" s="1"/>
  <c r="X113" i="1"/>
  <c r="T110" i="1"/>
  <c r="U110" i="1" s="1"/>
  <c r="S110" i="1" s="1"/>
  <c r="X110" i="1"/>
  <c r="T106" i="1"/>
  <c r="U106" i="1" s="1"/>
  <c r="S106" i="1" s="1"/>
  <c r="X106" i="1"/>
  <c r="T102" i="1"/>
  <c r="U102" i="1" s="1"/>
  <c r="S102" i="1" s="1"/>
  <c r="X102" i="1"/>
  <c r="T98" i="1"/>
  <c r="U98" i="1" s="1"/>
  <c r="S98" i="1" s="1"/>
  <c r="X98" i="1"/>
  <c r="T94" i="1"/>
  <c r="U94" i="1" s="1"/>
  <c r="S94" i="1" s="1"/>
  <c r="X94" i="1"/>
  <c r="T90" i="1"/>
  <c r="U90" i="1" s="1"/>
  <c r="S90" i="1" s="1"/>
  <c r="X90" i="1"/>
  <c r="T86" i="1"/>
  <c r="U86" i="1" s="1"/>
  <c r="S86" i="1" s="1"/>
  <c r="X86" i="1"/>
  <c r="T82" i="1"/>
  <c r="U82" i="1" s="1"/>
  <c r="S82" i="1" s="1"/>
  <c r="X82" i="1"/>
  <c r="W81" i="1"/>
  <c r="W77" i="1"/>
  <c r="W108" i="1"/>
  <c r="W104" i="1"/>
  <c r="W100" i="1"/>
  <c r="W96" i="1"/>
  <c r="W92" i="1"/>
  <c r="W88" i="1"/>
  <c r="W84" i="1"/>
  <c r="W80" i="1"/>
  <c r="W76" i="1"/>
  <c r="W110" i="1"/>
  <c r="W106" i="1"/>
  <c r="W102" i="1"/>
  <c r="W98" i="1"/>
  <c r="W94" i="1"/>
  <c r="W90" i="1"/>
  <c r="W86" i="1"/>
  <c r="W82" i="1"/>
  <c r="W56" i="1"/>
  <c r="X49" i="1"/>
  <c r="T49" i="1"/>
  <c r="U49" i="1" s="1"/>
  <c r="S49" i="1" s="1"/>
  <c r="X50" i="1"/>
  <c r="T114" i="1"/>
  <c r="U114" i="1" s="1"/>
  <c r="S114" i="1" s="1"/>
  <c r="X114" i="1"/>
  <c r="T112" i="1"/>
  <c r="U112" i="1" s="1"/>
  <c r="S112" i="1" s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W64" i="1"/>
  <c r="W62" i="1"/>
  <c r="W51" i="1"/>
  <c r="W43" i="1"/>
  <c r="X57" i="1"/>
  <c r="T57" i="1"/>
  <c r="U57" i="1" s="1"/>
  <c r="S57" i="1" s="1"/>
  <c r="W54" i="1"/>
  <c r="W52" i="1"/>
  <c r="W44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T77" i="1"/>
  <c r="U77" i="1" s="1"/>
  <c r="S77" i="1" s="1"/>
  <c r="X77" i="1"/>
  <c r="W63" i="1"/>
  <c r="W59" i="1"/>
  <c r="W58" i="1"/>
  <c r="W55" i="1"/>
  <c r="T41" i="1"/>
  <c r="U41" i="1" s="1"/>
  <c r="S41" i="1" s="1"/>
  <c r="X41" i="1"/>
  <c r="W39" i="1"/>
  <c r="W37" i="1"/>
  <c r="W36" i="1"/>
  <c r="W35" i="1"/>
  <c r="W34" i="1"/>
  <c r="W33" i="1"/>
  <c r="W31" i="1"/>
  <c r="W30" i="1"/>
  <c r="W29" i="1"/>
  <c r="W28" i="1"/>
  <c r="W26" i="1"/>
  <c r="T25" i="1"/>
  <c r="U25" i="1" s="1"/>
  <c r="S25" i="1" s="1"/>
  <c r="X25" i="1"/>
  <c r="X23" i="1"/>
  <c r="T23" i="1"/>
  <c r="U23" i="1" s="1"/>
  <c r="S23" i="1" s="1"/>
  <c r="X21" i="1"/>
  <c r="T21" i="1"/>
  <c r="U21" i="1" s="1"/>
  <c r="S21" i="1" s="1"/>
  <c r="X19" i="1"/>
  <c r="T19" i="1"/>
  <c r="U19" i="1" s="1"/>
  <c r="S19" i="1" s="1"/>
  <c r="X76" i="1"/>
  <c r="X75" i="1"/>
  <c r="X74" i="1"/>
  <c r="X73" i="1"/>
  <c r="X72" i="1"/>
  <c r="X71" i="1"/>
  <c r="AA70" i="1"/>
  <c r="W70" i="1" s="1"/>
  <c r="AA69" i="1"/>
  <c r="W69" i="1" s="1"/>
  <c r="AA68" i="1"/>
  <c r="W68" i="1" s="1"/>
  <c r="AA67" i="1"/>
  <c r="W67" i="1" s="1"/>
  <c r="AA66" i="1"/>
  <c r="W66" i="1" s="1"/>
  <c r="AA65" i="1"/>
  <c r="W65" i="1" s="1"/>
  <c r="T59" i="1"/>
  <c r="U59" i="1" s="1"/>
  <c r="S59" i="1" s="1"/>
  <c r="W57" i="1"/>
  <c r="T51" i="1"/>
  <c r="U51" i="1" s="1"/>
  <c r="S51" i="1" s="1"/>
  <c r="W49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63" i="1"/>
  <c r="U63" i="1" s="1"/>
  <c r="S63" i="1" s="1"/>
  <c r="W61" i="1"/>
  <c r="W53" i="1"/>
  <c r="T47" i="1"/>
  <c r="U47" i="1" s="1"/>
  <c r="S47" i="1" s="1"/>
  <c r="W45" i="1"/>
  <c r="T43" i="1"/>
  <c r="U43" i="1" s="1"/>
  <c r="S43" i="1" s="1"/>
  <c r="X43" i="1"/>
  <c r="W41" i="1"/>
  <c r="X34" i="1"/>
  <c r="X32" i="1"/>
  <c r="X30" i="1"/>
  <c r="X28" i="1"/>
  <c r="W25" i="1"/>
  <c r="X24" i="1"/>
  <c r="W23" i="1"/>
  <c r="X22" i="1"/>
  <c r="W21" i="1"/>
  <c r="X20" i="1"/>
  <c r="W19" i="1"/>
  <c r="W24" i="1"/>
  <c r="W22" i="1"/>
  <c r="W16" i="1"/>
  <c r="W14" i="1"/>
  <c r="AE15" i="3"/>
  <c r="AE16" i="3"/>
  <c r="AE12" i="3"/>
  <c r="AC12" i="3"/>
  <c r="T12" i="3"/>
  <c r="AC15" i="3"/>
  <c r="AE11" i="3"/>
  <c r="AD9" i="3"/>
  <c r="AE8" i="3"/>
  <c r="AD11" i="3"/>
  <c r="T16" i="3"/>
  <c r="AC9" i="3"/>
  <c r="AC11" i="3"/>
  <c r="AD15" i="3"/>
  <c r="Y12" i="3"/>
  <c r="Y11" i="3"/>
  <c r="Y16" i="3"/>
  <c r="Y13" i="3"/>
  <c r="Y18" i="3"/>
  <c r="Y14" i="3"/>
  <c r="Y7" i="3"/>
  <c r="Y17" i="3"/>
  <c r="Y9" i="3"/>
  <c r="Y15" i="3"/>
  <c r="Y8" i="3"/>
  <c r="T7" i="3"/>
  <c r="T17" i="3"/>
  <c r="AE18" i="3"/>
  <c r="T14" i="3"/>
  <c r="AE14" i="3"/>
  <c r="AD18" i="3"/>
  <c r="AE17" i="3"/>
  <c r="T9" i="3"/>
  <c r="AD14" i="3"/>
  <c r="AE13" i="3"/>
  <c r="T15" i="3"/>
  <c r="AE9" i="3"/>
  <c r="T8" i="3"/>
  <c r="M10" i="3"/>
  <c r="U10" i="3"/>
  <c r="AC10" i="3" s="1"/>
  <c r="V10" i="3"/>
  <c r="X10" i="3"/>
  <c r="AE10" i="3" l="1"/>
  <c r="AD10" i="3"/>
  <c r="W10" i="3"/>
  <c r="Y10" i="3" l="1"/>
  <c r="T10" i="3"/>
  <c r="V13" i="1" l="1"/>
  <c r="S10" i="3" s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Y13" i="1"/>
  <c r="Z13" i="1"/>
  <c r="AB13" i="1"/>
  <c r="AC13" i="1"/>
  <c r="AD13" i="1"/>
  <c r="X14" i="1" s="1"/>
  <c r="AE13" i="1"/>
  <c r="R10" i="3" s="1"/>
  <c r="AM13" i="1"/>
  <c r="AG13" i="1"/>
  <c r="AI13" i="1" l="1"/>
  <c r="AA13" i="1"/>
  <c r="W13" i="1" s="1"/>
  <c r="T13" i="1"/>
  <c r="U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8" i="3" l="1"/>
  <c r="N14" i="3"/>
  <c r="N9" i="3"/>
  <c r="N12" i="3"/>
  <c r="N16" i="3"/>
  <c r="N17" i="3"/>
  <c r="N15" i="3"/>
  <c r="N11" i="3"/>
  <c r="N10" i="3"/>
  <c r="N7" i="3"/>
  <c r="N13" i="3"/>
  <c r="N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<sst xmlns="http://schemas.openxmlformats.org/spreadsheetml/2006/main" count="2696" uniqueCount="1114">
  <si>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</si>
  <si>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</si>
  <si>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</si>
  <si>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</si>
  <si>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</si>
  <si>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</si>
  <si>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</si>
  <si>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</si>
  <si>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</si>
  <si>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</si>
  <si>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</si>
  <si>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</si>
  <si>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</si>
  <si>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</si>
  <si>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</si>
  <si>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</si>
  <si>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</si>
  <si>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</si>
  <si>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</si>
  <si>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</si>
  <si>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</si>
  <si>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</si>
  <si>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</si>
  <si>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</si>
  <si>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</si>
  <si>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</si>
  <si>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</si>
  <si>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</si>
  <si>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</si>
  <si>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</si>
  <si>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</si>
  <si>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</si>
  <si>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</si>
  <si>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</si>
  <si>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</si>
  <si>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</si>
  <si>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</si>
  <si>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</si>
  <si>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</si>
  <si>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</si>
  <si>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</si>
  <si>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</si>
  <si>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</si>
  <si>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</si>
  <si>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</si>
  <si>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</si>
  <si>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</si>
  <si>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</si>
  <si>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</si>
  <si>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</si>
  <si>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</si>
  <si>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</si>
  <si>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</si>
  <si>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</si>
  <si>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</si>
  <si>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</si>
  <si>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</si>
  <si>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</si>
  <si>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</si>
  <si>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</si>
  <si>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</si>
  <si>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</si>
  <si>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</si>
  <si>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</si>
  <si>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</si>
  <si>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</si>
  <si>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</si>
  <si>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</si>
  <si>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</si>
  <si>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</si>
  <si>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</si>
  <si>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</si>
  <si>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</si>
  <si>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</si>
  <si>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</si>
  <si>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</si>
  <si>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</si>
  <si>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</si>
  <si>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</si>
  <si>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</si>
  <si>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</si>
  <si>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</si>
  <si>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</si>
  <si>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</si>
  <si>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</si>
  <si>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</si>
  <si>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</si>
  <si>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</si>
  <si>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</si>
  <si>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</si>
  <si>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</si>
  <si>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</si>
  <si>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</si>
  <si>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</si>
  <si>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</si>
  <si>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</si>
  <si>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</si>
  <si>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</si>
  <si>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</si>
  <si>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</si>
  <si>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</si>
  <si>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</si>
  <si>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</si>
  <si>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</si>
  <si>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</si>
  <si>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</si>
  <si>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</si>
  <si>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</si>
  <si>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</si>
  <si>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</si>
  <si>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</si>
  <si>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</si>
  <si>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</si>
  <si>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</si>
  <si>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</si>
  <si>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</si>
  <si>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</si>
  <si>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</si>
  <si>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</si>
  <si>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</si>
  <si>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</si>
  <si>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</si>
  <si>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</si>
  <si>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</si>
  <si>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</si>
  <si>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</si>
  <si>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</si>
  <si>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</si>
  <si>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</si>
  <si>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</si>
  <si>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</si>
  <si>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</si>
  <si>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</si>
  <si>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</si>
  <si>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</si>
  <si>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</si>
  <si>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</si>
  <si>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</si>
  <si>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</si>
  <si>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</si>
  <si>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</si>
  <si>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</si>
  <si>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</si>
  <si>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</si>
  <si>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</si>
  <si>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</si>
  <si>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</si>
  <si>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</si>
  <si>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</si>
  <si>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</si>
  <si>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</si>
  <si>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</si>
  <si>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</si>
  <si>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</si>
  <si>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</si>
  <si>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</si>
  <si>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</si>
  <si>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</si>
  <si>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</si>
  <si>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</si>
  <si>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</si>
  <si>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</si>
  <si>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</si>
  <si>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</si>
  <si>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</si>
  <si>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</si>
  <si>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</si>
  <si>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</si>
  <si>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</si>
  <si>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</si>
  <si>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</si>
  <si>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</si>
  <si>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</si>
  <si>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</si>
  <si>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</si>
  <si>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</si>
  <si>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</si>
  <si>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</si>
  <si>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</si>
  <si>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</si>
  <si>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</si>
  <si>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</si>
  <si>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</si>
  <si>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</si>
  <si>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</si>
  <si>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</si>
  <si>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</si>
  <si>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</si>
  <si>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</si>
  <si>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</si>
  <si>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</si>
  <si>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</si>
  <si>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</si>
  <si>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</si>
  <si>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</si>
  <si>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</si>
  <si>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</si>
  <si>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</si>
  <si>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</si>
  <si>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</si>
  <si>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</si>
  <si>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</si>
  <si>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</si>
  <si>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</si>
  <si>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</si>
  <si>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</si>
  <si>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</si>
  <si>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</si>
  <si>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</si>
  <si>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</si>
  <si>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</si>
  <si>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</si>
  <si>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</si>
  <si>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</si>
  <si>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</si>
  <si>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</si>
  <si>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</si>
  <si>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</si>
  <si>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</si>
  <si>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</si>
  <si>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</si>
  <si>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</si>
  <si>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</si>
  <si>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</si>
  <si>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</si>
  <si>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</si>
  <si>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</si>
  <si>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</si>
  <si>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</si>
  <si>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</si>
  <si>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</si>
  <si>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</si>
  <si>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</si>
  <si>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</si>
  <si>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</si>
  <si>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</si>
  <si>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</si>
  <si>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</si>
  <si>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</si>
  <si>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</si>
  <si>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</si>
  <si>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</si>
  <si>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</si>
  <si>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</si>
  <si>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</si>
  <si>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</si>
  <si>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</si>
  <si>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</si>
  <si>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</si>
  <si>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</si>
  <si>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</si>
  <si>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</si>
  <si>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</si>
  <si>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</si>
  <si>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</si>
  <si>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</si>
  <si>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</si>
  <si>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</si>
  <si>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</si>
  <si>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</si>
  <si>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</si>
  <si>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</si>
  <si>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</si>
  <si>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</si>
  <si>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</si>
  <si>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</si>
  <si>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</si>
  <si>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</si>
  <si>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</si>
  <si>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</si>
  <si>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</si>
  <si>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</si>
  <si>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</si>
  <si>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</si>
  <si>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</si>
  <si>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</si>
  <si>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</si>
  <si>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</si>
  <si>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</si>
  <si>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</si>
  <si>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</si>
  <si>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</si>
  <si>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</si>
  <si>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</si>
  <si>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</si>
  <si>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</si>
  <si>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</si>
  <si>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</si>
  <si>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</si>
  <si>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</si>
  <si>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</si>
  <si>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</si>
  <si>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</si>
  <si>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</si>
  <si>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</si>
  <si>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</si>
  <si>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</si>
  <si>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</si>
  <si>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</si>
  <si>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</si>
  <si>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</si>
  <si>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</si>
  <si>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</si>
  <si>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</si>
  <si>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</si>
  <si>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</si>
  <si>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</si>
  <si>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</si>
  <si>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</si>
  <si>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</si>
  <si>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</si>
  <si>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</si>
  <si>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</si>
  <si>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</si>
  <si>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</si>
  <si>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</si>
  <si>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</si>
  <si>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</si>
  <si>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</si>
  <si>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</si>
  <si>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</si>
  <si>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</si>
  <si>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</si>
  <si>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</si>
  <si>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</si>
  <si>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</si>
  <si>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</si>
  <si>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</si>
  <si>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</si>
  <si>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</si>
  <si>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</si>
  <si>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</si>
  <si>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</si>
  <si>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</si>
  <si>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</si>
  <si>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</si>
  <si>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</si>
  <si>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</si>
  <si>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</si>
  <si>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</si>
  <si>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</si>
  <si>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</si>
  <si>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</si>
  <si>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</si>
  <si>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</si>
  <si>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</si>
  <si>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</si>
  <si>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204:154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</si>
  <si>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</si>
  <si>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</si>
  <si>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</si>
  <si>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</si>
  <si>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</si>
  <si>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</si>
  <si>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</si>
  <si>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</si>
  <si>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</si>
  <si>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</si>
  <si>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</si>
  <si>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</si>
  <si>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</si>
  <si>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</si>
  <si>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</si>
  <si>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</si>
  <si>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</si>
  <si>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</si>
  <si>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</si>
  <si>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</si>
  <si>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</si>
  <si>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</si>
  <si>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</si>
  <si>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</si>
  <si>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</si>
  <si>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</si>
  <si>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</si>
  <si>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</si>
  <si>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</si>
  <si>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</si>
  <si>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</si>
  <si>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</si>
  <si>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</si>
  <si>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</si>
  <si>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</si>
  <si>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</si>
  <si>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</si>
  <si>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</si>
  <si>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</si>
  <si>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</si>
  <si>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</si>
  <si>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</si>
  <si>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</si>
  <si>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</si>
  <si>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</si>
  <si>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</si>
  <si>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</si>
  <si>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</si>
  <si>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</si>
  <si>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</si>
  <si>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</si>
  <si>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</si>
  <si>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</si>
  <si>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</si>
  <si>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</si>
  <si>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</si>
  <si>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</si>
  <si>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</si>
  <si>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</si>
  <si>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</si>
  <si>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</si>
  <si>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</si>
  <si>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</si>
  <si>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</si>
  <si>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</si>
  <si>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</si>
  <si>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</si>
  <si>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</si>
  <si>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</si>
  <si>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</si>
  <si>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</si>
  <si>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</si>
  <si>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</si>
  <si>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</si>
  <si>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</si>
  <si>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</si>
  <si>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</si>
  <si>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</si>
  <si>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</si>
  <si>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</si>
  <si>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</si>
  <si>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</si>
  <si>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</si>
  <si>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</si>
  <si>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</si>
  <si>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</si>
  <si>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</si>
  <si>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</si>
  <si>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</si>
  <si>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</si>
  <si>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</si>
  <si>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</si>
  <si>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</si>
  <si>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</si>
  <si>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</si>
  <si>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</si>
  <si>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</si>
  <si>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204:233289</t>
  </si>
  <si>
    <t>204:221</t>
  </si>
  <si>
    <t>204:214</t>
  </si>
  <si>
    <t>204:517</t>
  </si>
  <si>
    <t>partly-cloudy-day</t>
  </si>
  <si>
    <t>204:508</t>
  </si>
  <si>
    <t>204:207</t>
  </si>
  <si>
    <t>204:233257</t>
  </si>
  <si>
    <t>204:212</t>
  </si>
  <si>
    <t>204:566</t>
  </si>
  <si>
    <t>204:506</t>
  </si>
  <si>
    <t>rtdc.l.rtdc.4009:itc</t>
  </si>
  <si>
    <t>rtdc.l.rtdc.4010:itc</t>
  </si>
  <si>
    <t>precipType</t>
  </si>
  <si>
    <t>rain</t>
  </si>
  <si>
    <t>204:495</t>
  </si>
  <si>
    <t>204:519</t>
  </si>
  <si>
    <t>204:537</t>
  </si>
  <si>
    <t>rtdc.l.rtdc.4049:itc</t>
  </si>
  <si>
    <t>rtdc.l.rtdc.4050:itc</t>
  </si>
  <si>
    <t>BONDS</t>
  </si>
  <si>
    <t>REYNALDO</t>
  </si>
  <si>
    <t>YANAI</t>
  </si>
  <si>
    <t>IAN</t>
  </si>
  <si>
    <t>AUSTIN</t>
  </si>
  <si>
    <t>204:233278</t>
  </si>
  <si>
    <t>204:509</t>
  </si>
  <si>
    <t>204:528</t>
  </si>
  <si>
    <t>204:542</t>
  </si>
  <si>
    <t>300:23306</t>
  </si>
  <si>
    <t>204:158</t>
  </si>
  <si>
    <t>204:229</t>
  </si>
  <si>
    <t>FORTUNATO</t>
  </si>
  <si>
    <t>FRANK</t>
  </si>
  <si>
    <t>BRUDER</t>
  </si>
  <si>
    <t>RICHARD</t>
  </si>
  <si>
    <t>ZEWDU</t>
  </si>
  <si>
    <t>DEREJE</t>
  </si>
  <si>
    <t>204:209</t>
  </si>
  <si>
    <t>204:233259</t>
  </si>
  <si>
    <t>204:232967</t>
  </si>
  <si>
    <t>204:233293</t>
  </si>
  <si>
    <t>204:233184</t>
  </si>
  <si>
    <t>204:234</t>
  </si>
  <si>
    <t>204:539</t>
  </si>
  <si>
    <t>204:531</t>
  </si>
  <si>
    <t>204:232869</t>
  </si>
  <si>
    <t>204:232875</t>
  </si>
  <si>
    <t>204:233210</t>
  </si>
  <si>
    <t>204:570</t>
  </si>
  <si>
    <t>204:535</t>
  </si>
  <si>
    <t>204:232913</t>
  </si>
  <si>
    <t>300:58666</t>
  </si>
  <si>
    <t>rtdc.l.rtdc.4052:itc</t>
  </si>
  <si>
    <t>rtdc.l.rtdc.4024:itc</t>
  </si>
  <si>
    <t>rtdc.l.rtdc.4023:itc</t>
  </si>
  <si>
    <t>235-08</t>
  </si>
  <si>
    <t>243-08</t>
  </si>
  <si>
    <t>rtdc.l.rtdc.4051:itc</t>
  </si>
  <si>
    <t>DELGADO</t>
  </si>
  <si>
    <t>DIANAH</t>
  </si>
  <si>
    <t>BERLING</t>
  </si>
  <si>
    <t>GARY</t>
  </si>
  <si>
    <t>rtdc.l.rtdc.4016:itc</t>
  </si>
  <si>
    <t>LOPES</t>
  </si>
  <si>
    <t>KIMBERLY</t>
  </si>
  <si>
    <t>rtdc.l.rtdc.4013:itc</t>
  </si>
  <si>
    <t>228-08</t>
  </si>
  <si>
    <t>844-08</t>
  </si>
  <si>
    <t>230-08</t>
  </si>
  <si>
    <t>233-08</t>
  </si>
  <si>
    <t>847-08</t>
  </si>
  <si>
    <t>232-08</t>
  </si>
  <si>
    <t>846-08</t>
  </si>
  <si>
    <t>237-08</t>
  </si>
  <si>
    <t>234-08</t>
  </si>
  <si>
    <t>849-08</t>
  </si>
  <si>
    <t>239-08</t>
  </si>
  <si>
    <t>MCREYNOLDS</t>
  </si>
  <si>
    <t>KYLE</t>
  </si>
  <si>
    <t>236-08</t>
  </si>
  <si>
    <t>908-08</t>
  </si>
  <si>
    <t>241-08</t>
  </si>
  <si>
    <t>238-08</t>
  </si>
  <si>
    <t>240-08</t>
  </si>
  <si>
    <t>313-08</t>
  </si>
  <si>
    <t>242-08</t>
  </si>
  <si>
    <t>307-08</t>
  </si>
  <si>
    <t>244-08</t>
  </si>
  <si>
    <t>309-08</t>
  </si>
  <si>
    <t>311-08</t>
  </si>
  <si>
    <t>Partly Cloudy</t>
  </si>
  <si>
    <t>clear-day</t>
  </si>
  <si>
    <t>Clear</t>
  </si>
  <si>
    <t>clear-night</t>
  </si>
  <si>
    <t>204:201</t>
  </si>
  <si>
    <t>204:511</t>
  </si>
  <si>
    <t>204:211</t>
  </si>
  <si>
    <t>204:471</t>
  </si>
  <si>
    <t>204:141</t>
  </si>
  <si>
    <t>204:232982</t>
  </si>
  <si>
    <t>204:232946</t>
  </si>
  <si>
    <t>204:458</t>
  </si>
  <si>
    <t>204:150</t>
  </si>
  <si>
    <t>204:232</t>
  </si>
  <si>
    <t>204:233199</t>
  </si>
  <si>
    <t>204:220</t>
  </si>
  <si>
    <t>204:233295</t>
  </si>
  <si>
    <t>204:232981</t>
  </si>
  <si>
    <t>204:225</t>
  </si>
  <si>
    <t>204:524</t>
  </si>
  <si>
    <t>204:526</t>
  </si>
  <si>
    <t>204:559</t>
  </si>
  <si>
    <t>204:232898</t>
  </si>
  <si>
    <t>204:579</t>
  </si>
  <si>
    <t>204:232917</t>
  </si>
  <si>
    <t>204:529</t>
  </si>
  <si>
    <t>300:23302</t>
  </si>
  <si>
    <t>300:23308</t>
  </si>
  <si>
    <t>204:1171</t>
  </si>
  <si>
    <t>300:23346</t>
  </si>
  <si>
    <t>300:58971</t>
  </si>
  <si>
    <t>300:58670</t>
  </si>
  <si>
    <t>300:58628</t>
  </si>
  <si>
    <t>rtdc.l.rtdc.4026:itc</t>
  </si>
  <si>
    <t>242-09</t>
  </si>
  <si>
    <t>MAELZER</t>
  </si>
  <si>
    <t>KURT</t>
  </si>
  <si>
    <t>rtdc.l.rtdc.4025:itc</t>
  </si>
  <si>
    <t>DONTE</t>
  </si>
  <si>
    <t>rtdc.l.rtdc.4015:itc</t>
  </si>
  <si>
    <t>PAGE</t>
  </si>
  <si>
    <t>MARCUS</t>
  </si>
  <si>
    <t>BADERTSCHER</t>
  </si>
  <si>
    <t>DIANE</t>
  </si>
  <si>
    <t>STRICKLAND</t>
  </si>
  <si>
    <t>EVAN</t>
  </si>
  <si>
    <t>DAVID</t>
  </si>
  <si>
    <t>rtdc.l.rtdc.4014:itc</t>
  </si>
  <si>
    <t>ELBAUM</t>
  </si>
  <si>
    <t>MIKE</t>
  </si>
  <si>
    <t>307-09</t>
  </si>
  <si>
    <t>244-09</t>
  </si>
  <si>
    <t>309-09</t>
  </si>
  <si>
    <t>311-09</t>
  </si>
  <si>
    <t>204:233285</t>
  </si>
  <si>
    <t>204:200</t>
  </si>
  <si>
    <t>204:232969</t>
  </si>
  <si>
    <t>204:232959</t>
  </si>
  <si>
    <t>204:203</t>
  </si>
  <si>
    <t>204:233297</t>
  </si>
  <si>
    <t>204:232980</t>
  </si>
  <si>
    <t>204:502</t>
  </si>
  <si>
    <t>204:233315</t>
  </si>
  <si>
    <t>204:152</t>
  </si>
  <si>
    <t>204:233272</t>
  </si>
  <si>
    <t>204:232966</t>
  </si>
  <si>
    <t>204:233280</t>
  </si>
  <si>
    <t>204:223</t>
  </si>
  <si>
    <t>204:546</t>
  </si>
  <si>
    <t>204:181</t>
  </si>
  <si>
    <t>204:145</t>
  </si>
  <si>
    <t>204:233281</t>
  </si>
  <si>
    <t>204:232974</t>
  </si>
  <si>
    <t>204:245</t>
  </si>
  <si>
    <t>204:489</t>
  </si>
  <si>
    <t>204:444</t>
  </si>
  <si>
    <t>204:233242</t>
  </si>
  <si>
    <t>204:233213</t>
  </si>
  <si>
    <t>204:232894</t>
  </si>
  <si>
    <t>204:238</t>
  </si>
  <si>
    <t>204:262</t>
  </si>
  <si>
    <t>204:233212</t>
  </si>
  <si>
    <t>204:218</t>
  </si>
  <si>
    <t>204:233301</t>
  </si>
  <si>
    <t>204:551</t>
  </si>
  <si>
    <t>204:232942</t>
  </si>
  <si>
    <t>204:260</t>
  </si>
  <si>
    <t>204:233188</t>
  </si>
  <si>
    <t>204:232863</t>
  </si>
  <si>
    <t>204:233178</t>
  </si>
  <si>
    <t>204:575</t>
  </si>
  <si>
    <t>204:467</t>
  </si>
  <si>
    <t>204:1156</t>
  </si>
  <si>
    <t>300:58656</t>
  </si>
  <si>
    <t>204:687</t>
  </si>
  <si>
    <t>204:719</t>
  </si>
  <si>
    <t>300:58653</t>
  </si>
  <si>
    <t>204:841</t>
  </si>
  <si>
    <t>204:1093</t>
  </si>
  <si>
    <t>300:58937</t>
  </si>
  <si>
    <t>300:58619</t>
  </si>
  <si>
    <t>204:1067</t>
  </si>
  <si>
    <t>204:794</t>
  </si>
  <si>
    <t>300:58611</t>
  </si>
  <si>
    <t>204:755</t>
  </si>
  <si>
    <t>300:58973</t>
  </si>
  <si>
    <t>101-10</t>
  </si>
  <si>
    <t>302-10</t>
  </si>
  <si>
    <t>106-10</t>
  </si>
  <si>
    <t>121-10</t>
  </si>
  <si>
    <t>SWITCH UNKNOWN</t>
  </si>
  <si>
    <t>Track device (7)</t>
  </si>
  <si>
    <t>149-10</t>
  </si>
  <si>
    <t>155-10</t>
  </si>
  <si>
    <t>186-10</t>
  </si>
  <si>
    <t>195-10</t>
  </si>
  <si>
    <t>190-10</t>
  </si>
  <si>
    <t>192-10</t>
  </si>
  <si>
    <t>230-10</t>
  </si>
  <si>
    <t>236-10</t>
  </si>
  <si>
    <t>300-10</t>
  </si>
  <si>
    <t>51-10</t>
  </si>
  <si>
    <t>ROCHA</t>
  </si>
  <si>
    <t>YAOTL</t>
  </si>
  <si>
    <t>52-10</t>
  </si>
  <si>
    <t>103-10</t>
  </si>
  <si>
    <t>304-10</t>
  </si>
  <si>
    <t>105-10</t>
  </si>
  <si>
    <t>102-10</t>
  </si>
  <si>
    <t>306-10</t>
  </si>
  <si>
    <t>GEBRETEKLE</t>
  </si>
  <si>
    <t>DAGNEW</t>
  </si>
  <si>
    <t>rtdc.l.rtdc.4027:itc</t>
  </si>
  <si>
    <t>308-10</t>
  </si>
  <si>
    <t>BIRENBAUM</t>
  </si>
  <si>
    <t>THOMAS</t>
  </si>
  <si>
    <t>104-10</t>
  </si>
  <si>
    <t>rtdc.l.rtdc.4032:itc</t>
  </si>
  <si>
    <t>901-10</t>
  </si>
  <si>
    <t>109-10</t>
  </si>
  <si>
    <t>310-10</t>
  </si>
  <si>
    <t>MACDONALD</t>
  </si>
  <si>
    <t>111-10</t>
  </si>
  <si>
    <t>rtdc.l.rtdc.4031:itc</t>
  </si>
  <si>
    <t>800-10</t>
  </si>
  <si>
    <t>113-10</t>
  </si>
  <si>
    <t>rtdc.l.rtdc.4041:itc</t>
  </si>
  <si>
    <t>312-10</t>
  </si>
  <si>
    <t>115-10</t>
  </si>
  <si>
    <t>rtdc.l.rtdc.4042:itc</t>
  </si>
  <si>
    <t>117-10</t>
  </si>
  <si>
    <t>108-10</t>
  </si>
  <si>
    <t>902-10</t>
  </si>
  <si>
    <t>BARRON</t>
  </si>
  <si>
    <t>PERLA</t>
  </si>
  <si>
    <t>110-10</t>
  </si>
  <si>
    <t>801-10</t>
  </si>
  <si>
    <t>112-10</t>
  </si>
  <si>
    <t>119-10</t>
  </si>
  <si>
    <t>114-10</t>
  </si>
  <si>
    <t>802-10</t>
  </si>
  <si>
    <t>803-10</t>
  </si>
  <si>
    <t>116-10</t>
  </si>
  <si>
    <t>118-10</t>
  </si>
  <si>
    <t>123-10</t>
  </si>
  <si>
    <t>804-10</t>
  </si>
  <si>
    <t>805-10</t>
  </si>
  <si>
    <t>125-10</t>
  </si>
  <si>
    <t>122-10</t>
  </si>
  <si>
    <t>120-10</t>
  </si>
  <si>
    <t>806-10</t>
  </si>
  <si>
    <t>127-10</t>
  </si>
  <si>
    <t>807-10</t>
  </si>
  <si>
    <t>124-10</t>
  </si>
  <si>
    <t>129-10</t>
  </si>
  <si>
    <t>126-10</t>
  </si>
  <si>
    <t>131-10</t>
  </si>
  <si>
    <t>808-10</t>
  </si>
  <si>
    <t>809-10</t>
  </si>
  <si>
    <t>133-10</t>
  </si>
  <si>
    <t>128-10</t>
  </si>
  <si>
    <t>135-10</t>
  </si>
  <si>
    <t>810-10</t>
  </si>
  <si>
    <t>130-10</t>
  </si>
  <si>
    <t>811-10</t>
  </si>
  <si>
    <t>132-10</t>
  </si>
  <si>
    <t>137-10</t>
  </si>
  <si>
    <t>139-10</t>
  </si>
  <si>
    <t>812-10</t>
  </si>
  <si>
    <t>134-10</t>
  </si>
  <si>
    <t>903-10</t>
  </si>
  <si>
    <t>136-10</t>
  </si>
  <si>
    <t>141-10</t>
  </si>
  <si>
    <t>143-10</t>
  </si>
  <si>
    <t>138-10</t>
  </si>
  <si>
    <t>813-10</t>
  </si>
  <si>
    <t>145-10</t>
  </si>
  <si>
    <t>140-10</t>
  </si>
  <si>
    <t>147-10</t>
  </si>
  <si>
    <t>814-10</t>
  </si>
  <si>
    <t>142-10</t>
  </si>
  <si>
    <t>144-10</t>
  </si>
  <si>
    <t>146-10</t>
  </si>
  <si>
    <t>151-10</t>
  </si>
  <si>
    <t>815-10</t>
  </si>
  <si>
    <t>153-10</t>
  </si>
  <si>
    <t>148-10</t>
  </si>
  <si>
    <t>150-10</t>
  </si>
  <si>
    <t>816-10</t>
  </si>
  <si>
    <t>152-10</t>
  </si>
  <si>
    <t>157-10</t>
  </si>
  <si>
    <t>159-10</t>
  </si>
  <si>
    <t>817-10</t>
  </si>
  <si>
    <t>154-10</t>
  </si>
  <si>
    <t>161-10</t>
  </si>
  <si>
    <t>156-10</t>
  </si>
  <si>
    <t>158-10</t>
  </si>
  <si>
    <t>163-10</t>
  </si>
  <si>
    <t>818-10</t>
  </si>
  <si>
    <t>160-10</t>
  </si>
  <si>
    <t>165-10</t>
  </si>
  <si>
    <t>LEVERE</t>
  </si>
  <si>
    <t>CRAIG</t>
  </si>
  <si>
    <t>162-10</t>
  </si>
  <si>
    <t>167-10</t>
  </si>
  <si>
    <t>819-10</t>
  </si>
  <si>
    <t>169-10</t>
  </si>
  <si>
    <t>164-10</t>
  </si>
  <si>
    <t>171-10</t>
  </si>
  <si>
    <t>820-10</t>
  </si>
  <si>
    <t>166-10</t>
  </si>
  <si>
    <t>173-10</t>
  </si>
  <si>
    <t>GONZALEZ</t>
  </si>
  <si>
    <t>ARMANDO</t>
  </si>
  <si>
    <t>168-10</t>
  </si>
  <si>
    <t>175-10</t>
  </si>
  <si>
    <t>821-10</t>
  </si>
  <si>
    <t>170-10</t>
  </si>
  <si>
    <t>172-10</t>
  </si>
  <si>
    <t>177-10</t>
  </si>
  <si>
    <t>179-10</t>
  </si>
  <si>
    <t>822-10</t>
  </si>
  <si>
    <t>174-10</t>
  </si>
  <si>
    <t>181-10</t>
  </si>
  <si>
    <t>176-10</t>
  </si>
  <si>
    <t>183-10</t>
  </si>
  <si>
    <t>823-10</t>
  </si>
  <si>
    <t>178-10</t>
  </si>
  <si>
    <t>185-10</t>
  </si>
  <si>
    <t>180-10</t>
  </si>
  <si>
    <t>187-10</t>
  </si>
  <si>
    <t>HOLCOMB</t>
  </si>
  <si>
    <t>KAMDEN</t>
  </si>
  <si>
    <t>182-10</t>
  </si>
  <si>
    <t>824-10</t>
  </si>
  <si>
    <t>189-10</t>
  </si>
  <si>
    <t>184-10</t>
  </si>
  <si>
    <t>191-10</t>
  </si>
  <si>
    <t>825-10</t>
  </si>
  <si>
    <t>NEWELL</t>
  </si>
  <si>
    <t>193-10</t>
  </si>
  <si>
    <t>188-10</t>
  </si>
  <si>
    <t>904-10</t>
  </si>
  <si>
    <t>826-10</t>
  </si>
  <si>
    <t>827-10</t>
  </si>
  <si>
    <t>197-10</t>
  </si>
  <si>
    <t>199-10</t>
  </si>
  <si>
    <t>829-10</t>
  </si>
  <si>
    <t>828-10</t>
  </si>
  <si>
    <t>194-10</t>
  </si>
  <si>
    <t>201-10</t>
  </si>
  <si>
    <t>196-10</t>
  </si>
  <si>
    <t>203-10</t>
  </si>
  <si>
    <t>831-10</t>
  </si>
  <si>
    <t>830-10</t>
  </si>
  <si>
    <t>75-10</t>
  </si>
  <si>
    <t>198-10</t>
  </si>
  <si>
    <t>205-10</t>
  </si>
  <si>
    <t>200-10</t>
  </si>
  <si>
    <t>207-10</t>
  </si>
  <si>
    <t>832-10</t>
  </si>
  <si>
    <t>833-10</t>
  </si>
  <si>
    <t>rtdc.l.rtdc.4002:itc</t>
  </si>
  <si>
    <t>77-10</t>
  </si>
  <si>
    <t>202-10</t>
  </si>
  <si>
    <t>209-10</t>
  </si>
  <si>
    <t>204-10</t>
  </si>
  <si>
    <t>834-10</t>
  </si>
  <si>
    <t>211-10</t>
  </si>
  <si>
    <t>835-10</t>
  </si>
  <si>
    <t>206-10</t>
  </si>
  <si>
    <t>213-10</t>
  </si>
  <si>
    <t>65-10</t>
  </si>
  <si>
    <t>208-10</t>
  </si>
  <si>
    <t>215-10</t>
  </si>
  <si>
    <t>210-10</t>
  </si>
  <si>
    <t>836-10</t>
  </si>
  <si>
    <t>837-10</t>
  </si>
  <si>
    <t>217-10</t>
  </si>
  <si>
    <t>DAVIDSON</t>
  </si>
  <si>
    <t>212-10</t>
  </si>
  <si>
    <t>219-10</t>
  </si>
  <si>
    <t>839-10</t>
  </si>
  <si>
    <t>838-10</t>
  </si>
  <si>
    <t>214-10</t>
  </si>
  <si>
    <t>301-10</t>
  </si>
  <si>
    <t>216-10</t>
  </si>
  <si>
    <t>221-10</t>
  </si>
  <si>
    <t>906-10</t>
  </si>
  <si>
    <t>841-10</t>
  </si>
  <si>
    <t>218-10</t>
  </si>
  <si>
    <t>220-10</t>
  </si>
  <si>
    <t>303-10</t>
  </si>
  <si>
    <t>223-10</t>
  </si>
  <si>
    <t>840-10</t>
  </si>
  <si>
    <t>305-10</t>
  </si>
  <si>
    <t>222-10</t>
  </si>
  <si>
    <t>225-10</t>
  </si>
  <si>
    <t>843-10</t>
  </si>
  <si>
    <t>227-10</t>
  </si>
  <si>
    <t>224-10</t>
  </si>
  <si>
    <t>842-10</t>
  </si>
  <si>
    <t>229-10</t>
  </si>
  <si>
    <t>226-10</t>
  </si>
  <si>
    <t>845-10</t>
  </si>
  <si>
    <t>228-10</t>
  </si>
  <si>
    <t>231-10</t>
  </si>
  <si>
    <t>844-10</t>
  </si>
  <si>
    <t>233-10</t>
  </si>
  <si>
    <t>847-10</t>
  </si>
  <si>
    <t>235-10</t>
  </si>
  <si>
    <t>232-10</t>
  </si>
  <si>
    <t>846-10</t>
  </si>
  <si>
    <t>234-10</t>
  </si>
  <si>
    <t>237-10</t>
  </si>
  <si>
    <t>849-10</t>
  </si>
  <si>
    <t>239-10</t>
  </si>
  <si>
    <t>908-10</t>
  </si>
  <si>
    <t>241-10</t>
  </si>
  <si>
    <t>238-10</t>
  </si>
  <si>
    <t>240-10</t>
  </si>
  <si>
    <t>243-10</t>
  </si>
  <si>
    <t>245-10</t>
  </si>
  <si>
    <t>242-10</t>
  </si>
  <si>
    <t>307-10</t>
  </si>
  <si>
    <t>244-10</t>
  </si>
  <si>
    <t>309-10</t>
  </si>
  <si>
    <t>246-10</t>
  </si>
  <si>
    <t>311-10</t>
  </si>
  <si>
    <t>313-10</t>
  </si>
  <si>
    <t>204:785</t>
  </si>
  <si>
    <t>204:2036</t>
  </si>
  <si>
    <t>204:19125</t>
  </si>
  <si>
    <t>204:232973</t>
  </si>
  <si>
    <t>204:232989</t>
  </si>
  <si>
    <t>204:233319</t>
  </si>
  <si>
    <t>204:232991</t>
  </si>
  <si>
    <t>204:232627</t>
  </si>
  <si>
    <t>204:830</t>
  </si>
  <si>
    <t>204:233247</t>
  </si>
  <si>
    <t>204:455</t>
  </si>
  <si>
    <t>204:232985</t>
  </si>
  <si>
    <t>204:156</t>
  </si>
  <si>
    <t>204:646</t>
  </si>
  <si>
    <t>204:233195</t>
  </si>
  <si>
    <t>204:232882</t>
  </si>
  <si>
    <t>204:460</t>
  </si>
  <si>
    <t>204:233302</t>
  </si>
  <si>
    <t>204:233000</t>
  </si>
  <si>
    <t>204:453</t>
  </si>
  <si>
    <t>204:549</t>
  </si>
  <si>
    <t>204:233291</t>
  </si>
  <si>
    <t>204:232961</t>
  </si>
  <si>
    <t>204:205</t>
  </si>
  <si>
    <t>204:233276</t>
  </si>
  <si>
    <t>204:484</t>
  </si>
  <si>
    <t>204:233191</t>
  </si>
  <si>
    <t>204:232872</t>
  </si>
  <si>
    <t>204:318</t>
  </si>
  <si>
    <t>204:233303</t>
  </si>
  <si>
    <t>204:198</t>
  </si>
  <si>
    <t>204:500</t>
  </si>
  <si>
    <t>204:233325</t>
  </si>
  <si>
    <t>204:233284</t>
  </si>
  <si>
    <t>204:504</t>
  </si>
  <si>
    <t>204:178</t>
  </si>
  <si>
    <t>204:597</t>
  </si>
  <si>
    <t>204:232857</t>
  </si>
  <si>
    <t>204:263</t>
  </si>
  <si>
    <t>204:232940</t>
  </si>
  <si>
    <t>204:189</t>
  </si>
  <si>
    <t>204:466</t>
  </si>
  <si>
    <t>204:232996</t>
  </si>
  <si>
    <t>204:233305</t>
  </si>
  <si>
    <t>204:185</t>
  </si>
  <si>
    <t>204:233282</t>
  </si>
  <si>
    <t>204:232950</t>
  </si>
  <si>
    <t>204:233236</t>
  </si>
  <si>
    <t>204:232904</t>
  </si>
  <si>
    <t>204:267</t>
  </si>
  <si>
    <t>204:233224</t>
  </si>
  <si>
    <t>204:232907</t>
  </si>
  <si>
    <t>204:138</t>
  </si>
  <si>
    <t>204:233320</t>
  </si>
  <si>
    <t>204:233011</t>
  </si>
  <si>
    <t>204:568</t>
  </si>
  <si>
    <t>204:232900</t>
  </si>
  <si>
    <t>204:233176</t>
  </si>
  <si>
    <t>204:232879</t>
  </si>
  <si>
    <t>204:247</t>
  </si>
  <si>
    <t>204:233181</t>
  </si>
  <si>
    <t>204:232874</t>
  </si>
  <si>
    <t>204:233244</t>
  </si>
  <si>
    <t>204:232928</t>
  </si>
  <si>
    <t>204:431</t>
  </si>
  <si>
    <t>204:233249</t>
  </si>
  <si>
    <t>204:233230</t>
  </si>
  <si>
    <t>204:233207</t>
  </si>
  <si>
    <t>204:236</t>
  </si>
  <si>
    <t>204:553</t>
  </si>
  <si>
    <t>204:233200</t>
  </si>
  <si>
    <t>204:232889</t>
  </si>
  <si>
    <t>204:233165</t>
  </si>
  <si>
    <t>204:232859</t>
  </si>
  <si>
    <t>204:478</t>
  </si>
  <si>
    <t>204:233270</t>
  </si>
  <si>
    <t>204:232953</t>
  </si>
  <si>
    <t>204:216</t>
  </si>
  <si>
    <t>204:232938</t>
  </si>
  <si>
    <t>204:233182</t>
  </si>
  <si>
    <t>204:233203</t>
  </si>
  <si>
    <t>204:249</t>
  </si>
  <si>
    <t>204:232870</t>
  </si>
  <si>
    <t>204:196</t>
  </si>
  <si>
    <t>204:548</t>
  </si>
  <si>
    <t>204:232881</t>
  </si>
  <si>
    <t>204:233304</t>
  </si>
  <si>
    <t>204:232962</t>
  </si>
  <si>
    <t>204:232877</t>
  </si>
  <si>
    <t>204:233190</t>
  </si>
  <si>
    <t>204:232867</t>
  </si>
  <si>
    <t>204:233287</t>
  </si>
  <si>
    <t>204:232976</t>
  </si>
  <si>
    <t>204:233142</t>
  </si>
  <si>
    <t>204:232830</t>
  </si>
  <si>
    <t>204:493</t>
  </si>
  <si>
    <t>204:233130</t>
  </si>
  <si>
    <t>204:232808</t>
  </si>
  <si>
    <t>204:232943</t>
  </si>
  <si>
    <t>204:233232</t>
  </si>
  <si>
    <t>204:232884</t>
  </si>
  <si>
    <t>204:233186</t>
  </si>
  <si>
    <t>204:602</t>
  </si>
  <si>
    <t>204:233255</t>
  </si>
  <si>
    <t>204:254</t>
  </si>
  <si>
    <t>204:233222</t>
  </si>
  <si>
    <t>204:233179</t>
  </si>
  <si>
    <t>204:205140</t>
  </si>
  <si>
    <t>204:274</t>
  </si>
  <si>
    <t>204:233193</t>
  </si>
  <si>
    <t>204:233204</t>
  </si>
  <si>
    <t>204:64590</t>
  </si>
  <si>
    <t>300:22355</t>
  </si>
  <si>
    <t>300:19227</t>
  </si>
  <si>
    <t>204:498</t>
  </si>
  <si>
    <t>300:22732</t>
  </si>
  <si>
    <t>204:522</t>
  </si>
  <si>
    <t>300:23491</t>
  </si>
  <si>
    <t>204:571</t>
  </si>
  <si>
    <t>300:23254</t>
  </si>
  <si>
    <t>204:555</t>
  </si>
  <si>
    <t>300:25465</t>
  </si>
  <si>
    <t>204:302</t>
  </si>
  <si>
    <t>204:440</t>
  </si>
  <si>
    <t>204:3467</t>
  </si>
  <si>
    <t>300:22104</t>
  </si>
  <si>
    <t>204:175</t>
  </si>
  <si>
    <t>204:470</t>
  </si>
  <si>
    <t>300:24235</t>
  </si>
  <si>
    <t>204:3145</t>
  </si>
  <si>
    <t>300:23576</t>
  </si>
  <si>
    <t>204:1079</t>
  </si>
  <si>
    <t>204:1503</t>
  </si>
  <si>
    <t>300:58617</t>
  </si>
  <si>
    <t>204:706</t>
  </si>
  <si>
    <t>204:1007</t>
  </si>
  <si>
    <t>300:58941</t>
  </si>
  <si>
    <t>300:58626</t>
  </si>
  <si>
    <t>204:1004</t>
  </si>
  <si>
    <t>300:58956</t>
  </si>
  <si>
    <t>300:58640</t>
  </si>
  <si>
    <t>204:726</t>
  </si>
  <si>
    <t>204:957</t>
  </si>
  <si>
    <t>300:58623</t>
  </si>
  <si>
    <t>204:1023</t>
  </si>
  <si>
    <t>300:58946</t>
  </si>
  <si>
    <t>300:58636</t>
  </si>
  <si>
    <t>204:999</t>
  </si>
  <si>
    <t>204:133</t>
  </si>
  <si>
    <t>204:1039</t>
  </si>
  <si>
    <t>300:58958</t>
  </si>
  <si>
    <t>300:57240</t>
  </si>
  <si>
    <t>300:57251</t>
  </si>
  <si>
    <t>204:738</t>
  </si>
  <si>
    <t>204:1062</t>
  </si>
  <si>
    <t>300:58975</t>
  </si>
  <si>
    <t>300:58660</t>
  </si>
  <si>
    <t>204:762</t>
  </si>
  <si>
    <t>204:1058</t>
  </si>
  <si>
    <t>204:817</t>
  </si>
  <si>
    <t>204:1051</t>
  </si>
  <si>
    <t>300:58651</t>
  </si>
  <si>
    <t>204:748</t>
  </si>
  <si>
    <t>204:1060</t>
  </si>
  <si>
    <t>300:58967</t>
  </si>
  <si>
    <t>300:58655</t>
  </si>
  <si>
    <t>300:58993</t>
  </si>
  <si>
    <t>204:1086</t>
  </si>
  <si>
    <t>300:58931</t>
  </si>
  <si>
    <t>204:866</t>
  </si>
  <si>
    <t>204:974</t>
  </si>
  <si>
    <t>204:1172</t>
  </si>
  <si>
    <t>300:58988</t>
  </si>
  <si>
    <t>204:983</t>
  </si>
  <si>
    <t>300:58963</t>
  </si>
  <si>
    <t>300:58649</t>
  </si>
  <si>
    <t>204:806</t>
  </si>
  <si>
    <t>204:1084</t>
  </si>
  <si>
    <t>300:58948</t>
  </si>
  <si>
    <t>300:58630</t>
  </si>
  <si>
    <t>204:804</t>
  </si>
  <si>
    <t>204:1091</t>
  </si>
  <si>
    <t>300:58645</t>
  </si>
  <si>
    <t>204:1095</t>
  </si>
  <si>
    <t>300:58980</t>
  </si>
  <si>
    <t>204:769</t>
  </si>
  <si>
    <t>300:58960</t>
  </si>
  <si>
    <t>300:58696</t>
  </si>
  <si>
    <t>204:717</t>
  </si>
  <si>
    <t>204:1076</t>
  </si>
  <si>
    <t>300:59003</t>
  </si>
  <si>
    <t>300:58688</t>
  </si>
  <si>
    <t>204:766</t>
  </si>
  <si>
    <t>204:990</t>
  </si>
  <si>
    <t>300:58997</t>
  </si>
  <si>
    <t>300:58641</t>
  </si>
  <si>
    <t>204:787</t>
  </si>
  <si>
    <t>204:1088</t>
  </si>
  <si>
    <t>300:58950</t>
  </si>
  <si>
    <t>300:58952</t>
  </si>
  <si>
    <t>300:30258</t>
  </si>
  <si>
    <t>300:58929</t>
  </si>
  <si>
    <t>300:23633</t>
  </si>
  <si>
    <t>204:417</t>
  </si>
  <si>
    <t>300:24212</t>
  </si>
  <si>
    <t>300:23366</t>
  </si>
  <si>
    <t>204:675</t>
  </si>
  <si>
    <t>300:28767</t>
  </si>
  <si>
    <t>300:58632</t>
  </si>
  <si>
    <t>300:28784</t>
  </si>
  <si>
    <t>start /low /b %USERPROFILE%\Documents\GitHub\eaglep3\Utilities\DownloadLogsFromS3.py --loco 4050 --day 2017-11-10</t>
  </si>
  <si>
    <t>start /low /b %USERPROFILE%\Documents\GitHub\eaglep3\Utilities\DownloadLogsFromS3.py --loco 4015 --day 2017-11-10</t>
  </si>
  <si>
    <t>start /low /b %USERPROFILE%\Documents\GitHub\eaglep3\Utilities\DownloadLogsFromS3.py --loco 4049 --day 2017-11-11</t>
  </si>
  <si>
    <t>start /low /b %USERPROFILE%\Documents\GitHub\eaglep3\Utilities\DownloadLogsFromS3.py --loco 4007 --day 2017-11-10</t>
  </si>
  <si>
    <t>start /low /b %USERPROFILE%\Documents\GitHub\eaglep3\Utilities\DownloadLogsFromS3.py --loco 4059 --day 2017-11-10</t>
  </si>
  <si>
    <t>start /low /b %USERPROFILE%\Documents\GitHub\eaglep3\Utilities\DownloadLogsFromS3.py --loco 4012 --day 2017-11-10</t>
  </si>
  <si>
    <t>start /low /b %USERPROFILE%\Documents\GitHub\eaglep3\Utilities\DownloadLogsFromS3.py --loco 4016 --day 2017-11-10</t>
  </si>
  <si>
    <t>start /low /b %USERPROFILE%\Documents\GitHub\eaglep3\Utilities\DownloadLogsFromS3.py --loco 4015 --day 2017-11-11</t>
  </si>
  <si>
    <t>start /low /b %USERPROFILE%\Documents\GitHub\eaglep3\Utilities\DownloadLogsFromS3.py --loco 4051 --day 2017-11-10</t>
  </si>
  <si>
    <t>Poor GPS at DUS</t>
  </si>
  <si>
    <t>Operator selected wrong track</t>
  </si>
  <si>
    <t>Observed onboard en route failure during init, no PTC enforcement</t>
  </si>
  <si>
    <t>Onboard en route failure</t>
  </si>
  <si>
    <t>Wi-MAX data drop</t>
  </si>
  <si>
    <t>Observed unhealthy xing at Chambers due to Wi-MAX data drop</t>
  </si>
  <si>
    <t>Observed Wi-MAX data drop</t>
  </si>
  <si>
    <t>Minor en route failure caused fault detected banner, system recovered</t>
  </si>
  <si>
    <t>Cancelled due to track maintenance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</si>
</sst>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88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43049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43049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145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COUNTIFS($N$13:$N$9531,"&gt;0",$AG$13:$AG$9531,I1)</f>
        <v>142</v>
      </c>
      <c r="K5" s="39"/>
      <c r="L5" s="172"/>
      <c r="M5" s="40">
        <f>AVERAGEIFS($N$13:$N$9531,$AG$13:$AG$9531,I1)</f>
        <v>36.746478873488662</v>
      </c>
      <c r="N5" s="38">
        <f t="array" ref="N5">MIN(IF($AG$13:$AG$9531=I1,IF(ISNUMBER($N$13:$N$9531),IF($N$13:$N$9531&gt;0,$N$13:$N$9531))))</f>
        <v>33.81666666129604</v>
      </c>
      <c r="O5" s="3">
        <f t="array" ref="O5">MAX(IF($AG$13:$AG$9531=I1,IF(ISNUMBER($N$13:$N$9531),IF($N$13:$N$9531&gt;0,$N$13:$N$9531))))</f>
        <v>42.21666666562669</v>
      </c>
      <c r="P5" s="2"/>
      <c r="R5" s="163" t="s">
        <v>17</v>
      </c>
      <c r="S5" s="207">
        <f>COUNTIFS($N$13:$N$9531,"&gt;0",$AG$13:$AG$9531,R1)</f>
        <v>49</v>
      </c>
      <c r="T5" s="172"/>
      <c r="U5" s="195"/>
      <c r="V5" s="211">
        <f>AVERAGEIFS($N$13:$N$9531,$AG$13:$AG$9531,R1)</f>
        <v>13.924829931597092</v>
      </c>
      <c r="W5" s="212">
        <f t="array" ref="W5">MIN(IF($AG$13:$AG$9531=R1,IF(ISNUMBER($N$13:$N$9531),IF($N$13:$N$9531&gt;0,$N$13:$N$9531))))</f>
        <v>11.599999997997656</v>
      </c>
      <c r="X5" s="200">
        <f t="array" ref="X5">MAX(IF($AG$13:$AG$9531=R1,IF(ISNUMBER($N$13:$N$9531),IF($N$13:$N$9531&gt;0,$N$13:$N$9531))))</f>
        <v>18.716666662367061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COUNT($O$13:$O$289)</f>
        <v>0</v>
      </c>
      <c r="K6" s="39"/>
      <c r="L6" s="172"/>
      <c r="M6" s="40">
        <f>IFERROR(AVERAGE($O$13:$O$289),0)</f>
        <v>0</v>
      </c>
      <c r="N6" s="38">
        <f>MIN($O$13:$O$289)</f>
        <v>0</v>
      </c>
      <c r="O6" s="3">
        <f>MAX($O$13:$O$289)</f>
        <v>0</v>
      </c>
      <c r="P6" s="2"/>
      <c r="R6" s="164" t="s">
        <v>43</v>
      </c>
      <c r="S6" s="207">
        <f>COUNT($O$13:$O$289)</f>
        <v>0</v>
      </c>
      <c r="T6" s="172"/>
      <c r="U6" s="195"/>
      <c r="V6" s="211">
        <f>IFERROR(AVERAGE($O$13:$O$289),0)</f>
        <v>0</v>
      </c>
      <c r="W6" s="212">
        <f>MIN($O$13:$O$289)</f>
        <v>0</v>
      </c>
      <c r="X6" s="200">
        <f>MAX($O$13:$O$289)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COUNTIFS($P$13:$P$9531,"&gt;0",$AG$13:$AG$9531,I1)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COUNTIFS($P$13:$P$9531,"&gt;0",$AG$13:$AG$9531,R1)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2"/>
      <c r="M8" s="40">
        <f>M5</f>
        <v>36.746478873488662</v>
      </c>
      <c r="N8" s="38">
        <f>N5</f>
        <v>33.81666666129604</v>
      </c>
      <c r="O8" s="3">
        <f>O5</f>
        <v>42.21666666562669</v>
      </c>
      <c r="P8" s="2"/>
      <c r="R8" s="163" t="s">
        <v>16</v>
      </c>
      <c r="S8" s="207">
        <f>S5</f>
        <v>49</v>
      </c>
      <c r="T8" s="172"/>
      <c r="U8" s="195"/>
      <c r="V8" s="211">
        <f>V5</f>
        <v>13.924829931597092</v>
      </c>
      <c r="W8" s="212">
        <f>W5</f>
        <v>11.599999997997656</v>
      </c>
      <c r="X8" s="200">
        <f>X5</f>
        <v>18.716666662367061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0.97931034482758617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- 2017-11-10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AVERAGE(S13:S120)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642</v>
      </c>
      <c r="B13" s="7">
        <v>4050</v>
      </c>
      <c r="C13" s="21" t="s">
        <v>192</v>
      </c>
      <c r="D13" s="21" t="s">
        <v>886</v>
      </c>
      <c r="E13" s="13">
        <v>43049.130613425928</v>
      </c>
      <c r="F13" s="13">
        <v>43049.139722222222</v>
      </c>
      <c r="G13" s="7">
        <v>63</v>
      </c>
      <c r="H13" s="21" t="s">
        <v>887</v>
      </c>
      <c r="I13" s="13">
        <v>43049.159641203703</v>
      </c>
      <c r="J13" s="7">
        <v>1</v>
      </c>
      <c r="K13" s="89" t="str">
        <f t="shared" ref="K13:K76" si="0">IF(ISEVEN(B13),(B13-1)&amp;"/"&amp;B13,B13&amp;"/"&amp;(B13+1))</f>
        <v>4049/4050</v>
      </c>
      <c r="L13" s="185" t="str">
        <f>VLOOKUP(A13,'Trips&amp;Operators'!$C$1:$G$99911,5,FALSE)</f>
        <v>YORK EDGAR</v>
      </c>
      <c r="M13" s="6">
        <f t="shared" ref="M13:M76" si="1">I13-F13</f>
        <v>1.9918981481168885E-2</v>
      </c>
      <c r="N13" s="7"/>
      <c r="O13" s="7"/>
      <c r="P13" s="7"/>
      <c r="Q13" s="22"/>
      <c r="R13" s="167"/>
      <c r="S13" s="221"/>
      <c r="T13" s="174" t="str">
        <f t="shared" ref="T13:T76" si="2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21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-10T02:08:05-0700',mode:absolute,to:'2017-11-10T04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" s="204" t="str">
        <f>IF(AA13&lt;VLOOKUP(AG13,Variables!$AC$3:$AD$8,2,FALSE),"Y","N")</f>
        <v>Y</v>
      </c>
      <c r="X13" s="204" t="e">
        <f t="shared" ref="X13:X44" si="4">VALUE(LEFT(AD13,4))-VALUE(LEFT(AD12,4))</f>
        <v>#VALUE!</v>
      </c>
      <c r="Y13" s="204">
        <f t="shared" ref="Y13:Y44" si="5">RIGHT(D13,LEN(D13)-4)/10000</f>
        <v>7.85E-2</v>
      </c>
      <c r="Z13" s="204">
        <f t="shared" ref="Z13:Z44" si="6">RIGHT(H13,LEN(H13)-4)/10000</f>
        <v>0.2036</v>
      </c>
      <c r="AA13" s="204">
        <f t="shared" ref="AA13:AA76" si="7">ABS(Z13-Y13)</f>
        <v>0.12509999999999999</v>
      </c>
      <c r="AB13" s="54" t="e">
        <f>VLOOKUP(A13,Enforcements!$C$7:$K$9,8,0)</f>
        <v>#N/A</v>
      </c>
      <c r="AC13" s="51" t="e">
        <f>VLOOKUP(A13,Enforcements!$C$7:$E$9,3,0)</f>
        <v>#N/A</v>
      </c>
      <c r="AD13" s="179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/stypes="app*4050*20171110*" /stext=" 10:.+((SYSTEM_STATE.+slice.+state.+changed )|(ment ac)|(multiple cpu faults)|(system.+state.+changed )|(\[timeout)|(PRM\|1\|D)|(kpr)|(kdp)|(train st.+moving)|(\|lc)|(penalty))"</v>
      </c>
      <c r="AG13" s="182" t="str">
        <f t="shared" ref="AG13:AG76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4050 --swversion DE.1.0.9.0 --startMP 204:785 --initTime 2017-11-10T03:08:05 --startdatetime 2017-11-10T03:21:12 --delay 63 --endMP 204:2036 --enddatetime 2017-11-10T03:49:53 --enforcementcount 1 &gt;&gt;%USERPROFILE%\Documents\GitHub\eaglep3-reporting\EC\2017-11-10-refined-times.txt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{"issue":{"subject":"","project_id":79,"tracker_id":40,"status_id":1,"priority_id":2,"assigned_to_id":338,"start_date":"2017-11-10","description":"","custom_fields":[{"id":1,"name":"Subdivision","value":"EC"},{"id":4,"name":"Milepost","value":"0.2036"},{"id":17,"name":"Train ID","value":"101-10"},{"id":16,"name":"Locomotive ID","value":"4050"},{"id":130,"name":"Impact","value":""},{"id":150,"name":"Time of Event (Mountain Time)","value":"03:49:53"},{"id":151,"name":"Denver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4050 --day 2017-11-10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10:49:53"},{"id":29,"name":"Sharepoint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6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-10T02:08:05-0700',mode:absolute,to:'2017-11-10T04:49:53-0700'))&amp;_a=(columns:!('Message%20ID',Summary),filters:!(),index:'emp_*',interval:auto,query:(query_string:(analyze_wildcard:!t,query:'%22rtdc.l.rtdc.4050%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642</v>
      </c>
      <c r="B14" s="7">
        <v>4050</v>
      </c>
      <c r="C14" s="21" t="s">
        <v>192</v>
      </c>
      <c r="D14" s="21" t="s">
        <v>888</v>
      </c>
      <c r="E14" s="13">
        <v>43049.138807870368</v>
      </c>
      <c r="F14" s="13">
        <v>43049.139722222222</v>
      </c>
      <c r="G14" s="7">
        <v>44</v>
      </c>
      <c r="H14" s="21" t="s">
        <v>552</v>
      </c>
      <c r="I14" s="13">
        <v>43049.159641203703</v>
      </c>
      <c r="J14" s="7">
        <v>1</v>
      </c>
      <c r="K14" s="89" t="str">
        <f t="shared" si="0"/>
        <v>4049/4050</v>
      </c>
      <c r="L14" s="185" t="str">
        <f>VLOOKUP(A14,'Trips&amp;Operators'!$C$1:$G$99911,5,FALSE)</f>
        <v>YORK EDGAR</v>
      </c>
      <c r="M14" s="6">
        <f t="shared" si="1"/>
        <v>1.9918981481168885E-2</v>
      </c>
      <c r="N14" s="7"/>
      <c r="O14" s="7"/>
      <c r="P14" s="7">
        <f>24*60*SUM($M14:$M14)</f>
        <v>28.683333332883194</v>
      </c>
      <c r="Q14" s="22"/>
      <c r="R14" s="174" t="s">
        <v>1105</v>
      </c>
      <c r="S14" s="221">
        <f t="shared" ref="S14:S45" si="17">1/IF(AG14="EC",12,1)*SUM(U14:U14)</f>
        <v>1</v>
      </c>
      <c r="T14" s="174" t="str">
        <f t="shared" si="2"/>
        <v>NorthBound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3"/>
        <v>https://d0f6bd738d7f1b3e5a7ca70fe4ff75f0.us-east-1.aws.found.io/app/kibana#/discover/Steve-Slow-Train-Analysis-(2080s-and-2083s)?_g=(refreshInterval:(display:Off,pause:!f,section:0,value:0),time:(from:'2017-11-10T02:19:53-0700',mode:absolute,to:'2017-11-10T04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" s="204" t="str">
        <f>IF(AA14&lt;VLOOKUP(AG14,Variables!$AC$3:$AD$8,2,FALSE),"Y","N")</f>
        <v>Y</v>
      </c>
      <c r="X14" s="204">
        <f t="shared" si="4"/>
        <v>0</v>
      </c>
      <c r="Y14" s="204">
        <f t="shared" si="5"/>
        <v>1.9125000000000001</v>
      </c>
      <c r="Z14" s="204">
        <f t="shared" si="6"/>
        <v>23.329499999999999</v>
      </c>
      <c r="AA14" s="204">
        <f t="shared" si="7"/>
        <v>21.416999999999998</v>
      </c>
      <c r="AB14" s="54" t="e">
        <f>VLOOKUP(A14,Enforcements!$C$7:$K$9,8,0)</f>
        <v>#N/A</v>
      </c>
      <c r="AC14" s="51" t="e">
        <f>VLOOKUP(A14,Enforcements!$C$7:$E$9,3,0)</f>
        <v>#N/A</v>
      </c>
      <c r="AD14" s="179">
        <f t="shared" si="8"/>
        <v>101</v>
      </c>
      <c r="AE14" s="77" t="str">
        <f t="shared" si="9"/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AF14" s="74" t="str">
        <f t="shared" si="10"/>
        <v>"C:\Program Files (x86)\AstroGrep\AstroGrep.exe" /e /r /s /spath="%USERPROFILE%\AppData\Local\Temp\OnboardLogs" /stypes="app*4050*20171110*" /stext=" 10:.+((SYSTEM_STATE.+slice.+state.+changed )|(ment ac)|(multiple cpu faults)|(system.+state.+changed )|(\[timeout)|(PRM\|1\|D)|(kpr)|(kdp)|(train st.+moving)|(\|lc)|(penalty))"</v>
      </c>
      <c r="AG14" s="182" t="str">
        <f t="shared" si="11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101-10 --locoid 4050 --swversion DE.1.0.9.0 --startMP 204:19125 --initTime 2017-11-10T03:19:53 --startdatetime 2017-11-10T03:21:12 --delay 44 --endMP 204:233295 --enddatetime 2017-11-10T03:49:53 --enforcementcount 1 &gt;&gt;%USERPROFILE%\Documents\GitHub\eaglep3-reporting\EC\2017-11-10-refined-times.txt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DUS","project_id":79,"tracker_id":40,"status_id":1,"priority_id":2,"assigned_to_id":338,"start_date":"2017-11-10","description":"","custom_fields":[{"id":1,"name":"Subdivision","value":"EC"},{"id":4,"name":"Milepost","value":"23.3295"},{"id":17,"name":"Train ID","value":"101-10"},{"id":16,"name":"Locomotive ID","value":"4050"},{"id":130,"name":"Impact","value":""},{"id":150,"name":"Time of Event (Mountain Time)","value":"03:49:53"},{"id":151,"name":"Denver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4050 --day 2017-11-10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{"issue":{"subject":"Poor GPS at DUS","project_id":30,"tracker_id":4,"status_id":1,"priority_id":1,"assigned_to_id":10,"start_date":"2017-11-10","description":"","custom_fields":[{"id":30,"name":"Category","value":"Issue"},{"id":3,"name":"Functional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10:49:53"},{"id":29,"name":"Sharepoint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2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-10T02:19:53-0700',mode:absolute,to:'2017-11-10T04:49:53-0700'))&amp;_a=(columns:!('Message%20ID',Summary),filters:!(),index:'emp_*',interval:auto,query:(query_string:(analyze_wildcard:!t,query:'%22rtdc.l.rtdc.4050%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664</v>
      </c>
      <c r="B15" s="7">
        <v>4049</v>
      </c>
      <c r="C15" s="21" t="s">
        <v>192</v>
      </c>
      <c r="D15" s="21" t="s">
        <v>889</v>
      </c>
      <c r="E15" s="13">
        <v>43049.172777777778</v>
      </c>
      <c r="F15" s="13">
        <v>43049.175324074073</v>
      </c>
      <c r="G15" s="7">
        <v>59</v>
      </c>
      <c r="H15" s="21" t="s">
        <v>606</v>
      </c>
      <c r="I15" s="13">
        <v>43049.201365740744</v>
      </c>
      <c r="J15" s="7">
        <v>1</v>
      </c>
      <c r="K15" s="89" t="str">
        <f t="shared" si="0"/>
        <v>4049/4050</v>
      </c>
      <c r="L15" s="185" t="str">
        <f>VLOOKUP(A15,'Trips&amp;Operators'!$C$1:$G$99911,5,FALSE)</f>
        <v>YORK EDGAR</v>
      </c>
      <c r="M15" s="6">
        <f t="shared" si="1"/>
        <v>2.6041666671517305E-2</v>
      </c>
      <c r="N15" s="7">
        <f t="shared" ref="N15:N46" si="23">24*60*SUM($M15:$M15)</f>
        <v>37.500000006984919</v>
      </c>
      <c r="O15" s="7"/>
      <c r="P15" s="7"/>
      <c r="Q15" s="22"/>
      <c r="R15" s="174"/>
      <c r="S15" s="221">
        <f t="shared" si="17"/>
        <v>1</v>
      </c>
      <c r="T15" s="174" t="str">
        <f t="shared" si="2"/>
        <v>Southbound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3"/>
        <v>https://d0f6bd738d7f1b3e5a7ca70fe4ff75f0.us-east-1.aws.found.io/app/kibana#/discover/Steve-Slow-Train-Analysis-(2080s-and-2083s)?_g=(refreshInterval:(display:Off,pause:!f,section:0,value:0),time:(from:'2017-11-10T03:08:48-0700',mode:absolute,to:'2017-11-10T05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" s="204" t="str">
        <f>IF(AA15&lt;VLOOKUP(AG15,Variables!$AC$3:$AD$8,2,FALSE),"Y","N")</f>
        <v>N</v>
      </c>
      <c r="X15" s="204">
        <f t="shared" si="4"/>
        <v>1</v>
      </c>
      <c r="Y15" s="204">
        <f t="shared" si="5"/>
        <v>23.2973</v>
      </c>
      <c r="Z15" s="204">
        <f t="shared" si="6"/>
        <v>1.4500000000000001E-2</v>
      </c>
      <c r="AA15" s="204">
        <f t="shared" si="7"/>
        <v>23.282799999999998</v>
      </c>
      <c r="AB15" s="54" t="e">
        <f>VLOOKUP(A15,Enforcements!$C$7:$K$9,8,0)</f>
        <v>#N/A</v>
      </c>
      <c r="AC15" s="51" t="e">
        <f>VLOOKUP(A15,Enforcements!$C$7:$E$9,3,0)</f>
        <v>#N/A</v>
      </c>
      <c r="AD15" s="179">
        <f t="shared" si="8"/>
        <v>102</v>
      </c>
      <c r="AE15" s="77" t="str">
        <f t="shared" si="9"/>
        <v>aws s3 cp s3://rtdc.mdm.uploadarchive.raw/RTDC4049/ "%USERPROFILE%\AppData\Local\Temp\OnboardLogs"\RTDC4049\2017-11-10 --exclude "*" --recursive --include "*20171110*" &amp; "%USERPROFILE%\Documents\GitHub\mrs-test-scripts\Headless Mode &amp; Sideloading\WalkAndUnGZ.bat" "%USERPROFILE%\AppData\Local\Temp\OnboardLogs"\RTDC4049\2017-11-10 &amp; aws s3 cp s3://rtdc.mdm.uploadarchive.raw/RTDC4049/ "%USERPROFILE%\AppData\Local\Temp\OnboardLogs"\RTDC4049\2017-11-11 --exclude "*" --recursive --include "*20171111*" &amp; "%USERPROFILE%\Documents\GitHub\mrs-test-scripts\Headless Mode &amp; Sideloading\WalkAndUnGZ.bat" "%USERPROFILE%\AppData\Local\Temp\OnboardLogs"\RTDC4049\2017-11-11</v>
      </c>
      <c r="AF15" s="74" t="str">
        <f t="shared" si="10"/>
        <v>"C:\Program Files (x86)\AstroGrep\AstroGrep.exe" /e /r /s /spath="%USERPROFILE%\AppData\Local\Temp\OnboardLogs" /stypes="app*4049*20171110*" /stext=" 11:.+((SYSTEM_STATE.+slice.+state.+changed )|(ment ac)|(multiple cpu faults)|(system.+state.+changed )|(\[timeout)|(PRM\|1\|D)|(kpr)|(kdp)|(train st.+moving)|(\|lc)|(penalty))"</v>
      </c>
      <c r="AG15" s="182" t="str">
        <f t="shared" si="11"/>
        <v>EC</v>
      </c>
      <c r="AH15" s="78" t="str">
        <f t="shared" si="18"/>
        <v>"%USERPROFILE%\Documents\GitHub\eaglep3\Utilities\RefineRTDCRunTimes.py" --tripid 102-10 --locoid 4049 --swversion DE.1.0.9.0 --startMP 204:232973 --initTime 2017-11-10T04:08:48 --startdatetime 2017-11-10T04:12:28 --delay 59 --endMP 204:145 --enddatetime 2017-11-10T04:49:58 --enforcementcount 1 &gt;&gt;%USERPROFILE%\Documents\GitHub\eaglep3-reporting\EC\2017-11-10-refined-times.txt</v>
      </c>
      <c r="AI15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{"issue":{"subject":"","project_id":79,"tracker_id":40,"status_id":1,"priority_id":2,"assigned_to_id":338,"start_date":"2017-11-10","description":"","custom_fields":[{"id":1,"name":"Subdivision","value":"EC"},{"id":4,"name":"Milepost","value":"0.0145"},{"id":17,"name":"Train ID","value":"102-10"},{"id":16,"name":"Locomotive ID","value":"4049"},{"id":130,"name":"Impact","value":""},{"id":150,"name":"Time of Event (Mountain Time)","value":"04:49:58"},{"id":151,"name":"Denver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4049 --day 2017-11-10</v>
      </c>
      <c r="AN15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11:49:58"},{"id":29,"name":"Sharepoint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2"/>
        <v>https://d0f6bd738d7f1b3e5a7ca70fe4ff75f0.us-east-1.aws.found.io/app/kibana#/discover/Steve-Slow-Train-Analysis-(2080s-and-2083s)?_g=(refreshInterval:(display:Off,pause:!f,section:0,value:0),time:(from:'2017-11-10T03:08:48-0700',mode:absolute,to:'2017-11-10T05:49:58-0700'))&amp;_a=(columns:!('Message%20ID',Summary),filters:!(),index:'emp_*',interval:auto,query:(query_string:(analyze_wildcard:!t,query:'%22rtdc.l.rtdc.4049%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661</v>
      </c>
      <c r="B16" s="7">
        <v>4052</v>
      </c>
      <c r="C16" s="21" t="s">
        <v>192</v>
      </c>
      <c r="D16" s="21" t="s">
        <v>547</v>
      </c>
      <c r="E16" s="13">
        <v>43049.152951388889</v>
      </c>
      <c r="F16" s="13">
        <v>43049.156840277778</v>
      </c>
      <c r="G16" s="7">
        <v>60</v>
      </c>
      <c r="H16" s="21" t="s">
        <v>598</v>
      </c>
      <c r="I16" s="13">
        <v>43049.181666666664</v>
      </c>
      <c r="J16" s="7">
        <v>1</v>
      </c>
      <c r="K16" s="89" t="str">
        <f t="shared" si="0"/>
        <v>4051/4052</v>
      </c>
      <c r="L16" s="185" t="str">
        <f>VLOOKUP(A16,'Trips&amp;Operators'!$C$1:$G$99911,5,FALSE)</f>
        <v>MAELZER KURT</v>
      </c>
      <c r="M16" s="6">
        <f t="shared" si="1"/>
        <v>2.4826388886140194E-2</v>
      </c>
      <c r="N16" s="7">
        <f t="shared" si="23"/>
        <v>35.749999996041879</v>
      </c>
      <c r="O16" s="7"/>
      <c r="P16" s="7"/>
      <c r="Q16" s="22"/>
      <c r="R16" s="174"/>
      <c r="S16" s="221">
        <f t="shared" si="17"/>
        <v>1</v>
      </c>
      <c r="T16" s="174" t="str">
        <f t="shared" si="2"/>
        <v>NorthBound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3"/>
        <v>https://d0f6bd738d7f1b3e5a7ca70fe4ff75f0.us-east-1.aws.found.io/app/kibana#/discover/Steve-Slow-Train-Analysis-(2080s-and-2083s)?_g=(refreshInterval:(display:Off,pause:!f,section:0,value:0),time:(from:'2017-11-10T02:40:15-0700',mode:absolute,to:'2017-11-10T05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" s="204" t="str">
        <f>IF(AA16&lt;VLOOKUP(AG16,Variables!$AC$3:$AD$8,2,FALSE),"Y","N")</f>
        <v>N</v>
      </c>
      <c r="X16" s="204">
        <f t="shared" si="4"/>
        <v>1</v>
      </c>
      <c r="Y16" s="204">
        <f t="shared" si="5"/>
        <v>4.58E-2</v>
      </c>
      <c r="Z16" s="204">
        <f t="shared" si="6"/>
        <v>23.331499999999998</v>
      </c>
      <c r="AA16" s="204">
        <f t="shared" si="7"/>
        <v>23.285699999999999</v>
      </c>
      <c r="AB16" s="54" t="e">
        <f>VLOOKUP(A16,Enforcements!$C$7:$K$9,8,0)</f>
        <v>#N/A</v>
      </c>
      <c r="AC16" s="51" t="e">
        <f>VLOOKUP(A16,Enforcements!$C$7:$E$9,3,0)</f>
        <v>#N/A</v>
      </c>
      <c r="AD16" s="179">
        <f t="shared" si="8"/>
        <v>103</v>
      </c>
      <c r="AE16" s="77" t="str">
        <f t="shared" si="9"/>
        <v>aws s3 cp s3://rtdc.mdm.uploadarchive.raw/RTDC4052/ "%USERPROFILE%\AppData\Local\Temp\OnboardLogs"\RTDC4052\2017-11-10 --exclude "*" --recursive --include "*20171110*" &amp; "%USERPROFILE%\Documents\GitHub\mrs-test-scripts\Headless Mode &amp; Sideloading\WalkAndUnGZ.bat" "%USERPROFILE%\AppData\Local\Temp\OnboardLogs"\RTDC4052\2017-11-10 &amp; aws s3 cp s3://rtdc.mdm.uploadarchive.raw/RTDC4052/ "%USERPROFILE%\AppData\Local\Temp\OnboardLogs"\RTDC4052\2017-11-11 --exclude "*" --recursive --include "*20171111*" &amp; "%USERPROFILE%\Documents\GitHub\mrs-test-scripts\Headless Mode &amp; Sideloading\WalkAndUnGZ.bat" "%USERPROFILE%\AppData\Local\Temp\OnboardLogs"\RTDC4052\2017-11-11</v>
      </c>
      <c r="AF16" s="74" t="str">
        <f t="shared" si="10"/>
        <v>"C:\Program Files (x86)\AstroGrep\AstroGrep.exe" /e /r /s /spath="%USERPROFILE%\AppData\Local\Temp\OnboardLogs" /stypes="app*4052*20171110*" /stext=" 11:.+((SYSTEM_STATE.+slice.+state.+changed )|(ment ac)|(multiple cpu faults)|(system.+state.+changed )|(\[timeout)|(PRM\|1\|D)|(kpr)|(kdp)|(train st.+moving)|(\|lc)|(penalty))"</v>
      </c>
      <c r="AG16" s="182" t="str">
        <f t="shared" si="11"/>
        <v>EC</v>
      </c>
      <c r="AH16" s="78" t="str">
        <f t="shared" si="18"/>
        <v>"%USERPROFILE%\Documents\GitHub\eaglep3\Utilities\RefineRTDCRunTimes.py" --tripid 103-10 --locoid 4052 --swversion DE.1.0.9.0 --startMP 204:458 --initTime 2017-11-10T03:40:15 --startdatetime 2017-11-10T03:45:51 --delay 60 --endMP 204:233315 --enddatetime 2017-11-10T04:21:36 --enforcementcount 1 &gt;&gt;%USERPROFILE%\Documents\GitHub\eaglep3-reporting\EC\2017-11-10-refined-times.txt</v>
      </c>
      <c r="AI16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{"issue":{"subject":"","project_id":79,"tracker_id":40,"status_id":1,"priority_id":2,"assigned_to_id":338,"start_date":"2017-11-10","description":"","custom_fields":[{"id":1,"name":"Subdivision","value":"EC"},{"id":4,"name":"Milepost","value":"23.3315"},{"id":17,"name":"Train ID","value":"103-10"},{"id":16,"name":"Locomotive ID","value":"4052"},{"id":130,"name":"Impact","value":""},{"id":150,"name":"Time of Event (Mountain Time)","value":"04:21:36"},{"id":151,"name":"Denver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4052 --day 2017-11-10</v>
      </c>
      <c r="AN16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11:21:36"},{"id":29,"name":"Sharepoint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2"/>
        <v>https://d0f6bd738d7f1b3e5a7ca70fe4ff75f0.us-east-1.aws.found.io/app/kibana#/discover/Steve-Slow-Train-Analysis-(2080s-and-2083s)?_g=(refreshInterval:(display:Off,pause:!f,section:0,value:0),time:(from:'2017-11-10T02:40:15-0700',mode:absolute,to:'2017-11-10T05:21:36-0700'))&amp;_a=(columns:!('Message%20ID',Summary),filters:!(),index:'emp_*',interval:auto,query:(query_string:(analyze_wildcard:!t,query:'%22rtdc.l.rtdc.4052%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672</v>
      </c>
      <c r="B17" s="7">
        <v>4051</v>
      </c>
      <c r="C17" s="21" t="s">
        <v>192</v>
      </c>
      <c r="D17" s="21" t="s">
        <v>890</v>
      </c>
      <c r="E17" s="13">
        <v>43049.190046296295</v>
      </c>
      <c r="F17" s="13">
        <v>43049.196006944447</v>
      </c>
      <c r="G17" s="7">
        <v>97</v>
      </c>
      <c r="H17" s="21" t="s">
        <v>544</v>
      </c>
      <c r="I17" s="13">
        <v>43049.222210648149</v>
      </c>
      <c r="J17" s="7">
        <v>1</v>
      </c>
      <c r="K17" s="89" t="str">
        <f t="shared" si="0"/>
        <v>4051/4052</v>
      </c>
      <c r="L17" s="185" t="str">
        <f>VLOOKUP(A17,'Trips&amp;Operators'!$C$1:$G$99911,5,FALSE)</f>
        <v>MAELZER KURT</v>
      </c>
      <c r="M17" s="6">
        <f t="shared" si="1"/>
        <v>2.6203703702776693E-2</v>
      </c>
      <c r="N17" s="7">
        <f t="shared" si="23"/>
        <v>37.733333331998438</v>
      </c>
      <c r="O17" s="7"/>
      <c r="P17" s="7"/>
      <c r="Q17" s="22"/>
      <c r="R17" s="174"/>
      <c r="S17" s="221">
        <f t="shared" si="17"/>
        <v>1</v>
      </c>
      <c r="T17" s="174" t="str">
        <f t="shared" si="2"/>
        <v>Southbound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3"/>
        <v>https://d0f6bd738d7f1b3e5a7ca70fe4ff75f0.us-east-1.aws.found.io/app/kibana#/discover/Steve-Slow-Train-Analysis-(2080s-and-2083s)?_g=(refreshInterval:(display:Off,pause:!f,section:0,value:0),time:(from:'2017-11-10T03:33:40-0700',mode:absolute,to:'2017-11-10T06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" s="204" t="str">
        <f>IF(AA17&lt;VLOOKUP(AG17,Variables!$AC$3:$AD$8,2,FALSE),"Y","N")</f>
        <v>N</v>
      </c>
      <c r="X17" s="204">
        <f t="shared" si="4"/>
        <v>1</v>
      </c>
      <c r="Y17" s="204">
        <f t="shared" si="5"/>
        <v>23.2989</v>
      </c>
      <c r="Z17" s="204">
        <f t="shared" si="6"/>
        <v>1.41E-2</v>
      </c>
      <c r="AA17" s="204">
        <f t="shared" si="7"/>
        <v>23.284800000000001</v>
      </c>
      <c r="AB17" s="54" t="e">
        <f>VLOOKUP(A17,Enforcements!$C$7:$K$9,8,0)</f>
        <v>#N/A</v>
      </c>
      <c r="AC17" s="51" t="e">
        <f>VLOOKUP(A17,Enforcements!$C$7:$E$9,3,0)</f>
        <v>#N/A</v>
      </c>
      <c r="AD17" s="179">
        <f t="shared" si="8"/>
        <v>104</v>
      </c>
      <c r="AE17" s="77" t="str">
        <f t="shared" si="9"/>
        <v>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 &amp; 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</v>
      </c>
      <c r="AF17" s="74" t="str">
        <f t="shared" si="10"/>
        <v>"C:\Program Files (x86)\AstroGrep\AstroGrep.exe" /e /r /s /spath="%USERPROFILE%\AppData\Local\Temp\OnboardLogs" /stypes="app*4051*20171110*" /stext=" 12:.+((SYSTEM_STATE.+slice.+state.+changed )|(ment ac)|(multiple cpu faults)|(system.+state.+changed )|(\[timeout)|(PRM\|1\|D)|(kpr)|(kdp)|(train st.+moving)|(\|lc)|(penalty))"</v>
      </c>
      <c r="AG17" s="182" t="str">
        <f t="shared" si="11"/>
        <v>EC</v>
      </c>
      <c r="AH17" s="78" t="str">
        <f t="shared" si="18"/>
        <v>"%USERPROFILE%\Documents\GitHub\eaglep3\Utilities\RefineRTDCRunTimes.py" --tripid 104-10 --locoid 4051 --swversion DE.1.0.9.0 --startMP 204:232989 --initTime 2017-11-10T04:33:40 --startdatetime 2017-11-10T04:42:15 --delay 97 --endMP 204:141 --enddatetime 2017-11-10T05:19:59 --enforcementcount 1 &gt;&gt;%USERPROFILE%\Documents\GitHub\eaglep3-reporting\EC\2017-11-10-refined-times.txt</v>
      </c>
      <c r="AI17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{"issue":{"subject":"","project_id":79,"tracker_id":40,"status_id":1,"priority_id":2,"assigned_to_id":338,"start_date":"2017-11-10","description":"","custom_fields":[{"id":1,"name":"Subdivision","value":"EC"},{"id":4,"name":"Milepost","value":"0.0141"},{"id":17,"name":"Train ID","value":"104-10"},{"id":16,"name":"Locomotive ID","value":"4051"},{"id":130,"name":"Impact","value":""},{"id":150,"name":"Time of Event (Mountain Time)","value":"05:19:59"},{"id":151,"name":"Denver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4051 --day 2017-11-10</v>
      </c>
      <c r="AN17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12:19:59"},{"id":29,"name":"Sharepoint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2"/>
        <v>https://d0f6bd738d7f1b3e5a7ca70fe4ff75f0.us-east-1.aws.found.io/app/kibana#/discover/Steve-Slow-Train-Analysis-(2080s-and-2083s)?_g=(refreshInterval:(display:Off,pause:!f,section:0,value:0),time:(from:'2017-11-10T03:33:40-0700',mode:absolute,to:'2017-11-10T06:19:59-0700'))&amp;_a=(columns:!('Message%20ID',Summary),filters:!(),index:'emp_*',interval:auto,query:(query_string:(analyze_wildcard:!t,query:'%22rtdc.l.rtdc.4051%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663</v>
      </c>
      <c r="B18" s="7">
        <v>4060</v>
      </c>
      <c r="C18" s="21" t="s">
        <v>192</v>
      </c>
      <c r="D18" s="21" t="s">
        <v>455</v>
      </c>
      <c r="E18" s="13">
        <v>43049.171759259261</v>
      </c>
      <c r="F18" s="13">
        <v>43049.177349537036</v>
      </c>
      <c r="G18" s="7">
        <v>67</v>
      </c>
      <c r="H18" s="21" t="s">
        <v>891</v>
      </c>
      <c r="I18" s="13">
        <v>43049.203773148147</v>
      </c>
      <c r="J18" s="7">
        <v>1</v>
      </c>
      <c r="K18" s="89" t="str">
        <f t="shared" si="0"/>
        <v>4059/4060</v>
      </c>
      <c r="L18" s="185" t="str">
        <f>VLOOKUP(A18,'Trips&amp;Operators'!$C$1:$G$99911,5,FALSE)</f>
        <v>BONDS REYNALDO</v>
      </c>
      <c r="M18" s="6">
        <f t="shared" si="1"/>
        <v>2.6423611110658385E-2</v>
      </c>
      <c r="N18" s="7">
        <f t="shared" si="23"/>
        <v>38.049999999348074</v>
      </c>
      <c r="O18" s="7"/>
      <c r="P18" s="7"/>
      <c r="Q18" s="22"/>
      <c r="R18" s="174"/>
      <c r="S18" s="221">
        <f t="shared" si="17"/>
        <v>1</v>
      </c>
      <c r="T18" s="174" t="str">
        <f t="shared" si="2"/>
        <v>NorthBound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3"/>
        <v>https://d0f6bd738d7f1b3e5a7ca70fe4ff75f0.us-east-1.aws.found.io/app/kibana#/discover/Steve-Slow-Train-Analysis-(2080s-and-2083s)?_g=(refreshInterval:(display:Off,pause:!f,section:0,value:0),time:(from:'2017-11-10T03:07:20-0700',mode:absolute,to:'2017-11-10T05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" s="204" t="str">
        <f>IF(AA18&lt;VLOOKUP(AG18,Variables!$AC$3:$AD$8,2,FALSE),"Y","N")</f>
        <v>N</v>
      </c>
      <c r="X18" s="204">
        <f t="shared" si="4"/>
        <v>1</v>
      </c>
      <c r="Y18" s="204">
        <f t="shared" si="5"/>
        <v>5.0599999999999999E-2</v>
      </c>
      <c r="Z18" s="204">
        <f t="shared" si="6"/>
        <v>23.331900000000001</v>
      </c>
      <c r="AA18" s="204">
        <f t="shared" si="7"/>
        <v>23.281300000000002</v>
      </c>
      <c r="AB18" s="54" t="e">
        <f>VLOOKUP(A18,Enforcements!$C$7:$K$9,8,0)</f>
        <v>#N/A</v>
      </c>
      <c r="AC18" s="51" t="e">
        <f>VLOOKUP(A18,Enforcements!$C$7:$E$9,3,0)</f>
        <v>#N/A</v>
      </c>
      <c r="AD18" s="179">
        <f t="shared" si="8"/>
        <v>105</v>
      </c>
      <c r="AE18" s="77" t="str">
        <f t="shared" si="9"/>
        <v>aws s3 cp s3://rtdc.mdm.uploadarchive.raw/RTDC4060/ "%USERPROFILE%\AppData\Local\Temp\OnboardLogs"\RTDC4060\2017-11-10 --exclude "*" --recursive --include "*20171110*" &amp; "%USERPROFILE%\Documents\GitHub\mrs-test-scripts\Headless Mode &amp; Sideloading\WalkAndUnGZ.bat" "%USERPROFILE%\AppData\Local\Temp\OnboardLogs"\RTDC4060\2017-11-10 &amp; aws s3 cp s3://rtdc.mdm.uploadarchive.raw/RTDC4060/ "%USERPROFILE%\AppData\Local\Temp\OnboardLogs"\RTDC4060\2017-11-11 --exclude "*" --recursive --include "*20171111*" &amp; "%USERPROFILE%\Documents\GitHub\mrs-test-scripts\Headless Mode &amp; Sideloading\WalkAndUnGZ.bat" "%USERPROFILE%\AppData\Local\Temp\OnboardLogs"\RTDC4060\2017-11-11</v>
      </c>
      <c r="AF18" s="74" t="str">
        <f t="shared" si="10"/>
        <v>"C:\Program Files (x86)\AstroGrep\AstroGrep.exe" /e /r /s /spath="%USERPROFILE%\AppData\Local\Temp\OnboardLogs" /stypes="app*4060*20171110*" /stext=" 11:.+((SYSTEM_STATE.+slice.+state.+changed )|(ment ac)|(multiple cpu faults)|(system.+state.+changed )|(\[timeout)|(PRM\|1\|D)|(kpr)|(kdp)|(train st.+moving)|(\|lc)|(penalty))"</v>
      </c>
      <c r="AG18" s="182" t="str">
        <f t="shared" si="11"/>
        <v>EC</v>
      </c>
      <c r="AH18" s="78" t="str">
        <f t="shared" si="18"/>
        <v>"%USERPROFILE%\Documents\GitHub\eaglep3\Utilities\RefineRTDCRunTimes.py" --tripid 105-10 --locoid 4060 --swversion DE.1.0.9.0 --startMP 204:506 --initTime 2017-11-10T04:07:20 --startdatetime 2017-11-10T04:15:23 --delay 67 --endMP 204:233319 --enddatetime 2017-11-10T04:53:26 --enforcementcount 1 &gt;&gt;%USERPROFILE%\Documents\GitHub\eaglep3-reporting\EC\2017-11-10-refined-times.txt</v>
      </c>
      <c r="AI18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{"issue":{"subject":"","project_id":79,"tracker_id":40,"status_id":1,"priority_id":2,"assigned_to_id":338,"start_date":"2017-11-10","description":"","custom_fields":[{"id":1,"name":"Subdivision","value":"EC"},{"id":4,"name":"Milepost","value":"23.3319"},{"id":17,"name":"Train ID","value":"105-10"},{"id":16,"name":"Locomotive ID","value":"4060"},{"id":130,"name":"Impact","value":""},{"id":150,"name":"Time of Event (Mountain Time)","value":"04:53:26"},{"id":151,"name":"Denver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4060 --day 2017-11-10</v>
      </c>
      <c r="AN18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11:53:26"},{"id":29,"name":"Sharepoint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2"/>
        <v>https://d0f6bd738d7f1b3e5a7ca70fe4ff75f0.us-east-1.aws.found.io/app/kibana#/discover/Steve-Slow-Train-Analysis-(2080s-and-2083s)?_g=(refreshInterval:(display:Off,pause:!f,section:0,value:0),time:(from:'2017-11-10T03:07:20-0700',mode:absolute,to:'2017-11-10T05:53:26-0700'))&amp;_a=(columns:!('Message%20ID',Summary),filters:!(),index:'emp_*',interval:auto,query:(query_string:(analyze_wildcard:!t,query:'%22rtdc.l.rtdc.4060%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644</v>
      </c>
      <c r="B19" s="7">
        <v>4059</v>
      </c>
      <c r="C19" s="21" t="s">
        <v>192</v>
      </c>
      <c r="D19" s="21" t="s">
        <v>892</v>
      </c>
      <c r="E19" s="13">
        <v>43049.209618055553</v>
      </c>
      <c r="F19" s="13">
        <v>43049.216979166667</v>
      </c>
      <c r="G19" s="7">
        <v>49</v>
      </c>
      <c r="H19" s="21" t="s">
        <v>603</v>
      </c>
      <c r="I19" s="13">
        <v>43049.243738425925</v>
      </c>
      <c r="J19" s="7">
        <v>1</v>
      </c>
      <c r="K19" s="89" t="str">
        <f t="shared" si="0"/>
        <v>4059/4060</v>
      </c>
      <c r="L19" s="185" t="str">
        <f>VLOOKUP(A19,'Trips&amp;Operators'!$C$1:$G$99911,5,FALSE)</f>
        <v>BONDS REYNALDO</v>
      </c>
      <c r="M19" s="6">
        <f t="shared" si="1"/>
        <v>2.675925925723277E-2</v>
      </c>
      <c r="N19" s="7">
        <f t="shared" si="23"/>
        <v>38.533333330415189</v>
      </c>
      <c r="O19" s="7"/>
      <c r="P19" s="7"/>
      <c r="Q19" s="22"/>
      <c r="R19" s="174"/>
      <c r="S19" s="221">
        <f t="shared" si="17"/>
        <v>1</v>
      </c>
      <c r="T19" s="174" t="str">
        <f t="shared" si="2"/>
        <v>Southbound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3"/>
        <v>https://d0f6bd738d7f1b3e5a7ca70fe4ff75f0.us-east-1.aws.found.io/app/kibana#/discover/Steve-Slow-Train-Analysis-(2080s-and-2083s)?_g=(refreshInterval:(display:Off,pause:!f,section:0,value:0),time:(from:'2017-11-10T04:01:51-0700',mode:absolute,to:'2017-11-10T06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" s="204" t="str">
        <f>IF(AA19&lt;VLOOKUP(AG19,Variables!$AC$3:$AD$8,2,FALSE),"Y","N")</f>
        <v>N</v>
      </c>
      <c r="X19" s="204">
        <f t="shared" si="4"/>
        <v>1</v>
      </c>
      <c r="Y19" s="204">
        <f t="shared" si="5"/>
        <v>23.299099999999999</v>
      </c>
      <c r="Z19" s="204">
        <f t="shared" si="6"/>
        <v>2.23E-2</v>
      </c>
      <c r="AA19" s="204">
        <f t="shared" si="7"/>
        <v>23.276799999999998</v>
      </c>
      <c r="AB19" s="54" t="str">
        <f>VLOOKUP(A19,Enforcements!$C$7:$K$9,8,0)</f>
        <v>Bulletin (2)</v>
      </c>
      <c r="AC19" s="51" t="str">
        <f>VLOOKUP(A19,Enforcements!$C$7:$E$9,3,0)</f>
        <v>GRADE CROSSING</v>
      </c>
      <c r="AD19" s="179">
        <f t="shared" si="8"/>
        <v>106</v>
      </c>
      <c r="AE19" s="77" t="str">
        <f t="shared" si="9"/>
        <v>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 &amp; 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</v>
      </c>
      <c r="AF19" s="74" t="str">
        <f t="shared" si="10"/>
        <v>"C:\Program Files (x86)\AstroGrep\AstroGrep.exe" /e /r /s /spath="%USERPROFILE%\AppData\Local\Temp\OnboardLogs" /stypes="app*4059*20171110*" /stext=" 12:.+((SYSTEM_STATE.+slice.+state.+changed )|(ment ac)|(multiple cpu faults)|(system.+state.+changed )|(\[timeout)|(PRM\|1\|D)|(kpr)|(kdp)|(train st.+moving)|(\|lc)|(penalty))"</v>
      </c>
      <c r="AG19" s="182" t="str">
        <f t="shared" si="11"/>
        <v>EC</v>
      </c>
      <c r="AH19" s="78" t="str">
        <f t="shared" si="18"/>
        <v>"%USERPROFILE%\Documents\GitHub\eaglep3\Utilities\RefineRTDCRunTimes.py" --tripid 106-10 --locoid 4059 --swversion DE.1.0.9.0 --startMP 204:232991 --initTime 2017-11-10T05:01:51 --startdatetime 2017-11-10T05:12:27 --delay 49 --endMP 204:223 --enddatetime 2017-11-10T05:50:59 --enforcementcount 1 &gt;&gt;%USERPROFILE%\Documents\GitHub\eaglep3-reporting\EC\2017-11-10-refined-times.txt</v>
      </c>
      <c r="AI19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{"issue":{"subject":"","project_id":79,"tracker_id":40,"status_id":1,"priority_id":2,"assigned_to_id":338,"start_date":"2017-11-10","description":"","custom_fields":[{"id":1,"name":"Subdivision","value":"EC"},{"id":4,"name":"Milepost","value":"0.0223"},{"id":17,"name":"Train ID","value":"106-10"},{"id":16,"name":"Locomotive ID","value":"4059"},{"id":130,"name":"Impact","value":""},{"id":150,"name":"Time of Event (Mountain Time)","value":"05:50:59"},{"id":151,"name":"Denver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4059 --day 2017-11-10</v>
      </c>
      <c r="AN19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12:50:59"},{"id":29,"name":"Sharepoint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2"/>
        <v>https://d0f6bd738d7f1b3e5a7ca70fe4ff75f0.us-east-1.aws.found.io/app/kibana#/discover/Steve-Slow-Train-Analysis-(2080s-and-2083s)?_g=(refreshInterval:(display:Off,pause:!f,section:0,value:0),time:(from:'2017-11-10T04:01:51-0700',mode:absolute,to:'2017-11-10T06:50:59-0700'))&amp;_a=(columns:!('Message%20ID',Summary),filters:!(),index:'emp_*',interval:auto,query:(query_string:(analyze_wildcard:!t,query:'%22rtdc.l.rtdc.4059%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687</v>
      </c>
      <c r="B20" s="7">
        <v>4015</v>
      </c>
      <c r="C20" s="21" t="s">
        <v>192</v>
      </c>
      <c r="D20" s="21" t="s">
        <v>893</v>
      </c>
      <c r="E20" s="13">
        <v>43049.229710648149</v>
      </c>
      <c r="F20" s="13">
        <v>43049.231134259258</v>
      </c>
      <c r="G20" s="7">
        <v>56</v>
      </c>
      <c r="H20" s="21" t="s">
        <v>609</v>
      </c>
      <c r="I20" s="13">
        <v>43049.256319444445</v>
      </c>
      <c r="J20" s="7">
        <v>1</v>
      </c>
      <c r="K20" s="89" t="str">
        <f t="shared" si="0"/>
        <v>4015/4016</v>
      </c>
      <c r="L20" s="185" t="str">
        <f>VLOOKUP(A20,'Trips&amp;Operators'!$C$1:$G$99911,5,FALSE)</f>
        <v>GEBRETEKLE DAGNEW</v>
      </c>
      <c r="M20" s="6">
        <f t="shared" si="1"/>
        <v>2.5185185186273884E-2</v>
      </c>
      <c r="N20" s="7">
        <f t="shared" si="23"/>
        <v>36.266666668234393</v>
      </c>
      <c r="O20" s="7"/>
      <c r="P20" s="7"/>
      <c r="Q20" s="22"/>
      <c r="R20" s="174"/>
      <c r="S20" s="221">
        <f t="shared" si="17"/>
        <v>1</v>
      </c>
      <c r="T20" s="174" t="str">
        <f t="shared" si="2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3"/>
        <v>https://d0f6bd738d7f1b3e5a7ca70fe4ff75f0.us-east-1.aws.found.io/app/kibana#/discover/Steve-Slow-Train-Analysis-(2080s-and-2083s)?_g=(refreshInterval:(display:Off,pause:!f,section:0,value:0),time:(from:'2017-11-10T04:30:47-0700',mode:absolute,to:'2017-11-10T07:09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204" t="str">
        <f>IF(AA20&lt;VLOOKUP(AG20,Variables!$AC$3:$AD$8,2,FALSE),"Y","N")</f>
        <v>N</v>
      </c>
      <c r="X20" s="204">
        <f t="shared" si="4"/>
        <v>2</v>
      </c>
      <c r="Y20" s="204">
        <f t="shared" si="5"/>
        <v>23.262699999999999</v>
      </c>
      <c r="Z20" s="204">
        <f t="shared" si="6"/>
        <v>2.4500000000000001E-2</v>
      </c>
      <c r="AA20" s="204">
        <f t="shared" si="7"/>
        <v>23.238199999999999</v>
      </c>
      <c r="AB20" s="54" t="e">
        <f>VLOOKUP(A20,Enforcements!$C$7:$K$9,8,0)</f>
        <v>#N/A</v>
      </c>
      <c r="AC20" s="51" t="e">
        <f>VLOOKUP(A20,Enforcements!$C$7:$E$9,3,0)</f>
        <v>#N/A</v>
      </c>
      <c r="AD20" s="179">
        <f t="shared" si="8"/>
        <v>108</v>
      </c>
      <c r="AE20" s="77" t="str">
        <f t="shared" si="9"/>
        <v>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 &amp; 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</v>
      </c>
      <c r="AF20" s="74" t="str">
        <f t="shared" si="10"/>
        <v>"C:\Program Files (x86)\AstroGrep\AstroGrep.exe" /e /r /s /spath="%USERPROFILE%\AppData\Local\Temp\OnboardLogs" /stypes="app*4015*20171110*" /stext=" 13:.+((SYSTEM_STATE.+slice.+state.+changed )|(ment ac)|(multiple cpu faults)|(system.+state.+changed )|(\[timeout)|(PRM\|1\|D)|(kpr)|(kdp)|(train st.+moving)|(\|lc)|(penalty))"</v>
      </c>
      <c r="AG20" s="182" t="str">
        <f t="shared" si="11"/>
        <v>EC</v>
      </c>
      <c r="AH20" s="78" t="str">
        <f t="shared" si="18"/>
        <v>"%USERPROFILE%\Documents\GitHub\eaglep3\Utilities\RefineRTDCRunTimes.py" --tripid 108-10 --locoid 4015 --swversion DE.1.0.9.0 --startMP 204:232627 --initTime 2017-11-10T05:30:47 --startdatetime 2017-11-10T05:32:50 --delay 56 --endMP 204:245 --enddatetime 2017-11-10T06:09:06 --enforcementcount 1 &gt;&gt;%USERPROFILE%\Documents\GitHub\eaglep3-reporting\EC\2017-11-10-refined-times.txt</v>
      </c>
      <c r="AI20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{"issue":{"subject":"","project_id":79,"tracker_id":40,"status_id":1,"priority_id":2,"assigned_to_id":338,"start_date":"2017-11-10","description":"","custom_fields":[{"id":1,"name":"Subdivision","value":"EC"},{"id":4,"name":"Milepost","value":"0.0245"},{"id":17,"name":"Train ID","value":"108-10"},{"id":16,"name":"Locomotive ID","value":"4015"},{"id":130,"name":"Impact","value":""},{"id":150,"name":"Time of Event (Mountain Time)","value":"06:09:06"},{"id":151,"name":"Denver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4015 --day 2017-11-10</v>
      </c>
      <c r="AN20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13:09:06"},{"id":29,"name":"Sharepoint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2"/>
        <v>https://d0f6bd738d7f1b3e5a7ca70fe4ff75f0.us-east-1.aws.found.io/app/kibana#/discover/Steve-Slow-Train-Analysis-(2080s-and-2083s)?_g=(refreshInterval:(display:Off,pause:!f,section:0,value:0),time:(from:'2017-11-10T04:30:47-0700',mode:absolute,to:'2017-11-10T07:09:06-0700'))&amp;_a=(columns:!('Message%20ID',Summary),filters:!(),index:'emp_*',interval:auto,query:(query_string:(analyze_wildcard:!t,query:'%22rtdc.l.rtdc.4015%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675</v>
      </c>
      <c r="B21" s="7">
        <v>4028</v>
      </c>
      <c r="C21" s="21" t="s">
        <v>192</v>
      </c>
      <c r="D21" s="21" t="s">
        <v>894</v>
      </c>
      <c r="E21" s="13">
        <v>43049.193055555559</v>
      </c>
      <c r="F21" s="13">
        <v>43049.198113425926</v>
      </c>
      <c r="G21" s="7">
        <v>261</v>
      </c>
      <c r="H21" s="21" t="s">
        <v>895</v>
      </c>
      <c r="I21" s="13">
        <v>43049.222395833334</v>
      </c>
      <c r="J21" s="7">
        <v>1</v>
      </c>
      <c r="K21" s="89" t="str">
        <f t="shared" si="0"/>
        <v>4027/4028</v>
      </c>
      <c r="L21" s="185" t="str">
        <f>VLOOKUP(A21,'Trips&amp;Operators'!$C$1:$G$99911,5,FALSE)</f>
        <v>BIRENBAUM THOMAS</v>
      </c>
      <c r="M21" s="6">
        <f t="shared" si="1"/>
        <v>2.4282407408463769E-2</v>
      </c>
      <c r="N21" s="7">
        <f t="shared" si="23"/>
        <v>34.966666668187827</v>
      </c>
      <c r="O21" s="7"/>
      <c r="P21" s="7"/>
      <c r="Q21" s="22"/>
      <c r="R21" s="174"/>
      <c r="S21" s="221">
        <f t="shared" si="17"/>
        <v>1</v>
      </c>
      <c r="T21" s="174" t="str">
        <f t="shared" si="2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3"/>
        <v>https://d0f6bd738d7f1b3e5a7ca70fe4ff75f0.us-east-1.aws.found.io/app/kibana#/discover/Steve-Slow-Train-Analysis-(2080s-and-2083s)?_g=(refreshInterval:(display:Off,pause:!f,section:0,value:0),time:(from:'2017-11-10T03:38:00-0700',mode:absolute,to:'2017-11-10T06:20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" s="204" t="str">
        <f>IF(AA21&lt;VLOOKUP(AG21,Variables!$AC$3:$AD$8,2,FALSE),"Y","N")</f>
        <v>N</v>
      </c>
      <c r="X21" s="204">
        <f t="shared" si="4"/>
        <v>1</v>
      </c>
      <c r="Y21" s="204">
        <f t="shared" si="5"/>
        <v>8.3000000000000004E-2</v>
      </c>
      <c r="Z21" s="204">
        <f t="shared" si="6"/>
        <v>23.3247</v>
      </c>
      <c r="AA21" s="204">
        <f t="shared" si="7"/>
        <v>23.241700000000002</v>
      </c>
      <c r="AB21" s="54" t="e">
        <f>VLOOKUP(A21,Enforcements!$C$7:$K$9,8,0)</f>
        <v>#N/A</v>
      </c>
      <c r="AC21" s="51" t="e">
        <f>VLOOKUP(A21,Enforcements!$C$7:$E$9,3,0)</f>
        <v>#N/A</v>
      </c>
      <c r="AD21" s="179">
        <f t="shared" si="8"/>
        <v>109</v>
      </c>
      <c r="AE21" s="77" t="str">
        <f t="shared" si="9"/>
        <v>aws s3 cp s3://rtdc.mdm.uploadarchive.raw/RTDC4028/ "%USERPROFILE%\AppData\Local\Temp\OnboardLogs"\RTDC4028\2017-11-10 --exclude "*" --recursive --include "*20171110*" &amp; "%USERPROFILE%\Documents\GitHub\mrs-test-scripts\Headless Mode &amp; Sideloading\WalkAndUnGZ.bat" "%USERPROFILE%\AppData\Local\Temp\OnboardLogs"\RTDC4028\2017-11-10 &amp; aws s3 cp s3://rtdc.mdm.uploadarchive.raw/RTDC4028/ "%USERPROFILE%\AppData\Local\Temp\OnboardLogs"\RTDC4028\2017-11-11 --exclude "*" --recursive --include "*20171111*" &amp; "%USERPROFILE%\Documents\GitHub\mrs-test-scripts\Headless Mode &amp; Sideloading\WalkAndUnGZ.bat" "%USERPROFILE%\AppData\Local\Temp\OnboardLogs"\RTDC4028\2017-11-11</v>
      </c>
      <c r="AF21" s="74" t="str">
        <f t="shared" si="10"/>
        <v>"C:\Program Files (x86)\AstroGrep\AstroGrep.exe" /e /r /s /spath="%USERPROFILE%\AppData\Local\Temp\OnboardLogs" /stypes="app*4028*20171110*" /stext=" 12:.+((SYSTEM_STATE.+slice.+state.+changed )|(ment ac)|(multiple cpu faults)|(system.+state.+changed )|(\[timeout)|(PRM\|1\|D)|(kpr)|(kdp)|(train st.+moving)|(\|lc)|(penalty))"</v>
      </c>
      <c r="AG21" s="182" t="str">
        <f t="shared" si="11"/>
        <v>EC</v>
      </c>
      <c r="AH21" s="78" t="str">
        <f t="shared" si="18"/>
        <v>"%USERPROFILE%\Documents\GitHub\eaglep3\Utilities\RefineRTDCRunTimes.py" --tripid 109-10 --locoid 4028 --swversion DE.1.0.9.0 --startMP 204:830 --initTime 2017-11-10T04:38:00 --startdatetime 2017-11-10T04:45:17 --delay 261 --endMP 204:233247 --enddatetime 2017-11-10T05:20:15 --enforcementcount 1 &gt;&gt;%USERPROFILE%\Documents\GitHub\eaglep3-reporting\EC\2017-11-10-refined-times.txt</v>
      </c>
      <c r="AI21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{"issue":{"subject":"","project_id":79,"tracker_id":40,"status_id":1,"priority_id":2,"assigned_to_id":338,"start_date":"2017-11-10","description":"","custom_fields":[{"id":1,"name":"Subdivision","value":"EC"},{"id":4,"name":"Milepost","value":"23.3247"},{"id":17,"name":"Train ID","value":"109-10"},{"id":16,"name":"Locomotive ID","value":"4028"},{"id":130,"name":"Impact","value":""},{"id":150,"name":"Time of Event (Mountain Time)","value":"05:20:15"},{"id":151,"name":"Denver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4028 --day 2017-11-10</v>
      </c>
      <c r="AN21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12:20:15"},{"id":29,"name":"Sharepoint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2"/>
        <v>https://d0f6bd738d7f1b3e5a7ca70fe4ff75f0.us-east-1.aws.found.io/app/kibana#/discover/Steve-Slow-Train-Analysis-(2080s-and-2083s)?_g=(refreshInterval:(display:Off,pause:!f,section:0,value:0),time:(from:'2017-11-10T03:38:00-0700',mode:absolute,to:'2017-11-10T06:20:15-0700'))&amp;_a=(columns:!('Message%20ID',Summary),filters:!(),index:'emp_*',interval:auto,query:(query_string:(analyze_wildcard:!t,query:'%22rtdc.l.rtdc.4028%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691</v>
      </c>
      <c r="B22" s="7">
        <v>4027</v>
      </c>
      <c r="C22" s="21" t="s">
        <v>192</v>
      </c>
      <c r="D22" s="21" t="s">
        <v>593</v>
      </c>
      <c r="E22" s="13">
        <v>43049.231145833335</v>
      </c>
      <c r="F22" s="13">
        <v>43049.237673611111</v>
      </c>
      <c r="G22" s="7">
        <v>71</v>
      </c>
      <c r="H22" s="21" t="s">
        <v>603</v>
      </c>
      <c r="I22" s="13">
        <v>43049.264421296299</v>
      </c>
      <c r="J22" s="7">
        <v>1</v>
      </c>
      <c r="K22" s="89" t="str">
        <f t="shared" si="0"/>
        <v>4027/4028</v>
      </c>
      <c r="L22" s="185" t="str">
        <f>VLOOKUP(A22,'Trips&amp;Operators'!$C$1:$G$99911,5,FALSE)</f>
        <v>BIRENBAUM THOMAS</v>
      </c>
      <c r="M22" s="6">
        <f t="shared" si="1"/>
        <v>2.6747685187729076E-2</v>
      </c>
      <c r="N22" s="7">
        <f t="shared" si="23"/>
        <v>38.516666670329869</v>
      </c>
      <c r="O22" s="7"/>
      <c r="P22" s="7"/>
      <c r="Q22" s="22"/>
      <c r="R22" s="174"/>
      <c r="S22" s="221">
        <f t="shared" si="17"/>
        <v>1</v>
      </c>
      <c r="T22" s="174" t="str">
        <f t="shared" si="2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3"/>
        <v>https://d0f6bd738d7f1b3e5a7ca70fe4ff75f0.us-east-1.aws.found.io/app/kibana#/discover/Steve-Slow-Train-Analysis-(2080s-and-2083s)?_g=(refreshInterval:(display:Off,pause:!f,section:0,value:0),time:(from:'2017-11-10T04:32:51-0700',mode:absolute,to:'2017-11-10T07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" s="204" t="str">
        <f>IF(AA22&lt;VLOOKUP(AG22,Variables!$AC$3:$AD$8,2,FALSE),"Y","N")</f>
        <v>N</v>
      </c>
      <c r="X22" s="204">
        <f t="shared" si="4"/>
        <v>1</v>
      </c>
      <c r="Y22" s="204">
        <f t="shared" si="5"/>
        <v>23.2959</v>
      </c>
      <c r="Z22" s="204">
        <f t="shared" si="6"/>
        <v>2.23E-2</v>
      </c>
      <c r="AA22" s="204">
        <f t="shared" si="7"/>
        <v>23.273599999999998</v>
      </c>
      <c r="AB22" s="54" t="e">
        <f>VLOOKUP(A22,Enforcements!$C$7:$K$9,8,0)</f>
        <v>#N/A</v>
      </c>
      <c r="AC22" s="51" t="e">
        <f>VLOOKUP(A22,Enforcements!$C$7:$E$9,3,0)</f>
        <v>#N/A</v>
      </c>
      <c r="AD22" s="179">
        <f t="shared" si="8"/>
        <v>110</v>
      </c>
      <c r="AE22" s="77" t="str">
        <f t="shared" si="9"/>
        <v>aws s3 cp s3://rtdc.mdm.uploadarchive.raw/RTDC4027/ "%USERPROFILE%\AppData\Local\Temp\OnboardLogs"\RTDC4027\2017-11-10 --exclude "*" --recursive --include "*20171110*" &amp; "%USERPROFILE%\Documents\GitHub\mrs-test-scripts\Headless Mode &amp; Sideloading\WalkAndUnGZ.bat" "%USERPROFILE%\AppData\Local\Temp\OnboardLogs"\RTDC4027\2017-11-10 &amp; aws s3 cp s3://rtdc.mdm.uploadarchive.raw/RTDC4027/ "%USERPROFILE%\AppData\Local\Temp\OnboardLogs"\RTDC4027\2017-11-11 --exclude "*" --recursive --include "*20171111*" &amp; "%USERPROFILE%\Documents\GitHub\mrs-test-scripts\Headless Mode &amp; Sideloading\WalkAndUnGZ.bat" "%USERPROFILE%\AppData\Local\Temp\OnboardLogs"\RTDC4027\2017-11-11</v>
      </c>
      <c r="AF22" s="74" t="str">
        <f t="shared" si="10"/>
        <v>"C:\Program Files (x86)\AstroGrep\AstroGrep.exe" /e /r /s /spath="%USERPROFILE%\AppData\Local\Temp\OnboardLogs" /stypes="app*4027*20171110*" /stext=" 13:.+((SYSTEM_STATE.+slice.+state.+changed )|(ment ac)|(multiple cpu faults)|(system.+state.+changed )|(\[timeout)|(PRM\|1\|D)|(kpr)|(kdp)|(train st.+moving)|(\|lc)|(penalty))"</v>
      </c>
      <c r="AG22" s="182" t="str">
        <f t="shared" si="11"/>
        <v>EC</v>
      </c>
      <c r="AH22" s="78" t="str">
        <f t="shared" si="18"/>
        <v>"%USERPROFILE%\Documents\GitHub\eaglep3\Utilities\RefineRTDCRunTimes.py" --tripid 110-10 --locoid 4027 --swversion DE.1.0.9.0 --startMP 204:232959 --initTime 2017-11-10T05:32:51 --startdatetime 2017-11-10T05:42:15 --delay 71 --endMP 204:223 --enddatetime 2017-11-10T06:20:46 --enforcementcount 1 &gt;&gt;%USERPROFILE%\Documents\GitHub\eaglep3-reporting\EC\2017-11-10-refined-times.txt</v>
      </c>
      <c r="AI22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{"issue":{"subject":"","project_id":79,"tracker_id":40,"status_id":1,"priority_id":2,"assigned_to_id":338,"start_date":"2017-11-10","description":"","custom_fields":[{"id":1,"name":"Subdivision","value":"EC"},{"id":4,"name":"Milepost","value":"0.0223"},{"id":17,"name":"Train ID","value":"110-10"},{"id":16,"name":"Locomotive ID","value":"4027"},{"id":130,"name":"Impact","value":""},{"id":150,"name":"Time of Event (Mountain Time)","value":"06:20:46"},{"id":151,"name":"Denver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4027 --day 2017-11-10</v>
      </c>
      <c r="AN22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13:20:46"},{"id":29,"name":"Sharepoint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2"/>
        <v>https://d0f6bd738d7f1b3e5a7ca70fe4ff75f0.us-east-1.aws.found.io/app/kibana#/discover/Steve-Slow-Train-Analysis-(2080s-and-2083s)?_g=(refreshInterval:(display:Off,pause:!f,section:0,value:0),time:(from:'2017-11-10T04:32:51-0700',mode:absolute,to:'2017-11-10T07:20:46-0700'))&amp;_a=(columns:!('Message%20ID',Summary),filters:!(),index:'emp_*',interval:auto,query:(query_string:(analyze_wildcard:!t,query:'%22rtdc.l.rtdc.4027%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678</v>
      </c>
      <c r="B23" s="7">
        <v>4050</v>
      </c>
      <c r="C23" s="21" t="s">
        <v>192</v>
      </c>
      <c r="D23" s="21" t="s">
        <v>896</v>
      </c>
      <c r="E23" s="13">
        <v>43049.202928240738</v>
      </c>
      <c r="F23" s="13">
        <v>43049.208935185183</v>
      </c>
      <c r="G23" s="7">
        <v>47</v>
      </c>
      <c r="H23" s="21" t="s">
        <v>486</v>
      </c>
      <c r="I23" s="13">
        <v>43049.232777777775</v>
      </c>
      <c r="J23" s="7">
        <v>1</v>
      </c>
      <c r="K23" s="89" t="str">
        <f t="shared" si="0"/>
        <v>4049/4050</v>
      </c>
      <c r="L23" s="185" t="str">
        <f>VLOOKUP(A23,'Trips&amp;Operators'!$C$1:$G$99911,5,FALSE)</f>
        <v>YORK EDGAR</v>
      </c>
      <c r="M23" s="6">
        <f t="shared" si="1"/>
        <v>2.3842592592700385E-2</v>
      </c>
      <c r="N23" s="7">
        <f t="shared" si="23"/>
        <v>34.333333333488554</v>
      </c>
      <c r="O23" s="7"/>
      <c r="P23" s="7"/>
      <c r="Q23" s="22"/>
      <c r="R23" s="174"/>
      <c r="S23" s="221">
        <f t="shared" si="17"/>
        <v>1</v>
      </c>
      <c r="T23" s="174" t="str">
        <f t="shared" si="2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3"/>
        <v>https://d0f6bd738d7f1b3e5a7ca70fe4ff75f0.us-east-1.aws.found.io/app/kibana#/discover/Steve-Slow-Train-Analysis-(2080s-and-2083s)?_g=(refreshInterval:(display:Off,pause:!f,section:0,value:0),time:(from:'2017-11-10T03:52:13-0700',mode:absolute,to:'2017-11-10T06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" s="204" t="str">
        <f>IF(AA23&lt;VLOOKUP(AG23,Variables!$AC$3:$AD$8,2,FALSE),"Y","N")</f>
        <v>N</v>
      </c>
      <c r="X23" s="204">
        <f t="shared" si="4"/>
        <v>1</v>
      </c>
      <c r="Y23" s="204">
        <f t="shared" si="5"/>
        <v>4.5499999999999999E-2</v>
      </c>
      <c r="Z23" s="204">
        <f t="shared" si="6"/>
        <v>23.3293</v>
      </c>
      <c r="AA23" s="204">
        <f t="shared" si="7"/>
        <v>23.283799999999999</v>
      </c>
      <c r="AB23" s="54" t="e">
        <f>VLOOKUP(A23,Enforcements!$C$7:$K$9,8,0)</f>
        <v>#N/A</v>
      </c>
      <c r="AC23" s="51" t="e">
        <f>VLOOKUP(A23,Enforcements!$C$7:$E$9,3,0)</f>
        <v>#N/A</v>
      </c>
      <c r="AD23" s="179">
        <f t="shared" si="8"/>
        <v>111</v>
      </c>
      <c r="AE23" s="77" t="str">
        <f t="shared" si="9"/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AF23" s="74" t="str">
        <f t="shared" si="10"/>
        <v>"C:\Program Files (x86)\AstroGrep\AstroGrep.exe" /e /r /s /spath="%USERPROFILE%\AppData\Local\Temp\OnboardLogs" /stypes="app*4050*20171110*" /stext=" 12:.+((SYSTEM_STATE.+slice.+state.+changed )|(ment ac)|(multiple cpu faults)|(system.+state.+changed )|(\[timeout)|(PRM\|1\|D)|(kpr)|(kdp)|(train st.+moving)|(\|lc)|(penalty))"</v>
      </c>
      <c r="AG23" s="182" t="str">
        <f t="shared" si="11"/>
        <v>EC</v>
      </c>
      <c r="AH23" s="78" t="str">
        <f t="shared" si="18"/>
        <v>"%USERPROFILE%\Documents\GitHub\eaglep3\Utilities\RefineRTDCRunTimes.py" --tripid 111-10 --locoid 4050 --swversion DE.1.0.9.0 --startMP 204:455 --initTime 2017-11-10T04:52:13 --startdatetime 2017-11-10T05:00:52 --delay 47 --endMP 204:233293 --enddatetime 2017-11-10T05:35:12 --enforcementcount 1 &gt;&gt;%USERPROFILE%\Documents\GitHub\eaglep3-reporting\EC\2017-11-10-refined-times.txt</v>
      </c>
      <c r="AI23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{"issue":{"subject":"","project_id":79,"tracker_id":40,"status_id":1,"priority_id":2,"assigned_to_id":338,"start_date":"2017-11-10","description":"","custom_fields":[{"id":1,"name":"Subdivision","value":"EC"},{"id":4,"name":"Milepost","value":"23.3293"},{"id":17,"name":"Train ID","value":"111-10"},{"id":16,"name":"Locomotive ID","value":"4050"},{"id":130,"name":"Impact","value":""},{"id":150,"name":"Time of Event (Mountain Time)","value":"05:35:12"},{"id":151,"name":"Denver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4050 --day 2017-11-10</v>
      </c>
      <c r="AN23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12:35:12"},{"id":29,"name":"Sharepoint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2"/>
        <v>https://d0f6bd738d7f1b3e5a7ca70fe4ff75f0.us-east-1.aws.found.io/app/kibana#/discover/Steve-Slow-Train-Analysis-(2080s-and-2083s)?_g=(refreshInterval:(display:Off,pause:!f,section:0,value:0),time:(from:'2017-11-10T03:52:13-0700',mode:absolute,to:'2017-11-10T06:35:12-0700'))&amp;_a=(columns:!('Message%20ID',Summary),filters:!(),index:'emp_*',interval:auto,query:(query_string:(analyze_wildcard:!t,query:'%22rtdc.l.rtdc.4050%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693</v>
      </c>
      <c r="B24" s="7">
        <v>4049</v>
      </c>
      <c r="C24" s="21" t="s">
        <v>192</v>
      </c>
      <c r="D24" s="21" t="s">
        <v>897</v>
      </c>
      <c r="E24" s="13">
        <v>43049.234155092592</v>
      </c>
      <c r="F24" s="13">
        <v>43049.248182870368</v>
      </c>
      <c r="G24" s="7">
        <v>46</v>
      </c>
      <c r="H24" s="21" t="s">
        <v>898</v>
      </c>
      <c r="I24" s="13">
        <v>43049.273298611108</v>
      </c>
      <c r="J24" s="7">
        <v>1</v>
      </c>
      <c r="K24" s="89" t="str">
        <f t="shared" si="0"/>
        <v>4049/4050</v>
      </c>
      <c r="L24" s="185" t="str">
        <f>VLOOKUP(A24,'Trips&amp;Operators'!$C$1:$G$99911,5,FALSE)</f>
        <v>YORK EDGAR</v>
      </c>
      <c r="M24" s="6">
        <f t="shared" si="1"/>
        <v>2.5115740740147885E-2</v>
      </c>
      <c r="N24" s="7">
        <f t="shared" si="23"/>
        <v>36.166666665812954</v>
      </c>
      <c r="O24" s="7"/>
      <c r="P24" s="7"/>
      <c r="Q24" s="22"/>
      <c r="R24" s="174"/>
      <c r="S24" s="221">
        <f t="shared" si="17"/>
        <v>1</v>
      </c>
      <c r="T24" s="174" t="str">
        <f t="shared" si="2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3"/>
        <v>https://d0f6bd738d7f1b3e5a7ca70fe4ff75f0.us-east-1.aws.found.io/app/kibana#/discover/Steve-Slow-Train-Analysis-(2080s-and-2083s)?_g=(refreshInterval:(display:Off,pause:!f,section:0,value:0),time:(from:'2017-11-10T04:37:11-0700',mode:absolute,to:'2017-11-10T07:33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" s="204" t="str">
        <f>IF(AA24&lt;VLOOKUP(AG24,Variables!$AC$3:$AD$8,2,FALSE),"Y","N")</f>
        <v>N</v>
      </c>
      <c r="X24" s="204">
        <f t="shared" si="4"/>
        <v>1</v>
      </c>
      <c r="Y24" s="204">
        <f t="shared" si="5"/>
        <v>23.298500000000001</v>
      </c>
      <c r="Z24" s="204">
        <f t="shared" si="6"/>
        <v>1.5599999999999999E-2</v>
      </c>
      <c r="AA24" s="204">
        <f t="shared" si="7"/>
        <v>23.282900000000001</v>
      </c>
      <c r="AB24" s="54" t="e">
        <f>VLOOKUP(A24,Enforcements!$C$7:$K$9,8,0)</f>
        <v>#N/A</v>
      </c>
      <c r="AC24" s="51" t="e">
        <f>VLOOKUP(A24,Enforcements!$C$7:$E$9,3,0)</f>
        <v>#N/A</v>
      </c>
      <c r="AD24" s="179">
        <f t="shared" si="8"/>
        <v>112</v>
      </c>
      <c r="AE24" s="77" t="str">
        <f t="shared" si="9"/>
        <v>aws s3 cp s3://rtdc.mdm.uploadarchive.raw/RTDC4049/ "%USERPROFILE%\AppData\Local\Temp\OnboardLogs"\RTDC4049\2017-11-10 --exclude "*" --recursive --include "*20171110*" &amp; "%USERPROFILE%\Documents\GitHub\mrs-test-scripts\Headless Mode &amp; Sideloading\WalkAndUnGZ.bat" "%USERPROFILE%\AppData\Local\Temp\OnboardLogs"\RTDC4049\2017-11-10 &amp; aws s3 cp s3://rtdc.mdm.uploadarchive.raw/RTDC4049/ "%USERPROFILE%\AppData\Local\Temp\OnboardLogs"\RTDC4049\2017-11-11 --exclude "*" --recursive --include "*20171111*" &amp; "%USERPROFILE%\Documents\GitHub\mrs-test-scripts\Headless Mode &amp; Sideloading\WalkAndUnGZ.bat" "%USERPROFILE%\AppData\Local\Temp\OnboardLogs"\RTDC4049\2017-11-11</v>
      </c>
      <c r="AF24" s="74" t="str">
        <f t="shared" si="10"/>
        <v>"C:\Program Files (x86)\AstroGrep\AstroGrep.exe" /e /r /s /spath="%USERPROFILE%\AppData\Local\Temp\OnboardLogs" /stypes="app*4049*20171110*" /stext=" 13:.+((SYSTEM_STATE.+slice.+state.+changed )|(ment ac)|(multiple cpu faults)|(system.+state.+changed )|(\[timeout)|(PRM\|1\|D)|(kpr)|(kdp)|(train st.+moving)|(\|lc)|(penalty))"</v>
      </c>
      <c r="AG24" s="182" t="str">
        <f t="shared" si="11"/>
        <v>EC</v>
      </c>
      <c r="AH24" s="78" t="str">
        <f t="shared" si="18"/>
        <v>"%USERPROFILE%\Documents\GitHub\eaglep3\Utilities\RefineRTDCRunTimes.py" --tripid 112-10 --locoid 4049 --swversion DE.1.0.9.0 --startMP 204:232985 --initTime 2017-11-10T05:37:11 --startdatetime 2017-11-10T05:57:23 --delay 46 --endMP 204:156 --enddatetime 2017-11-10T06:33:33 --enforcementcount 1 &gt;&gt;%USERPROFILE%\Documents\GitHub\eaglep3-reporting\EC\2017-11-10-refined-times.txt</v>
      </c>
      <c r="AI24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{"issue":{"subject":"","project_id":79,"tracker_id":40,"status_id":1,"priority_id":2,"assigned_to_id":338,"start_date":"2017-11-10","description":"","custom_fields":[{"id":1,"name":"Subdivision","value":"EC"},{"id":4,"name":"Milepost","value":"0.0156"},{"id":17,"name":"Train ID","value":"112-10"},{"id":16,"name":"Locomotive ID","value":"4049"},{"id":130,"name":"Impact","value":""},{"id":150,"name":"Time of Event (Mountain Time)","value":"06:33:33"},{"id":151,"name":"Denver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4049 --day 2017-11-10</v>
      </c>
      <c r="AN24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13:33:33"},{"id":29,"name":"Sharepoint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2"/>
        <v>https://d0f6bd738d7f1b3e5a7ca70fe4ff75f0.us-east-1.aws.found.io/app/kibana#/discover/Steve-Slow-Train-Analysis-(2080s-and-2083s)?_g=(refreshInterval:(display:Off,pause:!f,section:0,value:0),time:(from:'2017-11-10T04:37:11-0700',mode:absolute,to:'2017-11-10T07:33:33-0700'))&amp;_a=(columns:!('Message%20ID',Summary),filters:!(),index:'emp_*',interval:auto,query:(query_string:(analyze_wildcard:!t,query:'%22rtdc.l.rtdc.4049%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681</v>
      </c>
      <c r="B25" s="7">
        <v>4012</v>
      </c>
      <c r="C25" s="21" t="s">
        <v>192</v>
      </c>
      <c r="D25" s="21" t="s">
        <v>899</v>
      </c>
      <c r="E25" s="13">
        <v>43049.214085648149</v>
      </c>
      <c r="F25" s="13">
        <v>43049.219131944446</v>
      </c>
      <c r="G25" s="7">
        <v>65</v>
      </c>
      <c r="H25" s="21" t="s">
        <v>900</v>
      </c>
      <c r="I25" s="13">
        <v>43049.244340277779</v>
      </c>
      <c r="J25" s="7">
        <v>1</v>
      </c>
      <c r="K25" s="89" t="str">
        <f t="shared" si="0"/>
        <v>4011/4012</v>
      </c>
      <c r="L25" s="185" t="str">
        <f>VLOOKUP(A25,'Trips&amp;Operators'!$C$1:$G$99911,5,FALSE)</f>
        <v>MACDONALD THOMAS</v>
      </c>
      <c r="M25" s="6">
        <f t="shared" si="1"/>
        <v>2.5208333332557231E-2</v>
      </c>
      <c r="N25" s="7">
        <f t="shared" si="23"/>
        <v>36.299999998882413</v>
      </c>
      <c r="O25" s="7"/>
      <c r="P25" s="7"/>
      <c r="Q25" s="22"/>
      <c r="R25" s="174"/>
      <c r="S25" s="221">
        <f t="shared" si="17"/>
        <v>1</v>
      </c>
      <c r="T25" s="174" t="str">
        <f t="shared" si="2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3"/>
        <v>https://d0f6bd738d7f1b3e5a7ca70fe4ff75f0.us-east-1.aws.found.io/app/kibana#/discover/Steve-Slow-Train-Analysis-(2080s-and-2083s)?_g=(refreshInterval:(display:Off,pause:!f,section:0,value:0),time:(from:'2017-11-10T04:08:17-0700',mode:absolute,to:'2017-11-10T06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" s="204" t="str">
        <f>IF(AA25&lt;VLOOKUP(AG25,Variables!$AC$3:$AD$8,2,FALSE),"Y","N")</f>
        <v>N</v>
      </c>
      <c r="X25" s="204">
        <f t="shared" si="4"/>
        <v>1</v>
      </c>
      <c r="Y25" s="204">
        <f t="shared" si="5"/>
        <v>6.4600000000000005E-2</v>
      </c>
      <c r="Z25" s="204">
        <f t="shared" si="6"/>
        <v>23.319500000000001</v>
      </c>
      <c r="AA25" s="204">
        <f t="shared" si="7"/>
        <v>23.254900000000003</v>
      </c>
      <c r="AB25" s="54" t="e">
        <f>VLOOKUP(A25,Enforcements!$C$7:$K$9,8,0)</f>
        <v>#N/A</v>
      </c>
      <c r="AC25" s="51" t="e">
        <f>VLOOKUP(A25,Enforcements!$C$7:$E$9,3,0)</f>
        <v>#N/A</v>
      </c>
      <c r="AD25" s="179">
        <f t="shared" si="8"/>
        <v>113</v>
      </c>
      <c r="AE25" s="77" t="str">
        <f t="shared" si="9"/>
        <v>aws s3 cp s3://rtdc.mdm.uploadarchive.raw/RTDC4012/ "%USERPROFILE%\AppData\Local\Temp\OnboardLogs"\RTDC4012\2017-11-10 --exclude "*" --recursive --include "*20171110*" &amp; "%USERPROFILE%\Documents\GitHub\mrs-test-scripts\Headless Mode &amp; Sideloading\WalkAndUnGZ.bat" "%USERPROFILE%\AppData\Local\Temp\OnboardLogs"\RTDC4012\2017-11-10 &amp; aws s3 cp s3://rtdc.mdm.uploadarchive.raw/RTDC4012/ "%USERPROFILE%\AppData\Local\Temp\OnboardLogs"\RTDC4012\2017-11-11 --exclude "*" --recursive --include "*20171111*" &amp; "%USERPROFILE%\Documents\GitHub\mrs-test-scripts\Headless Mode &amp; Sideloading\WalkAndUnGZ.bat" "%USERPROFILE%\AppData\Local\Temp\OnboardLogs"\RTDC4012\2017-11-11</v>
      </c>
      <c r="AF25" s="74" t="str">
        <f t="shared" si="10"/>
        <v>"C:\Program Files (x86)\AstroGrep\AstroGrep.exe" /e /r /s /spath="%USERPROFILE%\AppData\Local\Temp\OnboardLogs" /stypes="app*4012*20171110*" /stext=" 12:.+((SYSTEM_STATE.+slice.+state.+changed )|(ment ac)|(multiple cpu faults)|(system.+state.+changed )|(\[timeout)|(PRM\|1\|D)|(kpr)|(kdp)|(train st.+moving)|(\|lc)|(penalty))"</v>
      </c>
      <c r="AG25" s="182" t="str">
        <f t="shared" si="11"/>
        <v>EC</v>
      </c>
      <c r="AH25" s="78" t="str">
        <f t="shared" si="18"/>
        <v>"%USERPROFILE%\Documents\GitHub\eaglep3\Utilities\RefineRTDCRunTimes.py" --tripid 113-10 --locoid 4012 --swversion DE.1.0.9.0 --startMP 204:646 --initTime 2017-11-10T05:08:17 --startdatetime 2017-11-10T05:15:33 --delay 65 --endMP 204:233195 --enddatetime 2017-11-10T05:51:51 --enforcementcount 1 &gt;&gt;%USERPROFILE%\Documents\GitHub\eaglep3-reporting\EC\2017-11-10-refined-times.txt</v>
      </c>
      <c r="AI25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{"issue":{"subject":"","project_id":79,"tracker_id":40,"status_id":1,"priority_id":2,"assigned_to_id":338,"start_date":"2017-11-10","description":"","custom_fields":[{"id":1,"name":"Subdivision","value":"EC"},{"id":4,"name":"Milepost","value":"23.3195"},{"id":17,"name":"Train ID","value":"113-10"},{"id":16,"name":"Locomotive ID","value":"4012"},{"id":130,"name":"Impact","value":""},{"id":150,"name":"Time of Event (Mountain Time)","value":"05:51:51"},{"id":151,"name":"Denver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4012 --day 2017-11-10</v>
      </c>
      <c r="AN25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12:51:51"},{"id":29,"name":"Sharepoint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2"/>
        <v>https://d0f6bd738d7f1b3e5a7ca70fe4ff75f0.us-east-1.aws.found.io/app/kibana#/discover/Steve-Slow-Train-Analysis-(2080s-and-2083s)?_g=(refreshInterval:(display:Off,pause:!f,section:0,value:0),time:(from:'2017-11-10T04:08:17-0700',mode:absolute,to:'2017-11-10T06:51:51-0700'))&amp;_a=(columns:!('Message%20ID',Summary),filters:!(),index:'emp_*',interval:auto,query:(query_string:(analyze_wildcard:!t,query:'%22rtdc.l.rtdc.4012%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695</v>
      </c>
      <c r="B26" s="7">
        <v>4011</v>
      </c>
      <c r="C26" s="21" t="s">
        <v>192</v>
      </c>
      <c r="D26" s="21" t="s">
        <v>901</v>
      </c>
      <c r="E26" s="13">
        <v>43049.247060185182</v>
      </c>
      <c r="F26" s="13">
        <v>43049.258692129632</v>
      </c>
      <c r="G26" s="7">
        <v>889</v>
      </c>
      <c r="H26" s="21" t="s">
        <v>605</v>
      </c>
      <c r="I26" s="13">
        <v>43049.285370370373</v>
      </c>
      <c r="J26" s="7">
        <v>1</v>
      </c>
      <c r="K26" s="89" t="str">
        <f t="shared" si="0"/>
        <v>4011/4012</v>
      </c>
      <c r="L26" s="185" t="str">
        <f>VLOOKUP(A26,'Trips&amp;Operators'!$C$1:$G$99911,5,FALSE)</f>
        <v>MACDONALD THOMAS</v>
      </c>
      <c r="M26" s="6">
        <f t="shared" si="1"/>
        <v>2.6678240741603076E-2</v>
      </c>
      <c r="N26" s="7">
        <f t="shared" si="23"/>
        <v>38.41666666790843</v>
      </c>
      <c r="O26" s="7"/>
      <c r="P26" s="7"/>
      <c r="Q26" s="22"/>
      <c r="R26" s="174"/>
      <c r="S26" s="221">
        <f t="shared" si="17"/>
        <v>1</v>
      </c>
      <c r="T26" s="174" t="str">
        <f t="shared" si="2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3"/>
        <v>https://d0f6bd738d7f1b3e5a7ca70fe4ff75f0.us-east-1.aws.found.io/app/kibana#/discover/Steve-Slow-Train-Analysis-(2080s-and-2083s)?_g=(refreshInterval:(display:Off,pause:!f,section:0,value:0),time:(from:'2017-11-10T04:55:46-0700',mode:absolute,to:'2017-11-10T07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204" t="str">
        <f>IF(AA26&lt;VLOOKUP(AG26,Variables!$AC$3:$AD$8,2,FALSE),"Y","N")</f>
        <v>N</v>
      </c>
      <c r="X26" s="204">
        <f t="shared" si="4"/>
        <v>1</v>
      </c>
      <c r="Y26" s="204">
        <f t="shared" si="5"/>
        <v>23.2882</v>
      </c>
      <c r="Z26" s="204">
        <f t="shared" si="6"/>
        <v>1.8100000000000002E-2</v>
      </c>
      <c r="AA26" s="204">
        <f t="shared" si="7"/>
        <v>23.270099999999999</v>
      </c>
      <c r="AB26" s="54" t="e">
        <f>VLOOKUP(A26,Enforcements!$C$7:$K$9,8,0)</f>
        <v>#N/A</v>
      </c>
      <c r="AC26" s="51" t="e">
        <f>VLOOKUP(A26,Enforcements!$C$7:$E$9,3,0)</f>
        <v>#N/A</v>
      </c>
      <c r="AD26" s="179">
        <f t="shared" si="8"/>
        <v>114</v>
      </c>
      <c r="AE26" s="77" t="str">
        <f t="shared" si="9"/>
        <v>aws s3 cp s3://rtdc.mdm.uploadarchive.raw/RTDC4011/ "%USERPROFILE%\AppData\Local\Temp\OnboardLogs"\RTDC4011\2017-11-10 --exclude "*" --recursive --include "*20171110*" &amp; "%USERPROFILE%\Documents\GitHub\mrs-test-scripts\Headless Mode &amp; Sideloading\WalkAndUnGZ.bat" "%USERPROFILE%\AppData\Local\Temp\OnboardLogs"\RTDC4011\2017-11-10 &amp; aws s3 cp s3://rtdc.mdm.uploadarchive.raw/RTDC4011/ "%USERPROFILE%\AppData\Local\Temp\OnboardLogs"\RTDC4011\2017-11-11 --exclude "*" --recursive --include "*20171111*" &amp; "%USERPROFILE%\Documents\GitHub\mrs-test-scripts\Headless Mode &amp; Sideloading\WalkAndUnGZ.bat" "%USERPROFILE%\AppData\Local\Temp\OnboardLogs"\RTDC4011\2017-11-11</v>
      </c>
      <c r="AF26" s="74" t="str">
        <f t="shared" si="10"/>
        <v>"C:\Program Files (x86)\AstroGrep\AstroGrep.exe" /e /r /s /spath="%USERPROFILE%\AppData\Local\Temp\OnboardLogs" /stypes="app*4011*20171110*" /stext=" 13:.+((SYSTEM_STATE.+slice.+state.+changed )|(ment ac)|(multiple cpu faults)|(system.+state.+changed )|(\[timeout)|(PRM\|1\|D)|(kpr)|(kdp)|(train st.+moving)|(\|lc)|(penalty))"</v>
      </c>
      <c r="AG26" s="182" t="str">
        <f t="shared" si="11"/>
        <v>EC</v>
      </c>
      <c r="AH26" s="78" t="str">
        <f t="shared" si="18"/>
        <v>"%USERPROFILE%\Documents\GitHub\eaglep3\Utilities\RefineRTDCRunTimes.py" --tripid 114-10 --locoid 4011 --swversion DE.1.0.9.0 --startMP 204:232882 --initTime 2017-11-10T05:55:46 --startdatetime 2017-11-10T06:12:31 --delay 889 --endMP 204:181 --enddatetime 2017-11-10T06:50:56 --enforcementcount 1 &gt;&gt;%USERPROFILE%\Documents\GitHub\eaglep3-reporting\EC\2017-11-10-refined-times.txt</v>
      </c>
      <c r="AI26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{"issue":{"subject":"","project_id":79,"tracker_id":40,"status_id":1,"priority_id":2,"assigned_to_id":338,"start_date":"2017-11-10","description":"","custom_fields":[{"id":1,"name":"Subdivision","value":"EC"},{"id":4,"name":"Milepost","value":"0.0181"},{"id":17,"name":"Train ID","value":"114-10"},{"id":16,"name":"Locomotive ID","value":"4011"},{"id":130,"name":"Impact","value":""},{"id":150,"name":"Time of Event (Mountain Time)","value":"06:50:56"},{"id":151,"name":"Denver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4011 --day 2017-11-10</v>
      </c>
      <c r="AN26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13:50:56"},{"id":29,"name":"Sharepoint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2"/>
        <v>https://d0f6bd738d7f1b3e5a7ca70fe4ff75f0.us-east-1.aws.found.io/app/kibana#/discover/Steve-Slow-Train-Analysis-(2080s-and-2083s)?_g=(refreshInterval:(display:Off,pause:!f,section:0,value:0),time:(from:'2017-11-10T04:55:46-0700',mode:absolute,to:'2017-11-10T07:50:56-0700'))&amp;_a=(columns:!('Message%20ID',Summary),filters:!(),index:'emp_*',interval:auto,query:(query_string:(analyze_wildcard:!t,query:'%22rtdc.l.rtdc.4011%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684</v>
      </c>
      <c r="B27" s="7">
        <v>4052</v>
      </c>
      <c r="C27" s="21" t="s">
        <v>192</v>
      </c>
      <c r="D27" s="21" t="s">
        <v>902</v>
      </c>
      <c r="E27" s="13">
        <v>43049.226412037038</v>
      </c>
      <c r="F27" s="13">
        <v>43049.229409722226</v>
      </c>
      <c r="G27" s="7">
        <v>59</v>
      </c>
      <c r="H27" s="21" t="s">
        <v>903</v>
      </c>
      <c r="I27" s="13">
        <v>43049.254849537036</v>
      </c>
      <c r="J27" s="7">
        <v>1</v>
      </c>
      <c r="K27" s="89" t="str">
        <f t="shared" si="0"/>
        <v>4051/4052</v>
      </c>
      <c r="L27" s="185" t="str">
        <f>VLOOKUP(A27,'Trips&amp;Operators'!$C$1:$G$99911,5,FALSE)</f>
        <v>MAELZER KURT</v>
      </c>
      <c r="M27" s="6">
        <f t="shared" si="1"/>
        <v>2.5439814809942618E-2</v>
      </c>
      <c r="N27" s="7">
        <f t="shared" si="23"/>
        <v>36.63333332631737</v>
      </c>
      <c r="O27" s="7"/>
      <c r="P27" s="7"/>
      <c r="Q27" s="22"/>
      <c r="R27" s="174"/>
      <c r="S27" s="221">
        <f t="shared" si="17"/>
        <v>1</v>
      </c>
      <c r="T27" s="174" t="str">
        <f t="shared" si="2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3"/>
        <v>https://d0f6bd738d7f1b3e5a7ca70fe4ff75f0.us-east-1.aws.found.io/app/kibana#/discover/Steve-Slow-Train-Analysis-(2080s-and-2083s)?_g=(refreshInterval:(display:Off,pause:!f,section:0,value:0),time:(from:'2017-11-10T04:26:02-0700',mode:absolute,to:'2017-11-10T07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7" s="204" t="str">
        <f>IF(AA27&lt;VLOOKUP(AG27,Variables!$AC$3:$AD$8,2,FALSE),"Y","N")</f>
        <v>N</v>
      </c>
      <c r="X27" s="204">
        <f t="shared" si="4"/>
        <v>1</v>
      </c>
      <c r="Y27" s="204">
        <f t="shared" si="5"/>
        <v>4.5999999999999999E-2</v>
      </c>
      <c r="Z27" s="204">
        <f t="shared" si="6"/>
        <v>23.330200000000001</v>
      </c>
      <c r="AA27" s="204">
        <f t="shared" si="7"/>
        <v>23.284200000000002</v>
      </c>
      <c r="AB27" s="54" t="e">
        <f>VLOOKUP(A27,Enforcements!$C$7:$K$9,8,0)</f>
        <v>#N/A</v>
      </c>
      <c r="AC27" s="51" t="e">
        <f>VLOOKUP(A27,Enforcements!$C$7:$E$9,3,0)</f>
        <v>#N/A</v>
      </c>
      <c r="AD27" s="179">
        <f t="shared" si="8"/>
        <v>115</v>
      </c>
      <c r="AE27" s="77" t="str">
        <f t="shared" si="9"/>
        <v>aws s3 cp s3://rtdc.mdm.uploadarchive.raw/RTDC4052/ "%USERPROFILE%\AppData\Local\Temp\OnboardLogs"\RTDC4052\2017-11-10 --exclude "*" --recursive --include "*20171110*" &amp; "%USERPROFILE%\Documents\GitHub\mrs-test-scripts\Headless Mode &amp; Sideloading\WalkAndUnGZ.bat" "%USERPROFILE%\AppData\Local\Temp\OnboardLogs"\RTDC4052\2017-11-10 &amp; aws s3 cp s3://rtdc.mdm.uploadarchive.raw/RTDC4052/ "%USERPROFILE%\AppData\Local\Temp\OnboardLogs"\RTDC4052\2017-11-11 --exclude "*" --recursive --include "*20171111*" &amp; "%USERPROFILE%\Documents\GitHub\mrs-test-scripts\Headless Mode &amp; Sideloading\WalkAndUnGZ.bat" "%USERPROFILE%\AppData\Local\Temp\OnboardLogs"\RTDC4052\2017-11-11</v>
      </c>
      <c r="AF27" s="74" t="str">
        <f t="shared" si="10"/>
        <v>"C:\Program Files (x86)\AstroGrep\AstroGrep.exe" /e /r /s /spath="%USERPROFILE%\AppData\Local\Temp\OnboardLogs" /stypes="app*4052*20171110*" /stext=" 13:.+((SYSTEM_STATE.+slice.+state.+changed )|(ment ac)|(multiple cpu faults)|(system.+state.+changed )|(\[timeout)|(PRM\|1\|D)|(kpr)|(kdp)|(train st.+moving)|(\|lc)|(penalty))"</v>
      </c>
      <c r="AG27" s="182" t="str">
        <f t="shared" si="11"/>
        <v>EC</v>
      </c>
      <c r="AH27" s="78" t="str">
        <f t="shared" si="18"/>
        <v>"%USERPROFILE%\Documents\GitHub\eaglep3\Utilities\RefineRTDCRunTimes.py" --tripid 115-10 --locoid 4052 --swversion DE.1.0.9.0 --startMP 204:460 --initTime 2017-11-10T05:26:02 --startdatetime 2017-11-10T05:30:21 --delay 59 --endMP 204:233302 --enddatetime 2017-11-10T06:06:59 --enforcementcount 1 &gt;&gt;%USERPROFILE%\Documents\GitHub\eaglep3-reporting\EC\2017-11-10-refined-times.txt</v>
      </c>
      <c r="AI27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{"issue":{"subject":"","project_id":79,"tracker_id":40,"status_id":1,"priority_id":2,"assigned_to_id":338,"start_date":"2017-11-10","description":"","custom_fields":[{"id":1,"name":"Subdivision","value":"EC"},{"id":4,"name":"Milepost","value":"23.3302"},{"id":17,"name":"Train ID","value":"115-10"},{"id":16,"name":"Locomotive ID","value":"4052"},{"id":130,"name":"Impact","value":""},{"id":150,"name":"Time of Event (Mountain Time)","value":"06:06:59"},{"id":151,"name":"Denver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4052 --day 2017-11-10</v>
      </c>
      <c r="AN27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13:06:59"},{"id":29,"name":"Sharepoint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2"/>
        <v>https://d0f6bd738d7f1b3e5a7ca70fe4ff75f0.us-east-1.aws.found.io/app/kibana#/discover/Steve-Slow-Train-Analysis-(2080s-and-2083s)?_g=(refreshInterval:(display:Off,pause:!f,section:0,value:0),time:(from:'2017-11-10T04:26:02-0700',mode:absolute,to:'2017-11-10T07:06:59-0700'))&amp;_a=(columns:!('Message%20ID',Summary),filters:!(),index:'emp_*',interval:auto,query:(query_string:(analyze_wildcard:!t,query:'%22rtdc.l.rtdc.4052%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698</v>
      </c>
      <c r="B28" s="7">
        <v>4051</v>
      </c>
      <c r="C28" s="21" t="s">
        <v>192</v>
      </c>
      <c r="D28" s="21" t="s">
        <v>904</v>
      </c>
      <c r="E28" s="13">
        <v>43049.264745370368</v>
      </c>
      <c r="F28" s="13">
        <v>43049.26898148148</v>
      </c>
      <c r="G28" s="7">
        <v>47</v>
      </c>
      <c r="H28" s="21" t="s">
        <v>606</v>
      </c>
      <c r="I28" s="13">
        <v>43049.296018518522</v>
      </c>
      <c r="J28" s="7">
        <v>1</v>
      </c>
      <c r="K28" s="89" t="str">
        <f t="shared" si="0"/>
        <v>4051/4052</v>
      </c>
      <c r="L28" s="185" t="str">
        <f>VLOOKUP(A28,'Trips&amp;Operators'!$C$1:$G$99911,5,FALSE)</f>
        <v>MAELZER KURT</v>
      </c>
      <c r="M28" s="6">
        <f t="shared" si="1"/>
        <v>2.7037037041736767E-2</v>
      </c>
      <c r="N28" s="7">
        <f t="shared" si="23"/>
        <v>38.933333340100944</v>
      </c>
      <c r="O28" s="7"/>
      <c r="P28" s="7"/>
      <c r="Q28" s="22"/>
      <c r="R28" s="174"/>
      <c r="S28" s="221">
        <f t="shared" si="17"/>
        <v>1</v>
      </c>
      <c r="T28" s="174" t="str">
        <f t="shared" si="2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3"/>
        <v>https://d0f6bd738d7f1b3e5a7ca70fe4ff75f0.us-east-1.aws.found.io/app/kibana#/discover/Steve-Slow-Train-Analysis-(2080s-and-2083s)?_g=(refreshInterval:(display:Off,pause:!f,section:0,value:0),time:(from:'2017-11-10T05:21:14-0700',mode:absolute,to:'2017-11-10T08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8" s="204" t="str">
        <f>IF(AA28&lt;VLOOKUP(AG28,Variables!$AC$3:$AD$8,2,FALSE),"Y","N")</f>
        <v>N</v>
      </c>
      <c r="X28" s="204">
        <f t="shared" si="4"/>
        <v>1</v>
      </c>
      <c r="Y28" s="204">
        <f t="shared" si="5"/>
        <v>23.3</v>
      </c>
      <c r="Z28" s="204">
        <f t="shared" si="6"/>
        <v>1.4500000000000001E-2</v>
      </c>
      <c r="AA28" s="204">
        <f t="shared" si="7"/>
        <v>23.285499999999999</v>
      </c>
      <c r="AB28" s="54" t="e">
        <f>VLOOKUP(A28,Enforcements!$C$7:$K$9,8,0)</f>
        <v>#N/A</v>
      </c>
      <c r="AC28" s="51" t="e">
        <f>VLOOKUP(A28,Enforcements!$C$7:$E$9,3,0)</f>
        <v>#N/A</v>
      </c>
      <c r="AD28" s="179">
        <f t="shared" si="8"/>
        <v>116</v>
      </c>
      <c r="AE28" s="77" t="str">
        <f t="shared" si="9"/>
        <v>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 &amp; 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</v>
      </c>
      <c r="AF28" s="74" t="str">
        <f t="shared" si="10"/>
        <v>"C:\Program Files (x86)\AstroGrep\AstroGrep.exe" /e /r /s /spath="%USERPROFILE%\AppData\Local\Temp\OnboardLogs" /stypes="app*4051*20171110*" /stext=" 14:.+((SYSTEM_STATE.+slice.+state.+changed )|(ment ac)|(multiple cpu faults)|(system.+state.+changed )|(\[timeout)|(PRM\|1\|D)|(kpr)|(kdp)|(train st.+moving)|(\|lc)|(penalty))"</v>
      </c>
      <c r="AG28" s="182" t="str">
        <f t="shared" si="11"/>
        <v>EC</v>
      </c>
      <c r="AH28" s="78" t="str">
        <f t="shared" si="18"/>
        <v>"%USERPROFILE%\Documents\GitHub\eaglep3\Utilities\RefineRTDCRunTimes.py" --tripid 116-10 --locoid 4051 --swversion DE.1.0.9.0 --startMP 204:233000 --initTime 2017-11-10T06:21:14 --startdatetime 2017-11-10T06:27:20 --delay 47 --endMP 204:145 --enddatetime 2017-11-10T07:06:16 --enforcementcount 1 &gt;&gt;%USERPROFILE%\Documents\GitHub\eaglep3-reporting\EC\2017-11-10-refined-times.txt</v>
      </c>
      <c r="AI28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{"issue":{"subject":"","project_id":79,"tracker_id":40,"status_id":1,"priority_id":2,"assigned_to_id":338,"start_date":"2017-11-10","description":"","custom_fields":[{"id":1,"name":"Subdivision","value":"EC"},{"id":4,"name":"Milepost","value":"0.0145"},{"id":17,"name":"Train ID","value":"116-10"},{"id":16,"name":"Locomotive ID","value":"4051"},{"id":130,"name":"Impact","value":""},{"id":150,"name":"Time of Event (Mountain Time)","value":"07:06:16"},{"id":151,"name":"Denver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4051 --day 2017-11-10</v>
      </c>
      <c r="AN28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14:06:16"},{"id":29,"name":"Sharepoint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2"/>
        <v>https://d0f6bd738d7f1b3e5a7ca70fe4ff75f0.us-east-1.aws.found.io/app/kibana#/discover/Steve-Slow-Train-Analysis-(2080s-and-2083s)?_g=(refreshInterval:(display:Off,pause:!f,section:0,value:0),time:(from:'2017-11-10T05:21:14-0700',mode:absolute,to:'2017-11-10T08:06:16-0700'))&amp;_a=(columns:!('Message%20ID',Summary),filters:!(),index:'emp_*',interval:auto,query:(query_string:(analyze_wildcard:!t,query:'%22rtdc.l.rtdc.4051%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686</v>
      </c>
      <c r="B29" s="7">
        <v>4042</v>
      </c>
      <c r="C29" s="21" t="s">
        <v>192</v>
      </c>
      <c r="D29" s="21" t="s">
        <v>905</v>
      </c>
      <c r="E29" s="13">
        <v>43049.229212962964</v>
      </c>
      <c r="F29" s="13">
        <v>43049.239745370367</v>
      </c>
      <c r="G29" s="7">
        <v>69</v>
      </c>
      <c r="H29" s="21" t="s">
        <v>619</v>
      </c>
      <c r="I29" s="13">
        <v>43049.263969907406</v>
      </c>
      <c r="J29" s="7">
        <v>1</v>
      </c>
      <c r="K29" s="89" t="str">
        <f t="shared" si="0"/>
        <v>4041/4042</v>
      </c>
      <c r="L29" s="185" t="str">
        <f>VLOOKUP(A29,'Trips&amp;Operators'!$C$1:$G$99911,5,FALSE)</f>
        <v>YANAI IAN</v>
      </c>
      <c r="M29" s="6">
        <f t="shared" si="1"/>
        <v>2.4224537039117422E-2</v>
      </c>
      <c r="N29" s="7">
        <f t="shared" si="23"/>
        <v>34.883333336329088</v>
      </c>
      <c r="O29" s="7"/>
      <c r="P29" s="7"/>
      <c r="Q29" s="22"/>
      <c r="R29" s="174"/>
      <c r="S29" s="221">
        <f t="shared" si="17"/>
        <v>1</v>
      </c>
      <c r="T29" s="174" t="str">
        <f t="shared" si="2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3"/>
        <v>https://d0f6bd738d7f1b3e5a7ca70fe4ff75f0.us-east-1.aws.found.io/app/kibana#/discover/Steve-Slow-Train-Analysis-(2080s-and-2083s)?_g=(refreshInterval:(display:Off,pause:!f,section:0,value:0),time:(from:'2017-11-10T04:30:04-0700',mode:absolute,to:'2017-11-10T07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9" s="204" t="str">
        <f>IF(AA29&lt;VLOOKUP(AG29,Variables!$AC$3:$AD$8,2,FALSE),"Y","N")</f>
        <v>N</v>
      </c>
      <c r="X29" s="204">
        <f t="shared" si="4"/>
        <v>1</v>
      </c>
      <c r="Y29" s="204">
        <f t="shared" si="5"/>
        <v>4.53E-2</v>
      </c>
      <c r="Z29" s="204">
        <f t="shared" si="6"/>
        <v>23.330100000000002</v>
      </c>
      <c r="AA29" s="204">
        <f t="shared" si="7"/>
        <v>23.284800000000001</v>
      </c>
      <c r="AB29" s="54" t="e">
        <f>VLOOKUP(A29,Enforcements!$C$7:$K$9,8,0)</f>
        <v>#N/A</v>
      </c>
      <c r="AC29" s="51" t="e">
        <f>VLOOKUP(A29,Enforcements!$C$7:$E$9,3,0)</f>
        <v>#N/A</v>
      </c>
      <c r="AD29" s="179">
        <f t="shared" si="8"/>
        <v>117</v>
      </c>
      <c r="AE29" s="77" t="str">
        <f t="shared" si="9"/>
        <v>aws s3 cp s3://rtdc.mdm.uploadarchive.raw/RTDC4042/ "%USERPROFILE%\AppData\Local\Temp\OnboardLogs"\RTDC4042\2017-11-10 --exclude "*" --recursive --include "*20171110*" &amp; "%USERPROFILE%\Documents\GitHub\mrs-test-scripts\Headless Mode &amp; Sideloading\WalkAndUnGZ.bat" "%USERPROFILE%\AppData\Local\Temp\OnboardLogs"\RTDC4042\2017-11-10 &amp; aws s3 cp s3://rtdc.mdm.uploadarchive.raw/RTDC4042/ "%USERPROFILE%\AppData\Local\Temp\OnboardLogs"\RTDC4042\2017-11-11 --exclude "*" --recursive --include "*20171111*" &amp; "%USERPROFILE%\Documents\GitHub\mrs-test-scripts\Headless Mode &amp; Sideloading\WalkAndUnGZ.bat" "%USERPROFILE%\AppData\Local\Temp\OnboardLogs"\RTDC4042\2017-11-11</v>
      </c>
      <c r="AF29" s="74" t="str">
        <f t="shared" si="10"/>
        <v>"C:\Program Files (x86)\AstroGrep\AstroGrep.exe" /e /r /s /spath="%USERPROFILE%\AppData\Local\Temp\OnboardLogs" /stypes="app*4042*20171110*" /stext=" 13:.+((SYSTEM_STATE.+slice.+state.+changed )|(ment ac)|(multiple cpu faults)|(system.+state.+changed )|(\[timeout)|(PRM\|1\|D)|(kpr)|(kdp)|(train st.+moving)|(\|lc)|(penalty))"</v>
      </c>
      <c r="AG29" s="182" t="str">
        <f t="shared" si="11"/>
        <v>EC</v>
      </c>
      <c r="AH29" s="78" t="str">
        <f t="shared" si="18"/>
        <v>"%USERPROFILE%\Documents\GitHub\eaglep3\Utilities\RefineRTDCRunTimes.py" --tripid 117-10 --locoid 4042 --swversion DE.1.0.9.0 --startMP 204:453 --initTime 2017-11-10T05:30:04 --startdatetime 2017-11-10T05:45:14 --delay 69 --endMP 204:233301 --enddatetime 2017-11-10T06:20:07 --enforcementcount 1 &gt;&gt;%USERPROFILE%\Documents\GitHub\eaglep3-reporting\EC\2017-11-10-refined-times.txt</v>
      </c>
      <c r="AI29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{"issue":{"subject":"","project_id":79,"tracker_id":40,"status_id":1,"priority_id":2,"assigned_to_id":338,"start_date":"2017-11-10","description":"","custom_fields":[{"id":1,"name":"Subdivision","value":"EC"},{"id":4,"name":"Milepost","value":"23.3301"},{"id":17,"name":"Train ID","value":"117-10"},{"id":16,"name":"Locomotive ID","value":"4042"},{"id":130,"name":"Impact","value":""},{"id":150,"name":"Time of Event (Mountain Time)","value":"06:20:07"},{"id":151,"name":"Denver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4042 --day 2017-11-10</v>
      </c>
      <c r="AN29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13:20:07"},{"id":29,"name":"Sharepoint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2"/>
        <v>https://d0f6bd738d7f1b3e5a7ca70fe4ff75f0.us-east-1.aws.found.io/app/kibana#/discover/Steve-Slow-Train-Analysis-(2080s-and-2083s)?_g=(refreshInterval:(display:Off,pause:!f,section:0,value:0),time:(from:'2017-11-10T04:30:04-0700',mode:absolute,to:'2017-11-10T07:20:07-0700'))&amp;_a=(columns:!('Message%20ID',Summary),filters:!(),index:'emp_*',interval:auto,query:(query_string:(analyze_wildcard:!t,query:'%22rtdc.l.rtdc.4042%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699</v>
      </c>
      <c r="B30" s="7">
        <v>4041</v>
      </c>
      <c r="C30" s="21" t="s">
        <v>192</v>
      </c>
      <c r="D30" s="21" t="s">
        <v>596</v>
      </c>
      <c r="E30" s="13">
        <v>43049.265185185184</v>
      </c>
      <c r="F30" s="13">
        <v>43049.279386574075</v>
      </c>
      <c r="G30" s="7">
        <v>66</v>
      </c>
      <c r="H30" s="21" t="s">
        <v>594</v>
      </c>
      <c r="I30" s="13">
        <v>43049.305185185185</v>
      </c>
      <c r="J30" s="7">
        <v>1</v>
      </c>
      <c r="K30" s="89" t="str">
        <f t="shared" si="0"/>
        <v>4041/4042</v>
      </c>
      <c r="L30" s="185" t="str">
        <f>VLOOKUP(A30,'Trips&amp;Operators'!$C$1:$G$99911,5,FALSE)</f>
        <v>YANAI IAN</v>
      </c>
      <c r="M30" s="6">
        <f t="shared" si="1"/>
        <v>2.5798611110076308E-2</v>
      </c>
      <c r="N30" s="7">
        <f t="shared" si="23"/>
        <v>37.149999998509884</v>
      </c>
      <c r="O30" s="7"/>
      <c r="P30" s="7"/>
      <c r="Q30" s="22"/>
      <c r="R30" s="174"/>
      <c r="S30" s="221">
        <f t="shared" si="17"/>
        <v>1</v>
      </c>
      <c r="T30" s="174" t="str">
        <f t="shared" si="2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3"/>
        <v>https://d0f6bd738d7f1b3e5a7ca70fe4ff75f0.us-east-1.aws.found.io/app/kibana#/discover/Steve-Slow-Train-Analysis-(2080s-and-2083s)?_g=(refreshInterval:(display:Off,pause:!f,section:0,value:0),time:(from:'2017-11-10T05:21:52-0700',mode:absolute,to:'2017-11-10T08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0" s="204" t="str">
        <f>IF(AA30&lt;VLOOKUP(AG30,Variables!$AC$3:$AD$8,2,FALSE),"Y","N")</f>
        <v>N</v>
      </c>
      <c r="X30" s="204">
        <f t="shared" si="4"/>
        <v>1</v>
      </c>
      <c r="Y30" s="204">
        <f t="shared" si="5"/>
        <v>23.297999999999998</v>
      </c>
      <c r="Z30" s="204">
        <f t="shared" si="6"/>
        <v>2.0299999999999999E-2</v>
      </c>
      <c r="AA30" s="204">
        <f t="shared" si="7"/>
        <v>23.277699999999999</v>
      </c>
      <c r="AB30" s="54" t="e">
        <f>VLOOKUP(A30,Enforcements!$C$7:$K$9,8,0)</f>
        <v>#N/A</v>
      </c>
      <c r="AC30" s="51" t="e">
        <f>VLOOKUP(A30,Enforcements!$C$7:$E$9,3,0)</f>
        <v>#N/A</v>
      </c>
      <c r="AD30" s="179">
        <f t="shared" si="8"/>
        <v>118</v>
      </c>
      <c r="AE30" s="77" t="str">
        <f t="shared" si="9"/>
        <v>aws s3 cp s3://rtdc.mdm.uploadarchive.raw/RTDC4041/ "%USERPROFILE%\AppData\Local\Temp\OnboardLogs"\RTDC4041\2017-11-10 --exclude "*" --recursive --include "*20171110*" &amp; "%USERPROFILE%\Documents\GitHub\mrs-test-scripts\Headless Mode &amp; Sideloading\WalkAndUnGZ.bat" "%USERPROFILE%\AppData\Local\Temp\OnboardLogs"\RTDC4041\2017-11-10 &amp; aws s3 cp s3://rtdc.mdm.uploadarchive.raw/RTDC4041/ "%USERPROFILE%\AppData\Local\Temp\OnboardLogs"\RTDC4041\2017-11-11 --exclude "*" --recursive --include "*20171111*" &amp; "%USERPROFILE%\Documents\GitHub\mrs-test-scripts\Headless Mode &amp; Sideloading\WalkAndUnGZ.bat" "%USERPROFILE%\AppData\Local\Temp\OnboardLogs"\RTDC4041\2017-11-11</v>
      </c>
      <c r="AF30" s="74" t="str">
        <f t="shared" si="10"/>
        <v>"C:\Program Files (x86)\AstroGrep\AstroGrep.exe" /e /r /s /spath="%USERPROFILE%\AppData\Local\Temp\OnboardLogs" /stypes="app*4041*20171110*" /stext=" 14:.+((SYSTEM_STATE.+slice.+state.+changed )|(ment ac)|(multiple cpu faults)|(system.+state.+changed )|(\[timeout)|(PRM\|1\|D)|(kpr)|(kdp)|(train st.+moving)|(\|lc)|(penalty))"</v>
      </c>
      <c r="AG30" s="182" t="str">
        <f t="shared" si="11"/>
        <v>EC</v>
      </c>
      <c r="AH30" s="78" t="str">
        <f t="shared" si="18"/>
        <v>"%USERPROFILE%\Documents\GitHub\eaglep3\Utilities\RefineRTDCRunTimes.py" --tripid 118-10 --locoid 4041 --swversion DE.1.0.9.0 --startMP 204:232980 --initTime 2017-11-10T06:21:52 --startdatetime 2017-11-10T06:42:19 --delay 66 --endMP 204:203 --enddatetime 2017-11-10T07:19:28 --enforcementcount 1 &gt;&gt;%USERPROFILE%\Documents\GitHub\eaglep3-reporting\EC\2017-11-10-refined-times.txt</v>
      </c>
      <c r="AI30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{"issue":{"subject":"","project_id":79,"tracker_id":40,"status_id":1,"priority_id":2,"assigned_to_id":338,"start_date":"2017-11-10","description":"","custom_fields":[{"id":1,"name":"Subdivision","value":"EC"},{"id":4,"name":"Milepost","value":"0.0203"},{"id":17,"name":"Train ID","value":"118-10"},{"id":16,"name":"Locomotive ID","value":"4041"},{"id":130,"name":"Impact","value":""},{"id":150,"name":"Time of Event (Mountain Time)","value":"07:19:28"},{"id":151,"name":"Denver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4041 --day 2017-11-10</v>
      </c>
      <c r="AN30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14:19:28"},{"id":29,"name":"Sharepoint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2"/>
        <v>https://d0f6bd738d7f1b3e5a7ca70fe4ff75f0.us-east-1.aws.found.io/app/kibana#/discover/Steve-Slow-Train-Analysis-(2080s-and-2083s)?_g=(refreshInterval:(display:Off,pause:!f,section:0,value:0),time:(from:'2017-11-10T05:21:52-0700',mode:absolute,to:'2017-11-10T08:19:28-0700'))&amp;_a=(columns:!('Message%20ID',Summary),filters:!(),index:'emp_*',interval:auto,query:(query_string:(analyze_wildcard:!t,query:'%22rtdc.l.rtdc.4041%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694</v>
      </c>
      <c r="B31" s="7">
        <v>4060</v>
      </c>
      <c r="C31" s="21" t="s">
        <v>192</v>
      </c>
      <c r="D31" s="21" t="s">
        <v>906</v>
      </c>
      <c r="E31" s="13">
        <v>43049.246157407404</v>
      </c>
      <c r="F31" s="13">
        <v>43049.250208333331</v>
      </c>
      <c r="G31" s="7">
        <v>46</v>
      </c>
      <c r="H31" s="21" t="s">
        <v>907</v>
      </c>
      <c r="I31" s="13">
        <v>43049.275497685187</v>
      </c>
      <c r="J31" s="7">
        <v>1</v>
      </c>
      <c r="K31" s="89" t="str">
        <f t="shared" si="0"/>
        <v>4059/4060</v>
      </c>
      <c r="L31" s="185" t="str">
        <f>VLOOKUP(A31,'Trips&amp;Operators'!$C$1:$G$99911,5,FALSE)</f>
        <v>BONDS REYNALDO</v>
      </c>
      <c r="M31" s="6">
        <f t="shared" si="1"/>
        <v>2.5289351855462883E-2</v>
      </c>
      <c r="N31" s="7">
        <f t="shared" si="23"/>
        <v>36.416666671866551</v>
      </c>
      <c r="O31" s="7"/>
      <c r="P31" s="7"/>
      <c r="Q31" s="22"/>
      <c r="R31" s="174"/>
      <c r="S31" s="221">
        <f t="shared" si="17"/>
        <v>1</v>
      </c>
      <c r="T31" s="174" t="str">
        <f t="shared" si="2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3"/>
        <v>https://d0f6bd738d7f1b3e5a7ca70fe4ff75f0.us-east-1.aws.found.io/app/kibana#/discover/Steve-Slow-Train-Analysis-(2080s-and-2083s)?_g=(refreshInterval:(display:Off,pause:!f,section:0,value:0),time:(from:'2017-11-10T04:54:28-0700',mode:absolute,to:'2017-11-10T07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1" s="204" t="str">
        <f>IF(AA31&lt;VLOOKUP(AG31,Variables!$AC$3:$AD$8,2,FALSE),"Y","N")</f>
        <v>N</v>
      </c>
      <c r="X31" s="204">
        <f t="shared" si="4"/>
        <v>1</v>
      </c>
      <c r="Y31" s="204">
        <f t="shared" si="5"/>
        <v>5.4899999999999997E-2</v>
      </c>
      <c r="Z31" s="204">
        <f t="shared" si="6"/>
        <v>23.3291</v>
      </c>
      <c r="AA31" s="204">
        <f t="shared" si="7"/>
        <v>23.2742</v>
      </c>
      <c r="AB31" s="54" t="e">
        <f>VLOOKUP(A31,Enforcements!$C$7:$K$9,8,0)</f>
        <v>#N/A</v>
      </c>
      <c r="AC31" s="51" t="e">
        <f>VLOOKUP(A31,Enforcements!$C$7:$E$9,3,0)</f>
        <v>#N/A</v>
      </c>
      <c r="AD31" s="179">
        <f t="shared" si="8"/>
        <v>119</v>
      </c>
      <c r="AE31" s="77" t="str">
        <f t="shared" si="9"/>
        <v>aws s3 cp s3://rtdc.mdm.uploadarchive.raw/RTDC4060/ "%USERPROFILE%\AppData\Local\Temp\OnboardLogs"\RTDC4060\2017-11-10 --exclude "*" --recursive --include "*20171110*" &amp; "%USERPROFILE%\Documents\GitHub\mrs-test-scripts\Headless Mode &amp; Sideloading\WalkAndUnGZ.bat" "%USERPROFILE%\AppData\Local\Temp\OnboardLogs"\RTDC4060\2017-11-10 &amp; aws s3 cp s3://rtdc.mdm.uploadarchive.raw/RTDC4060/ "%USERPROFILE%\AppData\Local\Temp\OnboardLogs"\RTDC4060\2017-11-11 --exclude "*" --recursive --include "*20171111*" &amp; "%USERPROFILE%\Documents\GitHub\mrs-test-scripts\Headless Mode &amp; Sideloading\WalkAndUnGZ.bat" "%USERPROFILE%\AppData\Local\Temp\OnboardLogs"\RTDC4060\2017-11-11</v>
      </c>
      <c r="AF31" s="74" t="str">
        <f t="shared" si="10"/>
        <v>"C:\Program Files (x86)\AstroGrep\AstroGrep.exe" /e /r /s /spath="%USERPROFILE%\AppData\Local\Temp\OnboardLogs" /stypes="app*4060*20171110*" /stext=" 13:.+((SYSTEM_STATE.+slice.+state.+changed )|(ment ac)|(multiple cpu faults)|(system.+state.+changed )|(\[timeout)|(PRM\|1\|D)|(kpr)|(kdp)|(train st.+moving)|(\|lc)|(penalty))"</v>
      </c>
      <c r="AG31" s="182" t="str">
        <f t="shared" si="11"/>
        <v>EC</v>
      </c>
      <c r="AH31" s="78" t="str">
        <f t="shared" si="18"/>
        <v>"%USERPROFILE%\Documents\GitHub\eaglep3\Utilities\RefineRTDCRunTimes.py" --tripid 119-10 --locoid 4060 --swversion DE.1.0.9.0 --startMP 204:549 --initTime 2017-11-10T05:54:28 --startdatetime 2017-11-10T06:00:18 --delay 46 --endMP 204:233291 --enddatetime 2017-11-10T06:36:43 --enforcementcount 1 &gt;&gt;%USERPROFILE%\Documents\GitHub\eaglep3-reporting\EC\2017-11-10-refined-times.txt</v>
      </c>
      <c r="AI31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{"issue":{"subject":"","project_id":79,"tracker_id":40,"status_id":1,"priority_id":2,"assigned_to_id":338,"start_date":"2017-11-10","description":"","custom_fields":[{"id":1,"name":"Subdivision","value":"EC"},{"id":4,"name":"Milepost","value":"23.3291"},{"id":17,"name":"Train ID","value":"119-10"},{"id":16,"name":"Locomotive ID","value":"4060"},{"id":130,"name":"Impact","value":""},{"id":150,"name":"Time of Event (Mountain Time)","value":"06:36:43"},{"id":151,"name":"Denver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4060 --day 2017-11-10</v>
      </c>
      <c r="AN31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13:36:43"},{"id":29,"name":"Sharepoint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2"/>
        <v>https://d0f6bd738d7f1b3e5a7ca70fe4ff75f0.us-east-1.aws.found.io/app/kibana#/discover/Steve-Slow-Train-Analysis-(2080s-and-2083s)?_g=(refreshInterval:(display:Off,pause:!f,section:0,value:0),time:(from:'2017-11-10T04:54:28-0700',mode:absolute,to:'2017-11-10T07:36:43-0700'))&amp;_a=(columns:!('Message%20ID',Summary),filters:!(),index:'emp_*',interval:auto,query:(query_string:(analyze_wildcard:!t,query:'%22rtdc.l.rtdc.4060%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705</v>
      </c>
      <c r="B32" s="7">
        <v>4059</v>
      </c>
      <c r="C32" s="21" t="s">
        <v>192</v>
      </c>
      <c r="D32" s="21" t="s">
        <v>601</v>
      </c>
      <c r="E32" s="13">
        <v>43049.287557870368</v>
      </c>
      <c r="F32" s="13">
        <v>43049.289768518516</v>
      </c>
      <c r="G32" s="7">
        <v>55</v>
      </c>
      <c r="H32" s="21" t="s">
        <v>554</v>
      </c>
      <c r="I32" s="13">
        <v>43049.315868055557</v>
      </c>
      <c r="J32" s="7">
        <v>1</v>
      </c>
      <c r="K32" s="89" t="str">
        <f t="shared" si="0"/>
        <v>4059/4060</v>
      </c>
      <c r="L32" s="185" t="str">
        <f>VLOOKUP(A32,'Trips&amp;Operators'!$C$1:$G$99911,5,FALSE)</f>
        <v>BONDS REYNALDO</v>
      </c>
      <c r="M32" s="6">
        <f t="shared" si="1"/>
        <v>2.6099537040863652E-2</v>
      </c>
      <c r="N32" s="7">
        <f t="shared" si="23"/>
        <v>37.583333338843659</v>
      </c>
      <c r="O32" s="7"/>
      <c r="P32" s="7"/>
      <c r="Q32" s="22"/>
      <c r="R32" s="174"/>
      <c r="S32" s="221">
        <f t="shared" si="17"/>
        <v>1</v>
      </c>
      <c r="T32" s="174" t="str">
        <f t="shared" si="2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3"/>
        <v>https://d0f6bd738d7f1b3e5a7ca70fe4ff75f0.us-east-1.aws.found.io/app/kibana#/discover/Steve-Slow-Train-Analysis-(2080s-and-2083s)?_g=(refreshInterval:(display:Off,pause:!f,section:0,value:0),time:(from:'2017-11-10T05:54:05-0700',mode:absolute,to:'2017-11-10T08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2" s="204" t="str">
        <f>IF(AA32&lt;VLOOKUP(AG32,Variables!$AC$3:$AD$8,2,FALSE),"Y","N")</f>
        <v>N</v>
      </c>
      <c r="X32" s="204">
        <f t="shared" si="4"/>
        <v>1</v>
      </c>
      <c r="Y32" s="204">
        <f t="shared" si="5"/>
        <v>23.296600000000002</v>
      </c>
      <c r="Z32" s="204">
        <f t="shared" si="6"/>
        <v>2.2499999999999999E-2</v>
      </c>
      <c r="AA32" s="204">
        <f t="shared" si="7"/>
        <v>23.274100000000001</v>
      </c>
      <c r="AB32" s="54" t="e">
        <f>VLOOKUP(A32,Enforcements!$C$7:$K$9,8,0)</f>
        <v>#N/A</v>
      </c>
      <c r="AC32" s="51" t="e">
        <f>VLOOKUP(A32,Enforcements!$C$7:$E$9,3,0)</f>
        <v>#N/A</v>
      </c>
      <c r="AD32" s="179">
        <f t="shared" si="8"/>
        <v>120</v>
      </c>
      <c r="AE32" s="77" t="str">
        <f t="shared" si="9"/>
        <v>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 &amp; 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</v>
      </c>
      <c r="AF32" s="74" t="str">
        <f t="shared" si="10"/>
        <v>"C:\Program Files (x86)\AstroGrep\AstroGrep.exe" /e /r /s /spath="%USERPROFILE%\AppData\Local\Temp\OnboardLogs" /stypes="app*4059*20171110*" /stext=" 14:.+((SYSTEM_STATE.+slice.+state.+changed )|(ment ac)|(multiple cpu faults)|(system.+state.+changed )|(\[timeout)|(PRM\|1\|D)|(kpr)|(kdp)|(train st.+moving)|(\|lc)|(penalty))"</v>
      </c>
      <c r="AG32" s="182" t="str">
        <f t="shared" si="11"/>
        <v>EC</v>
      </c>
      <c r="AH32" s="78" t="str">
        <f t="shared" si="18"/>
        <v>"%USERPROFILE%\Documents\GitHub\eaglep3\Utilities\RefineRTDCRunTimes.py" --tripid 120-10 --locoid 4059 --swversion DE.1.0.9.0 --startMP 204:232966 --initTime 2017-11-10T06:54:05 --startdatetime 2017-11-10T06:57:16 --delay 55 --endMP 204:225 --enddatetime 2017-11-10T07:34:51 --enforcementcount 1 &gt;&gt;%USERPROFILE%\Documents\GitHub\eaglep3-reporting\EC\2017-11-10-refined-times.txt</v>
      </c>
      <c r="AI32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{"issue":{"subject":"","project_id":79,"tracker_id":40,"status_id":1,"priority_id":2,"assigned_to_id":338,"start_date":"2017-11-10","description":"","custom_fields":[{"id":1,"name":"Subdivision","value":"EC"},{"id":4,"name":"Milepost","value":"0.0225"},{"id":17,"name":"Train ID","value":"120-10"},{"id":16,"name":"Locomotive ID","value":"4059"},{"id":130,"name":"Impact","value":""},{"id":150,"name":"Time of Event (Mountain Time)","value":"07:34:51"},{"id":151,"name":"Denver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4059 --day 2017-11-10</v>
      </c>
      <c r="AN32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14:34:51"},{"id":29,"name":"Sharepoint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2"/>
        <v>https://d0f6bd738d7f1b3e5a7ca70fe4ff75f0.us-east-1.aws.found.io/app/kibana#/discover/Steve-Slow-Train-Analysis-(2080s-and-2083s)?_g=(refreshInterval:(display:Off,pause:!f,section:0,value:0),time:(from:'2017-11-10T05:54:05-0700',mode:absolute,to:'2017-11-10T08:34:51-0700'))&amp;_a=(columns:!('Message%20ID',Summary),filters:!(),index:'emp_*',interval:auto,query:(query_string:(analyze_wildcard:!t,query:'%22rtdc.l.rtdc.4059%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645</v>
      </c>
      <c r="B33" s="7">
        <v>4016</v>
      </c>
      <c r="C33" s="21" t="s">
        <v>192</v>
      </c>
      <c r="D33" s="21" t="s">
        <v>489</v>
      </c>
      <c r="E33" s="13">
        <v>43049.257800925923</v>
      </c>
      <c r="F33" s="13">
        <v>43049.260648148149</v>
      </c>
      <c r="G33" s="7">
        <v>61</v>
      </c>
      <c r="H33" s="21" t="s">
        <v>445</v>
      </c>
      <c r="I33" s="13">
        <v>43049.28502314815</v>
      </c>
      <c r="J33" s="7">
        <v>1</v>
      </c>
      <c r="K33" s="89" t="str">
        <f t="shared" si="0"/>
        <v>4015/4016</v>
      </c>
      <c r="L33" s="185" t="str">
        <f>VLOOKUP(A33,'Trips&amp;Operators'!$C$1:$G$99911,5,FALSE)</f>
        <v>GEBRETEKLE DAGNEW</v>
      </c>
      <c r="M33" s="6">
        <f t="shared" si="1"/>
        <v>2.4375000000873115E-2</v>
      </c>
      <c r="N33" s="7">
        <f t="shared" si="23"/>
        <v>35.100000001257285</v>
      </c>
      <c r="O33" s="7"/>
      <c r="P33" s="7"/>
      <c r="Q33" s="22"/>
      <c r="R33" s="174"/>
      <c r="S33" s="221">
        <f t="shared" si="17"/>
        <v>1</v>
      </c>
      <c r="T33" s="174" t="str">
        <f t="shared" si="2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3"/>
        <v>https://d0f6bd738d7f1b3e5a7ca70fe4ff75f0.us-east-1.aws.found.io/app/kibana#/discover/Steve-Slow-Train-Analysis-(2080s-and-2083s)?_g=(refreshInterval:(display:Off,pause:!f,section:0,value:0),time:(from:'2017-11-10T05:11:14-0700',mode:absolute,to:'2017-11-10T07:50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204" t="str">
        <f>IF(AA33&lt;VLOOKUP(AG33,Variables!$AC$3:$AD$8,2,FALSE),"Y","N")</f>
        <v>N</v>
      </c>
      <c r="X33" s="204">
        <f t="shared" si="4"/>
        <v>1</v>
      </c>
      <c r="Y33" s="204">
        <f t="shared" si="5"/>
        <v>5.3900000000000003E-2</v>
      </c>
      <c r="Z33" s="204">
        <f t="shared" si="6"/>
        <v>23.328900000000001</v>
      </c>
      <c r="AA33" s="204">
        <f t="shared" si="7"/>
        <v>23.275000000000002</v>
      </c>
      <c r="AB33" s="54" t="e">
        <f>VLOOKUP(A33,Enforcements!$C$7:$K$9,8,0)</f>
        <v>#N/A</v>
      </c>
      <c r="AC33" s="51" t="e">
        <f>VLOOKUP(A33,Enforcements!$C$7:$E$9,3,0)</f>
        <v>#N/A</v>
      </c>
      <c r="AD33" s="179">
        <f t="shared" si="8"/>
        <v>121</v>
      </c>
      <c r="AE33" s="77" t="str">
        <f t="shared" si="9"/>
        <v>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 &amp; aws s3 cp s3://rtdc.mdm.uploadarchive.raw/RTDC4016/ "%USERPROFILE%\AppData\Local\Temp\OnboardLogs"\RTDC4016\2017-11-11 --exclude "*" --recursive --include "*20171111*" &amp; "%USERPROFILE%\Documents\GitHub\mrs-test-scripts\Headless Mode &amp; Sideloading\WalkAndUnGZ.bat" "%USERPROFILE%\AppData\Local\Temp\OnboardLogs"\RTDC4016\2017-11-11</v>
      </c>
      <c r="AF33" s="74" t="str">
        <f t="shared" si="10"/>
        <v>"C:\Program Files (x86)\AstroGrep\AstroGrep.exe" /e /r /s /spath="%USERPROFILE%\AppData\Local\Temp\OnboardLogs" /stypes="app*4016*20171110*" /stext=" 13:.+((SYSTEM_STATE.+slice.+state.+changed )|(ment ac)|(multiple cpu faults)|(system.+state.+changed )|(\[timeout)|(PRM\|1\|D)|(kpr)|(kdp)|(train st.+moving)|(\|lc)|(penalty))"</v>
      </c>
      <c r="AG33" s="182" t="str">
        <f t="shared" si="11"/>
        <v>EC</v>
      </c>
      <c r="AH33" s="78" t="str">
        <f t="shared" si="18"/>
        <v>"%USERPROFILE%\Documents\GitHub\eaglep3\Utilities\RefineRTDCRunTimes.py" --tripid 121-10 --locoid 4016 --swversion DE.1.0.9.0 --startMP 204:539 --initTime 2017-11-10T06:11:14 --startdatetime 2017-11-10T06:15:20 --delay 61 --endMP 204:233289 --enddatetime 2017-11-10T06:50:26 --enforcementcount 1 &gt;&gt;%USERPROFILE%\Documents\GitHub\eaglep3-reporting\EC\2017-11-10-refined-times.txt</v>
      </c>
      <c r="AI33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{"issue":{"subject":"","project_id":79,"tracker_id":40,"status_id":1,"priority_id":2,"assigned_to_id":338,"start_date":"2017-11-10","description":"","custom_fields":[{"id":1,"name":"Subdivision","value":"EC"},{"id":4,"name":"Milepost","value":"23.3289"},{"id":17,"name":"Train ID","value":"121-10"},{"id":16,"name":"Locomotive ID","value":"4016"},{"id":130,"name":"Impact","value":""},{"id":150,"name":"Time of Event (Mountain Time)","value":"06:50:26"},{"id":151,"name":"Denver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4016 --day 2017-11-10</v>
      </c>
      <c r="AN33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13:50:26"},{"id":29,"name":"Sharepoint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2"/>
        <v>https://d0f6bd738d7f1b3e5a7ca70fe4ff75f0.us-east-1.aws.found.io/app/kibana#/discover/Steve-Slow-Train-Analysis-(2080s-and-2083s)?_g=(refreshInterval:(display:Off,pause:!f,section:0,value:0),time:(from:'2017-11-10T05:11:14-0700',mode:absolute,to:'2017-11-10T07:50:26-0700'))&amp;_a=(columns:!('Message%20ID',Summary),filters:!(),index:'emp_*',interval:auto,query:(query_string:(analyze_wildcard:!t,query:'%22rtdc.l.rtdc.4016%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704</v>
      </c>
      <c r="B34" s="7">
        <v>4015</v>
      </c>
      <c r="C34" s="21" t="s">
        <v>192</v>
      </c>
      <c r="D34" s="21" t="s">
        <v>908</v>
      </c>
      <c r="E34" s="13">
        <v>43049.286516203705</v>
      </c>
      <c r="F34" s="13">
        <v>43049.300173611111</v>
      </c>
      <c r="G34" s="7">
        <v>50</v>
      </c>
      <c r="H34" s="21" t="s">
        <v>909</v>
      </c>
      <c r="I34" s="13">
        <v>43049.326331018521</v>
      </c>
      <c r="J34" s="7">
        <v>1</v>
      </c>
      <c r="K34" s="89" t="str">
        <f t="shared" si="0"/>
        <v>4015/4016</v>
      </c>
      <c r="L34" s="185" t="str">
        <f>VLOOKUP(A34,'Trips&amp;Operators'!$C$1:$G$99911,5,FALSE)</f>
        <v>GEBRETEKLE DAGNEW</v>
      </c>
      <c r="M34" s="6">
        <f t="shared" si="1"/>
        <v>2.6157407410209998E-2</v>
      </c>
      <c r="N34" s="7">
        <f t="shared" si="23"/>
        <v>37.666666670702398</v>
      </c>
      <c r="O34" s="7"/>
      <c r="P34" s="7"/>
      <c r="Q34" s="22"/>
      <c r="R34" s="174"/>
      <c r="S34" s="221">
        <f t="shared" si="17"/>
        <v>1</v>
      </c>
      <c r="T34" s="174" t="str">
        <f t="shared" si="2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3"/>
        <v>https://d0f6bd738d7f1b3e5a7ca70fe4ff75f0.us-east-1.aws.found.io/app/kibana#/discover/Steve-Slow-Train-Analysis-(2080s-and-2083s)?_g=(refreshInterval:(display:Off,pause:!f,section:0,value:0),time:(from:'2017-11-10T05:52:35-0700',mode:absolute,to:'2017-11-10T08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204" t="str">
        <f>IF(AA34&lt;VLOOKUP(AG34,Variables!$AC$3:$AD$8,2,FALSE),"Y","N")</f>
        <v>N</v>
      </c>
      <c r="X34" s="204">
        <f t="shared" si="4"/>
        <v>1</v>
      </c>
      <c r="Y34" s="204">
        <f t="shared" si="5"/>
        <v>23.296099999999999</v>
      </c>
      <c r="Z34" s="204">
        <f t="shared" si="6"/>
        <v>2.0500000000000001E-2</v>
      </c>
      <c r="AA34" s="204">
        <f t="shared" si="7"/>
        <v>23.275600000000001</v>
      </c>
      <c r="AB34" s="54" t="e">
        <f>VLOOKUP(A34,Enforcements!$C$7:$K$9,8,0)</f>
        <v>#N/A</v>
      </c>
      <c r="AC34" s="51" t="e">
        <f>VLOOKUP(A34,Enforcements!$C$7:$E$9,3,0)</f>
        <v>#N/A</v>
      </c>
      <c r="AD34" s="179">
        <f t="shared" si="8"/>
        <v>122</v>
      </c>
      <c r="AE34" s="77" t="str">
        <f t="shared" si="9"/>
        <v>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 &amp; 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</v>
      </c>
      <c r="AF34" s="74" t="str">
        <f t="shared" si="10"/>
        <v>"C:\Program Files (x86)\AstroGrep\AstroGrep.exe" /e /r /s /spath="%USERPROFILE%\AppData\Local\Temp\OnboardLogs" /stypes="app*4015*20171110*" /stext=" 14:.+((SYSTEM_STATE.+slice.+state.+changed )|(ment ac)|(multiple cpu faults)|(system.+state.+changed )|(\[timeout)|(PRM\|1\|D)|(kpr)|(kdp)|(train st.+moving)|(\|lc)|(penalty))"</v>
      </c>
      <c r="AG34" s="182" t="str">
        <f t="shared" si="11"/>
        <v>EC</v>
      </c>
      <c r="AH34" s="78" t="str">
        <f t="shared" si="18"/>
        <v>"%USERPROFILE%\Documents\GitHub\eaglep3\Utilities\RefineRTDCRunTimes.py" --tripid 122-10 --locoid 4015 --swversion DE.1.0.9.0 --startMP 204:232961 --initTime 2017-11-10T06:52:35 --startdatetime 2017-11-10T07:12:15 --delay 50 --endMP 204:205 --enddatetime 2017-11-10T07:49:55 --enforcementcount 1 &gt;&gt;%USERPROFILE%\Documents\GitHub\eaglep3-reporting\EC\2017-11-10-refined-times.txt</v>
      </c>
      <c r="AI34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{"issue":{"subject":"","project_id":79,"tracker_id":40,"status_id":1,"priority_id":2,"assigned_to_id":338,"start_date":"2017-11-10","description":"","custom_fields":[{"id":1,"name":"Subdivision","value":"EC"},{"id":4,"name":"Milepost","value":"0.0205"},{"id":17,"name":"Train ID","value":"122-10"},{"id":16,"name":"Locomotive ID","value":"4015"},{"id":130,"name":"Impact","value":""},{"id":150,"name":"Time of Event (Mountain Time)","value":"07:49:55"},{"id":151,"name":"Denver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4015 --day 2017-11-10</v>
      </c>
      <c r="AN34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14:49:55"},{"id":29,"name":"Sharepoint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2"/>
        <v>https://d0f6bd738d7f1b3e5a7ca70fe4ff75f0.us-east-1.aws.found.io/app/kibana#/discover/Steve-Slow-Train-Analysis-(2080s-and-2083s)?_g=(refreshInterval:(display:Off,pause:!f,section:0,value:0),time:(from:'2017-11-10T05:52:35-0700',mode:absolute,to:'2017-11-10T08:49:55-0700'))&amp;_a=(columns:!('Message%20ID',Summary),filters:!(),index:'emp_*',interval:auto,query:(query_string:(analyze_wildcard:!t,query:'%22rtdc.l.rtdc.4015%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700</v>
      </c>
      <c r="B35" s="7">
        <v>4028</v>
      </c>
      <c r="C35" s="21" t="s">
        <v>192</v>
      </c>
      <c r="D35" s="21" t="s">
        <v>472</v>
      </c>
      <c r="E35" s="13">
        <v>43049.268449074072</v>
      </c>
      <c r="F35" s="13">
        <v>43049.271006944444</v>
      </c>
      <c r="G35" s="7">
        <v>50</v>
      </c>
      <c r="H35" s="21" t="s">
        <v>910</v>
      </c>
      <c r="I35" s="13">
        <v>43049.295219907406</v>
      </c>
      <c r="J35" s="7">
        <v>1</v>
      </c>
      <c r="K35" s="89" t="str">
        <f t="shared" si="0"/>
        <v>4027/4028</v>
      </c>
      <c r="L35" s="185" t="str">
        <f>VLOOKUP(A35,'Trips&amp;Operators'!$C$1:$G$99911,5,FALSE)</f>
        <v>BIRENBAUM THOMAS</v>
      </c>
      <c r="M35" s="6">
        <f t="shared" si="1"/>
        <v>2.421296296233777E-2</v>
      </c>
      <c r="N35" s="7">
        <f t="shared" si="23"/>
        <v>34.866666665766388</v>
      </c>
      <c r="O35" s="7"/>
      <c r="P35" s="7"/>
      <c r="Q35" s="22"/>
      <c r="R35" s="174"/>
      <c r="S35" s="221">
        <f t="shared" si="17"/>
        <v>1</v>
      </c>
      <c r="T35" s="174" t="str">
        <f t="shared" si="2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3"/>
        <v>https://d0f6bd738d7f1b3e5a7ca70fe4ff75f0.us-east-1.aws.found.io/app/kibana#/discover/Steve-Slow-Train-Analysis-(2080s-and-2083s)?_g=(refreshInterval:(display:Off,pause:!f,section:0,value:0),time:(from:'2017-11-10T05:26:34-0700',mode:absolute,to:'2017-11-10T08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5" s="204" t="str">
        <f>IF(AA35&lt;VLOOKUP(AG35,Variables!$AC$3:$AD$8,2,FALSE),"Y","N")</f>
        <v>N</v>
      </c>
      <c r="X35" s="204">
        <f t="shared" si="4"/>
        <v>1</v>
      </c>
      <c r="Y35" s="204">
        <f t="shared" si="5"/>
        <v>5.28E-2</v>
      </c>
      <c r="Z35" s="204">
        <f t="shared" si="6"/>
        <v>23.3276</v>
      </c>
      <c r="AA35" s="204">
        <f t="shared" si="7"/>
        <v>23.274799999999999</v>
      </c>
      <c r="AB35" s="54" t="e">
        <f>VLOOKUP(A35,Enforcements!$C$7:$K$9,8,0)</f>
        <v>#N/A</v>
      </c>
      <c r="AC35" s="51" t="e">
        <f>VLOOKUP(A35,Enforcements!$C$7:$E$9,3,0)</f>
        <v>#N/A</v>
      </c>
      <c r="AD35" s="179">
        <f t="shared" si="8"/>
        <v>123</v>
      </c>
      <c r="AE35" s="77" t="str">
        <f t="shared" si="9"/>
        <v>aws s3 cp s3://rtdc.mdm.uploadarchive.raw/RTDC4028/ "%USERPROFILE%\AppData\Local\Temp\OnboardLogs"\RTDC4028\2017-11-10 --exclude "*" --recursive --include "*20171110*" &amp; "%USERPROFILE%\Documents\GitHub\mrs-test-scripts\Headless Mode &amp; Sideloading\WalkAndUnGZ.bat" "%USERPROFILE%\AppData\Local\Temp\OnboardLogs"\RTDC4028\2017-11-10 &amp; aws s3 cp s3://rtdc.mdm.uploadarchive.raw/RTDC4028/ "%USERPROFILE%\AppData\Local\Temp\OnboardLogs"\RTDC4028\2017-11-11 --exclude "*" --recursive --include "*20171111*" &amp; "%USERPROFILE%\Documents\GitHub\mrs-test-scripts\Headless Mode &amp; Sideloading\WalkAndUnGZ.bat" "%USERPROFILE%\AppData\Local\Temp\OnboardLogs"\RTDC4028\2017-11-11</v>
      </c>
      <c r="AF35" s="74" t="str">
        <f t="shared" si="10"/>
        <v>"C:\Program Files (x86)\AstroGrep\AstroGrep.exe" /e /r /s /spath="%USERPROFILE%\AppData\Local\Temp\OnboardLogs" /stypes="app*4028*20171110*" /stext=" 14:.+((SYSTEM_STATE.+slice.+state.+changed )|(ment ac)|(multiple cpu faults)|(system.+state.+changed )|(\[timeout)|(PRM\|1\|D)|(kpr)|(kdp)|(train st.+moving)|(\|lc)|(penalty))"</v>
      </c>
      <c r="AG35" s="182" t="str">
        <f t="shared" si="11"/>
        <v>EC</v>
      </c>
      <c r="AH35" s="78" t="str">
        <f t="shared" si="18"/>
        <v>"%USERPROFILE%\Documents\GitHub\eaglep3\Utilities\RefineRTDCRunTimes.py" --tripid 123-10 --locoid 4028 --swversion DE.1.0.9.0 --startMP 204:528 --initTime 2017-11-10T06:26:34 --startdatetime 2017-11-10T06:30:15 --delay 50 --endMP 204:233276 --enddatetime 2017-11-10T07:05:07 --enforcementcount 1 &gt;&gt;%USERPROFILE%\Documents\GitHub\eaglep3-reporting\EC\2017-11-10-refined-times.txt</v>
      </c>
      <c r="AI35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{"issue":{"subject":"","project_id":79,"tracker_id":40,"status_id":1,"priority_id":2,"assigned_to_id":338,"start_date":"2017-11-10","description":"","custom_fields":[{"id":1,"name":"Subdivision","value":"EC"},{"id":4,"name":"Milepost","value":"23.3276"},{"id":17,"name":"Train ID","value":"123-10"},{"id":16,"name":"Locomotive ID","value":"4028"},{"id":130,"name":"Impact","value":""},{"id":150,"name":"Time of Event (Mountain Time)","value":"07:05:07"},{"id":151,"name":"Denver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4028 --day 2017-11-10</v>
      </c>
      <c r="AN35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14:05:07"},{"id":29,"name":"Sharepoint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2"/>
        <v>https://d0f6bd738d7f1b3e5a7ca70fe4ff75f0.us-east-1.aws.found.io/app/kibana#/discover/Steve-Slow-Train-Analysis-(2080s-and-2083s)?_g=(refreshInterval:(display:Off,pause:!f,section:0,value:0),time:(from:'2017-11-10T05:26:34-0700',mode:absolute,to:'2017-11-10T08:05:07-0700'))&amp;_a=(columns:!('Message%20ID',Summary),filters:!(),index:'emp_*',interval:auto,query:(query_string:(analyze_wildcard:!t,query:'%22rtdc.l.rtdc.4028%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709</v>
      </c>
      <c r="B36" s="7">
        <v>4027</v>
      </c>
      <c r="C36" s="21" t="s">
        <v>192</v>
      </c>
      <c r="D36" s="21" t="s">
        <v>621</v>
      </c>
      <c r="E36" s="13">
        <v>43049.296550925923</v>
      </c>
      <c r="F36" s="13">
        <v>43049.310682870368</v>
      </c>
      <c r="G36" s="7">
        <v>79</v>
      </c>
      <c r="H36" s="21" t="s">
        <v>347</v>
      </c>
      <c r="I36" s="13">
        <v>43049.335902777777</v>
      </c>
      <c r="J36" s="7">
        <v>1</v>
      </c>
      <c r="K36" s="89" t="str">
        <f t="shared" si="0"/>
        <v>4027/4028</v>
      </c>
      <c r="L36" s="185" t="str">
        <f>VLOOKUP(A36,'Trips&amp;Operators'!$C$1:$G$99911,5,FALSE)</f>
        <v>BIRENBAUM THOMAS</v>
      </c>
      <c r="M36" s="6">
        <f t="shared" si="1"/>
        <v>2.5219907409336884E-2</v>
      </c>
      <c r="N36" s="7">
        <f t="shared" si="23"/>
        <v>36.316666669445112</v>
      </c>
      <c r="O36" s="7"/>
      <c r="P36" s="7"/>
      <c r="Q36" s="22"/>
      <c r="R36" s="174"/>
      <c r="S36" s="221">
        <f t="shared" si="17"/>
        <v>1</v>
      </c>
      <c r="T36" s="174" t="str">
        <f t="shared" si="2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3"/>
        <v>https://d0f6bd738d7f1b3e5a7ca70fe4ff75f0.us-east-1.aws.found.io/app/kibana#/discover/Steve-Slow-Train-Analysis-(2080s-and-2083s)?_g=(refreshInterval:(display:Off,pause:!f,section:0,value:0),time:(from:'2017-11-10T06:07:02-0700',mode:absolute,to:'2017-11-10T09:03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6" s="204" t="str">
        <f>IF(AA36&lt;VLOOKUP(AG36,Variables!$AC$3:$AD$8,2,FALSE),"Y","N")</f>
        <v>N</v>
      </c>
      <c r="X36" s="204">
        <f t="shared" si="4"/>
        <v>1</v>
      </c>
      <c r="Y36" s="204">
        <f t="shared" si="5"/>
        <v>23.2942</v>
      </c>
      <c r="Z36" s="204">
        <f t="shared" si="6"/>
        <v>1.54E-2</v>
      </c>
      <c r="AA36" s="204">
        <f t="shared" si="7"/>
        <v>23.2788</v>
      </c>
      <c r="AB36" s="54" t="e">
        <f>VLOOKUP(A36,Enforcements!$C$7:$K$9,8,0)</f>
        <v>#N/A</v>
      </c>
      <c r="AC36" s="51" t="e">
        <f>VLOOKUP(A36,Enforcements!$C$7:$E$9,3,0)</f>
        <v>#N/A</v>
      </c>
      <c r="AD36" s="179">
        <f t="shared" si="8"/>
        <v>124</v>
      </c>
      <c r="AE36" s="77" t="str">
        <f t="shared" si="9"/>
        <v>aws s3 cp s3://rtdc.mdm.uploadarchive.raw/RTDC4027/ "%USERPROFILE%\AppData\Local\Temp\OnboardLogs"\RTDC4027\2017-11-10 --exclude "*" --recursive --include "*20171110*" &amp; "%USERPROFILE%\Documents\GitHub\mrs-test-scripts\Headless Mode &amp; Sideloading\WalkAndUnGZ.bat" "%USERPROFILE%\AppData\Local\Temp\OnboardLogs"\RTDC4027\2017-11-10 &amp; aws s3 cp s3://rtdc.mdm.uploadarchive.raw/RTDC4027/ "%USERPROFILE%\AppData\Local\Temp\OnboardLogs"\RTDC4027\2017-11-11 --exclude "*" --recursive --include "*20171111*" &amp; "%USERPROFILE%\Documents\GitHub\mrs-test-scripts\Headless Mode &amp; Sideloading\WalkAndUnGZ.bat" "%USERPROFILE%\AppData\Local\Temp\OnboardLogs"\RTDC4027\2017-11-11</v>
      </c>
      <c r="AF36" s="74" t="str">
        <f t="shared" si="10"/>
        <v>"C:\Program Files (x86)\AstroGrep\AstroGrep.exe" /e /r /s /spath="%USERPROFILE%\AppData\Local\Temp\OnboardLogs" /stypes="app*4027*20171110*" /stext=" 15:.+((SYSTEM_STATE.+slice.+state.+changed )|(ment ac)|(multiple cpu faults)|(system.+state.+changed )|(\[timeout)|(PRM\|1\|D)|(kpr)|(kdp)|(train st.+moving)|(\|lc)|(penalty))"</v>
      </c>
      <c r="AG36" s="182" t="str">
        <f t="shared" si="11"/>
        <v>EC</v>
      </c>
      <c r="AH36" s="78" t="str">
        <f t="shared" si="18"/>
        <v>"%USERPROFILE%\Documents\GitHub\eaglep3\Utilities\RefineRTDCRunTimes.py" --tripid 124-10 --locoid 4027 --swversion DE.1.0.9.0 --startMP 204:232942 --initTime 2017-11-10T07:07:02 --startdatetime 2017-11-10T07:27:23 --delay 79 --endMP 204:154 --enddatetime 2017-11-10T08:03:42 --enforcementcount 1 &gt;&gt;%USERPROFILE%\Documents\GitHub\eaglep3-reporting\EC\2017-11-10-refined-times.txt</v>
      </c>
      <c r="AI36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{"issue":{"subject":"","project_id":79,"tracker_id":40,"status_id":1,"priority_id":2,"assigned_to_id":338,"start_date":"2017-11-10","description":"","custom_fields":[{"id":1,"name":"Subdivision","value":"EC"},{"id":4,"name":"Milepost","value":"0.0154"},{"id":17,"name":"Train ID","value":"124-10"},{"id":16,"name":"Locomotive ID","value":"4027"},{"id":130,"name":"Impact","value":""},{"id":150,"name":"Time of Event (Mountain Time)","value":"08:03:42"},{"id":151,"name":"Denver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4027 --day 2017-11-10</v>
      </c>
      <c r="AN36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15:03:42"},{"id":29,"name":"Sharepoint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2"/>
        <v>https://d0f6bd738d7f1b3e5a7ca70fe4ff75f0.us-east-1.aws.found.io/app/kibana#/discover/Steve-Slow-Train-Analysis-(2080s-and-2083s)?_g=(refreshInterval:(display:Off,pause:!f,section:0,value:0),time:(from:'2017-11-10T06:07:02-0700',mode:absolute,to:'2017-11-10T09:03:42-0700'))&amp;_a=(columns:!('Message%20ID',Summary),filters:!(),index:'emp_*',interval:auto,query:(query_string:(analyze_wildcard:!t,query:'%22rtdc.l.rtdc.4027%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703</v>
      </c>
      <c r="B37" s="7">
        <v>4050</v>
      </c>
      <c r="C37" s="21" t="s">
        <v>192</v>
      </c>
      <c r="D37" s="21" t="s">
        <v>611</v>
      </c>
      <c r="E37" s="13">
        <v>43049.274398148147</v>
      </c>
      <c r="F37" s="13">
        <v>43049.2815162037</v>
      </c>
      <c r="G37" s="7">
        <v>55</v>
      </c>
      <c r="H37" s="21" t="s">
        <v>552</v>
      </c>
      <c r="I37" s="13">
        <v>43049.305034722223</v>
      </c>
      <c r="J37" s="7">
        <v>1</v>
      </c>
      <c r="K37" s="89" t="str">
        <f t="shared" si="0"/>
        <v>4049/4050</v>
      </c>
      <c r="L37" s="185" t="str">
        <f>VLOOKUP(A37,'Trips&amp;Operators'!$C$1:$G$99911,5,FALSE)</f>
        <v>YORK EDGAR</v>
      </c>
      <c r="M37" s="6">
        <f t="shared" si="1"/>
        <v>2.3518518522905651E-2</v>
      </c>
      <c r="N37" s="7">
        <f t="shared" si="23"/>
        <v>33.866666672984138</v>
      </c>
      <c r="O37" s="7"/>
      <c r="P37" s="7"/>
      <c r="Q37" s="22"/>
      <c r="R37" s="174"/>
      <c r="S37" s="221">
        <f t="shared" si="17"/>
        <v>1</v>
      </c>
      <c r="T37" s="174" t="str">
        <f t="shared" si="2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3"/>
        <v>https://d0f6bd738d7f1b3e5a7ca70fe4ff75f0.us-east-1.aws.found.io/app/kibana#/discover/Steve-Slow-Train-Analysis-(2080s-and-2083s)?_g=(refreshInterval:(display:Off,pause:!f,section:0,value:0),time:(from:'2017-11-10T05:35:08-0700',mode:absolute,to:'2017-11-10T08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7" s="204" t="str">
        <f>IF(AA37&lt;VLOOKUP(AG37,Variables!$AC$3:$AD$8,2,FALSE),"Y","N")</f>
        <v>N</v>
      </c>
      <c r="X37" s="204">
        <f t="shared" si="4"/>
        <v>1</v>
      </c>
      <c r="Y37" s="204">
        <f t="shared" si="5"/>
        <v>4.4400000000000002E-2</v>
      </c>
      <c r="Z37" s="204">
        <f t="shared" si="6"/>
        <v>23.329499999999999</v>
      </c>
      <c r="AA37" s="204">
        <f t="shared" si="7"/>
        <v>23.2851</v>
      </c>
      <c r="AB37" s="54" t="e">
        <f>VLOOKUP(A37,Enforcements!$C$7:$K$9,8,0)</f>
        <v>#N/A</v>
      </c>
      <c r="AC37" s="51" t="e">
        <f>VLOOKUP(A37,Enforcements!$C$7:$E$9,3,0)</f>
        <v>#N/A</v>
      </c>
      <c r="AD37" s="179">
        <f t="shared" si="8"/>
        <v>125</v>
      </c>
      <c r="AE37" s="77" t="str">
        <f t="shared" si="9"/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AF37" s="74" t="str">
        <f t="shared" si="10"/>
        <v>"C:\Program Files (x86)\AstroGrep\AstroGrep.exe" /e /r /s /spath="%USERPROFILE%\AppData\Local\Temp\OnboardLogs" /stypes="app*4050*20171110*" /stext=" 14:.+((SYSTEM_STATE.+slice.+state.+changed )|(ment ac)|(multiple cpu faults)|(system.+state.+changed )|(\[timeout)|(PRM\|1\|D)|(kpr)|(kdp)|(train st.+moving)|(\|lc)|(penalty))"</v>
      </c>
      <c r="AG37" s="182" t="str">
        <f t="shared" si="11"/>
        <v>EC</v>
      </c>
      <c r="AH37" s="78" t="str">
        <f t="shared" si="18"/>
        <v>"%USERPROFILE%\Documents\GitHub\eaglep3\Utilities\RefineRTDCRunTimes.py" --tripid 125-10 --locoid 4050 --swversion DE.1.0.9.0 --startMP 204:444 --initTime 2017-11-10T06:35:08 --startdatetime 2017-11-10T06:45:23 --delay 55 --endMP 204:233295 --enddatetime 2017-11-10T07:19:15 --enforcementcount 1 &gt;&gt;%USERPROFILE%\Documents\GitHub\eaglep3-reporting\EC\2017-11-10-refined-times.txt</v>
      </c>
      <c r="AI37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{"issue":{"subject":"","project_id":79,"tracker_id":40,"status_id":1,"priority_id":2,"assigned_to_id":338,"start_date":"2017-11-10","description":"","custom_fields":[{"id":1,"name":"Subdivision","value":"EC"},{"id":4,"name":"Milepost","value":"23.3295"},{"id":17,"name":"Train ID","value":"125-10"},{"id":16,"name":"Locomotive ID","value":"4050"},{"id":130,"name":"Impact","value":""},{"id":150,"name":"Time of Event (Mountain Time)","value":"07:19:15"},{"id":151,"name":"Denver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4050 --day 2017-11-10</v>
      </c>
      <c r="AN37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14:19:15"},{"id":29,"name":"Sharepoint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2"/>
        <v>https://d0f6bd738d7f1b3e5a7ca70fe4ff75f0.us-east-1.aws.found.io/app/kibana#/discover/Steve-Slow-Train-Analysis-(2080s-and-2083s)?_g=(refreshInterval:(display:Off,pause:!f,section:0,value:0),time:(from:'2017-11-10T05:35:08-0700',mode:absolute,to:'2017-11-10T08:19:15-0700'))&amp;_a=(columns:!('Message%20ID',Summary),filters:!(),index:'emp_*',interval:auto,query:(query_string:(analyze_wildcard:!t,query:'%22rtdc.l.rtdc.4050%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711</v>
      </c>
      <c r="B38" s="7">
        <v>4049</v>
      </c>
      <c r="C38" s="21" t="s">
        <v>192</v>
      </c>
      <c r="D38" s="21" t="s">
        <v>485</v>
      </c>
      <c r="E38" s="13">
        <v>43049.306018518517</v>
      </c>
      <c r="F38" s="13">
        <v>43049.321261574078</v>
      </c>
      <c r="G38" s="7">
        <v>44</v>
      </c>
      <c r="H38" s="21" t="s">
        <v>475</v>
      </c>
      <c r="I38" s="13">
        <v>43049.34646990741</v>
      </c>
      <c r="J38" s="7">
        <v>1</v>
      </c>
      <c r="K38" s="89" t="str">
        <f t="shared" si="0"/>
        <v>4049/4050</v>
      </c>
      <c r="L38" s="185" t="str">
        <f>VLOOKUP(A38,'Trips&amp;Operators'!$C$1:$G$99911,5,FALSE)</f>
        <v>YORK EDGAR</v>
      </c>
      <c r="M38" s="6">
        <f t="shared" si="1"/>
        <v>2.5208333332557231E-2</v>
      </c>
      <c r="N38" s="7">
        <f t="shared" si="23"/>
        <v>36.299999998882413</v>
      </c>
      <c r="O38" s="7"/>
      <c r="P38" s="7"/>
      <c r="Q38" s="22"/>
      <c r="R38" s="174"/>
      <c r="S38" s="221">
        <f t="shared" si="17"/>
        <v>1</v>
      </c>
      <c r="T38" s="174" t="str">
        <f t="shared" si="2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3"/>
        <v>https://d0f6bd738d7f1b3e5a7ca70fe4ff75f0.us-east-1.aws.found.io/app/kibana#/discover/Steve-Slow-Train-Analysis-(2080s-and-2083s)?_g=(refreshInterval:(display:Off,pause:!f,section:0,value:0),time:(from:'2017-11-10T06:20:40-0700',mode:absolute,to:'2017-11-10T09:18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8" s="204" t="str">
        <f>IF(AA38&lt;VLOOKUP(AG38,Variables!$AC$3:$AD$8,2,FALSE),"Y","N")</f>
        <v>N</v>
      </c>
      <c r="X38" s="204">
        <f t="shared" si="4"/>
        <v>1</v>
      </c>
      <c r="Y38" s="204">
        <f t="shared" si="5"/>
        <v>23.296700000000001</v>
      </c>
      <c r="Z38" s="204">
        <f t="shared" si="6"/>
        <v>1.5800000000000002E-2</v>
      </c>
      <c r="AA38" s="204">
        <f t="shared" si="7"/>
        <v>23.280900000000003</v>
      </c>
      <c r="AB38" s="54" t="e">
        <f>VLOOKUP(A38,Enforcements!$C$7:$K$9,8,0)</f>
        <v>#N/A</v>
      </c>
      <c r="AC38" s="51" t="e">
        <f>VLOOKUP(A38,Enforcements!$C$7:$E$9,3,0)</f>
        <v>#N/A</v>
      </c>
      <c r="AD38" s="179">
        <f t="shared" si="8"/>
        <v>126</v>
      </c>
      <c r="AE38" s="77" t="str">
        <f t="shared" si="9"/>
        <v>aws s3 cp s3://rtdc.mdm.uploadarchive.raw/RTDC4049/ "%USERPROFILE%\AppData\Local\Temp\OnboardLogs"\RTDC4049\2017-11-10 --exclude "*" --recursive --include "*20171110*" &amp; "%USERPROFILE%\Documents\GitHub\mrs-test-scripts\Headless Mode &amp; Sideloading\WalkAndUnGZ.bat" "%USERPROFILE%\AppData\Local\Temp\OnboardLogs"\RTDC4049\2017-11-10 &amp; aws s3 cp s3://rtdc.mdm.uploadarchive.raw/RTDC4049/ "%USERPROFILE%\AppData\Local\Temp\OnboardLogs"\RTDC4049\2017-11-11 --exclude "*" --recursive --include "*20171111*" &amp; "%USERPROFILE%\Documents\GitHub\mrs-test-scripts\Headless Mode &amp; Sideloading\WalkAndUnGZ.bat" "%USERPROFILE%\AppData\Local\Temp\OnboardLogs"\RTDC4049\2017-11-11</v>
      </c>
      <c r="AF38" s="74" t="str">
        <f t="shared" si="10"/>
        <v>"C:\Program Files (x86)\AstroGrep\AstroGrep.exe" /e /r /s /spath="%USERPROFILE%\AppData\Local\Temp\OnboardLogs" /stypes="app*4049*20171110*" /stext=" 15:.+((SYSTEM_STATE.+slice.+state.+changed )|(ment ac)|(multiple cpu faults)|(system.+state.+changed )|(\[timeout)|(PRM\|1\|D)|(kpr)|(kdp)|(train st.+moving)|(\|lc)|(penalty))"</v>
      </c>
      <c r="AG38" s="182" t="str">
        <f t="shared" si="11"/>
        <v>EC</v>
      </c>
      <c r="AH38" s="78" t="str">
        <f t="shared" si="18"/>
        <v>"%USERPROFILE%\Documents\GitHub\eaglep3\Utilities\RefineRTDCRunTimes.py" --tripid 126-10 --locoid 4049 --swversion DE.1.0.9.0 --startMP 204:232967 --initTime 2017-11-10T07:20:40 --startdatetime 2017-11-10T07:42:37 --delay 44 --endMP 204:158 --enddatetime 2017-11-10T08:18:55 --enforcementcount 1 &gt;&gt;%USERPROFILE%\Documents\GitHub\eaglep3-reporting\EC\2017-11-10-refined-times.txt</v>
      </c>
      <c r="AI38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{"issue":{"subject":"","project_id":79,"tracker_id":40,"status_id":1,"priority_id":2,"assigned_to_id":338,"start_date":"2017-11-10","description":"","custom_fields":[{"id":1,"name":"Subdivision","value":"EC"},{"id":4,"name":"Milepost","value":"0.0158"},{"id":17,"name":"Train ID","value":"126-10"},{"id":16,"name":"Locomotive ID","value":"4049"},{"id":130,"name":"Impact","value":""},{"id":150,"name":"Time of Event (Mountain Time)","value":"08:18:55"},{"id":151,"name":"Denver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4049 --day 2017-11-10</v>
      </c>
      <c r="AN38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15:18:55"},{"id":29,"name":"Sharepoint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2"/>
        <v>https://d0f6bd738d7f1b3e5a7ca70fe4ff75f0.us-east-1.aws.found.io/app/kibana#/discover/Steve-Slow-Train-Analysis-(2080s-and-2083s)?_g=(refreshInterval:(display:Off,pause:!f,section:0,value:0),time:(from:'2017-11-10T06:20:40-0700',mode:absolute,to:'2017-11-10T09:18:55-0700'))&amp;_a=(columns:!('Message%20ID',Summary),filters:!(),index:'emp_*',interval:auto,query:(query_string:(analyze_wildcard:!t,query:'%22rtdc.l.rtdc.4049%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707</v>
      </c>
      <c r="B39" s="7">
        <v>4012</v>
      </c>
      <c r="C39" s="21" t="s">
        <v>192</v>
      </c>
      <c r="D39" s="21" t="s">
        <v>911</v>
      </c>
      <c r="E39" s="13">
        <v>43049.289641203701</v>
      </c>
      <c r="F39" s="13">
        <v>43049.292280092595</v>
      </c>
      <c r="G39" s="7">
        <v>84</v>
      </c>
      <c r="H39" s="21" t="s">
        <v>912</v>
      </c>
      <c r="I39" s="13">
        <v>43049.316759259258</v>
      </c>
      <c r="J39" s="7">
        <v>1</v>
      </c>
      <c r="K39" s="89" t="str">
        <f t="shared" si="0"/>
        <v>4011/4012</v>
      </c>
      <c r="L39" s="185" t="str">
        <f>VLOOKUP(A39,'Trips&amp;Operators'!$C$1:$G$99911,5,FALSE)</f>
        <v>MACDONALD THOMAS</v>
      </c>
      <c r="M39" s="6">
        <f t="shared" si="1"/>
        <v>2.4479166662786156E-2</v>
      </c>
      <c r="N39" s="7">
        <f t="shared" si="23"/>
        <v>35.249999994412065</v>
      </c>
      <c r="O39" s="7"/>
      <c r="P39" s="7"/>
      <c r="Q39" s="22"/>
      <c r="R39" s="174"/>
      <c r="S39" s="221">
        <f t="shared" si="17"/>
        <v>1</v>
      </c>
      <c r="T39" s="174" t="str">
        <f t="shared" si="2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3"/>
        <v>https://d0f6bd738d7f1b3e5a7ca70fe4ff75f0.us-east-1.aws.found.io/app/kibana#/discover/Steve-Slow-Train-Analysis-(2080s-and-2083s)?_g=(refreshInterval:(display:Off,pause:!f,section:0,value:0),time:(from:'2017-11-10T05:57:05-0700',mode:absolute,to:'2017-11-10T08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9" s="204" t="str">
        <f>IF(AA39&lt;VLOOKUP(AG39,Variables!$AC$3:$AD$8,2,FALSE),"Y","N")</f>
        <v>N</v>
      </c>
      <c r="X39" s="204">
        <f t="shared" si="4"/>
        <v>1</v>
      </c>
      <c r="Y39" s="204">
        <f t="shared" si="5"/>
        <v>4.8399999999999999E-2</v>
      </c>
      <c r="Z39" s="204">
        <f t="shared" si="6"/>
        <v>23.319099999999999</v>
      </c>
      <c r="AA39" s="204">
        <f t="shared" si="7"/>
        <v>23.270699999999998</v>
      </c>
      <c r="AB39" s="54" t="e">
        <f>VLOOKUP(A39,Enforcements!$C$7:$K$9,8,0)</f>
        <v>#N/A</v>
      </c>
      <c r="AC39" s="51" t="e">
        <f>VLOOKUP(A39,Enforcements!$C$7:$E$9,3,0)</f>
        <v>#N/A</v>
      </c>
      <c r="AD39" s="179">
        <f t="shared" si="8"/>
        <v>127</v>
      </c>
      <c r="AE39" s="77" t="str">
        <f t="shared" si="9"/>
        <v>aws s3 cp s3://rtdc.mdm.uploadarchive.raw/RTDC4012/ "%USERPROFILE%\AppData\Local\Temp\OnboardLogs"\RTDC4012\2017-11-10 --exclude "*" --recursive --include "*20171110*" &amp; "%USERPROFILE%\Documents\GitHub\mrs-test-scripts\Headless Mode &amp; Sideloading\WalkAndUnGZ.bat" "%USERPROFILE%\AppData\Local\Temp\OnboardLogs"\RTDC4012\2017-11-10 &amp; aws s3 cp s3://rtdc.mdm.uploadarchive.raw/RTDC4012/ "%USERPROFILE%\AppData\Local\Temp\OnboardLogs"\RTDC4012\2017-11-11 --exclude "*" --recursive --include "*20171111*" &amp; "%USERPROFILE%\Documents\GitHub\mrs-test-scripts\Headless Mode &amp; Sideloading\WalkAndUnGZ.bat" "%USERPROFILE%\AppData\Local\Temp\OnboardLogs"\RTDC4012\2017-11-11</v>
      </c>
      <c r="AF39" s="74" t="str">
        <f t="shared" si="10"/>
        <v>"C:\Program Files (x86)\AstroGrep\AstroGrep.exe" /e /r /s /spath="%USERPROFILE%\AppData\Local\Temp\OnboardLogs" /stypes="app*4012*20171110*" /stext=" 14:.+((SYSTEM_STATE.+slice.+state.+changed )|(ment ac)|(multiple cpu faults)|(system.+state.+changed )|(\[timeout)|(PRM\|1\|D)|(kpr)|(kdp)|(train st.+moving)|(\|lc)|(penalty))"</v>
      </c>
      <c r="AG39" s="182" t="str">
        <f t="shared" si="11"/>
        <v>EC</v>
      </c>
      <c r="AH39" s="78" t="str">
        <f t="shared" si="18"/>
        <v>"%USERPROFILE%\Documents\GitHub\eaglep3\Utilities\RefineRTDCRunTimes.py" --tripid 127-10 --locoid 4012 --swversion DE.1.0.9.0 --startMP 204:484 --initTime 2017-11-10T06:57:05 --startdatetime 2017-11-10T07:00:53 --delay 84 --endMP 204:233191 --enddatetime 2017-11-10T07:36:08 --enforcementcount 1 &gt;&gt;%USERPROFILE%\Documents\GitHub\eaglep3-reporting\EC\2017-11-10-refined-times.txt</v>
      </c>
      <c r="AI39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{"issue":{"subject":"","project_id":79,"tracker_id":40,"status_id":1,"priority_id":2,"assigned_to_id":338,"start_date":"2017-11-10","description":"","custom_fields":[{"id":1,"name":"Subdivision","value":"EC"},{"id":4,"name":"Milepost","value":"23.3191"},{"id":17,"name":"Train ID","value":"127-10"},{"id":16,"name":"Locomotive ID","value":"4012"},{"id":130,"name":"Impact","value":""},{"id":150,"name":"Time of Event (Mountain Time)","value":"07:36:08"},{"id":151,"name":"Denver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4012 --day 2017-11-10</v>
      </c>
      <c r="AN39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14:36:08"},{"id":29,"name":"Sharepoint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2"/>
        <v>https://d0f6bd738d7f1b3e5a7ca70fe4ff75f0.us-east-1.aws.found.io/app/kibana#/discover/Steve-Slow-Train-Analysis-(2080s-and-2083s)?_g=(refreshInterval:(display:Off,pause:!f,section:0,value:0),time:(from:'2017-11-10T05:57:05-0700',mode:absolute,to:'2017-11-10T08:36:08-0700'))&amp;_a=(columns:!('Message%20ID',Summary),filters:!(),index:'emp_*',interval:auto,query:(query_string:(analyze_wildcard:!t,query:'%22rtdc.l.rtdc.4012%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716</v>
      </c>
      <c r="B40" s="7">
        <v>4011</v>
      </c>
      <c r="C40" s="21" t="s">
        <v>192</v>
      </c>
      <c r="D40" s="21" t="s">
        <v>913</v>
      </c>
      <c r="E40" s="13">
        <v>43049.328043981484</v>
      </c>
      <c r="F40" s="13">
        <v>43049.33185185185</v>
      </c>
      <c r="G40" s="7">
        <v>74</v>
      </c>
      <c r="H40" s="21" t="s">
        <v>914</v>
      </c>
      <c r="I40" s="13">
        <v>43049.358564814815</v>
      </c>
      <c r="J40" s="7">
        <v>1</v>
      </c>
      <c r="K40" s="89" t="str">
        <f t="shared" si="0"/>
        <v>4011/4012</v>
      </c>
      <c r="L40" s="185" t="str">
        <f>VLOOKUP(A40,'Trips&amp;Operators'!$C$1:$G$99911,5,FALSE)</f>
        <v>MACDONALD THOMAS</v>
      </c>
      <c r="M40" s="6">
        <f t="shared" si="1"/>
        <v>2.6712962964666076E-2</v>
      </c>
      <c r="N40" s="7">
        <f t="shared" si="23"/>
        <v>38.466666669119149</v>
      </c>
      <c r="O40" s="7"/>
      <c r="P40" s="7"/>
      <c r="Q40" s="22"/>
      <c r="R40" s="174"/>
      <c r="S40" s="221">
        <f t="shared" si="17"/>
        <v>1</v>
      </c>
      <c r="T40" s="174" t="str">
        <f t="shared" si="2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3"/>
        <v>https://d0f6bd738d7f1b3e5a7ca70fe4ff75f0.us-east-1.aws.found.io/app/kibana#/discover/Steve-Slow-Train-Analysis-(2080s-and-2083s)?_g=(refreshInterval:(display:Off,pause:!f,section:0,value:0),time:(from:'2017-11-10T06:52:23-0700',mode:absolute,to:'2017-11-10T09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204" t="str">
        <f>IF(AA40&lt;VLOOKUP(AG40,Variables!$AC$3:$AD$8,2,FALSE),"Y","N")</f>
        <v>N</v>
      </c>
      <c r="X40" s="204">
        <f t="shared" si="4"/>
        <v>1</v>
      </c>
      <c r="Y40" s="204">
        <f t="shared" si="5"/>
        <v>23.287199999999999</v>
      </c>
      <c r="Z40" s="204">
        <f t="shared" si="6"/>
        <v>3.1800000000000002E-2</v>
      </c>
      <c r="AA40" s="204">
        <f t="shared" si="7"/>
        <v>23.255399999999998</v>
      </c>
      <c r="AB40" s="54" t="e">
        <f>VLOOKUP(A40,Enforcements!$C$7:$K$9,8,0)</f>
        <v>#N/A</v>
      </c>
      <c r="AC40" s="51" t="e">
        <f>VLOOKUP(A40,Enforcements!$C$7:$E$9,3,0)</f>
        <v>#N/A</v>
      </c>
      <c r="AD40" s="179">
        <f t="shared" si="8"/>
        <v>128</v>
      </c>
      <c r="AE40" s="77" t="str">
        <f t="shared" si="9"/>
        <v>aws s3 cp s3://rtdc.mdm.uploadarchive.raw/RTDC4011/ "%USERPROFILE%\AppData\Local\Temp\OnboardLogs"\RTDC4011\2017-11-10 --exclude "*" --recursive --include "*20171110*" &amp; "%USERPROFILE%\Documents\GitHub\mrs-test-scripts\Headless Mode &amp; Sideloading\WalkAndUnGZ.bat" "%USERPROFILE%\AppData\Local\Temp\OnboardLogs"\RTDC4011\2017-11-10 &amp; aws s3 cp s3://rtdc.mdm.uploadarchive.raw/RTDC4011/ "%USERPROFILE%\AppData\Local\Temp\OnboardLogs"\RTDC4011\2017-11-11 --exclude "*" --recursive --include "*20171111*" &amp; "%USERPROFILE%\Documents\GitHub\mrs-test-scripts\Headless Mode &amp; Sideloading\WalkAndUnGZ.bat" "%USERPROFILE%\AppData\Local\Temp\OnboardLogs"\RTDC4011\2017-11-11</v>
      </c>
      <c r="AF40" s="74" t="str">
        <f t="shared" si="10"/>
        <v>"C:\Program Files (x86)\AstroGrep\AstroGrep.exe" /e /r /s /spath="%USERPROFILE%\AppData\Local\Temp\OnboardLogs" /stypes="app*4011*20171110*" /stext=" 15:.+((SYSTEM_STATE.+slice.+state.+changed )|(ment ac)|(multiple cpu faults)|(system.+state.+changed )|(\[timeout)|(PRM\|1\|D)|(kpr)|(kdp)|(train st.+moving)|(\|lc)|(penalty))"</v>
      </c>
      <c r="AG40" s="182" t="str">
        <f t="shared" si="11"/>
        <v>EC</v>
      </c>
      <c r="AH40" s="78" t="str">
        <f t="shared" si="18"/>
        <v>"%USERPROFILE%\Documents\GitHub\eaglep3\Utilities\RefineRTDCRunTimes.py" --tripid 128-10 --locoid 4011 --swversion DE.1.0.9.0 --startMP 204:232872 --initTime 2017-11-10T07:52:23 --startdatetime 2017-11-10T07:57:52 --delay 74 --endMP 204:318 --enddatetime 2017-11-10T08:36:20 --enforcementcount 1 &gt;&gt;%USERPROFILE%\Documents\GitHub\eaglep3-reporting\EC\2017-11-10-refined-times.txt</v>
      </c>
      <c r="AI40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{"issue":{"subject":"","project_id":79,"tracker_id":40,"status_id":1,"priority_id":2,"assigned_to_id":338,"start_date":"2017-11-10","description":"","custom_fields":[{"id":1,"name":"Subdivision","value":"EC"},{"id":4,"name":"Milepost","value":"0.0318"},{"id":17,"name":"Train ID","value":"128-10"},{"id":16,"name":"Locomotive ID","value":"4011"},{"id":130,"name":"Impact","value":""},{"id":150,"name":"Time of Event (Mountain Time)","value":"08:36:20"},{"id":151,"name":"Denver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4011 --day 2017-11-10</v>
      </c>
      <c r="AN40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15:36:20"},{"id":29,"name":"Sharepoint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2"/>
        <v>https://d0f6bd738d7f1b3e5a7ca70fe4ff75f0.us-east-1.aws.found.io/app/kibana#/discover/Steve-Slow-Train-Analysis-(2080s-and-2083s)?_g=(refreshInterval:(display:Off,pause:!f,section:0,value:0),time:(from:'2017-11-10T06:52:23-0700',mode:absolute,to:'2017-11-10T09:36:20-0700'))&amp;_a=(columns:!('Message%20ID',Summary),filters:!(),index:'emp_*',interval:auto,query:(query_string:(analyze_wildcard:!t,query:'%22rtdc.l.rtdc.4011%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710</v>
      </c>
      <c r="B41" s="7">
        <v>4052</v>
      </c>
      <c r="C41" s="21" t="s">
        <v>192</v>
      </c>
      <c r="D41" s="21" t="s">
        <v>547</v>
      </c>
      <c r="E41" s="13">
        <v>43049.297835648147</v>
      </c>
      <c r="F41" s="13">
        <v>43049.302430555559</v>
      </c>
      <c r="G41" s="7">
        <v>43</v>
      </c>
      <c r="H41" s="21" t="s">
        <v>915</v>
      </c>
      <c r="I41" s="13">
        <v>43049.326608796298</v>
      </c>
      <c r="J41" s="7">
        <v>1</v>
      </c>
      <c r="K41" s="89" t="str">
        <f t="shared" si="0"/>
        <v>4051/4052</v>
      </c>
      <c r="L41" s="185" t="str">
        <f>VLOOKUP(A41,'Trips&amp;Operators'!$C$1:$G$99911,5,FALSE)</f>
        <v>MAELZER KURT</v>
      </c>
      <c r="M41" s="6">
        <f t="shared" si="1"/>
        <v>2.417824073927477E-2</v>
      </c>
      <c r="N41" s="7">
        <f t="shared" si="23"/>
        <v>34.816666664555669</v>
      </c>
      <c r="O41" s="7"/>
      <c r="P41" s="7"/>
      <c r="Q41" s="22"/>
      <c r="R41" s="174"/>
      <c r="S41" s="221">
        <f t="shared" si="17"/>
        <v>1</v>
      </c>
      <c r="T41" s="174" t="str">
        <f t="shared" si="2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3"/>
        <v>https://d0f6bd738d7f1b3e5a7ca70fe4ff75f0.us-east-1.aws.found.io/app/kibana#/discover/Steve-Slow-Train-Analysis-(2080s-and-2083s)?_g=(refreshInterval:(display:Off,pause:!f,section:0,value:0),time:(from:'2017-11-10T06:08:53-0700',mode:absolute,to:'2017-11-10T08:50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1" s="204" t="str">
        <f>IF(AA41&lt;VLOOKUP(AG41,Variables!$AC$3:$AD$8,2,FALSE),"Y","N")</f>
        <v>N</v>
      </c>
      <c r="X41" s="204">
        <f t="shared" si="4"/>
        <v>1</v>
      </c>
      <c r="Y41" s="204">
        <f t="shared" si="5"/>
        <v>4.58E-2</v>
      </c>
      <c r="Z41" s="204">
        <f t="shared" si="6"/>
        <v>23.330300000000001</v>
      </c>
      <c r="AA41" s="204">
        <f t="shared" si="7"/>
        <v>23.284500000000001</v>
      </c>
      <c r="AB41" s="54" t="e">
        <f>VLOOKUP(A41,Enforcements!$C$7:$K$9,8,0)</f>
        <v>#N/A</v>
      </c>
      <c r="AC41" s="51" t="e">
        <f>VLOOKUP(A41,Enforcements!$C$7:$E$9,3,0)</f>
        <v>#N/A</v>
      </c>
      <c r="AD41" s="179">
        <f t="shared" si="8"/>
        <v>129</v>
      </c>
      <c r="AE41" s="77" t="str">
        <f t="shared" si="9"/>
        <v>aws s3 cp s3://rtdc.mdm.uploadarchive.raw/RTDC4052/ "%USERPROFILE%\AppData\Local\Temp\OnboardLogs"\RTDC4052\2017-11-10 --exclude "*" --recursive --include "*20171110*" &amp; "%USERPROFILE%\Documents\GitHub\mrs-test-scripts\Headless Mode &amp; Sideloading\WalkAndUnGZ.bat" "%USERPROFILE%\AppData\Local\Temp\OnboardLogs"\RTDC4052\2017-11-10 &amp; aws s3 cp s3://rtdc.mdm.uploadarchive.raw/RTDC4052/ "%USERPROFILE%\AppData\Local\Temp\OnboardLogs"\RTDC4052\2017-11-11 --exclude "*" --recursive --include "*20171111*" &amp; "%USERPROFILE%\Documents\GitHub\mrs-test-scripts\Headless Mode &amp; Sideloading\WalkAndUnGZ.bat" "%USERPROFILE%\AppData\Local\Temp\OnboardLogs"\RTDC4052\2017-11-11</v>
      </c>
      <c r="AF41" s="74" t="str">
        <f t="shared" si="10"/>
        <v>"C:\Program Files (x86)\AstroGrep\AstroGrep.exe" /e /r /s /spath="%USERPROFILE%\AppData\Local\Temp\OnboardLogs" /stypes="app*4052*20171110*" /stext=" 14:.+((SYSTEM_STATE.+slice.+state.+changed )|(ment ac)|(multiple cpu faults)|(system.+state.+changed )|(\[timeout)|(PRM\|1\|D)|(kpr)|(kdp)|(train st.+moving)|(\|lc)|(penalty))"</v>
      </c>
      <c r="AG41" s="182" t="str">
        <f t="shared" si="11"/>
        <v>EC</v>
      </c>
      <c r="AH41" s="78" t="str">
        <f t="shared" si="18"/>
        <v>"%USERPROFILE%\Documents\GitHub\eaglep3\Utilities\RefineRTDCRunTimes.py" --tripid 129-10 --locoid 4052 --swversion DE.1.0.9.0 --startMP 204:458 --initTime 2017-11-10T07:08:53 --startdatetime 2017-11-10T07:15:30 --delay 43 --endMP 204:233303 --enddatetime 2017-11-10T07:50:19 --enforcementcount 1 &gt;&gt;%USERPROFILE%\Documents\GitHub\eaglep3-reporting\EC\2017-11-10-refined-times.txt</v>
      </c>
      <c r="AI41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{"issue":{"subject":"","project_id":79,"tracker_id":40,"status_id":1,"priority_id":2,"assigned_to_id":338,"start_date":"2017-11-10","description":"","custom_fields":[{"id":1,"name":"Subdivision","value":"EC"},{"id":4,"name":"Milepost","value":"23.3303"},{"id":17,"name":"Train ID","value":"129-10"},{"id":16,"name":"Locomotive ID","value":"4052"},{"id":130,"name":"Impact","value":""},{"id":150,"name":"Time of Event (Mountain Time)","value":"07:50:19"},{"id":151,"name":"Denver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4052 --day 2017-11-10</v>
      </c>
      <c r="AN41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14:50:19"},{"id":29,"name":"Sharepoint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2"/>
        <v>https://d0f6bd738d7f1b3e5a7ca70fe4ff75f0.us-east-1.aws.found.io/app/kibana#/discover/Steve-Slow-Train-Analysis-(2080s-and-2083s)?_g=(refreshInterval:(display:Off,pause:!f,section:0,value:0),time:(from:'2017-11-10T06:08:53-0700',mode:absolute,to:'2017-11-10T08:50:19-0700'))&amp;_a=(columns:!('Message%20ID',Summary),filters:!(),index:'emp_*',interval:auto,query:(query_string:(analyze_wildcard:!t,query:'%22rtdc.l.rtdc.4052%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719</v>
      </c>
      <c r="B42" s="7">
        <v>4051</v>
      </c>
      <c r="C42" s="21" t="s">
        <v>192</v>
      </c>
      <c r="D42" s="21" t="s">
        <v>889</v>
      </c>
      <c r="E42" s="13">
        <v>43049.330960648149</v>
      </c>
      <c r="F42" s="13">
        <v>43049.341967592591</v>
      </c>
      <c r="G42" s="7">
        <v>79</v>
      </c>
      <c r="H42" s="21" t="s">
        <v>916</v>
      </c>
      <c r="I42" s="13">
        <v>43049.368726851855</v>
      </c>
      <c r="J42" s="7">
        <v>1</v>
      </c>
      <c r="K42" s="89" t="str">
        <f t="shared" si="0"/>
        <v>4051/4052</v>
      </c>
      <c r="L42" s="185" t="str">
        <f>VLOOKUP(A42,'Trips&amp;Operators'!$C$1:$G$99911,5,FALSE)</f>
        <v>MAELZER KURT</v>
      </c>
      <c r="M42" s="6">
        <f t="shared" si="1"/>
        <v>2.6759259264508728E-2</v>
      </c>
      <c r="N42" s="7">
        <f t="shared" si="23"/>
        <v>38.533333340892568</v>
      </c>
      <c r="O42" s="7"/>
      <c r="P42" s="7"/>
      <c r="Q42" s="22"/>
      <c r="R42" s="174"/>
      <c r="S42" s="221">
        <f t="shared" si="17"/>
        <v>1</v>
      </c>
      <c r="T42" s="174" t="str">
        <f t="shared" si="2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3"/>
        <v>https://d0f6bd738d7f1b3e5a7ca70fe4ff75f0.us-east-1.aws.found.io/app/kibana#/discover/Steve-Slow-Train-Analysis-(2080s-and-2083s)?_g=(refreshInterval:(display:Off,pause:!f,section:0,value:0),time:(from:'2017-11-10T06:56:35-0700',mode:absolute,to:'2017-11-10T09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2" s="204" t="str">
        <f>IF(AA42&lt;VLOOKUP(AG42,Variables!$AC$3:$AD$8,2,FALSE),"Y","N")</f>
        <v>N</v>
      </c>
      <c r="X42" s="204">
        <f t="shared" si="4"/>
        <v>1</v>
      </c>
      <c r="Y42" s="204">
        <f t="shared" si="5"/>
        <v>23.2973</v>
      </c>
      <c r="Z42" s="204">
        <f t="shared" si="6"/>
        <v>1.9800000000000002E-2</v>
      </c>
      <c r="AA42" s="204">
        <f t="shared" si="7"/>
        <v>23.2775</v>
      </c>
      <c r="AB42" s="54" t="e">
        <f>VLOOKUP(A42,Enforcements!$C$7:$K$9,8,0)</f>
        <v>#N/A</v>
      </c>
      <c r="AC42" s="51" t="e">
        <f>VLOOKUP(A42,Enforcements!$C$7:$E$9,3,0)</f>
        <v>#N/A</v>
      </c>
      <c r="AD42" s="179">
        <f t="shared" si="8"/>
        <v>130</v>
      </c>
      <c r="AE42" s="77" t="str">
        <f t="shared" si="9"/>
        <v>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 &amp; 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</v>
      </c>
      <c r="AF42" s="74" t="str">
        <f t="shared" si="10"/>
        <v>"C:\Program Files (x86)\AstroGrep\AstroGrep.exe" /e /r /s /spath="%USERPROFILE%\AppData\Local\Temp\OnboardLogs" /stypes="app*4051*20171110*" /stext=" 15:.+((SYSTEM_STATE.+slice.+state.+changed )|(ment ac)|(multiple cpu faults)|(system.+state.+changed )|(\[timeout)|(PRM\|1\|D)|(kpr)|(kdp)|(train st.+moving)|(\|lc)|(penalty))"</v>
      </c>
      <c r="AG42" s="182" t="str">
        <f t="shared" si="11"/>
        <v>EC</v>
      </c>
      <c r="AH42" s="78" t="str">
        <f t="shared" si="18"/>
        <v>"%USERPROFILE%\Documents\GitHub\eaglep3\Utilities\RefineRTDCRunTimes.py" --tripid 130-10 --locoid 4051 --swversion DE.1.0.9.0 --startMP 204:232973 --initTime 2017-11-10T07:56:35 --startdatetime 2017-11-10T08:12:26 --delay 79 --endMP 204:198 --enddatetime 2017-11-10T08:50:58 --enforcementcount 1 &gt;&gt;%USERPROFILE%\Documents\GitHub\eaglep3-reporting\EC\2017-11-10-refined-times.txt</v>
      </c>
      <c r="AI42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{"issue":{"subject":"","project_id":79,"tracker_id":40,"status_id":1,"priority_id":2,"assigned_to_id":338,"start_date":"2017-11-10","description":"","custom_fields":[{"id":1,"name":"Subdivision","value":"EC"},{"id":4,"name":"Milepost","value":"0.0198"},{"id":17,"name":"Train ID","value":"130-10"},{"id":16,"name":"Locomotive ID","value":"4051"},{"id":130,"name":"Impact","value":""},{"id":150,"name":"Time of Event (Mountain Time)","value":"08:50:58"},{"id":151,"name":"Denver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4051 --day 2017-11-10</v>
      </c>
      <c r="AN42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15:50:58"},{"id":29,"name":"Sharepoint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2"/>
        <v>https://d0f6bd738d7f1b3e5a7ca70fe4ff75f0.us-east-1.aws.found.io/app/kibana#/discover/Steve-Slow-Train-Analysis-(2080s-and-2083s)?_g=(refreshInterval:(display:Off,pause:!f,section:0,value:0),time:(from:'2017-11-10T06:56:35-0700',mode:absolute,to:'2017-11-10T09:50:58-0700'))&amp;_a=(columns:!('Message%20ID',Summary),filters:!(),index:'emp_*',interval:auto,query:(query_string:(analyze_wildcard:!t,query:'%22rtdc.l.rtdc.4051%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712</v>
      </c>
      <c r="B43" s="7">
        <v>4042</v>
      </c>
      <c r="C43" s="21" t="s">
        <v>192</v>
      </c>
      <c r="D43" s="21" t="s">
        <v>917</v>
      </c>
      <c r="E43" s="13">
        <v>43049.307256944441</v>
      </c>
      <c r="F43" s="13">
        <v>43049.312731481485</v>
      </c>
      <c r="G43" s="7">
        <v>73</v>
      </c>
      <c r="H43" s="21" t="s">
        <v>918</v>
      </c>
      <c r="I43" s="13">
        <v>43049.337418981479</v>
      </c>
      <c r="J43" s="7">
        <v>1</v>
      </c>
      <c r="K43" s="89" t="str">
        <f t="shared" si="0"/>
        <v>4041/4042</v>
      </c>
      <c r="L43" s="185" t="str">
        <f>VLOOKUP(A43,'Trips&amp;Operators'!$C$1:$G$99911,5,FALSE)</f>
        <v>YANAI IAN</v>
      </c>
      <c r="M43" s="6">
        <f t="shared" si="1"/>
        <v>2.4687499993888196E-2</v>
      </c>
      <c r="N43" s="7">
        <f t="shared" si="23"/>
        <v>35.549999991199002</v>
      </c>
      <c r="O43" s="7"/>
      <c r="P43" s="7"/>
      <c r="Q43" s="22"/>
      <c r="R43" s="174"/>
      <c r="S43" s="221">
        <f t="shared" si="17"/>
        <v>1</v>
      </c>
      <c r="T43" s="174" t="str">
        <f t="shared" si="2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3"/>
        <v>https://d0f6bd738d7f1b3e5a7ca70fe4ff75f0.us-east-1.aws.found.io/app/kibana#/discover/Steve-Slow-Train-Analysis-(2080s-and-2083s)?_g=(refreshInterval:(display:Off,pause:!f,section:0,value:0),time:(from:'2017-11-10T06:22:27-0700',mode:absolute,to:'2017-11-10T09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204" t="str">
        <f>IF(AA43&lt;VLOOKUP(AG43,Variables!$AC$3:$AD$8,2,FALSE),"Y","N")</f>
        <v>N</v>
      </c>
      <c r="X43" s="204">
        <f t="shared" si="4"/>
        <v>1</v>
      </c>
      <c r="Y43" s="204">
        <f t="shared" si="5"/>
        <v>0.05</v>
      </c>
      <c r="Z43" s="204">
        <f t="shared" si="6"/>
        <v>23.3325</v>
      </c>
      <c r="AA43" s="204">
        <f t="shared" si="7"/>
        <v>23.282499999999999</v>
      </c>
      <c r="AB43" s="54" t="e">
        <f>VLOOKUP(A43,Enforcements!$C$7:$K$9,8,0)</f>
        <v>#N/A</v>
      </c>
      <c r="AC43" s="51" t="e">
        <f>VLOOKUP(A43,Enforcements!$C$7:$E$9,3,0)</f>
        <v>#N/A</v>
      </c>
      <c r="AD43" s="179">
        <f t="shared" si="8"/>
        <v>131</v>
      </c>
      <c r="AE43" s="77" t="str">
        <f t="shared" si="9"/>
        <v>aws s3 cp s3://rtdc.mdm.uploadarchive.raw/RTDC4042/ "%USERPROFILE%\AppData\Local\Temp\OnboardLogs"\RTDC4042\2017-11-10 --exclude "*" --recursive --include "*20171110*" &amp; "%USERPROFILE%\Documents\GitHub\mrs-test-scripts\Headless Mode &amp; Sideloading\WalkAndUnGZ.bat" "%USERPROFILE%\AppData\Local\Temp\OnboardLogs"\RTDC4042\2017-11-10 &amp; aws s3 cp s3://rtdc.mdm.uploadarchive.raw/RTDC4042/ "%USERPROFILE%\AppData\Local\Temp\OnboardLogs"\RTDC4042\2017-11-11 --exclude "*" --recursive --include "*20171111*" &amp; "%USERPROFILE%\Documents\GitHub\mrs-test-scripts\Headless Mode &amp; Sideloading\WalkAndUnGZ.bat" "%USERPROFILE%\AppData\Local\Temp\OnboardLogs"\RTDC4042\2017-11-11</v>
      </c>
      <c r="AF43" s="74" t="str">
        <f t="shared" si="10"/>
        <v>"C:\Program Files (x86)\AstroGrep\AstroGrep.exe" /e /r /s /spath="%USERPROFILE%\AppData\Local\Temp\OnboardLogs" /stypes="app*4042*20171110*" /stext=" 15:.+((SYSTEM_STATE.+slice.+state.+changed )|(ment ac)|(multiple cpu faults)|(system.+state.+changed )|(\[timeout)|(PRM\|1\|D)|(kpr)|(kdp)|(train st.+moving)|(\|lc)|(penalty))"</v>
      </c>
      <c r="AG43" s="182" t="str">
        <f t="shared" si="11"/>
        <v>EC</v>
      </c>
      <c r="AH43" s="78" t="str">
        <f t="shared" si="18"/>
        <v>"%USERPROFILE%\Documents\GitHub\eaglep3\Utilities\RefineRTDCRunTimes.py" --tripid 131-10 --locoid 4042 --swversion DE.1.0.9.0 --startMP 204:500 --initTime 2017-11-10T07:22:27 --startdatetime 2017-11-10T07:30:20 --delay 73 --endMP 204:233325 --enddatetime 2017-11-10T08:05:53 --enforcementcount 1 &gt;&gt;%USERPROFILE%\Documents\GitHub\eaglep3-reporting\EC\2017-11-10-refined-times.txt</v>
      </c>
      <c r="AI43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{"issue":{"subject":"","project_id":79,"tracker_id":40,"status_id":1,"priority_id":2,"assigned_to_id":338,"start_date":"2017-11-10","description":"","custom_fields":[{"id":1,"name":"Subdivision","value":"EC"},{"id":4,"name":"Milepost","value":"23.3325"},{"id":17,"name":"Train ID","value":"131-10"},{"id":16,"name":"Locomotive ID","value":"4042"},{"id":130,"name":"Impact","value":""},{"id":150,"name":"Time of Event (Mountain Time)","value":"08:05:53"},{"id":151,"name":"Denver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4042 --day 2017-11-10</v>
      </c>
      <c r="AN43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15:05:53"},{"id":29,"name":"Sharepoint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2"/>
        <v>https://d0f6bd738d7f1b3e5a7ca70fe4ff75f0.us-east-1.aws.found.io/app/kibana#/discover/Steve-Slow-Train-Analysis-(2080s-and-2083s)?_g=(refreshInterval:(display:Off,pause:!f,section:0,value:0),time:(from:'2017-11-10T06:22:27-0700',mode:absolute,to:'2017-11-10T09:05:53-0700'))&amp;_a=(columns:!('Message%20ID',Summary),filters:!(),index:'emp_*',interval:auto,query:(query_string:(analyze_wildcard:!t,query:'%22rtdc.l.rtdc.4042%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721</v>
      </c>
      <c r="B44" s="7">
        <v>4041</v>
      </c>
      <c r="C44" s="21" t="s">
        <v>192</v>
      </c>
      <c r="D44" s="21" t="s">
        <v>892</v>
      </c>
      <c r="E44" s="13">
        <v>43049.338645833333</v>
      </c>
      <c r="F44" s="13">
        <v>43049.352268518516</v>
      </c>
      <c r="G44" s="7">
        <v>50</v>
      </c>
      <c r="H44" s="21" t="s">
        <v>548</v>
      </c>
      <c r="I44" s="13">
        <v>43049.377430555556</v>
      </c>
      <c r="J44" s="7">
        <v>1</v>
      </c>
      <c r="K44" s="89" t="str">
        <f t="shared" si="0"/>
        <v>4041/4042</v>
      </c>
      <c r="L44" s="185" t="str">
        <f>VLOOKUP(A44,'Trips&amp;Operators'!$C$1:$G$99911,5,FALSE)</f>
        <v>YANAI IAN</v>
      </c>
      <c r="M44" s="6">
        <f t="shared" si="1"/>
        <v>2.5162037039990537E-2</v>
      </c>
      <c r="N44" s="7">
        <f t="shared" si="23"/>
        <v>36.233333337586373</v>
      </c>
      <c r="O44" s="7"/>
      <c r="P44" s="7"/>
      <c r="Q44" s="22"/>
      <c r="R44" s="174"/>
      <c r="S44" s="221">
        <f t="shared" si="17"/>
        <v>1</v>
      </c>
      <c r="T44" s="174" t="str">
        <f t="shared" si="2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3"/>
        <v>https://d0f6bd738d7f1b3e5a7ca70fe4ff75f0.us-east-1.aws.found.io/app/kibana#/discover/Steve-Slow-Train-Analysis-(2080s-and-2083s)?_g=(refreshInterval:(display:Off,pause:!f,section:0,value:0),time:(from:'2017-11-10T07:07:39-0700',mode:absolute,to:'2017-11-10T10:03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204" t="str">
        <f>IF(AA44&lt;VLOOKUP(AG44,Variables!$AC$3:$AD$8,2,FALSE),"Y","N")</f>
        <v>N</v>
      </c>
      <c r="X44" s="204">
        <f t="shared" si="4"/>
        <v>1</v>
      </c>
      <c r="Y44" s="204">
        <f t="shared" si="5"/>
        <v>23.299099999999999</v>
      </c>
      <c r="Z44" s="204">
        <f t="shared" si="6"/>
        <v>1.4999999999999999E-2</v>
      </c>
      <c r="AA44" s="204">
        <f t="shared" si="7"/>
        <v>23.284099999999999</v>
      </c>
      <c r="AB44" s="54" t="e">
        <f>VLOOKUP(A44,Enforcements!$C$7:$K$9,8,0)</f>
        <v>#N/A</v>
      </c>
      <c r="AC44" s="51" t="e">
        <f>VLOOKUP(A44,Enforcements!$C$7:$E$9,3,0)</f>
        <v>#N/A</v>
      </c>
      <c r="AD44" s="179">
        <f t="shared" si="8"/>
        <v>132</v>
      </c>
      <c r="AE44" s="77" t="str">
        <f t="shared" si="9"/>
        <v>aws s3 cp s3://rtdc.mdm.uploadarchive.raw/RTDC4041/ "%USERPROFILE%\AppData\Local\Temp\OnboardLogs"\RTDC4041\2017-11-10 --exclude "*" --recursive --include "*20171110*" &amp; "%USERPROFILE%\Documents\GitHub\mrs-test-scripts\Headless Mode &amp; Sideloading\WalkAndUnGZ.bat" "%USERPROFILE%\AppData\Local\Temp\OnboardLogs"\RTDC4041\2017-11-10 &amp; aws s3 cp s3://rtdc.mdm.uploadarchive.raw/RTDC4041/ "%USERPROFILE%\AppData\Local\Temp\OnboardLogs"\RTDC4041\2017-11-11 --exclude "*" --recursive --include "*20171111*" &amp; "%USERPROFILE%\Documents\GitHub\mrs-test-scripts\Headless Mode &amp; Sideloading\WalkAndUnGZ.bat" "%USERPROFILE%\AppData\Local\Temp\OnboardLogs"\RTDC4041\2017-11-11</v>
      </c>
      <c r="AF44" s="74" t="str">
        <f t="shared" si="10"/>
        <v>"C:\Program Files (x86)\AstroGrep\AstroGrep.exe" /e /r /s /spath="%USERPROFILE%\AppData\Local\Temp\OnboardLogs" /stypes="app*4041*20171110*" /stext=" 16:.+((SYSTEM_STATE.+slice.+state.+changed )|(ment ac)|(multiple cpu faults)|(system.+state.+changed )|(\[timeout)|(PRM\|1\|D)|(kpr)|(kdp)|(train st.+moving)|(\|lc)|(penalty))"</v>
      </c>
      <c r="AG44" s="182" t="str">
        <f t="shared" si="11"/>
        <v>EC</v>
      </c>
      <c r="AH44" s="78" t="str">
        <f t="shared" si="18"/>
        <v>"%USERPROFILE%\Documents\GitHub\eaglep3\Utilities\RefineRTDCRunTimes.py" --tripid 132-10 --locoid 4041 --swversion DE.1.0.9.0 --startMP 204:232991 --initTime 2017-11-10T08:07:39 --startdatetime 2017-11-10T08:27:16 --delay 50 --endMP 204:150 --enddatetime 2017-11-10T09:03:30 --enforcementcount 1 &gt;&gt;%USERPROFILE%\Documents\GitHub\eaglep3-reporting\EC\2017-11-10-refined-times.txt</v>
      </c>
      <c r="AI44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{"issue":{"subject":"","project_id":79,"tracker_id":40,"status_id":1,"priority_id":2,"assigned_to_id":338,"start_date":"2017-11-10","description":"","custom_fields":[{"id":1,"name":"Subdivision","value":"EC"},{"id":4,"name":"Milepost","value":"0.015"},{"id":17,"name":"Train ID","value":"132-10"},{"id":16,"name":"Locomotive ID","value":"4041"},{"id":130,"name":"Impact","value":""},{"id":150,"name":"Time of Event (Mountain Time)","value":"09:03:30"},{"id":151,"name":"Denver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4041 --day 2017-11-10</v>
      </c>
      <c r="AN44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16:03:30"},{"id":29,"name":"Sharepoint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2"/>
        <v>https://d0f6bd738d7f1b3e5a7ca70fe4ff75f0.us-east-1.aws.found.io/app/kibana#/discover/Steve-Slow-Train-Analysis-(2080s-and-2083s)?_g=(refreshInterval:(display:Off,pause:!f,section:0,value:0),time:(from:'2017-11-10T07:07:39-0700',mode:absolute,to:'2017-11-10T10:03:30-0700'))&amp;_a=(columns:!('Message%20ID',Summary),filters:!(),index:'emp_*',interval:auto,query:(query_string:(analyze_wildcard:!t,query:'%22rtdc.l.rtdc.4041%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715</v>
      </c>
      <c r="B45" s="7">
        <v>4060</v>
      </c>
      <c r="C45" s="21" t="s">
        <v>192</v>
      </c>
      <c r="D45" s="21" t="s">
        <v>627</v>
      </c>
      <c r="E45" s="13">
        <v>43049.317916666667</v>
      </c>
      <c r="F45" s="13">
        <v>43049.323101851849</v>
      </c>
      <c r="G45" s="7">
        <v>84</v>
      </c>
      <c r="H45" s="21" t="s">
        <v>919</v>
      </c>
      <c r="I45" s="13">
        <v>43049.347129629627</v>
      </c>
      <c r="J45" s="7">
        <v>1</v>
      </c>
      <c r="K45" s="89" t="str">
        <f t="shared" si="0"/>
        <v>4059/4060</v>
      </c>
      <c r="L45" s="185" t="str">
        <f>VLOOKUP(A45,'Trips&amp;Operators'!$C$1:$G$99911,5,FALSE)</f>
        <v>PAGE MARCUS</v>
      </c>
      <c r="M45" s="6">
        <f t="shared" si="1"/>
        <v>2.4027777777519077E-2</v>
      </c>
      <c r="N45" s="7">
        <f t="shared" si="23"/>
        <v>34.599999999627471</v>
      </c>
      <c r="O45" s="7"/>
      <c r="P45" s="7"/>
      <c r="Q45" s="22"/>
      <c r="R45" s="174"/>
      <c r="S45" s="221">
        <f t="shared" si="17"/>
        <v>1</v>
      </c>
      <c r="T45" s="174" t="str">
        <f t="shared" si="2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3"/>
        <v>https://d0f6bd738d7f1b3e5a7ca70fe4ff75f0.us-east-1.aws.found.io/app/kibana#/discover/Steve-Slow-Train-Analysis-(2080s-and-2083s)?_g=(refreshInterval:(display:Off,pause:!f,section:0,value:0),time:(from:'2017-11-10T06:37:48-0700',mode:absolute,to:'2017-11-10T09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5" s="204" t="str">
        <f>IF(AA45&lt;VLOOKUP(AG45,Variables!$AC$3:$AD$8,2,FALSE),"Y","N")</f>
        <v>N</v>
      </c>
      <c r="X45" s="204">
        <f t="shared" ref="X45:X76" si="24">VALUE(LEFT(AD45,4))-VALUE(LEFT(AD44,4))</f>
        <v>1</v>
      </c>
      <c r="Y45" s="204">
        <f t="shared" ref="Y45:Y76" si="25">RIGHT(D45,LEN(D45)-4)/10000</f>
        <v>4.6699999999999998E-2</v>
      </c>
      <c r="Z45" s="204">
        <f t="shared" ref="Z45:Z76" si="26">RIGHT(H45,LEN(H45)-4)/10000</f>
        <v>23.328399999999998</v>
      </c>
      <c r="AA45" s="204">
        <f t="shared" si="7"/>
        <v>23.281699999999997</v>
      </c>
      <c r="AB45" s="54" t="e">
        <f>VLOOKUP(A45,Enforcements!$C$7:$K$9,8,0)</f>
        <v>#N/A</v>
      </c>
      <c r="AC45" s="51" t="e">
        <f>VLOOKUP(A45,Enforcements!$C$7:$E$9,3,0)</f>
        <v>#N/A</v>
      </c>
      <c r="AD45" s="179">
        <f t="shared" si="8"/>
        <v>133</v>
      </c>
      <c r="AE45" s="77" t="str">
        <f t="shared" si="9"/>
        <v>aws s3 cp s3://rtdc.mdm.uploadarchive.raw/RTDC4060/ "%USERPROFILE%\AppData\Local\Temp\OnboardLogs"\RTDC4060\2017-11-10 --exclude "*" --recursive --include "*20171110*" &amp; "%USERPROFILE%\Documents\GitHub\mrs-test-scripts\Headless Mode &amp; Sideloading\WalkAndUnGZ.bat" "%USERPROFILE%\AppData\Local\Temp\OnboardLogs"\RTDC4060\2017-11-10 &amp; aws s3 cp s3://rtdc.mdm.uploadarchive.raw/RTDC4060/ "%USERPROFILE%\AppData\Local\Temp\OnboardLogs"\RTDC4060\2017-11-11 --exclude "*" --recursive --include "*20171111*" &amp; "%USERPROFILE%\Documents\GitHub\mrs-test-scripts\Headless Mode &amp; Sideloading\WalkAndUnGZ.bat" "%USERPROFILE%\AppData\Local\Temp\OnboardLogs"\RTDC4060\2017-11-11</v>
      </c>
      <c r="AF45" s="74" t="str">
        <f t="shared" si="10"/>
        <v>"C:\Program Files (x86)\AstroGrep\AstroGrep.exe" /e /r /s /spath="%USERPROFILE%\AppData\Local\Temp\OnboardLogs" /stypes="app*4060*20171110*" /stext=" 15:.+((SYSTEM_STATE.+slice.+state.+changed )|(ment ac)|(multiple cpu faults)|(system.+state.+changed )|(\[timeout)|(PRM\|1\|D)|(kpr)|(kdp)|(train st.+moving)|(\|lc)|(penalty))"</v>
      </c>
      <c r="AG45" s="182" t="str">
        <f t="shared" si="11"/>
        <v>EC</v>
      </c>
      <c r="AH45" s="78" t="str">
        <f t="shared" si="18"/>
        <v>"%USERPROFILE%\Documents\GitHub\eaglep3\Utilities\RefineRTDCRunTimes.py" --tripid 133-10 --locoid 4060 --swversion DE.1.0.9.0 --startMP 204:467 --initTime 2017-11-10T07:37:48 --startdatetime 2017-11-10T07:45:16 --delay 84 --endMP 204:233284 --enddatetime 2017-11-10T08:19:52 --enforcementcount 1 &gt;&gt;%USERPROFILE%\Documents\GitHub\eaglep3-reporting\EC\2017-11-10-refined-times.txt</v>
      </c>
      <c r="AI45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{"issue":{"subject":"","project_id":79,"tracker_id":40,"status_id":1,"priority_id":2,"assigned_to_id":338,"start_date":"2017-11-10","description":"","custom_fields":[{"id":1,"name":"Subdivision","value":"EC"},{"id":4,"name":"Milepost","value":"23.3284"},{"id":17,"name":"Train ID","value":"133-10"},{"id":16,"name":"Locomotive ID","value":"4060"},{"id":130,"name":"Impact","value":""},{"id":150,"name":"Time of Event (Mountain Time)","value":"08:19:52"},{"id":151,"name":"Denver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4060 --day 2017-11-10</v>
      </c>
      <c r="AN45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15:19:52"},{"id":29,"name":"Sharepoint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2"/>
        <v>https://d0f6bd738d7f1b3e5a7ca70fe4ff75f0.us-east-1.aws.found.io/app/kibana#/discover/Steve-Slow-Train-Analysis-(2080s-and-2083s)?_g=(refreshInterval:(display:Off,pause:!f,section:0,value:0),time:(from:'2017-11-10T06:37:48-0700',mode:absolute,to:'2017-11-10T09:19:52-0700'))&amp;_a=(columns:!('Message%20ID',Summary),filters:!(),index:'emp_*',interval:auto,query:(query_string:(analyze_wildcard:!t,query:'%22rtdc.l.rtdc.4060%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725</v>
      </c>
      <c r="B46" s="7">
        <v>4059</v>
      </c>
      <c r="C46" s="21" t="s">
        <v>192</v>
      </c>
      <c r="D46" s="21" t="s">
        <v>592</v>
      </c>
      <c r="E46" s="13">
        <v>43049.353854166664</v>
      </c>
      <c r="F46" s="13">
        <v>43049.362673611111</v>
      </c>
      <c r="G46" s="7">
        <v>70</v>
      </c>
      <c r="H46" s="21" t="s">
        <v>446</v>
      </c>
      <c r="I46" s="13">
        <v>43049.388506944444</v>
      </c>
      <c r="J46" s="7">
        <v>1</v>
      </c>
      <c r="K46" s="89" t="str">
        <f t="shared" si="0"/>
        <v>4059/4060</v>
      </c>
      <c r="L46" s="185" t="str">
        <f>VLOOKUP(A46,'Trips&amp;Operators'!$C$1:$G$99911,5,FALSE)</f>
        <v>PAGE MARCUS</v>
      </c>
      <c r="M46" s="6">
        <f t="shared" si="1"/>
        <v>2.5833333333139308E-2</v>
      </c>
      <c r="N46" s="7">
        <f t="shared" si="23"/>
        <v>37.199999999720603</v>
      </c>
      <c r="O46" s="7"/>
      <c r="P46" s="7"/>
      <c r="Q46" s="22"/>
      <c r="R46" s="174"/>
      <c r="S46" s="221">
        <f t="shared" ref="S46:S77" si="27">1/IF(AG46="EC",12,1)*SUM(U46:U46)</f>
        <v>1</v>
      </c>
      <c r="T46" s="174" t="str">
        <f t="shared" si="2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3"/>
        <v>https://d0f6bd738d7f1b3e5a7ca70fe4ff75f0.us-east-1.aws.found.io/app/kibana#/discover/Steve-Slow-Train-Analysis-(2080s-and-2083s)?_g=(refreshInterval:(display:Off,pause:!f,section:0,value:0),time:(from:'2017-11-10T07:29:33-0700',mode:absolute,to:'2017-11-10T10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6" s="204" t="str">
        <f>IF(AA46&lt;VLOOKUP(AG46,Variables!$AC$3:$AD$8,2,FALSE),"Y","N")</f>
        <v>N</v>
      </c>
      <c r="X46" s="204">
        <f t="shared" si="24"/>
        <v>1</v>
      </c>
      <c r="Y46" s="204">
        <f t="shared" si="25"/>
        <v>23.296900000000001</v>
      </c>
      <c r="Z46" s="204">
        <f t="shared" si="26"/>
        <v>2.2100000000000002E-2</v>
      </c>
      <c r="AA46" s="204">
        <f t="shared" si="7"/>
        <v>23.274800000000003</v>
      </c>
      <c r="AB46" s="54" t="e">
        <f>VLOOKUP(A46,Enforcements!$C$7:$K$9,8,0)</f>
        <v>#N/A</v>
      </c>
      <c r="AC46" s="51" t="e">
        <f>VLOOKUP(A46,Enforcements!$C$7:$E$9,3,0)</f>
        <v>#N/A</v>
      </c>
      <c r="AD46" s="179">
        <f t="shared" si="8"/>
        <v>134</v>
      </c>
      <c r="AE46" s="77" t="str">
        <f t="shared" si="9"/>
        <v>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 &amp; 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</v>
      </c>
      <c r="AF46" s="74" t="str">
        <f t="shared" si="10"/>
        <v>"C:\Program Files (x86)\AstroGrep\AstroGrep.exe" /e /r /s /spath="%USERPROFILE%\AppData\Local\Temp\OnboardLogs" /stypes="app*4059*20171110*" /stext=" 16:.+((SYSTEM_STATE.+slice.+state.+changed )|(ment ac)|(multiple cpu faults)|(system.+state.+changed )|(\[timeout)|(PRM\|1\|D)|(kpr)|(kdp)|(train st.+moving)|(\|lc)|(penalty))"</v>
      </c>
      <c r="AG46" s="182" t="str">
        <f t="shared" si="11"/>
        <v>EC</v>
      </c>
      <c r="AH46" s="78" t="str">
        <f t="shared" si="18"/>
        <v>"%USERPROFILE%\Documents\GitHub\eaglep3\Utilities\RefineRTDCRunTimes.py" --tripid 134-10 --locoid 4059 --swversion DE.1.0.9.0 --startMP 204:232969 --initTime 2017-11-10T08:29:33 --startdatetime 2017-11-10T08:42:15 --delay 70 --endMP 204:221 --enddatetime 2017-11-10T09:19:27 --enforcementcount 1 &gt;&gt;%USERPROFILE%\Documents\GitHub\eaglep3-reporting\EC\2017-11-10-refined-times.txt</v>
      </c>
      <c r="AI46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{"issue":{"subject":"","project_id":79,"tracker_id":40,"status_id":1,"priority_id":2,"assigned_to_id":338,"start_date":"2017-11-10","description":"","custom_fields":[{"id":1,"name":"Subdivision","value":"EC"},{"id":4,"name":"Milepost","value":"0.0221"},{"id":17,"name":"Train ID","value":"134-10"},{"id":16,"name":"Locomotive ID","value":"4059"},{"id":130,"name":"Impact","value":""},{"id":150,"name":"Time of Event (Mountain Time)","value":"09:19:27"},{"id":151,"name":"Denver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4059 --day 2017-11-10</v>
      </c>
      <c r="AN46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16:19:27"},{"id":29,"name":"Sharepoint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2"/>
        <v>https://d0f6bd738d7f1b3e5a7ca70fe4ff75f0.us-east-1.aws.found.io/app/kibana#/discover/Steve-Slow-Train-Analysis-(2080s-and-2083s)?_g=(refreshInterval:(display:Off,pause:!f,section:0,value:0),time:(from:'2017-11-10T07:29:33-0700',mode:absolute,to:'2017-11-10T10:19:27-0700'))&amp;_a=(columns:!('Message%20ID',Summary),filters:!(),index:'emp_*',interval:auto,query:(query_string:(analyze_wildcard:!t,query:'%22rtdc.l.rtdc.4059%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717</v>
      </c>
      <c r="B47" s="7">
        <v>4016</v>
      </c>
      <c r="C47" s="21" t="s">
        <v>192</v>
      </c>
      <c r="D47" s="21" t="s">
        <v>920</v>
      </c>
      <c r="E47" s="13">
        <v>43049.329317129632</v>
      </c>
      <c r="F47" s="13">
        <v>43049.333518518521</v>
      </c>
      <c r="G47" s="7">
        <v>76</v>
      </c>
      <c r="H47" s="21" t="s">
        <v>590</v>
      </c>
      <c r="I47" s="13">
        <v>43049.358032407406</v>
      </c>
      <c r="J47" s="7">
        <v>1</v>
      </c>
      <c r="K47" s="89" t="str">
        <f t="shared" si="0"/>
        <v>4015/4016</v>
      </c>
      <c r="L47" s="185" t="str">
        <f>VLOOKUP(A47,'Trips&amp;Operators'!$C$1:$G$99911,5,FALSE)</f>
        <v>GEBRETEKLE DAGNEW</v>
      </c>
      <c r="M47" s="6">
        <f t="shared" si="1"/>
        <v>2.4513888885849155E-2</v>
      </c>
      <c r="N47" s="7">
        <f t="shared" ref="N47:N78" si="28">24*60*SUM($M47:$M47)</f>
        <v>35.299999995622784</v>
      </c>
      <c r="O47" s="7"/>
      <c r="P47" s="7"/>
      <c r="Q47" s="22"/>
      <c r="R47" s="174"/>
      <c r="S47" s="221">
        <f t="shared" si="27"/>
        <v>1</v>
      </c>
      <c r="T47" s="174" t="str">
        <f t="shared" si="2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3"/>
        <v>https://d0f6bd738d7f1b3e5a7ca70fe4ff75f0.us-east-1.aws.found.io/app/kibana#/discover/Steve-Slow-Train-Analysis-(2080s-and-2083s)?_g=(refreshInterval:(display:Off,pause:!f,section:0,value:0),time:(from:'2017-11-10T06:54:13-0700',mode:absolute,to:'2017-11-10T09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7" s="204" t="str">
        <f>IF(AA47&lt;VLOOKUP(AG47,Variables!$AC$3:$AD$8,2,FALSE),"Y","N")</f>
        <v>N</v>
      </c>
      <c r="X47" s="204">
        <f t="shared" si="24"/>
        <v>1</v>
      </c>
      <c r="Y47" s="204">
        <f t="shared" si="25"/>
        <v>5.04E-2</v>
      </c>
      <c r="Z47" s="204">
        <f t="shared" si="26"/>
        <v>23.328499999999998</v>
      </c>
      <c r="AA47" s="204">
        <f t="shared" si="7"/>
        <v>23.278099999999998</v>
      </c>
      <c r="AB47" s="54" t="e">
        <f>VLOOKUP(A47,Enforcements!$C$7:$K$9,8,0)</f>
        <v>#N/A</v>
      </c>
      <c r="AC47" s="51" t="e">
        <f>VLOOKUP(A47,Enforcements!$C$7:$E$9,3,0)</f>
        <v>#N/A</v>
      </c>
      <c r="AD47" s="179">
        <f t="shared" si="8"/>
        <v>135</v>
      </c>
      <c r="AE47" s="77" t="str">
        <f t="shared" si="9"/>
        <v>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 &amp; aws s3 cp s3://rtdc.mdm.uploadarchive.raw/RTDC4016/ "%USERPROFILE%\AppData\Local\Temp\OnboardLogs"\RTDC4016\2017-11-11 --exclude "*" --recursive --include "*20171111*" &amp; "%USERPROFILE%\Documents\GitHub\mrs-test-scripts\Headless Mode &amp; Sideloading\WalkAndUnGZ.bat" "%USERPROFILE%\AppData\Local\Temp\OnboardLogs"\RTDC4016\2017-11-11</v>
      </c>
      <c r="AF47" s="74" t="str">
        <f t="shared" si="10"/>
        <v>"C:\Program Files (x86)\AstroGrep\AstroGrep.exe" /e /r /s /spath="%USERPROFILE%\AppData\Local\Temp\OnboardLogs" /stypes="app*4016*20171110*" /stext=" 15:.+((SYSTEM_STATE.+slice.+state.+changed )|(ment ac)|(multiple cpu faults)|(system.+state.+changed )|(\[timeout)|(PRM\|1\|D)|(kpr)|(kdp)|(train st.+moving)|(\|lc)|(penalty))"</v>
      </c>
      <c r="AG47" s="182" t="str">
        <f t="shared" si="11"/>
        <v>EC</v>
      </c>
      <c r="AH47" s="78" t="str">
        <f t="shared" si="18"/>
        <v>"%USERPROFILE%\Documents\GitHub\eaglep3\Utilities\RefineRTDCRunTimes.py" --tripid 135-10 --locoid 4016 --swversion DE.1.0.9.0 --startMP 204:504 --initTime 2017-11-10T07:54:13 --startdatetime 2017-11-10T08:00:16 --delay 76 --endMP 204:233285 --enddatetime 2017-11-10T08:35:34 --enforcementcount 1 &gt;&gt;%USERPROFILE%\Documents\GitHub\eaglep3-reporting\EC\2017-11-10-refined-times.txt</v>
      </c>
      <c r="AI47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{"issue":{"subject":"","project_id":79,"tracker_id":40,"status_id":1,"priority_id":2,"assigned_to_id":338,"start_date":"2017-11-10","description":"","custom_fields":[{"id":1,"name":"Subdivision","value":"EC"},{"id":4,"name":"Milepost","value":"23.3285"},{"id":17,"name":"Train ID","value":"135-10"},{"id":16,"name":"Locomotive ID","value":"4016"},{"id":130,"name":"Impact","value":""},{"id":150,"name":"Time of Event (Mountain Time)","value":"08:35:34"},{"id":151,"name":"Denver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4016 --day 2017-11-10</v>
      </c>
      <c r="AN47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15:35:34"},{"id":29,"name":"Sharepoint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2"/>
        <v>https://d0f6bd738d7f1b3e5a7ca70fe4ff75f0.us-east-1.aws.found.io/app/kibana#/discover/Steve-Slow-Train-Analysis-(2080s-and-2083s)?_g=(refreshInterval:(display:Off,pause:!f,section:0,value:0),time:(from:'2017-11-10T06:54:13-0700',mode:absolute,to:'2017-11-10T09:35:34-0700'))&amp;_a=(columns:!('Message%20ID',Summary),filters:!(),index:'emp_*',interval:auto,query:(query_string:(analyze_wildcard:!t,query:'%22rtdc.l.rtdc.4016%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727</v>
      </c>
      <c r="B48" s="7">
        <v>4015</v>
      </c>
      <c r="C48" s="21" t="s">
        <v>192</v>
      </c>
      <c r="D48" s="21" t="s">
        <v>553</v>
      </c>
      <c r="E48" s="13">
        <v>43049.360810185186</v>
      </c>
      <c r="F48" s="13">
        <v>43049.373113425929</v>
      </c>
      <c r="G48" s="7">
        <v>52</v>
      </c>
      <c r="H48" s="21" t="s">
        <v>909</v>
      </c>
      <c r="I48" s="13">
        <v>43049.398993055554</v>
      </c>
      <c r="J48" s="7">
        <v>1</v>
      </c>
      <c r="K48" s="89" t="str">
        <f t="shared" si="0"/>
        <v>4015/4016</v>
      </c>
      <c r="L48" s="185" t="str">
        <f>VLOOKUP(A48,'Trips&amp;Operators'!$C$1:$G$99911,5,FALSE)</f>
        <v>GEBRETEKLE DAGNEW</v>
      </c>
      <c r="M48" s="6">
        <f t="shared" si="1"/>
        <v>2.5879629625706002E-2</v>
      </c>
      <c r="N48" s="7">
        <f t="shared" si="28"/>
        <v>37.266666661016643</v>
      </c>
      <c r="O48" s="7"/>
      <c r="P48" s="7"/>
      <c r="Q48" s="22"/>
      <c r="R48" s="174"/>
      <c r="S48" s="221">
        <f t="shared" si="27"/>
        <v>1</v>
      </c>
      <c r="T48" s="174" t="str">
        <f t="shared" si="2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3"/>
        <v>https://d0f6bd738d7f1b3e5a7ca70fe4ff75f0.us-east-1.aws.found.io/app/kibana#/discover/Steve-Slow-Train-Analysis-(2080s-and-2083s)?_g=(refreshInterval:(display:Off,pause:!f,section:0,value:0),time:(from:'2017-11-10T07:39:34-0700',mode:absolute,to:'2017-11-10T10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8" s="204" t="str">
        <f>IF(AA48&lt;VLOOKUP(AG48,Variables!$AC$3:$AD$8,2,FALSE),"Y","N")</f>
        <v>N</v>
      </c>
      <c r="X48" s="204">
        <f t="shared" si="24"/>
        <v>1</v>
      </c>
      <c r="Y48" s="204">
        <f t="shared" si="25"/>
        <v>23.298100000000002</v>
      </c>
      <c r="Z48" s="204">
        <f t="shared" si="26"/>
        <v>2.0500000000000001E-2</v>
      </c>
      <c r="AA48" s="204">
        <f t="shared" si="7"/>
        <v>23.277600000000003</v>
      </c>
      <c r="AB48" s="54" t="e">
        <f>VLOOKUP(A48,Enforcements!$C$7:$K$9,8,0)</f>
        <v>#N/A</v>
      </c>
      <c r="AC48" s="51" t="e">
        <f>VLOOKUP(A48,Enforcements!$C$7:$E$9,3,0)</f>
        <v>#N/A</v>
      </c>
      <c r="AD48" s="179">
        <f t="shared" si="8"/>
        <v>136</v>
      </c>
      <c r="AE48" s="77" t="str">
        <f t="shared" si="9"/>
        <v>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 &amp; 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</v>
      </c>
      <c r="AF48" s="74" t="str">
        <f t="shared" si="10"/>
        <v>"C:\Program Files (x86)\AstroGrep\AstroGrep.exe" /e /r /s /spath="%USERPROFILE%\AppData\Local\Temp\OnboardLogs" /stypes="app*4015*20171110*" /stext=" 16:.+((SYSTEM_STATE.+slice.+state.+changed )|(ment ac)|(multiple cpu faults)|(system.+state.+changed )|(\[timeout)|(PRM\|1\|D)|(kpr)|(kdp)|(train st.+moving)|(\|lc)|(penalty))"</v>
      </c>
      <c r="AG48" s="182" t="str">
        <f t="shared" si="11"/>
        <v>EC</v>
      </c>
      <c r="AH48" s="78" t="str">
        <f t="shared" si="18"/>
        <v>"%USERPROFILE%\Documents\GitHub\eaglep3\Utilities\RefineRTDCRunTimes.py" --tripid 136-10 --locoid 4015 --swversion DE.1.0.9.0 --startMP 204:232981 --initTime 2017-11-10T08:39:34 --startdatetime 2017-11-10T08:57:17 --delay 52 --endMP 204:205 --enddatetime 2017-11-10T09:34:33 --enforcementcount 1 &gt;&gt;%USERPROFILE%\Documents\GitHub\eaglep3-reporting\EC\2017-11-10-refined-times.txt</v>
      </c>
      <c r="AI48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{"issue":{"subject":"","project_id":79,"tracker_id":40,"status_id":1,"priority_id":2,"assigned_to_id":338,"start_date":"2017-11-10","description":"","custom_fields":[{"id":1,"name":"Subdivision","value":"EC"},{"id":4,"name":"Milepost","value":"0.0205"},{"id":17,"name":"Train ID","value":"136-10"},{"id":16,"name":"Locomotive ID","value":"4015"},{"id":130,"name":"Impact","value":""},{"id":150,"name":"Time of Event (Mountain Time)","value":"09:34:33"},{"id":151,"name":"Denver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4015 --day 2017-11-10</v>
      </c>
      <c r="AN48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16:34:33"},{"id":29,"name":"Sharepoint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2"/>
        <v>https://d0f6bd738d7f1b3e5a7ca70fe4ff75f0.us-east-1.aws.found.io/app/kibana#/discover/Steve-Slow-Train-Analysis-(2080s-and-2083s)?_g=(refreshInterval:(display:Off,pause:!f,section:0,value:0),time:(from:'2017-11-10T07:39:34-0700',mode:absolute,to:'2017-11-10T10:34:33-0700'))&amp;_a=(columns:!('Message%20ID',Summary),filters:!(),index:'emp_*',interval:auto,query:(query_string:(analyze_wildcard:!t,query:'%22rtdc.l.rtdc.4015%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722</v>
      </c>
      <c r="B49" s="7">
        <v>4028</v>
      </c>
      <c r="C49" s="21" t="s">
        <v>192</v>
      </c>
      <c r="D49" s="21" t="s">
        <v>627</v>
      </c>
      <c r="E49" s="13">
        <v>43049.340011574073</v>
      </c>
      <c r="F49" s="13">
        <v>43049.343912037039</v>
      </c>
      <c r="G49" s="7">
        <v>75</v>
      </c>
      <c r="H49" s="21" t="s">
        <v>486</v>
      </c>
      <c r="I49" s="13">
        <v>43049.367395833331</v>
      </c>
      <c r="J49" s="7">
        <v>1</v>
      </c>
      <c r="K49" s="89" t="str">
        <f t="shared" si="0"/>
        <v>4027/4028</v>
      </c>
      <c r="L49" s="185" t="str">
        <f>VLOOKUP(A49,'Trips&amp;Operators'!$C$1:$G$99911,5,FALSE)</f>
        <v>BIRENBAUM THOMAS</v>
      </c>
      <c r="M49" s="6">
        <f t="shared" si="1"/>
        <v>2.3483796292566694E-2</v>
      </c>
      <c r="N49" s="7">
        <f t="shared" si="28"/>
        <v>33.81666666129604</v>
      </c>
      <c r="O49" s="7"/>
      <c r="P49" s="7"/>
      <c r="Q49" s="22"/>
      <c r="R49" s="174"/>
      <c r="S49" s="221">
        <f t="shared" si="27"/>
        <v>1</v>
      </c>
      <c r="T49" s="174" t="str">
        <f t="shared" si="2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3"/>
        <v>https://d0f6bd738d7f1b3e5a7ca70fe4ff75f0.us-east-1.aws.found.io/app/kibana#/discover/Steve-Slow-Train-Analysis-(2080s-and-2083s)?_g=(refreshInterval:(display:Off,pause:!f,section:0,value:0),time:(from:'2017-11-10T07:09:37-0700',mode:absolute,to:'2017-11-10T09:49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9" s="204" t="str">
        <f>IF(AA49&lt;VLOOKUP(AG49,Variables!$AC$3:$AD$8,2,FALSE),"Y","N")</f>
        <v>N</v>
      </c>
      <c r="X49" s="204">
        <f t="shared" si="24"/>
        <v>1</v>
      </c>
      <c r="Y49" s="204">
        <f t="shared" si="25"/>
        <v>4.6699999999999998E-2</v>
      </c>
      <c r="Z49" s="204">
        <f t="shared" si="26"/>
        <v>23.3293</v>
      </c>
      <c r="AA49" s="204">
        <f t="shared" si="7"/>
        <v>23.282599999999999</v>
      </c>
      <c r="AB49" s="54" t="e">
        <f>VLOOKUP(A49,Enforcements!$C$7:$K$9,8,0)</f>
        <v>#N/A</v>
      </c>
      <c r="AC49" s="51" t="e">
        <f>VLOOKUP(A49,Enforcements!$C$7:$E$9,3,0)</f>
        <v>#N/A</v>
      </c>
      <c r="AD49" s="179">
        <f t="shared" si="8"/>
        <v>137</v>
      </c>
      <c r="AE49" s="77" t="str">
        <f t="shared" si="9"/>
        <v>aws s3 cp s3://rtdc.mdm.uploadarchive.raw/RTDC4028/ "%USERPROFILE%\AppData\Local\Temp\OnboardLogs"\RTDC4028\2017-11-10 --exclude "*" --recursive --include "*20171110*" &amp; "%USERPROFILE%\Documents\GitHub\mrs-test-scripts\Headless Mode &amp; Sideloading\WalkAndUnGZ.bat" "%USERPROFILE%\AppData\Local\Temp\OnboardLogs"\RTDC4028\2017-11-10 &amp; aws s3 cp s3://rtdc.mdm.uploadarchive.raw/RTDC4028/ "%USERPROFILE%\AppData\Local\Temp\OnboardLogs"\RTDC4028\2017-11-11 --exclude "*" --recursive --include "*20171111*" &amp; "%USERPROFILE%\Documents\GitHub\mrs-test-scripts\Headless Mode &amp; Sideloading\WalkAndUnGZ.bat" "%USERPROFILE%\AppData\Local\Temp\OnboardLogs"\RTDC4028\2017-11-11</v>
      </c>
      <c r="AF49" s="74" t="str">
        <f t="shared" si="10"/>
        <v>"C:\Program Files (x86)\AstroGrep\AstroGrep.exe" /e /r /s /spath="%USERPROFILE%\AppData\Local\Temp\OnboardLogs" /stypes="app*4028*20171110*" /stext=" 15:.+((SYSTEM_STATE.+slice.+state.+changed )|(ment ac)|(multiple cpu faults)|(system.+state.+changed )|(\[timeout)|(PRM\|1\|D)|(kpr)|(kdp)|(train st.+moving)|(\|lc)|(penalty))"</v>
      </c>
      <c r="AG49" s="182" t="str">
        <f t="shared" si="11"/>
        <v>EC</v>
      </c>
      <c r="AH49" s="78" t="str">
        <f t="shared" si="18"/>
        <v>"%USERPROFILE%\Documents\GitHub\eaglep3\Utilities\RefineRTDCRunTimes.py" --tripid 137-10 --locoid 4028 --swversion DE.1.0.9.0 --startMP 204:467 --initTime 2017-11-10T08:09:37 --startdatetime 2017-11-10T08:15:14 --delay 75 --endMP 204:233293 --enddatetime 2017-11-10T08:49:03 --enforcementcount 1 &gt;&gt;%USERPROFILE%\Documents\GitHub\eaglep3-reporting\EC\2017-11-10-refined-times.txt</v>
      </c>
      <c r="AI49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{"issue":{"subject":"","project_id":79,"tracker_id":40,"status_id":1,"priority_id":2,"assigned_to_id":338,"start_date":"2017-11-10","description":"","custom_fields":[{"id":1,"name":"Subdivision","value":"EC"},{"id":4,"name":"Milepost","value":"23.3293"},{"id":17,"name":"Train ID","value":"137-10"},{"id":16,"name":"Locomotive ID","value":"4028"},{"id":130,"name":"Impact","value":""},{"id":150,"name":"Time of Event (Mountain Time)","value":"08:49:03"},{"id":151,"name":"Denver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4028 --day 2017-11-10</v>
      </c>
      <c r="AN49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15:49:03"},{"id":29,"name":"Sharepoint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2"/>
        <v>https://d0f6bd738d7f1b3e5a7ca70fe4ff75f0.us-east-1.aws.found.io/app/kibana#/discover/Steve-Slow-Train-Analysis-(2080s-and-2083s)?_g=(refreshInterval:(display:Off,pause:!f,section:0,value:0),time:(from:'2017-11-10T07:09:37-0700',mode:absolute,to:'2017-11-10T09:49:03-0700'))&amp;_a=(columns:!('Message%20ID',Summary),filters:!(),index:'emp_*',interval:auto,query:(query_string:(analyze_wildcard:!t,query:'%22rtdc.l.rtdc.4028%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730</v>
      </c>
      <c r="B50" s="7">
        <v>4027</v>
      </c>
      <c r="C50" s="21" t="s">
        <v>192</v>
      </c>
      <c r="D50" s="21" t="s">
        <v>545</v>
      </c>
      <c r="E50" s="13">
        <v>43049.371782407405</v>
      </c>
      <c r="F50" s="13">
        <v>43049.383472222224</v>
      </c>
      <c r="G50" s="7">
        <v>54</v>
      </c>
      <c r="H50" s="21" t="s">
        <v>921</v>
      </c>
      <c r="I50" s="13">
        <v>43049.412256944444</v>
      </c>
      <c r="J50" s="7">
        <v>1</v>
      </c>
      <c r="K50" s="89" t="str">
        <f t="shared" si="0"/>
        <v>4027/4028</v>
      </c>
      <c r="L50" s="185" t="str">
        <f>VLOOKUP(A50,'Trips&amp;Operators'!$C$1:$G$99911,5,FALSE)</f>
        <v>BIRENBAUM THOMAS</v>
      </c>
      <c r="M50" s="6">
        <f t="shared" si="1"/>
        <v>2.8784722220734693E-2</v>
      </c>
      <c r="N50" s="7">
        <f t="shared" si="28"/>
        <v>41.449999997857958</v>
      </c>
      <c r="O50" s="7"/>
      <c r="P50" s="7"/>
      <c r="Q50" s="22"/>
      <c r="R50" s="174"/>
      <c r="S50" s="221">
        <f t="shared" si="27"/>
        <v>1</v>
      </c>
      <c r="T50" s="174" t="str">
        <f t="shared" si="2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3"/>
        <v>https://d0f6bd738d7f1b3e5a7ca70fe4ff75f0.us-east-1.aws.found.io/app/kibana#/discover/Steve-Slow-Train-Analysis-(2080s-and-2083s)?_g=(refreshInterval:(display:Off,pause:!f,section:0,value:0),time:(from:'2017-11-10T07:55:22-0700',mode:absolute,to:'2017-11-10T10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0" s="204" t="str">
        <f>IF(AA50&lt;VLOOKUP(AG50,Variables!$AC$3:$AD$8,2,FALSE),"Y","N")</f>
        <v>N</v>
      </c>
      <c r="X50" s="204">
        <f t="shared" si="24"/>
        <v>1</v>
      </c>
      <c r="Y50" s="204">
        <f t="shared" si="25"/>
        <v>23.298200000000001</v>
      </c>
      <c r="Z50" s="204">
        <f t="shared" si="26"/>
        <v>1.78E-2</v>
      </c>
      <c r="AA50" s="204">
        <f t="shared" si="7"/>
        <v>23.2804</v>
      </c>
      <c r="AB50" s="54" t="e">
        <f>VLOOKUP(A50,Enforcements!$C$7:$K$9,8,0)</f>
        <v>#N/A</v>
      </c>
      <c r="AC50" s="51" t="e">
        <f>VLOOKUP(A50,Enforcements!$C$7:$E$9,3,0)</f>
        <v>#N/A</v>
      </c>
      <c r="AD50" s="179">
        <f t="shared" si="8"/>
        <v>138</v>
      </c>
      <c r="AE50" s="77" t="str">
        <f t="shared" si="9"/>
        <v>aws s3 cp s3://rtdc.mdm.uploadarchive.raw/RTDC4027/ "%USERPROFILE%\AppData\Local\Temp\OnboardLogs"\RTDC4027\2017-11-10 --exclude "*" --recursive --include "*20171110*" &amp; "%USERPROFILE%\Documents\GitHub\mrs-test-scripts\Headless Mode &amp; Sideloading\WalkAndUnGZ.bat" "%USERPROFILE%\AppData\Local\Temp\OnboardLogs"\RTDC4027\2017-11-10 &amp; aws s3 cp s3://rtdc.mdm.uploadarchive.raw/RTDC4027/ "%USERPROFILE%\AppData\Local\Temp\OnboardLogs"\RTDC4027\2017-11-11 --exclude "*" --recursive --include "*20171111*" &amp; "%USERPROFILE%\Documents\GitHub\mrs-test-scripts\Headless Mode &amp; Sideloading\WalkAndUnGZ.bat" "%USERPROFILE%\AppData\Local\Temp\OnboardLogs"\RTDC4027\2017-11-11</v>
      </c>
      <c r="AF50" s="74" t="str">
        <f t="shared" si="10"/>
        <v>"C:\Program Files (x86)\AstroGrep\AstroGrep.exe" /e /r /s /spath="%USERPROFILE%\AppData\Local\Temp\OnboardLogs" /stypes="app*4027*20171110*" /stext=" 16:.+((SYSTEM_STATE.+slice.+state.+changed )|(ment ac)|(multiple cpu faults)|(system.+state.+changed )|(\[timeout)|(PRM\|1\|D)|(kpr)|(kdp)|(train st.+moving)|(\|lc)|(penalty))"</v>
      </c>
      <c r="AG50" s="182" t="str">
        <f t="shared" si="11"/>
        <v>EC</v>
      </c>
      <c r="AH50" s="78" t="str">
        <f t="shared" si="18"/>
        <v>"%USERPROFILE%\Documents\GitHub\eaglep3\Utilities\RefineRTDCRunTimes.py" --tripid 138-10 --locoid 4027 --swversion DE.1.0.9.0 --startMP 204:232982 --initTime 2017-11-10T08:55:22 --startdatetime 2017-11-10T09:12:12 --delay 54 --endMP 204:178 --enddatetime 2017-11-10T09:53:39 --enforcementcount 1 &gt;&gt;%USERPROFILE%\Documents\GitHub\eaglep3-reporting\EC\2017-11-10-refined-times.txt</v>
      </c>
      <c r="AI50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{"issue":{"subject":"","project_id":79,"tracker_id":40,"status_id":1,"priority_id":2,"assigned_to_id":338,"start_date":"2017-11-10","description":"","custom_fields":[{"id":1,"name":"Subdivision","value":"EC"},{"id":4,"name":"Milepost","value":"0.0178"},{"id":17,"name":"Train ID","value":"138-10"},{"id":16,"name":"Locomotive ID","value":"4027"},{"id":130,"name":"Impact","value":""},{"id":150,"name":"Time of Event (Mountain Time)","value":"09:53:39"},{"id":151,"name":"Denver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4027 --day 2017-11-10</v>
      </c>
      <c r="AN50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16:53:39"},{"id":29,"name":"Sharepoint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2"/>
        <v>https://d0f6bd738d7f1b3e5a7ca70fe4ff75f0.us-east-1.aws.found.io/app/kibana#/discover/Steve-Slow-Train-Analysis-(2080s-and-2083s)?_g=(refreshInterval:(display:Off,pause:!f,section:0,value:0),time:(from:'2017-11-10T07:55:22-0700',mode:absolute,to:'2017-11-10T10:53:39-0700'))&amp;_a=(columns:!('Message%20ID',Summary),filters:!(),index:'emp_*',interval:auto,query:(query_string:(analyze_wildcard:!t,query:'%22rtdc.l.rtdc.4027%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723</v>
      </c>
      <c r="B51" s="7">
        <v>4050</v>
      </c>
      <c r="C51" s="21" t="s">
        <v>192</v>
      </c>
      <c r="D51" s="21" t="s">
        <v>547</v>
      </c>
      <c r="E51" s="13">
        <v>43049.347905092596</v>
      </c>
      <c r="F51" s="13">
        <v>43049.355694444443</v>
      </c>
      <c r="G51" s="7">
        <v>57</v>
      </c>
      <c r="H51" s="21" t="s">
        <v>552</v>
      </c>
      <c r="I51" s="13">
        <v>43049.379571759258</v>
      </c>
      <c r="J51" s="7">
        <v>1</v>
      </c>
      <c r="K51" s="89" t="str">
        <f t="shared" si="0"/>
        <v>4049/4050</v>
      </c>
      <c r="L51" s="185" t="str">
        <f>VLOOKUP(A51,'Trips&amp;Operators'!$C$1:$G$99911,5,FALSE)</f>
        <v>YORK EDGAR</v>
      </c>
      <c r="M51" s="6">
        <f t="shared" si="1"/>
        <v>2.3877314815763384E-2</v>
      </c>
      <c r="N51" s="7">
        <f t="shared" si="28"/>
        <v>34.383333334699273</v>
      </c>
      <c r="O51" s="7"/>
      <c r="P51" s="7"/>
      <c r="Q51" s="22"/>
      <c r="R51" s="174"/>
      <c r="S51" s="221">
        <f t="shared" si="27"/>
        <v>1</v>
      </c>
      <c r="T51" s="174" t="str">
        <f t="shared" si="2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3"/>
        <v>https://d0f6bd738d7f1b3e5a7ca70fe4ff75f0.us-east-1.aws.found.io/app/kibana#/discover/Steve-Slow-Train-Analysis-(2080s-and-2083s)?_g=(refreshInterval:(display:Off,pause:!f,section:0,value:0),time:(from:'2017-11-10T07:20:59-0700',mode:absolute,to:'2017-11-10T10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1" s="204" t="str">
        <f>IF(AA51&lt;VLOOKUP(AG51,Variables!$AC$3:$AD$8,2,FALSE),"Y","N")</f>
        <v>N</v>
      </c>
      <c r="X51" s="204">
        <f t="shared" si="24"/>
        <v>1</v>
      </c>
      <c r="Y51" s="204">
        <f t="shared" si="25"/>
        <v>4.58E-2</v>
      </c>
      <c r="Z51" s="204">
        <f t="shared" si="26"/>
        <v>23.329499999999999</v>
      </c>
      <c r="AA51" s="204">
        <f t="shared" si="7"/>
        <v>23.2837</v>
      </c>
      <c r="AB51" s="54" t="e">
        <f>VLOOKUP(A51,Enforcements!$C$7:$K$9,8,0)</f>
        <v>#N/A</v>
      </c>
      <c r="AC51" s="51" t="e">
        <f>VLOOKUP(A51,Enforcements!$C$7:$E$9,3,0)</f>
        <v>#N/A</v>
      </c>
      <c r="AD51" s="179">
        <f t="shared" si="8"/>
        <v>139</v>
      </c>
      <c r="AE51" s="77" t="str">
        <f t="shared" si="9"/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AF51" s="74" t="str">
        <f t="shared" si="10"/>
        <v>"C:\Program Files (x86)\AstroGrep\AstroGrep.exe" /e /r /s /spath="%USERPROFILE%\AppData\Local\Temp\OnboardLogs" /stypes="app*4050*20171110*" /stext=" 16:.+((SYSTEM_STATE.+slice.+state.+changed )|(ment ac)|(multiple cpu faults)|(system.+state.+changed )|(\[timeout)|(PRM\|1\|D)|(kpr)|(kdp)|(train st.+moving)|(\|lc)|(penalty))"</v>
      </c>
      <c r="AG51" s="182" t="str">
        <f t="shared" si="11"/>
        <v>EC</v>
      </c>
      <c r="AH51" s="78" t="str">
        <f t="shared" si="18"/>
        <v>"%USERPROFILE%\Documents\GitHub\eaglep3\Utilities\RefineRTDCRunTimes.py" --tripid 139-10 --locoid 4050 --swversion DE.1.0.9.0 --startMP 204:458 --initTime 2017-11-10T08:20:59 --startdatetime 2017-11-10T08:32:12 --delay 57 --endMP 204:233295 --enddatetime 2017-11-10T09:06:35 --enforcementcount 1 &gt;&gt;%USERPROFILE%\Documents\GitHub\eaglep3-reporting\EC\2017-11-10-refined-times.txt</v>
      </c>
      <c r="AI51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{"issue":{"subject":"","project_id":79,"tracker_id":40,"status_id":1,"priority_id":2,"assigned_to_id":338,"start_date":"2017-11-10","description":"","custom_fields":[{"id":1,"name":"Subdivision","value":"EC"},{"id":4,"name":"Milepost","value":"23.3295"},{"id":17,"name":"Train ID","value":"139-10"},{"id":16,"name":"Locomotive ID","value":"4050"},{"id":130,"name":"Impact","value":""},{"id":150,"name":"Time of Event (Mountain Time)","value":"09:06:35"},{"id":151,"name":"Denver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4050 --day 2017-11-10</v>
      </c>
      <c r="AN51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16:06:35"},{"id":29,"name":"Sharepoint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2"/>
        <v>https://d0f6bd738d7f1b3e5a7ca70fe4ff75f0.us-east-1.aws.found.io/app/kibana#/discover/Steve-Slow-Train-Analysis-(2080s-and-2083s)?_g=(refreshInterval:(display:Off,pause:!f,section:0,value:0),time:(from:'2017-11-10T07:20:59-0700',mode:absolute,to:'2017-11-10T10:06:35-0700'))&amp;_a=(columns:!('Message%20ID',Summary),filters:!(),index:'emp_*',interval:auto,query:(query_string:(analyze_wildcard:!t,query:'%22rtdc.l.rtdc.4050%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733</v>
      </c>
      <c r="B52" s="7">
        <v>4049</v>
      </c>
      <c r="C52" s="21" t="s">
        <v>192</v>
      </c>
      <c r="D52" s="21" t="s">
        <v>608</v>
      </c>
      <c r="E52" s="13">
        <v>43049.380729166667</v>
      </c>
      <c r="F52" s="13">
        <v>43049.394189814811</v>
      </c>
      <c r="G52" s="7">
        <v>53</v>
      </c>
      <c r="H52" s="21" t="s">
        <v>591</v>
      </c>
      <c r="I52" s="13">
        <v>43049.418912037036</v>
      </c>
      <c r="J52" s="7">
        <v>1</v>
      </c>
      <c r="K52" s="89" t="str">
        <f t="shared" si="0"/>
        <v>4049/4050</v>
      </c>
      <c r="L52" s="185" t="str">
        <f>VLOOKUP(A52,'Trips&amp;Operators'!$C$1:$G$99911,5,FALSE)</f>
        <v>YORK EDGAR</v>
      </c>
      <c r="M52" s="6">
        <f t="shared" si="1"/>
        <v>2.4722222224227153E-2</v>
      </c>
      <c r="N52" s="7">
        <f t="shared" si="28"/>
        <v>35.6000000028871</v>
      </c>
      <c r="O52" s="7"/>
      <c r="P52" s="7"/>
      <c r="Q52" s="22"/>
      <c r="R52" s="174"/>
      <c r="S52" s="221">
        <f t="shared" si="27"/>
        <v>1</v>
      </c>
      <c r="T52" s="174" t="str">
        <f t="shared" si="2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3"/>
        <v>https://d0f6bd738d7f1b3e5a7ca70fe4ff75f0.us-east-1.aws.found.io/app/kibana#/discover/Steve-Slow-Train-Analysis-(2080s-and-2083s)?_g=(refreshInterval:(display:Off,pause:!f,section:0,value:0),time:(from:'2017-11-10T08:08:15-0700',mode:absolute,to:'2017-11-10T11:03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2" s="204" t="str">
        <f>IF(AA52&lt;VLOOKUP(AG52,Variables!$AC$3:$AD$8,2,FALSE),"Y","N")</f>
        <v>N</v>
      </c>
      <c r="X52" s="204">
        <f t="shared" si="24"/>
        <v>1</v>
      </c>
      <c r="Y52" s="204">
        <f t="shared" si="25"/>
        <v>23.2974</v>
      </c>
      <c r="Z52" s="204">
        <f t="shared" si="26"/>
        <v>0.02</v>
      </c>
      <c r="AA52" s="204">
        <f t="shared" si="7"/>
        <v>23.2774</v>
      </c>
      <c r="AB52" s="54" t="e">
        <f>VLOOKUP(A52,Enforcements!$C$7:$K$9,8,0)</f>
        <v>#N/A</v>
      </c>
      <c r="AC52" s="51" t="e">
        <f>VLOOKUP(A52,Enforcements!$C$7:$E$9,3,0)</f>
        <v>#N/A</v>
      </c>
      <c r="AD52" s="179">
        <f t="shared" si="8"/>
        <v>140</v>
      </c>
      <c r="AE52" s="77" t="str">
        <f t="shared" si="9"/>
        <v>aws s3 cp s3://rtdc.mdm.uploadarchive.raw/RTDC4049/ "%USERPROFILE%\AppData\Local\Temp\OnboardLogs"\RTDC4049\2017-11-10 --exclude "*" --recursive --include "*20171110*" &amp; "%USERPROFILE%\Documents\GitHub\mrs-test-scripts\Headless Mode &amp; Sideloading\WalkAndUnGZ.bat" "%USERPROFILE%\AppData\Local\Temp\OnboardLogs"\RTDC4049\2017-11-10 &amp; aws s3 cp s3://rtdc.mdm.uploadarchive.raw/RTDC4049/ "%USERPROFILE%\AppData\Local\Temp\OnboardLogs"\RTDC4049\2017-11-11 --exclude "*" --recursive --include "*20171111*" &amp; "%USERPROFILE%\Documents\GitHub\mrs-test-scripts\Headless Mode &amp; Sideloading\WalkAndUnGZ.bat" "%USERPROFILE%\AppData\Local\Temp\OnboardLogs"\RTDC4049\2017-11-11</v>
      </c>
      <c r="AF52" s="74" t="str">
        <f t="shared" si="10"/>
        <v>"C:\Program Files (x86)\AstroGrep\AstroGrep.exe" /e /r /s /spath="%USERPROFILE%\AppData\Local\Temp\OnboardLogs" /stypes="app*4049*20171110*" /stext=" 17:.+((SYSTEM_STATE.+slice.+state.+changed )|(ment ac)|(multiple cpu faults)|(system.+state.+changed )|(\[timeout)|(PRM\|1\|D)|(kpr)|(kdp)|(train st.+moving)|(\|lc)|(penalty))"</v>
      </c>
      <c r="AG52" s="182" t="str">
        <f t="shared" si="11"/>
        <v>EC</v>
      </c>
      <c r="AH52" s="78" t="str">
        <f t="shared" si="18"/>
        <v>"%USERPROFILE%\Documents\GitHub\eaglep3\Utilities\RefineRTDCRunTimes.py" --tripid 140-10 --locoid 4049 --swversion DE.1.0.9.0 --startMP 204:232974 --initTime 2017-11-10T09:08:15 --startdatetime 2017-11-10T09:27:38 --delay 53 --endMP 204:200 --enddatetime 2017-11-10T10:03:14 --enforcementcount 1 &gt;&gt;%USERPROFILE%\Documents\GitHub\eaglep3-reporting\EC\2017-11-10-refined-times.txt</v>
      </c>
      <c r="AI52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{"issue":{"subject":"","project_id":79,"tracker_id":40,"status_id":1,"priority_id":2,"assigned_to_id":338,"start_date":"2017-11-10","description":"","custom_fields":[{"id":1,"name":"Subdivision","value":"EC"},{"id":4,"name":"Milepost","value":"0.02"},{"id":17,"name":"Train ID","value":"140-10"},{"id":16,"name":"Locomotive ID","value":"4049"},{"id":130,"name":"Impact","value":""},{"id":150,"name":"Time of Event (Mountain Time)","value":"10:03:14"},{"id":151,"name":"Denver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4049 --day 2017-11-10</v>
      </c>
      <c r="AN52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17:03:14"},{"id":29,"name":"Sharepoint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2"/>
        <v>https://d0f6bd738d7f1b3e5a7ca70fe4ff75f0.us-east-1.aws.found.io/app/kibana#/discover/Steve-Slow-Train-Analysis-(2080s-and-2083s)?_g=(refreshInterval:(display:Off,pause:!f,section:0,value:0),time:(from:'2017-11-10T08:08:15-0700',mode:absolute,to:'2017-11-10T11:03:14-0700'))&amp;_a=(columns:!('Message%20ID',Summary),filters:!(),index:'emp_*',interval:auto,query:(query_string:(analyze_wildcard:!t,query:'%22rtdc.l.rtdc.4049%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728</v>
      </c>
      <c r="B53" s="7">
        <v>4012</v>
      </c>
      <c r="C53" s="21" t="s">
        <v>192</v>
      </c>
      <c r="D53" s="21" t="s">
        <v>922</v>
      </c>
      <c r="E53" s="13">
        <v>43049.363229166665</v>
      </c>
      <c r="F53" s="13">
        <v>43049.365057870367</v>
      </c>
      <c r="G53" s="7">
        <v>61</v>
      </c>
      <c r="H53" s="21" t="s">
        <v>487</v>
      </c>
      <c r="I53" s="13">
        <v>43049.390185185184</v>
      </c>
      <c r="J53" s="7">
        <v>1</v>
      </c>
      <c r="K53" s="89" t="str">
        <f t="shared" si="0"/>
        <v>4011/4012</v>
      </c>
      <c r="L53" s="185" t="str">
        <f>VLOOKUP(A53,'Trips&amp;Operators'!$C$1:$G$99911,5,FALSE)</f>
        <v>MACDONALD THOMAS</v>
      </c>
      <c r="M53" s="6">
        <f t="shared" si="1"/>
        <v>2.5127314816927537E-2</v>
      </c>
      <c r="N53" s="7">
        <f t="shared" si="28"/>
        <v>36.183333336375654</v>
      </c>
      <c r="O53" s="7"/>
      <c r="P53" s="7"/>
      <c r="Q53" s="22"/>
      <c r="R53" s="174"/>
      <c r="S53" s="221">
        <f t="shared" si="27"/>
        <v>1</v>
      </c>
      <c r="T53" s="174" t="str">
        <f t="shared" si="2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3"/>
        <v>https://d0f6bd738d7f1b3e5a7ca70fe4ff75f0.us-east-1.aws.found.io/app/kibana#/discover/Steve-Slow-Train-Analysis-(2080s-and-2083s)?_g=(refreshInterval:(display:Off,pause:!f,section:0,value:0),time:(from:'2017-11-10T07:43:03-0700',mode:absolute,to:'2017-11-10T10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204" t="str">
        <f>IF(AA53&lt;VLOOKUP(AG53,Variables!$AC$3:$AD$8,2,FALSE),"Y","N")</f>
        <v>N</v>
      </c>
      <c r="X53" s="204">
        <f t="shared" si="24"/>
        <v>1</v>
      </c>
      <c r="Y53" s="204">
        <f t="shared" si="25"/>
        <v>5.9700000000000003E-2</v>
      </c>
      <c r="Z53" s="204">
        <f t="shared" si="26"/>
        <v>23.3184</v>
      </c>
      <c r="AA53" s="204">
        <f t="shared" si="7"/>
        <v>23.258700000000001</v>
      </c>
      <c r="AB53" s="54" t="e">
        <f>VLOOKUP(A53,Enforcements!$C$7:$K$9,8,0)</f>
        <v>#N/A</v>
      </c>
      <c r="AC53" s="51" t="e">
        <f>VLOOKUP(A53,Enforcements!$C$7:$E$9,3,0)</f>
        <v>#N/A</v>
      </c>
      <c r="AD53" s="179">
        <f t="shared" si="8"/>
        <v>141</v>
      </c>
      <c r="AE53" s="77" t="str">
        <f t="shared" si="9"/>
        <v>aws s3 cp s3://rtdc.mdm.uploadarchive.raw/RTDC4012/ "%USERPROFILE%\AppData\Local\Temp\OnboardLogs"\RTDC4012\2017-11-10 --exclude "*" --recursive --include "*20171110*" &amp; "%USERPROFILE%\Documents\GitHub\mrs-test-scripts\Headless Mode &amp; Sideloading\WalkAndUnGZ.bat" "%USERPROFILE%\AppData\Local\Temp\OnboardLogs"\RTDC4012\2017-11-10 &amp; aws s3 cp s3://rtdc.mdm.uploadarchive.raw/RTDC4012/ "%USERPROFILE%\AppData\Local\Temp\OnboardLogs"\RTDC4012\2017-11-11 --exclude "*" --recursive --include "*20171111*" &amp; "%USERPROFILE%\Documents\GitHub\mrs-test-scripts\Headless Mode &amp; Sideloading\WalkAndUnGZ.bat" "%USERPROFILE%\AppData\Local\Temp\OnboardLogs"\RTDC4012\2017-11-11</v>
      </c>
      <c r="AF53" s="74" t="str">
        <f t="shared" si="10"/>
        <v>"C:\Program Files (x86)\AstroGrep\AstroGrep.exe" /e /r /s /spath="%USERPROFILE%\AppData\Local\Temp\OnboardLogs" /stypes="app*4012*20171110*" /stext=" 16:.+((SYSTEM_STATE.+slice.+state.+changed )|(ment ac)|(multiple cpu faults)|(system.+state.+changed )|(\[timeout)|(PRM\|1\|D)|(kpr)|(kdp)|(train st.+moving)|(\|lc)|(penalty))"</v>
      </c>
      <c r="AG53" s="182" t="str">
        <f t="shared" si="11"/>
        <v>EC</v>
      </c>
      <c r="AH53" s="78" t="str">
        <f t="shared" si="18"/>
        <v>"%USERPROFILE%\Documents\GitHub\eaglep3\Utilities\RefineRTDCRunTimes.py" --tripid 141-10 --locoid 4012 --swversion DE.1.0.9.0 --startMP 204:597 --initTime 2017-11-10T08:43:03 --startdatetime 2017-11-10T08:45:41 --delay 61 --endMP 204:233184 --enddatetime 2017-11-10T09:21:52 --enforcementcount 1 &gt;&gt;%USERPROFILE%\Documents\GitHub\eaglep3-reporting\EC\2017-11-10-refined-times.txt</v>
      </c>
      <c r="AI53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{"issue":{"subject":"","project_id":79,"tracker_id":40,"status_id":1,"priority_id":2,"assigned_to_id":338,"start_date":"2017-11-10","description":"","custom_fields":[{"id":1,"name":"Subdivision","value":"EC"},{"id":4,"name":"Milepost","value":"23.3184"},{"id":17,"name":"Train ID","value":"141-10"},{"id":16,"name":"Locomotive ID","value":"4012"},{"id":130,"name":"Impact","value":""},{"id":150,"name":"Time of Event (Mountain Time)","value":"09:21:52"},{"id":151,"name":"Denver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4012 --day 2017-11-10</v>
      </c>
      <c r="AN53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16:21:52"},{"id":29,"name":"Sharepoint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2"/>
        <v>https://d0f6bd738d7f1b3e5a7ca70fe4ff75f0.us-east-1.aws.found.io/app/kibana#/discover/Steve-Slow-Train-Analysis-(2080s-and-2083s)?_g=(refreshInterval:(display:Off,pause:!f,section:0,value:0),time:(from:'2017-11-10T07:43:03-0700',mode:absolute,to:'2017-11-10T10:21:52-0700'))&amp;_a=(columns:!('Message%20ID',Summary),filters:!(),index:'emp_*',interval:auto,query:(query_string:(analyze_wildcard:!t,query:'%22rtdc.l.rtdc.4012%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736</v>
      </c>
      <c r="B54" s="7">
        <v>4011</v>
      </c>
      <c r="C54" s="21" t="s">
        <v>192</v>
      </c>
      <c r="D54" s="21" t="s">
        <v>923</v>
      </c>
      <c r="E54" s="13">
        <v>43049.403344907405</v>
      </c>
      <c r="F54" s="13">
        <v>43049.404537037037</v>
      </c>
      <c r="G54" s="7">
        <v>47</v>
      </c>
      <c r="H54" s="21" t="s">
        <v>924</v>
      </c>
      <c r="I54" s="13">
        <v>43049.430289351854</v>
      </c>
      <c r="J54" s="7">
        <v>1</v>
      </c>
      <c r="K54" s="89" t="str">
        <f t="shared" si="0"/>
        <v>4011/4012</v>
      </c>
      <c r="L54" s="185" t="str">
        <f>VLOOKUP(A54,'Trips&amp;Operators'!$C$1:$G$99911,5,FALSE)</f>
        <v>MACDONALD THOMAS</v>
      </c>
      <c r="M54" s="6">
        <f t="shared" si="1"/>
        <v>2.5752314817509614E-2</v>
      </c>
      <c r="N54" s="7">
        <f t="shared" si="28"/>
        <v>37.083333337213844</v>
      </c>
      <c r="O54" s="7"/>
      <c r="P54" s="7"/>
      <c r="Q54" s="22"/>
      <c r="R54" s="174"/>
      <c r="S54" s="221">
        <f t="shared" si="27"/>
        <v>1</v>
      </c>
      <c r="T54" s="174" t="str">
        <f t="shared" si="2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3"/>
        <v>https://d0f6bd738d7f1b3e5a7ca70fe4ff75f0.us-east-1.aws.found.io/app/kibana#/discover/Steve-Slow-Train-Analysis-(2080s-and-2083s)?_g=(refreshInterval:(display:Off,pause:!f,section:0,value:0),time:(from:'2017-11-10T08:40:49-0700',mode:absolute,to:'2017-11-10T11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204" t="str">
        <f>IF(AA54&lt;VLOOKUP(AG54,Variables!$AC$3:$AD$8,2,FALSE),"Y","N")</f>
        <v>N</v>
      </c>
      <c r="X54" s="204">
        <f t="shared" si="24"/>
        <v>1</v>
      </c>
      <c r="Y54" s="204">
        <f t="shared" si="25"/>
        <v>23.285699999999999</v>
      </c>
      <c r="Z54" s="204">
        <f t="shared" si="26"/>
        <v>2.63E-2</v>
      </c>
      <c r="AA54" s="204">
        <f t="shared" si="7"/>
        <v>23.259399999999999</v>
      </c>
      <c r="AB54" s="54" t="e">
        <f>VLOOKUP(A54,Enforcements!$C$7:$K$9,8,0)</f>
        <v>#N/A</v>
      </c>
      <c r="AC54" s="51" t="e">
        <f>VLOOKUP(A54,Enforcements!$C$7:$E$9,3,0)</f>
        <v>#N/A</v>
      </c>
      <c r="AD54" s="179">
        <f t="shared" si="8"/>
        <v>142</v>
      </c>
      <c r="AE54" s="77" t="str">
        <f t="shared" si="9"/>
        <v>aws s3 cp s3://rtdc.mdm.uploadarchive.raw/RTDC4011/ "%USERPROFILE%\AppData\Local\Temp\OnboardLogs"\RTDC4011\2017-11-10 --exclude "*" --recursive --include "*20171110*" &amp; "%USERPROFILE%\Documents\GitHub\mrs-test-scripts\Headless Mode &amp; Sideloading\WalkAndUnGZ.bat" "%USERPROFILE%\AppData\Local\Temp\OnboardLogs"\RTDC4011\2017-11-10 &amp; aws s3 cp s3://rtdc.mdm.uploadarchive.raw/RTDC4011/ "%USERPROFILE%\AppData\Local\Temp\OnboardLogs"\RTDC4011\2017-11-11 --exclude "*" --recursive --include "*20171111*" &amp; "%USERPROFILE%\Documents\GitHub\mrs-test-scripts\Headless Mode &amp; Sideloading\WalkAndUnGZ.bat" "%USERPROFILE%\AppData\Local\Temp\OnboardLogs"\RTDC4011\2017-11-11</v>
      </c>
      <c r="AF54" s="74" t="str">
        <f t="shared" si="10"/>
        <v>"C:\Program Files (x86)\AstroGrep\AstroGrep.exe" /e /r /s /spath="%USERPROFILE%\AppData\Local\Temp\OnboardLogs" /stypes="app*4011*20171110*" /stext=" 17:.+((SYSTEM_STATE.+slice.+state.+changed )|(ment ac)|(multiple cpu faults)|(system.+state.+changed )|(\[timeout)|(PRM\|1\|D)|(kpr)|(kdp)|(train st.+moving)|(\|lc)|(penalty))"</v>
      </c>
      <c r="AG54" s="182" t="str">
        <f t="shared" si="11"/>
        <v>EC</v>
      </c>
      <c r="AH54" s="78" t="str">
        <f t="shared" si="18"/>
        <v>"%USERPROFILE%\Documents\GitHub\eaglep3\Utilities\RefineRTDCRunTimes.py" --tripid 142-10 --locoid 4011 --swversion DE.1.0.9.0 --startMP 204:232857 --initTime 2017-11-10T09:40:49 --startdatetime 2017-11-10T09:42:32 --delay 47 --endMP 204:263 --enddatetime 2017-11-10T10:19:37 --enforcementcount 1 &gt;&gt;%USERPROFILE%\Documents\GitHub\eaglep3-reporting\EC\2017-11-10-refined-times.txt</v>
      </c>
      <c r="AI54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{"issue":{"subject":"","project_id":79,"tracker_id":40,"status_id":1,"priority_id":2,"assigned_to_id":338,"start_date":"2017-11-10","description":"","custom_fields":[{"id":1,"name":"Subdivision","value":"EC"},{"id":4,"name":"Milepost","value":"0.0263"},{"id":17,"name":"Train ID","value":"142-10"},{"id":16,"name":"Locomotive ID","value":"4011"},{"id":130,"name":"Impact","value":""},{"id":150,"name":"Time of Event (Mountain Time)","value":"10:19:37"},{"id":151,"name":"Denver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4011 --day 2017-11-10</v>
      </c>
      <c r="AN54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17:19:37"},{"id":29,"name":"Sharepoint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2"/>
        <v>https://d0f6bd738d7f1b3e5a7ca70fe4ff75f0.us-east-1.aws.found.io/app/kibana#/discover/Steve-Slow-Train-Analysis-(2080s-and-2083s)?_g=(refreshInterval:(display:Off,pause:!f,section:0,value:0),time:(from:'2017-11-10T08:40:49-0700',mode:absolute,to:'2017-11-10T11:19:37-0700'))&amp;_a=(columns:!('Message%20ID',Summary),filters:!(),index:'emp_*',interval:auto,query:(query_string:(analyze_wildcard:!t,query:'%22rtdc.l.rtdc.4011%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729</v>
      </c>
      <c r="B55" s="7">
        <v>4052</v>
      </c>
      <c r="C55" s="21" t="s">
        <v>192</v>
      </c>
      <c r="D55" s="21" t="s">
        <v>450</v>
      </c>
      <c r="E55" s="13">
        <v>43049.371006944442</v>
      </c>
      <c r="F55" s="13">
        <v>43049.375335648147</v>
      </c>
      <c r="G55" s="7">
        <v>47</v>
      </c>
      <c r="H55" s="21" t="s">
        <v>484</v>
      </c>
      <c r="I55" s="13">
        <v>43049.401145833333</v>
      </c>
      <c r="J55" s="7">
        <v>1</v>
      </c>
      <c r="K55" s="89" t="str">
        <f t="shared" si="0"/>
        <v>4051/4052</v>
      </c>
      <c r="L55" s="185" t="str">
        <f>VLOOKUP(A55,'Trips&amp;Operators'!$C$1:$G$99911,5,FALSE)</f>
        <v>MAELZER KURT</v>
      </c>
      <c r="M55" s="6">
        <f t="shared" si="1"/>
        <v>2.5810185186855961E-2</v>
      </c>
      <c r="N55" s="7">
        <f t="shared" si="28"/>
        <v>37.166666669072583</v>
      </c>
      <c r="O55" s="7"/>
      <c r="P55" s="7"/>
      <c r="Q55" s="22"/>
      <c r="R55" s="174"/>
      <c r="S55" s="221">
        <f t="shared" si="27"/>
        <v>1</v>
      </c>
      <c r="T55" s="174" t="str">
        <f t="shared" si="2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3"/>
        <v>https://d0f6bd738d7f1b3e5a7ca70fe4ff75f0.us-east-1.aws.found.io/app/kibana#/discover/Steve-Slow-Train-Analysis-(2080s-and-2083s)?_g=(refreshInterval:(display:Off,pause:!f,section:0,value:0),time:(from:'2017-11-10T07:54:15-0700',mode:absolute,to:'2017-11-10T10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5" s="204" t="str">
        <f>IF(AA55&lt;VLOOKUP(AG55,Variables!$AC$3:$AD$8,2,FALSE),"Y","N")</f>
        <v>N</v>
      </c>
      <c r="X55" s="204">
        <f t="shared" si="24"/>
        <v>1</v>
      </c>
      <c r="Y55" s="204">
        <f t="shared" si="25"/>
        <v>5.0799999999999998E-2</v>
      </c>
      <c r="Z55" s="204">
        <f t="shared" si="26"/>
        <v>23.325900000000001</v>
      </c>
      <c r="AA55" s="204">
        <f t="shared" si="7"/>
        <v>23.275100000000002</v>
      </c>
      <c r="AB55" s="54" t="e">
        <f>VLOOKUP(A55,Enforcements!$C$7:$K$9,8,0)</f>
        <v>#N/A</v>
      </c>
      <c r="AC55" s="51" t="e">
        <f>VLOOKUP(A55,Enforcements!$C$7:$E$9,3,0)</f>
        <v>#N/A</v>
      </c>
      <c r="AD55" s="179">
        <f t="shared" si="8"/>
        <v>143</v>
      </c>
      <c r="AE55" s="77" t="str">
        <f t="shared" si="9"/>
        <v>aws s3 cp s3://rtdc.mdm.uploadarchive.raw/RTDC4052/ "%USERPROFILE%\AppData\Local\Temp\OnboardLogs"\RTDC4052\2017-11-10 --exclude "*" --recursive --include "*20171110*" &amp; "%USERPROFILE%\Documents\GitHub\mrs-test-scripts\Headless Mode &amp; Sideloading\WalkAndUnGZ.bat" "%USERPROFILE%\AppData\Local\Temp\OnboardLogs"\RTDC4052\2017-11-10 &amp; aws s3 cp s3://rtdc.mdm.uploadarchive.raw/RTDC4052/ "%USERPROFILE%\AppData\Local\Temp\OnboardLogs"\RTDC4052\2017-11-11 --exclude "*" --recursive --include "*20171111*" &amp; "%USERPROFILE%\Documents\GitHub\mrs-test-scripts\Headless Mode &amp; Sideloading\WalkAndUnGZ.bat" "%USERPROFILE%\AppData\Local\Temp\OnboardLogs"\RTDC4052\2017-11-11</v>
      </c>
      <c r="AF55" s="74" t="str">
        <f t="shared" si="10"/>
        <v>"C:\Program Files (x86)\AstroGrep\AstroGrep.exe" /e /r /s /spath="%USERPROFILE%\AppData\Local\Temp\OnboardLogs" /stypes="app*4052*20171110*" /stext=" 16:.+((SYSTEM_STATE.+slice.+state.+changed )|(ment ac)|(multiple cpu faults)|(system.+state.+changed )|(\[timeout)|(PRM\|1\|D)|(kpr)|(kdp)|(train st.+moving)|(\|lc)|(penalty))"</v>
      </c>
      <c r="AG55" s="182" t="str">
        <f t="shared" si="11"/>
        <v>EC</v>
      </c>
      <c r="AH55" s="78" t="str">
        <f t="shared" si="18"/>
        <v>"%USERPROFILE%\Documents\GitHub\eaglep3\Utilities\RefineRTDCRunTimes.py" --tripid 143-10 --locoid 4052 --swversion DE.1.0.9.0 --startMP 204:508 --initTime 2017-11-10T08:54:15 --startdatetime 2017-11-10T09:00:29 --delay 47 --endMP 204:233259 --enddatetime 2017-11-10T09:37:39 --enforcementcount 1 &gt;&gt;%USERPROFILE%\Documents\GitHub\eaglep3-reporting\EC\2017-11-10-refined-times.txt</v>
      </c>
      <c r="AI55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{"issue":{"subject":"","project_id":79,"tracker_id":40,"status_id":1,"priority_id":2,"assigned_to_id":338,"start_date":"2017-11-10","description":"","custom_fields":[{"id":1,"name":"Subdivision","value":"EC"},{"id":4,"name":"Milepost","value":"23.3259"},{"id":17,"name":"Train ID","value":"143-10"},{"id":16,"name":"Locomotive ID","value":"4052"},{"id":130,"name":"Impact","value":""},{"id":150,"name":"Time of Event (Mountain Time)","value":"09:37:39"},{"id":151,"name":"Denver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4052 --day 2017-11-10</v>
      </c>
      <c r="AN55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16:37:39"},{"id":29,"name":"Sharepoint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2"/>
        <v>https://d0f6bd738d7f1b3e5a7ca70fe4ff75f0.us-east-1.aws.found.io/app/kibana#/discover/Steve-Slow-Train-Analysis-(2080s-and-2083s)?_g=(refreshInterval:(display:Off,pause:!f,section:0,value:0),time:(from:'2017-11-10T07:54:15-0700',mode:absolute,to:'2017-11-10T10:37:39-0700'))&amp;_a=(columns:!('Message%20ID',Summary),filters:!(),index:'emp_*',interval:auto,query:(query_string:(analyze_wildcard:!t,query:'%22rtdc.l.rtdc.4052%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737</v>
      </c>
      <c r="B56" s="7">
        <v>4051</v>
      </c>
      <c r="C56" s="21" t="s">
        <v>192</v>
      </c>
      <c r="D56" s="21" t="s">
        <v>925</v>
      </c>
      <c r="E56" s="13">
        <v>43049.407835648148</v>
      </c>
      <c r="F56" s="13">
        <v>43049.414907407408</v>
      </c>
      <c r="G56" s="7">
        <v>80</v>
      </c>
      <c r="H56" s="21" t="s">
        <v>926</v>
      </c>
      <c r="I56" s="13">
        <v>43049.440960648149</v>
      </c>
      <c r="J56" s="7">
        <v>1</v>
      </c>
      <c r="K56" s="89" t="str">
        <f t="shared" si="0"/>
        <v>4051/4052</v>
      </c>
      <c r="L56" s="185" t="str">
        <f>VLOOKUP(A56,'Trips&amp;Operators'!$C$1:$G$99911,5,FALSE)</f>
        <v>MAELZER KURT</v>
      </c>
      <c r="M56" s="6">
        <f t="shared" si="1"/>
        <v>2.6053240741021E-2</v>
      </c>
      <c r="N56" s="7">
        <f t="shared" si="28"/>
        <v>37.51666666707024</v>
      </c>
      <c r="O56" s="7"/>
      <c r="P56" s="7"/>
      <c r="Q56" s="22"/>
      <c r="R56" s="174"/>
      <c r="S56" s="221">
        <f t="shared" si="27"/>
        <v>1</v>
      </c>
      <c r="T56" s="174" t="str">
        <f t="shared" si="2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3"/>
        <v>https://d0f6bd738d7f1b3e5a7ca70fe4ff75f0.us-east-1.aws.found.io/app/kibana#/discover/Steve-Slow-Train-Analysis-(2080s-and-2083s)?_g=(refreshInterval:(display:Off,pause:!f,section:0,value:0),time:(from:'2017-11-10T08:47:17-0700',mode:absolute,to:'2017-11-10T11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6" s="204" t="str">
        <f>IF(AA56&lt;VLOOKUP(AG56,Variables!$AC$3:$AD$8,2,FALSE),"Y","N")</f>
        <v>N</v>
      </c>
      <c r="X56" s="204">
        <f t="shared" si="24"/>
        <v>1</v>
      </c>
      <c r="Y56" s="204">
        <f t="shared" si="25"/>
        <v>23.294</v>
      </c>
      <c r="Z56" s="204">
        <f t="shared" si="26"/>
        <v>1.89E-2</v>
      </c>
      <c r="AA56" s="204">
        <f t="shared" si="7"/>
        <v>23.275100000000002</v>
      </c>
      <c r="AB56" s="54" t="e">
        <f>VLOOKUP(A56,Enforcements!$C$7:$K$9,8,0)</f>
        <v>#N/A</v>
      </c>
      <c r="AC56" s="51" t="e">
        <f>VLOOKUP(A56,Enforcements!$C$7:$E$9,3,0)</f>
        <v>#N/A</v>
      </c>
      <c r="AD56" s="179">
        <f t="shared" si="8"/>
        <v>144</v>
      </c>
      <c r="AE56" s="77" t="str">
        <f t="shared" si="9"/>
        <v>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 &amp; 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</v>
      </c>
      <c r="AF56" s="74" t="str">
        <f t="shared" si="10"/>
        <v>"C:\Program Files (x86)\AstroGrep\AstroGrep.exe" /e /r /s /spath="%USERPROFILE%\AppData\Local\Temp\OnboardLogs" /stypes="app*4051*20171110*" /stext=" 17:.+((SYSTEM_STATE.+slice.+state.+changed )|(ment ac)|(multiple cpu faults)|(system.+state.+changed )|(\[timeout)|(PRM\|1\|D)|(kpr)|(kdp)|(train st.+moving)|(\|lc)|(penalty))"</v>
      </c>
      <c r="AG56" s="182" t="str">
        <f t="shared" si="11"/>
        <v>EC</v>
      </c>
      <c r="AH56" s="78" t="str">
        <f t="shared" si="18"/>
        <v>"%USERPROFILE%\Documents\GitHub\eaglep3\Utilities\RefineRTDCRunTimes.py" --tripid 144-10 --locoid 4051 --swversion DE.1.0.9.0 --startMP 204:232940 --initTime 2017-11-10T09:47:17 --startdatetime 2017-11-10T09:57:28 --delay 80 --endMP 204:189 --enddatetime 2017-11-10T10:34:59 --enforcementcount 1 &gt;&gt;%USERPROFILE%\Documents\GitHub\eaglep3-reporting\EC\2017-11-10-refined-times.txt</v>
      </c>
      <c r="AI56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{"issue":{"subject":"","project_id":79,"tracker_id":40,"status_id":1,"priority_id":2,"assigned_to_id":338,"start_date":"2017-11-10","description":"","custom_fields":[{"id":1,"name":"Subdivision","value":"EC"},{"id":4,"name":"Milepost","value":"0.0189"},{"id":17,"name":"Train ID","value":"144-10"},{"id":16,"name":"Locomotive ID","value":"4051"},{"id":130,"name":"Impact","value":""},{"id":150,"name":"Time of Event (Mountain Time)","value":"10:34:59"},{"id":151,"name":"Denver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4051 --day 2017-11-10</v>
      </c>
      <c r="AN56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17:34:59"},{"id":29,"name":"Sharepoint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2"/>
        <v>https://d0f6bd738d7f1b3e5a7ca70fe4ff75f0.us-east-1.aws.found.io/app/kibana#/discover/Steve-Slow-Train-Analysis-(2080s-and-2083s)?_g=(refreshInterval:(display:Off,pause:!f,section:0,value:0),time:(from:'2017-11-10T08:47:17-0700',mode:absolute,to:'2017-11-10T11:34:59-0700'))&amp;_a=(columns:!('Message%20ID',Summary),filters:!(),index:'emp_*',interval:auto,query:(query_string:(analyze_wildcard:!t,query:'%22rtdc.l.rtdc.4051%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732</v>
      </c>
      <c r="B57" s="7">
        <v>4042</v>
      </c>
      <c r="C57" s="21" t="s">
        <v>192</v>
      </c>
      <c r="D57" s="21" t="s">
        <v>927</v>
      </c>
      <c r="E57" s="13">
        <v>43049.378865740742</v>
      </c>
      <c r="F57" s="13">
        <v>43049.385740740741</v>
      </c>
      <c r="G57" s="7">
        <v>62</v>
      </c>
      <c r="H57" s="21" t="s">
        <v>552</v>
      </c>
      <c r="I57" s="13">
        <v>43049.410624999997</v>
      </c>
      <c r="J57" s="7">
        <v>1</v>
      </c>
      <c r="K57" s="89" t="str">
        <f t="shared" si="0"/>
        <v>4041/4042</v>
      </c>
      <c r="L57" s="185" t="str">
        <f>VLOOKUP(A57,'Trips&amp;Operators'!$C$1:$G$99911,5,FALSE)</f>
        <v>YANAI IAN</v>
      </c>
      <c r="M57" s="6">
        <f t="shared" si="1"/>
        <v>2.488425925548654E-2</v>
      </c>
      <c r="N57" s="7">
        <f t="shared" si="28"/>
        <v>35.833333327900618</v>
      </c>
      <c r="O57" s="7"/>
      <c r="P57" s="7"/>
      <c r="Q57" s="22"/>
      <c r="R57" s="174"/>
      <c r="S57" s="221">
        <f t="shared" si="27"/>
        <v>1</v>
      </c>
      <c r="T57" s="174" t="str">
        <f t="shared" si="2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3"/>
        <v>https://d0f6bd738d7f1b3e5a7ca70fe4ff75f0.us-east-1.aws.found.io/app/kibana#/discover/Steve-Slow-Train-Analysis-(2080s-and-2083s)?_g=(refreshInterval:(display:Off,pause:!f,section:0,value:0),time:(from:'2017-11-10T08:05:34-0700',mode:absolute,to:'2017-11-10T10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204" t="str">
        <f>IF(AA57&lt;VLOOKUP(AG57,Variables!$AC$3:$AD$8,2,FALSE),"Y","N")</f>
        <v>N</v>
      </c>
      <c r="X57" s="204">
        <f t="shared" si="24"/>
        <v>1</v>
      </c>
      <c r="Y57" s="204">
        <f t="shared" si="25"/>
        <v>4.6600000000000003E-2</v>
      </c>
      <c r="Z57" s="204">
        <f t="shared" si="26"/>
        <v>23.329499999999999</v>
      </c>
      <c r="AA57" s="204">
        <f t="shared" si="7"/>
        <v>23.282899999999998</v>
      </c>
      <c r="AB57" s="54" t="e">
        <f>VLOOKUP(A57,Enforcements!$C$7:$K$9,8,0)</f>
        <v>#N/A</v>
      </c>
      <c r="AC57" s="51" t="e">
        <f>VLOOKUP(A57,Enforcements!$C$7:$E$9,3,0)</f>
        <v>#N/A</v>
      </c>
      <c r="AD57" s="179">
        <f t="shared" si="8"/>
        <v>145</v>
      </c>
      <c r="AE57" s="77" t="str">
        <f t="shared" si="9"/>
        <v>aws s3 cp s3://rtdc.mdm.uploadarchive.raw/RTDC4042/ "%USERPROFILE%\AppData\Local\Temp\OnboardLogs"\RTDC4042\2017-11-10 --exclude "*" --recursive --include "*20171110*" &amp; "%USERPROFILE%\Documents\GitHub\mrs-test-scripts\Headless Mode &amp; Sideloading\WalkAndUnGZ.bat" "%USERPROFILE%\AppData\Local\Temp\OnboardLogs"\RTDC4042\2017-11-10 &amp; aws s3 cp s3://rtdc.mdm.uploadarchive.raw/RTDC4042/ "%USERPROFILE%\AppData\Local\Temp\OnboardLogs"\RTDC4042\2017-11-11 --exclude "*" --recursive --include "*20171111*" &amp; "%USERPROFILE%\Documents\GitHub\mrs-test-scripts\Headless Mode &amp; Sideloading\WalkAndUnGZ.bat" "%USERPROFILE%\AppData\Local\Temp\OnboardLogs"\RTDC4042\2017-11-11</v>
      </c>
      <c r="AF57" s="74" t="str">
        <f t="shared" si="10"/>
        <v>"C:\Program Files (x86)\AstroGrep\AstroGrep.exe" /e /r /s /spath="%USERPROFILE%\AppData\Local\Temp\OnboardLogs" /stypes="app*4042*20171110*" /stext=" 16:.+((SYSTEM_STATE.+slice.+state.+changed )|(ment ac)|(multiple cpu faults)|(system.+state.+changed )|(\[timeout)|(PRM\|1\|D)|(kpr)|(kdp)|(train st.+moving)|(\|lc)|(penalty))"</v>
      </c>
      <c r="AG57" s="182" t="str">
        <f t="shared" si="11"/>
        <v>EC</v>
      </c>
      <c r="AH57" s="78" t="str">
        <f t="shared" si="18"/>
        <v>"%USERPROFILE%\Documents\GitHub\eaglep3\Utilities\RefineRTDCRunTimes.py" --tripid 145-10 --locoid 4042 --swversion DE.1.0.9.0 --startMP 204:466 --initTime 2017-11-10T09:05:34 --startdatetime 2017-11-10T09:15:28 --delay 62 --endMP 204:233295 --enddatetime 2017-11-10T09:51:18 --enforcementcount 1 &gt;&gt;%USERPROFILE%\Documents\GitHub\eaglep3-reporting\EC\2017-11-10-refined-times.txt</v>
      </c>
      <c r="AI57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{"issue":{"subject":"","project_id":79,"tracker_id":40,"status_id":1,"priority_id":2,"assigned_to_id":338,"start_date":"2017-11-10","description":"","custom_fields":[{"id":1,"name":"Subdivision","value":"EC"},{"id":4,"name":"Milepost","value":"23.3295"},{"id":17,"name":"Train ID","value":"145-10"},{"id":16,"name":"Locomotive ID","value":"4042"},{"id":130,"name":"Impact","value":""},{"id":150,"name":"Time of Event (Mountain Time)","value":"09:51:18"},{"id":151,"name":"Denver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4042 --day 2017-11-10</v>
      </c>
      <c r="AN57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16:51:18"},{"id":29,"name":"Sharepoint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2"/>
        <v>https://d0f6bd738d7f1b3e5a7ca70fe4ff75f0.us-east-1.aws.found.io/app/kibana#/discover/Steve-Slow-Train-Analysis-(2080s-and-2083s)?_g=(refreshInterval:(display:Off,pause:!f,section:0,value:0),time:(from:'2017-11-10T08:05:34-0700',mode:absolute,to:'2017-11-10T10:51:18-0700'))&amp;_a=(columns:!('Message%20ID',Summary),filters:!(),index:'emp_*',interval:auto,query:(query_string:(analyze_wildcard:!t,query:'%22rtdc.l.rtdc.4042%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738</v>
      </c>
      <c r="B58" s="7">
        <v>4041</v>
      </c>
      <c r="C58" s="21" t="s">
        <v>192</v>
      </c>
      <c r="D58" s="21" t="s">
        <v>545</v>
      </c>
      <c r="E58" s="13">
        <v>43049.412569444445</v>
      </c>
      <c r="F58" s="13">
        <v>43049.425312500003</v>
      </c>
      <c r="G58" s="7">
        <v>49</v>
      </c>
      <c r="H58" s="21" t="s">
        <v>599</v>
      </c>
      <c r="I58" s="13">
        <v>43049.451539351852</v>
      </c>
      <c r="J58" s="7">
        <v>1</v>
      </c>
      <c r="K58" s="89" t="str">
        <f t="shared" si="0"/>
        <v>4041/4042</v>
      </c>
      <c r="L58" s="185" t="str">
        <f>VLOOKUP(A58,'Trips&amp;Operators'!$C$1:$G$99911,5,FALSE)</f>
        <v>YANAI IAN</v>
      </c>
      <c r="M58" s="6">
        <f t="shared" si="1"/>
        <v>2.622685184906004E-2</v>
      </c>
      <c r="N58" s="7">
        <f t="shared" si="28"/>
        <v>37.766666662646458</v>
      </c>
      <c r="O58" s="7"/>
      <c r="P58" s="7"/>
      <c r="Q58" s="22"/>
      <c r="R58" s="174"/>
      <c r="S58" s="221">
        <f t="shared" si="27"/>
        <v>1</v>
      </c>
      <c r="T58" s="174" t="str">
        <f t="shared" si="2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3"/>
        <v>https://d0f6bd738d7f1b3e5a7ca70fe4ff75f0.us-east-1.aws.found.io/app/kibana#/discover/Steve-Slow-Train-Analysis-(2080s-and-2083s)?_g=(refreshInterval:(display:Off,pause:!f,section:0,value:0),time:(from:'2017-11-10T08:54:06-0700',mode:absolute,to:'2017-11-10T11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204" t="str">
        <f>IF(AA58&lt;VLOOKUP(AG58,Variables!$AC$3:$AD$8,2,FALSE),"Y","N")</f>
        <v>N</v>
      </c>
      <c r="X58" s="204">
        <f t="shared" si="24"/>
        <v>1</v>
      </c>
      <c r="Y58" s="204">
        <f t="shared" si="25"/>
        <v>23.298200000000001</v>
      </c>
      <c r="Z58" s="204">
        <f t="shared" si="26"/>
        <v>1.52E-2</v>
      </c>
      <c r="AA58" s="204">
        <f t="shared" si="7"/>
        <v>23.283000000000001</v>
      </c>
      <c r="AB58" s="54" t="e">
        <f>VLOOKUP(A58,Enforcements!$C$7:$K$9,8,0)</f>
        <v>#N/A</v>
      </c>
      <c r="AC58" s="51" t="e">
        <f>VLOOKUP(A58,Enforcements!$C$7:$E$9,3,0)</f>
        <v>#N/A</v>
      </c>
      <c r="AD58" s="179">
        <f t="shared" si="8"/>
        <v>146</v>
      </c>
      <c r="AE58" s="77" t="str">
        <f t="shared" si="9"/>
        <v>aws s3 cp s3://rtdc.mdm.uploadarchive.raw/RTDC4041/ "%USERPROFILE%\AppData\Local\Temp\OnboardLogs"\RTDC4041\2017-11-10 --exclude "*" --recursive --include "*20171110*" &amp; "%USERPROFILE%\Documents\GitHub\mrs-test-scripts\Headless Mode &amp; Sideloading\WalkAndUnGZ.bat" "%USERPROFILE%\AppData\Local\Temp\OnboardLogs"\RTDC4041\2017-11-10 &amp; aws s3 cp s3://rtdc.mdm.uploadarchive.raw/RTDC4041/ "%USERPROFILE%\AppData\Local\Temp\OnboardLogs"\RTDC4041\2017-11-11 --exclude "*" --recursive --include "*20171111*" &amp; "%USERPROFILE%\Documents\GitHub\mrs-test-scripts\Headless Mode &amp; Sideloading\WalkAndUnGZ.bat" "%USERPROFILE%\AppData\Local\Temp\OnboardLogs"\RTDC4041\2017-11-11</v>
      </c>
      <c r="AF58" s="74" t="str">
        <f t="shared" si="10"/>
        <v>"C:\Program Files (x86)\AstroGrep\AstroGrep.exe" /e /r /s /spath="%USERPROFILE%\AppData\Local\Temp\OnboardLogs" /stypes="app*4041*20171110*" /stext=" 17:.+((SYSTEM_STATE.+slice.+state.+changed )|(ment ac)|(multiple cpu faults)|(system.+state.+changed )|(\[timeout)|(PRM\|1\|D)|(kpr)|(kdp)|(train st.+moving)|(\|lc)|(penalty))"</v>
      </c>
      <c r="AG58" s="182" t="str">
        <f t="shared" si="11"/>
        <v>EC</v>
      </c>
      <c r="AH58" s="78" t="str">
        <f t="shared" si="18"/>
        <v>"%USERPROFILE%\Documents\GitHub\eaglep3\Utilities\RefineRTDCRunTimes.py" --tripid 146-10 --locoid 4041 --swversion DE.1.0.9.0 --startMP 204:232982 --initTime 2017-11-10T09:54:06 --startdatetime 2017-11-10T10:12:27 --delay 49 --endMP 204:152 --enddatetime 2017-11-10T10:50:13 --enforcementcount 1 &gt;&gt;%USERPROFILE%\Documents\GitHub\eaglep3-reporting\EC\2017-11-10-refined-times.txt</v>
      </c>
      <c r="AI58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{"issue":{"subject":"","project_id":79,"tracker_id":40,"status_id":1,"priority_id":2,"assigned_to_id":338,"start_date":"2017-11-10","description":"","custom_fields":[{"id":1,"name":"Subdivision","value":"EC"},{"id":4,"name":"Milepost","value":"0.0152"},{"id":17,"name":"Train ID","value":"146-10"},{"id":16,"name":"Locomotive ID","value":"4041"},{"id":130,"name":"Impact","value":""},{"id":150,"name":"Time of Event (Mountain Time)","value":"10:50:13"},{"id":151,"name":"Denver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4041 --day 2017-11-10</v>
      </c>
      <c r="AN58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17:50:13"},{"id":29,"name":"Sharepoint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2"/>
        <v>https://d0f6bd738d7f1b3e5a7ca70fe4ff75f0.us-east-1.aws.found.io/app/kibana#/discover/Steve-Slow-Train-Analysis-(2080s-and-2083s)?_g=(refreshInterval:(display:Off,pause:!f,section:0,value:0),time:(from:'2017-11-10T08:54:06-0700',mode:absolute,to:'2017-11-10T11:50:13-0700'))&amp;_a=(columns:!('Message%20ID',Summary),filters:!(),index:'emp_*',interval:auto,query:(query_string:(analyze_wildcard:!t,query:'%22rtdc.l.rtdc.4041%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734</v>
      </c>
      <c r="B59" s="7">
        <v>4060</v>
      </c>
      <c r="C59" s="21" t="s">
        <v>192</v>
      </c>
      <c r="D59" s="21" t="s">
        <v>489</v>
      </c>
      <c r="E59" s="13">
        <v>43049.38863425926</v>
      </c>
      <c r="F59" s="13">
        <v>43049.39603009259</v>
      </c>
      <c r="G59" s="7">
        <v>85</v>
      </c>
      <c r="H59" s="21" t="s">
        <v>602</v>
      </c>
      <c r="I59" s="13">
        <v>43049.421481481484</v>
      </c>
      <c r="J59" s="7">
        <v>1</v>
      </c>
      <c r="K59" s="89" t="str">
        <f t="shared" si="0"/>
        <v>4059/4060</v>
      </c>
      <c r="L59" s="185" t="str">
        <f>VLOOKUP(A59,'Trips&amp;Operators'!$C$1:$G$99911,5,FALSE)</f>
        <v>BONDS REYNALDO</v>
      </c>
      <c r="M59" s="6">
        <f t="shared" si="1"/>
        <v>2.5451388893998228E-2</v>
      </c>
      <c r="N59" s="7">
        <f t="shared" si="28"/>
        <v>36.650000007357448</v>
      </c>
      <c r="O59" s="7"/>
      <c r="P59" s="7"/>
      <c r="Q59" s="22"/>
      <c r="R59" s="174"/>
      <c r="S59" s="221">
        <f t="shared" si="27"/>
        <v>1</v>
      </c>
      <c r="T59" s="174" t="str">
        <f t="shared" si="2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3"/>
        <v>https://d0f6bd738d7f1b3e5a7ca70fe4ff75f0.us-east-1.aws.found.io/app/kibana#/discover/Steve-Slow-Train-Analysis-(2080s-and-2083s)?_g=(refreshInterval:(display:Off,pause:!f,section:0,value:0),time:(from:'2017-11-10T08:19:38-0700',mode:absolute,to:'2017-11-10T11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9" s="204" t="str">
        <f>IF(AA59&lt;VLOOKUP(AG59,Variables!$AC$3:$AD$8,2,FALSE),"Y","N")</f>
        <v>N</v>
      </c>
      <c r="X59" s="204">
        <f t="shared" si="24"/>
        <v>1</v>
      </c>
      <c r="Y59" s="204">
        <f t="shared" si="25"/>
        <v>5.3900000000000003E-2</v>
      </c>
      <c r="Z59" s="204">
        <f t="shared" si="26"/>
        <v>23.327999999999999</v>
      </c>
      <c r="AA59" s="204">
        <f t="shared" si="7"/>
        <v>23.274100000000001</v>
      </c>
      <c r="AB59" s="54" t="e">
        <f>VLOOKUP(A59,Enforcements!$C$7:$K$9,8,0)</f>
        <v>#N/A</v>
      </c>
      <c r="AC59" s="51" t="e">
        <f>VLOOKUP(A59,Enforcements!$C$7:$E$9,3,0)</f>
        <v>#N/A</v>
      </c>
      <c r="AD59" s="179">
        <f t="shared" si="8"/>
        <v>147</v>
      </c>
      <c r="AE59" s="77" t="str">
        <f t="shared" si="9"/>
        <v>aws s3 cp s3://rtdc.mdm.uploadarchive.raw/RTDC4060/ "%USERPROFILE%\AppData\Local\Temp\OnboardLogs"\RTDC4060\2017-11-10 --exclude "*" --recursive --include "*20171110*" &amp; "%USERPROFILE%\Documents\GitHub\mrs-test-scripts\Headless Mode &amp; Sideloading\WalkAndUnGZ.bat" "%USERPROFILE%\AppData\Local\Temp\OnboardLogs"\RTDC4060\2017-11-10 &amp; aws s3 cp s3://rtdc.mdm.uploadarchive.raw/RTDC4060/ "%USERPROFILE%\AppData\Local\Temp\OnboardLogs"\RTDC4060\2017-11-11 --exclude "*" --recursive --include "*20171111*" &amp; "%USERPROFILE%\Documents\GitHub\mrs-test-scripts\Headless Mode &amp; Sideloading\WalkAndUnGZ.bat" "%USERPROFILE%\AppData\Local\Temp\OnboardLogs"\RTDC4060\2017-11-11</v>
      </c>
      <c r="AF59" s="74" t="str">
        <f t="shared" si="10"/>
        <v>"C:\Program Files (x86)\AstroGrep\AstroGrep.exe" /e /r /s /spath="%USERPROFILE%\AppData\Local\Temp\OnboardLogs" /stypes="app*4060*20171110*" /stext=" 17:.+((SYSTEM_STATE.+slice.+state.+changed )|(ment ac)|(multiple cpu faults)|(system.+state.+changed )|(\[timeout)|(PRM\|1\|D)|(kpr)|(kdp)|(train st.+moving)|(\|lc)|(penalty))"</v>
      </c>
      <c r="AG59" s="182" t="str">
        <f t="shared" si="11"/>
        <v>EC</v>
      </c>
      <c r="AH59" s="78" t="str">
        <f t="shared" si="18"/>
        <v>"%USERPROFILE%\Documents\GitHub\eaglep3\Utilities\RefineRTDCRunTimes.py" --tripid 147-10 --locoid 4060 --swversion DE.1.0.9.0 --startMP 204:539 --initTime 2017-11-10T09:19:38 --startdatetime 2017-11-10T09:30:17 --delay 85 --endMP 204:233280 --enddatetime 2017-11-10T10:06:56 --enforcementcount 1 &gt;&gt;%USERPROFILE%\Documents\GitHub\eaglep3-reporting\EC\2017-11-10-refined-times.txt</v>
      </c>
      <c r="AI59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{"issue":{"subject":"","project_id":79,"tracker_id":40,"status_id":1,"priority_id":2,"assigned_to_id":338,"start_date":"2017-11-10","description":"","custom_fields":[{"id":1,"name":"Subdivision","value":"EC"},{"id":4,"name":"Milepost","value":"23.328"},{"id":17,"name":"Train ID","value":"147-10"},{"id":16,"name":"Locomotive ID","value":"4060"},{"id":130,"name":"Impact","value":""},{"id":150,"name":"Time of Event (Mountain Time)","value":"10:06:56"},{"id":151,"name":"Denver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4060 --day 2017-11-10</v>
      </c>
      <c r="AN59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17:06:56"},{"id":29,"name":"Sharepoint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2"/>
        <v>https://d0f6bd738d7f1b3e5a7ca70fe4ff75f0.us-east-1.aws.found.io/app/kibana#/discover/Steve-Slow-Train-Analysis-(2080s-and-2083s)?_g=(refreshInterval:(display:Off,pause:!f,section:0,value:0),time:(from:'2017-11-10T08:19:38-0700',mode:absolute,to:'2017-11-10T11:06:56-0700'))&amp;_a=(columns:!('Message%20ID',Summary),filters:!(),index:'emp_*',interval:auto,query:(query_string:(analyze_wildcard:!t,query:'%22rtdc.l.rtdc.4060%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742</v>
      </c>
      <c r="B60" s="7">
        <v>4059</v>
      </c>
      <c r="C60" s="21" t="s">
        <v>192</v>
      </c>
      <c r="D60" s="21" t="s">
        <v>928</v>
      </c>
      <c r="E60" s="13">
        <v>43049.431435185186</v>
      </c>
      <c r="F60" s="13">
        <v>43049.435752314814</v>
      </c>
      <c r="G60" s="7">
        <v>73</v>
      </c>
      <c r="H60" s="21" t="s">
        <v>540</v>
      </c>
      <c r="I60" s="13">
        <v>43049.461446759262</v>
      </c>
      <c r="J60" s="7">
        <v>1</v>
      </c>
      <c r="K60" s="89" t="str">
        <f t="shared" si="0"/>
        <v>4059/4060</v>
      </c>
      <c r="L60" s="185" t="str">
        <f>VLOOKUP(A60,'Trips&amp;Operators'!$C$1:$G$99911,5,FALSE)</f>
        <v>BONDS REYNALDO</v>
      </c>
      <c r="M60" s="6">
        <f t="shared" si="1"/>
        <v>2.5694444448163267E-2</v>
      </c>
      <c r="N60" s="7">
        <f t="shared" si="28"/>
        <v>37.000000005355105</v>
      </c>
      <c r="O60" s="7"/>
      <c r="P60" s="7"/>
      <c r="Q60" s="22"/>
      <c r="R60" s="174"/>
      <c r="S60" s="221">
        <f t="shared" si="27"/>
        <v>1</v>
      </c>
      <c r="T60" s="174" t="str">
        <f t="shared" si="2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3"/>
        <v>https://d0f6bd738d7f1b3e5a7ca70fe4ff75f0.us-east-1.aws.found.io/app/kibana#/discover/Steve-Slow-Train-Analysis-(2080s-and-2083s)?_g=(refreshInterval:(display:Off,pause:!f,section:0,value:0),time:(from:'2017-11-10T09:21:16-0700',mode:absolute,to:'2017-11-10T12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0" s="204" t="str">
        <f>IF(AA60&lt;VLOOKUP(AG60,Variables!$AC$3:$AD$8,2,FALSE),"Y","N")</f>
        <v>N</v>
      </c>
      <c r="X60" s="204">
        <f t="shared" si="24"/>
        <v>1</v>
      </c>
      <c r="Y60" s="204">
        <f t="shared" si="25"/>
        <v>23.299600000000002</v>
      </c>
      <c r="Z60" s="204">
        <f t="shared" si="26"/>
        <v>2.01E-2</v>
      </c>
      <c r="AA60" s="204">
        <f t="shared" si="7"/>
        <v>23.279500000000002</v>
      </c>
      <c r="AB60" s="54" t="e">
        <f>VLOOKUP(A60,Enforcements!$C$7:$K$9,8,0)</f>
        <v>#N/A</v>
      </c>
      <c r="AC60" s="51" t="e">
        <f>VLOOKUP(A60,Enforcements!$C$7:$E$9,3,0)</f>
        <v>#N/A</v>
      </c>
      <c r="AD60" s="179">
        <f t="shared" si="8"/>
        <v>148</v>
      </c>
      <c r="AE60" s="77" t="str">
        <f t="shared" si="9"/>
        <v>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 &amp; 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</v>
      </c>
      <c r="AF60" s="74" t="str">
        <f t="shared" si="10"/>
        <v>"C:\Program Files (x86)\AstroGrep\AstroGrep.exe" /e /r /s /spath="%USERPROFILE%\AppData\Local\Temp\OnboardLogs" /stypes="app*4059*20171110*" /stext=" 18:.+((SYSTEM_STATE.+slice.+state.+changed )|(ment ac)|(multiple cpu faults)|(system.+state.+changed )|(\[timeout)|(PRM\|1\|D)|(kpr)|(kdp)|(train st.+moving)|(\|lc)|(penalty))"</v>
      </c>
      <c r="AG60" s="182" t="str">
        <f t="shared" si="11"/>
        <v>EC</v>
      </c>
      <c r="AH60" s="78" t="str">
        <f t="shared" si="18"/>
        <v>"%USERPROFILE%\Documents\GitHub\eaglep3\Utilities\RefineRTDCRunTimes.py" --tripid 148-10 --locoid 4059 --swversion DE.1.0.9.0 --startMP 204:232996 --initTime 2017-11-10T10:21:16 --startdatetime 2017-11-10T10:27:29 --delay 73 --endMP 204:201 --enddatetime 2017-11-10T11:04:29 --enforcementcount 1 &gt;&gt;%USERPROFILE%\Documents\GitHub\eaglep3-reporting\EC\2017-11-10-refined-times.txt</v>
      </c>
      <c r="AI60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{"issue":{"subject":"","project_id":79,"tracker_id":40,"status_id":1,"priority_id":2,"assigned_to_id":338,"start_date":"2017-11-10","description":"","custom_fields":[{"id":1,"name":"Subdivision","value":"EC"},{"id":4,"name":"Milepost","value":"0.0201"},{"id":17,"name":"Train ID","value":"148-10"},{"id":16,"name":"Locomotive ID","value":"4059"},{"id":130,"name":"Impact","value":""},{"id":150,"name":"Time of Event (Mountain Time)","value":"11:04:29"},{"id":151,"name":"Denver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4059 --day 2017-11-10</v>
      </c>
      <c r="AN60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18:04:29"},{"id":29,"name":"Sharepoint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2"/>
        <v>https://d0f6bd738d7f1b3e5a7ca70fe4ff75f0.us-east-1.aws.found.io/app/kibana#/discover/Steve-Slow-Train-Analysis-(2080s-and-2083s)?_g=(refreshInterval:(display:Off,pause:!f,section:0,value:0),time:(from:'2017-11-10T09:21:16-0700',mode:absolute,to:'2017-11-10T12:04:29-0700'))&amp;_a=(columns:!('Message%20ID',Summary),filters:!(),index:'emp_*',interval:auto,query:(query_string:(analyze_wildcard:!t,query:'%22rtdc.l.rtdc.4059%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648</v>
      </c>
      <c r="B61" s="7">
        <v>4016</v>
      </c>
      <c r="C61" s="21" t="s">
        <v>192</v>
      </c>
      <c r="D61" s="21" t="s">
        <v>610</v>
      </c>
      <c r="E61" s="13">
        <v>43049.400636574072</v>
      </c>
      <c r="F61" s="13">
        <v>43049.406504629631</v>
      </c>
      <c r="G61" s="7">
        <v>49</v>
      </c>
      <c r="H61" s="21" t="s">
        <v>929</v>
      </c>
      <c r="I61" s="13">
        <v>43049.430810185186</v>
      </c>
      <c r="J61" s="7">
        <v>1</v>
      </c>
      <c r="K61" s="89" t="str">
        <f t="shared" si="0"/>
        <v>4015/4016</v>
      </c>
      <c r="L61" s="185" t="str">
        <f>VLOOKUP(A61,'Trips&amp;Operators'!$C$1:$G$99911,5,FALSE)</f>
        <v>GEBRETEKLE DAGNEW</v>
      </c>
      <c r="M61" s="6">
        <f t="shared" si="1"/>
        <v>2.4305555554747116E-2</v>
      </c>
      <c r="N61" s="7">
        <f t="shared" si="28"/>
        <v>34.999999998835847</v>
      </c>
      <c r="O61" s="7"/>
      <c r="P61" s="7"/>
      <c r="Q61" s="22"/>
      <c r="R61" s="174"/>
      <c r="S61" s="221">
        <f t="shared" si="27"/>
        <v>1</v>
      </c>
      <c r="T61" s="174" t="str">
        <f t="shared" si="2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3"/>
        <v>https://d0f6bd738d7f1b3e5a7ca70fe4ff75f0.us-east-1.aws.found.io/app/kibana#/discover/Steve-Slow-Train-Analysis-(2080s-and-2083s)?_g=(refreshInterval:(display:Off,pause:!f,section:0,value:0),time:(from:'2017-11-10T08:36:55-0700',mode:absolute,to:'2017-11-10T11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1" s="204" t="str">
        <f>IF(AA61&lt;VLOOKUP(AG61,Variables!$AC$3:$AD$8,2,FALSE),"Y","N")</f>
        <v>N</v>
      </c>
      <c r="X61" s="204">
        <f t="shared" si="24"/>
        <v>1</v>
      </c>
      <c r="Y61" s="204">
        <f t="shared" si="25"/>
        <v>4.8899999999999999E-2</v>
      </c>
      <c r="Z61" s="204">
        <f t="shared" si="26"/>
        <v>23.330500000000001</v>
      </c>
      <c r="AA61" s="204">
        <f t="shared" si="7"/>
        <v>23.281600000000001</v>
      </c>
      <c r="AB61" s="54" t="e">
        <f>VLOOKUP(A61,Enforcements!$C$7:$K$9,8,0)</f>
        <v>#N/A</v>
      </c>
      <c r="AC61" s="51" t="e">
        <f>VLOOKUP(A61,Enforcements!$C$7:$E$9,3,0)</f>
        <v>#N/A</v>
      </c>
      <c r="AD61" s="179">
        <f t="shared" si="8"/>
        <v>149</v>
      </c>
      <c r="AE61" s="77" t="str">
        <f t="shared" si="9"/>
        <v>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 &amp; aws s3 cp s3://rtdc.mdm.uploadarchive.raw/RTDC4016/ "%USERPROFILE%\AppData\Local\Temp\OnboardLogs"\RTDC4016\2017-11-11 --exclude "*" --recursive --include "*20171111*" &amp; "%USERPROFILE%\Documents\GitHub\mrs-test-scripts\Headless Mode &amp; Sideloading\WalkAndUnGZ.bat" "%USERPROFILE%\AppData\Local\Temp\OnboardLogs"\RTDC4016\2017-11-11</v>
      </c>
      <c r="AF61" s="74" t="str">
        <f t="shared" si="10"/>
        <v>"C:\Program Files (x86)\AstroGrep\AstroGrep.exe" /e /r /s /spath="%USERPROFILE%\AppData\Local\Temp\OnboardLogs" /stypes="app*4016*20171110*" /stext=" 17:.+((SYSTEM_STATE.+slice.+state.+changed )|(ment ac)|(multiple cpu faults)|(system.+state.+changed )|(\[timeout)|(PRM\|1\|D)|(kpr)|(kdp)|(train st.+moving)|(\|lc)|(penalty))"</v>
      </c>
      <c r="AG61" s="182" t="str">
        <f t="shared" si="11"/>
        <v>EC</v>
      </c>
      <c r="AH61" s="78" t="str">
        <f t="shared" si="18"/>
        <v>"%USERPROFILE%\Documents\GitHub\eaglep3\Utilities\RefineRTDCRunTimes.py" --tripid 149-10 --locoid 4016 --swversion DE.1.0.9.0 --startMP 204:489 --initTime 2017-11-10T09:36:55 --startdatetime 2017-11-10T09:45:22 --delay 49 --endMP 204:233305 --enddatetime 2017-11-10T10:20:22 --enforcementcount 1 &gt;&gt;%USERPROFILE%\Documents\GitHub\eaglep3-reporting\EC\2017-11-10-refined-times.txt</v>
      </c>
      <c r="AI61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{"issue":{"subject":"","project_id":79,"tracker_id":40,"status_id":1,"priority_id":2,"assigned_to_id":338,"start_date":"2017-11-10","description":"","custom_fields":[{"id":1,"name":"Subdivision","value":"EC"},{"id":4,"name":"Milepost","value":"23.3305"},{"id":17,"name":"Train ID","value":"149-10"},{"id":16,"name":"Locomotive ID","value":"4016"},{"id":130,"name":"Impact","value":""},{"id":150,"name":"Time of Event (Mountain Time)","value":"10:20:22"},{"id":151,"name":"Denver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4016 --day 2017-11-10</v>
      </c>
      <c r="AN61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17:20:22"},{"id":29,"name":"Sharepoint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2"/>
        <v>https://d0f6bd738d7f1b3e5a7ca70fe4ff75f0.us-east-1.aws.found.io/app/kibana#/discover/Steve-Slow-Train-Analysis-(2080s-and-2083s)?_g=(refreshInterval:(display:Off,pause:!f,section:0,value:0),time:(from:'2017-11-10T08:36:55-0700',mode:absolute,to:'2017-11-10T11:20:22-0700'))&amp;_a=(columns:!('Message%20ID',Summary),filters:!(),index:'emp_*',interval:auto,query:(query_string:(analyze_wildcard:!t,query:'%22rtdc.l.rtdc.4016%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743</v>
      </c>
      <c r="B62" s="7">
        <v>4015</v>
      </c>
      <c r="C62" s="21" t="s">
        <v>192</v>
      </c>
      <c r="D62" s="21" t="s">
        <v>592</v>
      </c>
      <c r="E62" s="13">
        <v>43049.432303240741</v>
      </c>
      <c r="F62" s="13">
        <v>43049.446018518516</v>
      </c>
      <c r="G62" s="7">
        <v>52</v>
      </c>
      <c r="H62" s="21" t="s">
        <v>446</v>
      </c>
      <c r="I62" s="13">
        <v>43049.471631944441</v>
      </c>
      <c r="J62" s="7">
        <v>1</v>
      </c>
      <c r="K62" s="89" t="str">
        <f t="shared" si="0"/>
        <v>4015/4016</v>
      </c>
      <c r="L62" s="185" t="str">
        <f>VLOOKUP(A62,'Trips&amp;Operators'!$C$1:$G$99911,5,FALSE)</f>
        <v>GEBRETEKLE DAGNEW</v>
      </c>
      <c r="M62" s="6">
        <f t="shared" si="1"/>
        <v>2.5613425925257616E-2</v>
      </c>
      <c r="N62" s="7">
        <f t="shared" si="28"/>
        <v>36.883333332370967</v>
      </c>
      <c r="O62" s="7"/>
      <c r="P62" s="7"/>
      <c r="Q62" s="22"/>
      <c r="R62" s="174"/>
      <c r="S62" s="221">
        <f t="shared" si="27"/>
        <v>1</v>
      </c>
      <c r="T62" s="174" t="str">
        <f t="shared" si="2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3"/>
        <v>https://d0f6bd738d7f1b3e5a7ca70fe4ff75f0.us-east-1.aws.found.io/app/kibana#/discover/Steve-Slow-Train-Analysis-(2080s-and-2083s)?_g=(refreshInterval:(display:Off,pause:!f,section:0,value:0),time:(from:'2017-11-10T09:22:31-0700',mode:absolute,to:'2017-11-10T12:19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2" s="204" t="str">
        <f>IF(AA62&lt;VLOOKUP(AG62,Variables!$AC$3:$AD$8,2,FALSE),"Y","N")</f>
        <v>N</v>
      </c>
      <c r="X62" s="204">
        <f t="shared" si="24"/>
        <v>1</v>
      </c>
      <c r="Y62" s="204">
        <f t="shared" si="25"/>
        <v>23.296900000000001</v>
      </c>
      <c r="Z62" s="204">
        <f t="shared" si="26"/>
        <v>2.2100000000000002E-2</v>
      </c>
      <c r="AA62" s="204">
        <f t="shared" si="7"/>
        <v>23.274800000000003</v>
      </c>
      <c r="AB62" s="54" t="e">
        <f>VLOOKUP(A62,Enforcements!$C$7:$K$9,8,0)</f>
        <v>#N/A</v>
      </c>
      <c r="AC62" s="51" t="e">
        <f>VLOOKUP(A62,Enforcements!$C$7:$E$9,3,0)</f>
        <v>#N/A</v>
      </c>
      <c r="AD62" s="179">
        <f t="shared" si="8"/>
        <v>150</v>
      </c>
      <c r="AE62" s="77" t="str">
        <f t="shared" si="9"/>
        <v>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 &amp; 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</v>
      </c>
      <c r="AF62" s="74" t="str">
        <f t="shared" si="10"/>
        <v>"C:\Program Files (x86)\AstroGrep\AstroGrep.exe" /e /r /s /spath="%USERPROFILE%\AppData\Local\Temp\OnboardLogs" /stypes="app*4015*20171110*" /stext=" 18:.+((SYSTEM_STATE.+slice.+state.+changed )|(ment ac)|(multiple cpu faults)|(system.+state.+changed )|(\[timeout)|(PRM\|1\|D)|(kpr)|(kdp)|(train st.+moving)|(\|lc)|(penalty))"</v>
      </c>
      <c r="AG62" s="182" t="str">
        <f t="shared" si="11"/>
        <v>EC</v>
      </c>
      <c r="AH62" s="78" t="str">
        <f t="shared" si="18"/>
        <v>"%USERPROFILE%\Documents\GitHub\eaglep3\Utilities\RefineRTDCRunTimes.py" --tripid 150-10 --locoid 4015 --swversion DE.1.0.9.0 --startMP 204:232969 --initTime 2017-11-10T10:22:31 --startdatetime 2017-11-10T10:42:16 --delay 52 --endMP 204:221 --enddatetime 2017-11-10T11:19:09 --enforcementcount 1 &gt;&gt;%USERPROFILE%\Documents\GitHub\eaglep3-reporting\EC\2017-11-10-refined-times.txt</v>
      </c>
      <c r="AI62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{"issue":{"subject":"","project_id":79,"tracker_id":40,"status_id":1,"priority_id":2,"assigned_to_id":338,"start_date":"2017-11-10","description":"","custom_fields":[{"id":1,"name":"Subdivision","value":"EC"},{"id":4,"name":"Milepost","value":"0.0221"},{"id":17,"name":"Train ID","value":"150-10"},{"id":16,"name":"Locomotive ID","value":"4015"},{"id":130,"name":"Impact","value":""},{"id":150,"name":"Time of Event (Mountain Time)","value":"11:19:09"},{"id":151,"name":"Denver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4015 --day 2017-11-10</v>
      </c>
      <c r="AN62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18:19:09"},{"id":29,"name":"Sharepoint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2"/>
        <v>https://d0f6bd738d7f1b3e5a7ca70fe4ff75f0.us-east-1.aws.found.io/app/kibana#/discover/Steve-Slow-Train-Analysis-(2080s-and-2083s)?_g=(refreshInterval:(display:Off,pause:!f,section:0,value:0),time:(from:'2017-11-10T09:22:31-0700',mode:absolute,to:'2017-11-10T12:19:09-0700'))&amp;_a=(columns:!('Message%20ID',Summary),filters:!(),index:'emp_*',interval:auto,query:(query_string:(analyze_wildcard:!t,query:'%22rtdc.l.rtdc.4015%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739</v>
      </c>
      <c r="B63" s="7">
        <v>4028</v>
      </c>
      <c r="C63" s="21" t="s">
        <v>192</v>
      </c>
      <c r="D63" s="21" t="s">
        <v>460</v>
      </c>
      <c r="E63" s="13">
        <v>43049.413761574076</v>
      </c>
      <c r="F63" s="13">
        <v>43049.416851851849</v>
      </c>
      <c r="G63" s="7">
        <v>48</v>
      </c>
      <c r="H63" s="21" t="s">
        <v>595</v>
      </c>
      <c r="I63" s="13">
        <v>43049.441238425927</v>
      </c>
      <c r="J63" s="7">
        <v>1</v>
      </c>
      <c r="K63" s="89" t="str">
        <f t="shared" si="0"/>
        <v>4027/4028</v>
      </c>
      <c r="L63" s="185" t="str">
        <f>VLOOKUP(A63,'Trips&amp;Operators'!$C$1:$G$99911,5,FALSE)</f>
        <v>BIRENBAUM THOMAS</v>
      </c>
      <c r="M63" s="6">
        <f t="shared" si="1"/>
        <v>2.4386574077652767E-2</v>
      </c>
      <c r="N63" s="7">
        <f t="shared" si="28"/>
        <v>35.116666671819985</v>
      </c>
      <c r="O63" s="7"/>
      <c r="P63" s="7"/>
      <c r="Q63" s="22"/>
      <c r="R63" s="174"/>
      <c r="S63" s="221">
        <f t="shared" si="27"/>
        <v>1</v>
      </c>
      <c r="T63" s="174" t="str">
        <f t="shared" si="2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3"/>
        <v>https://d0f6bd738d7f1b3e5a7ca70fe4ff75f0.us-east-1.aws.found.io/app/kibana#/discover/Steve-Slow-Train-Analysis-(2080s-and-2083s)?_g=(refreshInterval:(display:Off,pause:!f,section:0,value:0),time:(from:'2017-11-10T08:55:49-0700',mode:absolute,to:'2017-11-10T11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3" s="204" t="str">
        <f>IF(AA63&lt;VLOOKUP(AG63,Variables!$AC$3:$AD$8,2,FALSE),"Y","N")</f>
        <v>N</v>
      </c>
      <c r="X63" s="204">
        <f t="shared" si="24"/>
        <v>1</v>
      </c>
      <c r="Y63" s="204">
        <f t="shared" si="25"/>
        <v>4.9500000000000002E-2</v>
      </c>
      <c r="Z63" s="204">
        <f t="shared" si="26"/>
        <v>23.329699999999999</v>
      </c>
      <c r="AA63" s="204">
        <f t="shared" si="7"/>
        <v>23.280200000000001</v>
      </c>
      <c r="AB63" s="54" t="e">
        <f>VLOOKUP(A63,Enforcements!$C$7:$K$9,8,0)</f>
        <v>#N/A</v>
      </c>
      <c r="AC63" s="51" t="e">
        <f>VLOOKUP(A63,Enforcements!$C$7:$E$9,3,0)</f>
        <v>#N/A</v>
      </c>
      <c r="AD63" s="179">
        <f t="shared" si="8"/>
        <v>151</v>
      </c>
      <c r="AE63" s="77" t="str">
        <f t="shared" si="9"/>
        <v>aws s3 cp s3://rtdc.mdm.uploadarchive.raw/RTDC4028/ "%USERPROFILE%\AppData\Local\Temp\OnboardLogs"\RTDC4028\2017-11-10 --exclude "*" --recursive --include "*20171110*" &amp; "%USERPROFILE%\Documents\GitHub\mrs-test-scripts\Headless Mode &amp; Sideloading\WalkAndUnGZ.bat" "%USERPROFILE%\AppData\Local\Temp\OnboardLogs"\RTDC4028\2017-11-10 &amp; aws s3 cp s3://rtdc.mdm.uploadarchive.raw/RTDC4028/ "%USERPROFILE%\AppData\Local\Temp\OnboardLogs"\RTDC4028\2017-11-11 --exclude "*" --recursive --include "*20171111*" &amp; "%USERPROFILE%\Documents\GitHub\mrs-test-scripts\Headless Mode &amp; Sideloading\WalkAndUnGZ.bat" "%USERPROFILE%\AppData\Local\Temp\OnboardLogs"\RTDC4028\2017-11-11</v>
      </c>
      <c r="AF63" s="74" t="str">
        <f t="shared" si="10"/>
        <v>"C:\Program Files (x86)\AstroGrep\AstroGrep.exe" /e /r /s /spath="%USERPROFILE%\AppData\Local\Temp\OnboardLogs" /stypes="app*4028*20171110*" /stext=" 17:.+((SYSTEM_STATE.+slice.+state.+changed )|(ment ac)|(multiple cpu faults)|(system.+state.+changed )|(\[timeout)|(PRM\|1\|D)|(kpr)|(kdp)|(train st.+moving)|(\|lc)|(penalty))"</v>
      </c>
      <c r="AG63" s="182" t="str">
        <f t="shared" si="11"/>
        <v>EC</v>
      </c>
      <c r="AH63" s="78" t="str">
        <f t="shared" si="18"/>
        <v>"%USERPROFILE%\Documents\GitHub\eaglep3\Utilities\RefineRTDCRunTimes.py" --tripid 151-10 --locoid 4028 --swversion DE.1.0.9.0 --startMP 204:495 --initTime 2017-11-10T09:55:49 --startdatetime 2017-11-10T10:00:16 --delay 48 --endMP 204:233297 --enddatetime 2017-11-10T10:35:23 --enforcementcount 1 &gt;&gt;%USERPROFILE%\Documents\GitHub\eaglep3-reporting\EC\2017-11-10-refined-times.txt</v>
      </c>
      <c r="AI63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{"issue":{"subject":"","project_id":79,"tracker_id":40,"status_id":1,"priority_id":2,"assigned_to_id":338,"start_date":"2017-11-10","description":"","custom_fields":[{"id":1,"name":"Subdivision","value":"EC"},{"id":4,"name":"Milepost","value":"23.3297"},{"id":17,"name":"Train ID","value":"151-10"},{"id":16,"name":"Locomotive ID","value":"4028"},{"id":130,"name":"Impact","value":""},{"id":150,"name":"Time of Event (Mountain Time)","value":"10:35:23"},{"id":151,"name":"Denver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4028 --day 2017-11-10</v>
      </c>
      <c r="AN63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17:35:23"},{"id":29,"name":"Sharepoint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2"/>
        <v>https://d0f6bd738d7f1b3e5a7ca70fe4ff75f0.us-east-1.aws.found.io/app/kibana#/discover/Steve-Slow-Train-Analysis-(2080s-and-2083s)?_g=(refreshInterval:(display:Off,pause:!f,section:0,value:0),time:(from:'2017-11-10T08:55:49-0700',mode:absolute,to:'2017-11-10T11:35:23-0700'))&amp;_a=(columns:!('Message%20ID',Summary),filters:!(),index:'emp_*',interval:auto,query:(query_string:(analyze_wildcard:!t,query:'%22rtdc.l.rtdc.4028%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745</v>
      </c>
      <c r="B64" s="7">
        <v>4027</v>
      </c>
      <c r="C64" s="21" t="s">
        <v>192</v>
      </c>
      <c r="D64" s="21" t="s">
        <v>444</v>
      </c>
      <c r="E64" s="13">
        <v>43049.443333333336</v>
      </c>
      <c r="F64" s="13">
        <v>43049.456423611111</v>
      </c>
      <c r="G64" s="7">
        <v>51</v>
      </c>
      <c r="H64" s="21" t="s">
        <v>930</v>
      </c>
      <c r="I64" s="13">
        <v>43049.481805555559</v>
      </c>
      <c r="J64" s="7">
        <v>1</v>
      </c>
      <c r="K64" s="89" t="str">
        <f t="shared" si="0"/>
        <v>4027/4028</v>
      </c>
      <c r="L64" s="185" t="str">
        <f>VLOOKUP(A64,'Trips&amp;Operators'!$C$1:$G$99911,5,FALSE)</f>
        <v>BIRENBAUM THOMAS</v>
      </c>
      <c r="M64" s="6">
        <f t="shared" si="1"/>
        <v>2.5381944447872229E-2</v>
      </c>
      <c r="N64" s="7">
        <f t="shared" si="28"/>
        <v>36.55000000493601</v>
      </c>
      <c r="O64" s="7"/>
      <c r="P64" s="7"/>
      <c r="Q64" s="22"/>
      <c r="R64" s="174" t="s">
        <v>1110</v>
      </c>
      <c r="S64" s="221">
        <f t="shared" si="27"/>
        <v>1</v>
      </c>
      <c r="T64" s="174" t="str">
        <f t="shared" si="2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3"/>
        <v>https://d0f6bd738d7f1b3e5a7ca70fe4ff75f0.us-east-1.aws.found.io/app/kibana#/discover/Steve-Slow-Train-Analysis-(2080s-and-2083s)?_g=(refreshInterval:(display:Off,pause:!f,section:0,value:0),time:(from:'2017-11-10T09:38:24-0700',mode:absolute,to:'2017-11-10T12:33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4" s="204" t="str">
        <f>IF(AA64&lt;VLOOKUP(AG64,Variables!$AC$3:$AD$8,2,FALSE),"Y","N")</f>
        <v>N</v>
      </c>
      <c r="X64" s="204">
        <f t="shared" si="24"/>
        <v>1</v>
      </c>
      <c r="Y64" s="204">
        <f t="shared" si="25"/>
        <v>23.297699999999999</v>
      </c>
      <c r="Z64" s="204">
        <f t="shared" si="26"/>
        <v>1.8499999999999999E-2</v>
      </c>
      <c r="AA64" s="204">
        <f t="shared" si="7"/>
        <v>23.279199999999999</v>
      </c>
      <c r="AB64" s="54" t="e">
        <f>VLOOKUP(A64,Enforcements!$C$7:$K$9,8,0)</f>
        <v>#N/A</v>
      </c>
      <c r="AC64" s="51" t="e">
        <f>VLOOKUP(A64,Enforcements!$C$7:$E$9,3,0)</f>
        <v>#N/A</v>
      </c>
      <c r="AD64" s="179">
        <f t="shared" si="8"/>
        <v>152</v>
      </c>
      <c r="AE64" s="77" t="str">
        <f t="shared" si="9"/>
        <v>aws s3 cp s3://rtdc.mdm.uploadarchive.raw/RTDC4027/ "%USERPROFILE%\AppData\Local\Temp\OnboardLogs"\RTDC4027\2017-11-10 --exclude "*" --recursive --include "*20171110*" &amp; "%USERPROFILE%\Documents\GitHub\mrs-test-scripts\Headless Mode &amp; Sideloading\WalkAndUnGZ.bat" "%USERPROFILE%\AppData\Local\Temp\OnboardLogs"\RTDC4027\2017-11-10 &amp; aws s3 cp s3://rtdc.mdm.uploadarchive.raw/RTDC4027/ "%USERPROFILE%\AppData\Local\Temp\OnboardLogs"\RTDC4027\2017-11-11 --exclude "*" --recursive --include "*20171111*" &amp; "%USERPROFILE%\Documents\GitHub\mrs-test-scripts\Headless Mode &amp; Sideloading\WalkAndUnGZ.bat" "%USERPROFILE%\AppData\Local\Temp\OnboardLogs"\RTDC4027\2017-11-11</v>
      </c>
      <c r="AF64" s="74" t="str">
        <f t="shared" si="10"/>
        <v>"C:\Program Files (x86)\AstroGrep\AstroGrep.exe" /e /r /s /spath="%USERPROFILE%\AppData\Local\Temp\OnboardLogs" /stypes="app*4027*20171110*" /stext=" 18:.+((SYSTEM_STATE.+slice.+state.+changed )|(ment ac)|(multiple cpu faults)|(system.+state.+changed )|(\[timeout)|(PRM\|1\|D)|(kpr)|(kdp)|(train st.+moving)|(\|lc)|(penalty))"</v>
      </c>
      <c r="AG64" s="182" t="str">
        <f t="shared" si="11"/>
        <v>EC</v>
      </c>
      <c r="AH64" s="78" t="str">
        <f t="shared" si="18"/>
        <v>"%USERPROFILE%\Documents\GitHub\eaglep3\Utilities\RefineRTDCRunTimes.py" --tripid 152-10 --locoid 4027 --swversion DE.1.0.9.0 --startMP 204:232977 --initTime 2017-11-10T10:38:24 --startdatetime 2017-11-10T10:57:15 --delay 51 --endMP 204:185 --enddatetime 2017-11-10T11:33:48 --enforcementcount 1 &gt;&gt;%USERPROFILE%\Documents\GitHub\eaglep3-reporting\EC\2017-11-10-refined-times.txt</v>
      </c>
      <c r="AI64" s="96" t="str">
        <f t="shared" si="19"/>
        <v>echo {"issue":{"subject":"Observed unhealthy xing at Chambers due to Wi-MAX data drop","project_id":79,"tracker_id":40,"status_id":1,"priority_id":2,"assigned_to_id":338,"start_date":"2017-11-10","description":"","custom_fields":[{"id":1,"name":"Subdivision","value":"EC"},{"id":4,"name":"Milepost","value":"0.0185"},{"id":17,"name":"Train ID","value":"152-10"},{"id":16,"name":"Locomotive ID","value":"4027"},{"id":130,"name":"Impact","value":""},{"id":150,"name":"Time of Event (Mountain Time)","value":"11:33:48"},{"id":151,"name":"Denver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4027 --day 2017-11-10</v>
      </c>
      <c r="AN64" s="151" t="str">
        <f t="shared" si="21"/>
        <v>echo {"issue":{"subject":"Observed unhealthy xing at Chambers due to Wi-MAX data drop","project_id":30,"tracker_id":4,"status_id":1,"priority_id":1,"assigned_to_id":10,"start_date":"2017-11-10","description":"","custom_fields":[{"id":30,"name":"Category","value":"Issue"},{"id":3,"name":"Functional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18:33:48"},{"id":29,"name":"Sharepoint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2"/>
        <v>https://d0f6bd738d7f1b3e5a7ca70fe4ff75f0.us-east-1.aws.found.io/app/kibana#/discover/Steve-Slow-Train-Analysis-(2080s-and-2083s)?_g=(refreshInterval:(display:Off,pause:!f,section:0,value:0),time:(from:'2017-11-10T09:38:24-0700',mode:absolute,to:'2017-11-10T12:33:48-0700'))&amp;_a=(columns:!('Message%20ID',Summary),filters:!(),index:'emp_*',interval:auto,query:(query_string:(analyze_wildcard:!t,query:'%22rtdc.l.rtdc.4027%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741</v>
      </c>
      <c r="B65" s="7">
        <v>4050</v>
      </c>
      <c r="C65" s="21" t="s">
        <v>192</v>
      </c>
      <c r="D65" s="21" t="s">
        <v>450</v>
      </c>
      <c r="E65" s="13">
        <v>43049.422060185185</v>
      </c>
      <c r="F65" s="13">
        <v>43049.427291666667</v>
      </c>
      <c r="G65" s="7">
        <v>111</v>
      </c>
      <c r="H65" s="21" t="s">
        <v>931</v>
      </c>
      <c r="I65" s="13">
        <v>43049.451944444445</v>
      </c>
      <c r="J65" s="7">
        <v>1</v>
      </c>
      <c r="K65" s="89" t="str">
        <f t="shared" si="0"/>
        <v>4049/4050</v>
      </c>
      <c r="L65" s="185" t="str">
        <f>VLOOKUP(A65,'Trips&amp;Operators'!$C$1:$G$99911,5,FALSE)</f>
        <v>WILLIAMS DONTE</v>
      </c>
      <c r="M65" s="6">
        <f t="shared" si="1"/>
        <v>2.4652777778101154E-2</v>
      </c>
      <c r="N65" s="7">
        <f t="shared" si="28"/>
        <v>35.500000000465661</v>
      </c>
      <c r="O65" s="7"/>
      <c r="P65" s="7"/>
      <c r="Q65" s="22"/>
      <c r="R65" s="174"/>
      <c r="S65" s="221">
        <f t="shared" si="27"/>
        <v>1</v>
      </c>
      <c r="T65" s="174" t="str">
        <f t="shared" si="2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3"/>
        <v>https://d0f6bd738d7f1b3e5a7ca70fe4ff75f0.us-east-1.aws.found.io/app/kibana#/discover/Steve-Slow-Train-Analysis-(2080s-and-2083s)?_g=(refreshInterval:(display:Off,pause:!f,section:0,value:0),time:(from:'2017-11-10T09:07:46-0700',mode:absolute,to:'2017-11-10T11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5" s="204" t="str">
        <f>IF(AA65&lt;VLOOKUP(AG65,Variables!$AC$3:$AD$8,2,FALSE),"Y","N")</f>
        <v>N</v>
      </c>
      <c r="X65" s="204">
        <f t="shared" si="24"/>
        <v>1</v>
      </c>
      <c r="Y65" s="204">
        <f t="shared" si="25"/>
        <v>5.0799999999999998E-2</v>
      </c>
      <c r="Z65" s="204">
        <f t="shared" si="26"/>
        <v>23.328199999999999</v>
      </c>
      <c r="AA65" s="204">
        <f t="shared" si="7"/>
        <v>23.2774</v>
      </c>
      <c r="AB65" s="54" t="e">
        <f>VLOOKUP(A65,Enforcements!$C$7:$K$9,8,0)</f>
        <v>#N/A</v>
      </c>
      <c r="AC65" s="51" t="e">
        <f>VLOOKUP(A65,Enforcements!$C$7:$E$9,3,0)</f>
        <v>#N/A</v>
      </c>
      <c r="AD65" s="179">
        <f t="shared" si="8"/>
        <v>153</v>
      </c>
      <c r="AE65" s="77" t="str">
        <f t="shared" si="9"/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AF65" s="74" t="str">
        <f t="shared" si="10"/>
        <v>"C:\Program Files (x86)\AstroGrep\AstroGrep.exe" /e /r /s /spath="%USERPROFILE%\AppData\Local\Temp\OnboardLogs" /stypes="app*4050*20171110*" /stext=" 17:.+((SYSTEM_STATE.+slice.+state.+changed )|(ment ac)|(multiple cpu faults)|(system.+state.+changed )|(\[timeout)|(PRM\|1\|D)|(kpr)|(kdp)|(train st.+moving)|(\|lc)|(penalty))"</v>
      </c>
      <c r="AG65" s="182" t="str">
        <f t="shared" si="11"/>
        <v>EC</v>
      </c>
      <c r="AH65" s="78" t="str">
        <f t="shared" si="18"/>
        <v>"%USERPROFILE%\Documents\GitHub\eaglep3\Utilities\RefineRTDCRunTimes.py" --tripid 153-10 --locoid 4050 --swversion DE.1.0.9.0 --startMP 204:508 --initTime 2017-11-10T10:07:46 --startdatetime 2017-11-10T10:15:18 --delay 111 --endMP 204:233282 --enddatetime 2017-11-10T10:50:48 --enforcementcount 1 &gt;&gt;%USERPROFILE%\Documents\GitHub\eaglep3-reporting\EC\2017-11-10-refined-times.txt</v>
      </c>
      <c r="AI65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{"issue":{"subject":"","project_id":79,"tracker_id":40,"status_id":1,"priority_id":2,"assigned_to_id":338,"start_date":"2017-11-10","description":"","custom_fields":[{"id":1,"name":"Subdivision","value":"EC"},{"id":4,"name":"Milepost","value":"23.3282"},{"id":17,"name":"Train ID","value":"153-10"},{"id":16,"name":"Locomotive ID","value":"4050"},{"id":130,"name":"Impact","value":""},{"id":150,"name":"Time of Event (Mountain Time)","value":"10:50:48"},{"id":151,"name":"Denver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4050 --day 2017-11-10</v>
      </c>
      <c r="AN65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17:50:48"},{"id":29,"name":"Sharepoint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2"/>
        <v>https://d0f6bd738d7f1b3e5a7ca70fe4ff75f0.us-east-1.aws.found.io/app/kibana#/discover/Steve-Slow-Train-Analysis-(2080s-and-2083s)?_g=(refreshInterval:(display:Off,pause:!f,section:0,value:0),time:(from:'2017-11-10T09:07:46-0700',mode:absolute,to:'2017-11-10T11:50:48-0700'))&amp;_a=(columns:!('Message%20ID',Summary),filters:!(),index:'emp_*',interval:auto,query:(query_string:(analyze_wildcard:!t,query:'%22rtdc.l.rtdc.4050%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749</v>
      </c>
      <c r="B66" s="7">
        <v>4049</v>
      </c>
      <c r="C66" s="21" t="s">
        <v>192</v>
      </c>
      <c r="D66" s="21" t="s">
        <v>932</v>
      </c>
      <c r="E66" s="13">
        <v>43049.461527777778</v>
      </c>
      <c r="F66" s="13">
        <v>43049.466851851852</v>
      </c>
      <c r="G66" s="7">
        <v>122</v>
      </c>
      <c r="H66" s="21" t="s">
        <v>591</v>
      </c>
      <c r="I66" s="13">
        <v>43049.493969907409</v>
      </c>
      <c r="J66" s="7">
        <v>1</v>
      </c>
      <c r="K66" s="89" t="str">
        <f t="shared" si="0"/>
        <v>4049/4050</v>
      </c>
      <c r="L66" s="185" t="str">
        <f>VLOOKUP(A66,'Trips&amp;Operators'!$C$1:$G$99911,5,FALSE)</f>
        <v>WILLIAMS DONTE</v>
      </c>
      <c r="M66" s="6">
        <f t="shared" si="1"/>
        <v>2.7118055557366461E-2</v>
      </c>
      <c r="N66" s="7">
        <f t="shared" si="28"/>
        <v>39.050000002607703</v>
      </c>
      <c r="O66" s="7"/>
      <c r="P66" s="7"/>
      <c r="Q66" s="22"/>
      <c r="R66" s="174"/>
      <c r="S66" s="221">
        <f t="shared" si="27"/>
        <v>1</v>
      </c>
      <c r="T66" s="174" t="str">
        <f t="shared" si="2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3"/>
        <v>https://d0f6bd738d7f1b3e5a7ca70fe4ff75f0.us-east-1.aws.found.io/app/kibana#/discover/Steve-Slow-Train-Analysis-(2080s-and-2083s)?_g=(refreshInterval:(display:Off,pause:!f,section:0,value:0),time:(from:'2017-11-10T10:04:36-0700',mode:absolute,to:'2017-11-10T12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6" s="204" t="str">
        <f>IF(AA66&lt;VLOOKUP(AG66,Variables!$AC$3:$AD$8,2,FALSE),"Y","N")</f>
        <v>N</v>
      </c>
      <c r="X66" s="204">
        <f t="shared" si="24"/>
        <v>1</v>
      </c>
      <c r="Y66" s="204">
        <f t="shared" si="25"/>
        <v>23.295000000000002</v>
      </c>
      <c r="Z66" s="204">
        <f t="shared" si="26"/>
        <v>0.02</v>
      </c>
      <c r="AA66" s="204">
        <f t="shared" si="7"/>
        <v>23.275000000000002</v>
      </c>
      <c r="AB66" s="54" t="e">
        <f>VLOOKUP(A66,Enforcements!$C$7:$K$9,8,0)</f>
        <v>#N/A</v>
      </c>
      <c r="AC66" s="51" t="e">
        <f>VLOOKUP(A66,Enforcements!$C$7:$E$9,3,0)</f>
        <v>#N/A</v>
      </c>
      <c r="AD66" s="179">
        <f t="shared" si="8"/>
        <v>154</v>
      </c>
      <c r="AE66" s="77" t="str">
        <f t="shared" si="9"/>
        <v>aws s3 cp s3://rtdc.mdm.uploadarchive.raw/RTDC4049/ "%USERPROFILE%\AppData\Local\Temp\OnboardLogs"\RTDC4049\2017-11-10 --exclude "*" --recursive --include "*20171110*" &amp; "%USERPROFILE%\Documents\GitHub\mrs-test-scripts\Headless Mode &amp; Sideloading\WalkAndUnGZ.bat" "%USERPROFILE%\AppData\Local\Temp\OnboardLogs"\RTDC4049\2017-11-10 &amp; aws s3 cp s3://rtdc.mdm.uploadarchive.raw/RTDC4049/ "%USERPROFILE%\AppData\Local\Temp\OnboardLogs"\RTDC4049\2017-11-11 --exclude "*" --recursive --include "*20171111*" &amp; "%USERPROFILE%\Documents\GitHub\mrs-test-scripts\Headless Mode &amp; Sideloading\WalkAndUnGZ.bat" "%USERPROFILE%\AppData\Local\Temp\OnboardLogs"\RTDC4049\2017-11-11</v>
      </c>
      <c r="AF66" s="74" t="str">
        <f t="shared" si="10"/>
        <v>"C:\Program Files (x86)\AstroGrep\AstroGrep.exe" /e /r /s /spath="%USERPROFILE%\AppData\Local\Temp\OnboardLogs" /stypes="app*4049*20171110*" /stext=" 18:.+((SYSTEM_STATE.+slice.+state.+changed )|(ment ac)|(multiple cpu faults)|(system.+state.+changed )|(\[timeout)|(PRM\|1\|D)|(kpr)|(kdp)|(train st.+moving)|(\|lc)|(penalty))"</v>
      </c>
      <c r="AG66" s="182" t="str">
        <f t="shared" si="11"/>
        <v>EC</v>
      </c>
      <c r="AH66" s="78" t="str">
        <f t="shared" si="18"/>
        <v>"%USERPROFILE%\Documents\GitHub\eaglep3\Utilities\RefineRTDCRunTimes.py" --tripid 154-10 --locoid 4049 --swversion DE.1.0.9.0 --startMP 204:232950 --initTime 2017-11-10T11:04:36 --startdatetime 2017-11-10T11:12:16 --delay 122 --endMP 204:200 --enddatetime 2017-11-10T11:51:19 --enforcementcount 1 &gt;&gt;%USERPROFILE%\Documents\GitHub\eaglep3-reporting\EC\2017-11-10-refined-times.txt</v>
      </c>
      <c r="AI66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{"issue":{"subject":"","project_id":79,"tracker_id":40,"status_id":1,"priority_id":2,"assigned_to_id":338,"start_date":"2017-11-10","description":"","custom_fields":[{"id":1,"name":"Subdivision","value":"EC"},{"id":4,"name":"Milepost","value":"0.02"},{"id":17,"name":"Train ID","value":"154-10"},{"id":16,"name":"Locomotive ID","value":"4049"},{"id":130,"name":"Impact","value":""},{"id":150,"name":"Time of Event (Mountain Time)","value":"11:51:19"},{"id":151,"name":"Denver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4049 --day 2017-11-10</v>
      </c>
      <c r="AN66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18:51:19"},{"id":29,"name":"Sharepoint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2"/>
        <v>https://d0f6bd738d7f1b3e5a7ca70fe4ff75f0.us-east-1.aws.found.io/app/kibana#/discover/Steve-Slow-Train-Analysis-(2080s-and-2083s)?_g=(refreshInterval:(display:Off,pause:!f,section:0,value:0),time:(from:'2017-11-10T10:04:36-0700',mode:absolute,to:'2017-11-10T12:51:19-0700'))&amp;_a=(columns:!('Message%20ID',Summary),filters:!(),index:'emp_*',interval:auto,query:(query_string:(analyze_wildcard:!t,query:'%22rtdc.l.rtdc.4049%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649</v>
      </c>
      <c r="B67" s="7">
        <v>4012</v>
      </c>
      <c r="C67" s="21" t="s">
        <v>192</v>
      </c>
      <c r="D67" s="21" t="s">
        <v>462</v>
      </c>
      <c r="E67" s="13">
        <v>43049.435428240744</v>
      </c>
      <c r="F67" s="13">
        <v>43049.438715277778</v>
      </c>
      <c r="G67" s="7">
        <v>45</v>
      </c>
      <c r="H67" s="21" t="s">
        <v>933</v>
      </c>
      <c r="I67" s="13">
        <v>43049.462962962964</v>
      </c>
      <c r="J67" s="7">
        <v>1</v>
      </c>
      <c r="K67" s="89" t="str">
        <f t="shared" si="0"/>
        <v>4011/4012</v>
      </c>
      <c r="L67" s="185" t="str">
        <f>VLOOKUP(A67,'Trips&amp;Operators'!$C$1:$G$99911,5,FALSE)</f>
        <v>MACDONALD THOMAS</v>
      </c>
      <c r="M67" s="6">
        <f t="shared" si="1"/>
        <v>2.4247685185400769E-2</v>
      </c>
      <c r="N67" s="7">
        <f t="shared" si="28"/>
        <v>34.916666666977108</v>
      </c>
      <c r="O67" s="7"/>
      <c r="P67" s="7"/>
      <c r="Q67" s="22"/>
      <c r="R67" s="174"/>
      <c r="S67" s="221">
        <f t="shared" si="27"/>
        <v>1</v>
      </c>
      <c r="T67" s="174" t="str">
        <f t="shared" si="2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3"/>
        <v>https://d0f6bd738d7f1b3e5a7ca70fe4ff75f0.us-east-1.aws.found.io/app/kibana#/discover/Steve-Slow-Train-Analysis-(2080s-and-2083s)?_g=(refreshInterval:(display:Off,pause:!f,section:0,value:0),time:(from:'2017-11-10T09:27:01-0700',mode:absolute,to:'2017-11-10T12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7" s="204" t="str">
        <f>IF(AA67&lt;VLOOKUP(AG67,Variables!$AC$3:$AD$8,2,FALSE),"Y","N")</f>
        <v>N</v>
      </c>
      <c r="X67" s="204">
        <f t="shared" si="24"/>
        <v>1</v>
      </c>
      <c r="Y67" s="204">
        <f t="shared" si="25"/>
        <v>5.3699999999999998E-2</v>
      </c>
      <c r="Z67" s="204">
        <f t="shared" si="26"/>
        <v>23.323599999999999</v>
      </c>
      <c r="AA67" s="204">
        <f t="shared" si="7"/>
        <v>23.2699</v>
      </c>
      <c r="AB67" s="54" t="e">
        <f>VLOOKUP(A67,Enforcements!$C$7:$K$9,8,0)</f>
        <v>#N/A</v>
      </c>
      <c r="AC67" s="51" t="e">
        <f>VLOOKUP(A67,Enforcements!$C$7:$E$9,3,0)</f>
        <v>#N/A</v>
      </c>
      <c r="AD67" s="179">
        <f t="shared" si="8"/>
        <v>155</v>
      </c>
      <c r="AE67" s="77" t="str">
        <f t="shared" si="9"/>
        <v>aws s3 cp s3://rtdc.mdm.uploadarchive.raw/RTDC4012/ "%USERPROFILE%\AppData\Local\Temp\OnboardLogs"\RTDC4012\2017-11-10 --exclude "*" --recursive --include "*20171110*" &amp; "%USERPROFILE%\Documents\GitHub\mrs-test-scripts\Headless Mode &amp; Sideloading\WalkAndUnGZ.bat" "%USERPROFILE%\AppData\Local\Temp\OnboardLogs"\RTDC4012\2017-11-10 &amp; aws s3 cp s3://rtdc.mdm.uploadarchive.raw/RTDC4012/ "%USERPROFILE%\AppData\Local\Temp\OnboardLogs"\RTDC4012\2017-11-11 --exclude "*" --recursive --include "*20171111*" &amp; "%USERPROFILE%\Documents\GitHub\mrs-test-scripts\Headless Mode &amp; Sideloading\WalkAndUnGZ.bat" "%USERPROFILE%\AppData\Local\Temp\OnboardLogs"\RTDC4012\2017-11-11</v>
      </c>
      <c r="AF67" s="74" t="str">
        <f t="shared" si="10"/>
        <v>"C:\Program Files (x86)\AstroGrep\AstroGrep.exe" /e /r /s /spath="%USERPROFILE%\AppData\Local\Temp\OnboardLogs" /stypes="app*4012*20171110*" /stext=" 18:.+((SYSTEM_STATE.+slice.+state.+changed )|(ment ac)|(multiple cpu faults)|(system.+state.+changed )|(\[timeout)|(PRM\|1\|D)|(kpr)|(kdp)|(train st.+moving)|(\|lc)|(penalty))"</v>
      </c>
      <c r="AG67" s="182" t="str">
        <f t="shared" si="11"/>
        <v>EC</v>
      </c>
      <c r="AH67" s="78" t="str">
        <f t="shared" si="18"/>
        <v>"%USERPROFILE%\Documents\GitHub\eaglep3\Utilities\RefineRTDCRunTimes.py" --tripid 155-10 --locoid 4012 --swversion DE.1.0.9.0 --startMP 204:537 --initTime 2017-11-10T10:27:01 --startdatetime 2017-11-10T10:31:45 --delay 45 --endMP 204:233236 --enddatetime 2017-11-10T11:06:40 --enforcementcount 1 &gt;&gt;%USERPROFILE%\Documents\GitHub\eaglep3-reporting\EC\2017-11-10-refined-times.txt</v>
      </c>
      <c r="AI67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{"issue":{"subject":"","project_id":79,"tracker_id":40,"status_id":1,"priority_id":2,"assigned_to_id":338,"start_date":"2017-11-10","description":"","custom_fields":[{"id":1,"name":"Subdivision","value":"EC"},{"id":4,"name":"Milepost","value":"23.3236"},{"id":17,"name":"Train ID","value":"155-10"},{"id":16,"name":"Locomotive ID","value":"4012"},{"id":130,"name":"Impact","value":""},{"id":150,"name":"Time of Event (Mountain Time)","value":"11:06:40"},{"id":151,"name":"Denver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4012 --day 2017-11-10</v>
      </c>
      <c r="AN67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18:06:40"},{"id":29,"name":"Sharepoint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2"/>
        <v>https://d0f6bd738d7f1b3e5a7ca70fe4ff75f0.us-east-1.aws.found.io/app/kibana#/discover/Steve-Slow-Train-Analysis-(2080s-and-2083s)?_g=(refreshInterval:(display:Off,pause:!f,section:0,value:0),time:(from:'2017-11-10T09:27:01-0700',mode:absolute,to:'2017-11-10T12:06:40-0700'))&amp;_a=(columns:!('Message%20ID',Summary),filters:!(),index:'emp_*',interval:auto,query:(query_string:(analyze_wildcard:!t,query:'%22rtdc.l.rtdc.4012%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751</v>
      </c>
      <c r="B68" s="7">
        <v>4011</v>
      </c>
      <c r="C68" s="21" t="s">
        <v>192</v>
      </c>
      <c r="D68" s="21" t="s">
        <v>934</v>
      </c>
      <c r="E68" s="13">
        <v>43049.474722222221</v>
      </c>
      <c r="F68" s="13">
        <v>43049.477395833332</v>
      </c>
      <c r="G68" s="7">
        <v>76</v>
      </c>
      <c r="H68" s="21" t="s">
        <v>935</v>
      </c>
      <c r="I68" s="13">
        <v>43049.504259259258</v>
      </c>
      <c r="J68" s="7">
        <v>1</v>
      </c>
      <c r="K68" s="89" t="str">
        <f t="shared" si="0"/>
        <v>4011/4012</v>
      </c>
      <c r="L68" s="185" t="str">
        <f>VLOOKUP(A68,'Trips&amp;Operators'!$C$1:$G$99911,5,FALSE)</f>
        <v>MACDONALD THOMAS</v>
      </c>
      <c r="M68" s="6">
        <f t="shared" si="1"/>
        <v>2.6863425926421769E-2</v>
      </c>
      <c r="N68" s="7">
        <f t="shared" si="28"/>
        <v>38.683333334047347</v>
      </c>
      <c r="O68" s="7"/>
      <c r="P68" s="7"/>
      <c r="Q68" s="22"/>
      <c r="R68" s="174"/>
      <c r="S68" s="221">
        <f t="shared" si="27"/>
        <v>1</v>
      </c>
      <c r="T68" s="174" t="str">
        <f t="shared" si="2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3"/>
        <v>https://d0f6bd738d7f1b3e5a7ca70fe4ff75f0.us-east-1.aws.found.io/app/kibana#/discover/Steve-Slow-Train-Analysis-(2080s-and-2083s)?_g=(refreshInterval:(display:Off,pause:!f,section:0,value:0),time:(from:'2017-11-10T10:23:36-0700',mode:absolute,to:'2017-11-10T13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204" t="str">
        <f>IF(AA68&lt;VLOOKUP(AG68,Variables!$AC$3:$AD$8,2,FALSE),"Y","N")</f>
        <v>N</v>
      </c>
      <c r="X68" s="204">
        <f t="shared" si="24"/>
        <v>1</v>
      </c>
      <c r="Y68" s="204">
        <f t="shared" si="25"/>
        <v>23.290400000000002</v>
      </c>
      <c r="Z68" s="204">
        <f t="shared" si="26"/>
        <v>2.6700000000000002E-2</v>
      </c>
      <c r="AA68" s="204">
        <f t="shared" si="7"/>
        <v>23.2637</v>
      </c>
      <c r="AB68" s="54" t="e">
        <f>VLOOKUP(A68,Enforcements!$C$7:$K$9,8,0)</f>
        <v>#N/A</v>
      </c>
      <c r="AC68" s="51" t="e">
        <f>VLOOKUP(A68,Enforcements!$C$7:$E$9,3,0)</f>
        <v>#N/A</v>
      </c>
      <c r="AD68" s="179">
        <f t="shared" si="8"/>
        <v>156</v>
      </c>
      <c r="AE68" s="77" t="str">
        <f t="shared" si="9"/>
        <v>aws s3 cp s3://rtdc.mdm.uploadarchive.raw/RTDC4011/ "%USERPROFILE%\AppData\Local\Temp\OnboardLogs"\RTDC4011\2017-11-10 --exclude "*" --recursive --include "*20171110*" &amp; "%USERPROFILE%\Documents\GitHub\mrs-test-scripts\Headless Mode &amp; Sideloading\WalkAndUnGZ.bat" "%USERPROFILE%\AppData\Local\Temp\OnboardLogs"\RTDC4011\2017-11-10 &amp; aws s3 cp s3://rtdc.mdm.uploadarchive.raw/RTDC4011/ "%USERPROFILE%\AppData\Local\Temp\OnboardLogs"\RTDC4011\2017-11-11 --exclude "*" --recursive --include "*20171111*" &amp; "%USERPROFILE%\Documents\GitHub\mrs-test-scripts\Headless Mode &amp; Sideloading\WalkAndUnGZ.bat" "%USERPROFILE%\AppData\Local\Temp\OnboardLogs"\RTDC4011\2017-11-11</v>
      </c>
      <c r="AF68" s="74" t="str">
        <f t="shared" si="10"/>
        <v>"C:\Program Files (x86)\AstroGrep\AstroGrep.exe" /e /r /s /spath="%USERPROFILE%\AppData\Local\Temp\OnboardLogs" /stypes="app*4011*20171110*" /stext=" 19:.+((SYSTEM_STATE.+slice.+state.+changed )|(ment ac)|(multiple cpu faults)|(system.+state.+changed )|(\[timeout)|(PRM\|1\|D)|(kpr)|(kdp)|(train st.+moving)|(\|lc)|(penalty))"</v>
      </c>
      <c r="AG68" s="182" t="str">
        <f t="shared" si="11"/>
        <v>EC</v>
      </c>
      <c r="AH68" s="78" t="str">
        <f t="shared" si="18"/>
        <v>"%USERPROFILE%\Documents\GitHub\eaglep3\Utilities\RefineRTDCRunTimes.py" --tripid 156-10 --locoid 4011 --swversion DE.1.0.9.0 --startMP 204:232904 --initTime 2017-11-10T11:23:36 --startdatetime 2017-11-10T11:27:27 --delay 76 --endMP 204:267 --enddatetime 2017-11-10T12:06:08 --enforcementcount 1 &gt;&gt;%USERPROFILE%\Documents\GitHub\eaglep3-reporting\EC\2017-11-10-refined-times.txt</v>
      </c>
      <c r="AI68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{"issue":{"subject":"","project_id":79,"tracker_id":40,"status_id":1,"priority_id":2,"assigned_to_id":338,"start_date":"2017-11-10","description":"","custom_fields":[{"id":1,"name":"Subdivision","value":"EC"},{"id":4,"name":"Milepost","value":"0.0267"},{"id":17,"name":"Train ID","value":"156-10"},{"id":16,"name":"Locomotive ID","value":"4011"},{"id":130,"name":"Impact","value":""},{"id":150,"name":"Time of Event (Mountain Time)","value":"12:06:08"},{"id":151,"name":"Denver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4011 --day 2017-11-10</v>
      </c>
      <c r="AN68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19:06:08"},{"id":29,"name":"Sharepoint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2"/>
        <v>https://d0f6bd738d7f1b3e5a7ca70fe4ff75f0.us-east-1.aws.found.io/app/kibana#/discover/Steve-Slow-Train-Analysis-(2080s-and-2083s)?_g=(refreshInterval:(display:Off,pause:!f,section:0,value:0),time:(from:'2017-11-10T10:23:36-0700',mode:absolute,to:'2017-11-10T13:06:08-0700'))&amp;_a=(columns:!('Message%20ID',Summary),filters:!(),index:'emp_*',interval:auto,query:(query_string:(analyze_wildcard:!t,query:'%22rtdc.l.rtdc.4011%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746</v>
      </c>
      <c r="B69" s="7">
        <v>4052</v>
      </c>
      <c r="C69" s="21" t="s">
        <v>192</v>
      </c>
      <c r="D69" s="21" t="s">
        <v>461</v>
      </c>
      <c r="E69" s="13">
        <v>43049.443333333336</v>
      </c>
      <c r="F69" s="13">
        <v>43049.448240740741</v>
      </c>
      <c r="G69" s="7">
        <v>257</v>
      </c>
      <c r="H69" s="21" t="s">
        <v>936</v>
      </c>
      <c r="I69" s="13">
        <v>43049.473043981481</v>
      </c>
      <c r="J69" s="7">
        <v>1</v>
      </c>
      <c r="K69" s="89" t="str">
        <f t="shared" si="0"/>
        <v>4051/4052</v>
      </c>
      <c r="L69" s="185" t="str">
        <f>VLOOKUP(A69,'Trips&amp;Operators'!$C$1:$G$99911,5,FALSE)</f>
        <v>STRICKLAND EVAN</v>
      </c>
      <c r="M69" s="6">
        <f t="shared" si="1"/>
        <v>2.4803240739856847E-2</v>
      </c>
      <c r="N69" s="7">
        <f t="shared" si="28"/>
        <v>35.716666665393859</v>
      </c>
      <c r="O69" s="7"/>
      <c r="P69" s="7"/>
      <c r="Q69" s="22"/>
      <c r="R69" s="174"/>
      <c r="S69" s="221">
        <f t="shared" si="27"/>
        <v>1</v>
      </c>
      <c r="T69" s="174" t="str">
        <f t="shared" si="2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3"/>
        <v>https://d0f6bd738d7f1b3e5a7ca70fe4ff75f0.us-east-1.aws.found.io/app/kibana#/discover/Steve-Slow-Train-Analysis-(2080s-and-2083s)?_g=(refreshInterval:(display:Off,pause:!f,section:0,value:0),time:(from:'2017-11-10T09:38:24-0700',mode:absolute,to:'2017-11-10T12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9" s="204" t="str">
        <f>IF(AA69&lt;VLOOKUP(AG69,Variables!$AC$3:$AD$8,2,FALSE),"Y","N")</f>
        <v>N</v>
      </c>
      <c r="X69" s="204">
        <f t="shared" si="24"/>
        <v>1</v>
      </c>
      <c r="Y69" s="204">
        <f t="shared" si="25"/>
        <v>5.1900000000000002E-2</v>
      </c>
      <c r="Z69" s="204">
        <f t="shared" si="26"/>
        <v>23.322399999999998</v>
      </c>
      <c r="AA69" s="204">
        <f t="shared" si="7"/>
        <v>23.270499999999998</v>
      </c>
      <c r="AB69" s="54" t="e">
        <f>VLOOKUP(A69,Enforcements!$C$7:$K$9,8,0)</f>
        <v>#N/A</v>
      </c>
      <c r="AC69" s="51" t="e">
        <f>VLOOKUP(A69,Enforcements!$C$7:$E$9,3,0)</f>
        <v>#N/A</v>
      </c>
      <c r="AD69" s="179">
        <f t="shared" si="8"/>
        <v>157</v>
      </c>
      <c r="AE69" s="77" t="str">
        <f t="shared" si="9"/>
        <v>aws s3 cp s3://rtdc.mdm.uploadarchive.raw/RTDC4052/ "%USERPROFILE%\AppData\Local\Temp\OnboardLogs"\RTDC4052\2017-11-10 --exclude "*" --recursive --include "*20171110*" &amp; "%USERPROFILE%\Documents\GitHub\mrs-test-scripts\Headless Mode &amp; Sideloading\WalkAndUnGZ.bat" "%USERPROFILE%\AppData\Local\Temp\OnboardLogs"\RTDC4052\2017-11-10 &amp; aws s3 cp s3://rtdc.mdm.uploadarchive.raw/RTDC4052/ "%USERPROFILE%\AppData\Local\Temp\OnboardLogs"\RTDC4052\2017-11-11 --exclude "*" --recursive --include "*20171111*" &amp; "%USERPROFILE%\Documents\GitHub\mrs-test-scripts\Headless Mode &amp; Sideloading\WalkAndUnGZ.bat" "%USERPROFILE%\AppData\Local\Temp\OnboardLogs"\RTDC4052\2017-11-11</v>
      </c>
      <c r="AF69" s="74" t="str">
        <f t="shared" si="10"/>
        <v>"C:\Program Files (x86)\AstroGrep\AstroGrep.exe" /e /r /s /spath="%USERPROFILE%\AppData\Local\Temp\OnboardLogs" /stypes="app*4052*20171110*" /stext=" 18:.+((SYSTEM_STATE.+slice.+state.+changed )|(ment ac)|(multiple cpu faults)|(system.+state.+changed )|(\[timeout)|(PRM\|1\|D)|(kpr)|(kdp)|(train st.+moving)|(\|lc)|(penalty))"</v>
      </c>
      <c r="AG69" s="182" t="str">
        <f t="shared" si="11"/>
        <v>EC</v>
      </c>
      <c r="AH69" s="78" t="str">
        <f t="shared" si="18"/>
        <v>"%USERPROFILE%\Documents\GitHub\eaglep3\Utilities\RefineRTDCRunTimes.py" --tripid 157-10 --locoid 4052 --swversion DE.1.0.9.0 --startMP 204:519 --initTime 2017-11-10T10:38:24 --startdatetime 2017-11-10T10:45:28 --delay 257 --endMP 204:233224 --enddatetime 2017-11-10T11:21:11 --enforcementcount 1 &gt;&gt;%USERPROFILE%\Documents\GitHub\eaglep3-reporting\EC\2017-11-10-refined-times.txt</v>
      </c>
      <c r="AI69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{"issue":{"subject":"","project_id":79,"tracker_id":40,"status_id":1,"priority_id":2,"assigned_to_id":338,"start_date":"2017-11-10","description":"","custom_fields":[{"id":1,"name":"Subdivision","value":"EC"},{"id":4,"name":"Milepost","value":"23.3224"},{"id":17,"name":"Train ID","value":"157-10"},{"id":16,"name":"Locomotive ID","value":"4052"},{"id":130,"name":"Impact","value":""},{"id":150,"name":"Time of Event (Mountain Time)","value":"11:21:11"},{"id":151,"name":"Denver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4052 --day 2017-11-10</v>
      </c>
      <c r="AN69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18:21:11"},{"id":29,"name":"Sharepoint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2"/>
        <v>https://d0f6bd738d7f1b3e5a7ca70fe4ff75f0.us-east-1.aws.found.io/app/kibana#/discover/Steve-Slow-Train-Analysis-(2080s-and-2083s)?_g=(refreshInterval:(display:Off,pause:!f,section:0,value:0),time:(from:'2017-11-10T09:38:24-0700',mode:absolute,to:'2017-11-10T12:21:11-0700'))&amp;_a=(columns:!('Message%20ID',Summary),filters:!(),index:'emp_*',interval:auto,query:(query_string:(analyze_wildcard:!t,query:'%22rtdc.l.rtdc.4052%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752</v>
      </c>
      <c r="B70" s="7">
        <v>4051</v>
      </c>
      <c r="C70" s="21" t="s">
        <v>192</v>
      </c>
      <c r="D70" s="21" t="s">
        <v>937</v>
      </c>
      <c r="E70" s="13">
        <v>43049.474953703706</v>
      </c>
      <c r="F70" s="13">
        <v>43049.487708333334</v>
      </c>
      <c r="G70" s="7">
        <v>78</v>
      </c>
      <c r="H70" s="21" t="s">
        <v>554</v>
      </c>
      <c r="I70" s="13">
        <v>43049.514560185184</v>
      </c>
      <c r="J70" s="7">
        <v>1</v>
      </c>
      <c r="K70" s="89" t="str">
        <f t="shared" si="0"/>
        <v>4051/4052</v>
      </c>
      <c r="L70" s="185" t="str">
        <f>VLOOKUP(A70,'Trips&amp;Operators'!$C$1:$G$99911,5,FALSE)</f>
        <v>STRICKLAND EVAN</v>
      </c>
      <c r="M70" s="6">
        <f t="shared" si="1"/>
        <v>2.6851851849642117E-2</v>
      </c>
      <c r="N70" s="7">
        <f t="shared" si="28"/>
        <v>38.666666663484648</v>
      </c>
      <c r="O70" s="7"/>
      <c r="P70" s="7"/>
      <c r="Q70" s="22"/>
      <c r="R70" s="174"/>
      <c r="S70" s="221">
        <f t="shared" si="27"/>
        <v>1</v>
      </c>
      <c r="T70" s="174" t="str">
        <f t="shared" si="2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3"/>
        <v>https://d0f6bd738d7f1b3e5a7ca70fe4ff75f0.us-east-1.aws.found.io/app/kibana#/discover/Steve-Slow-Train-Analysis-(2080s-and-2083s)?_g=(refreshInterval:(display:Off,pause:!f,section:0,value:0),time:(from:'2017-11-10T10:23:56-0700',mode:absolute,to:'2017-11-10T13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0" s="204" t="str">
        <f>IF(AA70&lt;VLOOKUP(AG70,Variables!$AC$3:$AD$8,2,FALSE),"Y","N")</f>
        <v>N</v>
      </c>
      <c r="X70" s="204">
        <f t="shared" si="24"/>
        <v>1</v>
      </c>
      <c r="Y70" s="204">
        <f t="shared" si="25"/>
        <v>23.290700000000001</v>
      </c>
      <c r="Z70" s="204">
        <f t="shared" si="26"/>
        <v>2.2499999999999999E-2</v>
      </c>
      <c r="AA70" s="204">
        <f t="shared" si="7"/>
        <v>23.2682</v>
      </c>
      <c r="AB70" s="54" t="e">
        <f>VLOOKUP(A70,Enforcements!$C$7:$K$9,8,0)</f>
        <v>#N/A</v>
      </c>
      <c r="AC70" s="51" t="e">
        <f>VLOOKUP(A70,Enforcements!$C$7:$E$9,3,0)</f>
        <v>#N/A</v>
      </c>
      <c r="AD70" s="179">
        <f t="shared" si="8"/>
        <v>158</v>
      </c>
      <c r="AE70" s="77" t="str">
        <f t="shared" si="9"/>
        <v>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 &amp; 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</v>
      </c>
      <c r="AF70" s="74" t="str">
        <f t="shared" si="10"/>
        <v>"C:\Program Files (x86)\AstroGrep\AstroGrep.exe" /e /r /s /spath="%USERPROFILE%\AppData\Local\Temp\OnboardLogs" /stypes="app*4051*20171110*" /stext=" 19:.+((SYSTEM_STATE.+slice.+state.+changed )|(ment ac)|(multiple cpu faults)|(system.+state.+changed )|(\[timeout)|(PRM\|1\|D)|(kpr)|(kdp)|(train st.+moving)|(\|lc)|(penalty))"</v>
      </c>
      <c r="AG70" s="182" t="str">
        <f t="shared" si="11"/>
        <v>EC</v>
      </c>
      <c r="AH70" s="78" t="str">
        <f t="shared" si="18"/>
        <v>"%USERPROFILE%\Documents\GitHub\eaglep3\Utilities\RefineRTDCRunTimes.py" --tripid 158-10 --locoid 4051 --swversion DE.1.0.9.0 --startMP 204:232907 --initTime 2017-11-10T11:23:56 --startdatetime 2017-11-10T11:42:18 --delay 78 --endMP 204:225 --enddatetime 2017-11-10T12:20:58 --enforcementcount 1 &gt;&gt;%USERPROFILE%\Documents\GitHub\eaglep3-reporting\EC\2017-11-10-refined-times.txt</v>
      </c>
      <c r="AI70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{"issue":{"subject":"","project_id":79,"tracker_id":40,"status_id":1,"priority_id":2,"assigned_to_id":338,"start_date":"2017-11-10","description":"","custom_fields":[{"id":1,"name":"Subdivision","value":"EC"},{"id":4,"name":"Milepost","value":"0.0225"},{"id":17,"name":"Train ID","value":"158-10"},{"id":16,"name":"Locomotive ID","value":"4051"},{"id":130,"name":"Impact","value":""},{"id":150,"name":"Time of Event (Mountain Time)","value":"12:20:58"},{"id":151,"name":"Denver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4051 --day 2017-11-10</v>
      </c>
      <c r="AN70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19:20:58"},{"id":29,"name":"Sharepoint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2"/>
        <v>https://d0f6bd738d7f1b3e5a7ca70fe4ff75f0.us-east-1.aws.found.io/app/kibana#/discover/Steve-Slow-Train-Analysis-(2080s-and-2083s)?_g=(refreshInterval:(display:Off,pause:!f,section:0,value:0),time:(from:'2017-11-10T10:23:56-0700',mode:absolute,to:'2017-11-10T13:20:58-0700'))&amp;_a=(columns:!('Message%20ID',Summary),filters:!(),index:'emp_*',interval:auto,query:(query_string:(analyze_wildcard:!t,query:'%22rtdc.l.rtdc.4051%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747</v>
      </c>
      <c r="B71" s="7">
        <v>4042</v>
      </c>
      <c r="C71" s="21" t="s">
        <v>192</v>
      </c>
      <c r="D71" s="21" t="s">
        <v>902</v>
      </c>
      <c r="E71" s="13">
        <v>43049.455300925925</v>
      </c>
      <c r="F71" s="13">
        <v>43049.458506944444</v>
      </c>
      <c r="G71" s="7">
        <v>55</v>
      </c>
      <c r="H71" s="21" t="s">
        <v>607</v>
      </c>
      <c r="I71" s="13">
        <v>43049.483217592591</v>
      </c>
      <c r="J71" s="7">
        <v>1</v>
      </c>
      <c r="K71" s="89" t="str">
        <f t="shared" si="0"/>
        <v>4041/4042</v>
      </c>
      <c r="L71" s="185" t="str">
        <f>VLOOKUP(A71,'Trips&amp;Operators'!$C$1:$G$99911,5,FALSE)</f>
        <v>YANAI IAN</v>
      </c>
      <c r="M71" s="6">
        <f t="shared" si="1"/>
        <v>2.47106481474475E-2</v>
      </c>
      <c r="N71" s="7">
        <f t="shared" si="28"/>
        <v>35.583333332324401</v>
      </c>
      <c r="O71" s="7"/>
      <c r="P71" s="7"/>
      <c r="Q71" s="22"/>
      <c r="R71" s="174"/>
      <c r="S71" s="221">
        <f t="shared" si="27"/>
        <v>1</v>
      </c>
      <c r="T71" s="174" t="str">
        <f t="shared" si="2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3"/>
        <v>https://d0f6bd738d7f1b3e5a7ca70fe4ff75f0.us-east-1.aws.found.io/app/kibana#/discover/Steve-Slow-Train-Analysis-(2080s-and-2083s)?_g=(refreshInterval:(display:Off,pause:!f,section:0,value:0),time:(from:'2017-11-10T09:55:38-0700',mode:absolute,to:'2017-11-10T12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1" s="204" t="str">
        <f>IF(AA71&lt;VLOOKUP(AG71,Variables!$AC$3:$AD$8,2,FALSE),"Y","N")</f>
        <v>N</v>
      </c>
      <c r="X71" s="204">
        <f t="shared" si="24"/>
        <v>1</v>
      </c>
      <c r="Y71" s="204">
        <f t="shared" si="25"/>
        <v>4.5999999999999999E-2</v>
      </c>
      <c r="Z71" s="204">
        <f t="shared" si="26"/>
        <v>23.328099999999999</v>
      </c>
      <c r="AA71" s="204">
        <f t="shared" si="7"/>
        <v>23.2821</v>
      </c>
      <c r="AB71" s="54" t="e">
        <f>VLOOKUP(A71,Enforcements!$C$7:$K$9,8,0)</f>
        <v>#N/A</v>
      </c>
      <c r="AC71" s="51" t="e">
        <f>VLOOKUP(A71,Enforcements!$C$7:$E$9,3,0)</f>
        <v>#N/A</v>
      </c>
      <c r="AD71" s="179">
        <f t="shared" si="8"/>
        <v>159</v>
      </c>
      <c r="AE71" s="77" t="str">
        <f t="shared" si="9"/>
        <v>aws s3 cp s3://rtdc.mdm.uploadarchive.raw/RTDC4042/ "%USERPROFILE%\AppData\Local\Temp\OnboardLogs"\RTDC4042\2017-11-10 --exclude "*" --recursive --include "*20171110*" &amp; "%USERPROFILE%\Documents\GitHub\mrs-test-scripts\Headless Mode &amp; Sideloading\WalkAndUnGZ.bat" "%USERPROFILE%\AppData\Local\Temp\OnboardLogs"\RTDC4042\2017-11-10 &amp; aws s3 cp s3://rtdc.mdm.uploadarchive.raw/RTDC4042/ "%USERPROFILE%\AppData\Local\Temp\OnboardLogs"\RTDC4042\2017-11-11 --exclude "*" --recursive --include "*20171111*" &amp; "%USERPROFILE%\Documents\GitHub\mrs-test-scripts\Headless Mode &amp; Sideloading\WalkAndUnGZ.bat" "%USERPROFILE%\AppData\Local\Temp\OnboardLogs"\RTDC4042\2017-11-11</v>
      </c>
      <c r="AF71" s="74" t="str">
        <f t="shared" si="10"/>
        <v>"C:\Program Files (x86)\AstroGrep\AstroGrep.exe" /e /r /s /spath="%USERPROFILE%\AppData\Local\Temp\OnboardLogs" /stypes="app*4042*20171110*" /stext=" 18:.+((SYSTEM_STATE.+slice.+state.+changed )|(ment ac)|(multiple cpu faults)|(system.+state.+changed )|(\[timeout)|(PRM\|1\|D)|(kpr)|(kdp)|(train st.+moving)|(\|lc)|(penalty))"</v>
      </c>
      <c r="AG71" s="182" t="str">
        <f t="shared" si="11"/>
        <v>EC</v>
      </c>
      <c r="AH71" s="78" t="str">
        <f t="shared" si="18"/>
        <v>"%USERPROFILE%\Documents\GitHub\eaglep3\Utilities\RefineRTDCRunTimes.py" --tripid 159-10 --locoid 4042 --swversion DE.1.0.9.0 --startMP 204:460 --initTime 2017-11-10T10:55:38 --startdatetime 2017-11-10T11:00:15 --delay 55 --endMP 204:233281 --enddatetime 2017-11-10T11:35:50 --enforcementcount 1 &gt;&gt;%USERPROFILE%\Documents\GitHub\eaglep3-reporting\EC\2017-11-10-refined-times.txt</v>
      </c>
      <c r="AI71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{"issue":{"subject":"","project_id":79,"tracker_id":40,"status_id":1,"priority_id":2,"assigned_to_id":338,"start_date":"2017-11-10","description":"","custom_fields":[{"id":1,"name":"Subdivision","value":"EC"},{"id":4,"name":"Milepost","value":"23.3281"},{"id":17,"name":"Train ID","value":"159-10"},{"id":16,"name":"Locomotive ID","value":"4042"},{"id":130,"name":"Impact","value":""},{"id":150,"name":"Time of Event (Mountain Time)","value":"11:35:50"},{"id":151,"name":"Denver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4042 --day 2017-11-10</v>
      </c>
      <c r="AN71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18:35:50"},{"id":29,"name":"Sharepoint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2"/>
        <v>https://d0f6bd738d7f1b3e5a7ca70fe4ff75f0.us-east-1.aws.found.io/app/kibana#/discover/Steve-Slow-Train-Analysis-(2080s-and-2083s)?_g=(refreshInterval:(display:Off,pause:!f,section:0,value:0),time:(from:'2017-11-10T09:55:38-0700',mode:absolute,to:'2017-11-10T12:35:50-0700'))&amp;_a=(columns:!('Message%20ID',Summary),filters:!(),index:'emp_*',interval:auto,query:(query_string:(analyze_wildcard:!t,query:'%22rtdc.l.rtdc.4042%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755</v>
      </c>
      <c r="B72" s="7">
        <v>4041</v>
      </c>
      <c r="C72" s="21" t="s">
        <v>192</v>
      </c>
      <c r="D72" s="21" t="s">
        <v>553</v>
      </c>
      <c r="E72" s="13">
        <v>43049.4841087963</v>
      </c>
      <c r="F72" s="13">
        <v>43049.498067129629</v>
      </c>
      <c r="G72" s="7">
        <v>46</v>
      </c>
      <c r="H72" s="21" t="s">
        <v>938</v>
      </c>
      <c r="I72" s="13">
        <v>43049.523553240739</v>
      </c>
      <c r="J72" s="7">
        <v>1</v>
      </c>
      <c r="K72" s="89" t="str">
        <f t="shared" si="0"/>
        <v>4041/4042</v>
      </c>
      <c r="L72" s="185" t="str">
        <f>VLOOKUP(A72,'Trips&amp;Operators'!$C$1:$G$99911,5,FALSE)</f>
        <v>YANAI IAN</v>
      </c>
      <c r="M72" s="6">
        <f t="shared" si="1"/>
        <v>2.548611110978527E-2</v>
      </c>
      <c r="N72" s="7">
        <f t="shared" si="28"/>
        <v>36.699999998090789</v>
      </c>
      <c r="O72" s="7"/>
      <c r="P72" s="7"/>
      <c r="Q72" s="22"/>
      <c r="R72" s="174"/>
      <c r="S72" s="221">
        <f t="shared" si="27"/>
        <v>1</v>
      </c>
      <c r="T72" s="174" t="str">
        <f t="shared" si="2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3"/>
        <v>https://d0f6bd738d7f1b3e5a7ca70fe4ff75f0.us-east-1.aws.found.io/app/kibana#/discover/Steve-Slow-Train-Analysis-(2080s-and-2083s)?_g=(refreshInterval:(display:Off,pause:!f,section:0,value:0),time:(from:'2017-11-10T10:37:07-0700',mode:absolute,to:'2017-11-10T13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2" s="204" t="str">
        <f>IF(AA72&lt;VLOOKUP(AG72,Variables!$AC$3:$AD$8,2,FALSE),"Y","N")</f>
        <v>N</v>
      </c>
      <c r="X72" s="204">
        <f t="shared" si="24"/>
        <v>1</v>
      </c>
      <c r="Y72" s="204">
        <f t="shared" si="25"/>
        <v>23.298100000000002</v>
      </c>
      <c r="Z72" s="204">
        <f t="shared" si="26"/>
        <v>1.38E-2</v>
      </c>
      <c r="AA72" s="204">
        <f t="shared" si="7"/>
        <v>23.284300000000002</v>
      </c>
      <c r="AB72" s="54" t="e">
        <f>VLOOKUP(A72,Enforcements!$C$7:$K$9,8,0)</f>
        <v>#N/A</v>
      </c>
      <c r="AC72" s="51" t="e">
        <f>VLOOKUP(A72,Enforcements!$C$7:$E$9,3,0)</f>
        <v>#N/A</v>
      </c>
      <c r="AD72" s="179">
        <f t="shared" si="8"/>
        <v>160</v>
      </c>
      <c r="AE72" s="77" t="str">
        <f t="shared" si="9"/>
        <v>aws s3 cp s3://rtdc.mdm.uploadarchive.raw/RTDC4041/ "%USERPROFILE%\AppData\Local\Temp\OnboardLogs"\RTDC4041\2017-11-10 --exclude "*" --recursive --include "*20171110*" &amp; "%USERPROFILE%\Documents\GitHub\mrs-test-scripts\Headless Mode &amp; Sideloading\WalkAndUnGZ.bat" "%USERPROFILE%\AppData\Local\Temp\OnboardLogs"\RTDC4041\2017-11-10 &amp; aws s3 cp s3://rtdc.mdm.uploadarchive.raw/RTDC4041/ "%USERPROFILE%\AppData\Local\Temp\OnboardLogs"\RTDC4041\2017-11-11 --exclude "*" --recursive --include "*20171111*" &amp; "%USERPROFILE%\Documents\GitHub\mrs-test-scripts\Headless Mode &amp; Sideloading\WalkAndUnGZ.bat" "%USERPROFILE%\AppData\Local\Temp\OnboardLogs"\RTDC4041\2017-11-11</v>
      </c>
      <c r="AF72" s="74" t="str">
        <f t="shared" si="10"/>
        <v>"C:\Program Files (x86)\AstroGrep\AstroGrep.exe" /e /r /s /spath="%USERPROFILE%\AppData\Local\Temp\OnboardLogs" /stypes="app*4041*20171110*" /stext=" 19:.+((SYSTEM_STATE.+slice.+state.+changed )|(ment ac)|(multiple cpu faults)|(system.+state.+changed )|(\[timeout)|(PRM\|1\|D)|(kpr)|(kdp)|(train st.+moving)|(\|lc)|(penalty))"</v>
      </c>
      <c r="AG72" s="182" t="str">
        <f t="shared" si="11"/>
        <v>EC</v>
      </c>
      <c r="AH72" s="78" t="str">
        <f t="shared" si="18"/>
        <v>"%USERPROFILE%\Documents\GitHub\eaglep3\Utilities\RefineRTDCRunTimes.py" --tripid 160-10 --locoid 4041 --swversion DE.1.0.9.0 --startMP 204:232981 --initTime 2017-11-10T11:37:07 --startdatetime 2017-11-10T11:57:13 --delay 46 --endMP 204:138 --enddatetime 2017-11-10T12:33:55 --enforcementcount 1 &gt;&gt;%USERPROFILE%\Documents\GitHub\eaglep3-reporting\EC\2017-11-10-refined-times.txt</v>
      </c>
      <c r="AI72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{"issue":{"subject":"","project_id":79,"tracker_id":40,"status_id":1,"priority_id":2,"assigned_to_id":338,"start_date":"2017-11-10","description":"","custom_fields":[{"id":1,"name":"Subdivision","value":"EC"},{"id":4,"name":"Milepost","value":"0.0138"},{"id":17,"name":"Train ID","value":"160-10"},{"id":16,"name":"Locomotive ID","value":"4041"},{"id":130,"name":"Impact","value":""},{"id":150,"name":"Time of Event (Mountain Time)","value":"12:33:55"},{"id":151,"name":"Denver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4041 --day 2017-11-10</v>
      </c>
      <c r="AN72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19:33:55"},{"id":29,"name":"Sharepoint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2"/>
        <v>https://d0f6bd738d7f1b3e5a7ca70fe4ff75f0.us-east-1.aws.found.io/app/kibana#/discover/Steve-Slow-Train-Analysis-(2080s-and-2083s)?_g=(refreshInterval:(display:Off,pause:!f,section:0,value:0),time:(from:'2017-11-10T10:37:07-0700',mode:absolute,to:'2017-11-10T13:33:55-0700'))&amp;_a=(columns:!('Message%20ID',Summary),filters:!(),index:'emp_*',interval:auto,query:(query_string:(analyze_wildcard:!t,query:'%22rtdc.l.rtdc.4041%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750</v>
      </c>
      <c r="B73" s="7">
        <v>4060</v>
      </c>
      <c r="C73" s="21" t="s">
        <v>192</v>
      </c>
      <c r="D73" s="21" t="s">
        <v>495</v>
      </c>
      <c r="E73" s="13">
        <v>43049.464212962965</v>
      </c>
      <c r="F73" s="13">
        <v>43049.469259259262</v>
      </c>
      <c r="G73" s="7">
        <v>251</v>
      </c>
      <c r="H73" s="21" t="s">
        <v>939</v>
      </c>
      <c r="I73" s="13">
        <v>43049.493368055555</v>
      </c>
      <c r="J73" s="7">
        <v>1</v>
      </c>
      <c r="K73" s="89" t="str">
        <f t="shared" si="0"/>
        <v>4059/4060</v>
      </c>
      <c r="L73" s="185" t="str">
        <f>VLOOKUP(A73,'Trips&amp;Operators'!$C$1:$G$99911,5,FALSE)</f>
        <v>SAFIEF AEIMEN</v>
      </c>
      <c r="M73" s="6">
        <f t="shared" si="1"/>
        <v>2.4108796293148771E-2</v>
      </c>
      <c r="N73" s="7">
        <f t="shared" si="28"/>
        <v>34.71666666213423</v>
      </c>
      <c r="O73" s="7"/>
      <c r="P73" s="7"/>
      <c r="Q73" s="22"/>
      <c r="R73" s="174"/>
      <c r="S73" s="221">
        <f t="shared" si="27"/>
        <v>1</v>
      </c>
      <c r="T73" s="174" t="str">
        <f t="shared" si="2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3"/>
        <v>https://d0f6bd738d7f1b3e5a7ca70fe4ff75f0.us-east-1.aws.found.io/app/kibana#/discover/Steve-Slow-Train-Analysis-(2080s-and-2083s)?_g=(refreshInterval:(display:Off,pause:!f,section:0,value:0),time:(from:'2017-11-10T10:08:28-0700',mode:absolute,to:'2017-11-10T12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3" s="204" t="str">
        <f>IF(AA73&lt;VLOOKUP(AG73,Variables!$AC$3:$AD$8,2,FALSE),"Y","N")</f>
        <v>N</v>
      </c>
      <c r="X73" s="204">
        <f t="shared" si="24"/>
        <v>1</v>
      </c>
      <c r="Y73" s="204">
        <f t="shared" si="25"/>
        <v>5.3499999999999999E-2</v>
      </c>
      <c r="Z73" s="204">
        <f t="shared" si="26"/>
        <v>23.332000000000001</v>
      </c>
      <c r="AA73" s="204">
        <f t="shared" si="7"/>
        <v>23.278500000000001</v>
      </c>
      <c r="AB73" s="54" t="e">
        <f>VLOOKUP(A73,Enforcements!$C$7:$K$9,8,0)</f>
        <v>#N/A</v>
      </c>
      <c r="AC73" s="51" t="e">
        <f>VLOOKUP(A73,Enforcements!$C$7:$E$9,3,0)</f>
        <v>#N/A</v>
      </c>
      <c r="AD73" s="179">
        <f t="shared" si="8"/>
        <v>161</v>
      </c>
      <c r="AE73" s="77" t="str">
        <f t="shared" si="9"/>
        <v>aws s3 cp s3://rtdc.mdm.uploadarchive.raw/RTDC4060/ "%USERPROFILE%\AppData\Local\Temp\OnboardLogs"\RTDC4060\2017-11-10 --exclude "*" --recursive --include "*20171110*" &amp; "%USERPROFILE%\Documents\GitHub\mrs-test-scripts\Headless Mode &amp; Sideloading\WalkAndUnGZ.bat" "%USERPROFILE%\AppData\Local\Temp\OnboardLogs"\RTDC4060\2017-11-10 &amp; aws s3 cp s3://rtdc.mdm.uploadarchive.raw/RTDC4060/ "%USERPROFILE%\AppData\Local\Temp\OnboardLogs"\RTDC4060\2017-11-11 --exclude "*" --recursive --include "*20171111*" &amp; "%USERPROFILE%\Documents\GitHub\mrs-test-scripts\Headless Mode &amp; Sideloading\WalkAndUnGZ.bat" "%USERPROFILE%\AppData\Local\Temp\OnboardLogs"\RTDC4060\2017-11-11</v>
      </c>
      <c r="AF73" s="74" t="str">
        <f t="shared" si="10"/>
        <v>"C:\Program Files (x86)\AstroGrep\AstroGrep.exe" /e /r /s /spath="%USERPROFILE%\AppData\Local\Temp\OnboardLogs" /stypes="app*4060*20171110*" /stext=" 18:.+((SYSTEM_STATE.+slice.+state.+changed )|(ment ac)|(multiple cpu faults)|(system.+state.+changed )|(\[timeout)|(PRM\|1\|D)|(kpr)|(kdp)|(train st.+moving)|(\|lc)|(penalty))"</v>
      </c>
      <c r="AG73" s="182" t="str">
        <f t="shared" si="11"/>
        <v>EC</v>
      </c>
      <c r="AH73" s="78" t="str">
        <f t="shared" si="18"/>
        <v>"%USERPROFILE%\Documents\GitHub\eaglep3\Utilities\RefineRTDCRunTimes.py" --tripid 161-10 --locoid 4060 --swversion DE.1.0.9.0 --startMP 204:535 --initTime 2017-11-10T11:08:28 --startdatetime 2017-11-10T11:15:44 --delay 251 --endMP 204:233320 --enddatetime 2017-11-10T11:50:27 --enforcementcount 1 &gt;&gt;%USERPROFILE%\Documents\GitHub\eaglep3-reporting\EC\2017-11-10-refined-times.txt</v>
      </c>
      <c r="AI73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{"issue":{"subject":"","project_id":79,"tracker_id":40,"status_id":1,"priority_id":2,"assigned_to_id":338,"start_date":"2017-11-10","description":"","custom_fields":[{"id":1,"name":"Subdivision","value":"EC"},{"id":4,"name":"Milepost","value":"23.332"},{"id":17,"name":"Train ID","value":"161-10"},{"id":16,"name":"Locomotive ID","value":"4060"},{"id":130,"name":"Impact","value":""},{"id":150,"name":"Time of Event (Mountain Time)","value":"11:50:27"},{"id":151,"name":"Denver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4060 --day 2017-11-10</v>
      </c>
      <c r="AN73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18:50:27"},{"id":29,"name":"Sharepoint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2"/>
        <v>https://d0f6bd738d7f1b3e5a7ca70fe4ff75f0.us-east-1.aws.found.io/app/kibana#/discover/Steve-Slow-Train-Analysis-(2080s-and-2083s)?_g=(refreshInterval:(display:Off,pause:!f,section:0,value:0),time:(from:'2017-11-10T10:08:28-0700',mode:absolute,to:'2017-11-10T12:50:27-0700'))&amp;_a=(columns:!('Message%20ID',Summary),filters:!(),index:'emp_*',interval:auto,query:(query_string:(analyze_wildcard:!t,query:'%22rtdc.l.rtdc.4060%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759</v>
      </c>
      <c r="B74" s="7">
        <v>4059</v>
      </c>
      <c r="C74" s="21" t="s">
        <v>192</v>
      </c>
      <c r="D74" s="21" t="s">
        <v>940</v>
      </c>
      <c r="E74" s="13">
        <v>43049.495486111111</v>
      </c>
      <c r="F74" s="13">
        <v>43049.508773148147</v>
      </c>
      <c r="G74" s="7">
        <v>86</v>
      </c>
      <c r="H74" s="21" t="s">
        <v>542</v>
      </c>
      <c r="I74" s="13">
        <v>43049.535104166665</v>
      </c>
      <c r="J74" s="7">
        <v>1</v>
      </c>
      <c r="K74" s="89" t="str">
        <f t="shared" si="0"/>
        <v>4059/4060</v>
      </c>
      <c r="L74" s="185" t="str">
        <f>VLOOKUP(A74,'Trips&amp;Operators'!$C$1:$G$99911,5,FALSE)</f>
        <v>SAFIEF AEIMEN</v>
      </c>
      <c r="M74" s="6">
        <f t="shared" si="1"/>
        <v>2.6331018518249039E-2</v>
      </c>
      <c r="N74" s="7">
        <f t="shared" si="28"/>
        <v>37.916666666278616</v>
      </c>
      <c r="O74" s="7"/>
      <c r="P74" s="7"/>
      <c r="Q74" s="22"/>
      <c r="R74" s="174"/>
      <c r="S74" s="221">
        <f t="shared" si="27"/>
        <v>1</v>
      </c>
      <c r="T74" s="174" t="str">
        <f t="shared" si="2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3"/>
        <v>https://d0f6bd738d7f1b3e5a7ca70fe4ff75f0.us-east-1.aws.found.io/app/kibana#/discover/Steve-Slow-Train-Analysis-(2080s-and-2083s)?_g=(refreshInterval:(display:Off,pause:!f,section:0,value:0),time:(from:'2017-11-10T10:53:30-0700',mode:absolute,to:'2017-11-10T13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4" s="204" t="str">
        <f>IF(AA74&lt;VLOOKUP(AG74,Variables!$AC$3:$AD$8,2,FALSE),"Y","N")</f>
        <v>N</v>
      </c>
      <c r="X74" s="204">
        <f t="shared" si="24"/>
        <v>1</v>
      </c>
      <c r="Y74" s="204">
        <f t="shared" si="25"/>
        <v>23.301100000000002</v>
      </c>
      <c r="Z74" s="204">
        <f t="shared" si="26"/>
        <v>2.1100000000000001E-2</v>
      </c>
      <c r="AA74" s="204">
        <f t="shared" si="7"/>
        <v>23.28</v>
      </c>
      <c r="AB74" s="54" t="e">
        <f>VLOOKUP(A74,Enforcements!$C$7:$K$9,8,0)</f>
        <v>#N/A</v>
      </c>
      <c r="AC74" s="51" t="e">
        <f>VLOOKUP(A74,Enforcements!$C$7:$E$9,3,0)</f>
        <v>#N/A</v>
      </c>
      <c r="AD74" s="179">
        <f t="shared" si="8"/>
        <v>162</v>
      </c>
      <c r="AE74" s="77" t="str">
        <f t="shared" si="9"/>
        <v>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 &amp; 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</v>
      </c>
      <c r="AF74" s="74" t="str">
        <f t="shared" si="10"/>
        <v>"C:\Program Files (x86)\AstroGrep\AstroGrep.exe" /e /r /s /spath="%USERPROFILE%\AppData\Local\Temp\OnboardLogs" /stypes="app*4059*20171110*" /stext=" 19:.+((SYSTEM_STATE.+slice.+state.+changed )|(ment ac)|(multiple cpu faults)|(system.+state.+changed )|(\[timeout)|(PRM\|1\|D)|(kpr)|(kdp)|(train st.+moving)|(\|lc)|(penalty))"</v>
      </c>
      <c r="AG74" s="182" t="str">
        <f t="shared" si="11"/>
        <v>EC</v>
      </c>
      <c r="AH74" s="78" t="str">
        <f t="shared" si="18"/>
        <v>"%USERPROFILE%\Documents\GitHub\eaglep3\Utilities\RefineRTDCRunTimes.py" --tripid 162-10 --locoid 4059 --swversion DE.1.0.9.0 --startMP 204:233011 --initTime 2017-11-10T11:53:30 --startdatetime 2017-11-10T12:12:38 --delay 86 --endMP 204:211 --enddatetime 2017-11-10T12:50:33 --enforcementcount 1 &gt;&gt;%USERPROFILE%\Documents\GitHub\eaglep3-reporting\EC\2017-11-10-refined-times.txt</v>
      </c>
      <c r="AI74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{"issue":{"subject":"","project_id":79,"tracker_id":40,"status_id":1,"priority_id":2,"assigned_to_id":338,"start_date":"2017-11-10","description":"","custom_fields":[{"id":1,"name":"Subdivision","value":"EC"},{"id":4,"name":"Milepost","value":"0.0211"},{"id":17,"name":"Train ID","value":"162-10"},{"id":16,"name":"Locomotive ID","value":"4059"},{"id":130,"name":"Impact","value":""},{"id":150,"name":"Time of Event (Mountain Time)","value":"12:50:33"},{"id":151,"name":"Denver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4059 --day 2017-11-10</v>
      </c>
      <c r="AN74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19:50:33"},{"id":29,"name":"Sharepoint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2"/>
        <v>https://d0f6bd738d7f1b3e5a7ca70fe4ff75f0.us-east-1.aws.found.io/app/kibana#/discover/Steve-Slow-Train-Analysis-(2080s-and-2083s)?_g=(refreshInterval:(display:Off,pause:!f,section:0,value:0),time:(from:'2017-11-10T10:53:30-0700',mode:absolute,to:'2017-11-10T13:50:33-0700'))&amp;_a=(columns:!('Message%20ID',Summary),filters:!(),index:'emp_*',interval:auto,query:(query_string:(analyze_wildcard:!t,query:'%22rtdc.l.rtdc.4059%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753</v>
      </c>
      <c r="B75" s="7">
        <v>4016</v>
      </c>
      <c r="C75" s="21" t="s">
        <v>192</v>
      </c>
      <c r="D75" s="21" t="s">
        <v>941</v>
      </c>
      <c r="E75" s="13">
        <v>43049.474236111113</v>
      </c>
      <c r="F75" s="13">
        <v>43049.47934027778</v>
      </c>
      <c r="G75" s="7">
        <v>152</v>
      </c>
      <c r="H75" s="21" t="s">
        <v>493</v>
      </c>
      <c r="I75" s="13">
        <v>43049.503958333335</v>
      </c>
      <c r="J75" s="7">
        <v>1</v>
      </c>
      <c r="K75" s="89" t="str">
        <f t="shared" si="0"/>
        <v>4015/4016</v>
      </c>
      <c r="L75" s="185" t="str">
        <f>VLOOKUP(A75,'Trips&amp;Operators'!$C$1:$G$99911,5,FALSE)</f>
        <v>BRUDER RICHARD</v>
      </c>
      <c r="M75" s="6">
        <f t="shared" si="1"/>
        <v>2.4618055555038154E-2</v>
      </c>
      <c r="N75" s="7">
        <f t="shared" si="28"/>
        <v>35.449999999254942</v>
      </c>
      <c r="O75" s="7"/>
      <c r="P75" s="7"/>
      <c r="Q75" s="22"/>
      <c r="R75" s="174"/>
      <c r="S75" s="221">
        <f t="shared" si="27"/>
        <v>1</v>
      </c>
      <c r="T75" s="174" t="str">
        <f t="shared" si="2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3"/>
        <v>https://d0f6bd738d7f1b3e5a7ca70fe4ff75f0.us-east-1.aws.found.io/app/kibana#/discover/Steve-Slow-Train-Analysis-(2080s-and-2083s)?_g=(refreshInterval:(display:Off,pause:!f,section:0,value:0),time:(from:'2017-11-10T10:22:54-0700',mode:absolute,to:'2017-11-10T13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5" s="204" t="str">
        <f>IF(AA75&lt;VLOOKUP(AG75,Variables!$AC$3:$AD$8,2,FALSE),"Y","N")</f>
        <v>N</v>
      </c>
      <c r="X75" s="204">
        <f t="shared" si="24"/>
        <v>1</v>
      </c>
      <c r="Y75" s="204">
        <f t="shared" si="25"/>
        <v>5.6800000000000003E-2</v>
      </c>
      <c r="Z75" s="204">
        <f t="shared" si="26"/>
        <v>23.321000000000002</v>
      </c>
      <c r="AA75" s="204">
        <f t="shared" si="7"/>
        <v>23.264200000000002</v>
      </c>
      <c r="AB75" s="54" t="e">
        <f>VLOOKUP(A75,Enforcements!$C$7:$K$9,8,0)</f>
        <v>#N/A</v>
      </c>
      <c r="AC75" s="51" t="e">
        <f>VLOOKUP(A75,Enforcements!$C$7:$E$9,3,0)</f>
        <v>#N/A</v>
      </c>
      <c r="AD75" s="179">
        <f t="shared" si="8"/>
        <v>163</v>
      </c>
      <c r="AE75" s="77" t="str">
        <f t="shared" si="9"/>
        <v>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 &amp; aws s3 cp s3://rtdc.mdm.uploadarchive.raw/RTDC4016/ "%USERPROFILE%\AppData\Local\Temp\OnboardLogs"\RTDC4016\2017-11-11 --exclude "*" --recursive --include "*20171111*" &amp; "%USERPROFILE%\Documents\GitHub\mrs-test-scripts\Headless Mode &amp; Sideloading\WalkAndUnGZ.bat" "%USERPROFILE%\AppData\Local\Temp\OnboardLogs"\RTDC4016\2017-11-11</v>
      </c>
      <c r="AF75" s="74" t="str">
        <f t="shared" si="10"/>
        <v>"C:\Program Files (x86)\AstroGrep\AstroGrep.exe" /e /r /s /spath="%USERPROFILE%\AppData\Local\Temp\OnboardLogs" /stypes="app*4016*20171110*" /stext=" 19:.+((SYSTEM_STATE.+slice.+state.+changed )|(ment ac)|(multiple cpu faults)|(system.+state.+changed )|(\[timeout)|(PRM\|1\|D)|(kpr)|(kdp)|(train st.+moving)|(\|lc)|(penalty))"</v>
      </c>
      <c r="AG75" s="182" t="str">
        <f t="shared" si="11"/>
        <v>EC</v>
      </c>
      <c r="AH75" s="78" t="str">
        <f t="shared" si="18"/>
        <v>"%USERPROFILE%\Documents\GitHub\eaglep3\Utilities\RefineRTDCRunTimes.py" --tripid 163-10 --locoid 4016 --swversion DE.1.0.9.0 --startMP 204:568 --initTime 2017-11-10T11:22:54 --startdatetime 2017-11-10T11:30:15 --delay 152 --endMP 204:233210 --enddatetime 2017-11-10T12:05:42 --enforcementcount 1 &gt;&gt;%USERPROFILE%\Documents\GitHub\eaglep3-reporting\EC\2017-11-10-refined-times.txt</v>
      </c>
      <c r="AI75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{"issue":{"subject":"","project_id":79,"tracker_id":40,"status_id":1,"priority_id":2,"assigned_to_id":338,"start_date":"2017-11-10","description":"","custom_fields":[{"id":1,"name":"Subdivision","value":"EC"},{"id":4,"name":"Milepost","value":"23.321"},{"id":17,"name":"Train ID","value":"163-10"},{"id":16,"name":"Locomotive ID","value":"4016"},{"id":130,"name":"Impact","value":""},{"id":150,"name":"Time of Event (Mountain Time)","value":"12:05:42"},{"id":151,"name":"Denver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4016 --day 2017-11-10</v>
      </c>
      <c r="AN75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19:05:42"},{"id":29,"name":"Sharepoint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2"/>
        <v>https://d0f6bd738d7f1b3e5a7ca70fe4ff75f0.us-east-1.aws.found.io/app/kibana#/discover/Steve-Slow-Train-Analysis-(2080s-and-2083s)?_g=(refreshInterval:(display:Off,pause:!f,section:0,value:0),time:(from:'2017-11-10T10:22:54-0700',mode:absolute,to:'2017-11-10T13:05:42-0700'))&amp;_a=(columns:!('Message%20ID',Summary),filters:!(),index:'emp_*',interval:auto,query:(query_string:(analyze_wildcard:!t,query:'%22rtdc.l.rtdc.4016%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763</v>
      </c>
      <c r="B76" s="7">
        <v>4015</v>
      </c>
      <c r="C76" s="21" t="s">
        <v>192</v>
      </c>
      <c r="D76" s="21" t="s">
        <v>942</v>
      </c>
      <c r="E76" s="13">
        <v>43049.516030092593</v>
      </c>
      <c r="F76" s="13">
        <v>43049.518923611111</v>
      </c>
      <c r="G76" s="7">
        <v>90</v>
      </c>
      <c r="H76" s="21" t="s">
        <v>618</v>
      </c>
      <c r="I76" s="13">
        <v>43049.544131944444</v>
      </c>
      <c r="J76" s="7">
        <v>1</v>
      </c>
      <c r="K76" s="89" t="str">
        <f t="shared" si="0"/>
        <v>4015/4016</v>
      </c>
      <c r="L76" s="185" t="str">
        <f>VLOOKUP(A76,'Trips&amp;Operators'!$C$1:$G$99911,5,FALSE)</f>
        <v>BRUDER RICHARD</v>
      </c>
      <c r="M76" s="6">
        <f t="shared" si="1"/>
        <v>2.5208333332557231E-2</v>
      </c>
      <c r="N76" s="7">
        <f t="shared" si="28"/>
        <v>36.299999998882413</v>
      </c>
      <c r="O76" s="7"/>
      <c r="P76" s="7"/>
      <c r="Q76" s="22"/>
      <c r="R76" s="174"/>
      <c r="S76" s="221">
        <f t="shared" si="27"/>
        <v>1</v>
      </c>
      <c r="T76" s="174" t="str">
        <f t="shared" si="2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3"/>
        <v>https://d0f6bd738d7f1b3e5a7ca70fe4ff75f0.us-east-1.aws.found.io/app/kibana#/discover/Steve-Slow-Train-Analysis-(2080s-and-2083s)?_g=(refreshInterval:(display:Off,pause:!f,section:0,value:0),time:(from:'2017-11-10T11:23:05-0700',mode:absolute,to:'2017-11-10T14:03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6" s="204" t="str">
        <f>IF(AA76&lt;VLOOKUP(AG76,Variables!$AC$3:$AD$8,2,FALSE),"Y","N")</f>
        <v>N</v>
      </c>
      <c r="X76" s="204">
        <f t="shared" si="24"/>
        <v>1</v>
      </c>
      <c r="Y76" s="204">
        <f t="shared" si="25"/>
        <v>23.29</v>
      </c>
      <c r="Z76" s="204">
        <f t="shared" si="26"/>
        <v>2.18E-2</v>
      </c>
      <c r="AA76" s="204">
        <f t="shared" si="7"/>
        <v>23.2682</v>
      </c>
      <c r="AB76" s="54" t="e">
        <f>VLOOKUP(A76,Enforcements!$C$7:$K$9,8,0)</f>
        <v>#N/A</v>
      </c>
      <c r="AC76" s="51" t="e">
        <f>VLOOKUP(A76,Enforcements!$C$7:$E$9,3,0)</f>
        <v>#N/A</v>
      </c>
      <c r="AD76" s="179">
        <f t="shared" si="8"/>
        <v>164</v>
      </c>
      <c r="AE76" s="77" t="str">
        <f t="shared" si="9"/>
        <v>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 &amp; 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</v>
      </c>
      <c r="AF76" s="74" t="str">
        <f t="shared" si="10"/>
        <v>"C:\Program Files (x86)\AstroGrep\AstroGrep.exe" /e /r /s /spath="%USERPROFILE%\AppData\Local\Temp\OnboardLogs" /stypes="app*4015*20171110*" /stext=" 20:.+((SYSTEM_STATE.+slice.+state.+changed )|(ment ac)|(multiple cpu faults)|(system.+state.+changed )|(\[timeout)|(PRM\|1\|D)|(kpr)|(kdp)|(train st.+moving)|(\|lc)|(penalty))"</v>
      </c>
      <c r="AG76" s="182" t="str">
        <f t="shared" si="11"/>
        <v>EC</v>
      </c>
      <c r="AH76" s="78" t="str">
        <f t="shared" si="18"/>
        <v>"%USERPROFILE%\Documents\GitHub\eaglep3\Utilities\RefineRTDCRunTimes.py" --tripid 164-10 --locoid 4015 --swversion DE.1.0.9.0 --startMP 204:232900 --initTime 2017-11-10T12:23:05 --startdatetime 2017-11-10T12:27:15 --delay 90 --endMP 204:218 --enddatetime 2017-11-10T13:03:33 --enforcementcount 1 &gt;&gt;%USERPROFILE%\Documents\GitHub\eaglep3-reporting\EC\2017-11-10-refined-times.txt</v>
      </c>
      <c r="AI76" s="96" t="str">
        <f t="shared" si="19"/>
        <v>echo {"issue":{"subject":"","project_id":79,"tracker_id":40,"status_id":1,"priority_id":2,"assigned_to_id":338,"start_date":"2017-11-10","description":"","custom_fields":[{"id":1,"name":"Subdivision","value":"EC"},{"id":4,"name":"Milepost","value":"0.0218"},{"id":17,"name":"Train ID","value":"164-10"},{"id":16,"name":"Locomotive ID","value":"4015"},{"id":130,"name":"Impact","value":""},{"id":150,"name":"Time of Event (Mountain Time)","value":"13:03:33"},{"id":151,"name":"Denver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4015 --day 2017-11-10</v>
      </c>
      <c r="AN76" s="151" t="str">
        <f t="shared" si="21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20:03:33"},{"id":29,"name":"Sharepoint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2"/>
        <v>https://d0f6bd738d7f1b3e5a7ca70fe4ff75f0.us-east-1.aws.found.io/app/kibana#/discover/Steve-Slow-Train-Analysis-(2080s-and-2083s)?_g=(refreshInterval:(display:Off,pause:!f,section:0,value:0),time:(from:'2017-11-10T11:23:05-0700',mode:absolute,to:'2017-11-10T14:03:33-0700'))&amp;_a=(columns:!('Message%20ID',Summary),filters:!(),index:'emp_*',interval:auto,query:(query_string:(analyze_wildcard:!t,query:'%22rtdc.l.rtdc.4015%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756</v>
      </c>
      <c r="B77" s="7">
        <v>4028</v>
      </c>
      <c r="C77" s="21" t="s">
        <v>192</v>
      </c>
      <c r="D77" s="21" t="s">
        <v>543</v>
      </c>
      <c r="E77" s="13">
        <v>43049.485000000001</v>
      </c>
      <c r="F77" s="13">
        <v>43049.48978009259</v>
      </c>
      <c r="G77" s="7">
        <v>70</v>
      </c>
      <c r="H77" s="21" t="s">
        <v>943</v>
      </c>
      <c r="I77" s="13">
        <v>43049.5153587963</v>
      </c>
      <c r="J77" s="7">
        <v>1</v>
      </c>
      <c r="K77" s="89" t="str">
        <f t="shared" ref="K77:K140" si="29">IF(ISEVEN(B77),(B77-1)&amp;"/"&amp;B77,B77&amp;"/"&amp;(B77+1))</f>
        <v>4027/4028</v>
      </c>
      <c r="L77" s="185" t="str">
        <f>VLOOKUP(A77,'Trips&amp;Operators'!$C$1:$G$99911,5,FALSE)</f>
        <v>LEVERE CRAIG</v>
      </c>
      <c r="M77" s="6">
        <f t="shared" ref="M77:M140" si="30">I77-F77</f>
        <v>2.5578703709470574E-2</v>
      </c>
      <c r="N77" s="7">
        <f t="shared" si="28"/>
        <v>36.833333341637626</v>
      </c>
      <c r="O77" s="7"/>
      <c r="P77" s="7"/>
      <c r="Q77" s="22"/>
      <c r="R77" s="174" t="s">
        <v>1111</v>
      </c>
      <c r="S77" s="221">
        <f t="shared" si="27"/>
        <v>1</v>
      </c>
      <c r="T77" s="174" t="str">
        <f t="shared" ref="T77:T140" si="31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-10T10:38:24-0700',mode:absolute,to:'2017-11-10T13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7" s="204" t="str">
        <f>IF(AA77&lt;VLOOKUP(AG77,Variables!$AC$3:$AD$8,2,FALSE),"Y","N")</f>
        <v>N</v>
      </c>
      <c r="X77" s="204">
        <f t="shared" ref="X77:X110" si="33">VALUE(LEFT(AD77,4))-VALUE(LEFT(AD76,4))</f>
        <v>1</v>
      </c>
      <c r="Y77" s="204">
        <f t="shared" ref="Y77:Y108" si="34">RIGHT(D77,LEN(D77)-4)/10000</f>
        <v>4.7100000000000003E-2</v>
      </c>
      <c r="Z77" s="204">
        <f t="shared" ref="Z77:Z108" si="35">RIGHT(H77,LEN(H77)-4)/10000</f>
        <v>23.317599999999999</v>
      </c>
      <c r="AA77" s="204">
        <f t="shared" ref="AA77:AA140" si="36">ABS(Z77-Y77)</f>
        <v>23.270499999999998</v>
      </c>
      <c r="AB77" s="54" t="e">
        <f>VLOOKUP(A77,Enforcements!$C$7:$K$9,8,0)</f>
        <v>#N/A</v>
      </c>
      <c r="AC77" s="51" t="e">
        <f>VLOOKUP(A77,Enforcements!$C$7:$E$9,3,0)</f>
        <v>#N/A</v>
      </c>
      <c r="AD77" s="179">
        <f t="shared" ref="AD77:AD140" si="37">VALUE(LEFT(A77,LEN(A77)-3))</f>
        <v>165</v>
      </c>
      <c r="AE77" s="7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s3://rtdc.mdm.uploadarchive.raw/RTDC4028/ "%USERPROFILE%\AppData\Local\Temp\OnboardLogs"\RTDC4028\2017-11-10 --exclude "*" --recursive --include "*20171110*" &amp; "%USERPROFILE%\Documents\GitHub\mrs-test-scripts\Headless Mode &amp; Sideloading\WalkAndUnGZ.bat" "%USERPROFILE%\AppData\Local\Temp\OnboardLogs"\RTDC4028\2017-11-10 &amp; aws s3 cp s3://rtdc.mdm.uploadarchive.raw/RTDC4028/ "%USERPROFILE%\AppData\Local\Temp\OnboardLogs"\RTDC4028\2017-11-11 --exclude "*" --recursive --include "*20171111*" &amp; "%USERPROFILE%\Documents\GitHub\mrs-test-scripts\Headless Mode &amp; Sideloading\WalkAndUnGZ.bat" "%USERPROFILE%\AppData\Local\Temp\OnboardLogs"\RTDC4028\2017-11-11</v>
      </c>
      <c r="AF77" s="74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/stypes="app*4028*20171110*"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40">DetSubdiv(A77)</f>
        <v>EC</v>
      </c>
      <c r="AH77" s="78" t="str">
        <f t="shared" si="18"/>
        <v>"%USERPROFILE%\Documents\GitHub\eaglep3\Utilities\RefineRTDCRunTimes.py" --tripid 165-10 --locoid 4028 --swversion DE.1.0.9.0 --startMP 204:471 --initTime 2017-11-10T11:38:24 --startdatetime 2017-11-10T11:45:17 --delay 70 --endMP 204:233176 --enddatetime 2017-11-10T12:22:07 --enforcementcount 1 &gt;&gt;%USERPROFILE%\Documents\GitHub\eaglep3-reporting\EC\2017-11-10-refined-times.txt</v>
      </c>
      <c r="AI77" s="96" t="str">
        <f t="shared" si="19"/>
        <v>echo {"issue":{"subject":"Observed Wi-MAX data drop","project_id":79,"tracker_id":40,"status_id":1,"priority_id":2,"assigned_to_id":338,"start_date":"2017-11-10","description":"","custom_fields":[{"id":1,"name":"Subdivision","value":"EC"},{"id":4,"name":"Milepost","value":"23.3176"},{"id":17,"name":"Train ID","value":"165-10"},{"id":16,"name":"Locomotive ID","value":"4028"},{"id":130,"name":"Impact","value":""},{"id":150,"name":"Time of Event (Mountain Time)","value":"12:22:07"},{"id":151,"name":"Denver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4028 --day 2017-11-10</v>
      </c>
      <c r="AN77" s="151" t="str">
        <f t="shared" si="21"/>
        <v>echo {"issue":{"subject":"Observed Wi-MAX data drop","project_id":30,"tracker_id":4,"status_id":1,"priority_id":1,"assigned_to_id":10,"start_date":"2017-11-10","description":"","custom_fields":[{"id":30,"name":"Category","value":"Issue"},{"id":3,"name":"Functional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19:22:07"},{"id":29,"name":"Sharepoint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2"/>
        <v>https://d0f6bd738d7f1b3e5a7ca70fe4ff75f0.us-east-1.aws.found.io/app/kibana#/discover/Steve-Slow-Train-Analysis-(2080s-and-2083s)?_g=(refreshInterval:(display:Off,pause:!f,section:0,value:0),time:(from:'2017-11-10T10:38:24-0700',mode:absolute,to:'2017-11-10T13:22:07-0700'))&amp;_a=(columns:!('Message%20ID',Summary),filters:!(),index:'emp_*',interval:auto,query:(query_string:(analyze_wildcard:!t,query:'%22rtdc.l.rtdc.4028%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766</v>
      </c>
      <c r="B78" s="7">
        <v>4027</v>
      </c>
      <c r="C78" s="21" t="s">
        <v>192</v>
      </c>
      <c r="D78" s="21" t="s">
        <v>944</v>
      </c>
      <c r="E78" s="13">
        <v>43049.523888888885</v>
      </c>
      <c r="F78" s="13">
        <v>43049.529386574075</v>
      </c>
      <c r="G78" s="7">
        <v>69</v>
      </c>
      <c r="H78" s="21" t="s">
        <v>945</v>
      </c>
      <c r="I78" s="13">
        <v>43049.556469907409</v>
      </c>
      <c r="J78" s="7">
        <v>1</v>
      </c>
      <c r="K78" s="89" t="str">
        <f t="shared" si="29"/>
        <v>4027/4028</v>
      </c>
      <c r="L78" s="185" t="str">
        <f>VLOOKUP(A78,'Trips&amp;Operators'!$C$1:$G$99911,5,FALSE)</f>
        <v>LEVERE CRAIG</v>
      </c>
      <c r="M78" s="6">
        <f t="shared" si="30"/>
        <v>2.7083333334303461E-2</v>
      </c>
      <c r="N78" s="7">
        <f t="shared" si="28"/>
        <v>39.000000001396984</v>
      </c>
      <c r="O78" s="7"/>
      <c r="P78" s="7"/>
      <c r="Q78" s="22"/>
      <c r="R78" s="174"/>
      <c r="S78" s="221">
        <f t="shared" ref="S78:S109" si="41">1/IF(AG78="EC",12,1)*SUM(U78:U78)</f>
        <v>1</v>
      </c>
      <c r="T78" s="174" t="str">
        <f t="shared" si="31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2"/>
        <v>https://d0f6bd738d7f1b3e5a7ca70fe4ff75f0.us-east-1.aws.found.io/app/kibana#/discover/Steve-Slow-Train-Analysis-(2080s-and-2083s)?_g=(refreshInterval:(display:Off,pause:!f,section:0,value:0),time:(from:'2017-11-10T11:34:24-0700',mode:absolute,to:'2017-11-10T14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8" s="204" t="str">
        <f>IF(AA78&lt;VLOOKUP(AG78,Variables!$AC$3:$AD$8,2,FALSE),"Y","N")</f>
        <v>N</v>
      </c>
      <c r="X78" s="204">
        <f t="shared" si="33"/>
        <v>1</v>
      </c>
      <c r="Y78" s="204">
        <f t="shared" si="34"/>
        <v>23.2879</v>
      </c>
      <c r="Z78" s="204">
        <f t="shared" si="35"/>
        <v>2.47E-2</v>
      </c>
      <c r="AA78" s="204">
        <f t="shared" si="36"/>
        <v>23.263200000000001</v>
      </c>
      <c r="AB78" s="54" t="e">
        <f>VLOOKUP(A78,Enforcements!$C$7:$K$9,8,0)</f>
        <v>#N/A</v>
      </c>
      <c r="AC78" s="51" t="e">
        <f>VLOOKUP(A78,Enforcements!$C$7:$E$9,3,0)</f>
        <v>#N/A</v>
      </c>
      <c r="AD78" s="179">
        <f t="shared" si="37"/>
        <v>166</v>
      </c>
      <c r="AE78" s="77" t="str">
        <f t="shared" si="38"/>
        <v>aws s3 cp s3://rtdc.mdm.uploadarchive.raw/RTDC4027/ "%USERPROFILE%\AppData\Local\Temp\OnboardLogs"\RTDC4027\2017-11-10 --exclude "*" --recursive --include "*20171110*" &amp; "%USERPROFILE%\Documents\GitHub\mrs-test-scripts\Headless Mode &amp; Sideloading\WalkAndUnGZ.bat" "%USERPROFILE%\AppData\Local\Temp\OnboardLogs"\RTDC4027\2017-11-10 &amp; aws s3 cp s3://rtdc.mdm.uploadarchive.raw/RTDC4027/ "%USERPROFILE%\AppData\Local\Temp\OnboardLogs"\RTDC4027\2017-11-11 --exclude "*" --recursive --include "*20171111*" &amp; "%USERPROFILE%\Documents\GitHub\mrs-test-scripts\Headless Mode &amp; Sideloading\WalkAndUnGZ.bat" "%USERPROFILE%\AppData\Local\Temp\OnboardLogs"\RTDC4027\2017-11-11</v>
      </c>
      <c r="AF78" s="74" t="str">
        <f t="shared" si="39"/>
        <v>"C:\Program Files (x86)\AstroGrep\AstroGrep.exe" /e /r /s /spath="%USERPROFILE%\AppData\Local\Temp\OnboardLogs" /stypes="app*4027*20171110*" /stext=" 20:.+((SYSTEM_STATE.+slice.+state.+changed )|(ment ac)|(multiple cpu faults)|(system.+state.+changed )|(\[timeout)|(PRM\|1\|D)|(kpr)|(kdp)|(train st.+moving)|(\|lc)|(penalty))"</v>
      </c>
      <c r="AG78" s="182" t="str">
        <f t="shared" si="40"/>
        <v>EC</v>
      </c>
      <c r="AH78" s="78" t="str">
        <f t="shared" ref="AH78:AH139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166-10 --locoid 4027 --swversion DE.1.0.9.0 --startMP 204:232879 --initTime 2017-11-10T12:34:24 --startdatetime 2017-11-10T12:42:19 --delay 69 --endMP 204:247 --enddatetime 2017-11-10T13:21:19 --enforcementcount 1 &gt;&gt;%USERPROFILE%\Documents\GitHub\eaglep3-reporting\EC\2017-11-10-refined-times.txt</v>
      </c>
      <c r="AI78" s="96" t="str">
        <f t="shared" ref="AI78:AI139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{"issue":{"subject":"","project_id":79,"tracker_id":40,"status_id":1,"priority_id":2,"assigned_to_id":338,"start_date":"2017-11-10","description":"","custom_fields":[{"id":1,"name":"Subdivision","value":"EC"},{"id":4,"name":"Milepost","value":"0.0247"},{"id":17,"name":"Train ID","value":"166-10"},{"id":16,"name":"Locomotive ID","value":"4027"},{"id":130,"name":"Impact","value":""},{"id":150,"name":"Time of Event (Mountain Time)","value":"13:21:19"},{"id":151,"name":"Denver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39" si="44">"start /low /b "&amp;dls3logs&amp;" --loco "&amp;B78&amp;" --day "&amp;TEXT(F78,"YYYY-MM-DD")</f>
        <v>start /low /b %USERPROFILE%\Documents\GitHub\eaglep3\Utilities\DownloadLogsFromS3.py --loco 4027 --day 2017-11-10</v>
      </c>
      <c r="AN78" s="151" t="str">
        <f t="shared" ref="AN78:AN139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20:21:19"},{"id":29,"name":"Sharepoint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39" si="46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-10T11:34:24-0700',mode:absolute,to:'2017-11-10T14:21:19-0700'))&amp;_a=(columns:!('Message%20ID',Summary),filters:!(),index:'emp_*',interval:auto,query:(query_string:(analyze_wildcard:!t,query:'%22rtdc.l.rtdc.4027%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760</v>
      </c>
      <c r="B79" s="7">
        <v>4050</v>
      </c>
      <c r="C79" s="21" t="s">
        <v>192</v>
      </c>
      <c r="D79" s="21" t="s">
        <v>471</v>
      </c>
      <c r="E79" s="13">
        <v>43049.496087962965</v>
      </c>
      <c r="F79" s="13">
        <v>43049.500173611108</v>
      </c>
      <c r="G79" s="7">
        <v>81</v>
      </c>
      <c r="H79" s="21" t="s">
        <v>946</v>
      </c>
      <c r="I79" s="13">
        <v>43049.525231481479</v>
      </c>
      <c r="J79" s="7">
        <v>1</v>
      </c>
      <c r="K79" s="89" t="str">
        <f t="shared" si="29"/>
        <v>4049/4050</v>
      </c>
      <c r="L79" s="185" t="str">
        <f>VLOOKUP(A79,'Trips&amp;Operators'!$C$1:$G$99911,5,FALSE)</f>
        <v>FORTUNATO FRANK</v>
      </c>
      <c r="M79" s="6">
        <f t="shared" si="30"/>
        <v>2.5057870370801538E-2</v>
      </c>
      <c r="N79" s="7">
        <f t="shared" ref="N79:N110" si="47">24*60*SUM($M79:$M79)</f>
        <v>36.083333333954215</v>
      </c>
      <c r="O79" s="7"/>
      <c r="P79" s="7"/>
      <c r="Q79" s="22"/>
      <c r="R79" s="174"/>
      <c r="S79" s="221">
        <f t="shared" si="41"/>
        <v>1</v>
      </c>
      <c r="T79" s="174" t="str">
        <f t="shared" si="31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2"/>
        <v>https://d0f6bd738d7f1b3e5a7ca70fe4ff75f0.us-east-1.aws.found.io/app/kibana#/discover/Steve-Slow-Train-Analysis-(2080s-and-2083s)?_g=(refreshInterval:(display:Off,pause:!f,section:0,value:0),time:(from:'2017-11-10T10:54:22-0700',mode:absolute,to:'2017-11-10T13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9" s="204" t="str">
        <f>IF(AA79&lt;VLOOKUP(AG79,Variables!$AC$3:$AD$8,2,FALSE),"Y","N")</f>
        <v>N</v>
      </c>
      <c r="X79" s="204">
        <f t="shared" si="33"/>
        <v>1</v>
      </c>
      <c r="Y79" s="204">
        <f t="shared" si="34"/>
        <v>5.0900000000000001E-2</v>
      </c>
      <c r="Z79" s="204">
        <f t="shared" si="35"/>
        <v>23.318100000000001</v>
      </c>
      <c r="AA79" s="204">
        <f t="shared" si="36"/>
        <v>23.267200000000003</v>
      </c>
      <c r="AB79" s="54" t="e">
        <f>VLOOKUP(A79,Enforcements!$C$7:$K$9,8,0)</f>
        <v>#N/A</v>
      </c>
      <c r="AC79" s="51" t="e">
        <f>VLOOKUP(A79,Enforcements!$C$7:$E$9,3,0)</f>
        <v>#N/A</v>
      </c>
      <c r="AD79" s="179">
        <f t="shared" si="37"/>
        <v>167</v>
      </c>
      <c r="AE79" s="77" t="str">
        <f t="shared" si="38"/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AF79" s="74" t="str">
        <f t="shared" si="39"/>
        <v>"C:\Program Files (x86)\AstroGrep\AstroGrep.exe" /e /r /s /spath="%USERPROFILE%\AppData\Local\Temp\OnboardLogs" /stypes="app*4050*20171110*" /stext=" 19:.+((SYSTEM_STATE.+slice.+state.+changed )|(ment ac)|(multiple cpu faults)|(system.+state.+changed )|(\[timeout)|(PRM\|1\|D)|(kpr)|(kdp)|(train st.+moving)|(\|lc)|(penalty))"</v>
      </c>
      <c r="AG79" s="182" t="str">
        <f t="shared" si="40"/>
        <v>EC</v>
      </c>
      <c r="AH79" s="78" t="str">
        <f t="shared" si="42"/>
        <v>"%USERPROFILE%\Documents\GitHub\eaglep3\Utilities\RefineRTDCRunTimes.py" --tripid 167-10 --locoid 4050 --swversion DE.1.0.9.0 --startMP 204:509 --initTime 2017-11-10T11:54:22 --startdatetime 2017-11-10T12:00:15 --delay 81 --endMP 204:233181 --enddatetime 2017-11-10T12:36:20 --enforcementcount 1 &gt;&gt;%USERPROFILE%\Documents\GitHub\eaglep3-reporting\EC\2017-11-10-refined-times.txt</v>
      </c>
      <c r="AI79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{"issue":{"subject":"","project_id":79,"tracker_id":40,"status_id":1,"priority_id":2,"assigned_to_id":338,"start_date":"2017-11-10","description":"","custom_fields":[{"id":1,"name":"Subdivision","value":"EC"},{"id":4,"name":"Milepost","value":"23.3181"},{"id":17,"name":"Train ID","value":"167-10"},{"id":16,"name":"Locomotive ID","value":"4050"},{"id":130,"name":"Impact","value":""},{"id":150,"name":"Time of Event (Mountain Time)","value":"12:36:20"},{"id":151,"name":"Denver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4"/>
        <v>start /low /b %USERPROFILE%\Documents\GitHub\eaglep3\Utilities\DownloadLogsFromS3.py --loco 4050 --day 2017-11-10</v>
      </c>
      <c r="AN79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19:36:20"},{"id":29,"name":"Sharepoint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6"/>
        <v>https://d0f6bd738d7f1b3e5a7ca70fe4ff75f0.us-east-1.aws.found.io/app/kibana#/discover/Steve-Slow-Train-Analysis-(2080s-and-2083s)?_g=(refreshInterval:(display:Off,pause:!f,section:0,value:0),time:(from:'2017-11-10T10:54:22-0700',mode:absolute,to:'2017-11-10T13:36:20-0700'))&amp;_a=(columns:!('Message%20ID',Summary),filters:!(),index:'emp_*',interval:auto,query:(query_string:(analyze_wildcard:!t,query:'%22rtdc.l.rtdc.4050%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770</v>
      </c>
      <c r="B80" s="7">
        <v>4049</v>
      </c>
      <c r="C80" s="21" t="s">
        <v>192</v>
      </c>
      <c r="D80" s="21" t="s">
        <v>947</v>
      </c>
      <c r="E80" s="13">
        <v>43049.526516203703</v>
      </c>
      <c r="F80" s="13">
        <v>43049.539733796293</v>
      </c>
      <c r="G80" s="7">
        <v>70</v>
      </c>
      <c r="H80" s="21" t="s">
        <v>447</v>
      </c>
      <c r="I80" s="13">
        <v>43049.565810185188</v>
      </c>
      <c r="J80" s="7">
        <v>1</v>
      </c>
      <c r="K80" s="89" t="str">
        <f t="shared" si="29"/>
        <v>4049/4050</v>
      </c>
      <c r="L80" s="185" t="str">
        <f>VLOOKUP(A80,'Trips&amp;Operators'!$C$1:$G$99911,5,FALSE)</f>
        <v>FORTUNATO FRANK</v>
      </c>
      <c r="M80" s="6">
        <f t="shared" si="30"/>
        <v>2.6076388894580305E-2</v>
      </c>
      <c r="N80" s="7">
        <f t="shared" si="47"/>
        <v>37.550000008195639</v>
      </c>
      <c r="O80" s="7"/>
      <c r="P80" s="7"/>
      <c r="Q80" s="22"/>
      <c r="R80" s="174"/>
      <c r="S80" s="221">
        <f t="shared" si="41"/>
        <v>1</v>
      </c>
      <c r="T80" s="174" t="str">
        <f t="shared" si="31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2"/>
        <v>https://d0f6bd738d7f1b3e5a7ca70fe4ff75f0.us-east-1.aws.found.io/app/kibana#/discover/Steve-Slow-Train-Analysis-(2080s-and-2083s)?_g=(refreshInterval:(display:Off,pause:!f,section:0,value:0),time:(from:'2017-11-10T11:38:11-0700',mode:absolute,to:'2017-11-10T14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0" s="204" t="str">
        <f>IF(AA80&lt;VLOOKUP(AG80,Variables!$AC$3:$AD$8,2,FALSE),"Y","N")</f>
        <v>N</v>
      </c>
      <c r="X80" s="204">
        <f t="shared" si="33"/>
        <v>1</v>
      </c>
      <c r="Y80" s="204">
        <f t="shared" si="34"/>
        <v>23.287400000000002</v>
      </c>
      <c r="Z80" s="204">
        <f t="shared" si="35"/>
        <v>2.1399999999999999E-2</v>
      </c>
      <c r="AA80" s="204">
        <f t="shared" si="36"/>
        <v>23.266000000000002</v>
      </c>
      <c r="AB80" s="54" t="e">
        <f>VLOOKUP(A80,Enforcements!$C$7:$K$9,8,0)</f>
        <v>#N/A</v>
      </c>
      <c r="AC80" s="51" t="e">
        <f>VLOOKUP(A80,Enforcements!$C$7:$E$9,3,0)</f>
        <v>#N/A</v>
      </c>
      <c r="AD80" s="179">
        <f t="shared" si="37"/>
        <v>168</v>
      </c>
      <c r="AE80" s="77" t="str">
        <f t="shared" si="38"/>
        <v>aws s3 cp s3://rtdc.mdm.uploadarchive.raw/RTDC4049/ "%USERPROFILE%\AppData\Local\Temp\OnboardLogs"\RTDC4049\2017-11-10 --exclude "*" --recursive --include "*20171110*" &amp; "%USERPROFILE%\Documents\GitHub\mrs-test-scripts\Headless Mode &amp; Sideloading\WalkAndUnGZ.bat" "%USERPROFILE%\AppData\Local\Temp\OnboardLogs"\RTDC4049\2017-11-10 &amp; aws s3 cp s3://rtdc.mdm.uploadarchive.raw/RTDC4049/ "%USERPROFILE%\AppData\Local\Temp\OnboardLogs"\RTDC4049\2017-11-11 --exclude "*" --recursive --include "*20171111*" &amp; "%USERPROFILE%\Documents\GitHub\mrs-test-scripts\Headless Mode &amp; Sideloading\WalkAndUnGZ.bat" "%USERPROFILE%\AppData\Local\Temp\OnboardLogs"\RTDC4049\2017-11-11</v>
      </c>
      <c r="AF80" s="74" t="str">
        <f t="shared" si="39"/>
        <v>"C:\Program Files (x86)\AstroGrep\AstroGrep.exe" /e /r /s /spath="%USERPROFILE%\AppData\Local\Temp\OnboardLogs" /stypes="app*4049*20171110*" /stext=" 20:.+((SYSTEM_STATE.+slice.+state.+changed )|(ment ac)|(multiple cpu faults)|(system.+state.+changed )|(\[timeout)|(PRM\|1\|D)|(kpr)|(kdp)|(train st.+moving)|(\|lc)|(penalty))"</v>
      </c>
      <c r="AG80" s="182" t="str">
        <f t="shared" si="40"/>
        <v>EC</v>
      </c>
      <c r="AH80" s="78" t="str">
        <f t="shared" si="42"/>
        <v>"%USERPROFILE%\Documents\GitHub\eaglep3\Utilities\RefineRTDCRunTimes.py" --tripid 168-10 --locoid 4049 --swversion DE.1.0.9.0 --startMP 204:232874 --initTime 2017-11-10T12:38:11 --startdatetime 2017-11-10T12:57:13 --delay 70 --endMP 204:214 --enddatetime 2017-11-10T13:34:46 --enforcementcount 1 &gt;&gt;%USERPROFILE%\Documents\GitHub\eaglep3-reporting\EC\2017-11-10-refined-times.txt</v>
      </c>
      <c r="AI80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{"issue":{"subject":"","project_id":79,"tracker_id":40,"status_id":1,"priority_id":2,"assigned_to_id":338,"start_date":"2017-11-10","description":"","custom_fields":[{"id":1,"name":"Subdivision","value":"EC"},{"id":4,"name":"Milepost","value":"0.0214"},{"id":17,"name":"Train ID","value":"168-10"},{"id":16,"name":"Locomotive ID","value":"4049"},{"id":130,"name":"Impact","value":""},{"id":150,"name":"Time of Event (Mountain Time)","value":"13:34:46"},{"id":151,"name":"Denver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44"/>
        <v>start /low /b %USERPROFILE%\Documents\GitHub\eaglep3\Utilities\DownloadLogsFromS3.py --loco 4049 --day 2017-11-10</v>
      </c>
      <c r="AN80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20:34:46"},{"id":29,"name":"Sharepoint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6"/>
        <v>https://d0f6bd738d7f1b3e5a7ca70fe4ff75f0.us-east-1.aws.found.io/app/kibana#/discover/Steve-Slow-Train-Analysis-(2080s-and-2083s)?_g=(refreshInterval:(display:Off,pause:!f,section:0,value:0),time:(from:'2017-11-10T11:38:11-0700',mode:absolute,to:'2017-11-10T14:34:46-0700'))&amp;_a=(columns:!('Message%20ID',Summary),filters:!(),index:'emp_*',interval:auto,query:(query_string:(analyze_wildcard:!t,query:'%22rtdc.l.rtdc.4049%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762</v>
      </c>
      <c r="B81" s="7">
        <v>4012</v>
      </c>
      <c r="C81" s="21" t="s">
        <v>192</v>
      </c>
      <c r="D81" s="21" t="s">
        <v>454</v>
      </c>
      <c r="E81" s="13">
        <v>43049.507152777776</v>
      </c>
      <c r="F81" s="13">
        <v>43049.51059027778</v>
      </c>
      <c r="G81" s="7">
        <v>151</v>
      </c>
      <c r="H81" s="21" t="s">
        <v>470</v>
      </c>
      <c r="I81" s="13">
        <v>43049.534432870372</v>
      </c>
      <c r="J81" s="7">
        <v>1</v>
      </c>
      <c r="K81" s="89" t="str">
        <f t="shared" si="29"/>
        <v>4011/4012</v>
      </c>
      <c r="L81" s="185" t="str">
        <f>VLOOKUP(A81,'Trips&amp;Operators'!$C$1:$G$99911,5,FALSE)</f>
        <v>LEVIN SCOTT</v>
      </c>
      <c r="M81" s="6">
        <f t="shared" si="30"/>
        <v>2.3842592592700385E-2</v>
      </c>
      <c r="N81" s="7">
        <f t="shared" si="47"/>
        <v>34.333333333488554</v>
      </c>
      <c r="O81" s="7"/>
      <c r="P81" s="7"/>
      <c r="Q81" s="22"/>
      <c r="R81" s="174"/>
      <c r="S81" s="221">
        <f t="shared" si="41"/>
        <v>1</v>
      </c>
      <c r="T81" s="174" t="str">
        <f t="shared" si="31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2"/>
        <v>https://d0f6bd738d7f1b3e5a7ca70fe4ff75f0.us-east-1.aws.found.io/app/kibana#/discover/Steve-Slow-Train-Analysis-(2080s-and-2083s)?_g=(refreshInterval:(display:Off,pause:!f,section:0,value:0),time:(from:'2017-11-10T11:10:18-0700',mode:absolute,to:'2017-11-10T13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1" s="204" t="str">
        <f>IF(AA81&lt;VLOOKUP(AG81,Variables!$AC$3:$AD$8,2,FALSE),"Y","N")</f>
        <v>N</v>
      </c>
      <c r="X81" s="204">
        <f t="shared" si="33"/>
        <v>1</v>
      </c>
      <c r="Y81" s="204">
        <f t="shared" si="34"/>
        <v>5.6599999999999998E-2</v>
      </c>
      <c r="Z81" s="204">
        <f t="shared" si="35"/>
        <v>23.3278</v>
      </c>
      <c r="AA81" s="204">
        <f t="shared" si="36"/>
        <v>23.2712</v>
      </c>
      <c r="AB81" s="54" t="e">
        <f>VLOOKUP(A81,Enforcements!$C$7:$K$9,8,0)</f>
        <v>#N/A</v>
      </c>
      <c r="AC81" s="51" t="e">
        <f>VLOOKUP(A81,Enforcements!$C$7:$E$9,3,0)</f>
        <v>#N/A</v>
      </c>
      <c r="AD81" s="179">
        <f t="shared" si="37"/>
        <v>169</v>
      </c>
      <c r="AE81" s="77" t="str">
        <f t="shared" si="38"/>
        <v>aws s3 cp s3://rtdc.mdm.uploadarchive.raw/RTDC4012/ "%USERPROFILE%\AppData\Local\Temp\OnboardLogs"\RTDC4012\2017-11-10 --exclude "*" --recursive --include "*20171110*" &amp; "%USERPROFILE%\Documents\GitHub\mrs-test-scripts\Headless Mode &amp; Sideloading\WalkAndUnGZ.bat" "%USERPROFILE%\AppData\Local\Temp\OnboardLogs"\RTDC4012\2017-11-10 &amp; aws s3 cp s3://rtdc.mdm.uploadarchive.raw/RTDC4012/ "%USERPROFILE%\AppData\Local\Temp\OnboardLogs"\RTDC4012\2017-11-11 --exclude "*" --recursive --include "*20171111*" &amp; "%USERPROFILE%\Documents\GitHub\mrs-test-scripts\Headless Mode &amp; Sideloading\WalkAndUnGZ.bat" "%USERPROFILE%\AppData\Local\Temp\OnboardLogs"\RTDC4012\2017-11-11</v>
      </c>
      <c r="AF81" s="74" t="str">
        <f t="shared" si="39"/>
        <v>"C:\Program Files (x86)\AstroGrep\AstroGrep.exe" /e /r /s /spath="%USERPROFILE%\AppData\Local\Temp\OnboardLogs" /stypes="app*4012*20171110*" /stext=" 19:.+((SYSTEM_STATE.+slice.+state.+changed )|(ment ac)|(multiple cpu faults)|(system.+state.+changed )|(\[timeout)|(PRM\|1\|D)|(kpr)|(kdp)|(train st.+moving)|(\|lc)|(penalty))"</v>
      </c>
      <c r="AG81" s="182" t="str">
        <f t="shared" si="40"/>
        <v>EC</v>
      </c>
      <c r="AH81" s="78" t="str">
        <f t="shared" si="42"/>
        <v>"%USERPROFILE%\Documents\GitHub\eaglep3\Utilities\RefineRTDCRunTimes.py" --tripid 169-10 --locoid 4012 --swversion DE.1.0.9.0 --startMP 204:566 --initTime 2017-11-10T12:10:18 --startdatetime 2017-11-10T12:15:15 --delay 151 --endMP 204:233278 --enddatetime 2017-11-10T12:49:35 --enforcementcount 1 &gt;&gt;%USERPROFILE%\Documents\GitHub\eaglep3-reporting\EC\2017-11-10-refined-times.txt</v>
      </c>
      <c r="AI81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{"issue":{"subject":"","project_id":79,"tracker_id":40,"status_id":1,"priority_id":2,"assigned_to_id":338,"start_date":"2017-11-10","description":"","custom_fields":[{"id":1,"name":"Subdivision","value":"EC"},{"id":4,"name":"Milepost","value":"23.3278"},{"id":17,"name":"Train ID","value":"169-10"},{"id":16,"name":"Locomotive ID","value":"4012"},{"id":130,"name":"Impact","value":""},{"id":150,"name":"Time of Event (Mountain Time)","value":"12:49:35"},{"id":151,"name":"Denver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4"/>
        <v>start /low /b %USERPROFILE%\Documents\GitHub\eaglep3\Utilities\DownloadLogsFromS3.py --loco 4012 --day 2017-11-10</v>
      </c>
      <c r="AN81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19:49:35"},{"id":29,"name":"Sharepoint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6"/>
        <v>https://d0f6bd738d7f1b3e5a7ca70fe4ff75f0.us-east-1.aws.found.io/app/kibana#/discover/Steve-Slow-Train-Analysis-(2080s-and-2083s)?_g=(refreshInterval:(display:Off,pause:!f,section:0,value:0),time:(from:'2017-11-10T11:10:18-0700',mode:absolute,to:'2017-11-10T13:49:35-0700'))&amp;_a=(columns:!('Message%20ID',Summary),filters:!(),index:'emp_*',interval:auto,query:(query_string:(analyze_wildcard:!t,query:'%22rtdc.l.rtdc.4012%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773</v>
      </c>
      <c r="B82" s="7">
        <v>4011</v>
      </c>
      <c r="C82" s="21" t="s">
        <v>192</v>
      </c>
      <c r="D82" s="21" t="s">
        <v>485</v>
      </c>
      <c r="E82" s="13">
        <v>43049.541932870372</v>
      </c>
      <c r="F82" s="13">
        <v>43049.550196759257</v>
      </c>
      <c r="G82" s="7">
        <v>63</v>
      </c>
      <c r="H82" s="21" t="s">
        <v>898</v>
      </c>
      <c r="I82" s="13">
        <v>43049.575972222221</v>
      </c>
      <c r="J82" s="7">
        <v>1</v>
      </c>
      <c r="K82" s="89" t="str">
        <f t="shared" si="29"/>
        <v>4011/4012</v>
      </c>
      <c r="L82" s="185" t="str">
        <f>VLOOKUP(A82,'Trips&amp;Operators'!$C$1:$G$99911,5,FALSE)</f>
        <v>LEVIN SCOTT</v>
      </c>
      <c r="M82" s="6">
        <f t="shared" si="30"/>
        <v>2.5775462963792961E-2</v>
      </c>
      <c r="N82" s="7">
        <f t="shared" si="47"/>
        <v>37.116666667861864</v>
      </c>
      <c r="O82" s="7"/>
      <c r="P82" s="7"/>
      <c r="Q82" s="22"/>
      <c r="R82" s="174"/>
      <c r="S82" s="221">
        <f t="shared" si="41"/>
        <v>1</v>
      </c>
      <c r="T82" s="174" t="str">
        <f t="shared" si="31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2"/>
        <v>https://d0f6bd738d7f1b3e5a7ca70fe4ff75f0.us-east-1.aws.found.io/app/kibana#/discover/Steve-Slow-Train-Analysis-(2080s-and-2083s)?_g=(refreshInterval:(display:Off,pause:!f,section:0,value:0),time:(from:'2017-11-10T12:00:23-0700',mode:absolute,to:'2017-11-10T14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204" t="str">
        <f>IF(AA82&lt;VLOOKUP(AG82,Variables!$AC$3:$AD$8,2,FALSE),"Y","N")</f>
        <v>N</v>
      </c>
      <c r="X82" s="204">
        <f t="shared" si="33"/>
        <v>1</v>
      </c>
      <c r="Y82" s="204">
        <f t="shared" si="34"/>
        <v>23.296700000000001</v>
      </c>
      <c r="Z82" s="204">
        <f t="shared" si="35"/>
        <v>1.5599999999999999E-2</v>
      </c>
      <c r="AA82" s="204">
        <f t="shared" si="36"/>
        <v>23.281100000000002</v>
      </c>
      <c r="AB82" s="54" t="e">
        <f>VLOOKUP(A82,Enforcements!$C$7:$K$9,8,0)</f>
        <v>#N/A</v>
      </c>
      <c r="AC82" s="51" t="e">
        <f>VLOOKUP(A82,Enforcements!$C$7:$E$9,3,0)</f>
        <v>#N/A</v>
      </c>
      <c r="AD82" s="179">
        <f t="shared" si="37"/>
        <v>170</v>
      </c>
      <c r="AE82" s="77" t="str">
        <f t="shared" si="38"/>
        <v>aws s3 cp s3://rtdc.mdm.uploadarchive.raw/RTDC4011/ "%USERPROFILE%\AppData\Local\Temp\OnboardLogs"\RTDC4011\2017-11-10 --exclude "*" --recursive --include "*20171110*" &amp; "%USERPROFILE%\Documents\GitHub\mrs-test-scripts\Headless Mode &amp; Sideloading\WalkAndUnGZ.bat" "%USERPROFILE%\AppData\Local\Temp\OnboardLogs"\RTDC4011\2017-11-10 &amp; aws s3 cp s3://rtdc.mdm.uploadarchive.raw/RTDC4011/ "%USERPROFILE%\AppData\Local\Temp\OnboardLogs"\RTDC4011\2017-11-11 --exclude "*" --recursive --include "*20171111*" &amp; "%USERPROFILE%\Documents\GitHub\mrs-test-scripts\Headless Mode &amp; Sideloading\WalkAndUnGZ.bat" "%USERPROFILE%\AppData\Local\Temp\OnboardLogs"\RTDC4011\2017-11-11</v>
      </c>
      <c r="AF82" s="74" t="str">
        <f t="shared" si="39"/>
        <v>"C:\Program Files (x86)\AstroGrep\AstroGrep.exe" /e /r /s /spath="%USERPROFILE%\AppData\Local\Temp\OnboardLogs" /stypes="app*4011*20171110*" /stext=" 20:.+((SYSTEM_STATE.+slice.+state.+changed )|(ment ac)|(multiple cpu faults)|(system.+state.+changed )|(\[timeout)|(PRM\|1\|D)|(kpr)|(kdp)|(train st.+moving)|(\|lc)|(penalty))"</v>
      </c>
      <c r="AG82" s="182" t="str">
        <f t="shared" si="40"/>
        <v>EC</v>
      </c>
      <c r="AH82" s="78" t="str">
        <f t="shared" si="42"/>
        <v>"%USERPROFILE%\Documents\GitHub\eaglep3\Utilities\RefineRTDCRunTimes.py" --tripid 170-10 --locoid 4011 --swversion DE.1.0.9.0 --startMP 204:232967 --initTime 2017-11-10T13:00:23 --startdatetime 2017-11-10T13:12:17 --delay 63 --endMP 204:156 --enddatetime 2017-11-10T13:49:24 --enforcementcount 1 &gt;&gt;%USERPROFILE%\Documents\GitHub\eaglep3-reporting\EC\2017-11-10-refined-times.txt</v>
      </c>
      <c r="AI82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{"issue":{"subject":"","project_id":79,"tracker_id":40,"status_id":1,"priority_id":2,"assigned_to_id":338,"start_date":"2017-11-10","description":"","custom_fields":[{"id":1,"name":"Subdivision","value":"EC"},{"id":4,"name":"Milepost","value":"0.0156"},{"id":17,"name":"Train ID","value":"170-10"},{"id":16,"name":"Locomotive ID","value":"4011"},{"id":130,"name":"Impact","value":""},{"id":150,"name":"Time of Event (Mountain Time)","value":"13:49:24"},{"id":151,"name":"Denver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4"/>
        <v>start /low /b %USERPROFILE%\Documents\GitHub\eaglep3\Utilities\DownloadLogsFromS3.py --loco 4011 --day 2017-11-10</v>
      </c>
      <c r="AN82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20:49:24"},{"id":29,"name":"Sharepoint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6"/>
        <v>https://d0f6bd738d7f1b3e5a7ca70fe4ff75f0.us-east-1.aws.found.io/app/kibana#/discover/Steve-Slow-Train-Analysis-(2080s-and-2083s)?_g=(refreshInterval:(display:Off,pause:!f,section:0,value:0),time:(from:'2017-11-10T12:00:23-0700',mode:absolute,to:'2017-11-10T14:49:24-0700'))&amp;_a=(columns:!('Message%20ID',Summary),filters:!(),index:'emp_*',interval:auto,query:(query_string:(analyze_wildcard:!t,query:'%22rtdc.l.rtdc.4011%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764</v>
      </c>
      <c r="B83" s="7">
        <v>4052</v>
      </c>
      <c r="C83" s="21" t="s">
        <v>192</v>
      </c>
      <c r="D83" s="21" t="s">
        <v>490</v>
      </c>
      <c r="E83" s="13">
        <v>43049.51662037037</v>
      </c>
      <c r="F83" s="13">
        <v>43049.521469907406</v>
      </c>
      <c r="G83" s="7">
        <v>69</v>
      </c>
      <c r="H83" s="21" t="s">
        <v>948</v>
      </c>
      <c r="I83" s="13">
        <v>43049.546898148146</v>
      </c>
      <c r="J83" s="7">
        <v>1</v>
      </c>
      <c r="K83" s="89" t="str">
        <f t="shared" si="29"/>
        <v>4051/4052</v>
      </c>
      <c r="L83" s="185" t="str">
        <f>VLOOKUP(A83,'Trips&amp;Operators'!$C$1:$G$99911,5,FALSE)</f>
        <v>STRICKLAND EVAN</v>
      </c>
      <c r="M83" s="6">
        <f t="shared" si="30"/>
        <v>2.5428240740438923E-2</v>
      </c>
      <c r="N83" s="7">
        <f t="shared" si="47"/>
        <v>36.616666666232049</v>
      </c>
      <c r="O83" s="7"/>
      <c r="P83" s="7"/>
      <c r="Q83" s="22"/>
      <c r="R83" s="174"/>
      <c r="S83" s="221">
        <f t="shared" si="41"/>
        <v>1</v>
      </c>
      <c r="T83" s="174" t="str">
        <f t="shared" si="31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2"/>
        <v>https://d0f6bd738d7f1b3e5a7ca70fe4ff75f0.us-east-1.aws.found.io/app/kibana#/discover/Steve-Slow-Train-Analysis-(2080s-and-2083s)?_g=(refreshInterval:(display:Off,pause:!f,section:0,value:0),time:(from:'2017-11-10T11:23:56-0700',mode:absolute,to:'2017-11-10T14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3" s="204" t="str">
        <f>IF(AA83&lt;VLOOKUP(AG83,Variables!$AC$3:$AD$8,2,FALSE),"Y","N")</f>
        <v>N</v>
      </c>
      <c r="X83" s="204">
        <f t="shared" si="33"/>
        <v>1</v>
      </c>
      <c r="Y83" s="204">
        <f t="shared" si="34"/>
        <v>5.3100000000000001E-2</v>
      </c>
      <c r="Z83" s="204">
        <f t="shared" si="35"/>
        <v>23.324400000000001</v>
      </c>
      <c r="AA83" s="204">
        <f t="shared" si="36"/>
        <v>23.2713</v>
      </c>
      <c r="AB83" s="54" t="e">
        <f>VLOOKUP(A83,Enforcements!$C$7:$K$9,8,0)</f>
        <v>#N/A</v>
      </c>
      <c r="AC83" s="51" t="e">
        <f>VLOOKUP(A83,Enforcements!$C$7:$E$9,3,0)</f>
        <v>#N/A</v>
      </c>
      <c r="AD83" s="179">
        <f t="shared" si="37"/>
        <v>171</v>
      </c>
      <c r="AE83" s="77" t="str">
        <f t="shared" si="38"/>
        <v>aws s3 cp s3://rtdc.mdm.uploadarchive.raw/RTDC4052/ "%USERPROFILE%\AppData\Local\Temp\OnboardLogs"\RTDC4052\2017-11-10 --exclude "*" --recursive --include "*20171110*" &amp; "%USERPROFILE%\Documents\GitHub\mrs-test-scripts\Headless Mode &amp; Sideloading\WalkAndUnGZ.bat" "%USERPROFILE%\AppData\Local\Temp\OnboardLogs"\RTDC4052\2017-11-10 &amp; aws s3 cp s3://rtdc.mdm.uploadarchive.raw/RTDC4052/ "%USERPROFILE%\AppData\Local\Temp\OnboardLogs"\RTDC4052\2017-11-11 --exclude "*" --recursive --include "*20171111*" &amp; "%USERPROFILE%\Documents\GitHub\mrs-test-scripts\Headless Mode &amp; Sideloading\WalkAndUnGZ.bat" "%USERPROFILE%\AppData\Local\Temp\OnboardLogs"\RTDC4052\2017-11-11</v>
      </c>
      <c r="AF83" s="74" t="str">
        <f t="shared" si="39"/>
        <v>"C:\Program Files (x86)\AstroGrep\AstroGrep.exe" /e /r /s /spath="%USERPROFILE%\AppData\Local\Temp\OnboardLogs" /stypes="app*4052*20171110*" /stext=" 20:.+((SYSTEM_STATE.+slice.+state.+changed )|(ment ac)|(multiple cpu faults)|(system.+state.+changed )|(\[timeout)|(PRM\|1\|D)|(kpr)|(kdp)|(train st.+moving)|(\|lc)|(penalty))"</v>
      </c>
      <c r="AG83" s="182" t="str">
        <f t="shared" si="40"/>
        <v>EC</v>
      </c>
      <c r="AH83" s="78" t="str">
        <f t="shared" si="42"/>
        <v>"%USERPROFILE%\Documents\GitHub\eaglep3\Utilities\RefineRTDCRunTimes.py" --tripid 171-10 --locoid 4052 --swversion DE.1.0.9.0 --startMP 204:531 --initTime 2017-11-10T12:23:56 --startdatetime 2017-11-10T12:30:55 --delay 69 --endMP 204:233244 --enddatetime 2017-11-10T13:07:32 --enforcementcount 1 &gt;&gt;%USERPROFILE%\Documents\GitHub\eaglep3-reporting\EC\2017-11-10-refined-times.txt</v>
      </c>
      <c r="AI83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{"issue":{"subject":"","project_id":79,"tracker_id":40,"status_id":1,"priority_id":2,"assigned_to_id":338,"start_date":"2017-11-10","description":"","custom_fields":[{"id":1,"name":"Subdivision","value":"EC"},{"id":4,"name":"Milepost","value":"23.3244"},{"id":17,"name":"Train ID","value":"171-10"},{"id":16,"name":"Locomotive ID","value":"4052"},{"id":130,"name":"Impact","value":""},{"id":150,"name":"Time of Event (Mountain Time)","value":"13:07:32"},{"id":151,"name":"Denver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44"/>
        <v>start /low /b %USERPROFILE%\Documents\GitHub\eaglep3\Utilities\DownloadLogsFromS3.py --loco 4052 --day 2017-11-10</v>
      </c>
      <c r="AN83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20:07:32"},{"id":29,"name":"Sharepoint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6"/>
        <v>https://d0f6bd738d7f1b3e5a7ca70fe4ff75f0.us-east-1.aws.found.io/app/kibana#/discover/Steve-Slow-Train-Analysis-(2080s-and-2083s)?_g=(refreshInterval:(display:Off,pause:!f,section:0,value:0),time:(from:'2017-11-10T11:23:56-0700',mode:absolute,to:'2017-11-10T14:07:32-0700'))&amp;_a=(columns:!('Message%20ID',Summary),filters:!(),index:'emp_*',interval:auto,query:(query_string:(analyze_wildcard:!t,query:'%22rtdc.l.rtdc.4052%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774</v>
      </c>
      <c r="B84" s="7">
        <v>4051</v>
      </c>
      <c r="C84" s="21" t="s">
        <v>192</v>
      </c>
      <c r="D84" s="21" t="s">
        <v>949</v>
      </c>
      <c r="E84" s="13">
        <v>43049.548425925925</v>
      </c>
      <c r="F84" s="13">
        <v>43049.560671296298</v>
      </c>
      <c r="G84" s="7">
        <v>77</v>
      </c>
      <c r="H84" s="21" t="s">
        <v>447</v>
      </c>
      <c r="I84" s="13">
        <v>43049.587175925924</v>
      </c>
      <c r="J84" s="7">
        <v>1</v>
      </c>
      <c r="K84" s="89" t="str">
        <f t="shared" si="29"/>
        <v>4051/4052</v>
      </c>
      <c r="L84" s="185" t="str">
        <f>VLOOKUP(A84,'Trips&amp;Operators'!$C$1:$G$99911,5,FALSE)</f>
        <v>STRICKLAND EVAN</v>
      </c>
      <c r="M84" s="6">
        <f t="shared" si="30"/>
        <v>2.6504629626288079E-2</v>
      </c>
      <c r="N84" s="7">
        <f t="shared" si="47"/>
        <v>38.166666661854833</v>
      </c>
      <c r="O84" s="7"/>
      <c r="P84" s="7"/>
      <c r="Q84" s="22"/>
      <c r="R84" s="174"/>
      <c r="S84" s="221">
        <f t="shared" si="41"/>
        <v>1</v>
      </c>
      <c r="T84" s="174" t="str">
        <f t="shared" si="31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2"/>
        <v>https://d0f6bd738d7f1b3e5a7ca70fe4ff75f0.us-east-1.aws.found.io/app/kibana#/discover/Steve-Slow-Train-Analysis-(2080s-and-2083s)?_g=(refreshInterval:(display:Off,pause:!f,section:0,value:0),time:(from:'2017-11-10T12:09:44-0700',mode:absolute,to:'2017-11-10T15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4" s="204" t="str">
        <f>IF(AA84&lt;VLOOKUP(AG84,Variables!$AC$3:$AD$8,2,FALSE),"Y","N")</f>
        <v>N</v>
      </c>
      <c r="X84" s="204">
        <f t="shared" si="33"/>
        <v>1</v>
      </c>
      <c r="Y84" s="204">
        <f t="shared" si="34"/>
        <v>23.2928</v>
      </c>
      <c r="Z84" s="204">
        <f t="shared" si="35"/>
        <v>2.1399999999999999E-2</v>
      </c>
      <c r="AA84" s="204">
        <f t="shared" si="36"/>
        <v>23.2714</v>
      </c>
      <c r="AB84" s="54" t="e">
        <f>VLOOKUP(A84,Enforcements!$C$7:$K$9,8,0)</f>
        <v>#N/A</v>
      </c>
      <c r="AC84" s="51" t="e">
        <f>VLOOKUP(A84,Enforcements!$C$7:$E$9,3,0)</f>
        <v>#N/A</v>
      </c>
      <c r="AD84" s="179">
        <f t="shared" si="37"/>
        <v>172</v>
      </c>
      <c r="AE84" s="77" t="str">
        <f t="shared" si="38"/>
        <v>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 &amp; 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</v>
      </c>
      <c r="AF84" s="74" t="str">
        <f t="shared" si="39"/>
        <v>"C:\Program Files (x86)\AstroGrep\AstroGrep.exe" /e /r /s /spath="%USERPROFILE%\AppData\Local\Temp\OnboardLogs" /stypes="app*4051*20171110*" /stext=" 21:.+((SYSTEM_STATE.+slice.+state.+changed )|(ment ac)|(multiple cpu faults)|(system.+state.+changed )|(\[timeout)|(PRM\|1\|D)|(kpr)|(kdp)|(train st.+moving)|(\|lc)|(penalty))"</v>
      </c>
      <c r="AG84" s="182" t="str">
        <f t="shared" si="40"/>
        <v>EC</v>
      </c>
      <c r="AH84" s="78" t="str">
        <f t="shared" si="42"/>
        <v>"%USERPROFILE%\Documents\GitHub\eaglep3\Utilities\RefineRTDCRunTimes.py" --tripid 172-10 --locoid 4051 --swversion DE.1.0.9.0 --startMP 204:232928 --initTime 2017-11-10T13:09:44 --startdatetime 2017-11-10T13:27:22 --delay 77 --endMP 204:214 --enddatetime 2017-11-10T14:05:32 --enforcementcount 1 &gt;&gt;%USERPROFILE%\Documents\GitHub\eaglep3-reporting\EC\2017-11-10-refined-times.txt</v>
      </c>
      <c r="AI84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{"issue":{"subject":"","project_id":79,"tracker_id":40,"status_id":1,"priority_id":2,"assigned_to_id":338,"start_date":"2017-11-10","description":"","custom_fields":[{"id":1,"name":"Subdivision","value":"EC"},{"id":4,"name":"Milepost","value":"0.0214"},{"id":17,"name":"Train ID","value":"172-10"},{"id":16,"name":"Locomotive ID","value":"4051"},{"id":130,"name":"Impact","value":""},{"id":150,"name":"Time of Event (Mountain Time)","value":"14:05:32"},{"id":151,"name":"Denver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44"/>
        <v>start /low /b %USERPROFILE%\Documents\GitHub\eaglep3\Utilities\DownloadLogsFromS3.py --loco 4051 --day 2017-11-10</v>
      </c>
      <c r="AN84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21:05:32"},{"id":29,"name":"Sharepoint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6"/>
        <v>https://d0f6bd738d7f1b3e5a7ca70fe4ff75f0.us-east-1.aws.found.io/app/kibana#/discover/Steve-Slow-Train-Analysis-(2080s-and-2083s)?_g=(refreshInterval:(display:Off,pause:!f,section:0,value:0),time:(from:'2017-11-10T12:09:44-0700',mode:absolute,to:'2017-11-10T15:05:32-0700'))&amp;_a=(columns:!('Message%20ID',Summary),filters:!(),index:'emp_*',interval:auto,query:(query_string:(analyze_wildcard:!t,query:'%22rtdc.l.rtdc.4051%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767</v>
      </c>
      <c r="B85" s="7">
        <v>4042</v>
      </c>
      <c r="C85" s="21" t="s">
        <v>192</v>
      </c>
      <c r="D85" s="21" t="s">
        <v>950</v>
      </c>
      <c r="E85" s="13">
        <v>43049.524652777778</v>
      </c>
      <c r="F85" s="13">
        <v>43049.531446759262</v>
      </c>
      <c r="G85" s="7">
        <v>91</v>
      </c>
      <c r="H85" s="21" t="s">
        <v>951</v>
      </c>
      <c r="I85" s="13">
        <v>43049.555659722224</v>
      </c>
      <c r="J85" s="7">
        <v>1</v>
      </c>
      <c r="K85" s="89" t="str">
        <f t="shared" si="29"/>
        <v>4041/4042</v>
      </c>
      <c r="L85" s="185" t="str">
        <f>VLOOKUP(A85,'Trips&amp;Operators'!$C$1:$G$99911,5,FALSE)</f>
        <v>GONZALEZ ARMANDO</v>
      </c>
      <c r="M85" s="6">
        <f t="shared" si="30"/>
        <v>2.421296296233777E-2</v>
      </c>
      <c r="N85" s="7">
        <f t="shared" si="47"/>
        <v>34.866666665766388</v>
      </c>
      <c r="O85" s="7"/>
      <c r="P85" s="7"/>
      <c r="Q85" s="22"/>
      <c r="R85" s="174"/>
      <c r="S85" s="221">
        <f t="shared" si="41"/>
        <v>1</v>
      </c>
      <c r="T85" s="174" t="str">
        <f t="shared" si="31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2"/>
        <v>https://d0f6bd738d7f1b3e5a7ca70fe4ff75f0.us-east-1.aws.found.io/app/kibana#/discover/Steve-Slow-Train-Analysis-(2080s-and-2083s)?_g=(refreshInterval:(display:Off,pause:!f,section:0,value:0),time:(from:'2017-11-10T11:35:30-0700',mode:absolute,to:'2017-11-10T14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5" s="204" t="str">
        <f>IF(AA85&lt;VLOOKUP(AG85,Variables!$AC$3:$AD$8,2,FALSE),"Y","N")</f>
        <v>N</v>
      </c>
      <c r="X85" s="204">
        <f t="shared" si="33"/>
        <v>1</v>
      </c>
      <c r="Y85" s="204">
        <f t="shared" si="34"/>
        <v>4.3099999999999999E-2</v>
      </c>
      <c r="Z85" s="204">
        <f t="shared" si="35"/>
        <v>23.3249</v>
      </c>
      <c r="AA85" s="204">
        <f t="shared" si="36"/>
        <v>23.2818</v>
      </c>
      <c r="AB85" s="54" t="e">
        <f>VLOOKUP(A85,Enforcements!$C$7:$K$9,8,0)</f>
        <v>#N/A</v>
      </c>
      <c r="AC85" s="51" t="e">
        <f>VLOOKUP(A85,Enforcements!$C$7:$E$9,3,0)</f>
        <v>#N/A</v>
      </c>
      <c r="AD85" s="179">
        <f t="shared" si="37"/>
        <v>173</v>
      </c>
      <c r="AE85" s="77" t="str">
        <f t="shared" si="38"/>
        <v>aws s3 cp s3://rtdc.mdm.uploadarchive.raw/RTDC4042/ "%USERPROFILE%\AppData\Local\Temp\OnboardLogs"\RTDC4042\2017-11-10 --exclude "*" --recursive --include "*20171110*" &amp; "%USERPROFILE%\Documents\GitHub\mrs-test-scripts\Headless Mode &amp; Sideloading\WalkAndUnGZ.bat" "%USERPROFILE%\AppData\Local\Temp\OnboardLogs"\RTDC4042\2017-11-10 &amp; aws s3 cp s3://rtdc.mdm.uploadarchive.raw/RTDC4042/ "%USERPROFILE%\AppData\Local\Temp\OnboardLogs"\RTDC4042\2017-11-11 --exclude "*" --recursive --include "*20171111*" &amp; "%USERPROFILE%\Documents\GitHub\mrs-test-scripts\Headless Mode &amp; Sideloading\WalkAndUnGZ.bat" "%USERPROFILE%\AppData\Local\Temp\OnboardLogs"\RTDC4042\2017-11-11</v>
      </c>
      <c r="AF85" s="74" t="str">
        <f t="shared" si="39"/>
        <v>"C:\Program Files (x86)\AstroGrep\AstroGrep.exe" /e /r /s /spath="%USERPROFILE%\AppData\Local\Temp\OnboardLogs" /stypes="app*4042*20171110*" /stext=" 20:.+((SYSTEM_STATE.+slice.+state.+changed )|(ment ac)|(multiple cpu faults)|(system.+state.+changed )|(\[timeout)|(PRM\|1\|D)|(kpr)|(kdp)|(train st.+moving)|(\|lc)|(penalty))"</v>
      </c>
      <c r="AG85" s="182" t="str">
        <f t="shared" si="40"/>
        <v>EC</v>
      </c>
      <c r="AH85" s="78" t="str">
        <f t="shared" si="42"/>
        <v>"%USERPROFILE%\Documents\GitHub\eaglep3\Utilities\RefineRTDCRunTimes.py" --tripid 173-10 --locoid 4042 --swversion DE.1.0.9.0 --startMP 204:431 --initTime 2017-11-10T12:35:30 --startdatetime 2017-11-10T12:45:17 --delay 91 --endMP 204:233249 --enddatetime 2017-11-10T13:20:09 --enforcementcount 1 &gt;&gt;%USERPROFILE%\Documents\GitHub\eaglep3-reporting\EC\2017-11-10-refined-times.txt</v>
      </c>
      <c r="AI85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{"issue":{"subject":"","project_id":79,"tracker_id":40,"status_id":1,"priority_id":2,"assigned_to_id":338,"start_date":"2017-11-10","description":"","custom_fields":[{"id":1,"name":"Subdivision","value":"EC"},{"id":4,"name":"Milepost","value":"23.3249"},{"id":17,"name":"Train ID","value":"173-10"},{"id":16,"name":"Locomotive ID","value":"4042"},{"id":130,"name":"Impact","value":""},{"id":150,"name":"Time of Event (Mountain Time)","value":"13:20:09"},{"id":151,"name":"Denver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4"/>
        <v>start /low /b %USERPROFILE%\Documents\GitHub\eaglep3\Utilities\DownloadLogsFromS3.py --loco 4042 --day 2017-11-10</v>
      </c>
      <c r="AN85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20:20:09"},{"id":29,"name":"Sharepoint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6"/>
        <v>https://d0f6bd738d7f1b3e5a7ca70fe4ff75f0.us-east-1.aws.found.io/app/kibana#/discover/Steve-Slow-Train-Analysis-(2080s-and-2083s)?_g=(refreshInterval:(display:Off,pause:!f,section:0,value:0),time:(from:'2017-11-10T11:35:30-0700',mode:absolute,to:'2017-11-10T14:20:09-0700'))&amp;_a=(columns:!('Message%20ID',Summary),filters:!(),index:'emp_*',interval:auto,query:(query_string:(analyze_wildcard:!t,query:'%22rtdc.l.rtdc.4042%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778</v>
      </c>
      <c r="B86" s="7">
        <v>4041</v>
      </c>
      <c r="C86" s="21" t="s">
        <v>192</v>
      </c>
      <c r="D86" s="21" t="s">
        <v>496</v>
      </c>
      <c r="E86" s="13">
        <v>43049.566423611112</v>
      </c>
      <c r="F86" s="13">
        <v>43049.571076388886</v>
      </c>
      <c r="G86" s="7">
        <v>85</v>
      </c>
      <c r="H86" s="21" t="s">
        <v>483</v>
      </c>
      <c r="I86" s="13">
        <v>43049.596828703703</v>
      </c>
      <c r="J86" s="7">
        <v>1</v>
      </c>
      <c r="K86" s="89" t="str">
        <f t="shared" si="29"/>
        <v>4041/4042</v>
      </c>
      <c r="L86" s="185" t="str">
        <f>VLOOKUP(A86,'Trips&amp;Operators'!$C$1:$G$99911,5,FALSE)</f>
        <v>GONZALEZ ARMANDO</v>
      </c>
      <c r="M86" s="6">
        <f t="shared" si="30"/>
        <v>2.5752314817509614E-2</v>
      </c>
      <c r="N86" s="7">
        <f t="shared" si="47"/>
        <v>37.083333337213844</v>
      </c>
      <c r="O86" s="7"/>
      <c r="P86" s="7"/>
      <c r="Q86" s="22"/>
      <c r="R86" s="174"/>
      <c r="S86" s="221">
        <f t="shared" si="41"/>
        <v>1</v>
      </c>
      <c r="T86" s="174" t="str">
        <f t="shared" si="31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2"/>
        <v>https://d0f6bd738d7f1b3e5a7ca70fe4ff75f0.us-east-1.aws.found.io/app/kibana#/discover/Steve-Slow-Train-Analysis-(2080s-and-2083s)?_g=(refreshInterval:(display:Off,pause:!f,section:0,value:0),time:(from:'2017-11-10T12:35:39-0700',mode:absolute,to:'2017-11-10T15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6" s="204" t="str">
        <f>IF(AA86&lt;VLOOKUP(AG86,Variables!$AC$3:$AD$8,2,FALSE),"Y","N")</f>
        <v>N</v>
      </c>
      <c r="X86" s="204">
        <f t="shared" si="33"/>
        <v>1</v>
      </c>
      <c r="Y86" s="204">
        <f t="shared" si="34"/>
        <v>23.2913</v>
      </c>
      <c r="Z86" s="204">
        <f t="shared" si="35"/>
        <v>2.0899999999999998E-2</v>
      </c>
      <c r="AA86" s="204">
        <f t="shared" si="36"/>
        <v>23.270399999999999</v>
      </c>
      <c r="AB86" s="54" t="e">
        <f>VLOOKUP(A86,Enforcements!$C$7:$K$9,8,0)</f>
        <v>#N/A</v>
      </c>
      <c r="AC86" s="51" t="e">
        <f>VLOOKUP(A86,Enforcements!$C$7:$E$9,3,0)</f>
        <v>#N/A</v>
      </c>
      <c r="AD86" s="179">
        <f t="shared" si="37"/>
        <v>174</v>
      </c>
      <c r="AE86" s="77" t="str">
        <f t="shared" si="38"/>
        <v>aws s3 cp s3://rtdc.mdm.uploadarchive.raw/RTDC4041/ "%USERPROFILE%\AppData\Local\Temp\OnboardLogs"\RTDC4041\2017-11-10 --exclude "*" --recursive --include "*20171110*" &amp; "%USERPROFILE%\Documents\GitHub\mrs-test-scripts\Headless Mode &amp; Sideloading\WalkAndUnGZ.bat" "%USERPROFILE%\AppData\Local\Temp\OnboardLogs"\RTDC4041\2017-11-10 &amp; aws s3 cp s3://rtdc.mdm.uploadarchive.raw/RTDC4041/ "%USERPROFILE%\AppData\Local\Temp\OnboardLogs"\RTDC4041\2017-11-11 --exclude "*" --recursive --include "*20171111*" &amp; "%USERPROFILE%\Documents\GitHub\mrs-test-scripts\Headless Mode &amp; Sideloading\WalkAndUnGZ.bat" "%USERPROFILE%\AppData\Local\Temp\OnboardLogs"\RTDC4041\2017-11-11</v>
      </c>
      <c r="AF86" s="74" t="str">
        <f t="shared" si="39"/>
        <v>"C:\Program Files (x86)\AstroGrep\AstroGrep.exe" /e /r /s /spath="%USERPROFILE%\AppData\Local\Temp\OnboardLogs" /stypes="app*4041*20171110*" /stext=" 21:.+((SYSTEM_STATE.+slice.+state.+changed )|(ment ac)|(multiple cpu faults)|(system.+state.+changed )|(\[timeout)|(PRM\|1\|D)|(kpr)|(kdp)|(train st.+moving)|(\|lc)|(penalty))"</v>
      </c>
      <c r="AG86" s="182" t="str">
        <f t="shared" si="40"/>
        <v>EC</v>
      </c>
      <c r="AH86" s="78" t="str">
        <f t="shared" si="42"/>
        <v>"%USERPROFILE%\Documents\GitHub\eaglep3\Utilities\RefineRTDCRunTimes.py" --tripid 174-10 --locoid 4041 --swversion DE.1.0.9.0 --startMP 204:232913 --initTime 2017-11-10T13:35:39 --startdatetime 2017-11-10T13:42:21 --delay 85 --endMP 204:209 --enddatetime 2017-11-10T14:19:26 --enforcementcount 1 &gt;&gt;%USERPROFILE%\Documents\GitHub\eaglep3-reporting\EC\2017-11-10-refined-times.txt</v>
      </c>
      <c r="AI86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{"issue":{"subject":"","project_id":79,"tracker_id":40,"status_id":1,"priority_id":2,"assigned_to_id":338,"start_date":"2017-11-10","description":"","custom_fields":[{"id":1,"name":"Subdivision","value":"EC"},{"id":4,"name":"Milepost","value":"0.0209"},{"id":17,"name":"Train ID","value":"174-10"},{"id":16,"name":"Locomotive ID","value":"4041"},{"id":130,"name":"Impact","value":""},{"id":150,"name":"Time of Event (Mountain Time)","value":"14:19:26"},{"id":151,"name":"Denver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4"/>
        <v>start /low /b %USERPROFILE%\Documents\GitHub\eaglep3\Utilities\DownloadLogsFromS3.py --loco 4041 --day 2017-11-10</v>
      </c>
      <c r="AN86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21:19:26"},{"id":29,"name":"Sharepoint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6"/>
        <v>https://d0f6bd738d7f1b3e5a7ca70fe4ff75f0.us-east-1.aws.found.io/app/kibana#/discover/Steve-Slow-Train-Analysis-(2080s-and-2083s)?_g=(refreshInterval:(display:Off,pause:!f,section:0,value:0),time:(from:'2017-11-10T12:35:39-0700',mode:absolute,to:'2017-11-10T15:19:26-0700'))&amp;_a=(columns:!('Message%20ID',Summary),filters:!(),index:'emp_*',interval:auto,query:(query_string:(analyze_wildcard:!t,query:'%22rtdc.l.rtdc.4041%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771</v>
      </c>
      <c r="B87" s="7">
        <v>4060</v>
      </c>
      <c r="C87" s="21" t="s">
        <v>192</v>
      </c>
      <c r="D87" s="21" t="s">
        <v>448</v>
      </c>
      <c r="E87" s="13">
        <v>43049.537395833337</v>
      </c>
      <c r="F87" s="13">
        <v>43049.542013888888</v>
      </c>
      <c r="G87" s="7">
        <v>119</v>
      </c>
      <c r="H87" s="21" t="s">
        <v>952</v>
      </c>
      <c r="I87" s="13">
        <v>43049.566782407404</v>
      </c>
      <c r="J87" s="7">
        <v>1</v>
      </c>
      <c r="K87" s="89" t="str">
        <f t="shared" si="29"/>
        <v>4059/4060</v>
      </c>
      <c r="L87" s="185" t="str">
        <f>VLOOKUP(A87,'Trips&amp;Operators'!$C$1:$G$99911,5,FALSE)</f>
        <v>SAFIEF AEIMEN</v>
      </c>
      <c r="M87" s="6">
        <f t="shared" si="30"/>
        <v>2.4768518516793847E-2</v>
      </c>
      <c r="N87" s="7">
        <f t="shared" si="47"/>
        <v>35.66666666418314</v>
      </c>
      <c r="O87" s="7"/>
      <c r="P87" s="7"/>
      <c r="Q87" s="22"/>
      <c r="R87" s="174"/>
      <c r="S87" s="221">
        <f t="shared" si="41"/>
        <v>1</v>
      </c>
      <c r="T87" s="174" t="str">
        <f t="shared" si="31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2"/>
        <v>https://d0f6bd738d7f1b3e5a7ca70fe4ff75f0.us-east-1.aws.found.io/app/kibana#/discover/Steve-Slow-Train-Analysis-(2080s-and-2083s)?_g=(refreshInterval:(display:Off,pause:!f,section:0,value:0),time:(from:'2017-11-10T11:53:51-0700',mode:absolute,to:'2017-11-10T14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7" s="204" t="str">
        <f>IF(AA87&lt;VLOOKUP(AG87,Variables!$AC$3:$AD$8,2,FALSE),"Y","N")</f>
        <v>N</v>
      </c>
      <c r="X87" s="204">
        <f t="shared" si="33"/>
        <v>1</v>
      </c>
      <c r="Y87" s="204">
        <f t="shared" si="34"/>
        <v>5.1700000000000003E-2</v>
      </c>
      <c r="Z87" s="204">
        <f t="shared" si="35"/>
        <v>23.323</v>
      </c>
      <c r="AA87" s="204">
        <f t="shared" si="36"/>
        <v>23.2713</v>
      </c>
      <c r="AB87" s="54" t="e">
        <f>VLOOKUP(A87,Enforcements!$C$7:$K$9,8,0)</f>
        <v>#N/A</v>
      </c>
      <c r="AC87" s="51" t="e">
        <f>VLOOKUP(A87,Enforcements!$C$7:$E$9,3,0)</f>
        <v>#N/A</v>
      </c>
      <c r="AD87" s="179">
        <f t="shared" si="37"/>
        <v>175</v>
      </c>
      <c r="AE87" s="77" t="str">
        <f t="shared" si="38"/>
        <v>aws s3 cp s3://rtdc.mdm.uploadarchive.raw/RTDC4060/ "%USERPROFILE%\AppData\Local\Temp\OnboardLogs"\RTDC4060\2017-11-10 --exclude "*" --recursive --include "*20171110*" &amp; "%USERPROFILE%\Documents\GitHub\mrs-test-scripts\Headless Mode &amp; Sideloading\WalkAndUnGZ.bat" "%USERPROFILE%\AppData\Local\Temp\OnboardLogs"\RTDC4060\2017-11-10 &amp; aws s3 cp s3://rtdc.mdm.uploadarchive.raw/RTDC4060/ "%USERPROFILE%\AppData\Local\Temp\OnboardLogs"\RTDC4060\2017-11-11 --exclude "*" --recursive --include "*20171111*" &amp; "%USERPROFILE%\Documents\GitHub\mrs-test-scripts\Headless Mode &amp; Sideloading\WalkAndUnGZ.bat" "%USERPROFILE%\AppData\Local\Temp\OnboardLogs"\RTDC4060\2017-11-11</v>
      </c>
      <c r="AF87" s="74" t="str">
        <f t="shared" si="39"/>
        <v>"C:\Program Files (x86)\AstroGrep\AstroGrep.exe" /e /r /s /spath="%USERPROFILE%\AppData\Local\Temp\OnboardLogs" /stypes="app*4060*20171110*" /stext=" 20:.+((SYSTEM_STATE.+slice.+state.+changed )|(ment ac)|(multiple cpu faults)|(system.+state.+changed )|(\[timeout)|(PRM\|1\|D)|(kpr)|(kdp)|(train st.+moving)|(\|lc)|(penalty))"</v>
      </c>
      <c r="AG87" s="182" t="str">
        <f t="shared" si="40"/>
        <v>EC</v>
      </c>
      <c r="AH87" s="78" t="str">
        <f t="shared" si="42"/>
        <v>"%USERPROFILE%\Documents\GitHub\eaglep3\Utilities\RefineRTDCRunTimes.py" --tripid 175-10 --locoid 4060 --swversion DE.1.0.9.0 --startMP 204:517 --initTime 2017-11-10T12:53:51 --startdatetime 2017-11-10T13:00:30 --delay 119 --endMP 204:233230 --enddatetime 2017-11-10T13:36:10 --enforcementcount 1 &gt;&gt;%USERPROFILE%\Documents\GitHub\eaglep3-reporting\EC\2017-11-10-refined-times.txt</v>
      </c>
      <c r="AI87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{"issue":{"subject":"","project_id":79,"tracker_id":40,"status_id":1,"priority_id":2,"assigned_to_id":338,"start_date":"2017-11-10","description":"","custom_fields":[{"id":1,"name":"Subdivision","value":"EC"},{"id":4,"name":"Milepost","value":"23.323"},{"id":17,"name":"Train ID","value":"175-10"},{"id":16,"name":"Locomotive ID","value":"4060"},{"id":130,"name":"Impact","value":""},{"id":150,"name":"Time of Event (Mountain Time)","value":"13:36:10"},{"id":151,"name":"Denver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4"/>
        <v>start /low /b %USERPROFILE%\Documents\GitHub\eaglep3\Utilities\DownloadLogsFromS3.py --loco 4060 --day 2017-11-10</v>
      </c>
      <c r="AN87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20:36:10"},{"id":29,"name":"Sharepoint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6"/>
        <v>https://d0f6bd738d7f1b3e5a7ca70fe4ff75f0.us-east-1.aws.found.io/app/kibana#/discover/Steve-Slow-Train-Analysis-(2080s-and-2083s)?_g=(refreshInterval:(display:Off,pause:!f,section:0,value:0),time:(from:'2017-11-10T11:53:51-0700',mode:absolute,to:'2017-11-10T14:36:10-0700'))&amp;_a=(columns:!('Message%20ID',Summary),filters:!(),index:'emp_*',interval:auto,query:(query_string:(analyze_wildcard:!t,query:'%22rtdc.l.rtdc.4060%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780</v>
      </c>
      <c r="B88" s="7">
        <v>4059</v>
      </c>
      <c r="C88" s="21" t="s">
        <v>192</v>
      </c>
      <c r="D88" s="21" t="s">
        <v>496</v>
      </c>
      <c r="E88" s="13">
        <v>43049.569224537037</v>
      </c>
      <c r="F88" s="13">
        <v>43049.581458333334</v>
      </c>
      <c r="G88" s="7">
        <v>71</v>
      </c>
      <c r="H88" s="21" t="s">
        <v>615</v>
      </c>
      <c r="I88" s="13">
        <v>43049.607002314813</v>
      </c>
      <c r="J88" s="7">
        <v>1</v>
      </c>
      <c r="K88" s="89" t="str">
        <f t="shared" si="29"/>
        <v>4059/4060</v>
      </c>
      <c r="L88" s="185" t="str">
        <f>VLOOKUP(A88,'Trips&amp;Operators'!$C$1:$G$99911,5,FALSE)</f>
        <v>SAFIEF AEIMEN</v>
      </c>
      <c r="M88" s="6">
        <f t="shared" si="30"/>
        <v>2.5543981479131617E-2</v>
      </c>
      <c r="N88" s="7">
        <f t="shared" si="47"/>
        <v>36.783333329949528</v>
      </c>
      <c r="O88" s="7"/>
      <c r="P88" s="7"/>
      <c r="Q88" s="22"/>
      <c r="R88" s="174"/>
      <c r="S88" s="221">
        <f t="shared" si="41"/>
        <v>1</v>
      </c>
      <c r="T88" s="174" t="str">
        <f t="shared" si="31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2"/>
        <v>https://d0f6bd738d7f1b3e5a7ca70fe4ff75f0.us-east-1.aws.found.io/app/kibana#/discover/Steve-Slow-Train-Analysis-(2080s-and-2083s)?_g=(refreshInterval:(display:Off,pause:!f,section:0,value:0),time:(from:'2017-11-10T12:39:41-0700',mode:absolute,to:'2017-11-10T15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8" s="204" t="str">
        <f>IF(AA88&lt;VLOOKUP(AG88,Variables!$AC$3:$AD$8,2,FALSE),"Y","N")</f>
        <v>N</v>
      </c>
      <c r="X88" s="204">
        <f t="shared" si="33"/>
        <v>1</v>
      </c>
      <c r="Y88" s="204">
        <f t="shared" si="34"/>
        <v>23.2913</v>
      </c>
      <c r="Z88" s="204">
        <f t="shared" si="35"/>
        <v>2.3800000000000002E-2</v>
      </c>
      <c r="AA88" s="204">
        <f t="shared" si="36"/>
        <v>23.267499999999998</v>
      </c>
      <c r="AB88" s="54" t="e">
        <f>VLOOKUP(A88,Enforcements!$C$7:$K$9,8,0)</f>
        <v>#N/A</v>
      </c>
      <c r="AC88" s="51" t="e">
        <f>VLOOKUP(A88,Enforcements!$C$7:$E$9,3,0)</f>
        <v>#N/A</v>
      </c>
      <c r="AD88" s="179">
        <f t="shared" si="37"/>
        <v>176</v>
      </c>
      <c r="AE88" s="77" t="str">
        <f t="shared" si="38"/>
        <v>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 &amp; 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</v>
      </c>
      <c r="AF88" s="74" t="str">
        <f t="shared" si="39"/>
        <v>"C:\Program Files (x86)\AstroGrep\AstroGrep.exe" /e /r /s /spath="%USERPROFILE%\AppData\Local\Temp\OnboardLogs" /stypes="app*4059*20171110*" /stext=" 21:.+((SYSTEM_STATE.+slice.+state.+changed )|(ment ac)|(multiple cpu faults)|(system.+state.+changed )|(\[timeout)|(PRM\|1\|D)|(kpr)|(kdp)|(train st.+moving)|(\|lc)|(penalty))"</v>
      </c>
      <c r="AG88" s="182" t="str">
        <f t="shared" si="40"/>
        <v>EC</v>
      </c>
      <c r="AH88" s="78" t="str">
        <f t="shared" si="42"/>
        <v>"%USERPROFILE%\Documents\GitHub\eaglep3\Utilities\RefineRTDCRunTimes.py" --tripid 176-10 --locoid 4059 --swversion DE.1.0.9.0 --startMP 204:232913 --initTime 2017-11-10T13:39:41 --startdatetime 2017-11-10T13:57:18 --delay 71 --endMP 204:238 --enddatetime 2017-11-10T14:34:05 --enforcementcount 1 &gt;&gt;%USERPROFILE%\Documents\GitHub\eaglep3-reporting\EC\2017-11-10-refined-times.txt</v>
      </c>
      <c r="AI88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{"issue":{"subject":"","project_id":79,"tracker_id":40,"status_id":1,"priority_id":2,"assigned_to_id":338,"start_date":"2017-11-10","description":"","custom_fields":[{"id":1,"name":"Subdivision","value":"EC"},{"id":4,"name":"Milepost","value":"0.0238"},{"id":17,"name":"Train ID","value":"176-10"},{"id":16,"name":"Locomotive ID","value":"4059"},{"id":130,"name":"Impact","value":""},{"id":150,"name":"Time of Event (Mountain Time)","value":"14:34:05"},{"id":151,"name":"Denver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4"/>
        <v>start /low /b %USERPROFILE%\Documents\GitHub\eaglep3\Utilities\DownloadLogsFromS3.py --loco 4059 --day 2017-11-10</v>
      </c>
      <c r="AN88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21:34:05"},{"id":29,"name":"Sharepoint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6"/>
        <v>https://d0f6bd738d7f1b3e5a7ca70fe4ff75f0.us-east-1.aws.found.io/app/kibana#/discover/Steve-Slow-Train-Analysis-(2080s-and-2083s)?_g=(refreshInterval:(display:Off,pause:!f,section:0,value:0),time:(from:'2017-11-10T12:39:41-0700',mode:absolute,to:'2017-11-10T15:34:05-0700'))&amp;_a=(columns:!('Message%20ID',Summary),filters:!(),index:'emp_*',interval:auto,query:(query_string:(analyze_wildcard:!t,query:'%22rtdc.l.rtdc.4059%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775</v>
      </c>
      <c r="B89" s="7">
        <v>4016</v>
      </c>
      <c r="C89" s="21" t="s">
        <v>192</v>
      </c>
      <c r="D89" s="21" t="s">
        <v>556</v>
      </c>
      <c r="E89" s="13">
        <v>43049.548668981479</v>
      </c>
      <c r="F89" s="13">
        <v>43049.552303240744</v>
      </c>
      <c r="G89" s="7">
        <v>69</v>
      </c>
      <c r="H89" s="21" t="s">
        <v>953</v>
      </c>
      <c r="I89" s="13">
        <v>43049.576192129629</v>
      </c>
      <c r="J89" s="7">
        <v>1</v>
      </c>
      <c r="K89" s="89" t="str">
        <f t="shared" si="29"/>
        <v>4015/4016</v>
      </c>
      <c r="L89" s="185" t="str">
        <f>VLOOKUP(A89,'Trips&amp;Operators'!$C$1:$G$99911,5,FALSE)</f>
        <v>BRUDER RICHARD</v>
      </c>
      <c r="M89" s="6">
        <f t="shared" si="30"/>
        <v>2.3888888885267079E-2</v>
      </c>
      <c r="N89" s="7">
        <f t="shared" si="47"/>
        <v>34.399999994784594</v>
      </c>
      <c r="O89" s="7"/>
      <c r="P89" s="7"/>
      <c r="Q89" s="22"/>
      <c r="R89" s="174"/>
      <c r="S89" s="221">
        <f t="shared" si="41"/>
        <v>1</v>
      </c>
      <c r="T89" s="174" t="str">
        <f t="shared" si="31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2"/>
        <v>https://d0f6bd738d7f1b3e5a7ca70fe4ff75f0.us-east-1.aws.found.io/app/kibana#/discover/Steve-Slow-Train-Analysis-(2080s-and-2083s)?_g=(refreshInterval:(display:Off,pause:!f,section:0,value:0),time:(from:'2017-11-10T12:10:05-0700',mode:absolute,to:'2017-11-10T14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9" s="204" t="str">
        <f>IF(AA89&lt;VLOOKUP(AG89,Variables!$AC$3:$AD$8,2,FALSE),"Y","N")</f>
        <v>N</v>
      </c>
      <c r="X89" s="204">
        <f t="shared" si="33"/>
        <v>1</v>
      </c>
      <c r="Y89" s="204">
        <f t="shared" si="34"/>
        <v>5.2600000000000001E-2</v>
      </c>
      <c r="Z89" s="204">
        <f t="shared" si="35"/>
        <v>23.320699999999999</v>
      </c>
      <c r="AA89" s="204">
        <f t="shared" si="36"/>
        <v>23.268099999999997</v>
      </c>
      <c r="AB89" s="54" t="e">
        <f>VLOOKUP(A89,Enforcements!$C$7:$K$9,8,0)</f>
        <v>#N/A</v>
      </c>
      <c r="AC89" s="51" t="e">
        <f>VLOOKUP(A89,Enforcements!$C$7:$E$9,3,0)</f>
        <v>#N/A</v>
      </c>
      <c r="AD89" s="179">
        <f t="shared" si="37"/>
        <v>177</v>
      </c>
      <c r="AE89" s="77" t="str">
        <f t="shared" si="38"/>
        <v>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 &amp; aws s3 cp s3://rtdc.mdm.uploadarchive.raw/RTDC4016/ "%USERPROFILE%\AppData\Local\Temp\OnboardLogs"\RTDC4016\2017-11-11 --exclude "*" --recursive --include "*20171111*" &amp; "%USERPROFILE%\Documents\GitHub\mrs-test-scripts\Headless Mode &amp; Sideloading\WalkAndUnGZ.bat" "%USERPROFILE%\AppData\Local\Temp\OnboardLogs"\RTDC4016\2017-11-11</v>
      </c>
      <c r="AF89" s="74" t="str">
        <f t="shared" si="39"/>
        <v>"C:\Program Files (x86)\AstroGrep\AstroGrep.exe" /e /r /s /spath="%USERPROFILE%\AppData\Local\Temp\OnboardLogs" /stypes="app*4016*20171110*" /stext=" 20:.+((SYSTEM_STATE.+slice.+state.+changed )|(ment ac)|(multiple cpu faults)|(system.+state.+changed )|(\[timeout)|(PRM\|1\|D)|(kpr)|(kdp)|(train st.+moving)|(\|lc)|(penalty))"</v>
      </c>
      <c r="AG89" s="182" t="str">
        <f t="shared" si="40"/>
        <v>EC</v>
      </c>
      <c r="AH89" s="78" t="str">
        <f t="shared" si="42"/>
        <v>"%USERPROFILE%\Documents\GitHub\eaglep3\Utilities\RefineRTDCRunTimes.py" --tripid 177-10 --locoid 4016 --swversion DE.1.0.9.0 --startMP 204:526 --initTime 2017-11-10T13:10:05 --startdatetime 2017-11-10T13:15:19 --delay 69 --endMP 204:233207 --enddatetime 2017-11-10T13:49:43 --enforcementcount 1 &gt;&gt;%USERPROFILE%\Documents\GitHub\eaglep3-reporting\EC\2017-11-10-refined-times.txt</v>
      </c>
      <c r="AI89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{"issue":{"subject":"","project_id":79,"tracker_id":40,"status_id":1,"priority_id":2,"assigned_to_id":338,"start_date":"2017-11-10","description":"","custom_fields":[{"id":1,"name":"Subdivision","value":"EC"},{"id":4,"name":"Milepost","value":"23.3207"},{"id":17,"name":"Train ID","value":"177-10"},{"id":16,"name":"Locomotive ID","value":"4016"},{"id":130,"name":"Impact","value":""},{"id":150,"name":"Time of Event (Mountain Time)","value":"13:49:43"},{"id":151,"name":"Denver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4"/>
        <v>start /low /b %USERPROFILE%\Documents\GitHub\eaglep3\Utilities\DownloadLogsFromS3.py --loco 4016 --day 2017-11-10</v>
      </c>
      <c r="AN89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20:49:43"},{"id":29,"name":"Sharepoint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6"/>
        <v>https://d0f6bd738d7f1b3e5a7ca70fe4ff75f0.us-east-1.aws.found.io/app/kibana#/discover/Steve-Slow-Train-Analysis-(2080s-and-2083s)?_g=(refreshInterval:(display:Off,pause:!f,section:0,value:0),time:(from:'2017-11-10T12:10:05-0700',mode:absolute,to:'2017-11-10T14:49:43-0700'))&amp;_a=(columns:!('Message%20ID',Summary),filters:!(),index:'emp_*',interval:auto,query:(query_string:(analyze_wildcard:!t,query:'%22rtdc.l.rtdc.4016%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783</v>
      </c>
      <c r="B90" s="7">
        <v>4015</v>
      </c>
      <c r="C90" s="21" t="s">
        <v>192</v>
      </c>
      <c r="D90" s="21" t="s">
        <v>491</v>
      </c>
      <c r="E90" s="13">
        <v>43049.588310185187</v>
      </c>
      <c r="F90" s="13">
        <v>43049.591828703706</v>
      </c>
      <c r="G90" s="7">
        <v>92</v>
      </c>
      <c r="H90" s="21" t="s">
        <v>954</v>
      </c>
      <c r="I90" s="13">
        <v>43049.617303240739</v>
      </c>
      <c r="J90" s="7">
        <v>1</v>
      </c>
      <c r="K90" s="89" t="str">
        <f t="shared" si="29"/>
        <v>4015/4016</v>
      </c>
      <c r="L90" s="185" t="str">
        <f>VLOOKUP(A90,'Trips&amp;Operators'!$C$1:$G$99911,5,FALSE)</f>
        <v>BRUDER RICHARD</v>
      </c>
      <c r="M90" s="6">
        <f t="shared" si="30"/>
        <v>2.5474537033005618E-2</v>
      </c>
      <c r="N90" s="7">
        <f t="shared" si="47"/>
        <v>36.683333327528089</v>
      </c>
      <c r="O90" s="7"/>
      <c r="P90" s="7"/>
      <c r="Q90" s="22"/>
      <c r="R90" s="174"/>
      <c r="S90" s="221">
        <f t="shared" si="41"/>
        <v>1</v>
      </c>
      <c r="T90" s="174" t="str">
        <f t="shared" si="31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2"/>
        <v>https://d0f6bd738d7f1b3e5a7ca70fe4ff75f0.us-east-1.aws.found.io/app/kibana#/discover/Steve-Slow-Train-Analysis-(2080s-and-2083s)?_g=(refreshInterval:(display:Off,pause:!f,section:0,value:0),time:(from:'2017-11-10T13:07:10-0700',mode:absolute,to:'2017-11-10T15:48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0" s="204" t="str">
        <f>IF(AA90&lt;VLOOKUP(AG90,Variables!$AC$3:$AD$8,2,FALSE),"Y","N")</f>
        <v>N</v>
      </c>
      <c r="X90" s="204">
        <f t="shared" si="33"/>
        <v>1</v>
      </c>
      <c r="Y90" s="204">
        <f t="shared" si="34"/>
        <v>23.286899999999999</v>
      </c>
      <c r="Z90" s="204">
        <f t="shared" si="35"/>
        <v>2.3599999999999999E-2</v>
      </c>
      <c r="AA90" s="204">
        <f t="shared" si="36"/>
        <v>23.263300000000001</v>
      </c>
      <c r="AB90" s="54" t="e">
        <f>VLOOKUP(A90,Enforcements!$C$7:$K$9,8,0)</f>
        <v>#N/A</v>
      </c>
      <c r="AC90" s="51" t="e">
        <f>VLOOKUP(A90,Enforcements!$C$7:$E$9,3,0)</f>
        <v>#N/A</v>
      </c>
      <c r="AD90" s="179">
        <f t="shared" si="37"/>
        <v>178</v>
      </c>
      <c r="AE90" s="77" t="str">
        <f t="shared" si="38"/>
        <v>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 &amp; 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</v>
      </c>
      <c r="AF90" s="74" t="str">
        <f t="shared" si="39"/>
        <v>"C:\Program Files (x86)\AstroGrep\AstroGrep.exe" /e /r /s /spath="%USERPROFILE%\AppData\Local\Temp\OnboardLogs" /stypes="app*4015*20171110*" /stext=" 21:.+((SYSTEM_STATE.+slice.+state.+changed )|(ment ac)|(multiple cpu faults)|(system.+state.+changed )|(\[timeout)|(PRM\|1\|D)|(kpr)|(kdp)|(train st.+moving)|(\|lc)|(penalty))"</v>
      </c>
      <c r="AG90" s="182" t="str">
        <f t="shared" si="40"/>
        <v>EC</v>
      </c>
      <c r="AH90" s="78" t="str">
        <f t="shared" si="42"/>
        <v>"%USERPROFILE%\Documents\GitHub\eaglep3\Utilities\RefineRTDCRunTimes.py" --tripid 178-10 --locoid 4015 --swversion DE.1.0.9.0 --startMP 204:232869 --initTime 2017-11-10T14:07:10 --startdatetime 2017-11-10T14:12:14 --delay 92 --endMP 204:236 --enddatetime 2017-11-10T14:48:55 --enforcementcount 1 &gt;&gt;%USERPROFILE%\Documents\GitHub\eaglep3-reporting\EC\2017-11-10-refined-times.txt</v>
      </c>
      <c r="AI90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{"issue":{"subject":"","project_id":79,"tracker_id":40,"status_id":1,"priority_id":2,"assigned_to_id":338,"start_date":"2017-11-10","description":"","custom_fields":[{"id":1,"name":"Subdivision","value":"EC"},{"id":4,"name":"Milepost","value":"0.0236"},{"id":17,"name":"Train ID","value":"178-10"},{"id":16,"name":"Locomotive ID","value":"4015"},{"id":130,"name":"Impact","value":""},{"id":150,"name":"Time of Event (Mountain Time)","value":"14:48:55"},{"id":151,"name":"Denver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4"/>
        <v>start /low /b %USERPROFILE%\Documents\GitHub\eaglep3\Utilities\DownloadLogsFromS3.py --loco 4015 --day 2017-11-10</v>
      </c>
      <c r="AN90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21:48:55"},{"id":29,"name":"Sharepoint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6"/>
        <v>https://d0f6bd738d7f1b3e5a7ca70fe4ff75f0.us-east-1.aws.found.io/app/kibana#/discover/Steve-Slow-Train-Analysis-(2080s-and-2083s)?_g=(refreshInterval:(display:Off,pause:!f,section:0,value:0),time:(from:'2017-11-10T13:07:10-0700',mode:absolute,to:'2017-11-10T15:48:55-0700'))&amp;_a=(columns:!('Message%20ID',Summary),filters:!(),index:'emp_*',interval:auto,query:(query_string:(analyze_wildcard:!t,query:'%22rtdc.l.rtdc.4015%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776</v>
      </c>
      <c r="B91" s="7">
        <v>4028</v>
      </c>
      <c r="C91" s="21" t="s">
        <v>192</v>
      </c>
      <c r="D91" s="21" t="s">
        <v>955</v>
      </c>
      <c r="E91" s="13">
        <v>43049.557893518519</v>
      </c>
      <c r="F91" s="13">
        <v>43049.562835648147</v>
      </c>
      <c r="G91" s="7">
        <v>56</v>
      </c>
      <c r="H91" s="21" t="s">
        <v>956</v>
      </c>
      <c r="I91" s="13">
        <v>43049.588379629633</v>
      </c>
      <c r="J91" s="7">
        <v>1</v>
      </c>
      <c r="K91" s="89" t="str">
        <f t="shared" si="29"/>
        <v>4027/4028</v>
      </c>
      <c r="L91" s="185" t="str">
        <f>VLOOKUP(A91,'Trips&amp;Operators'!$C$1:$G$99911,5,FALSE)</f>
        <v>LEVERE CRAIG</v>
      </c>
      <c r="M91" s="6">
        <f t="shared" si="30"/>
        <v>2.5543981486407574E-2</v>
      </c>
      <c r="N91" s="7">
        <f t="shared" si="47"/>
        <v>36.783333340426907</v>
      </c>
      <c r="O91" s="7"/>
      <c r="P91" s="7"/>
      <c r="Q91" s="22"/>
      <c r="R91" s="174"/>
      <c r="S91" s="221">
        <f t="shared" si="41"/>
        <v>1</v>
      </c>
      <c r="T91" s="174" t="str">
        <f t="shared" si="31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2"/>
        <v>https://d0f6bd738d7f1b3e5a7ca70fe4ff75f0.us-east-1.aws.found.io/app/kibana#/discover/Steve-Slow-Train-Analysis-(2080s-and-2083s)?_g=(refreshInterval:(display:Off,pause:!f,section:0,value:0),time:(from:'2017-11-10T12:23:22-0700',mode:absolute,to:'2017-11-10T15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1" s="204" t="str">
        <f>IF(AA91&lt;VLOOKUP(AG91,Variables!$AC$3:$AD$8,2,FALSE),"Y","N")</f>
        <v>N</v>
      </c>
      <c r="X91" s="204">
        <f t="shared" si="33"/>
        <v>1</v>
      </c>
      <c r="Y91" s="204">
        <f t="shared" si="34"/>
        <v>5.5300000000000002E-2</v>
      </c>
      <c r="Z91" s="204">
        <f t="shared" si="35"/>
        <v>23.32</v>
      </c>
      <c r="AA91" s="204">
        <f t="shared" si="36"/>
        <v>23.264700000000001</v>
      </c>
      <c r="AB91" s="54" t="e">
        <f>VLOOKUP(A91,Enforcements!$C$7:$K$9,8,0)</f>
        <v>#N/A</v>
      </c>
      <c r="AC91" s="51" t="e">
        <f>VLOOKUP(A91,Enforcements!$C$7:$E$9,3,0)</f>
        <v>#N/A</v>
      </c>
      <c r="AD91" s="179">
        <f t="shared" si="37"/>
        <v>179</v>
      </c>
      <c r="AE91" s="77" t="str">
        <f t="shared" si="38"/>
        <v>aws s3 cp s3://rtdc.mdm.uploadarchive.raw/RTDC4028/ "%USERPROFILE%\AppData\Local\Temp\OnboardLogs"\RTDC4028\2017-11-10 --exclude "*" --recursive --include "*20171110*" &amp; "%USERPROFILE%\Documents\GitHub\mrs-test-scripts\Headless Mode &amp; Sideloading\WalkAndUnGZ.bat" "%USERPROFILE%\AppData\Local\Temp\OnboardLogs"\RTDC4028\2017-11-10 &amp; aws s3 cp s3://rtdc.mdm.uploadarchive.raw/RTDC4028/ "%USERPROFILE%\AppData\Local\Temp\OnboardLogs"\RTDC4028\2017-11-11 --exclude "*" --recursive --include "*20171111*" &amp; "%USERPROFILE%\Documents\GitHub\mrs-test-scripts\Headless Mode &amp; Sideloading\WalkAndUnGZ.bat" "%USERPROFILE%\AppData\Local\Temp\OnboardLogs"\RTDC4028\2017-11-11</v>
      </c>
      <c r="AF91" s="74" t="str">
        <f t="shared" si="39"/>
        <v>"C:\Program Files (x86)\AstroGrep\AstroGrep.exe" /e /r /s /spath="%USERPROFILE%\AppData\Local\Temp\OnboardLogs" /stypes="app*4028*20171110*" /stext=" 21:.+((SYSTEM_STATE.+slice.+state.+changed )|(ment ac)|(multiple cpu faults)|(system.+state.+changed )|(\[timeout)|(PRM\|1\|D)|(kpr)|(kdp)|(train st.+moving)|(\|lc)|(penalty))"</v>
      </c>
      <c r="AG91" s="182" t="str">
        <f t="shared" si="40"/>
        <v>EC</v>
      </c>
      <c r="AH91" s="78" t="str">
        <f t="shared" si="42"/>
        <v>"%USERPROFILE%\Documents\GitHub\eaglep3\Utilities\RefineRTDCRunTimes.py" --tripid 179-10 --locoid 4028 --swversion DE.1.0.9.0 --startMP 204:553 --initTime 2017-11-10T13:23:22 --startdatetime 2017-11-10T13:30:29 --delay 56 --endMP 204:233200 --enddatetime 2017-11-10T14:07:16 --enforcementcount 1 &gt;&gt;%USERPROFILE%\Documents\GitHub\eaglep3-reporting\EC\2017-11-10-refined-times.txt</v>
      </c>
      <c r="AI91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{"issue":{"subject":"","project_id":79,"tracker_id":40,"status_id":1,"priority_id":2,"assigned_to_id":338,"start_date":"2017-11-10","description":"","custom_fields":[{"id":1,"name":"Subdivision","value":"EC"},{"id":4,"name":"Milepost","value":"23.32"},{"id":17,"name":"Train ID","value":"179-10"},{"id":16,"name":"Locomotive ID","value":"4028"},{"id":130,"name":"Impact","value":""},{"id":150,"name":"Time of Event (Mountain Time)","value":"14:07:16"},{"id":151,"name":"Denver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4"/>
        <v>start /low /b %USERPROFILE%\Documents\GitHub\eaglep3\Utilities\DownloadLogsFromS3.py --loco 4028 --day 2017-11-10</v>
      </c>
      <c r="AN91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21:07:16"},{"id":29,"name":"Sharepoint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6"/>
        <v>https://d0f6bd738d7f1b3e5a7ca70fe4ff75f0.us-east-1.aws.found.io/app/kibana#/discover/Steve-Slow-Train-Analysis-(2080s-and-2083s)?_g=(refreshInterval:(display:Off,pause:!f,section:0,value:0),time:(from:'2017-11-10T12:23:22-0700',mode:absolute,to:'2017-11-10T15:07:16-0700'))&amp;_a=(columns:!('Message%20ID',Summary),filters:!(),index:'emp_*',interval:auto,query:(query_string:(analyze_wildcard:!t,query:'%22rtdc.l.rtdc.4028%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785</v>
      </c>
      <c r="B92" s="7">
        <v>4027</v>
      </c>
      <c r="C92" s="21" t="s">
        <v>192</v>
      </c>
      <c r="D92" s="21" t="s">
        <v>957</v>
      </c>
      <c r="E92" s="13">
        <v>43049.596759259257</v>
      </c>
      <c r="F92" s="13">
        <v>43049.602268518516</v>
      </c>
      <c r="G92" s="7">
        <v>64</v>
      </c>
      <c r="H92" s="21" t="s">
        <v>476</v>
      </c>
      <c r="I92" s="13">
        <v>43049.629317129627</v>
      </c>
      <c r="J92" s="7">
        <v>1</v>
      </c>
      <c r="K92" s="89" t="str">
        <f t="shared" si="29"/>
        <v>4027/4028</v>
      </c>
      <c r="L92" s="185" t="str">
        <f>VLOOKUP(A92,'Trips&amp;Operators'!$C$1:$G$99911,5,FALSE)</f>
        <v>LEVERE CRAIG</v>
      </c>
      <c r="M92" s="6">
        <f t="shared" si="30"/>
        <v>2.7048611111240461E-2</v>
      </c>
      <c r="N92" s="7">
        <f t="shared" si="47"/>
        <v>38.950000000186265</v>
      </c>
      <c r="O92" s="7"/>
      <c r="P92" s="7"/>
      <c r="Q92" s="22"/>
      <c r="R92" s="174"/>
      <c r="S92" s="221">
        <f t="shared" si="41"/>
        <v>1</v>
      </c>
      <c r="T92" s="174" t="str">
        <f t="shared" si="31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2"/>
        <v>https://d0f6bd738d7f1b3e5a7ca70fe4ff75f0.us-east-1.aws.found.io/app/kibana#/discover/Steve-Slow-Train-Analysis-(2080s-and-2083s)?_g=(refreshInterval:(display:Off,pause:!f,section:0,value:0),time:(from:'2017-11-10T13:19:20-0700',mode:absolute,to:'2017-11-10T16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2" s="204" t="str">
        <f>IF(AA92&lt;VLOOKUP(AG92,Variables!$AC$3:$AD$8,2,FALSE),"Y","N")</f>
        <v>N</v>
      </c>
      <c r="X92" s="204">
        <f t="shared" si="33"/>
        <v>1</v>
      </c>
      <c r="Y92" s="204">
        <f t="shared" si="34"/>
        <v>23.288900000000002</v>
      </c>
      <c r="Z92" s="204">
        <f t="shared" si="35"/>
        <v>2.29E-2</v>
      </c>
      <c r="AA92" s="204">
        <f t="shared" si="36"/>
        <v>23.266000000000002</v>
      </c>
      <c r="AB92" s="54" t="e">
        <f>VLOOKUP(A92,Enforcements!$C$7:$K$9,8,0)</f>
        <v>#N/A</v>
      </c>
      <c r="AC92" s="51" t="e">
        <f>VLOOKUP(A92,Enforcements!$C$7:$E$9,3,0)</f>
        <v>#N/A</v>
      </c>
      <c r="AD92" s="179">
        <f t="shared" si="37"/>
        <v>180</v>
      </c>
      <c r="AE92" s="77" t="str">
        <f t="shared" si="38"/>
        <v>aws s3 cp s3://rtdc.mdm.uploadarchive.raw/RTDC4027/ "%USERPROFILE%\AppData\Local\Temp\OnboardLogs"\RTDC4027\2017-11-10 --exclude "*" --recursive --include "*20171110*" &amp; "%USERPROFILE%\Documents\GitHub\mrs-test-scripts\Headless Mode &amp; Sideloading\WalkAndUnGZ.bat" "%USERPROFILE%\AppData\Local\Temp\OnboardLogs"\RTDC4027\2017-11-10 &amp; aws s3 cp s3://rtdc.mdm.uploadarchive.raw/RTDC4027/ "%USERPROFILE%\AppData\Local\Temp\OnboardLogs"\RTDC4027\2017-11-11 --exclude "*" --recursive --include "*20171111*" &amp; "%USERPROFILE%\Documents\GitHub\mrs-test-scripts\Headless Mode &amp; Sideloading\WalkAndUnGZ.bat" "%USERPROFILE%\AppData\Local\Temp\OnboardLogs"\RTDC4027\2017-11-11</v>
      </c>
      <c r="AF92" s="74" t="str">
        <f t="shared" si="39"/>
        <v>"C:\Program Files (x86)\AstroGrep\AstroGrep.exe" /e /r /s /spath="%USERPROFILE%\AppData\Local\Temp\OnboardLogs" /stypes="app*4027*20171110*" /stext=" 22:.+((SYSTEM_STATE.+slice.+state.+changed )|(ment ac)|(multiple cpu faults)|(system.+state.+changed )|(\[timeout)|(PRM\|1\|D)|(kpr)|(kdp)|(train st.+moving)|(\|lc)|(penalty))"</v>
      </c>
      <c r="AG92" s="182" t="str">
        <f t="shared" si="40"/>
        <v>EC</v>
      </c>
      <c r="AH92" s="78" t="str">
        <f t="shared" si="42"/>
        <v>"%USERPROFILE%\Documents\GitHub\eaglep3\Utilities\RefineRTDCRunTimes.py" --tripid 180-10 --locoid 4027 --swversion DE.1.0.9.0 --startMP 204:232889 --initTime 2017-11-10T14:19:20 --startdatetime 2017-11-10T14:27:16 --delay 64 --endMP 204:229 --enddatetime 2017-11-10T15:06:13 --enforcementcount 1 &gt;&gt;%USERPROFILE%\Documents\GitHub\eaglep3-reporting\EC\2017-11-10-refined-times.txt</v>
      </c>
      <c r="AI92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{"issue":{"subject":"","project_id":79,"tracker_id":40,"status_id":1,"priority_id":2,"assigned_to_id":338,"start_date":"2017-11-10","description":"","custom_fields":[{"id":1,"name":"Subdivision","value":"EC"},{"id":4,"name":"Milepost","value":"0.0229"},{"id":17,"name":"Train ID","value":"180-10"},{"id":16,"name":"Locomotive ID","value":"4027"},{"id":130,"name":"Impact","value":""},{"id":150,"name":"Time of Event (Mountain Time)","value":"15:06:13"},{"id":151,"name":"Denver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4"/>
        <v>start /low /b %USERPROFILE%\Documents\GitHub\eaglep3\Utilities\DownloadLogsFromS3.py --loco 4027 --day 2017-11-10</v>
      </c>
      <c r="AN92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22:06:13"},{"id":29,"name":"Sharepoint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6"/>
        <v>https://d0f6bd738d7f1b3e5a7ca70fe4ff75f0.us-east-1.aws.found.io/app/kibana#/discover/Steve-Slow-Train-Analysis-(2080s-and-2083s)?_g=(refreshInterval:(display:Off,pause:!f,section:0,value:0),time:(from:'2017-11-10T13:19:20-0700',mode:absolute,to:'2017-11-10T16:06:13-0700'))&amp;_a=(columns:!('Message%20ID',Summary),filters:!(),index:'emp_*',interval:auto,query:(query_string:(analyze_wildcard:!t,query:'%22rtdc.l.rtdc.4027%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779</v>
      </c>
      <c r="B93" s="7">
        <v>4050</v>
      </c>
      <c r="C93" s="21" t="s">
        <v>192</v>
      </c>
      <c r="D93" s="21" t="s">
        <v>450</v>
      </c>
      <c r="E93" s="13">
        <v>43049.567604166667</v>
      </c>
      <c r="F93" s="13">
        <v>43049.57309027778</v>
      </c>
      <c r="G93" s="7">
        <v>47</v>
      </c>
      <c r="H93" s="21" t="s">
        <v>958</v>
      </c>
      <c r="I93" s="13">
        <v>43049.597604166665</v>
      </c>
      <c r="J93" s="7">
        <v>1</v>
      </c>
      <c r="K93" s="89" t="str">
        <f t="shared" si="29"/>
        <v>4049/4050</v>
      </c>
      <c r="L93" s="185" t="str">
        <f>VLOOKUP(A93,'Trips&amp;Operators'!$C$1:$G$99911,5,FALSE)</f>
        <v>FORTUNATO FRANK</v>
      </c>
      <c r="M93" s="6">
        <f t="shared" si="30"/>
        <v>2.4513888885849155E-2</v>
      </c>
      <c r="N93" s="7">
        <f t="shared" si="47"/>
        <v>35.299999995622784</v>
      </c>
      <c r="O93" s="7"/>
      <c r="P93" s="7"/>
      <c r="Q93" s="22"/>
      <c r="R93" s="174"/>
      <c r="S93" s="221">
        <f t="shared" si="41"/>
        <v>1</v>
      </c>
      <c r="T93" s="174" t="str">
        <f t="shared" si="31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2"/>
        <v>https://d0f6bd738d7f1b3e5a7ca70fe4ff75f0.us-east-1.aws.found.io/app/kibana#/discover/Steve-Slow-Train-Analysis-(2080s-and-2083s)?_g=(refreshInterval:(display:Off,pause:!f,section:0,value:0),time:(from:'2017-11-10T12:37:21-0700',mode:absolute,to:'2017-11-10T15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3" s="204" t="str">
        <f>IF(AA93&lt;VLOOKUP(AG93,Variables!$AC$3:$AD$8,2,FALSE),"Y","N")</f>
        <v>N</v>
      </c>
      <c r="X93" s="204">
        <f t="shared" si="33"/>
        <v>1</v>
      </c>
      <c r="Y93" s="204">
        <f t="shared" si="34"/>
        <v>5.0799999999999998E-2</v>
      </c>
      <c r="Z93" s="204">
        <f t="shared" si="35"/>
        <v>23.316500000000001</v>
      </c>
      <c r="AA93" s="204">
        <f t="shared" si="36"/>
        <v>23.265700000000002</v>
      </c>
      <c r="AB93" s="54" t="e">
        <f>VLOOKUP(A93,Enforcements!$C$7:$K$9,8,0)</f>
        <v>#N/A</v>
      </c>
      <c r="AC93" s="51" t="e">
        <f>VLOOKUP(A93,Enforcements!$C$7:$E$9,3,0)</f>
        <v>#N/A</v>
      </c>
      <c r="AD93" s="179">
        <f t="shared" si="37"/>
        <v>181</v>
      </c>
      <c r="AE93" s="77" t="str">
        <f t="shared" si="38"/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AF93" s="74" t="str">
        <f t="shared" si="39"/>
        <v>"C:\Program Files (x86)\AstroGrep\AstroGrep.exe" /e /r /s /spath="%USERPROFILE%\AppData\Local\Temp\OnboardLogs" /stypes="app*4050*20171110*" /stext=" 21:.+((SYSTEM_STATE.+slice.+state.+changed )|(ment ac)|(multiple cpu faults)|(system.+state.+changed )|(\[timeout)|(PRM\|1\|D)|(kpr)|(kdp)|(train st.+moving)|(\|lc)|(penalty))"</v>
      </c>
      <c r="AG93" s="182" t="str">
        <f t="shared" si="40"/>
        <v>EC</v>
      </c>
      <c r="AH93" s="78" t="str">
        <f t="shared" si="42"/>
        <v>"%USERPROFILE%\Documents\GitHub\eaglep3\Utilities\RefineRTDCRunTimes.py" --tripid 181-10 --locoid 4050 --swversion DE.1.0.9.0 --startMP 204:508 --initTime 2017-11-10T13:37:21 --startdatetime 2017-11-10T13:45:15 --delay 47 --endMP 204:233165 --enddatetime 2017-11-10T14:20:33 --enforcementcount 1 &gt;&gt;%USERPROFILE%\Documents\GitHub\eaglep3-reporting\EC\2017-11-10-refined-times.txt</v>
      </c>
      <c r="AI93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{"issue":{"subject":"","project_id":79,"tracker_id":40,"status_id":1,"priority_id":2,"assigned_to_id":338,"start_date":"2017-11-10","description":"","custom_fields":[{"id":1,"name":"Subdivision","value":"EC"},{"id":4,"name":"Milepost","value":"23.3165"},{"id":17,"name":"Train ID","value":"181-10"},{"id":16,"name":"Locomotive ID","value":"4050"},{"id":130,"name":"Impact","value":""},{"id":150,"name":"Time of Event (Mountain Time)","value":"14:20:33"},{"id":151,"name":"Denver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4"/>
        <v>start /low /b %USERPROFILE%\Documents\GitHub\eaglep3\Utilities\DownloadLogsFromS3.py --loco 4050 --day 2017-11-10</v>
      </c>
      <c r="AN93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21:20:33"},{"id":29,"name":"Sharepoint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6"/>
        <v>https://d0f6bd738d7f1b3e5a7ca70fe4ff75f0.us-east-1.aws.found.io/app/kibana#/discover/Steve-Slow-Train-Analysis-(2080s-and-2083s)?_g=(refreshInterval:(display:Off,pause:!f,section:0,value:0),time:(from:'2017-11-10T12:37:21-0700',mode:absolute,to:'2017-11-10T15:20:33-0700'))&amp;_a=(columns:!('Message%20ID',Summary),filters:!(),index:'emp_*',interval:auto,query:(query_string:(analyze_wildcard:!t,query:'%22rtdc.l.rtdc.4050%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789</v>
      </c>
      <c r="B94" s="7">
        <v>4049</v>
      </c>
      <c r="C94" s="21" t="s">
        <v>192</v>
      </c>
      <c r="D94" s="21" t="s">
        <v>959</v>
      </c>
      <c r="E94" s="13">
        <v>43049.599317129629</v>
      </c>
      <c r="F94" s="13">
        <v>43049.612650462965</v>
      </c>
      <c r="G94" s="7">
        <v>46</v>
      </c>
      <c r="H94" s="21" t="s">
        <v>447</v>
      </c>
      <c r="I94" s="13">
        <v>43049.639120370368</v>
      </c>
      <c r="J94" s="7">
        <v>1</v>
      </c>
      <c r="K94" s="89" t="str">
        <f t="shared" si="29"/>
        <v>4049/4050</v>
      </c>
      <c r="L94" s="185" t="str">
        <f>VLOOKUP(A94,'Trips&amp;Operators'!$C$1:$G$99911,5,FALSE)</f>
        <v>FORTUNATO FRANK</v>
      </c>
      <c r="M94" s="6">
        <f t="shared" si="30"/>
        <v>2.6469907403225079E-2</v>
      </c>
      <c r="N94" s="7">
        <f t="shared" si="47"/>
        <v>38.116666660644114</v>
      </c>
      <c r="O94" s="7"/>
      <c r="P94" s="7"/>
      <c r="Q94" s="22"/>
      <c r="R94" s="174"/>
      <c r="S94" s="221">
        <f t="shared" si="41"/>
        <v>1</v>
      </c>
      <c r="T94" s="174" t="str">
        <f t="shared" si="31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2"/>
        <v>https://d0f6bd738d7f1b3e5a7ca70fe4ff75f0.us-east-1.aws.found.io/app/kibana#/discover/Steve-Slow-Train-Analysis-(2080s-and-2083s)?_g=(refreshInterval:(display:Off,pause:!f,section:0,value:0),time:(from:'2017-11-10T13:23:01-0700',mode:absolute,to:'2017-11-10T16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4" s="204" t="str">
        <f>IF(AA94&lt;VLOOKUP(AG94,Variables!$AC$3:$AD$8,2,FALSE),"Y","N")</f>
        <v>N</v>
      </c>
      <c r="X94" s="204">
        <f t="shared" si="33"/>
        <v>1</v>
      </c>
      <c r="Y94" s="204">
        <f t="shared" si="34"/>
        <v>23.285900000000002</v>
      </c>
      <c r="Z94" s="204">
        <f t="shared" si="35"/>
        <v>2.1399999999999999E-2</v>
      </c>
      <c r="AA94" s="204">
        <f t="shared" si="36"/>
        <v>23.264500000000002</v>
      </c>
      <c r="AB94" s="54" t="e">
        <f>VLOOKUP(A94,Enforcements!$C$7:$K$9,8,0)</f>
        <v>#N/A</v>
      </c>
      <c r="AC94" s="51" t="e">
        <f>VLOOKUP(A94,Enforcements!$C$7:$E$9,3,0)</f>
        <v>#N/A</v>
      </c>
      <c r="AD94" s="179">
        <f t="shared" si="37"/>
        <v>182</v>
      </c>
      <c r="AE94" s="77" t="str">
        <f t="shared" si="38"/>
        <v>aws s3 cp s3://rtdc.mdm.uploadarchive.raw/RTDC4049/ "%USERPROFILE%\AppData\Local\Temp\OnboardLogs"\RTDC4049\2017-11-10 --exclude "*" --recursive --include "*20171110*" &amp; "%USERPROFILE%\Documents\GitHub\mrs-test-scripts\Headless Mode &amp; Sideloading\WalkAndUnGZ.bat" "%USERPROFILE%\AppData\Local\Temp\OnboardLogs"\RTDC4049\2017-11-10 &amp; aws s3 cp s3://rtdc.mdm.uploadarchive.raw/RTDC4049/ "%USERPROFILE%\AppData\Local\Temp\OnboardLogs"\RTDC4049\2017-11-11 --exclude "*" --recursive --include "*20171111*" &amp; "%USERPROFILE%\Documents\GitHub\mrs-test-scripts\Headless Mode &amp; Sideloading\WalkAndUnGZ.bat" "%USERPROFILE%\AppData\Local\Temp\OnboardLogs"\RTDC4049\2017-11-11</v>
      </c>
      <c r="AF94" s="74" t="str">
        <f t="shared" si="39"/>
        <v>"C:\Program Files (x86)\AstroGrep\AstroGrep.exe" /e /r /s /spath="%USERPROFILE%\AppData\Local\Temp\OnboardLogs" /stypes="app*4049*20171110*" /stext=" 22:.+((SYSTEM_STATE.+slice.+state.+changed )|(ment ac)|(multiple cpu faults)|(system.+state.+changed )|(\[timeout)|(PRM\|1\|D)|(kpr)|(kdp)|(train st.+moving)|(\|lc)|(penalty))"</v>
      </c>
      <c r="AG94" s="182" t="str">
        <f t="shared" si="40"/>
        <v>EC</v>
      </c>
      <c r="AH94" s="78" t="str">
        <f t="shared" si="42"/>
        <v>"%USERPROFILE%\Documents\GitHub\eaglep3\Utilities\RefineRTDCRunTimes.py" --tripid 182-10 --locoid 4049 --swversion DE.1.0.9.0 --startMP 204:232859 --initTime 2017-11-10T14:23:01 --startdatetime 2017-11-10T14:42:13 --delay 46 --endMP 204:214 --enddatetime 2017-11-10T15:20:20 --enforcementcount 1 &gt;&gt;%USERPROFILE%\Documents\GitHub\eaglep3-reporting\EC\2017-11-10-refined-times.txt</v>
      </c>
      <c r="AI94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{"issue":{"subject":"","project_id":79,"tracker_id":40,"status_id":1,"priority_id":2,"assigned_to_id":338,"start_date":"2017-11-10","description":"","custom_fields":[{"id":1,"name":"Subdivision","value":"EC"},{"id":4,"name":"Milepost","value":"0.0214"},{"id":17,"name":"Train ID","value":"182-10"},{"id":16,"name":"Locomotive ID","value":"4049"},{"id":130,"name":"Impact","value":""},{"id":150,"name":"Time of Event (Mountain Time)","value":"15:20:20"},{"id":151,"name":"Denver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4"/>
        <v>start /low /b %USERPROFILE%\Documents\GitHub\eaglep3\Utilities\DownloadLogsFromS3.py --loco 4049 --day 2017-11-10</v>
      </c>
      <c r="AN94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22:20:20"},{"id":29,"name":"Sharepoint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6"/>
        <v>https://d0f6bd738d7f1b3e5a7ca70fe4ff75f0.us-east-1.aws.found.io/app/kibana#/discover/Steve-Slow-Train-Analysis-(2080s-and-2083s)?_g=(refreshInterval:(display:Off,pause:!f,section:0,value:0),time:(from:'2017-11-10T13:23:01-0700',mode:absolute,to:'2017-11-10T16:20:20-0700'))&amp;_a=(columns:!('Message%20ID',Summary),filters:!(),index:'emp_*',interval:auto,query:(query_string:(analyze_wildcard:!t,query:'%22rtdc.l.rtdc.4049%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781</v>
      </c>
      <c r="B95" s="7">
        <v>4012</v>
      </c>
      <c r="C95" s="21" t="s">
        <v>192</v>
      </c>
      <c r="D95" s="21" t="s">
        <v>960</v>
      </c>
      <c r="E95" s="13">
        <v>43049.580706018518</v>
      </c>
      <c r="F95" s="13">
        <v>43049.583611111113</v>
      </c>
      <c r="G95" s="7">
        <v>61</v>
      </c>
      <c r="H95" s="21" t="s">
        <v>961</v>
      </c>
      <c r="I95" s="13">
        <v>43049.608344907407</v>
      </c>
      <c r="J95" s="7">
        <v>1</v>
      </c>
      <c r="K95" s="89" t="str">
        <f t="shared" si="29"/>
        <v>4011/4012</v>
      </c>
      <c r="L95" s="185" t="str">
        <f>VLOOKUP(A95,'Trips&amp;Operators'!$C$1:$G$99911,5,FALSE)</f>
        <v>MOSES BRADLEY</v>
      </c>
      <c r="M95" s="6">
        <f t="shared" si="30"/>
        <v>2.4733796293730848E-2</v>
      </c>
      <c r="N95" s="7">
        <f t="shared" si="47"/>
        <v>35.61666666297242</v>
      </c>
      <c r="O95" s="7"/>
      <c r="P95" s="7"/>
      <c r="Q95" s="22"/>
      <c r="R95" s="174"/>
      <c r="S95" s="221">
        <f t="shared" si="41"/>
        <v>1</v>
      </c>
      <c r="T95" s="174" t="str">
        <f t="shared" si="31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2"/>
        <v>https://d0f6bd738d7f1b3e5a7ca70fe4ff75f0.us-east-1.aws.found.io/app/kibana#/discover/Steve-Slow-Train-Analysis-(2080s-and-2083s)?_g=(refreshInterval:(display:Off,pause:!f,section:0,value:0),time:(from:'2017-11-10T12:56:13-0700',mode:absolute,to:'2017-11-10T15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204" t="str">
        <f>IF(AA95&lt;VLOOKUP(AG95,Variables!$AC$3:$AD$8,2,FALSE),"Y","N")</f>
        <v>N</v>
      </c>
      <c r="X95" s="204">
        <f t="shared" si="33"/>
        <v>1</v>
      </c>
      <c r="Y95" s="204">
        <f t="shared" si="34"/>
        <v>4.7800000000000002E-2</v>
      </c>
      <c r="Z95" s="204">
        <f t="shared" si="35"/>
        <v>23.327000000000002</v>
      </c>
      <c r="AA95" s="204">
        <f t="shared" si="36"/>
        <v>23.279200000000003</v>
      </c>
      <c r="AB95" s="54" t="e">
        <f>VLOOKUP(A95,Enforcements!$C$7:$K$9,8,0)</f>
        <v>#N/A</v>
      </c>
      <c r="AC95" s="51" t="e">
        <f>VLOOKUP(A95,Enforcements!$C$7:$E$9,3,0)</f>
        <v>#N/A</v>
      </c>
      <c r="AD95" s="179">
        <f t="shared" si="37"/>
        <v>183</v>
      </c>
      <c r="AE95" s="77" t="str">
        <f t="shared" si="38"/>
        <v>aws s3 cp s3://rtdc.mdm.uploadarchive.raw/RTDC4012/ "%USERPROFILE%\AppData\Local\Temp\OnboardLogs"\RTDC4012\2017-11-10 --exclude "*" --recursive --include "*20171110*" &amp; "%USERPROFILE%\Documents\GitHub\mrs-test-scripts\Headless Mode &amp; Sideloading\WalkAndUnGZ.bat" "%USERPROFILE%\AppData\Local\Temp\OnboardLogs"\RTDC4012\2017-11-10 &amp; aws s3 cp s3://rtdc.mdm.uploadarchive.raw/RTDC4012/ "%USERPROFILE%\AppData\Local\Temp\OnboardLogs"\RTDC4012\2017-11-11 --exclude "*" --recursive --include "*20171111*" &amp; "%USERPROFILE%\Documents\GitHub\mrs-test-scripts\Headless Mode &amp; Sideloading\WalkAndUnGZ.bat" "%USERPROFILE%\AppData\Local\Temp\OnboardLogs"\RTDC4012\2017-11-11</v>
      </c>
      <c r="AF95" s="74" t="str">
        <f t="shared" si="39"/>
        <v>"C:\Program Files (x86)\AstroGrep\AstroGrep.exe" /e /r /s /spath="%USERPROFILE%\AppData\Local\Temp\OnboardLogs" /stypes="app*4012*20171110*" /stext=" 21:.+((SYSTEM_STATE.+slice.+state.+changed )|(ment ac)|(multiple cpu faults)|(system.+state.+changed )|(\[timeout)|(PRM\|1\|D)|(kpr)|(kdp)|(train st.+moving)|(\|lc)|(penalty))"</v>
      </c>
      <c r="AG95" s="182" t="str">
        <f t="shared" si="40"/>
        <v>EC</v>
      </c>
      <c r="AH95" s="78" t="str">
        <f t="shared" si="42"/>
        <v>"%USERPROFILE%\Documents\GitHub\eaglep3\Utilities\RefineRTDCRunTimes.py" --tripid 183-10 --locoid 4012 --swversion DE.1.0.9.0 --startMP 204:478 --initTime 2017-11-10T13:56:13 --startdatetime 2017-11-10T14:00:24 --delay 61 --endMP 204:233270 --enddatetime 2017-11-10T14:36:01 --enforcementcount 1 &gt;&gt;%USERPROFILE%\Documents\GitHub\eaglep3-reporting\EC\2017-11-10-refined-times.txt</v>
      </c>
      <c r="AI95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{"issue":{"subject":"","project_id":79,"tracker_id":40,"status_id":1,"priority_id":2,"assigned_to_id":338,"start_date":"2017-11-10","description":"","custom_fields":[{"id":1,"name":"Subdivision","value":"EC"},{"id":4,"name":"Milepost","value":"23.327"},{"id":17,"name":"Train ID","value":"183-10"},{"id":16,"name":"Locomotive ID","value":"4012"},{"id":130,"name":"Impact","value":""},{"id":150,"name":"Time of Event (Mountain Time)","value":"14:36:01"},{"id":151,"name":"Denver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4"/>
        <v>start /low /b %USERPROFILE%\Documents\GitHub\eaglep3\Utilities\DownloadLogsFromS3.py --loco 4012 --day 2017-11-10</v>
      </c>
      <c r="AN95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6"/>
        <v>https://d0f6bd738d7f1b3e5a7ca70fe4ff75f0.us-east-1.aws.found.io/app/kibana#/discover/Steve-Slow-Train-Analysis-(2080s-and-2083s)?_g=(refreshInterval:(display:Off,pause:!f,section:0,value:0),time:(from:'2017-11-10T12:56:13-0700',mode:absolute,to:'2017-11-10T15:36:01-0700'))&amp;_a=(columns:!('Message%20ID',Summary),filters:!(),index:'emp_*',interval:auto,query:(query_string:(analyze_wildcard:!t,query:'%22rtdc.l.rtdc.4012%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792</v>
      </c>
      <c r="B96" s="7">
        <v>4011</v>
      </c>
      <c r="C96" s="21" t="s">
        <v>192</v>
      </c>
      <c r="D96" s="21" t="s">
        <v>962</v>
      </c>
      <c r="E96" s="13">
        <v>43049.620787037034</v>
      </c>
      <c r="F96" s="13">
        <v>43049.623229166667</v>
      </c>
      <c r="G96" s="7">
        <v>60</v>
      </c>
      <c r="H96" s="21" t="s">
        <v>963</v>
      </c>
      <c r="I96" s="13">
        <v>43049.649224537039</v>
      </c>
      <c r="J96" s="7">
        <v>1</v>
      </c>
      <c r="K96" s="89" t="str">
        <f t="shared" si="29"/>
        <v>4011/4012</v>
      </c>
      <c r="L96" s="185" t="str">
        <f>VLOOKUP(A96,'Trips&amp;Operators'!$C$1:$G$99911,5,FALSE)</f>
        <v>MOSES BRADLEY</v>
      </c>
      <c r="M96" s="6">
        <f t="shared" si="30"/>
        <v>2.5995370371674653E-2</v>
      </c>
      <c r="N96" s="7">
        <f t="shared" si="47"/>
        <v>37.433333335211501</v>
      </c>
      <c r="O96" s="7"/>
      <c r="P96" s="7"/>
      <c r="Q96" s="22"/>
      <c r="R96" s="174"/>
      <c r="S96" s="221">
        <f t="shared" si="41"/>
        <v>1</v>
      </c>
      <c r="T96" s="174" t="str">
        <f t="shared" si="31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2"/>
        <v>https://d0f6bd738d7f1b3e5a7ca70fe4ff75f0.us-east-1.aws.found.io/app/kibana#/discover/Steve-Slow-Train-Analysis-(2080s-and-2083s)?_g=(refreshInterval:(display:Off,pause:!f,section:0,value:0),time:(from:'2017-11-10T13:53:56-0700',mode:absolute,to:'2017-11-10T16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6" s="204" t="str">
        <f>IF(AA96&lt;VLOOKUP(AG96,Variables!$AC$3:$AD$8,2,FALSE),"Y","N")</f>
        <v>N</v>
      </c>
      <c r="X96" s="204">
        <f t="shared" si="33"/>
        <v>1</v>
      </c>
      <c r="Y96" s="204">
        <f t="shared" si="34"/>
        <v>23.295300000000001</v>
      </c>
      <c r="Z96" s="204">
        <f t="shared" si="35"/>
        <v>2.1600000000000001E-2</v>
      </c>
      <c r="AA96" s="204">
        <f t="shared" si="36"/>
        <v>23.273700000000002</v>
      </c>
      <c r="AB96" s="54" t="e">
        <f>VLOOKUP(A96,Enforcements!$C$7:$K$9,8,0)</f>
        <v>#N/A</v>
      </c>
      <c r="AC96" s="51" t="e">
        <f>VLOOKUP(A96,Enforcements!$C$7:$E$9,3,0)</f>
        <v>#N/A</v>
      </c>
      <c r="AD96" s="179">
        <f t="shared" si="37"/>
        <v>184</v>
      </c>
      <c r="AE96" s="77" t="str">
        <f t="shared" si="38"/>
        <v>aws s3 cp s3://rtdc.mdm.uploadarchive.raw/RTDC4011/ "%USERPROFILE%\AppData\Local\Temp\OnboardLogs"\RTDC4011\2017-11-10 --exclude "*" --recursive --include "*20171110*" &amp; "%USERPROFILE%\Documents\GitHub\mrs-test-scripts\Headless Mode &amp; Sideloading\WalkAndUnGZ.bat" "%USERPROFILE%\AppData\Local\Temp\OnboardLogs"\RTDC4011\2017-11-10 &amp; aws s3 cp s3://rtdc.mdm.uploadarchive.raw/RTDC4011/ "%USERPROFILE%\AppData\Local\Temp\OnboardLogs"\RTDC4011\2017-11-11 --exclude "*" --recursive --include "*20171111*" &amp; "%USERPROFILE%\Documents\GitHub\mrs-test-scripts\Headless Mode &amp; Sideloading\WalkAndUnGZ.bat" "%USERPROFILE%\AppData\Local\Temp\OnboardLogs"\RTDC4011\2017-11-11</v>
      </c>
      <c r="AF96" s="74" t="str">
        <f t="shared" si="39"/>
        <v>"C:\Program Files (x86)\AstroGrep\AstroGrep.exe" /e /r /s /spath="%USERPROFILE%\AppData\Local\Temp\OnboardLogs" /stypes="app*4011*20171110*" /stext=" 22:.+((SYSTEM_STATE.+slice.+state.+changed )|(ment ac)|(multiple cpu faults)|(system.+state.+changed )|(\[timeout)|(PRM\|1\|D)|(kpr)|(kdp)|(train st.+moving)|(\|lc)|(penalty))"</v>
      </c>
      <c r="AG96" s="182" t="str">
        <f t="shared" si="40"/>
        <v>EC</v>
      </c>
      <c r="AH96" s="78" t="str">
        <f t="shared" si="42"/>
        <v>"%USERPROFILE%\Documents\GitHub\eaglep3\Utilities\RefineRTDCRunTimes.py" --tripid 184-10 --locoid 4011 --swversion DE.1.0.9.0 --startMP 204:232953 --initTime 2017-11-10T14:53:56 --startdatetime 2017-11-10T14:57:27 --delay 60 --endMP 204:216 --enddatetime 2017-11-10T15:34:53 --enforcementcount 1 &gt;&gt;%USERPROFILE%\Documents\GitHub\eaglep3-reporting\EC\2017-11-10-refined-times.txt</v>
      </c>
      <c r="AI96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{"issue":{"subject":"","project_id":79,"tracker_id":40,"status_id":1,"priority_id":2,"assigned_to_id":338,"start_date":"2017-11-10","description":"","custom_fields":[{"id":1,"name":"Subdivision","value":"EC"},{"id":4,"name":"Milepost","value":"0.0216"},{"id":17,"name":"Train ID","value":"184-10"},{"id":16,"name":"Locomotive ID","value":"4011"},{"id":130,"name":"Impact","value":""},{"id":150,"name":"Time of Event (Mountain Time)","value":"15:34:53"},{"id":151,"name":"Denver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4"/>
        <v>start /low /b %USERPROFILE%\Documents\GitHub\eaglep3\Utilities\DownloadLogsFromS3.py --loco 4011 --day 2017-11-10</v>
      </c>
      <c r="AN96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22:34:53"},{"id":29,"name":"Sharepoint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6"/>
        <v>https://d0f6bd738d7f1b3e5a7ca70fe4ff75f0.us-east-1.aws.found.io/app/kibana#/discover/Steve-Slow-Train-Analysis-(2080s-and-2083s)?_g=(refreshInterval:(display:Off,pause:!f,section:0,value:0),time:(from:'2017-11-10T13:53:56-0700',mode:absolute,to:'2017-11-10T16:34:53-0700'))&amp;_a=(columns:!('Message%20ID',Summary),filters:!(),index:'emp_*',interval:auto,query:(query_string:(analyze_wildcard:!t,query:'%22rtdc.l.rtdc.4011%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784</v>
      </c>
      <c r="B97" s="7">
        <v>4052</v>
      </c>
      <c r="C97" s="21" t="s">
        <v>192</v>
      </c>
      <c r="D97" s="21" t="s">
        <v>597</v>
      </c>
      <c r="E97" s="13">
        <v>43049.589548611111</v>
      </c>
      <c r="F97" s="13">
        <v>43049.593923611108</v>
      </c>
      <c r="G97" s="7">
        <v>76</v>
      </c>
      <c r="H97" s="21" t="s">
        <v>484</v>
      </c>
      <c r="I97" s="13">
        <v>43049.619074074071</v>
      </c>
      <c r="J97" s="7">
        <v>1</v>
      </c>
      <c r="K97" s="89" t="str">
        <f t="shared" si="29"/>
        <v>4051/4052</v>
      </c>
      <c r="L97" s="185" t="str">
        <f>VLOOKUP(A97,'Trips&amp;Operators'!$C$1:$G$99911,5,FALSE)</f>
        <v>BADERTSCHER DIANE</v>
      </c>
      <c r="M97" s="6">
        <f t="shared" si="30"/>
        <v>2.5150462963210884E-2</v>
      </c>
      <c r="N97" s="7">
        <f t="shared" si="47"/>
        <v>36.216666667023674</v>
      </c>
      <c r="O97" s="7"/>
      <c r="P97" s="7"/>
      <c r="Q97" s="22"/>
      <c r="R97" s="174"/>
      <c r="S97" s="221">
        <f t="shared" si="41"/>
        <v>1</v>
      </c>
      <c r="T97" s="174" t="str">
        <f t="shared" si="31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2"/>
        <v>https://d0f6bd738d7f1b3e5a7ca70fe4ff75f0.us-east-1.aws.found.io/app/kibana#/discover/Steve-Slow-Train-Analysis-(2080s-and-2083s)?_g=(refreshInterval:(display:Off,pause:!f,section:0,value:0),time:(from:'2017-11-10T13:08:57-0700',mode:absolute,to:'2017-11-10T15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7" s="204" t="str">
        <f>IF(AA97&lt;VLOOKUP(AG97,Variables!$AC$3:$AD$8,2,FALSE),"Y","N")</f>
        <v>N</v>
      </c>
      <c r="X97" s="204">
        <f t="shared" si="33"/>
        <v>1</v>
      </c>
      <c r="Y97" s="204">
        <f t="shared" si="34"/>
        <v>5.0200000000000002E-2</v>
      </c>
      <c r="Z97" s="204">
        <f t="shared" si="35"/>
        <v>23.325900000000001</v>
      </c>
      <c r="AA97" s="204">
        <f t="shared" si="36"/>
        <v>23.275700000000001</v>
      </c>
      <c r="AB97" s="54" t="e">
        <f>VLOOKUP(A97,Enforcements!$C$7:$K$9,8,0)</f>
        <v>#N/A</v>
      </c>
      <c r="AC97" s="51" t="e">
        <f>VLOOKUP(A97,Enforcements!$C$7:$E$9,3,0)</f>
        <v>#N/A</v>
      </c>
      <c r="AD97" s="179">
        <f t="shared" si="37"/>
        <v>185</v>
      </c>
      <c r="AE97" s="77" t="str">
        <f t="shared" si="38"/>
        <v>aws s3 cp s3://rtdc.mdm.uploadarchive.raw/RTDC4052/ "%USERPROFILE%\AppData\Local\Temp\OnboardLogs"\RTDC4052\2017-11-10 --exclude "*" --recursive --include "*20171110*" &amp; "%USERPROFILE%\Documents\GitHub\mrs-test-scripts\Headless Mode &amp; Sideloading\WalkAndUnGZ.bat" "%USERPROFILE%\AppData\Local\Temp\OnboardLogs"\RTDC4052\2017-11-10 &amp; aws s3 cp s3://rtdc.mdm.uploadarchive.raw/RTDC4052/ "%USERPROFILE%\AppData\Local\Temp\OnboardLogs"\RTDC4052\2017-11-11 --exclude "*" --recursive --include "*20171111*" &amp; "%USERPROFILE%\Documents\GitHub\mrs-test-scripts\Headless Mode &amp; Sideloading\WalkAndUnGZ.bat" "%USERPROFILE%\AppData\Local\Temp\OnboardLogs"\RTDC4052\2017-11-11</v>
      </c>
      <c r="AF97" s="74" t="str">
        <f t="shared" si="39"/>
        <v>"C:\Program Files (x86)\AstroGrep\AstroGrep.exe" /e /r /s /spath="%USERPROFILE%\AppData\Local\Temp\OnboardLogs" /stypes="app*4052*20171110*" /stext=" 21:.+((SYSTEM_STATE.+slice.+state.+changed )|(ment ac)|(multiple cpu faults)|(system.+state.+changed )|(\[timeout)|(PRM\|1\|D)|(kpr)|(kdp)|(train st.+moving)|(\|lc)|(penalty))"</v>
      </c>
      <c r="AG97" s="182" t="str">
        <f t="shared" si="40"/>
        <v>EC</v>
      </c>
      <c r="AH97" s="78" t="str">
        <f t="shared" si="42"/>
        <v>"%USERPROFILE%\Documents\GitHub\eaglep3\Utilities\RefineRTDCRunTimes.py" --tripid 185-10 --locoid 4052 --swversion DE.1.0.9.0 --startMP 204:502 --initTime 2017-11-10T14:08:57 --startdatetime 2017-11-10T14:15:15 --delay 76 --endMP 204:233259 --enddatetime 2017-11-10T14:51:28 --enforcementcount 1 &gt;&gt;%USERPROFILE%\Documents\GitHub\eaglep3-reporting\EC\2017-11-10-refined-times.txt</v>
      </c>
      <c r="AI97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{"issue":{"subject":"","project_id":79,"tracker_id":40,"status_id":1,"priority_id":2,"assigned_to_id":338,"start_date":"2017-11-10","description":"","custom_fields":[{"id":1,"name":"Subdivision","value":"EC"},{"id":4,"name":"Milepost","value":"23.3259"},{"id":17,"name":"Train ID","value":"185-10"},{"id":16,"name":"Locomotive ID","value":"4052"},{"id":130,"name":"Impact","value":""},{"id":150,"name":"Time of Event (Mountain Time)","value":"14:51:28"},{"id":151,"name":"Denver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44"/>
        <v>start /low /b %USERPROFILE%\Documents\GitHub\eaglep3\Utilities\DownloadLogsFromS3.py --loco 4052 --day 2017-11-10</v>
      </c>
      <c r="AN97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21:51:28"},{"id":29,"name":"Sharepoint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6"/>
        <v>https://d0f6bd738d7f1b3e5a7ca70fe4ff75f0.us-east-1.aws.found.io/app/kibana#/discover/Steve-Slow-Train-Analysis-(2080s-and-2083s)?_g=(refreshInterval:(display:Off,pause:!f,section:0,value:0),time:(from:'2017-11-10T13:08:57-0700',mode:absolute,to:'2017-11-10T15:51:28-0700'))&amp;_a=(columns:!('Message%20ID',Summary),filters:!(),index:'emp_*',interval:auto,query:(query_string:(analyze_wildcard:!t,query:'%22rtdc.l.rtdc.4052%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650</v>
      </c>
      <c r="B98" s="7">
        <v>4051</v>
      </c>
      <c r="C98" s="21" t="s">
        <v>192</v>
      </c>
      <c r="D98" s="21" t="s">
        <v>964</v>
      </c>
      <c r="E98" s="13">
        <v>43049.625787037039</v>
      </c>
      <c r="F98" s="13">
        <v>43049.633518518516</v>
      </c>
      <c r="G98" s="7">
        <v>102</v>
      </c>
      <c r="H98" s="21" t="s">
        <v>549</v>
      </c>
      <c r="I98" s="13">
        <v>43049.662835648145</v>
      </c>
      <c r="J98" s="7">
        <v>1</v>
      </c>
      <c r="K98" s="89" t="str">
        <f t="shared" si="29"/>
        <v>4051/4052</v>
      </c>
      <c r="L98" s="185" t="str">
        <f>VLOOKUP(A98,'Trips&amp;Operators'!$C$1:$G$99911,5,FALSE)</f>
        <v>BADERTSCHER DIANE</v>
      </c>
      <c r="M98" s="6">
        <f t="shared" si="30"/>
        <v>2.9317129628907423E-2</v>
      </c>
      <c r="N98" s="7">
        <f t="shared" si="47"/>
        <v>42.21666666562669</v>
      </c>
      <c r="O98" s="7"/>
      <c r="P98" s="7"/>
      <c r="Q98" s="22"/>
      <c r="R98" s="174"/>
      <c r="S98" s="221">
        <f t="shared" si="41"/>
        <v>1</v>
      </c>
      <c r="T98" s="174" t="str">
        <f t="shared" si="31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2"/>
        <v>https://d0f6bd738d7f1b3e5a7ca70fe4ff75f0.us-east-1.aws.found.io/app/kibana#/discover/Steve-Slow-Train-Analysis-(2080s-and-2083s)?_g=(refreshInterval:(display:Off,pause:!f,section:0,value:0),time:(from:'2017-11-10T14:01:08-0700',mode:absolute,to:'2017-11-10T16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8" s="204" t="str">
        <f>IF(AA98&lt;VLOOKUP(AG98,Variables!$AC$3:$AD$8,2,FALSE),"Y","N")</f>
        <v>N</v>
      </c>
      <c r="X98" s="204">
        <f t="shared" si="33"/>
        <v>1</v>
      </c>
      <c r="Y98" s="204">
        <f t="shared" si="34"/>
        <v>23.293800000000001</v>
      </c>
      <c r="Z98" s="204">
        <f t="shared" si="35"/>
        <v>2.3199999999999998E-2</v>
      </c>
      <c r="AA98" s="204">
        <f t="shared" si="36"/>
        <v>23.270600000000002</v>
      </c>
      <c r="AB98" s="54" t="e">
        <f>VLOOKUP(A98,Enforcements!$C$7:$K$9,8,0)</f>
        <v>#N/A</v>
      </c>
      <c r="AC98" s="51" t="e">
        <f>VLOOKUP(A98,Enforcements!$C$7:$E$9,3,0)</f>
        <v>#N/A</v>
      </c>
      <c r="AD98" s="179">
        <f t="shared" si="37"/>
        <v>186</v>
      </c>
      <c r="AE98" s="77" t="str">
        <f t="shared" si="38"/>
        <v>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 &amp; 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</v>
      </c>
      <c r="AF98" s="74" t="str">
        <f t="shared" si="39"/>
        <v>"C:\Program Files (x86)\AstroGrep\AstroGrep.exe" /e /r /s /spath="%USERPROFILE%\AppData\Local\Temp\OnboardLogs" /stypes="app*4051*20171110*" /stext=" 22:.+((SYSTEM_STATE.+slice.+state.+changed )|(ment ac)|(multiple cpu faults)|(system.+state.+changed )|(\[timeout)|(PRM\|1\|D)|(kpr)|(kdp)|(train st.+moving)|(\|lc)|(penalty))"</v>
      </c>
      <c r="AG98" s="182" t="str">
        <f t="shared" si="40"/>
        <v>EC</v>
      </c>
      <c r="AH98" s="78" t="str">
        <f t="shared" si="42"/>
        <v>"%USERPROFILE%\Documents\GitHub\eaglep3\Utilities\RefineRTDCRunTimes.py" --tripid 186-10 --locoid 4051 --swversion DE.1.0.9.0 --startMP 204:232938 --initTime 2017-11-10T15:01:08 --startdatetime 2017-11-10T15:12:16 --delay 102 --endMP 204:232 --enddatetime 2017-11-10T15:54:29 --enforcementcount 1 &gt;&gt;%USERPROFILE%\Documents\GitHub\eaglep3-reporting\EC\2017-11-10-refined-times.txt</v>
      </c>
      <c r="AI98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{"issue":{"subject":"","project_id":79,"tracker_id":40,"status_id":1,"priority_id":2,"assigned_to_id":338,"start_date":"2017-11-10","description":"","custom_fields":[{"id":1,"name":"Subdivision","value":"EC"},{"id":4,"name":"Milepost","value":"0.0232"},{"id":17,"name":"Train ID","value":"186-10"},{"id":16,"name":"Locomotive ID","value":"4051"},{"id":130,"name":"Impact","value":""},{"id":150,"name":"Time of Event (Mountain Time)","value":"15:54:29"},{"id":151,"name":"Denver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8" s="47"/>
      <c r="AL98" s="47"/>
      <c r="AM98" s="142" t="str">
        <f t="shared" si="44"/>
        <v>start /low /b %USERPROFILE%\Documents\GitHub\eaglep3\Utilities\DownloadLogsFromS3.py --loco 4051 --day 2017-11-10</v>
      </c>
      <c r="AN98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22:54:29"},{"id":29,"name":"Sharepoint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6"/>
        <v>https://d0f6bd738d7f1b3e5a7ca70fe4ff75f0.us-east-1.aws.found.io/app/kibana#/discover/Steve-Slow-Train-Analysis-(2080s-and-2083s)?_g=(refreshInterval:(display:Off,pause:!f,section:0,value:0),time:(from:'2017-11-10T14:01:08-0700',mode:absolute,to:'2017-11-10T16:54:29-0700'))&amp;_a=(columns:!('Message%20ID',Summary),filters:!(),index:'emp_*',interval:auto,query:(query_string:(analyze_wildcard:!t,query:'%22rtdc.l.rtdc.4051%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786</v>
      </c>
      <c r="B99" s="7">
        <v>4042</v>
      </c>
      <c r="C99" s="21" t="s">
        <v>192</v>
      </c>
      <c r="D99" s="21" t="s">
        <v>917</v>
      </c>
      <c r="E99" s="13">
        <v>43049.598333333335</v>
      </c>
      <c r="F99" s="13">
        <v>43049.604502314818</v>
      </c>
      <c r="G99" s="7">
        <v>75</v>
      </c>
      <c r="H99" s="21" t="s">
        <v>625</v>
      </c>
      <c r="I99" s="13">
        <v>43049.628750000003</v>
      </c>
      <c r="J99" s="7">
        <v>1</v>
      </c>
      <c r="K99" s="89" t="str">
        <f t="shared" si="29"/>
        <v>4041/4042</v>
      </c>
      <c r="L99" s="185" t="str">
        <f>VLOOKUP(A99,'Trips&amp;Operators'!$C$1:$G$99911,5,FALSE)</f>
        <v>HOLCOMB KAMDEN</v>
      </c>
      <c r="M99" s="6">
        <f t="shared" si="30"/>
        <v>2.4247685185400769E-2</v>
      </c>
      <c r="N99" s="7">
        <f t="shared" si="47"/>
        <v>34.916666666977108</v>
      </c>
      <c r="O99" s="7"/>
      <c r="P99" s="7"/>
      <c r="Q99" s="22"/>
      <c r="R99" s="174"/>
      <c r="S99" s="221">
        <f t="shared" si="41"/>
        <v>1</v>
      </c>
      <c r="T99" s="174" t="str">
        <f t="shared" si="31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2"/>
        <v>https://d0f6bd738d7f1b3e5a7ca70fe4ff75f0.us-east-1.aws.found.io/app/kibana#/discover/Steve-Slow-Train-Analysis-(2080s-and-2083s)?_g=(refreshInterval:(display:Off,pause:!f,section:0,value:0),time:(from:'2017-11-10T13:21:36-0700',mode:absolute,to:'2017-11-10T16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9" s="204" t="str">
        <f>IF(AA99&lt;VLOOKUP(AG99,Variables!$AC$3:$AD$8,2,FALSE),"Y","N")</f>
        <v>N</v>
      </c>
      <c r="X99" s="204">
        <f t="shared" si="33"/>
        <v>1</v>
      </c>
      <c r="Y99" s="204">
        <f t="shared" si="34"/>
        <v>0.05</v>
      </c>
      <c r="Z99" s="204">
        <f t="shared" si="35"/>
        <v>23.317799999999998</v>
      </c>
      <c r="AA99" s="204">
        <f t="shared" si="36"/>
        <v>23.267799999999998</v>
      </c>
      <c r="AB99" s="54" t="e">
        <f>VLOOKUP(A99,Enforcements!$C$7:$K$9,8,0)</f>
        <v>#N/A</v>
      </c>
      <c r="AC99" s="51" t="e">
        <f>VLOOKUP(A99,Enforcements!$C$7:$E$9,3,0)</f>
        <v>#N/A</v>
      </c>
      <c r="AD99" s="179">
        <f t="shared" si="37"/>
        <v>187</v>
      </c>
      <c r="AE99" s="77" t="str">
        <f t="shared" si="38"/>
        <v>aws s3 cp s3://rtdc.mdm.uploadarchive.raw/RTDC4042/ "%USERPROFILE%\AppData\Local\Temp\OnboardLogs"\RTDC4042\2017-11-10 --exclude "*" --recursive --include "*20171110*" &amp; "%USERPROFILE%\Documents\GitHub\mrs-test-scripts\Headless Mode &amp; Sideloading\WalkAndUnGZ.bat" "%USERPROFILE%\AppData\Local\Temp\OnboardLogs"\RTDC4042\2017-11-10 &amp; aws s3 cp s3://rtdc.mdm.uploadarchive.raw/RTDC4042/ "%USERPROFILE%\AppData\Local\Temp\OnboardLogs"\RTDC4042\2017-11-11 --exclude "*" --recursive --include "*20171111*" &amp; "%USERPROFILE%\Documents\GitHub\mrs-test-scripts\Headless Mode &amp; Sideloading\WalkAndUnGZ.bat" "%USERPROFILE%\AppData\Local\Temp\OnboardLogs"\RTDC4042\2017-11-11</v>
      </c>
      <c r="AF99" s="74" t="str">
        <f t="shared" si="39"/>
        <v>"C:\Program Files (x86)\AstroGrep\AstroGrep.exe" /e /r /s /spath="%USERPROFILE%\AppData\Local\Temp\OnboardLogs" /stypes="app*4042*20171110*" /stext=" 22:.+((SYSTEM_STATE.+slice.+state.+changed )|(ment ac)|(multiple cpu faults)|(system.+state.+changed )|(\[timeout)|(PRM\|1\|D)|(kpr)|(kdp)|(train st.+moving)|(\|lc)|(penalty))"</v>
      </c>
      <c r="AG99" s="182" t="str">
        <f t="shared" si="40"/>
        <v>EC</v>
      </c>
      <c r="AH99" s="78" t="str">
        <f t="shared" si="42"/>
        <v>"%USERPROFILE%\Documents\GitHub\eaglep3\Utilities\RefineRTDCRunTimes.py" --tripid 187-10 --locoid 4042 --swversion DE.1.0.9.0 --startMP 204:500 --initTime 2017-11-10T14:21:36 --startdatetime 2017-11-10T14:30:29 --delay 75 --endMP 204:233178 --enddatetime 2017-11-10T15:05:24 --enforcementcount 1 &gt;&gt;%USERPROFILE%\Documents\GitHub\eaglep3-reporting\EC\2017-11-10-refined-times.txt</v>
      </c>
      <c r="AI99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{"issue":{"subject":"","project_id":79,"tracker_id":40,"status_id":1,"priority_id":2,"assigned_to_id":338,"start_date":"2017-11-10","description":"","custom_fields":[{"id":1,"name":"Subdivision","value":"EC"},{"id":4,"name":"Milepost","value":"23.3178"},{"id":17,"name":"Train ID","value":"187-10"},{"id":16,"name":"Locomotive ID","value":"4042"},{"id":130,"name":"Impact","value":""},{"id":150,"name":"Time of Event (Mountain Time)","value":"15:05:24"},{"id":151,"name":"Denver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9" s="47"/>
      <c r="AL99" s="47"/>
      <c r="AM99" s="142" t="str">
        <f t="shared" si="44"/>
        <v>start /low /b %USERPROFILE%\Documents\GitHub\eaglep3\Utilities\DownloadLogsFromS3.py --loco 4042 --day 2017-11-10</v>
      </c>
      <c r="AN99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22:05:24"},{"id":29,"name":"Sharepoint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6"/>
        <v>https://d0f6bd738d7f1b3e5a7ca70fe4ff75f0.us-east-1.aws.found.io/app/kibana#/discover/Steve-Slow-Train-Analysis-(2080s-and-2083s)?_g=(refreshInterval:(display:Off,pause:!f,section:0,value:0),time:(from:'2017-11-10T13:21:36-0700',mode:absolute,to:'2017-11-10T16:05:24-0700'))&amp;_a=(columns:!('Message%20ID',Summary),filters:!(),index:'emp_*',interval:auto,query:(query_string:(analyze_wildcard:!t,query:'%22rtdc.l.rtdc.4042%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797</v>
      </c>
      <c r="B100" s="7">
        <v>4041</v>
      </c>
      <c r="C100" s="21" t="s">
        <v>192</v>
      </c>
      <c r="D100" s="21" t="s">
        <v>923</v>
      </c>
      <c r="E100" s="13">
        <v>43049.639016203706</v>
      </c>
      <c r="F100" s="13">
        <v>43049.643958333334</v>
      </c>
      <c r="G100" s="7">
        <v>85</v>
      </c>
      <c r="H100" s="21" t="s">
        <v>542</v>
      </c>
      <c r="I100" s="13">
        <v>43049.669386574074</v>
      </c>
      <c r="J100" s="7">
        <v>1</v>
      </c>
      <c r="K100" s="89" t="str">
        <f t="shared" si="29"/>
        <v>4041/4042</v>
      </c>
      <c r="L100" s="185" t="str">
        <f>VLOOKUP(A100,'Trips&amp;Operators'!$C$1:$G$99911,5,FALSE)</f>
        <v>HOLCOMB KAMDEN</v>
      </c>
      <c r="M100" s="6">
        <f t="shared" si="30"/>
        <v>2.5428240740438923E-2</v>
      </c>
      <c r="N100" s="7">
        <f t="shared" si="47"/>
        <v>36.616666666232049</v>
      </c>
      <c r="O100" s="7"/>
      <c r="P100" s="7"/>
      <c r="Q100" s="22"/>
      <c r="R100" s="174"/>
      <c r="S100" s="221">
        <f t="shared" si="41"/>
        <v>1</v>
      </c>
      <c r="T100" s="174" t="str">
        <f t="shared" si="31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2"/>
        <v>https://d0f6bd738d7f1b3e5a7ca70fe4ff75f0.us-east-1.aws.found.io/app/kibana#/discover/Steve-Slow-Train-Analysis-(2080s-and-2083s)?_g=(refreshInterval:(display:Off,pause:!f,section:0,value:0),time:(from:'2017-11-10T14:20:11-0700',mode:absolute,to:'2017-11-10T17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0" s="204" t="str">
        <f>IF(AA100&lt;VLOOKUP(AG100,Variables!$AC$3:$AD$8,2,FALSE),"Y","N")</f>
        <v>N</v>
      </c>
      <c r="X100" s="204">
        <f t="shared" si="33"/>
        <v>1</v>
      </c>
      <c r="Y100" s="204">
        <f t="shared" si="34"/>
        <v>23.285699999999999</v>
      </c>
      <c r="Z100" s="204">
        <f t="shared" si="35"/>
        <v>2.1100000000000001E-2</v>
      </c>
      <c r="AA100" s="204">
        <f t="shared" si="36"/>
        <v>23.264599999999998</v>
      </c>
      <c r="AB100" s="54" t="e">
        <f>VLOOKUP(A100,Enforcements!$C$7:$K$9,8,0)</f>
        <v>#N/A</v>
      </c>
      <c r="AC100" s="51" t="e">
        <f>VLOOKUP(A100,Enforcements!$C$7:$E$9,3,0)</f>
        <v>#N/A</v>
      </c>
      <c r="AD100" s="179">
        <f t="shared" si="37"/>
        <v>188</v>
      </c>
      <c r="AE100" s="77" t="str">
        <f t="shared" si="38"/>
        <v>aws s3 cp s3://rtdc.mdm.uploadarchive.raw/RTDC4041/ "%USERPROFILE%\AppData\Local\Temp\OnboardLogs"\RTDC4041\2017-11-10 --exclude "*" --recursive --include "*20171110*" &amp; "%USERPROFILE%\Documents\GitHub\mrs-test-scripts\Headless Mode &amp; Sideloading\WalkAndUnGZ.bat" "%USERPROFILE%\AppData\Local\Temp\OnboardLogs"\RTDC4041\2017-11-10 &amp; aws s3 cp s3://rtdc.mdm.uploadarchive.raw/RTDC4041/ "%USERPROFILE%\AppData\Local\Temp\OnboardLogs"\RTDC4041\2017-11-11 --exclude "*" --recursive --include "*20171111*" &amp; "%USERPROFILE%\Documents\GitHub\mrs-test-scripts\Headless Mode &amp; Sideloading\WalkAndUnGZ.bat" "%USERPROFILE%\AppData\Local\Temp\OnboardLogs"\RTDC4041\2017-11-11</v>
      </c>
      <c r="AF100" s="74" t="str">
        <f t="shared" si="39"/>
        <v>"C:\Program Files (x86)\AstroGrep\AstroGrep.exe" /e /r /s /spath="%USERPROFILE%\AppData\Local\Temp\OnboardLogs" /stypes="app*4041*20171110*" /stext=" 23:.+((SYSTEM_STATE.+slice.+state.+changed )|(ment ac)|(multiple cpu faults)|(system.+state.+changed )|(\[timeout)|(PRM\|1\|D)|(kpr)|(kdp)|(train st.+moving)|(\|lc)|(penalty))"</v>
      </c>
      <c r="AG100" s="182" t="str">
        <f t="shared" si="40"/>
        <v>EC</v>
      </c>
      <c r="AH100" s="78" t="str">
        <f t="shared" si="42"/>
        <v>"%USERPROFILE%\Documents\GitHub\eaglep3\Utilities\RefineRTDCRunTimes.py" --tripid 188-10 --locoid 4041 --swversion DE.1.0.9.0 --startMP 204:232857 --initTime 2017-11-10T15:20:11 --startdatetime 2017-11-10T15:27:18 --delay 85 --endMP 204:211 --enddatetime 2017-11-10T16:03:55 --enforcementcount 1 &gt;&gt;%USERPROFILE%\Documents\GitHub\eaglep3-reporting\EC\2017-11-10-refined-times.txt</v>
      </c>
      <c r="AI100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{"issue":{"subject":"","project_id":79,"tracker_id":40,"status_id":1,"priority_id":2,"assigned_to_id":338,"start_date":"2017-11-10","description":"","custom_fields":[{"id":1,"name":"Subdivision","value":"EC"},{"id":4,"name":"Milepost","value":"0.0211"},{"id":17,"name":"Train ID","value":"188-10"},{"id":16,"name":"Locomotive ID","value":"4041"},{"id":130,"name":"Impact","value":""},{"id":150,"name":"Time of Event (Mountain Time)","value":"16:03:55"},{"id":151,"name":"Denver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2" t="str">
        <f t="shared" si="44"/>
        <v>start /low /b %USERPROFILE%\Documents\GitHub\eaglep3\Utilities\DownloadLogsFromS3.py --loco 4041 --day 2017-11-10</v>
      </c>
      <c r="AN100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23:03:55"},{"id":29,"name":"Sharepoint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6"/>
        <v>https://d0f6bd738d7f1b3e5a7ca70fe4ff75f0.us-east-1.aws.found.io/app/kibana#/discover/Steve-Slow-Train-Analysis-(2080s-and-2083s)?_g=(refreshInterval:(display:Off,pause:!f,section:0,value:0),time:(from:'2017-11-10T14:20:11-0700',mode:absolute,to:'2017-11-10T17:03:55-0700'))&amp;_a=(columns:!('Message%20ID',Summary),filters:!(),index:'emp_*',interval:auto,query:(query_string:(analyze_wildcard:!t,query:'%22rtdc.l.rtdc.4041%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791</v>
      </c>
      <c r="B101" s="7">
        <v>4060</v>
      </c>
      <c r="C101" s="21" t="s">
        <v>192</v>
      </c>
      <c r="D101" s="21" t="s">
        <v>450</v>
      </c>
      <c r="E101" s="13">
        <v>43049.609918981485</v>
      </c>
      <c r="F101" s="13">
        <v>43049.614768518521</v>
      </c>
      <c r="G101" s="7">
        <v>76</v>
      </c>
      <c r="H101" s="21" t="s">
        <v>965</v>
      </c>
      <c r="I101" s="13">
        <v>43049.638611111113</v>
      </c>
      <c r="J101" s="7">
        <v>1</v>
      </c>
      <c r="K101" s="89" t="str">
        <f t="shared" si="29"/>
        <v>4059/4060</v>
      </c>
      <c r="L101" s="185" t="str">
        <f>VLOOKUP(A101,'Trips&amp;Operators'!$C$1:$G$99911,5,FALSE)</f>
        <v>SAFIEF AEIMEN</v>
      </c>
      <c r="M101" s="6">
        <f t="shared" si="30"/>
        <v>2.3842592592700385E-2</v>
      </c>
      <c r="N101" s="7">
        <f t="shared" si="47"/>
        <v>34.333333333488554</v>
      </c>
      <c r="O101" s="7"/>
      <c r="P101" s="7"/>
      <c r="Q101" s="22"/>
      <c r="R101" s="174"/>
      <c r="S101" s="221">
        <f t="shared" si="41"/>
        <v>1</v>
      </c>
      <c r="T101" s="174" t="str">
        <f t="shared" si="31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2"/>
        <v>https://d0f6bd738d7f1b3e5a7ca70fe4ff75f0.us-east-1.aws.found.io/app/kibana#/discover/Steve-Slow-Train-Analysis-(2080s-and-2083s)?_g=(refreshInterval:(display:Off,pause:!f,section:0,value:0),time:(from:'2017-11-10T13:38:17-0700',mode:absolute,to:'2017-11-10T16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1" s="204" t="str">
        <f>IF(AA101&lt;VLOOKUP(AG101,Variables!$AC$3:$AD$8,2,FALSE),"Y","N")</f>
        <v>N</v>
      </c>
      <c r="X101" s="204">
        <f t="shared" si="33"/>
        <v>1</v>
      </c>
      <c r="Y101" s="204">
        <f t="shared" si="34"/>
        <v>5.0799999999999998E-2</v>
      </c>
      <c r="Z101" s="204">
        <f t="shared" si="35"/>
        <v>23.318200000000001</v>
      </c>
      <c r="AA101" s="204">
        <f t="shared" si="36"/>
        <v>23.267400000000002</v>
      </c>
      <c r="AB101" s="54" t="e">
        <f>VLOOKUP(A101,Enforcements!$C$7:$K$9,8,0)</f>
        <v>#N/A</v>
      </c>
      <c r="AC101" s="51" t="e">
        <f>VLOOKUP(A101,Enforcements!$C$7:$E$9,3,0)</f>
        <v>#N/A</v>
      </c>
      <c r="AD101" s="179">
        <f t="shared" si="37"/>
        <v>189</v>
      </c>
      <c r="AE101" s="77" t="str">
        <f t="shared" si="38"/>
        <v>aws s3 cp s3://rtdc.mdm.uploadarchive.raw/RTDC4060/ "%USERPROFILE%\AppData\Local\Temp\OnboardLogs"\RTDC4060\2017-11-10 --exclude "*" --recursive --include "*20171110*" &amp; "%USERPROFILE%\Documents\GitHub\mrs-test-scripts\Headless Mode &amp; Sideloading\WalkAndUnGZ.bat" "%USERPROFILE%\AppData\Local\Temp\OnboardLogs"\RTDC4060\2017-11-10 &amp; aws s3 cp s3://rtdc.mdm.uploadarchive.raw/RTDC4060/ "%USERPROFILE%\AppData\Local\Temp\OnboardLogs"\RTDC4060\2017-11-11 --exclude "*" --recursive --include "*20171111*" &amp; "%USERPROFILE%\Documents\GitHub\mrs-test-scripts\Headless Mode &amp; Sideloading\WalkAndUnGZ.bat" "%USERPROFILE%\AppData\Local\Temp\OnboardLogs"\RTDC4060\2017-11-11</v>
      </c>
      <c r="AF101" s="74" t="str">
        <f t="shared" si="39"/>
        <v>"C:\Program Files (x86)\AstroGrep\AstroGrep.exe" /e /r /s /spath="%USERPROFILE%\AppData\Local\Temp\OnboardLogs" /stypes="app*4060*20171110*" /stext=" 22:.+((SYSTEM_STATE.+slice.+state.+changed )|(ment ac)|(multiple cpu faults)|(system.+state.+changed )|(\[timeout)|(PRM\|1\|D)|(kpr)|(kdp)|(train st.+moving)|(\|lc)|(penalty))"</v>
      </c>
      <c r="AG101" s="182" t="str">
        <f t="shared" si="40"/>
        <v>EC</v>
      </c>
      <c r="AH101" s="78" t="str">
        <f t="shared" si="42"/>
        <v>"%USERPROFILE%\Documents\GitHub\eaglep3\Utilities\RefineRTDCRunTimes.py" --tripid 189-10 --locoid 4060 --swversion DE.1.0.9.0 --startMP 204:508 --initTime 2017-11-10T14:38:17 --startdatetime 2017-11-10T14:45:16 --delay 76 --endMP 204:233182 --enddatetime 2017-11-10T15:19:36 --enforcementcount 1 &gt;&gt;%USERPROFILE%\Documents\GitHub\eaglep3-reporting\EC\2017-11-10-refined-times.txt</v>
      </c>
      <c r="AI101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{"issue":{"subject":"","project_id":79,"tracker_id":40,"status_id":1,"priority_id":2,"assigned_to_id":338,"start_date":"2017-11-10","description":"","custom_fields":[{"id":1,"name":"Subdivision","value":"EC"},{"id":4,"name":"Milepost","value":"23.3182"},{"id":17,"name":"Train ID","value":"189-10"},{"id":16,"name":"Locomotive ID","value":"4060"},{"id":130,"name":"Impact","value":""},{"id":150,"name":"Time of Event (Mountain Time)","value":"15:19:36"},{"id":151,"name":"Denver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44"/>
        <v>start /low /b %USERPROFILE%\Documents\GitHub\eaglep3\Utilities\DownloadLogsFromS3.py --loco 4060 --day 2017-11-10</v>
      </c>
      <c r="AN101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22:19:36"},{"id":29,"name":"Sharepoint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6"/>
        <v>https://d0f6bd738d7f1b3e5a7ca70fe4ff75f0.us-east-1.aws.found.io/app/kibana#/discover/Steve-Slow-Train-Analysis-(2080s-and-2083s)?_g=(refreshInterval:(display:Off,pause:!f,section:0,value:0),time:(from:'2017-11-10T13:38:17-0700',mode:absolute,to:'2017-11-10T16:19:36-0700'))&amp;_a=(columns:!('Message%20ID',Summary),filters:!(),index:'emp_*',interval:auto,query:(query_string:(analyze_wildcard:!t,query:'%22rtdc.l.rtdc.4060%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652</v>
      </c>
      <c r="B102" s="7">
        <v>4059</v>
      </c>
      <c r="C102" s="21" t="s">
        <v>192</v>
      </c>
      <c r="D102" s="21" t="s">
        <v>923</v>
      </c>
      <c r="E102" s="13">
        <v>43049.642233796294</v>
      </c>
      <c r="F102" s="13">
        <v>43049.654363425929</v>
      </c>
      <c r="G102" s="7">
        <v>72</v>
      </c>
      <c r="H102" s="21" t="s">
        <v>483</v>
      </c>
      <c r="I102" s="13">
        <v>43049.681192129632</v>
      </c>
      <c r="J102" s="7">
        <v>1</v>
      </c>
      <c r="K102" s="89" t="str">
        <f t="shared" si="29"/>
        <v>4059/4060</v>
      </c>
      <c r="L102" s="185" t="str">
        <f>VLOOKUP(A102,'Trips&amp;Operators'!$C$1:$G$99911,5,FALSE)</f>
        <v>SAFIEF AEIMEN</v>
      </c>
      <c r="M102" s="6">
        <f t="shared" si="30"/>
        <v>2.6828703703358769E-2</v>
      </c>
      <c r="N102" s="7">
        <f t="shared" si="47"/>
        <v>38.633333332836628</v>
      </c>
      <c r="O102" s="7"/>
      <c r="P102" s="7"/>
      <c r="Q102" s="22"/>
      <c r="R102" s="174"/>
      <c r="S102" s="221">
        <f t="shared" si="41"/>
        <v>1</v>
      </c>
      <c r="T102" s="174" t="str">
        <f t="shared" si="31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2"/>
        <v>https://d0f6bd738d7f1b3e5a7ca70fe4ff75f0.us-east-1.aws.found.io/app/kibana#/discover/Steve-Slow-Train-Analysis-(2080s-and-2083s)?_g=(refreshInterval:(display:Off,pause:!f,section:0,value:0),time:(from:'2017-11-10T14:24:49-0700',mode:absolute,to:'2017-11-10T17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2" s="204" t="str">
        <f>IF(AA102&lt;VLOOKUP(AG102,Variables!$AC$3:$AD$8,2,FALSE),"Y","N")</f>
        <v>N</v>
      </c>
      <c r="X102" s="204">
        <f t="shared" si="33"/>
        <v>1</v>
      </c>
      <c r="Y102" s="204">
        <f t="shared" si="34"/>
        <v>23.285699999999999</v>
      </c>
      <c r="Z102" s="204">
        <f t="shared" si="35"/>
        <v>2.0899999999999998E-2</v>
      </c>
      <c r="AA102" s="204">
        <f t="shared" si="36"/>
        <v>23.264799999999997</v>
      </c>
      <c r="AB102" s="54" t="e">
        <f>VLOOKUP(A102,Enforcements!$C$7:$K$9,8,0)</f>
        <v>#N/A</v>
      </c>
      <c r="AC102" s="51" t="e">
        <f>VLOOKUP(A102,Enforcements!$C$7:$E$9,3,0)</f>
        <v>#N/A</v>
      </c>
      <c r="AD102" s="179">
        <f t="shared" si="37"/>
        <v>190</v>
      </c>
      <c r="AE102" s="77" t="str">
        <f t="shared" si="38"/>
        <v>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 &amp; 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</v>
      </c>
      <c r="AF102" s="74" t="str">
        <f t="shared" si="39"/>
        <v>"C:\Program Files (x86)\AstroGrep\AstroGrep.exe" /e /r /s /spath="%USERPROFILE%\AppData\Local\Temp\OnboardLogs" /stypes="app*4059*20171110*" /stext=" 23:.+((SYSTEM_STATE.+slice.+state.+changed )|(ment ac)|(multiple cpu faults)|(system.+state.+changed )|(\[timeout)|(PRM\|1\|D)|(kpr)|(kdp)|(train st.+moving)|(\|lc)|(penalty))"</v>
      </c>
      <c r="AG102" s="182" t="str">
        <f t="shared" si="40"/>
        <v>EC</v>
      </c>
      <c r="AH102" s="78" t="str">
        <f t="shared" si="42"/>
        <v>"%USERPROFILE%\Documents\GitHub\eaglep3\Utilities\RefineRTDCRunTimes.py" --tripid 190-10 --locoid 4059 --swversion DE.1.0.9.0 --startMP 204:232857 --initTime 2017-11-10T15:24:49 --startdatetime 2017-11-10T15:42:17 --delay 72 --endMP 204:209 --enddatetime 2017-11-10T16:20:55 --enforcementcount 1 &gt;&gt;%USERPROFILE%\Documents\GitHub\eaglep3-reporting\EC\2017-11-10-refined-times.txt</v>
      </c>
      <c r="AI102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{"issue":{"subject":"","project_id":79,"tracker_id":40,"status_id":1,"priority_id":2,"assigned_to_id":338,"start_date":"2017-11-10","description":"","custom_fields":[{"id":1,"name":"Subdivision","value":"EC"},{"id":4,"name":"Milepost","value":"0.0209"},{"id":17,"name":"Train ID","value":"190-10"},{"id":16,"name":"Locomotive ID","value":"4059"},{"id":130,"name":"Impact","value":""},{"id":150,"name":"Time of Event (Mountain Time)","value":"16:20:55"},{"id":151,"name":"Denver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44"/>
        <v>start /low /b %USERPROFILE%\Documents\GitHub\eaglep3\Utilities\DownloadLogsFromS3.py --loco 4059 --day 2017-11-10</v>
      </c>
      <c r="AN102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23:20:55"},{"id":29,"name":"Sharepoint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6"/>
        <v>https://d0f6bd738d7f1b3e5a7ca70fe4ff75f0.us-east-1.aws.found.io/app/kibana#/discover/Steve-Slow-Train-Analysis-(2080s-and-2083s)?_g=(refreshInterval:(display:Off,pause:!f,section:0,value:0),time:(from:'2017-11-10T14:24:49-0700',mode:absolute,to:'2017-11-10T17:20:55-0700'))&amp;_a=(columns:!('Message%20ID',Summary),filters:!(),index:'emp_*',interval:auto,query:(query_string:(analyze_wildcard:!t,query:'%22rtdc.l.rtdc.4059%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793</v>
      </c>
      <c r="B103" s="7">
        <v>4016</v>
      </c>
      <c r="C103" s="21" t="s">
        <v>192</v>
      </c>
      <c r="D103" s="21" t="s">
        <v>604</v>
      </c>
      <c r="E103" s="13">
        <v>43049.621631944443</v>
      </c>
      <c r="F103" s="13">
        <v>43049.625254629631</v>
      </c>
      <c r="G103" s="7">
        <v>71</v>
      </c>
      <c r="H103" s="21" t="s">
        <v>493</v>
      </c>
      <c r="I103" s="13">
        <v>43049.649548611109</v>
      </c>
      <c r="J103" s="7">
        <v>1</v>
      </c>
      <c r="K103" s="89" t="str">
        <f t="shared" si="29"/>
        <v>4015/4016</v>
      </c>
      <c r="L103" s="185" t="str">
        <f>VLOOKUP(A103,'Trips&amp;Operators'!$C$1:$G$99911,5,FALSE)</f>
        <v>BRUDER RICHARD</v>
      </c>
      <c r="M103" s="6">
        <f t="shared" si="30"/>
        <v>2.4293981477967463E-2</v>
      </c>
      <c r="N103" s="7">
        <f t="shared" si="47"/>
        <v>34.983333328273147</v>
      </c>
      <c r="O103" s="7"/>
      <c r="P103" s="7"/>
      <c r="Q103" s="22"/>
      <c r="R103" s="174"/>
      <c r="S103" s="221">
        <f t="shared" si="41"/>
        <v>1</v>
      </c>
      <c r="T103" s="174" t="str">
        <f t="shared" si="31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2"/>
        <v>https://d0f6bd738d7f1b3e5a7ca70fe4ff75f0.us-east-1.aws.found.io/app/kibana#/discover/Steve-Slow-Train-Analysis-(2080s-and-2083s)?_g=(refreshInterval:(display:Off,pause:!f,section:0,value:0),time:(from:'2017-11-10T13:55:09-0700',mode:absolute,to:'2017-11-10T16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3" s="204" t="str">
        <f>IF(AA103&lt;VLOOKUP(AG103,Variables!$AC$3:$AD$8,2,FALSE),"Y","N")</f>
        <v>N</v>
      </c>
      <c r="X103" s="204">
        <f t="shared" si="33"/>
        <v>1</v>
      </c>
      <c r="Y103" s="204">
        <f t="shared" si="34"/>
        <v>5.4600000000000003E-2</v>
      </c>
      <c r="Z103" s="204">
        <f t="shared" si="35"/>
        <v>23.321000000000002</v>
      </c>
      <c r="AA103" s="204">
        <f t="shared" si="36"/>
        <v>23.266400000000001</v>
      </c>
      <c r="AB103" s="54" t="e">
        <f>VLOOKUP(A103,Enforcements!$C$7:$K$9,8,0)</f>
        <v>#N/A</v>
      </c>
      <c r="AC103" s="51" t="e">
        <f>VLOOKUP(A103,Enforcements!$C$7:$E$9,3,0)</f>
        <v>#N/A</v>
      </c>
      <c r="AD103" s="179">
        <f t="shared" si="37"/>
        <v>191</v>
      </c>
      <c r="AE103" s="77" t="str">
        <f t="shared" si="38"/>
        <v>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 &amp; aws s3 cp s3://rtdc.mdm.uploadarchive.raw/RTDC4016/ "%USERPROFILE%\AppData\Local\Temp\OnboardLogs"\RTDC4016\2017-11-11 --exclude "*" --recursive --include "*20171111*" &amp; "%USERPROFILE%\Documents\GitHub\mrs-test-scripts\Headless Mode &amp; Sideloading\WalkAndUnGZ.bat" "%USERPROFILE%\AppData\Local\Temp\OnboardLogs"\RTDC4016\2017-11-11</v>
      </c>
      <c r="AF103" s="74" t="str">
        <f t="shared" si="39"/>
        <v>"C:\Program Files (x86)\AstroGrep\AstroGrep.exe" /e /r /s /spath="%USERPROFILE%\AppData\Local\Temp\OnboardLogs" /stypes="app*4016*20171110*" /stext=" 22:.+((SYSTEM_STATE.+slice.+state.+changed )|(ment ac)|(multiple cpu faults)|(system.+state.+changed )|(\[timeout)|(PRM\|1\|D)|(kpr)|(kdp)|(train st.+moving)|(\|lc)|(penalty))"</v>
      </c>
      <c r="AG103" s="182" t="str">
        <f t="shared" si="40"/>
        <v>EC</v>
      </c>
      <c r="AH103" s="78" t="str">
        <f t="shared" si="42"/>
        <v>"%USERPROFILE%\Documents\GitHub\eaglep3\Utilities\RefineRTDCRunTimes.py" --tripid 191-10 --locoid 4016 --swversion DE.1.0.9.0 --startMP 204:546 --initTime 2017-11-10T14:55:09 --startdatetime 2017-11-10T15:00:22 --delay 71 --endMP 204:233210 --enddatetime 2017-11-10T15:35:21 --enforcementcount 1 &gt;&gt;%USERPROFILE%\Documents\GitHub\eaglep3-reporting\EC\2017-11-10-refined-times.txt</v>
      </c>
      <c r="AI103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{"issue":{"subject":"","project_id":79,"tracker_id":40,"status_id":1,"priority_id":2,"assigned_to_id":338,"start_date":"2017-11-10","description":"","custom_fields":[{"id":1,"name":"Subdivision","value":"EC"},{"id":4,"name":"Milepost","value":"23.321"},{"id":17,"name":"Train ID","value":"191-10"},{"id":16,"name":"Locomotive ID","value":"4016"},{"id":130,"name":"Impact","value":""},{"id":150,"name":"Time of Event (Mountain Time)","value":"15:35:21"},{"id":151,"name":"Denver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44"/>
        <v>start /low /b %USERPROFILE%\Documents\GitHub\eaglep3\Utilities\DownloadLogsFromS3.py --loco 4016 --day 2017-11-10</v>
      </c>
      <c r="AN103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22:35:21"},{"id":29,"name":"Sharepoint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6"/>
        <v>https://d0f6bd738d7f1b3e5a7ca70fe4ff75f0.us-east-1.aws.found.io/app/kibana#/discover/Steve-Slow-Train-Analysis-(2080s-and-2083s)?_g=(refreshInterval:(display:Off,pause:!f,section:0,value:0),time:(from:'2017-11-10T13:55:09-0700',mode:absolute,to:'2017-11-10T16:35:21-0700'))&amp;_a=(columns:!('Message%20ID',Summary),filters:!(),index:'emp_*',interval:auto,query:(query_string:(analyze_wildcard:!t,query:'%22rtdc.l.rtdc.4016%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653</v>
      </c>
      <c r="B104" s="7">
        <v>4015</v>
      </c>
      <c r="C104" s="21" t="s">
        <v>192</v>
      </c>
      <c r="D104" s="21" t="s">
        <v>942</v>
      </c>
      <c r="E104" s="13">
        <v>43049.66138888889</v>
      </c>
      <c r="F104" s="13">
        <v>43049.664803240739</v>
      </c>
      <c r="G104" s="7">
        <v>63</v>
      </c>
      <c r="H104" s="21" t="s">
        <v>618</v>
      </c>
      <c r="I104" s="13">
        <v>43049.692696759259</v>
      </c>
      <c r="J104" s="7">
        <v>1</v>
      </c>
      <c r="K104" s="89" t="str">
        <f t="shared" si="29"/>
        <v>4015/4016</v>
      </c>
      <c r="L104" s="185" t="str">
        <f>VLOOKUP(A104,'Trips&amp;Operators'!$C$1:$G$99911,5,FALSE)</f>
        <v>BRUDER RICHARD</v>
      </c>
      <c r="M104" s="6">
        <f t="shared" si="30"/>
        <v>2.789351851970423E-2</v>
      </c>
      <c r="N104" s="7">
        <f t="shared" si="47"/>
        <v>40.166666668374091</v>
      </c>
      <c r="O104" s="7"/>
      <c r="P104" s="7"/>
      <c r="Q104" s="22"/>
      <c r="R104" s="174" t="s">
        <v>1112</v>
      </c>
      <c r="S104" s="221">
        <f t="shared" si="41"/>
        <v>1</v>
      </c>
      <c r="T104" s="174" t="str">
        <f t="shared" si="31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2"/>
        <v>https://d0f6bd738d7f1b3e5a7ca70fe4ff75f0.us-east-1.aws.found.io/app/kibana#/discover/Steve-Slow-Train-Analysis-(2080s-and-2083s)?_g=(refreshInterval:(display:Off,pause:!f,section:0,value:0),time:(from:'2017-11-10T14:52:24-0700',mode:absolute,to:'2017-11-10T17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4" s="204" t="str">
        <f>IF(AA104&lt;VLOOKUP(AG104,Variables!$AC$3:$AD$8,2,FALSE),"Y","N")</f>
        <v>N</v>
      </c>
      <c r="X104" s="204">
        <f t="shared" si="33"/>
        <v>1</v>
      </c>
      <c r="Y104" s="204">
        <f t="shared" si="34"/>
        <v>23.29</v>
      </c>
      <c r="Z104" s="204">
        <f t="shared" si="35"/>
        <v>2.18E-2</v>
      </c>
      <c r="AA104" s="204">
        <f t="shared" si="36"/>
        <v>23.2682</v>
      </c>
      <c r="AB104" s="54" t="e">
        <f>VLOOKUP(A104,Enforcements!$C$7:$K$9,8,0)</f>
        <v>#N/A</v>
      </c>
      <c r="AC104" s="51" t="e">
        <f>VLOOKUP(A104,Enforcements!$C$7:$E$9,3,0)</f>
        <v>#N/A</v>
      </c>
      <c r="AD104" s="179">
        <f t="shared" si="37"/>
        <v>192</v>
      </c>
      <c r="AE104" s="77" t="str">
        <f t="shared" si="38"/>
        <v>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 &amp; 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</v>
      </c>
      <c r="AF104" s="74" t="str">
        <f t="shared" si="39"/>
        <v>"C:\Program Files (x86)\AstroGrep\AstroGrep.exe" /e /r /s /spath="%USERPROFILE%\AppData\Local\Temp\OnboardLogs" /stypes="app*4015*20171110*" /stext=" 23:.+((SYSTEM_STATE.+slice.+state.+changed )|(ment ac)|(multiple cpu faults)|(system.+state.+changed )|(\[timeout)|(PRM\|1\|D)|(kpr)|(kdp)|(train st.+moving)|(\|lc)|(penalty))"</v>
      </c>
      <c r="AG104" s="182" t="str">
        <f t="shared" si="40"/>
        <v>EC</v>
      </c>
      <c r="AH104" s="78" t="str">
        <f t="shared" si="42"/>
        <v>"%USERPROFILE%\Documents\GitHub\eaglep3\Utilities\RefineRTDCRunTimes.py" --tripid 192-10 --locoid 4015 --swversion DE.1.0.9.0 --startMP 204:232900 --initTime 2017-11-10T15:52:24 --startdatetime 2017-11-10T15:57:19 --delay 63 --endMP 204:218 --enddatetime 2017-11-10T16:37:29 --enforcementcount 1 &gt;&gt;%USERPROFILE%\Documents\GitHub\eaglep3-reporting\EC\2017-11-10-refined-times.txt</v>
      </c>
      <c r="AI104" s="96" t="str">
        <f t="shared" si="43"/>
        <v>echo {"issue":{"subject":"Minor en route failure caused fault detected banner, system recovered","project_id":79,"tracker_id":40,"status_id":1,"priority_id":2,"assigned_to_id":338,"start_date":"2017-11-10","description":"","custom_fields":[{"id":1,"name":"Subdivision","value":"EC"},{"id":4,"name":"Milepost","value":"0.0218"},{"id":17,"name":"Train ID","value":"192-10"},{"id":16,"name":"Locomotive ID","value":"4015"},{"id":130,"name":"Impact","value":""},{"id":150,"name":"Time of Event (Mountain Time)","value":"16:37:29"},{"id":151,"name":"Denver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4"/>
        <v>start /low /b %USERPROFILE%\Documents\GitHub\eaglep3\Utilities\DownloadLogsFromS3.py --loco 4015 --day 2017-11-10</v>
      </c>
      <c r="AN104" s="151" t="str">
        <f t="shared" si="45"/>
        <v>echo {"issue":{"subject":"Minor en route failure caused fault detected banner, system recovered","project_id":30,"tracker_id":4,"status_id":1,"priority_id":1,"assigned_to_id":10,"start_date":"2017-11-10","description":"","custom_fields":[{"id":30,"name":"Category","value":"Issue"},{"id":3,"name":"Functional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23:37:29"},{"id":29,"name":"Sharepoint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6"/>
        <v>https://d0f6bd738d7f1b3e5a7ca70fe4ff75f0.us-east-1.aws.found.io/app/kibana#/discover/Steve-Slow-Train-Analysis-(2080s-and-2083s)?_g=(refreshInterval:(display:Off,pause:!f,section:0,value:0),time:(from:'2017-11-10T14:52:24-0700',mode:absolute,to:'2017-11-10T17:37:29-0700'))&amp;_a=(columns:!('Message%20ID',Summary),filters:!(),index:'emp_*',interval:auto,query:(query_string:(analyze_wildcard:!t,query:'%22rtdc.l.rtdc.4015%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796</v>
      </c>
      <c r="B105" s="7">
        <v>4028</v>
      </c>
      <c r="C105" s="21" t="s">
        <v>192</v>
      </c>
      <c r="D105" s="21" t="s">
        <v>541</v>
      </c>
      <c r="E105" s="13">
        <v>43049.631030092591</v>
      </c>
      <c r="F105" s="13">
        <v>43049.635613425926</v>
      </c>
      <c r="G105" s="7">
        <v>59</v>
      </c>
      <c r="H105" s="21" t="s">
        <v>966</v>
      </c>
      <c r="I105" s="13">
        <v>43049.661689814813</v>
      </c>
      <c r="J105" s="7">
        <v>1</v>
      </c>
      <c r="K105" s="89" t="str">
        <f t="shared" si="29"/>
        <v>4027/4028</v>
      </c>
      <c r="L105" s="185" t="str">
        <f>VLOOKUP(A105,'Trips&amp;Operators'!$C$1:$G$99911,5,FALSE)</f>
        <v>LEVERE CRAIG</v>
      </c>
      <c r="M105" s="6">
        <f t="shared" si="30"/>
        <v>2.6076388887304347E-2</v>
      </c>
      <c r="N105" s="7">
        <f t="shared" si="47"/>
        <v>37.54999999771826</v>
      </c>
      <c r="O105" s="7"/>
      <c r="P105" s="7"/>
      <c r="Q105" s="22"/>
      <c r="R105" s="174"/>
      <c r="S105" s="221">
        <f t="shared" si="41"/>
        <v>1</v>
      </c>
      <c r="T105" s="174" t="str">
        <f t="shared" si="31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2"/>
        <v>https://d0f6bd738d7f1b3e5a7ca70fe4ff75f0.us-east-1.aws.found.io/app/kibana#/discover/Steve-Slow-Train-Analysis-(2080s-and-2083s)?_g=(refreshInterval:(display:Off,pause:!f,section:0,value:0),time:(from:'2017-11-10T14:08:41-0700',mode:absolute,to:'2017-11-10T16:52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5" s="204" t="str">
        <f>IF(AA105&lt;VLOOKUP(AG105,Variables!$AC$3:$AD$8,2,FALSE),"Y","N")</f>
        <v>N</v>
      </c>
      <c r="X105" s="204">
        <f t="shared" si="33"/>
        <v>1</v>
      </c>
      <c r="Y105" s="204">
        <f t="shared" si="34"/>
        <v>5.11E-2</v>
      </c>
      <c r="Z105" s="204">
        <f t="shared" si="35"/>
        <v>23.3203</v>
      </c>
      <c r="AA105" s="204">
        <f t="shared" si="36"/>
        <v>23.269199999999998</v>
      </c>
      <c r="AB105" s="54" t="e">
        <f>VLOOKUP(A105,Enforcements!$C$7:$K$9,8,0)</f>
        <v>#N/A</v>
      </c>
      <c r="AC105" s="51" t="e">
        <f>VLOOKUP(A105,Enforcements!$C$7:$E$9,3,0)</f>
        <v>#N/A</v>
      </c>
      <c r="AD105" s="179">
        <f t="shared" si="37"/>
        <v>193</v>
      </c>
      <c r="AE105" s="77" t="str">
        <f t="shared" si="38"/>
        <v>aws s3 cp s3://rtdc.mdm.uploadarchive.raw/RTDC4028/ "%USERPROFILE%\AppData\Local\Temp\OnboardLogs"\RTDC4028\2017-11-10 --exclude "*" --recursive --include "*20171110*" &amp; "%USERPROFILE%\Documents\GitHub\mrs-test-scripts\Headless Mode &amp; Sideloading\WalkAndUnGZ.bat" "%USERPROFILE%\AppData\Local\Temp\OnboardLogs"\RTDC4028\2017-11-10 &amp; aws s3 cp s3://rtdc.mdm.uploadarchive.raw/RTDC4028/ "%USERPROFILE%\AppData\Local\Temp\OnboardLogs"\RTDC4028\2017-11-11 --exclude "*" --recursive --include "*20171111*" &amp; "%USERPROFILE%\Documents\GitHub\mrs-test-scripts\Headless Mode &amp; Sideloading\WalkAndUnGZ.bat" "%USERPROFILE%\AppData\Local\Temp\OnboardLogs"\RTDC4028\2017-11-11</v>
      </c>
      <c r="AF105" s="74" t="str">
        <f t="shared" si="39"/>
        <v>"C:\Program Files (x86)\AstroGrep\AstroGrep.exe" /e /r /s /spath="%USERPROFILE%\AppData\Local\Temp\OnboardLogs" /stypes="app*4028*20171110*" /stext=" 22:.+((SYSTEM_STATE.+slice.+state.+changed )|(ment ac)|(multiple cpu faults)|(system.+state.+changed )|(\[timeout)|(PRM\|1\|D)|(kpr)|(kdp)|(train st.+moving)|(\|lc)|(penalty))"</v>
      </c>
      <c r="AG105" s="182" t="str">
        <f t="shared" si="40"/>
        <v>EC</v>
      </c>
      <c r="AH105" s="78" t="str">
        <f t="shared" si="42"/>
        <v>"%USERPROFILE%\Documents\GitHub\eaglep3\Utilities\RefineRTDCRunTimes.py" --tripid 193-10 --locoid 4028 --swversion DE.1.0.9.0 --startMP 204:511 --initTime 2017-11-10T15:08:41 --startdatetime 2017-11-10T15:15:17 --delay 59 --endMP 204:233203 --enddatetime 2017-11-10T15:52:50 --enforcementcount 1 &gt;&gt;%USERPROFILE%\Documents\GitHub\eaglep3-reporting\EC\2017-11-10-refined-times.txt</v>
      </c>
      <c r="AI105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{"issue":{"subject":"","project_id":79,"tracker_id":40,"status_id":1,"priority_id":2,"assigned_to_id":338,"start_date":"2017-11-10","description":"","custom_fields":[{"id":1,"name":"Subdivision","value":"EC"},{"id":4,"name":"Milepost","value":"23.3203"},{"id":17,"name":"Train ID","value":"193-10"},{"id":16,"name":"Locomotive ID","value":"4028"},{"id":130,"name":"Impact","value":""},{"id":150,"name":"Time of Event (Mountain Time)","value":"15:52:50"},{"id":151,"name":"Denver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44"/>
        <v>start /low /b %USERPROFILE%\Documents\GitHub\eaglep3\Utilities\DownloadLogsFromS3.py --loco 4028 --day 2017-11-10</v>
      </c>
      <c r="AN105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22:52:50"},{"id":29,"name":"Sharepoint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6"/>
        <v>https://d0f6bd738d7f1b3e5a7ca70fe4ff75f0.us-east-1.aws.found.io/app/kibana#/discover/Steve-Slow-Train-Analysis-(2080s-and-2083s)?_g=(refreshInterval:(display:Off,pause:!f,section:0,value:0),time:(from:'2017-11-10T14:08:41-0700',mode:absolute,to:'2017-11-10T16:52:50-0700'))&amp;_a=(columns:!('Message%20ID',Summary),filters:!(),index:'emp_*',interval:auto,query:(query_string:(analyze_wildcard:!t,query:'%22rtdc.l.rtdc.4028%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805</v>
      </c>
      <c r="B106" s="7">
        <v>4027</v>
      </c>
      <c r="C106" s="21" t="s">
        <v>192</v>
      </c>
      <c r="D106" s="21" t="s">
        <v>944</v>
      </c>
      <c r="E106" s="13">
        <v>43049.669733796298</v>
      </c>
      <c r="F106" s="13">
        <v>43049.675173611111</v>
      </c>
      <c r="G106" s="7">
        <v>67</v>
      </c>
      <c r="H106" s="21" t="s">
        <v>967</v>
      </c>
      <c r="I106" s="13">
        <v>43049.702361111114</v>
      </c>
      <c r="J106" s="7">
        <v>1</v>
      </c>
      <c r="K106" s="89" t="str">
        <f t="shared" si="29"/>
        <v>4027/4028</v>
      </c>
      <c r="L106" s="185" t="str">
        <f>VLOOKUP(A106,'Trips&amp;Operators'!$C$1:$G$99911,5,FALSE)</f>
        <v>LEVERE CRAIG</v>
      </c>
      <c r="M106" s="6">
        <f t="shared" si="30"/>
        <v>2.718750000349246E-2</v>
      </c>
      <c r="N106" s="7">
        <f t="shared" si="47"/>
        <v>39.150000005029142</v>
      </c>
      <c r="O106" s="7"/>
      <c r="P106" s="7"/>
      <c r="Q106" s="22"/>
      <c r="R106" s="174"/>
      <c r="S106" s="221">
        <f t="shared" si="41"/>
        <v>1</v>
      </c>
      <c r="T106" s="174" t="str">
        <f t="shared" si="31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2"/>
        <v>https://d0f6bd738d7f1b3e5a7ca70fe4ff75f0.us-east-1.aws.found.io/app/kibana#/discover/Steve-Slow-Train-Analysis-(2080s-and-2083s)?_g=(refreshInterval:(display:Off,pause:!f,section:0,value:0),time:(from:'2017-11-10T15:04:25-0700',mode:absolute,to:'2017-11-10T17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6" s="204" t="str">
        <f>IF(AA106&lt;VLOOKUP(AG106,Variables!$AC$3:$AD$8,2,FALSE),"Y","N")</f>
        <v>N</v>
      </c>
      <c r="X106" s="204">
        <f t="shared" si="33"/>
        <v>1</v>
      </c>
      <c r="Y106" s="204">
        <f t="shared" si="34"/>
        <v>23.2879</v>
      </c>
      <c r="Z106" s="204">
        <f t="shared" si="35"/>
        <v>2.4899999999999999E-2</v>
      </c>
      <c r="AA106" s="204">
        <f t="shared" si="36"/>
        <v>23.263000000000002</v>
      </c>
      <c r="AB106" s="54" t="e">
        <f>VLOOKUP(A106,Enforcements!$C$7:$K$9,8,0)</f>
        <v>#N/A</v>
      </c>
      <c r="AC106" s="51" t="e">
        <f>VLOOKUP(A106,Enforcements!$C$7:$E$9,3,0)</f>
        <v>#N/A</v>
      </c>
      <c r="AD106" s="179">
        <f t="shared" si="37"/>
        <v>194</v>
      </c>
      <c r="AE106" s="77" t="str">
        <f t="shared" si="38"/>
        <v>aws s3 cp s3://rtdc.mdm.uploadarchive.raw/RTDC4027/ "%USERPROFILE%\AppData\Local\Temp\OnboardLogs"\RTDC4027\2017-11-10 --exclude "*" --recursive --include "*20171110*" &amp; "%USERPROFILE%\Documents\GitHub\mrs-test-scripts\Headless Mode &amp; Sideloading\WalkAndUnGZ.bat" "%USERPROFILE%\AppData\Local\Temp\OnboardLogs"\RTDC4027\2017-11-10 &amp; aws s3 cp s3://rtdc.mdm.uploadarchive.raw/RTDC4027/ "%USERPROFILE%\AppData\Local\Temp\OnboardLogs"\RTDC4027\2017-11-11 --exclude "*" --recursive --include "*20171111*" &amp; "%USERPROFILE%\Documents\GitHub\mrs-test-scripts\Headless Mode &amp; Sideloading\WalkAndUnGZ.bat" "%USERPROFILE%\AppData\Local\Temp\OnboardLogs"\RTDC4027\2017-11-11</v>
      </c>
      <c r="AF106" s="74" t="str">
        <f t="shared" si="39"/>
        <v>"C:\Program Files (x86)\AstroGrep\AstroGrep.exe" /e /r /s /spath="%USERPROFILE%\AppData\Local\Temp\OnboardLogs" /stypes="app*4027*20171110*" /stext=" 23:.+((SYSTEM_STATE.+slice.+state.+changed )|(ment ac)|(multiple cpu faults)|(system.+state.+changed )|(\[timeout)|(PRM\|1\|D)|(kpr)|(kdp)|(train st.+moving)|(\|lc)|(penalty))"</v>
      </c>
      <c r="AG106" s="182" t="str">
        <f t="shared" si="40"/>
        <v>EC</v>
      </c>
      <c r="AH106" s="78" t="str">
        <f t="shared" si="42"/>
        <v>"%USERPROFILE%\Documents\GitHub\eaglep3\Utilities\RefineRTDCRunTimes.py" --tripid 194-10 --locoid 4027 --swversion DE.1.0.9.0 --startMP 204:232879 --initTime 2017-11-10T16:04:25 --startdatetime 2017-11-10T16:12:15 --delay 67 --endMP 204:249 --enddatetime 2017-11-10T16:51:24 --enforcementcount 1 &gt;&gt;%USERPROFILE%\Documents\GitHub\eaglep3-reporting\EC\2017-11-10-refined-times.txt</v>
      </c>
      <c r="AI106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{"issue":{"subject":"","project_id":79,"tracker_id":40,"status_id":1,"priority_id":2,"assigned_to_id":338,"start_date":"2017-11-10","description":"","custom_fields":[{"id":1,"name":"Subdivision","value":"EC"},{"id":4,"name":"Milepost","value":"0.0249"},{"id":17,"name":"Train ID","value":"194-10"},{"id":16,"name":"Locomotive ID","value":"4027"},{"id":130,"name":"Impact","value":""},{"id":150,"name":"Time of Event (Mountain Time)","value":"16:51:24"},{"id":151,"name":"Denver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4"/>
        <v>start /low /b %USERPROFILE%\Documents\GitHub\eaglep3\Utilities\DownloadLogsFromS3.py --loco 4027 --day 2017-11-10</v>
      </c>
      <c r="AN106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23:51:24"},{"id":29,"name":"Sharepoint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6"/>
        <v>https://d0f6bd738d7f1b3e5a7ca70fe4ff75f0.us-east-1.aws.found.io/app/kibana#/discover/Steve-Slow-Train-Analysis-(2080s-and-2083s)?_g=(refreshInterval:(display:Off,pause:!f,section:0,value:0),time:(from:'2017-11-10T15:04:25-0700',mode:absolute,to:'2017-11-10T17:51:24-0700'))&amp;_a=(columns:!('Message%20ID',Summary),filters:!(),index:'emp_*',interval:auto,query:(query_string:(analyze_wildcard:!t,query:'%22rtdc.l.rtdc.4027%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651</v>
      </c>
      <c r="B107" s="7">
        <v>4050</v>
      </c>
      <c r="C107" s="21" t="s">
        <v>192</v>
      </c>
      <c r="D107" s="21" t="s">
        <v>917</v>
      </c>
      <c r="E107" s="13">
        <v>43049.640300925923</v>
      </c>
      <c r="F107" s="13">
        <v>43049.646157407406</v>
      </c>
      <c r="G107" s="7">
        <v>59</v>
      </c>
      <c r="H107" s="21" t="s">
        <v>912</v>
      </c>
      <c r="I107" s="13">
        <v>43049.671979166669</v>
      </c>
      <c r="J107" s="7">
        <v>1</v>
      </c>
      <c r="K107" s="89" t="str">
        <f t="shared" si="29"/>
        <v>4049/4050</v>
      </c>
      <c r="L107" s="185" t="str">
        <f>VLOOKUP(A107,'Trips&amp;Operators'!$C$1:$G$99911,5,FALSE)</f>
        <v>FORTUNATO FRANK</v>
      </c>
      <c r="M107" s="6">
        <f t="shared" si="30"/>
        <v>2.5821759263635613E-2</v>
      </c>
      <c r="N107" s="7">
        <f t="shared" si="47"/>
        <v>37.183333339635283</v>
      </c>
      <c r="O107" s="7"/>
      <c r="P107" s="7"/>
      <c r="Q107" s="22"/>
      <c r="R107" s="174"/>
      <c r="S107" s="221">
        <f t="shared" si="41"/>
        <v>1</v>
      </c>
      <c r="T107" s="174" t="str">
        <f t="shared" si="31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2"/>
        <v>https://d0f6bd738d7f1b3e5a7ca70fe4ff75f0.us-east-1.aws.found.io/app/kibana#/discover/Steve-Slow-Train-Analysis-(2080s-and-2083s)?_g=(refreshInterval:(display:Off,pause:!f,section:0,value:0),time:(from:'2017-11-10T14:22:02-0700',mode:absolute,to:'2017-11-10T17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7" s="204" t="str">
        <f>IF(AA107&lt;VLOOKUP(AG107,Variables!$AC$3:$AD$8,2,FALSE),"Y","N")</f>
        <v>N</v>
      </c>
      <c r="X107" s="204">
        <f t="shared" si="33"/>
        <v>1</v>
      </c>
      <c r="Y107" s="204">
        <f t="shared" si="34"/>
        <v>0.05</v>
      </c>
      <c r="Z107" s="204">
        <f t="shared" si="35"/>
        <v>23.319099999999999</v>
      </c>
      <c r="AA107" s="204">
        <f t="shared" si="36"/>
        <v>23.269099999999998</v>
      </c>
      <c r="AB107" s="54" t="str">
        <f>VLOOKUP(A107,Enforcements!$C$7:$K$9,8,0)</f>
        <v>Bulletin (2)</v>
      </c>
      <c r="AC107" s="51" t="str">
        <f>VLOOKUP(A107,Enforcements!$C$7:$E$9,3,0)</f>
        <v>GRADE CROSSING</v>
      </c>
      <c r="AD107" s="179">
        <f t="shared" si="37"/>
        <v>195</v>
      </c>
      <c r="AE107" s="77" t="str">
        <f t="shared" si="38"/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AF107" s="74" t="str">
        <f t="shared" si="39"/>
        <v>"C:\Program Files (x86)\AstroGrep\AstroGrep.exe" /e /r /s /spath="%USERPROFILE%\AppData\Local\Temp\OnboardLogs" /stypes="app*4050*20171110*" /stext=" 23:.+((SYSTEM_STATE.+slice.+state.+changed )|(ment ac)|(multiple cpu faults)|(system.+state.+changed )|(\[timeout)|(PRM\|1\|D)|(kpr)|(kdp)|(train st.+moving)|(\|lc)|(penalty))"</v>
      </c>
      <c r="AG107" s="182" t="str">
        <f t="shared" si="40"/>
        <v>EC</v>
      </c>
      <c r="AH107" s="78" t="str">
        <f t="shared" si="42"/>
        <v>"%USERPROFILE%\Documents\GitHub\eaglep3\Utilities\RefineRTDCRunTimes.py" --tripid 195-10 --locoid 4050 --swversion DE.1.0.9.0 --startMP 204:500 --initTime 2017-11-10T15:22:02 --startdatetime 2017-11-10T15:30:28 --delay 59 --endMP 204:233191 --enddatetime 2017-11-10T16:07:39 --enforcementcount 1 &gt;&gt;%USERPROFILE%\Documents\GitHub\eaglep3-reporting\EC\2017-11-10-refined-times.txt</v>
      </c>
      <c r="AI107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{"issue":{"subject":"","project_id":79,"tracker_id":40,"status_id":1,"priority_id":2,"assigned_to_id":338,"start_date":"2017-11-10","description":"","custom_fields":[{"id":1,"name":"Subdivision","value":"EC"},{"id":4,"name":"Milepost","value":"23.3191"},{"id":17,"name":"Train ID","value":"195-10"},{"id":16,"name":"Locomotive ID","value":"4050"},{"id":130,"name":"Impact","value":""},{"id":150,"name":"Time of Event (Mountain Time)","value":"16:07:39"},{"id":151,"name":"Denver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4"/>
        <v>start /low /b %USERPROFILE%\Documents\GitHub\eaglep3\Utilities\DownloadLogsFromS3.py --loco 4050 --day 2017-11-10</v>
      </c>
      <c r="AN107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6"/>
        <v>https://d0f6bd738d7f1b3e5a7ca70fe4ff75f0.us-east-1.aws.found.io/app/kibana#/discover/Steve-Slow-Train-Analysis-(2080s-and-2083s)?_g=(refreshInterval:(display:Off,pause:!f,section:0,value:0),time:(from:'2017-11-10T14:22:02-0700',mode:absolute,to:'2017-11-10T17:07:39-0700'))&amp;_a=(columns:!('Message%20ID',Summary),filters:!(),index:'emp_*',interval:auto,query:(query_string:(analyze_wildcard:!t,query:'%22rtdc.l.rtdc.4050%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807</v>
      </c>
      <c r="B108" s="7">
        <v>4049</v>
      </c>
      <c r="C108" s="21" t="s">
        <v>192</v>
      </c>
      <c r="D108" s="21" t="s">
        <v>968</v>
      </c>
      <c r="E108" s="13">
        <v>43049.673020833332</v>
      </c>
      <c r="F108" s="13">
        <v>43049.685624999998</v>
      </c>
      <c r="G108" s="7">
        <v>48</v>
      </c>
      <c r="H108" s="21" t="s">
        <v>969</v>
      </c>
      <c r="I108" s="13">
        <v>43049.713043981479</v>
      </c>
      <c r="J108" s="7">
        <v>1</v>
      </c>
      <c r="K108" s="89" t="str">
        <f t="shared" si="29"/>
        <v>4049/4050</v>
      </c>
      <c r="L108" s="185" t="str">
        <f>VLOOKUP(A108,'Trips&amp;Operators'!$C$1:$G$99911,5,FALSE)</f>
        <v>FORTUNATO FRANK</v>
      </c>
      <c r="M108" s="6">
        <f t="shared" si="30"/>
        <v>2.7418981480877846E-2</v>
      </c>
      <c r="N108" s="7">
        <f t="shared" si="47"/>
        <v>39.483333332464099</v>
      </c>
      <c r="O108" s="7"/>
      <c r="P108" s="7"/>
      <c r="Q108" s="22"/>
      <c r="R108" s="174"/>
      <c r="S108" s="221">
        <f t="shared" si="41"/>
        <v>1</v>
      </c>
      <c r="T108" s="174" t="str">
        <f t="shared" si="31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2"/>
        <v>https://d0f6bd738d7f1b3e5a7ca70fe4ff75f0.us-east-1.aws.found.io/app/kibana#/discover/Steve-Slow-Train-Analysis-(2080s-and-2083s)?_g=(refreshInterval:(display:Off,pause:!f,section:0,value:0),time:(from:'2017-11-10T15:09:09-0700',mode:absolute,to:'2017-11-10T18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8" s="204" t="str">
        <f>IF(AA108&lt;VLOOKUP(AG108,Variables!$AC$3:$AD$8,2,FALSE),"Y","N")</f>
        <v>N</v>
      </c>
      <c r="X108" s="204">
        <f t="shared" si="33"/>
        <v>1</v>
      </c>
      <c r="Y108" s="204">
        <f t="shared" si="34"/>
        <v>23.286999999999999</v>
      </c>
      <c r="Z108" s="204">
        <f t="shared" si="35"/>
        <v>1.9599999999999999E-2</v>
      </c>
      <c r="AA108" s="204">
        <f t="shared" si="36"/>
        <v>23.267399999999999</v>
      </c>
      <c r="AB108" s="54" t="e">
        <f>VLOOKUP(A108,Enforcements!$C$7:$K$9,8,0)</f>
        <v>#N/A</v>
      </c>
      <c r="AC108" s="51" t="e">
        <f>VLOOKUP(A108,Enforcements!$C$7:$E$9,3,0)</f>
        <v>#N/A</v>
      </c>
      <c r="AD108" s="179">
        <f t="shared" si="37"/>
        <v>196</v>
      </c>
      <c r="AE108" s="77" t="str">
        <f t="shared" si="38"/>
        <v>aws s3 cp s3://rtdc.mdm.uploadarchive.raw/RTDC4049/ "%USERPROFILE%\AppData\Local\Temp\OnboardLogs"\RTDC4049\2017-11-10 --exclude "*" --recursive --include "*20171110*" &amp; "%USERPROFILE%\Documents\GitHub\mrs-test-scripts\Headless Mode &amp; Sideloading\WalkAndUnGZ.bat" "%USERPROFILE%\AppData\Local\Temp\OnboardLogs"\RTDC4049\2017-11-10 &amp; aws s3 cp s3://rtdc.mdm.uploadarchive.raw/RTDC4049/ "%USERPROFILE%\AppData\Local\Temp\OnboardLogs"\RTDC4049\2017-11-11 --exclude "*" --recursive --include "*20171111*" &amp; "%USERPROFILE%\Documents\GitHub\mrs-test-scripts\Headless Mode &amp; Sideloading\WalkAndUnGZ.bat" "%USERPROFILE%\AppData\Local\Temp\OnboardLogs"\RTDC4049\2017-11-11</v>
      </c>
      <c r="AF108" s="74" t="str">
        <f t="shared" si="39"/>
        <v>"C:\Program Files (x86)\AstroGrep\AstroGrep.exe" /e /r /s /spath="%USERPROFILE%\AppData\Local\Temp\OnboardLogs" /stypes="app*4049*20171111*" /stext=" 00:.+((SYSTEM_STATE.+slice.+state.+changed )|(ment ac)|(multiple cpu faults)|(system.+state.+changed )|(\[timeout)|(PRM\|1\|D)|(kpr)|(kdp)|(train st.+moving)|(\|lc)|(penalty))"</v>
      </c>
      <c r="AG108" s="182" t="str">
        <f t="shared" si="40"/>
        <v>EC</v>
      </c>
      <c r="AH108" s="78" t="str">
        <f t="shared" si="42"/>
        <v>"%USERPROFILE%\Documents\GitHub\eaglep3\Utilities\RefineRTDCRunTimes.py" --tripid 196-10 --locoid 4049 --swversion DE.1.0.9.0 --startMP 204:232870 --initTime 2017-11-10T16:09:09 --startdatetime 2017-11-10T16:27:18 --delay 48 --endMP 204:196 --enddatetime 2017-11-10T17:06:47 --enforcementcount 1 &gt;&gt;%USERPROFILE%\Documents\GitHub\eaglep3-reporting\EC\2017-11-10-refined-times.txt</v>
      </c>
      <c r="AI108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{"issue":{"subject":"","project_id":79,"tracker_id":40,"status_id":1,"priority_id":2,"assigned_to_id":338,"start_date":"2017-11-10","description":"","custom_fields":[{"id":1,"name":"Subdivision","value":"EC"},{"id":4,"name":"Milepost","value":"0.0196"},{"id":17,"name":"Train ID","value":"196-10"},{"id":16,"name":"Locomotive ID","value":"4049"},{"id":130,"name":"Impact","value":""},{"id":150,"name":"Time of Event (Mountain Time)","value":"17:06:47"},{"id":151,"name":"Denver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44"/>
        <v>start /low /b %USERPROFILE%\Documents\GitHub\eaglep3\Utilities\DownloadLogsFromS3.py --loco 4049 --day 2017-11-10</v>
      </c>
      <c r="AN108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00:06:47"},{"id":29,"name":"Sharepoint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6"/>
        <v>https://d0f6bd738d7f1b3e5a7ca70fe4ff75f0.us-east-1.aws.found.io/app/kibana#/discover/Steve-Slow-Train-Analysis-(2080s-and-2083s)?_g=(refreshInterval:(display:Off,pause:!f,section:0,value:0),time:(from:'2017-11-10T15:09:09-0700',mode:absolute,to:'2017-11-10T18:06:47-0700'))&amp;_a=(columns:!('Message%20ID',Summary),filters:!(),index:'emp_*',interval:auto,query:(query_string:(analyze_wildcard:!t,query:'%22rtdc.l.rtdc.4049%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801</v>
      </c>
      <c r="B109" s="7">
        <v>4012</v>
      </c>
      <c r="C109" s="21" t="s">
        <v>192</v>
      </c>
      <c r="D109" s="21" t="s">
        <v>970</v>
      </c>
      <c r="E109" s="13">
        <v>43049.650775462964</v>
      </c>
      <c r="F109" s="13">
        <v>43049.656423611108</v>
      </c>
      <c r="G109" s="7">
        <v>116</v>
      </c>
      <c r="H109" s="21" t="s">
        <v>452</v>
      </c>
      <c r="I109" s="13">
        <v>43049.684953703705</v>
      </c>
      <c r="J109" s="7">
        <v>1</v>
      </c>
      <c r="K109" s="89" t="str">
        <f t="shared" si="29"/>
        <v>4011/4012</v>
      </c>
      <c r="L109" s="185" t="str">
        <f>VLOOKUP(A109,'Trips&amp;Operators'!$C$1:$G$99911,5,FALSE)</f>
        <v>LEVIN SCOTT</v>
      </c>
      <c r="M109" s="6">
        <f t="shared" si="30"/>
        <v>2.8530092597065959E-2</v>
      </c>
      <c r="N109" s="7">
        <f t="shared" si="47"/>
        <v>41.083333339774981</v>
      </c>
      <c r="O109" s="7"/>
      <c r="P109" s="7"/>
      <c r="Q109" s="22"/>
      <c r="R109" s="174"/>
      <c r="S109" s="221">
        <f t="shared" si="41"/>
        <v>1</v>
      </c>
      <c r="T109" s="174" t="str">
        <f t="shared" si="31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2"/>
        <v>https://d0f6bd738d7f1b3e5a7ca70fe4ff75f0.us-east-1.aws.found.io/app/kibana#/discover/Steve-Slow-Train-Analysis-(2080s-and-2083s)?_g=(refreshInterval:(display:Off,pause:!f,section:0,value:0),time:(from:'2017-11-10T14:37:07-0700',mode:absolute,to:'2017-11-10T17:26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9" s="204" t="str">
        <f>IF(AA109&lt;VLOOKUP(AG109,Variables!$AC$3:$AD$8,2,FALSE),"Y","N")</f>
        <v>N</v>
      </c>
      <c r="X109" s="204">
        <f t="shared" si="33"/>
        <v>1</v>
      </c>
      <c r="Y109" s="204">
        <f t="shared" ref="Y109:Y140" si="48">RIGHT(D109,LEN(D109)-4)/10000</f>
        <v>5.4800000000000001E-2</v>
      </c>
      <c r="Z109" s="204">
        <f t="shared" ref="Z109:Z140" si="49">RIGHT(H109,LEN(H109)-4)/10000</f>
        <v>23.325700000000001</v>
      </c>
      <c r="AA109" s="204">
        <f t="shared" si="36"/>
        <v>23.270900000000001</v>
      </c>
      <c r="AB109" s="54" t="e">
        <f>VLOOKUP(A109,Enforcements!$C$7:$K$9,8,0)</f>
        <v>#N/A</v>
      </c>
      <c r="AC109" s="51" t="e">
        <f>VLOOKUP(A109,Enforcements!$C$7:$E$9,3,0)</f>
        <v>#N/A</v>
      </c>
      <c r="AD109" s="179">
        <f t="shared" si="37"/>
        <v>197</v>
      </c>
      <c r="AE109" s="77" t="str">
        <f t="shared" si="38"/>
        <v>aws s3 cp s3://rtdc.mdm.uploadarchive.raw/RTDC4012/ "%USERPROFILE%\AppData\Local\Temp\OnboardLogs"\RTDC4012\2017-11-10 --exclude "*" --recursive --include "*20171110*" &amp; "%USERPROFILE%\Documents\GitHub\mrs-test-scripts\Headless Mode &amp; Sideloading\WalkAndUnGZ.bat" "%USERPROFILE%\AppData\Local\Temp\OnboardLogs"\RTDC4012\2017-11-10 &amp; aws s3 cp s3://rtdc.mdm.uploadarchive.raw/RTDC4012/ "%USERPROFILE%\AppData\Local\Temp\OnboardLogs"\RTDC4012\2017-11-11 --exclude "*" --recursive --include "*20171111*" &amp; "%USERPROFILE%\Documents\GitHub\mrs-test-scripts\Headless Mode &amp; Sideloading\WalkAndUnGZ.bat" "%USERPROFILE%\AppData\Local\Temp\OnboardLogs"\RTDC4012\2017-11-11</v>
      </c>
      <c r="AF109" s="74" t="str">
        <f t="shared" si="39"/>
        <v>"C:\Program Files (x86)\AstroGrep\AstroGrep.exe" /e /r /s /spath="%USERPROFILE%\AppData\Local\Temp\OnboardLogs" /stypes="app*4012*20171110*" /stext=" 23:.+((SYSTEM_STATE.+slice.+state.+changed )|(ment ac)|(multiple cpu faults)|(system.+state.+changed )|(\[timeout)|(PRM\|1\|D)|(kpr)|(kdp)|(train st.+moving)|(\|lc)|(penalty))"</v>
      </c>
      <c r="AG109" s="182" t="str">
        <f t="shared" si="40"/>
        <v>EC</v>
      </c>
      <c r="AH109" s="78" t="str">
        <f t="shared" si="42"/>
        <v>"%USERPROFILE%\Documents\GitHub\eaglep3\Utilities\RefineRTDCRunTimes.py" --tripid 197-10 --locoid 4012 --swversion DE.1.0.9.0 --startMP 204:548 --initTime 2017-11-10T15:37:07 --startdatetime 2017-11-10T15:45:15 --delay 116 --endMP 204:233257 --enddatetime 2017-11-10T16:26:20 --enforcementcount 1 &gt;&gt;%USERPROFILE%\Documents\GitHub\eaglep3-reporting\EC\2017-11-10-refined-times.txt</v>
      </c>
      <c r="AI109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{"issue":{"subject":"","project_id":79,"tracker_id":40,"status_id":1,"priority_id":2,"assigned_to_id":338,"start_date":"2017-11-10","description":"","custom_fields":[{"id":1,"name":"Subdivision","value":"EC"},{"id":4,"name":"Milepost","value":"23.3257"},{"id":17,"name":"Train ID","value":"197-10"},{"id":16,"name":"Locomotive ID","value":"4012"},{"id":130,"name":"Impact","value":""},{"id":150,"name":"Time of Event (Mountain Time)","value":"16:26:20"},{"id":151,"name":"Denver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4"/>
        <v>start /low /b %USERPROFILE%\Documents\GitHub\eaglep3\Utilities\DownloadLogsFromS3.py --loco 4012 --day 2017-11-10</v>
      </c>
      <c r="AN109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23:26:20"},{"id":29,"name":"Sharepoint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6"/>
        <v>https://d0f6bd738d7f1b3e5a7ca70fe4ff75f0.us-east-1.aws.found.io/app/kibana#/discover/Steve-Slow-Train-Analysis-(2080s-and-2083s)?_g=(refreshInterval:(display:Off,pause:!f,section:0,value:0),time:(from:'2017-11-10T14:37:07-0700',mode:absolute,to:'2017-11-10T17:26:20-0700'))&amp;_a=(columns:!('Message%20ID',Summary),filters:!(),index:'emp_*',interval:auto,query:(query_string:(analyze_wildcard:!t,query:'%22rtdc.l.rtdc.4012%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812</v>
      </c>
      <c r="B110" s="7">
        <v>4011</v>
      </c>
      <c r="C110" s="21" t="s">
        <v>192</v>
      </c>
      <c r="D110" s="21" t="s">
        <v>546</v>
      </c>
      <c r="E110" s="13">
        <v>43049.693749999999</v>
      </c>
      <c r="F110" s="13">
        <v>43049.69599537037</v>
      </c>
      <c r="G110" s="7">
        <v>72</v>
      </c>
      <c r="H110" s="21" t="s">
        <v>916</v>
      </c>
      <c r="I110" s="13">
        <v>43049.722071759257</v>
      </c>
      <c r="J110" s="7">
        <v>1</v>
      </c>
      <c r="K110" s="89" t="str">
        <f t="shared" si="29"/>
        <v>4011/4012</v>
      </c>
      <c r="L110" s="185" t="str">
        <f>VLOOKUP(A110,'Trips&amp;Operators'!$C$1:$G$99911,5,FALSE)</f>
        <v>LEVIN SCOTT</v>
      </c>
      <c r="M110" s="6">
        <f t="shared" si="30"/>
        <v>2.6076388887304347E-2</v>
      </c>
      <c r="N110" s="7">
        <f t="shared" si="47"/>
        <v>37.54999999771826</v>
      </c>
      <c r="O110" s="7"/>
      <c r="P110" s="7"/>
      <c r="Q110" s="22"/>
      <c r="R110" s="174"/>
      <c r="S110" s="221">
        <f t="shared" ref="S110:S141" si="50">1/IF(AG110="EC",12,1)*SUM(U110:U110)</f>
        <v>1</v>
      </c>
      <c r="T110" s="174" t="str">
        <f t="shared" si="31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2"/>
        <v>https://d0f6bd738d7f1b3e5a7ca70fe4ff75f0.us-east-1.aws.found.io/app/kibana#/discover/Steve-Slow-Train-Analysis-(2080s-and-2083s)?_g=(refreshInterval:(display:Off,pause:!f,section:0,value:0),time:(from:'2017-11-10T15:39:00-0700',mode:absolute,to:'2017-11-10T18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0" s="204" t="str">
        <f>IF(AA110&lt;VLOOKUP(AG110,Variables!$AC$3:$AD$8,2,FALSE),"Y","N")</f>
        <v>N</v>
      </c>
      <c r="X110" s="204">
        <f t="shared" si="33"/>
        <v>1</v>
      </c>
      <c r="Y110" s="204">
        <f t="shared" si="48"/>
        <v>23.294599999999999</v>
      </c>
      <c r="Z110" s="204">
        <f t="shared" si="49"/>
        <v>1.9800000000000002E-2</v>
      </c>
      <c r="AA110" s="204">
        <f t="shared" si="36"/>
        <v>23.274799999999999</v>
      </c>
      <c r="AB110" s="54" t="e">
        <f>VLOOKUP(A110,Enforcements!$C$7:$K$9,8,0)</f>
        <v>#N/A</v>
      </c>
      <c r="AC110" s="51" t="e">
        <f>VLOOKUP(A110,Enforcements!$C$7:$E$9,3,0)</f>
        <v>#N/A</v>
      </c>
      <c r="AD110" s="179">
        <f t="shared" si="37"/>
        <v>198</v>
      </c>
      <c r="AE110" s="77" t="str">
        <f t="shared" si="38"/>
        <v>aws s3 cp s3://rtdc.mdm.uploadarchive.raw/RTDC4011/ "%USERPROFILE%\AppData\Local\Temp\OnboardLogs"\RTDC4011\2017-11-10 --exclude "*" --recursive --include "*20171110*" &amp; "%USERPROFILE%\Documents\GitHub\mrs-test-scripts\Headless Mode &amp; Sideloading\WalkAndUnGZ.bat" "%USERPROFILE%\AppData\Local\Temp\OnboardLogs"\RTDC4011\2017-11-10 &amp; aws s3 cp s3://rtdc.mdm.uploadarchive.raw/RTDC4011/ "%USERPROFILE%\AppData\Local\Temp\OnboardLogs"\RTDC4011\2017-11-11 --exclude "*" --recursive --include "*20171111*" &amp; "%USERPROFILE%\Documents\GitHub\mrs-test-scripts\Headless Mode &amp; Sideloading\WalkAndUnGZ.bat" "%USERPROFILE%\AppData\Local\Temp\OnboardLogs"\RTDC4011\2017-11-11</v>
      </c>
      <c r="AF110" s="74" t="str">
        <f t="shared" si="39"/>
        <v>"C:\Program Files (x86)\AstroGrep\AstroGrep.exe" /e /r /s /spath="%USERPROFILE%\AppData\Local\Temp\OnboardLogs" /stypes="app*4011*20171111*" /stext=" 00:.+((SYSTEM_STATE.+slice.+state.+changed )|(ment ac)|(multiple cpu faults)|(system.+state.+changed )|(\[timeout)|(PRM\|1\|D)|(kpr)|(kdp)|(train st.+moving)|(\|lc)|(penalty))"</v>
      </c>
      <c r="AG110" s="182" t="str">
        <f t="shared" si="40"/>
        <v>EC</v>
      </c>
      <c r="AH110" s="78" t="str">
        <f t="shared" si="42"/>
        <v>"%USERPROFILE%\Documents\GitHub\eaglep3\Utilities\RefineRTDCRunTimes.py" --tripid 198-10 --locoid 4011 --swversion DE.1.0.9.0 --startMP 204:232946 --initTime 2017-11-10T16:39:00 --startdatetime 2017-11-10T16:42:14 --delay 72 --endMP 204:198 --enddatetime 2017-11-10T17:19:47 --enforcementcount 1 &gt;&gt;%USERPROFILE%\Documents\GitHub\eaglep3-reporting\EC\2017-11-10-refined-times.txt</v>
      </c>
      <c r="AI110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{"issue":{"subject":"","project_id":79,"tracker_id":40,"status_id":1,"priority_id":2,"assigned_to_id":338,"start_date":"2017-11-10","description":"","custom_fields":[{"id":1,"name":"Subdivision","value":"EC"},{"id":4,"name":"Milepost","value":"0.0198"},{"id":17,"name":"Train ID","value":"198-10"},{"id":16,"name":"Locomotive ID","value":"4011"},{"id":130,"name":"Impact","value":""},{"id":150,"name":"Time of Event (Mountain Time)","value":"17:19:47"},{"id":151,"name":"Denver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4"/>
        <v>start /low /b %USERPROFILE%\Documents\GitHub\eaglep3\Utilities\DownloadLogsFromS3.py --loco 4011 --day 2017-11-10</v>
      </c>
      <c r="AN110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00:19:47"},{"id":29,"name":"Sharepoint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6"/>
        <v>https://d0f6bd738d7f1b3e5a7ca70fe4ff75f0.us-east-1.aws.found.io/app/kibana#/discover/Steve-Slow-Train-Analysis-(2080s-and-2083s)?_g=(refreshInterval:(display:Off,pause:!f,section:0,value:0),time:(from:'2017-11-10T15:39:00-0700',mode:absolute,to:'2017-11-10T18:19:47-0700'))&amp;_a=(columns:!('Message%20ID',Summary),filters:!(),index:'emp_*',interval:auto,query:(query_string:(analyze_wildcard:!t,query:'%22rtdc.l.rtdc.4011%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802</v>
      </c>
      <c r="B111" s="7">
        <v>4052</v>
      </c>
      <c r="C111" s="21" t="s">
        <v>192</v>
      </c>
      <c r="D111" s="21" t="s">
        <v>555</v>
      </c>
      <c r="E111" s="13">
        <v>43049.664583333331</v>
      </c>
      <c r="F111" s="13">
        <v>43049.668020833335</v>
      </c>
      <c r="G111" s="7">
        <v>87</v>
      </c>
      <c r="H111" s="21" t="s">
        <v>613</v>
      </c>
      <c r="I111" s="13">
        <v>43049.693761574075</v>
      </c>
      <c r="J111" s="7">
        <v>1</v>
      </c>
      <c r="K111" s="89" t="str">
        <f t="shared" si="29"/>
        <v>4051/4052</v>
      </c>
      <c r="L111" s="185" t="str">
        <f>VLOOKUP(A111,'Trips&amp;Operators'!$C$1:$G$99911,5,FALSE)</f>
        <v>BADERTSCHER DIANE</v>
      </c>
      <c r="M111" s="6">
        <f t="shared" si="30"/>
        <v>2.5740740740729962E-2</v>
      </c>
      <c r="N111" s="7">
        <f t="shared" ref="N111:N147" si="51">24*60*SUM($M111:$M111)</f>
        <v>37.066666666651145</v>
      </c>
      <c r="O111" s="7"/>
      <c r="P111" s="7"/>
      <c r="Q111" s="22"/>
      <c r="R111" s="174" t="s">
        <v>1107</v>
      </c>
      <c r="S111" s="221">
        <f t="shared" si="50"/>
        <v>1</v>
      </c>
      <c r="T111" s="174" t="str">
        <f t="shared" si="31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2"/>
        <v>https://d0f6bd738d7f1b3e5a7ca70fe4ff75f0.us-east-1.aws.found.io/app/kibana#/discover/Steve-Slow-Train-Analysis-(2080s-and-2083s)?_g=(refreshInterval:(display:Off,pause:!f,section:0,value:0),time:(from:'2017-11-10T14:57:00-0700',mode:absolute,to:'2017-11-10T17:39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1" s="204" t="str">
        <f>IF(AA111&lt;VLOOKUP(AG111,Variables!$AC$3:$AD$8,2,FALSE),"Y","N")</f>
        <v>N</v>
      </c>
      <c r="X111" s="204">
        <f t="shared" ref="X111:X112" si="52">VALUE(LEFT(AD111,4))-VALUE(LEFT(AD110,4))</f>
        <v>1</v>
      </c>
      <c r="Y111" s="204">
        <f t="shared" si="48"/>
        <v>5.2400000000000002E-2</v>
      </c>
      <c r="Z111" s="204">
        <f t="shared" si="49"/>
        <v>23.321300000000001</v>
      </c>
      <c r="AA111" s="204">
        <f t="shared" si="36"/>
        <v>23.268900000000002</v>
      </c>
      <c r="AB111" s="54" t="e">
        <f>VLOOKUP(A111,Enforcements!$C$7:$K$9,8,0)</f>
        <v>#N/A</v>
      </c>
      <c r="AC111" s="51" t="e">
        <f>VLOOKUP(A111,Enforcements!$C$7:$E$9,3,0)</f>
        <v>#N/A</v>
      </c>
      <c r="AD111" s="179">
        <f t="shared" si="37"/>
        <v>199</v>
      </c>
      <c r="AE111" s="77" t="str">
        <f t="shared" si="38"/>
        <v>aws s3 cp s3://rtdc.mdm.uploadarchive.raw/RTDC4052/ "%USERPROFILE%\AppData\Local\Temp\OnboardLogs"\RTDC4052\2017-11-10 --exclude "*" --recursive --include "*20171110*" &amp; "%USERPROFILE%\Documents\GitHub\mrs-test-scripts\Headless Mode &amp; Sideloading\WalkAndUnGZ.bat" "%USERPROFILE%\AppData\Local\Temp\OnboardLogs"\RTDC4052\2017-11-10 &amp; aws s3 cp s3://rtdc.mdm.uploadarchive.raw/RTDC4052/ "%USERPROFILE%\AppData\Local\Temp\OnboardLogs"\RTDC4052\2017-11-11 --exclude "*" --recursive --include "*20171111*" &amp; "%USERPROFILE%\Documents\GitHub\mrs-test-scripts\Headless Mode &amp; Sideloading\WalkAndUnGZ.bat" "%USERPROFILE%\AppData\Local\Temp\OnboardLogs"\RTDC4052\2017-11-11</v>
      </c>
      <c r="AF111" s="74" t="str">
        <f t="shared" si="39"/>
        <v>"C:\Program Files (x86)\AstroGrep\AstroGrep.exe" /e /r /s /spath="%USERPROFILE%\AppData\Local\Temp\OnboardLogs" /stypes="app*4052*20171110*" /stext=" 23:.+((SYSTEM_STATE.+slice.+state.+changed )|(ment ac)|(multiple cpu faults)|(system.+state.+changed )|(\[timeout)|(PRM\|1\|D)|(kpr)|(kdp)|(train st.+moving)|(\|lc)|(penalty))"</v>
      </c>
      <c r="AG111" s="182" t="str">
        <f t="shared" si="40"/>
        <v>EC</v>
      </c>
      <c r="AH111" s="78" t="str">
        <f t="shared" si="42"/>
        <v>"%USERPROFILE%\Documents\GitHub\eaglep3\Utilities\RefineRTDCRunTimes.py" --tripid 199-10 --locoid 4052 --swversion DE.1.0.9.0 --startMP 204:524 --initTime 2017-11-10T15:57:00 --startdatetime 2017-11-10T16:01:57 --delay 87 --endMP 204:233213 --enddatetime 2017-11-10T16:39:01 --enforcementcount 1 &gt;&gt;%USERPROFILE%\Documents\GitHub\eaglep3-reporting\EC\2017-11-10-refined-times.txt</v>
      </c>
      <c r="AI111" s="96" t="str">
        <f t="shared" si="43"/>
        <v>echo {"issue":{"subject":"Observed onboard en route failure during init, no PTC enforcement","project_id":79,"tracker_id":40,"status_id":1,"priority_id":2,"assigned_to_id":338,"start_date":"2017-11-10","description":"","custom_fields":[{"id":1,"name":"Subdivision","value":"EC"},{"id":4,"name":"Milepost","value":"23.3213"},{"id":17,"name":"Train ID","value":"199-10"},{"id":16,"name":"Locomotive ID","value":"4052"},{"id":130,"name":"Impact","value":""},{"id":150,"name":"Time of Event (Mountain Time)","value":"16:39:01"},{"id":151,"name":"Denver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44"/>
        <v>start /low /b %USERPROFILE%\Documents\GitHub\eaglep3\Utilities\DownloadLogsFromS3.py --loco 4052 --day 2017-11-10</v>
      </c>
      <c r="AN111" s="151" t="str">
        <f t="shared" si="45"/>
        <v>echo {"issue":{"subject":"Observed onboard en route failure during init, no PTC enforcement","project_id":30,"tracker_id":4,"status_id":1,"priority_id":1,"assigned_to_id":10,"start_date":"2017-11-10","description":"","custom_fields":[{"id":30,"name":"Category","value":"Issue"},{"id":3,"name":"Functional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23:39:01"},{"id":29,"name":"Sharepoint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6"/>
        <v>https://d0f6bd738d7f1b3e5a7ca70fe4ff75f0.us-east-1.aws.found.io/app/kibana#/discover/Steve-Slow-Train-Analysis-(2080s-and-2083s)?_g=(refreshInterval:(display:Off,pause:!f,section:0,value:0),time:(from:'2017-11-10T14:57:00-0700',mode:absolute,to:'2017-11-10T17:39:01-0700'))&amp;_a=(columns:!('Message%20ID',Summary),filters:!(),index:'emp_*',interval:auto,query:(query_string:(analyze_wildcard:!t,query:'%22rtdc.l.rtdc.4052%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814</v>
      </c>
      <c r="B112" s="7">
        <v>4051</v>
      </c>
      <c r="C112" s="21" t="s">
        <v>192</v>
      </c>
      <c r="D112" s="21" t="s">
        <v>934</v>
      </c>
      <c r="E112" s="13">
        <v>43049.699745370373</v>
      </c>
      <c r="F112" s="13">
        <v>43049.70648148148</v>
      </c>
      <c r="G112" s="7">
        <v>49</v>
      </c>
      <c r="H112" s="21" t="s">
        <v>594</v>
      </c>
      <c r="I112" s="13">
        <v>43049.734872685185</v>
      </c>
      <c r="J112" s="7">
        <v>1</v>
      </c>
      <c r="K112" s="89" t="str">
        <f t="shared" si="29"/>
        <v>4051/4052</v>
      </c>
      <c r="L112" s="185" t="str">
        <f>VLOOKUP(A112,'Trips&amp;Operators'!$C$1:$G$99911,5,FALSE)</f>
        <v>BADERTSCHER DIANE</v>
      </c>
      <c r="M112" s="6">
        <f t="shared" si="30"/>
        <v>2.8391203704813961E-2</v>
      </c>
      <c r="N112" s="7">
        <f t="shared" si="51"/>
        <v>40.883333334932104</v>
      </c>
      <c r="O112" s="7"/>
      <c r="P112" s="7"/>
      <c r="Q112" s="22"/>
      <c r="R112" s="174"/>
      <c r="S112" s="221">
        <f t="shared" si="50"/>
        <v>1</v>
      </c>
      <c r="T112" s="174" t="str">
        <f t="shared" si="31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2"/>
        <v>https://d0f6bd738d7f1b3e5a7ca70fe4ff75f0.us-east-1.aws.found.io/app/kibana#/discover/Steve-Slow-Train-Analysis-(2080s-and-2083s)?_g=(refreshInterval:(display:Off,pause:!f,section:0,value:0),time:(from:'2017-11-10T15:47:38-0700',mode:absolute,to:'2017-11-10T18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2" s="204" t="str">
        <f>IF(AA112&lt;VLOOKUP(AG112,Variables!$AC$3:$AD$8,2,FALSE),"Y","N")</f>
        <v>N</v>
      </c>
      <c r="X112" s="204">
        <f t="shared" si="52"/>
        <v>1</v>
      </c>
      <c r="Y112" s="204">
        <f t="shared" si="48"/>
        <v>23.290400000000002</v>
      </c>
      <c r="Z112" s="204">
        <f t="shared" si="49"/>
        <v>2.0299999999999999E-2</v>
      </c>
      <c r="AA112" s="204">
        <f t="shared" si="36"/>
        <v>23.270100000000003</v>
      </c>
      <c r="AB112" s="54" t="e">
        <f>VLOOKUP(A112,Enforcements!$C$7:$K$9,8,0)</f>
        <v>#N/A</v>
      </c>
      <c r="AC112" s="51" t="e">
        <f>VLOOKUP(A112,Enforcements!$C$7:$E$9,3,0)</f>
        <v>#N/A</v>
      </c>
      <c r="AD112" s="179">
        <f t="shared" si="37"/>
        <v>200</v>
      </c>
      <c r="AE112" s="77" t="str">
        <f t="shared" si="38"/>
        <v>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 &amp; 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</v>
      </c>
      <c r="AF112" s="74" t="str">
        <f t="shared" si="39"/>
        <v>"C:\Program Files (x86)\AstroGrep\AstroGrep.exe" /e /r /s /spath="%USERPROFILE%\AppData\Local\Temp\OnboardLogs" /stypes="app*4051*20171111*" /stext=" 00:.+((SYSTEM_STATE.+slice.+state.+changed )|(ment ac)|(multiple cpu faults)|(system.+state.+changed )|(\[timeout)|(PRM\|1\|D)|(kpr)|(kdp)|(train st.+moving)|(\|lc)|(penalty))"</v>
      </c>
      <c r="AG112" s="182" t="str">
        <f t="shared" si="40"/>
        <v>EC</v>
      </c>
      <c r="AH112" s="78" t="str">
        <f t="shared" si="42"/>
        <v>"%USERPROFILE%\Documents\GitHub\eaglep3\Utilities\RefineRTDCRunTimes.py" --tripid 200-10 --locoid 4051 --swversion DE.1.0.9.0 --startMP 204:232904 --initTime 2017-11-10T16:47:38 --startdatetime 2017-11-10T16:57:20 --delay 49 --endMP 204:203 --enddatetime 2017-11-10T17:38:13 --enforcementcount 1 &gt;&gt;%USERPROFILE%\Documents\GitHub\eaglep3-reporting\EC\2017-11-10-refined-times.txt</v>
      </c>
      <c r="AI112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{"issue":{"subject":"","project_id":79,"tracker_id":40,"status_id":1,"priority_id":2,"assigned_to_id":338,"start_date":"2017-11-10","description":"","custom_fields":[{"id":1,"name":"Subdivision","value":"EC"},{"id":4,"name":"Milepost","value":"0.0203"},{"id":17,"name":"Train ID","value":"200-10"},{"id":16,"name":"Locomotive ID","value":"4051"},{"id":130,"name":"Impact","value":""},{"id":150,"name":"Time of Event (Mountain Time)","value":"17:38:13"},{"id":151,"name":"Denver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44"/>
        <v>start /low /b %USERPROFILE%\Documents\GitHub\eaglep3\Utilities\DownloadLogsFromS3.py --loco 4051 --day 2017-11-10</v>
      </c>
      <c r="AN112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00:38:13"},{"id":29,"name":"Sharepoint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6"/>
        <v>https://d0f6bd738d7f1b3e5a7ca70fe4ff75f0.us-east-1.aws.found.io/app/kibana#/discover/Steve-Slow-Train-Analysis-(2080s-and-2083s)?_g=(refreshInterval:(display:Off,pause:!f,section:0,value:0),time:(from:'2017-11-10T15:47:38-0700',mode:absolute,to:'2017-11-10T18:38:13-0700'))&amp;_a=(columns:!('Message%20ID',Summary),filters:!(),index:'emp_*',interval:auto,query:(query_string:(analyze_wildcard:!t,query:'%22rtdc.l.rtdc.4051%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806</v>
      </c>
      <c r="B113" s="7">
        <v>4042</v>
      </c>
      <c r="C113" s="21" t="s">
        <v>192</v>
      </c>
      <c r="D113" s="21" t="s">
        <v>490</v>
      </c>
      <c r="E113" s="13">
        <v>43049.671481481484</v>
      </c>
      <c r="F113" s="13">
        <v>43049.677430555559</v>
      </c>
      <c r="G113" s="7">
        <v>54</v>
      </c>
      <c r="H113" s="21" t="s">
        <v>613</v>
      </c>
      <c r="I113" s="13">
        <v>43049.701886574076</v>
      </c>
      <c r="J113" s="7">
        <v>1</v>
      </c>
      <c r="K113" s="89" t="str">
        <f t="shared" si="29"/>
        <v>4041/4042</v>
      </c>
      <c r="L113" s="185" t="str">
        <f>VLOOKUP(A113,'Trips&amp;Operators'!$C$1:$G$99911,5,FALSE)</f>
        <v>HOLCOMB KAMDEN</v>
      </c>
      <c r="M113" s="6">
        <f t="shared" si="30"/>
        <v>2.4456018516502809E-2</v>
      </c>
      <c r="N113" s="7">
        <f t="shared" si="51"/>
        <v>35.216666663764045</v>
      </c>
      <c r="O113" s="7"/>
      <c r="P113" s="7"/>
      <c r="Q113" s="22"/>
      <c r="R113" s="174"/>
      <c r="S113" s="221">
        <f t="shared" si="50"/>
        <v>1</v>
      </c>
      <c r="T113" s="174" t="str">
        <f t="shared" si="31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2"/>
        <v>https://d0f6bd738d7f1b3e5a7ca70fe4ff75f0.us-east-1.aws.found.io/app/kibana#/discover/Steve-Slow-Train-Analysis-(2080s-and-2083s)?_g=(refreshInterval:(display:Off,pause:!f,section:0,value:0),time:(from:'2017-11-10T15:06:56-0700',mode:absolute,to:'2017-11-10T17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204" t="str">
        <f>IF(AA113&lt;VLOOKUP(AG113,Variables!$AC$3:$AD$8,2,FALSE),"Y","N")</f>
        <v>N</v>
      </c>
      <c r="X113" s="204">
        <f t="shared" ref="X113:X120" si="53">VALUE(LEFT(AD113,4))-VALUE(LEFT(AD112,4))</f>
        <v>1</v>
      </c>
      <c r="Y113" s="204">
        <f t="shared" si="48"/>
        <v>5.3100000000000001E-2</v>
      </c>
      <c r="Z113" s="204">
        <f t="shared" si="49"/>
        <v>23.321300000000001</v>
      </c>
      <c r="AA113" s="204">
        <f t="shared" si="36"/>
        <v>23.2682</v>
      </c>
      <c r="AB113" s="54" t="e">
        <f>VLOOKUP(A113,Enforcements!$C$7:$K$9,8,0)</f>
        <v>#N/A</v>
      </c>
      <c r="AC113" s="51" t="e">
        <f>VLOOKUP(A113,Enforcements!$C$7:$E$9,3,0)</f>
        <v>#N/A</v>
      </c>
      <c r="AD113" s="179">
        <f t="shared" si="37"/>
        <v>201</v>
      </c>
      <c r="AE113" s="77" t="str">
        <f t="shared" si="38"/>
        <v>aws s3 cp s3://rtdc.mdm.uploadarchive.raw/RTDC4042/ "%USERPROFILE%\AppData\Local\Temp\OnboardLogs"\RTDC4042\2017-11-10 --exclude "*" --recursive --include "*20171110*" &amp; "%USERPROFILE%\Documents\GitHub\mrs-test-scripts\Headless Mode &amp; Sideloading\WalkAndUnGZ.bat" "%USERPROFILE%\AppData\Local\Temp\OnboardLogs"\RTDC4042\2017-11-10 &amp; aws s3 cp s3://rtdc.mdm.uploadarchive.raw/RTDC4042/ "%USERPROFILE%\AppData\Local\Temp\OnboardLogs"\RTDC4042\2017-11-11 --exclude "*" --recursive --include "*20171111*" &amp; "%USERPROFILE%\Documents\GitHub\mrs-test-scripts\Headless Mode &amp; Sideloading\WalkAndUnGZ.bat" "%USERPROFILE%\AppData\Local\Temp\OnboardLogs"\RTDC4042\2017-11-11</v>
      </c>
      <c r="AF113" s="74" t="str">
        <f t="shared" si="39"/>
        <v>"C:\Program Files (x86)\AstroGrep\AstroGrep.exe" /e /r /s /spath="%USERPROFILE%\AppData\Local\Temp\OnboardLogs" /stypes="app*4042*20171110*" /stext=" 23:.+((SYSTEM_STATE.+slice.+state.+changed )|(ment ac)|(multiple cpu faults)|(system.+state.+changed )|(\[timeout)|(PRM\|1\|D)|(kpr)|(kdp)|(train st.+moving)|(\|lc)|(penalty))"</v>
      </c>
      <c r="AG113" s="182" t="str">
        <f t="shared" si="40"/>
        <v>EC</v>
      </c>
      <c r="AH113" s="78" t="str">
        <f t="shared" si="42"/>
        <v>"%USERPROFILE%\Documents\GitHub\eaglep3\Utilities\RefineRTDCRunTimes.py" --tripid 201-10 --locoid 4042 --swversion DE.1.0.9.0 --startMP 204:531 --initTime 2017-11-10T16:06:56 --startdatetime 2017-11-10T16:15:30 --delay 54 --endMP 204:233213 --enddatetime 2017-11-10T16:50:43 --enforcementcount 1 &gt;&gt;%USERPROFILE%\Documents\GitHub\eaglep3-reporting\EC\2017-11-10-refined-times.txt</v>
      </c>
      <c r="AI113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{"issue":{"subject":"","project_id":79,"tracker_id":40,"status_id":1,"priority_id":2,"assigned_to_id":338,"start_date":"2017-11-10","description":"","custom_fields":[{"id":1,"name":"Subdivision","value":"EC"},{"id":4,"name":"Milepost","value":"23.3213"},{"id":17,"name":"Train ID","value":"201-10"},{"id":16,"name":"Locomotive ID","value":"4042"},{"id":130,"name":"Impact","value":""},{"id":150,"name":"Time of Event (Mountain Time)","value":"16:50:43"},{"id":151,"name":"Denver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4"/>
        <v>start /low /b %USERPROFILE%\Documents\GitHub\eaglep3\Utilities\DownloadLogsFromS3.py --loco 4042 --day 2017-11-10</v>
      </c>
      <c r="AN113" s="151" t="str">
        <f t="shared" si="4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23:50:43"},{"id":29,"name":"Sharepoint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6"/>
        <v>https://d0f6bd738d7f1b3e5a7ca70fe4ff75f0.us-east-1.aws.found.io/app/kibana#/discover/Steve-Slow-Train-Analysis-(2080s-and-2083s)?_g=(refreshInterval:(display:Off,pause:!f,section:0,value:0),time:(from:'2017-11-10T15:06:56-0700',mode:absolute,to:'2017-11-10T17:50:43-0700'))&amp;_a=(columns:!('Message%20ID',Summary),filters:!(),index:'emp_*',interval:auto,query:(query_string:(analyze_wildcard:!t,query:'%22rtdc.l.rtdc.4042%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820</v>
      </c>
      <c r="B114" s="7">
        <v>4041</v>
      </c>
      <c r="C114" s="21" t="s">
        <v>192</v>
      </c>
      <c r="D114" s="21" t="s">
        <v>971</v>
      </c>
      <c r="E114" s="13">
        <v>43049.714155092595</v>
      </c>
      <c r="F114" s="13">
        <v>43049.716990740744</v>
      </c>
      <c r="G114" s="7">
        <v>54</v>
      </c>
      <c r="H114" s="21" t="s">
        <v>451</v>
      </c>
      <c r="I114" s="13">
        <v>43049.742488425924</v>
      </c>
      <c r="J114" s="7">
        <v>1</v>
      </c>
      <c r="K114" s="89" t="str">
        <f t="shared" si="29"/>
        <v>4041/4042</v>
      </c>
      <c r="L114" s="185" t="str">
        <f>VLOOKUP(A114,'Trips&amp;Operators'!$C$1:$G$99911,5,FALSE)</f>
        <v>HOLCOMB KAMDEN</v>
      </c>
      <c r="M114" s="6">
        <f t="shared" si="30"/>
        <v>2.5497685179288965E-2</v>
      </c>
      <c r="N114" s="7">
        <f t="shared" si="51"/>
        <v>36.716666658176109</v>
      </c>
      <c r="O114" s="7"/>
      <c r="P114" s="7"/>
      <c r="Q114" s="22"/>
      <c r="R114" s="174"/>
      <c r="S114" s="221">
        <f t="shared" si="50"/>
        <v>1</v>
      </c>
      <c r="T114" s="174" t="str">
        <f t="shared" si="31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2"/>
        <v>https://d0f6bd738d7f1b3e5a7ca70fe4ff75f0.us-east-1.aws.found.io/app/kibana#/discover/Steve-Slow-Train-Analysis-(2080s-and-2083s)?_g=(refreshInterval:(display:Off,pause:!f,section:0,value:0),time:(from:'2017-11-10T16:08:23-0700',mode:absolute,to:'2017-11-10T18:49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204" t="str">
        <f>IF(AA114&lt;VLOOKUP(AG114,Variables!$AC$3:$AD$8,2,FALSE),"Y","N")</f>
        <v>N</v>
      </c>
      <c r="X114" s="204">
        <f t="shared" si="53"/>
        <v>1</v>
      </c>
      <c r="Y114" s="204">
        <f t="shared" si="48"/>
        <v>23.2881</v>
      </c>
      <c r="Z114" s="204">
        <f t="shared" si="49"/>
        <v>2.07E-2</v>
      </c>
      <c r="AA114" s="204">
        <f t="shared" si="36"/>
        <v>23.267399999999999</v>
      </c>
      <c r="AB114" s="54" t="e">
        <f>VLOOKUP(A114,Enforcements!$C$7:$K$9,8,0)</f>
        <v>#N/A</v>
      </c>
      <c r="AC114" s="51" t="e">
        <f>VLOOKUP(A114,Enforcements!$C$7:$E$9,3,0)</f>
        <v>#N/A</v>
      </c>
      <c r="AD114" s="179">
        <f t="shared" si="37"/>
        <v>202</v>
      </c>
      <c r="AE114" s="77" t="str">
        <f t="shared" si="38"/>
        <v>aws s3 cp s3://rtdc.mdm.uploadarchive.raw/RTDC4041/ "%USERPROFILE%\AppData\Local\Temp\OnboardLogs"\RTDC4041\2017-11-10 --exclude "*" --recursive --include "*20171110*" &amp; "%USERPROFILE%\Documents\GitHub\mrs-test-scripts\Headless Mode &amp; Sideloading\WalkAndUnGZ.bat" "%USERPROFILE%\AppData\Local\Temp\OnboardLogs"\RTDC4041\2017-11-10 &amp; aws s3 cp s3://rtdc.mdm.uploadarchive.raw/RTDC4041/ "%USERPROFILE%\AppData\Local\Temp\OnboardLogs"\RTDC4041\2017-11-11 --exclude "*" --recursive --include "*20171111*" &amp; "%USERPROFILE%\Documents\GitHub\mrs-test-scripts\Headless Mode &amp; Sideloading\WalkAndUnGZ.bat" "%USERPROFILE%\AppData\Local\Temp\OnboardLogs"\RTDC4041\2017-11-11</v>
      </c>
      <c r="AF114" s="74" t="str">
        <f t="shared" si="39"/>
        <v>"C:\Program Files (x86)\AstroGrep\AstroGrep.exe" /e /r /s /spath="%USERPROFILE%\AppData\Local\Temp\OnboardLogs" /stypes="app*4041*20171111*" /stext=" 00:.+((SYSTEM_STATE.+slice.+state.+changed )|(ment ac)|(multiple cpu faults)|(system.+state.+changed )|(\[timeout)|(PRM\|1\|D)|(kpr)|(kdp)|(train st.+moving)|(\|lc)|(penalty))"</v>
      </c>
      <c r="AG114" s="182" t="str">
        <f t="shared" si="40"/>
        <v>EC</v>
      </c>
      <c r="AH114" s="78" t="str">
        <f t="shared" si="42"/>
        <v>"%USERPROFILE%\Documents\GitHub\eaglep3\Utilities\RefineRTDCRunTimes.py" --tripid 202-10 --locoid 4041 --swversion DE.1.0.9.0 --startMP 204:232881 --initTime 2017-11-10T17:08:23 --startdatetime 2017-11-10T17:12:28 --delay 54 --endMP 204:207 --enddatetime 2017-11-10T17:49:11 --enforcementcount 1 &gt;&gt;%USERPROFILE%\Documents\GitHub\eaglep3-reporting\EC\2017-11-10-refined-times.txt</v>
      </c>
      <c r="AI114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{"issue":{"subject":"","project_id":79,"tracker_id":40,"status_id":1,"priority_id":2,"assigned_to_id":338,"start_date":"2017-11-10","description":"","custom_fields":[{"id":1,"name":"Subdivision","value":"EC"},{"id":4,"name":"Milepost","value":"0.0207"},{"id":17,"name":"Train ID","value":"202-10"},{"id":16,"name":"Locomotive ID","value":"4041"},{"id":130,"name":"Impact","value":""},{"id":150,"name":"Time of Event (Mountain Time)","value":"17:49:11"},{"id":151,"name":"Denver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4"/>
        <v>start /low /b %USERPROFILE%\Documents\GitHub\eaglep3\Utilities\DownloadLogsFromS3.py --loco 4041 --day 2017-11-10</v>
      </c>
      <c r="AN114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00:49:11"},{"id":29,"name":"Sharepoint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6"/>
        <v>https://d0f6bd738d7f1b3e5a7ca70fe4ff75f0.us-east-1.aws.found.io/app/kibana#/discover/Steve-Slow-Train-Analysis-(2080s-and-2083s)?_g=(refreshInterval:(display:Off,pause:!f,section:0,value:0),time:(from:'2017-11-10T16:08:23-0700',mode:absolute,to:'2017-11-10T18:49:11-0700'))&amp;_a=(columns:!('Message%20ID',Summary),filters:!(),index:'emp_*',interval:auto,query:(query_string:(analyze_wildcard:!t,query:'%22rtdc.l.rtdc.4041%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808</v>
      </c>
      <c r="B115" s="7">
        <v>4060</v>
      </c>
      <c r="C115" s="21" t="s">
        <v>192</v>
      </c>
      <c r="D115" s="21" t="s">
        <v>450</v>
      </c>
      <c r="E115" s="13">
        <v>43049.684374999997</v>
      </c>
      <c r="F115" s="13">
        <v>43049.6877662037</v>
      </c>
      <c r="G115" s="7">
        <v>98</v>
      </c>
      <c r="H115" s="21" t="s">
        <v>972</v>
      </c>
      <c r="I115" s="13">
        <v>43049.712951388887</v>
      </c>
      <c r="J115" s="7">
        <v>1</v>
      </c>
      <c r="K115" s="89" t="str">
        <f t="shared" si="29"/>
        <v>4059/4060</v>
      </c>
      <c r="L115" s="185" t="str">
        <f>VLOOKUP(A115,'Trips&amp;Operators'!$C$1:$G$99911,5,FALSE)</f>
        <v>ZEWDU DEREJE</v>
      </c>
      <c r="M115" s="6">
        <f t="shared" si="30"/>
        <v>2.5185185186273884E-2</v>
      </c>
      <c r="N115" s="7">
        <f t="shared" si="51"/>
        <v>36.266666668234393</v>
      </c>
      <c r="O115" s="7"/>
      <c r="P115" s="7"/>
      <c r="Q115" s="22"/>
      <c r="R115" s="174"/>
      <c r="S115" s="221">
        <f t="shared" si="50"/>
        <v>1</v>
      </c>
      <c r="T115" s="174" t="str">
        <f t="shared" si="31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2"/>
        <v>https://d0f6bd738d7f1b3e5a7ca70fe4ff75f0.us-east-1.aws.found.io/app/kibana#/discover/Steve-Slow-Train-Analysis-(2080s-and-2083s)?_g=(refreshInterval:(display:Off,pause:!f,section:0,value:0),time:(from:'2017-11-10T15:25:30-0700',mode:absolute,to:'2017-11-10T18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5" s="204" t="str">
        <f>IF(AA115&lt;VLOOKUP(AG115,Variables!$AC$3:$AD$8,2,FALSE),"Y","N")</f>
        <v>N</v>
      </c>
      <c r="X115" s="204">
        <f t="shared" si="53"/>
        <v>1</v>
      </c>
      <c r="Y115" s="204">
        <f t="shared" si="48"/>
        <v>5.0799999999999998E-2</v>
      </c>
      <c r="Z115" s="204">
        <f t="shared" si="49"/>
        <v>23.330400000000001</v>
      </c>
      <c r="AA115" s="204">
        <f t="shared" si="36"/>
        <v>23.279600000000002</v>
      </c>
      <c r="AB115" s="54" t="e">
        <f>VLOOKUP(A115,Enforcements!$C$7:$K$9,8,0)</f>
        <v>#N/A</v>
      </c>
      <c r="AC115" s="51" t="e">
        <f>VLOOKUP(A115,Enforcements!$C$7:$E$9,3,0)</f>
        <v>#N/A</v>
      </c>
      <c r="AD115" s="179">
        <f t="shared" si="37"/>
        <v>203</v>
      </c>
      <c r="AE115" s="77" t="str">
        <f t="shared" si="38"/>
        <v>aws s3 cp s3://rtdc.mdm.uploadarchive.raw/RTDC4060/ "%USERPROFILE%\AppData\Local\Temp\OnboardLogs"\RTDC4060\2017-11-10 --exclude "*" --recursive --include "*20171110*" &amp; "%USERPROFILE%\Documents\GitHub\mrs-test-scripts\Headless Mode &amp; Sideloading\WalkAndUnGZ.bat" "%USERPROFILE%\AppData\Local\Temp\OnboardLogs"\RTDC4060\2017-11-10 &amp; aws s3 cp s3://rtdc.mdm.uploadarchive.raw/RTDC4060/ "%USERPROFILE%\AppData\Local\Temp\OnboardLogs"\RTDC4060\2017-11-11 --exclude "*" --recursive --include "*20171111*" &amp; "%USERPROFILE%\Documents\GitHub\mrs-test-scripts\Headless Mode &amp; Sideloading\WalkAndUnGZ.bat" "%USERPROFILE%\AppData\Local\Temp\OnboardLogs"\RTDC4060\2017-11-11</v>
      </c>
      <c r="AF115" s="74" t="str">
        <f t="shared" si="39"/>
        <v>"C:\Program Files (x86)\AstroGrep\AstroGrep.exe" /e /r /s /spath="%USERPROFILE%\AppData\Local\Temp\OnboardLogs" /stypes="app*4060*20171111*" /stext=" 00:.+((SYSTEM_STATE.+slice.+state.+changed )|(ment ac)|(multiple cpu faults)|(system.+state.+changed )|(\[timeout)|(PRM\|1\|D)|(kpr)|(kdp)|(train st.+moving)|(\|lc)|(penalty))"</v>
      </c>
      <c r="AG115" s="182" t="str">
        <f t="shared" si="40"/>
        <v>EC</v>
      </c>
      <c r="AH115" s="78" t="str">
        <f t="shared" si="42"/>
        <v>"%USERPROFILE%\Documents\GitHub\eaglep3\Utilities\RefineRTDCRunTimes.py" --tripid 203-10 --locoid 4060 --swversion DE.1.0.9.0 --startMP 204:508 --initTime 2017-11-10T16:25:30 --startdatetime 2017-11-10T16:30:23 --delay 98 --endMP 204:233304 --enddatetime 2017-11-10T17:06:39 --enforcementcount 1 &gt;&gt;%USERPROFILE%\Documents\GitHub\eaglep3-reporting\EC\2017-11-10-refined-times.txt</v>
      </c>
      <c r="AI115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{"issue":{"subject":"","project_id":79,"tracker_id":40,"status_id":1,"priority_id":2,"assigned_to_id":338,"start_date":"2017-11-10","description":"","custom_fields":[{"id":1,"name":"Subdivision","value":"EC"},{"id":4,"name":"Milepost","value":"23.3304"},{"id":17,"name":"Train ID","value":"203-10"},{"id":16,"name":"Locomotive ID","value":"4060"},{"id":130,"name":"Impact","value":""},{"id":150,"name":"Time of Event (Mountain Time)","value":"17:06:39"},{"id":151,"name":"Denver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4"/>
        <v>start /low /b %USERPROFILE%\Documents\GitHub\eaglep3\Utilities\DownloadLogsFromS3.py --loco 4060 --day 2017-11-10</v>
      </c>
      <c r="AN115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00:06:39"},{"id":29,"name":"Sharepoint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6"/>
        <v>https://d0f6bd738d7f1b3e5a7ca70fe4ff75f0.us-east-1.aws.found.io/app/kibana#/discover/Steve-Slow-Train-Analysis-(2080s-and-2083s)?_g=(refreshInterval:(display:Off,pause:!f,section:0,value:0),time:(from:'2017-11-10T15:25:30-0700',mode:absolute,to:'2017-11-10T18:06:39-0700'))&amp;_a=(columns:!('Message%20ID',Summary),filters:!(),index:'emp_*',interval:auto,query:(query_string:(analyze_wildcard:!t,query:'%22rtdc.l.rtdc.4060%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822</v>
      </c>
      <c r="B116" s="7">
        <v>4059</v>
      </c>
      <c r="C116" s="21" t="s">
        <v>192</v>
      </c>
      <c r="D116" s="21" t="s">
        <v>973</v>
      </c>
      <c r="E116" s="13">
        <v>43049.716689814813</v>
      </c>
      <c r="F116" s="13">
        <v>43049.727395833332</v>
      </c>
      <c r="G116" s="7">
        <v>109</v>
      </c>
      <c r="H116" s="21" t="s">
        <v>605</v>
      </c>
      <c r="I116" s="13">
        <v>43049.754560185182</v>
      </c>
      <c r="J116" s="7">
        <v>1</v>
      </c>
      <c r="K116" s="89" t="str">
        <f t="shared" si="29"/>
        <v>4059/4060</v>
      </c>
      <c r="L116" s="185" t="str">
        <f>VLOOKUP(A116,'Trips&amp;Operators'!$C$1:$G$99911,5,FALSE)</f>
        <v>ZEWDU DEREJE</v>
      </c>
      <c r="M116" s="6">
        <f t="shared" si="30"/>
        <v>2.7164351849933155E-2</v>
      </c>
      <c r="N116" s="7">
        <f t="shared" si="51"/>
        <v>39.116666663903743</v>
      </c>
      <c r="O116" s="7"/>
      <c r="P116" s="7"/>
      <c r="Q116" s="22"/>
      <c r="R116" s="174"/>
      <c r="S116" s="221">
        <f t="shared" si="50"/>
        <v>1</v>
      </c>
      <c r="T116" s="174" t="str">
        <f t="shared" si="31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2"/>
        <v>https://d0f6bd738d7f1b3e5a7ca70fe4ff75f0.us-east-1.aws.found.io/app/kibana#/discover/Steve-Slow-Train-Analysis-(2080s-and-2083s)?_g=(refreshInterval:(display:Off,pause:!f,section:0,value:0),time:(from:'2017-11-10T16:12:02-0700',mode:absolute,to:'2017-11-10T19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6" s="204" t="str">
        <f>IF(AA116&lt;VLOOKUP(AG116,Variables!$AC$3:$AD$8,2,FALSE),"Y","N")</f>
        <v>N</v>
      </c>
      <c r="X116" s="204">
        <f t="shared" si="53"/>
        <v>1</v>
      </c>
      <c r="Y116" s="204">
        <f t="shared" si="48"/>
        <v>23.296199999999999</v>
      </c>
      <c r="Z116" s="204">
        <f t="shared" si="49"/>
        <v>1.8100000000000002E-2</v>
      </c>
      <c r="AA116" s="204">
        <f t="shared" si="36"/>
        <v>23.278099999999998</v>
      </c>
      <c r="AB116" s="54" t="e">
        <f>VLOOKUP(A116,Enforcements!$C$7:$K$9,8,0)</f>
        <v>#N/A</v>
      </c>
      <c r="AC116" s="51" t="e">
        <f>VLOOKUP(A116,Enforcements!$C$7:$E$9,3,0)</f>
        <v>#N/A</v>
      </c>
      <c r="AD116" s="179">
        <f t="shared" si="37"/>
        <v>204</v>
      </c>
      <c r="AE116" s="77" t="str">
        <f t="shared" si="38"/>
        <v>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 &amp; 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</v>
      </c>
      <c r="AF116" s="74" t="str">
        <f t="shared" si="39"/>
        <v>"C:\Program Files (x86)\AstroGrep\AstroGrep.exe" /e /r /s /spath="%USERPROFILE%\AppData\Local\Temp\OnboardLogs" /stypes="app*4059*20171111*" /stext=" 01:.+((SYSTEM_STATE.+slice.+state.+changed )|(ment ac)|(multiple cpu faults)|(system.+state.+changed )|(\[timeout)|(PRM\|1\|D)|(kpr)|(kdp)|(train st.+moving)|(\|lc)|(penalty))"</v>
      </c>
      <c r="AG116" s="182" t="str">
        <f t="shared" si="40"/>
        <v>EC</v>
      </c>
      <c r="AH116" s="78" t="str">
        <f t="shared" si="42"/>
        <v>"%USERPROFILE%\Documents\GitHub\eaglep3\Utilities\RefineRTDCRunTimes.py" --tripid 204-10 --locoid 4059 --swversion DE.1.0.9.0 --startMP 204:232962 --initTime 2017-11-10T17:12:02 --startdatetime 2017-11-10T17:27:27 --delay 109 --endMP 204:181 --enddatetime 2017-11-10T18:06:34 --enforcementcount 1 &gt;&gt;%USERPROFILE%\Documents\GitHub\eaglep3-reporting\EC\2017-11-10-refined-times.txt</v>
      </c>
      <c r="AI116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{"issue":{"subject":"","project_id":79,"tracker_id":40,"status_id":1,"priority_id":2,"assigned_to_id":338,"start_date":"2017-11-10","description":"","custom_fields":[{"id":1,"name":"Subdivision","value":"EC"},{"id":4,"name":"Milepost","value":"0.0181"},{"id":17,"name":"Train ID","value":"204-10"},{"id":16,"name":"Locomotive ID","value":"4059"},{"id":130,"name":"Impact","value":""},{"id":150,"name":"Time of Event (Mountain Time)","value":"18:06:34"},{"id":151,"name":"Denver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4"/>
        <v>start /low /b %USERPROFILE%\Documents\GitHub\eaglep3\Utilities\DownloadLogsFromS3.py --loco 4059 --day 2017-11-10</v>
      </c>
      <c r="AN116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01:06:34"},{"id":29,"name":"Sharepoint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6"/>
        <v>https://d0f6bd738d7f1b3e5a7ca70fe4ff75f0.us-east-1.aws.found.io/app/kibana#/discover/Steve-Slow-Train-Analysis-(2080s-and-2083s)?_g=(refreshInterval:(display:Off,pause:!f,section:0,value:0),time:(from:'2017-11-10T16:12:02-0700',mode:absolute,to:'2017-11-10T19:06:34-0700'))&amp;_a=(columns:!('Message%20ID',Summary),filters:!(),index:'emp_*',interval:auto,query:(query_string:(analyze_wildcard:!t,query:'%22rtdc.l.rtdc.4059%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813</v>
      </c>
      <c r="B117" s="7">
        <v>4016</v>
      </c>
      <c r="C117" s="21" t="s">
        <v>192</v>
      </c>
      <c r="D117" s="21" t="s">
        <v>462</v>
      </c>
      <c r="E117" s="13">
        <v>43049.694236111114</v>
      </c>
      <c r="F117" s="13">
        <v>43049.698113425926</v>
      </c>
      <c r="G117" s="7">
        <v>68</v>
      </c>
      <c r="H117" s="21" t="s">
        <v>550</v>
      </c>
      <c r="I117" s="13">
        <v>43049.722986111112</v>
      </c>
      <c r="J117" s="7">
        <v>1</v>
      </c>
      <c r="K117" s="89" t="str">
        <f t="shared" si="29"/>
        <v>4015/4016</v>
      </c>
      <c r="L117" s="185" t="str">
        <f>VLOOKUP(A117,'Trips&amp;Operators'!$C$1:$G$99911,5,FALSE)</f>
        <v>BRUDER RICHARD</v>
      </c>
      <c r="M117" s="6">
        <f t="shared" si="30"/>
        <v>2.4872685185982846E-2</v>
      </c>
      <c r="N117" s="7">
        <f t="shared" si="51"/>
        <v>35.816666667815298</v>
      </c>
      <c r="O117" s="7"/>
      <c r="P117" s="7"/>
      <c r="Q117" s="22"/>
      <c r="R117" s="174"/>
      <c r="S117" s="221">
        <f t="shared" si="50"/>
        <v>1</v>
      </c>
      <c r="T117" s="174" t="str">
        <f t="shared" si="31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2"/>
        <v>https://d0f6bd738d7f1b3e5a7ca70fe4ff75f0.us-east-1.aws.found.io/app/kibana#/discover/Steve-Slow-Train-Analysis-(2080s-and-2083s)?_g=(refreshInterval:(display:Off,pause:!f,section:0,value:0),time:(from:'2017-11-10T15:39:42-0700',mode:absolute,to:'2017-11-10T18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7" s="204" t="str">
        <f>IF(AA117&lt;VLOOKUP(AG117,Variables!$AC$3:$AD$8,2,FALSE),"Y","N")</f>
        <v>N</v>
      </c>
      <c r="X117" s="204">
        <f t="shared" si="53"/>
        <v>1</v>
      </c>
      <c r="Y117" s="204">
        <f t="shared" si="48"/>
        <v>5.3699999999999998E-2</v>
      </c>
      <c r="Z117" s="204">
        <f t="shared" si="49"/>
        <v>23.319900000000001</v>
      </c>
      <c r="AA117" s="204">
        <f t="shared" si="36"/>
        <v>23.266200000000001</v>
      </c>
      <c r="AB117" s="54" t="e">
        <f>VLOOKUP(A117,Enforcements!$C$7:$K$9,8,0)</f>
        <v>#N/A</v>
      </c>
      <c r="AC117" s="51" t="e">
        <f>VLOOKUP(A117,Enforcements!$C$7:$E$9,3,0)</f>
        <v>#N/A</v>
      </c>
      <c r="AD117" s="179">
        <f t="shared" si="37"/>
        <v>205</v>
      </c>
      <c r="AE117" s="77" t="str">
        <f t="shared" si="38"/>
        <v>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 &amp; aws s3 cp s3://rtdc.mdm.uploadarchive.raw/RTDC4016/ "%USERPROFILE%\AppData\Local\Temp\OnboardLogs"\RTDC4016\2017-11-11 --exclude "*" --recursive --include "*20171111*" &amp; "%USERPROFILE%\Documents\GitHub\mrs-test-scripts\Headless Mode &amp; Sideloading\WalkAndUnGZ.bat" "%USERPROFILE%\AppData\Local\Temp\OnboardLogs"\RTDC4016\2017-11-11</v>
      </c>
      <c r="AF117" s="74" t="str">
        <f t="shared" si="39"/>
        <v>"C:\Program Files (x86)\AstroGrep\AstroGrep.exe" /e /r /s /spath="%USERPROFILE%\AppData\Local\Temp\OnboardLogs" /stypes="app*4016*20171111*" /stext=" 00:.+((SYSTEM_STATE.+slice.+state.+changed )|(ment ac)|(multiple cpu faults)|(system.+state.+changed )|(\[timeout)|(PRM\|1\|D)|(kpr)|(kdp)|(train st.+moving)|(\|lc)|(penalty))"</v>
      </c>
      <c r="AG117" s="182" t="str">
        <f t="shared" si="40"/>
        <v>EC</v>
      </c>
      <c r="AH117" s="78" t="str">
        <f t="shared" si="42"/>
        <v>"%USERPROFILE%\Documents\GitHub\eaglep3\Utilities\RefineRTDCRunTimes.py" --tripid 205-10 --locoid 4016 --swversion DE.1.0.9.0 --startMP 204:537 --initTime 2017-11-10T16:39:42 --startdatetime 2017-11-10T16:45:17 --delay 68 --endMP 204:233199 --enddatetime 2017-11-10T17:21:06 --enforcementcount 1 &gt;&gt;%USERPROFILE%\Documents\GitHub\eaglep3-reporting\EC\2017-11-10-refined-times.txt</v>
      </c>
      <c r="AI117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{"issue":{"subject":"","project_id":79,"tracker_id":40,"status_id":1,"priority_id":2,"assigned_to_id":338,"start_date":"2017-11-10","description":"","custom_fields":[{"id":1,"name":"Subdivision","value":"EC"},{"id":4,"name":"Milepost","value":"23.3199"},{"id":17,"name":"Train ID","value":"205-10"},{"id":16,"name":"Locomotive ID","value":"4016"},{"id":130,"name":"Impact","value":""},{"id":150,"name":"Time of Event (Mountain Time)","value":"17:21:06"},{"id":151,"name":"Denver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44"/>
        <v>start /low /b %USERPROFILE%\Documents\GitHub\eaglep3\Utilities\DownloadLogsFromS3.py --loco 4016 --day 2017-11-10</v>
      </c>
      <c r="AN117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00:21:06"},{"id":29,"name":"Sharepoint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6"/>
        <v>https://d0f6bd738d7f1b3e5a7ca70fe4ff75f0.us-east-1.aws.found.io/app/kibana#/discover/Steve-Slow-Train-Analysis-(2080s-and-2083s)?_g=(refreshInterval:(display:Off,pause:!f,section:0,value:0),time:(from:'2017-11-10T15:39:42-0700',mode:absolute,to:'2017-11-10T18:21:06-0700'))&amp;_a=(columns:!('Message%20ID',Summary),filters:!(),index:'emp_*',interval:auto,query:(query_string:(analyze_wildcard:!t,query:'%22rtdc.l.rtdc.4016%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826</v>
      </c>
      <c r="B118" s="7">
        <v>4015</v>
      </c>
      <c r="C118" s="21" t="s">
        <v>192</v>
      </c>
      <c r="D118" s="21" t="s">
        <v>974</v>
      </c>
      <c r="E118" s="13">
        <v>43049.734293981484</v>
      </c>
      <c r="F118" s="13">
        <v>43049.737685185188</v>
      </c>
      <c r="G118" s="7">
        <v>59</v>
      </c>
      <c r="H118" s="21" t="s">
        <v>615</v>
      </c>
      <c r="I118" s="13">
        <v>43049.763807870368</v>
      </c>
      <c r="J118" s="7">
        <v>1</v>
      </c>
      <c r="K118" s="89" t="str">
        <f t="shared" si="29"/>
        <v>4015/4016</v>
      </c>
      <c r="L118" s="185" t="str">
        <f>VLOOKUP(A118,'Trips&amp;Operators'!$C$1:$G$99911,5,FALSE)</f>
        <v>BRUDER RICHARD</v>
      </c>
      <c r="M118" s="6">
        <f t="shared" si="30"/>
        <v>2.6122685179871041E-2</v>
      </c>
      <c r="N118" s="7">
        <f t="shared" si="51"/>
        <v>37.6166666590143</v>
      </c>
      <c r="O118" s="7"/>
      <c r="P118" s="7"/>
      <c r="Q118" s="22"/>
      <c r="R118" s="174"/>
      <c r="S118" s="221">
        <f t="shared" si="50"/>
        <v>1</v>
      </c>
      <c r="T118" s="174" t="str">
        <f t="shared" si="31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2"/>
        <v>https://d0f6bd738d7f1b3e5a7ca70fe4ff75f0.us-east-1.aws.found.io/app/kibana#/discover/Steve-Slow-Train-Analysis-(2080s-and-2083s)?_g=(refreshInterval:(display:Off,pause:!f,section:0,value:0),time:(from:'2017-11-10T16:37:23-0700',mode:absolute,to:'2017-11-10T19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8" s="204" t="str">
        <f>IF(AA118&lt;VLOOKUP(AG118,Variables!$AC$3:$AD$8,2,FALSE),"Y","N")</f>
        <v>N</v>
      </c>
      <c r="X118" s="204">
        <f t="shared" si="53"/>
        <v>1</v>
      </c>
      <c r="Y118" s="204">
        <f t="shared" si="48"/>
        <v>23.287700000000001</v>
      </c>
      <c r="Z118" s="204">
        <f t="shared" si="49"/>
        <v>2.3800000000000002E-2</v>
      </c>
      <c r="AA118" s="204">
        <f t="shared" si="36"/>
        <v>23.2639</v>
      </c>
      <c r="AB118" s="54" t="e">
        <f>VLOOKUP(A118,Enforcements!$C$7:$K$9,8,0)</f>
        <v>#N/A</v>
      </c>
      <c r="AC118" s="51" t="e">
        <f>VLOOKUP(A118,Enforcements!$C$7:$E$9,3,0)</f>
        <v>#N/A</v>
      </c>
      <c r="AD118" s="179">
        <f t="shared" si="37"/>
        <v>206</v>
      </c>
      <c r="AE118" s="77" t="str">
        <f t="shared" si="38"/>
        <v>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 &amp; 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</v>
      </c>
      <c r="AF118" s="74" t="str">
        <f t="shared" si="39"/>
        <v>"C:\Program Files (x86)\AstroGrep\AstroGrep.exe" /e /r /s /spath="%USERPROFILE%\AppData\Local\Temp\OnboardLogs" /stypes="app*4015*20171111*" /stext=" 01:.+((SYSTEM_STATE.+slice.+state.+changed )|(ment ac)|(multiple cpu faults)|(system.+state.+changed )|(\[timeout)|(PRM\|1\|D)|(kpr)|(kdp)|(train st.+moving)|(\|lc)|(penalty))"</v>
      </c>
      <c r="AG118" s="182" t="str">
        <f t="shared" si="40"/>
        <v>EC</v>
      </c>
      <c r="AH118" s="78" t="str">
        <f t="shared" si="42"/>
        <v>"%USERPROFILE%\Documents\GitHub\eaglep3\Utilities\RefineRTDCRunTimes.py" --tripid 206-10 --locoid 4015 --swversion DE.1.0.9.0 --startMP 204:232877 --initTime 2017-11-10T17:37:23 --startdatetime 2017-11-10T17:42:16 --delay 59 --endMP 204:238 --enddatetime 2017-11-10T18:19:53 --enforcementcount 1 &gt;&gt;%USERPROFILE%\Documents\GitHub\eaglep3-reporting\EC\2017-11-10-refined-times.txt</v>
      </c>
      <c r="AI118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{"issue":{"subject":"","project_id":79,"tracker_id":40,"status_id":1,"priority_id":2,"assigned_to_id":338,"start_date":"2017-11-10","description":"","custom_fields":[{"id":1,"name":"Subdivision","value":"EC"},{"id":4,"name":"Milepost","value":"0.0238"},{"id":17,"name":"Train ID","value":"206-10"},{"id":16,"name":"Locomotive ID","value":"4015"},{"id":130,"name":"Impact","value":""},{"id":150,"name":"Time of Event (Mountain Time)","value":"18:19:53"},{"id":151,"name":"Denver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44"/>
        <v>start /low /b %USERPROFILE%\Documents\GitHub\eaglep3\Utilities\DownloadLogsFromS3.py --loco 4015 --day 2017-11-10</v>
      </c>
      <c r="AN118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01:19:53"},{"id":29,"name":"Sharepoint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6"/>
        <v>https://d0f6bd738d7f1b3e5a7ca70fe4ff75f0.us-east-1.aws.found.io/app/kibana#/discover/Steve-Slow-Train-Analysis-(2080s-and-2083s)?_g=(refreshInterval:(display:Off,pause:!f,section:0,value:0),time:(from:'2017-11-10T16:37:23-0700',mode:absolute,to:'2017-11-10T19:19:53-0700'))&amp;_a=(columns:!('Message%20ID',Summary),filters:!(),index:'emp_*',interval:auto,query:(query_string:(analyze_wildcard:!t,query:'%22rtdc.l.rtdc.4015%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815</v>
      </c>
      <c r="B119" s="7">
        <v>4028</v>
      </c>
      <c r="C119" s="21" t="s">
        <v>192</v>
      </c>
      <c r="D119" s="21" t="s">
        <v>557</v>
      </c>
      <c r="E119" s="13">
        <v>43049.703761574077</v>
      </c>
      <c r="F119" s="13">
        <v>43049.70857638889</v>
      </c>
      <c r="G119" s="7">
        <v>58</v>
      </c>
      <c r="H119" s="21" t="s">
        <v>617</v>
      </c>
      <c r="I119" s="13">
        <v>43049.735034722224</v>
      </c>
      <c r="J119" s="7">
        <v>1</v>
      </c>
      <c r="K119" s="89" t="str">
        <f t="shared" si="29"/>
        <v>4027/4028</v>
      </c>
      <c r="L119" s="185" t="str">
        <f>VLOOKUP(A119,'Trips&amp;Operators'!$C$1:$G$99911,5,FALSE)</f>
        <v>LEVERE CRAIG</v>
      </c>
      <c r="M119" s="6">
        <f t="shared" si="30"/>
        <v>2.6458333333721384E-2</v>
      </c>
      <c r="N119" s="7">
        <f t="shared" si="51"/>
        <v>38.100000000558794</v>
      </c>
      <c r="O119" s="7"/>
      <c r="P119" s="7"/>
      <c r="Q119" s="22"/>
      <c r="R119" s="174"/>
      <c r="S119" s="221">
        <f t="shared" si="50"/>
        <v>1</v>
      </c>
      <c r="T119" s="174" t="str">
        <f t="shared" si="31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2"/>
        <v>https://d0f6bd738d7f1b3e5a7ca70fe4ff75f0.us-east-1.aws.found.io/app/kibana#/discover/Steve-Slow-Train-Analysis-(2080s-and-2083s)?_g=(refreshInterval:(display:Off,pause:!f,section:0,value:0),time:(from:'2017-11-10T15:53:25-0700',mode:absolute,to:'2017-11-10T18:38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9" s="204" t="str">
        <f>IF(AA119&lt;VLOOKUP(AG119,Variables!$AC$3:$AD$8,2,FALSE),"Y","N")</f>
        <v>N</v>
      </c>
      <c r="X119" s="204">
        <f t="shared" si="53"/>
        <v>1</v>
      </c>
      <c r="Y119" s="204">
        <f t="shared" si="48"/>
        <v>5.5899999999999998E-2</v>
      </c>
      <c r="Z119" s="204">
        <f t="shared" si="49"/>
        <v>23.321200000000001</v>
      </c>
      <c r="AA119" s="204">
        <f t="shared" si="36"/>
        <v>23.2653</v>
      </c>
      <c r="AB119" s="54" t="e">
        <f>VLOOKUP(A119,Enforcements!$C$7:$K$9,8,0)</f>
        <v>#N/A</v>
      </c>
      <c r="AC119" s="51" t="e">
        <f>VLOOKUP(A119,Enforcements!$C$7:$E$9,3,0)</f>
        <v>#N/A</v>
      </c>
      <c r="AD119" s="179">
        <f t="shared" si="37"/>
        <v>207</v>
      </c>
      <c r="AE119" s="77" t="str">
        <f t="shared" si="38"/>
        <v>aws s3 cp s3://rtdc.mdm.uploadarchive.raw/RTDC4028/ "%USERPROFILE%\AppData\Local\Temp\OnboardLogs"\RTDC4028\2017-11-10 --exclude "*" --recursive --include "*20171110*" &amp; "%USERPROFILE%\Documents\GitHub\mrs-test-scripts\Headless Mode &amp; Sideloading\WalkAndUnGZ.bat" "%USERPROFILE%\AppData\Local\Temp\OnboardLogs"\RTDC4028\2017-11-10 &amp; aws s3 cp s3://rtdc.mdm.uploadarchive.raw/RTDC4028/ "%USERPROFILE%\AppData\Local\Temp\OnboardLogs"\RTDC4028\2017-11-11 --exclude "*" --recursive --include "*20171111*" &amp; "%USERPROFILE%\Documents\GitHub\mrs-test-scripts\Headless Mode &amp; Sideloading\WalkAndUnGZ.bat" "%USERPROFILE%\AppData\Local\Temp\OnboardLogs"\RTDC4028\2017-11-11</v>
      </c>
      <c r="AF119" s="74" t="str">
        <f t="shared" si="39"/>
        <v>"C:\Program Files (x86)\AstroGrep\AstroGrep.exe" /e /r /s /spath="%USERPROFILE%\AppData\Local\Temp\OnboardLogs" /stypes="app*4028*20171111*" /stext=" 00:.+((SYSTEM_STATE.+slice.+state.+changed )|(ment ac)|(multiple cpu faults)|(system.+state.+changed )|(\[timeout)|(PRM\|1\|D)|(kpr)|(kdp)|(train st.+moving)|(\|lc)|(penalty))"</v>
      </c>
      <c r="AG119" s="182" t="str">
        <f t="shared" si="40"/>
        <v>EC</v>
      </c>
      <c r="AH119" s="78" t="str">
        <f t="shared" si="42"/>
        <v>"%USERPROFILE%\Documents\GitHub\eaglep3\Utilities\RefineRTDCRunTimes.py" --tripid 207-10 --locoid 4028 --swversion DE.1.0.9.0 --startMP 204:559 --initTime 2017-11-10T16:53:25 --startdatetime 2017-11-10T17:00:21 --delay 58 --endMP 204:233212 --enddatetime 2017-11-10T17:38:27 --enforcementcount 1 &gt;&gt;%USERPROFILE%\Documents\GitHub\eaglep3-reporting\EC\2017-11-10-refined-times.txt</v>
      </c>
      <c r="AI119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{"issue":{"subject":"","project_id":79,"tracker_id":40,"status_id":1,"priority_id":2,"assigned_to_id":338,"start_date":"2017-11-10","description":"","custom_fields":[{"id":1,"name":"Subdivision","value":"EC"},{"id":4,"name":"Milepost","value":"23.3212"},{"id":17,"name":"Train ID","value":"207-10"},{"id":16,"name":"Locomotive ID","value":"4028"},{"id":130,"name":"Impact","value":""},{"id":150,"name":"Time of Event (Mountain Time)","value":"17:38:27"},{"id":151,"name":"Denver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4"/>
        <v>start /low /b %USERPROFILE%\Documents\GitHub\eaglep3\Utilities\DownloadLogsFromS3.py --loco 4028 --day 2017-11-10</v>
      </c>
      <c r="AN119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00:38:27"},{"id":29,"name":"Sharepoint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6"/>
        <v>https://d0f6bd738d7f1b3e5a7ca70fe4ff75f0.us-east-1.aws.found.io/app/kibana#/discover/Steve-Slow-Train-Analysis-(2080s-and-2083s)?_g=(refreshInterval:(display:Off,pause:!f,section:0,value:0),time:(from:'2017-11-10T15:53:25-0700',mode:absolute,to:'2017-11-10T18:38:27-0700'))&amp;_a=(columns:!('Message%20ID',Summary),filters:!(),index:'emp_*',interval:auto,query:(query_string:(analyze_wildcard:!t,query:'%22rtdc.l.rtdc.4028%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829</v>
      </c>
      <c r="B120" s="7">
        <v>4027</v>
      </c>
      <c r="C120" s="21" t="s">
        <v>192</v>
      </c>
      <c r="D120" s="21" t="s">
        <v>614</v>
      </c>
      <c r="E120" s="13">
        <v>43049.742662037039</v>
      </c>
      <c r="F120" s="13">
        <v>43049.748298611114</v>
      </c>
      <c r="G120" s="7">
        <v>80</v>
      </c>
      <c r="H120" s="21" t="s">
        <v>622</v>
      </c>
      <c r="I120" s="13">
        <v>43049.775578703702</v>
      </c>
      <c r="J120" s="7">
        <v>1</v>
      </c>
      <c r="K120" s="89" t="str">
        <f t="shared" si="29"/>
        <v>4027/4028</v>
      </c>
      <c r="L120" s="185" t="str">
        <f>VLOOKUP(A120,'Trips&amp;Operators'!$C$1:$G$99911,5,FALSE)</f>
        <v>LEVERE CRAIG</v>
      </c>
      <c r="M120" s="6">
        <f t="shared" si="30"/>
        <v>2.7280092588625848E-2</v>
      </c>
      <c r="N120" s="7">
        <f t="shared" si="51"/>
        <v>39.283333327621222</v>
      </c>
      <c r="O120" s="7"/>
      <c r="P120" s="7"/>
      <c r="Q120" s="22"/>
      <c r="R120" s="174"/>
      <c r="S120" s="221">
        <f t="shared" si="50"/>
        <v>1</v>
      </c>
      <c r="T120" s="174" t="str">
        <f t="shared" si="31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2"/>
        <v>https://d0f6bd738d7f1b3e5a7ca70fe4ff75f0.us-east-1.aws.found.io/app/kibana#/discover/Steve-Slow-Train-Analysis-(2080s-and-2083s)?_g=(refreshInterval:(display:Off,pause:!f,section:0,value:0),time:(from:'2017-11-10T16:49:26-0700',mode:absolute,to:'2017-11-10T19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0" s="204" t="str">
        <f>IF(AA120&lt;VLOOKUP(AG120,Variables!$AC$3:$AD$8,2,FALSE),"Y","N")</f>
        <v>N</v>
      </c>
      <c r="X120" s="204">
        <f t="shared" si="53"/>
        <v>1</v>
      </c>
      <c r="Y120" s="204">
        <f t="shared" si="48"/>
        <v>23.289400000000001</v>
      </c>
      <c r="Z120" s="204">
        <f t="shared" si="49"/>
        <v>2.5999999999999999E-2</v>
      </c>
      <c r="AA120" s="204">
        <f t="shared" si="36"/>
        <v>23.263400000000001</v>
      </c>
      <c r="AB120" s="54" t="e">
        <f>VLOOKUP(A120,Enforcements!$C$7:$K$9,8,0)</f>
        <v>#N/A</v>
      </c>
      <c r="AC120" s="51" t="e">
        <f>VLOOKUP(A120,Enforcements!$C$7:$E$9,3,0)</f>
        <v>#N/A</v>
      </c>
      <c r="AD120" s="179">
        <f t="shared" si="37"/>
        <v>208</v>
      </c>
      <c r="AE120" s="77" t="str">
        <f t="shared" si="38"/>
        <v>aws s3 cp s3://rtdc.mdm.uploadarchive.raw/RTDC4027/ "%USERPROFILE%\AppData\Local\Temp\OnboardLogs"\RTDC4027\2017-11-10 --exclude "*" --recursive --include "*20171110*" &amp; "%USERPROFILE%\Documents\GitHub\mrs-test-scripts\Headless Mode &amp; Sideloading\WalkAndUnGZ.bat" "%USERPROFILE%\AppData\Local\Temp\OnboardLogs"\RTDC4027\2017-11-10 &amp; aws s3 cp s3://rtdc.mdm.uploadarchive.raw/RTDC4027/ "%USERPROFILE%\AppData\Local\Temp\OnboardLogs"\RTDC4027\2017-11-11 --exclude "*" --recursive --include "*20171111*" &amp; "%USERPROFILE%\Documents\GitHub\mrs-test-scripts\Headless Mode &amp; Sideloading\WalkAndUnGZ.bat" "%USERPROFILE%\AppData\Local\Temp\OnboardLogs"\RTDC4027\2017-11-11</v>
      </c>
      <c r="AF120" s="74" t="str">
        <f t="shared" si="39"/>
        <v>"C:\Program Files (x86)\AstroGrep\AstroGrep.exe" /e /r /s /spath="%USERPROFILE%\AppData\Local\Temp\OnboardLogs" /stypes="app*4027*20171111*" /stext=" 01:.+((SYSTEM_STATE.+slice.+state.+changed )|(ment ac)|(multiple cpu faults)|(system.+state.+changed )|(\[timeout)|(PRM\|1\|D)|(kpr)|(kdp)|(train st.+moving)|(\|lc)|(penalty))"</v>
      </c>
      <c r="AG120" s="182" t="str">
        <f t="shared" si="40"/>
        <v>EC</v>
      </c>
      <c r="AH120" s="78" t="str">
        <f t="shared" si="42"/>
        <v>"%USERPROFILE%\Documents\GitHub\eaglep3\Utilities\RefineRTDCRunTimes.py" --tripid 208-10 --locoid 4027 --swversion DE.1.0.9.0 --startMP 204:232894 --initTime 2017-11-10T17:49:26 --startdatetime 2017-11-10T17:57:33 --delay 80 --endMP 204:260 --enddatetime 2017-11-10T18:36:50 --enforcementcount 1 &gt;&gt;%USERPROFILE%\Documents\GitHub\eaglep3-reporting\EC\2017-11-10-refined-times.txt</v>
      </c>
      <c r="AI120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{"issue":{"subject":"","project_id":79,"tracker_id":40,"status_id":1,"priority_id":2,"assigned_to_id":338,"start_date":"2017-11-10","description":"","custom_fields":[{"id":1,"name":"Subdivision","value":"EC"},{"id":4,"name":"Milepost","value":"0.026"},{"id":17,"name":"Train ID","value":"208-10"},{"id":16,"name":"Locomotive ID","value":"4027"},{"id":130,"name":"Impact","value":""},{"id":150,"name":"Time of Event (Mountain Time)","value":"18:36:50"},{"id":151,"name":"Denver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44"/>
        <v>start /low /b %USERPROFILE%\Documents\GitHub\eaglep3\Utilities\DownloadLogsFromS3.py --loco 4027 --day 2017-11-10</v>
      </c>
      <c r="AN120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01:36:50"},{"id":29,"name":"Sharepoint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6"/>
        <v>https://d0f6bd738d7f1b3e5a7ca70fe4ff75f0.us-east-1.aws.found.io/app/kibana#/discover/Steve-Slow-Train-Analysis-(2080s-and-2083s)?_g=(refreshInterval:(display:Off,pause:!f,section:0,value:0),time:(from:'2017-11-10T16:49:26-0700',mode:absolute,to:'2017-11-10T19:36:50-0700'))&amp;_a=(columns:!('Message%20ID',Summary),filters:!(),index:'emp_*',interval:auto,query:(query_string:(analyze_wildcard:!t,query:'%22rtdc.l.rtdc.4027%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821</v>
      </c>
      <c r="B121" s="7">
        <v>4050</v>
      </c>
      <c r="C121" s="21" t="s">
        <v>192</v>
      </c>
      <c r="D121" s="21" t="s">
        <v>917</v>
      </c>
      <c r="E121" s="13">
        <v>43049.714918981481</v>
      </c>
      <c r="F121" s="13">
        <v>43049.718912037039</v>
      </c>
      <c r="G121" s="7">
        <v>49</v>
      </c>
      <c r="H121" s="21" t="s">
        <v>975</v>
      </c>
      <c r="I121" s="13">
        <v>43049.744976851849</v>
      </c>
      <c r="J121" s="7">
        <v>1</v>
      </c>
      <c r="K121" s="89" t="str">
        <f t="shared" si="29"/>
        <v>4049/4050</v>
      </c>
      <c r="L121" s="185" t="str">
        <f>VLOOKUP(A121,'Trips&amp;Operators'!$C$1:$G$99911,5,FALSE)</f>
        <v>FORTUNATO FRANK</v>
      </c>
      <c r="M121" s="6">
        <f t="shared" si="30"/>
        <v>2.6064814810524695E-2</v>
      </c>
      <c r="N121" s="7">
        <f t="shared" si="51"/>
        <v>37.53333332715556</v>
      </c>
      <c r="O121" s="7"/>
      <c r="P121" s="7"/>
      <c r="Q121" s="22"/>
      <c r="R121" s="174" t="s">
        <v>1107</v>
      </c>
      <c r="S121" s="221">
        <f t="shared" si="50"/>
        <v>1</v>
      </c>
      <c r="T121" s="174" t="str">
        <f t="shared" si="31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2"/>
        <v>https://d0f6bd738d7f1b3e5a7ca70fe4ff75f0.us-east-1.aws.found.io/app/kibana#/discover/Steve-Slow-Train-Analysis-(2080s-and-2083s)?_g=(refreshInterval:(display:Off,pause:!f,section:0,value:0),time:(from:'2017-11-10T16:09:29-0700',mode:absolute,to:'2017-11-10T18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1" s="204" t="str">
        <f>IF(AA121&lt;VLOOKUP(AG121,Variables!$AC$3:$AD$8,2,FALSE),"Y","N")</f>
        <v>N</v>
      </c>
      <c r="X121" s="204">
        <f t="shared" ref="X121:X122" si="54">VALUE(LEFT(AD121,4))-VALUE(LEFT(AD120,4))</f>
        <v>1</v>
      </c>
      <c r="Y121" s="204">
        <f t="shared" si="48"/>
        <v>0.05</v>
      </c>
      <c r="Z121" s="204">
        <f t="shared" si="49"/>
        <v>23.318999999999999</v>
      </c>
      <c r="AA121" s="204">
        <f t="shared" si="36"/>
        <v>23.268999999999998</v>
      </c>
      <c r="AB121" s="54" t="e">
        <f>VLOOKUP(A121,Enforcements!$C$7:$K$9,8,0)</f>
        <v>#N/A</v>
      </c>
      <c r="AC121" s="51" t="e">
        <f>VLOOKUP(A121,Enforcements!$C$7:$E$9,3,0)</f>
        <v>#N/A</v>
      </c>
      <c r="AD121" s="179">
        <f t="shared" si="37"/>
        <v>209</v>
      </c>
      <c r="AE121" s="77" t="str">
        <f t="shared" si="38"/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AF121" s="74" t="str">
        <f t="shared" si="39"/>
        <v>"C:\Program Files (x86)\AstroGrep\AstroGrep.exe" /e /r /s /spath="%USERPROFILE%\AppData\Local\Temp\OnboardLogs" /stypes="app*4050*20171111*" /stext=" 00:.+((SYSTEM_STATE.+slice.+state.+changed )|(ment ac)|(multiple cpu faults)|(system.+state.+changed )|(\[timeout)|(PRM\|1\|D)|(kpr)|(kdp)|(train st.+moving)|(\|lc)|(penalty))"</v>
      </c>
      <c r="AG121" s="182" t="str">
        <f t="shared" si="40"/>
        <v>EC</v>
      </c>
      <c r="AH121" s="78" t="str">
        <f t="shared" si="42"/>
        <v>"%USERPROFILE%\Documents\GitHub\eaglep3\Utilities\RefineRTDCRunTimes.py" --tripid 209-10 --locoid 4050 --swversion DE.1.0.9.0 --startMP 204:500 --initTime 2017-11-10T17:09:29 --startdatetime 2017-11-10T17:15:14 --delay 49 --endMP 204:233190 --enddatetime 2017-11-10T17:52:46 --enforcementcount 1 &gt;&gt;%USERPROFILE%\Documents\GitHub\eaglep3-reporting\EC\2017-11-10-refined-times.txt</v>
      </c>
      <c r="AI121" s="96" t="str">
        <f t="shared" si="43"/>
        <v>echo {"issue":{"subject":"Observed onboard en route failure during init, no PTC enforcement","project_id":79,"tracker_id":40,"status_id":1,"priority_id":2,"assigned_to_id":338,"start_date":"2017-11-10","description":"","custom_fields":[{"id":1,"name":"Subdivision","value":"EC"},{"id":4,"name":"Milepost","value":"23.319"},{"id":17,"name":"Train ID","value":"209-10"},{"id":16,"name":"Locomotive ID","value":"4050"},{"id":130,"name":"Impact","value":""},{"id":150,"name":"Time of Event (Mountain Time)","value":"17:52:46"},{"id":151,"name":"Denver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4"/>
        <v>start /low /b %USERPROFILE%\Documents\GitHub\eaglep3\Utilities\DownloadLogsFromS3.py --loco 4050 --day 2017-11-10</v>
      </c>
      <c r="AN121" s="151" t="str">
        <f t="shared" si="45"/>
        <v>echo {"issue":{"subject":"Observed onboard en route failure during init, no PTC enforcement","project_id":30,"tracker_id":4,"status_id":1,"priority_id":1,"assigned_to_id":10,"start_date":"2017-11-11","description":"","custom_fields":[{"id":30,"name":"Category","value":"Issue"},{"id":3,"name":"Functional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00:52:46"},{"id":29,"name":"Sharepoint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6"/>
        <v>https://d0f6bd738d7f1b3e5a7ca70fe4ff75f0.us-east-1.aws.found.io/app/kibana#/discover/Steve-Slow-Train-Analysis-(2080s-and-2083s)?_g=(refreshInterval:(display:Off,pause:!f,section:0,value:0),time:(from:'2017-11-10T16:09:29-0700',mode:absolute,to:'2017-11-10T18:52:46-0700'))&amp;_a=(columns:!('Message%20ID',Summary),filters:!(),index:'emp_*',interval:auto,query:(query_string:(analyze_wildcard:!t,query:'%22rtdc.l.rtdc.4050%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831</v>
      </c>
      <c r="B122" s="7">
        <v>4049</v>
      </c>
      <c r="C122" s="21" t="s">
        <v>192</v>
      </c>
      <c r="D122" s="21" t="s">
        <v>976</v>
      </c>
      <c r="E122" s="13">
        <v>43049.746192129627</v>
      </c>
      <c r="F122" s="13">
        <v>43049.758483796293</v>
      </c>
      <c r="G122" s="7">
        <v>53</v>
      </c>
      <c r="H122" s="21" t="s">
        <v>451</v>
      </c>
      <c r="I122" s="13">
        <v>43049.784189814818</v>
      </c>
      <c r="J122" s="7">
        <v>1</v>
      </c>
      <c r="K122" s="89" t="str">
        <f t="shared" si="29"/>
        <v>4049/4050</v>
      </c>
      <c r="L122" s="185" t="str">
        <f>VLOOKUP(A122,'Trips&amp;Operators'!$C$1:$G$99911,5,FALSE)</f>
        <v>FORTUNATO FRANK</v>
      </c>
      <c r="M122" s="6">
        <f t="shared" si="30"/>
        <v>2.570601852494292E-2</v>
      </c>
      <c r="N122" s="7">
        <f t="shared" si="51"/>
        <v>37.016666675917804</v>
      </c>
      <c r="O122" s="7"/>
      <c r="P122" s="7"/>
      <c r="Q122" s="22"/>
      <c r="R122" s="174"/>
      <c r="S122" s="221">
        <f t="shared" si="50"/>
        <v>1</v>
      </c>
      <c r="T122" s="174" t="str">
        <f t="shared" si="31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2"/>
        <v>https://d0f6bd738d7f1b3e5a7ca70fe4ff75f0.us-east-1.aws.found.io/app/kibana#/discover/Steve-Slow-Train-Analysis-(2080s-and-2083s)?_g=(refreshInterval:(display:Off,pause:!f,section:0,value:0),time:(from:'2017-11-10T16:54:31-0700',mode:absolute,to:'2017-11-10T19:49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2" s="204" t="str">
        <f>IF(AA122&lt;VLOOKUP(AG122,Variables!$AC$3:$AD$8,2,FALSE),"Y","N")</f>
        <v>N</v>
      </c>
      <c r="X122" s="204">
        <f t="shared" si="54"/>
        <v>1</v>
      </c>
      <c r="Y122" s="204">
        <f t="shared" si="48"/>
        <v>23.2867</v>
      </c>
      <c r="Z122" s="204">
        <f t="shared" si="49"/>
        <v>2.07E-2</v>
      </c>
      <c r="AA122" s="204">
        <f t="shared" si="36"/>
        <v>23.265999999999998</v>
      </c>
      <c r="AB122" s="54" t="e">
        <f>VLOOKUP(A122,Enforcements!$C$7:$K$9,8,0)</f>
        <v>#N/A</v>
      </c>
      <c r="AC122" s="51" t="e">
        <f>VLOOKUP(A122,Enforcements!$C$7:$E$9,3,0)</f>
        <v>#N/A</v>
      </c>
      <c r="AD122" s="179">
        <f t="shared" si="37"/>
        <v>210</v>
      </c>
      <c r="AE122" s="77" t="str">
        <f t="shared" si="38"/>
        <v>aws s3 cp s3://rtdc.mdm.uploadarchive.raw/RTDC4049/ "%USERPROFILE%\AppData\Local\Temp\OnboardLogs"\RTDC4049\2017-11-10 --exclude "*" --recursive --include "*20171110*" &amp; "%USERPROFILE%\Documents\GitHub\mrs-test-scripts\Headless Mode &amp; Sideloading\WalkAndUnGZ.bat" "%USERPROFILE%\AppData\Local\Temp\OnboardLogs"\RTDC4049\2017-11-10 &amp; aws s3 cp s3://rtdc.mdm.uploadarchive.raw/RTDC4049/ "%USERPROFILE%\AppData\Local\Temp\OnboardLogs"\RTDC4049\2017-11-11 --exclude "*" --recursive --include "*20171111*" &amp; "%USERPROFILE%\Documents\GitHub\mrs-test-scripts\Headless Mode &amp; Sideloading\WalkAndUnGZ.bat" "%USERPROFILE%\AppData\Local\Temp\OnboardLogs"\RTDC4049\2017-11-11</v>
      </c>
      <c r="AF122" s="74" t="str">
        <f t="shared" si="39"/>
        <v>"C:\Program Files (x86)\AstroGrep\AstroGrep.exe" /e /r /s /spath="%USERPROFILE%\AppData\Local\Temp\OnboardLogs" /stypes="app*4049*20171111*" /stext=" 01:.+((SYSTEM_STATE.+slice.+state.+changed )|(ment ac)|(multiple cpu faults)|(system.+state.+changed )|(\[timeout)|(PRM\|1\|D)|(kpr)|(kdp)|(train st.+moving)|(\|lc)|(penalty))"</v>
      </c>
      <c r="AG122" s="182" t="str">
        <f t="shared" si="40"/>
        <v>EC</v>
      </c>
      <c r="AH122" s="78" t="str">
        <f t="shared" si="42"/>
        <v>"%USERPROFILE%\Documents\GitHub\eaglep3\Utilities\RefineRTDCRunTimes.py" --tripid 210-10 --locoid 4049 --swversion DE.1.0.9.0 --startMP 204:232867 --initTime 2017-11-10T17:54:31 --startdatetime 2017-11-10T18:12:13 --delay 53 --endMP 204:207 --enddatetime 2017-11-10T18:49:14 --enforcementcount 1 &gt;&gt;%USERPROFILE%\Documents\GitHub\eaglep3-reporting\EC\2017-11-10-refined-times.txt</v>
      </c>
      <c r="AI122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{"issue":{"subject":"","project_id":79,"tracker_id":40,"status_id":1,"priority_id":2,"assigned_to_id":338,"start_date":"2017-11-10","description":"","custom_fields":[{"id":1,"name":"Subdivision","value":"EC"},{"id":4,"name":"Milepost","value":"0.0207"},{"id":17,"name":"Train ID","value":"210-10"},{"id":16,"name":"Locomotive ID","value":"4049"},{"id":130,"name":"Impact","value":""},{"id":150,"name":"Time of Event (Mountain Time)","value":"18:49:14"},{"id":151,"name":"Denver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4"/>
        <v>start /low /b %USERPROFILE%\Documents\GitHub\eaglep3\Utilities\DownloadLogsFromS3.py --loco 4049 --day 2017-11-10</v>
      </c>
      <c r="AN122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01:49:14"},{"id":29,"name":"Sharepoint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6"/>
        <v>https://d0f6bd738d7f1b3e5a7ca70fe4ff75f0.us-east-1.aws.found.io/app/kibana#/discover/Steve-Slow-Train-Analysis-(2080s-and-2083s)?_g=(refreshInterval:(display:Off,pause:!f,section:0,value:0),time:(from:'2017-11-10T16:54:31-0700',mode:absolute,to:'2017-11-10T19:49:14-0700'))&amp;_a=(columns:!('Message%20ID',Summary),filters:!(),index:'emp_*',interval:auto,query:(query_string:(analyze_wildcard:!t,query:'%22rtdc.l.rtdc.4049%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824</v>
      </c>
      <c r="B123" s="7">
        <v>4012</v>
      </c>
      <c r="C123" s="21" t="s">
        <v>192</v>
      </c>
      <c r="D123" s="21" t="s">
        <v>461</v>
      </c>
      <c r="E123" s="13">
        <v>43049.726909722223</v>
      </c>
      <c r="F123" s="13">
        <v>43049.729386574072</v>
      </c>
      <c r="G123" s="7">
        <v>61</v>
      </c>
      <c r="H123" s="21" t="s">
        <v>977</v>
      </c>
      <c r="I123" s="13">
        <v>43049.753668981481</v>
      </c>
      <c r="J123" s="7">
        <v>1</v>
      </c>
      <c r="K123" s="89" t="str">
        <f t="shared" si="29"/>
        <v>4011/4012</v>
      </c>
      <c r="L123" s="185" t="str">
        <f>VLOOKUP(A123,'Trips&amp;Operators'!$C$1:$G$99911,5,FALSE)</f>
        <v>LEVIN SCOTT</v>
      </c>
      <c r="M123" s="6">
        <f t="shared" si="30"/>
        <v>2.4282407408463769E-2</v>
      </c>
      <c r="N123" s="7">
        <f t="shared" si="51"/>
        <v>34.966666668187827</v>
      </c>
      <c r="O123" s="7"/>
      <c r="P123" s="7"/>
      <c r="Q123" s="22"/>
      <c r="R123" s="174"/>
      <c r="S123" s="221">
        <f t="shared" si="50"/>
        <v>1</v>
      </c>
      <c r="T123" s="174" t="str">
        <f t="shared" si="31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2"/>
        <v>https://d0f6bd738d7f1b3e5a7ca70fe4ff75f0.us-east-1.aws.found.io/app/kibana#/discover/Steve-Slow-Train-Analysis-(2080s-and-2083s)?_g=(refreshInterval:(display:Off,pause:!f,section:0,value:0),time:(from:'2017-11-10T16:26:45-0700',mode:absolute,to:'2017-11-10T19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3" s="204" t="str">
        <f>IF(AA123&lt;VLOOKUP(AG123,Variables!$AC$3:$AD$8,2,FALSE),"Y","N")</f>
        <v>N</v>
      </c>
      <c r="X123" s="204">
        <f t="shared" ref="X123:X170" si="55">VALUE(LEFT(AD123,4))-VALUE(LEFT(AD122,4))</f>
        <v>1</v>
      </c>
      <c r="Y123" s="204">
        <f t="shared" si="48"/>
        <v>5.1900000000000002E-2</v>
      </c>
      <c r="Z123" s="204">
        <f t="shared" si="49"/>
        <v>23.328700000000001</v>
      </c>
      <c r="AA123" s="204">
        <f t="shared" si="36"/>
        <v>23.276800000000001</v>
      </c>
      <c r="AB123" s="54" t="e">
        <f>VLOOKUP(A123,Enforcements!$C$7:$K$9,8,0)</f>
        <v>#N/A</v>
      </c>
      <c r="AC123" s="51" t="e">
        <f>VLOOKUP(A123,Enforcements!$C$7:$E$9,3,0)</f>
        <v>#N/A</v>
      </c>
      <c r="AD123" s="179">
        <f t="shared" si="37"/>
        <v>211</v>
      </c>
      <c r="AE123" s="77" t="str">
        <f t="shared" si="38"/>
        <v>aws s3 cp s3://rtdc.mdm.uploadarchive.raw/RTDC4012/ "%USERPROFILE%\AppData\Local\Temp\OnboardLogs"\RTDC4012\2017-11-10 --exclude "*" --recursive --include "*20171110*" &amp; "%USERPROFILE%\Documents\GitHub\mrs-test-scripts\Headless Mode &amp; Sideloading\WalkAndUnGZ.bat" "%USERPROFILE%\AppData\Local\Temp\OnboardLogs"\RTDC4012\2017-11-10 &amp; aws s3 cp s3://rtdc.mdm.uploadarchive.raw/RTDC4012/ "%USERPROFILE%\AppData\Local\Temp\OnboardLogs"\RTDC4012\2017-11-11 --exclude "*" --recursive --include "*20171111*" &amp; "%USERPROFILE%\Documents\GitHub\mrs-test-scripts\Headless Mode &amp; Sideloading\WalkAndUnGZ.bat" "%USERPROFILE%\AppData\Local\Temp\OnboardLogs"\RTDC4012\2017-11-11</v>
      </c>
      <c r="AF123" s="74" t="str">
        <f t="shared" si="39"/>
        <v>"C:\Program Files (x86)\AstroGrep\AstroGrep.exe" /e /r /s /spath="%USERPROFILE%\AppData\Local\Temp\OnboardLogs" /stypes="app*4012*20171111*" /stext=" 01:.+((SYSTEM_STATE.+slice.+state.+changed )|(ment ac)|(multiple cpu faults)|(system.+state.+changed )|(\[timeout)|(PRM\|1\|D)|(kpr)|(kdp)|(train st.+moving)|(\|lc)|(penalty))"</v>
      </c>
      <c r="AG123" s="182" t="str">
        <f t="shared" si="40"/>
        <v>EC</v>
      </c>
      <c r="AH123" s="78" t="str">
        <f t="shared" si="42"/>
        <v>"%USERPROFILE%\Documents\GitHub\eaglep3\Utilities\RefineRTDCRunTimes.py" --tripid 211-10 --locoid 4012 --swversion DE.1.0.9.0 --startMP 204:519 --initTime 2017-11-10T17:26:45 --startdatetime 2017-11-10T17:30:19 --delay 61 --endMP 204:233287 --enddatetime 2017-11-10T18:05:17 --enforcementcount 1 &gt;&gt;%USERPROFILE%\Documents\GitHub\eaglep3-reporting\EC\2017-11-10-refined-times.txt</v>
      </c>
      <c r="AI123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{"issue":{"subject":"","project_id":79,"tracker_id":40,"status_id":1,"priority_id":2,"assigned_to_id":338,"start_date":"2017-11-10","description":"","custom_fields":[{"id":1,"name":"Subdivision","value":"EC"},{"id":4,"name":"Milepost","value":"23.3287"},{"id":17,"name":"Train ID","value":"211-10"},{"id":16,"name":"Locomotive ID","value":"4012"},{"id":130,"name":"Impact","value":""},{"id":150,"name":"Time of Event (Mountain Time)","value":"18:05:17"},{"id":151,"name":"Denver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44"/>
        <v>start /low /b %USERPROFILE%\Documents\GitHub\eaglep3\Utilities\DownloadLogsFromS3.py --loco 4012 --day 2017-11-10</v>
      </c>
      <c r="AN123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01:05:17"},{"id":29,"name":"Sharepoint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6"/>
        <v>https://d0f6bd738d7f1b3e5a7ca70fe4ff75f0.us-east-1.aws.found.io/app/kibana#/discover/Steve-Slow-Train-Analysis-(2080s-and-2083s)?_g=(refreshInterval:(display:Off,pause:!f,section:0,value:0),time:(from:'2017-11-10T16:26:45-0700',mode:absolute,to:'2017-11-10T19:05:17-0700'))&amp;_a=(columns:!('Message%20ID',Summary),filters:!(),index:'emp_*',interval:auto,query:(query_string:(analyze_wildcard:!t,query:'%22rtdc.l.rtdc.4012%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836</v>
      </c>
      <c r="B124" s="7">
        <v>4011</v>
      </c>
      <c r="C124" s="21" t="s">
        <v>192</v>
      </c>
      <c r="D124" s="21" t="s">
        <v>978</v>
      </c>
      <c r="E124" s="13">
        <v>43049.758726851855</v>
      </c>
      <c r="F124" s="13">
        <v>43049.768912037034</v>
      </c>
      <c r="G124" s="7">
        <v>51</v>
      </c>
      <c r="H124" s="21" t="s">
        <v>926</v>
      </c>
      <c r="I124" s="13">
        <v>43049.795023148145</v>
      </c>
      <c r="J124" s="7">
        <v>1</v>
      </c>
      <c r="K124" s="89" t="str">
        <f t="shared" si="29"/>
        <v>4011/4012</v>
      </c>
      <c r="L124" s="185" t="str">
        <f>VLOOKUP(A124,'Trips&amp;Operators'!$C$1:$G$99911,5,FALSE)</f>
        <v>LEVIN SCOTT</v>
      </c>
      <c r="M124" s="6">
        <f t="shared" si="30"/>
        <v>2.6111111110367347E-2</v>
      </c>
      <c r="N124" s="7">
        <f t="shared" si="51"/>
        <v>37.599999998928979</v>
      </c>
      <c r="O124" s="7"/>
      <c r="P124" s="7"/>
      <c r="Q124" s="22"/>
      <c r="R124" s="174"/>
      <c r="S124" s="221">
        <f t="shared" si="50"/>
        <v>1</v>
      </c>
      <c r="T124" s="174" t="str">
        <f t="shared" si="31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2"/>
        <v>https://d0f6bd738d7f1b3e5a7ca70fe4ff75f0.us-east-1.aws.found.io/app/kibana#/discover/Steve-Slow-Train-Analysis-(2080s-and-2083s)?_g=(refreshInterval:(display:Off,pause:!f,section:0,value:0),time:(from:'2017-11-10T17:12:34-0700',mode:absolute,to:'2017-11-10T20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4" s="204" t="str">
        <f>IF(AA124&lt;VLOOKUP(AG124,Variables!$AC$3:$AD$8,2,FALSE),"Y","N")</f>
        <v>N</v>
      </c>
      <c r="X124" s="204">
        <f t="shared" si="55"/>
        <v>1</v>
      </c>
      <c r="Y124" s="204">
        <f t="shared" si="48"/>
        <v>23.297599999999999</v>
      </c>
      <c r="Z124" s="204">
        <f t="shared" si="49"/>
        <v>1.89E-2</v>
      </c>
      <c r="AA124" s="204">
        <f t="shared" si="36"/>
        <v>23.278700000000001</v>
      </c>
      <c r="AB124" s="54" t="e">
        <f>VLOOKUP(A124,Enforcements!$C$7:$K$9,8,0)</f>
        <v>#N/A</v>
      </c>
      <c r="AC124" s="51" t="e">
        <f>VLOOKUP(A124,Enforcements!$C$7:$E$9,3,0)</f>
        <v>#N/A</v>
      </c>
      <c r="AD124" s="179">
        <f t="shared" si="37"/>
        <v>212</v>
      </c>
      <c r="AE124" s="77" t="str">
        <f t="shared" si="38"/>
        <v>aws s3 cp s3://rtdc.mdm.uploadarchive.raw/RTDC4011/ "%USERPROFILE%\AppData\Local\Temp\OnboardLogs"\RTDC4011\2017-11-10 --exclude "*" --recursive --include "*20171110*" &amp; "%USERPROFILE%\Documents\GitHub\mrs-test-scripts\Headless Mode &amp; Sideloading\WalkAndUnGZ.bat" "%USERPROFILE%\AppData\Local\Temp\OnboardLogs"\RTDC4011\2017-11-10 &amp; aws s3 cp s3://rtdc.mdm.uploadarchive.raw/RTDC4011/ "%USERPROFILE%\AppData\Local\Temp\OnboardLogs"\RTDC4011\2017-11-11 --exclude "*" --recursive --include "*20171111*" &amp; "%USERPROFILE%\Documents\GitHub\mrs-test-scripts\Headless Mode &amp; Sideloading\WalkAndUnGZ.bat" "%USERPROFILE%\AppData\Local\Temp\OnboardLogs"\RTDC4011\2017-11-11</v>
      </c>
      <c r="AF124" s="74" t="str">
        <f t="shared" si="39"/>
        <v>"C:\Program Files (x86)\AstroGrep\AstroGrep.exe" /e /r /s /spath="%USERPROFILE%\AppData\Local\Temp\OnboardLogs" /stypes="app*4011*20171111*" /stext=" 02:.+((SYSTEM_STATE.+slice.+state.+changed )|(ment ac)|(multiple cpu faults)|(system.+state.+changed )|(\[timeout)|(PRM\|1\|D)|(kpr)|(kdp)|(train st.+moving)|(\|lc)|(penalty))"</v>
      </c>
      <c r="AG124" s="182" t="str">
        <f t="shared" si="40"/>
        <v>EC</v>
      </c>
      <c r="AH124" s="78" t="str">
        <f t="shared" si="42"/>
        <v>"%USERPROFILE%\Documents\GitHub\eaglep3\Utilities\RefineRTDCRunTimes.py" --tripid 212-10 --locoid 4011 --swversion DE.1.0.9.0 --startMP 204:232976 --initTime 2017-11-10T18:12:34 --startdatetime 2017-11-10T18:27:14 --delay 51 --endMP 204:189 --enddatetime 2017-11-10T19:04:50 --enforcementcount 1 &gt;&gt;%USERPROFILE%\Documents\GitHub\eaglep3-reporting\EC\2017-11-10-refined-times.txt</v>
      </c>
      <c r="AI124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{"issue":{"subject":"","project_id":79,"tracker_id":40,"status_id":1,"priority_id":2,"assigned_to_id":338,"start_date":"2017-11-10","description":"","custom_fields":[{"id":1,"name":"Subdivision","value":"EC"},{"id":4,"name":"Milepost","value":"0.0189"},{"id":17,"name":"Train ID","value":"212-10"},{"id":16,"name":"Locomotive ID","value":"4011"},{"id":130,"name":"Impact","value":""},{"id":150,"name":"Time of Event (Mountain Time)","value":"19:04:50"},{"id":151,"name":"Denver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44"/>
        <v>start /low /b %USERPROFILE%\Documents\GitHub\eaglep3\Utilities\DownloadLogsFromS3.py --loco 4011 --day 2017-11-10</v>
      </c>
      <c r="AN124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02:04:50"},{"id":29,"name":"Sharepoint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6"/>
        <v>https://d0f6bd738d7f1b3e5a7ca70fe4ff75f0.us-east-1.aws.found.io/app/kibana#/discover/Steve-Slow-Train-Analysis-(2080s-and-2083s)?_g=(refreshInterval:(display:Off,pause:!f,section:0,value:0),time:(from:'2017-11-10T17:12:34-0700',mode:absolute,to:'2017-11-10T20:04:50-0700'))&amp;_a=(columns:!('Message%20ID',Summary),filters:!(),index:'emp_*',interval:auto,query:(query_string:(analyze_wildcard:!t,query:'%22rtdc.l.rtdc.4011%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827</v>
      </c>
      <c r="B125" s="7">
        <v>4052</v>
      </c>
      <c r="C125" s="21" t="s">
        <v>192</v>
      </c>
      <c r="D125" s="21" t="s">
        <v>555</v>
      </c>
      <c r="E125" s="13">
        <v>43049.73709490741</v>
      </c>
      <c r="F125" s="13">
        <v>43049.73982638889</v>
      </c>
      <c r="G125" s="7">
        <v>57</v>
      </c>
      <c r="H125" s="21" t="s">
        <v>952</v>
      </c>
      <c r="I125" s="13">
        <v>43049.764861111114</v>
      </c>
      <c r="J125" s="7">
        <v>1</v>
      </c>
      <c r="K125" s="89" t="str">
        <f t="shared" si="29"/>
        <v>4051/4052</v>
      </c>
      <c r="L125" s="185" t="str">
        <f>VLOOKUP(A125,'Trips&amp;Operators'!$C$1:$G$99911,5,FALSE)</f>
        <v>LOPES KIMBERLY</v>
      </c>
      <c r="M125" s="6">
        <f t="shared" si="30"/>
        <v>2.5034722224518191E-2</v>
      </c>
      <c r="N125" s="7">
        <f t="shared" si="51"/>
        <v>36.050000003306195</v>
      </c>
      <c r="O125" s="7"/>
      <c r="P125" s="7"/>
      <c r="Q125" s="22"/>
      <c r="R125" s="174"/>
      <c r="S125" s="221">
        <f t="shared" si="50"/>
        <v>1</v>
      </c>
      <c r="T125" s="174" t="str">
        <f t="shared" si="31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2"/>
        <v>https://d0f6bd738d7f1b3e5a7ca70fe4ff75f0.us-east-1.aws.found.io/app/kibana#/discover/Steve-Slow-Train-Analysis-(2080s-and-2083s)?_g=(refreshInterval:(display:Off,pause:!f,section:0,value:0),time:(from:'2017-11-10T16:41:25-0700',mode:absolute,to:'2017-11-10T19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5" s="204" t="str">
        <f>IF(AA125&lt;VLOOKUP(AG125,Variables!$AC$3:$AD$8,2,FALSE),"Y","N")</f>
        <v>N</v>
      </c>
      <c r="X125" s="204">
        <f t="shared" si="55"/>
        <v>1</v>
      </c>
      <c r="Y125" s="204">
        <f t="shared" si="48"/>
        <v>5.2400000000000002E-2</v>
      </c>
      <c r="Z125" s="204">
        <f t="shared" si="49"/>
        <v>23.323</v>
      </c>
      <c r="AA125" s="204">
        <f t="shared" si="36"/>
        <v>23.270600000000002</v>
      </c>
      <c r="AB125" s="54" t="e">
        <f>VLOOKUP(A125,Enforcements!$C$7:$K$9,8,0)</f>
        <v>#N/A</v>
      </c>
      <c r="AC125" s="51" t="e">
        <f>VLOOKUP(A125,Enforcements!$C$7:$E$9,3,0)</f>
        <v>#N/A</v>
      </c>
      <c r="AD125" s="179">
        <f t="shared" si="37"/>
        <v>213</v>
      </c>
      <c r="AE125" s="77" t="str">
        <f t="shared" si="38"/>
        <v>aws s3 cp s3://rtdc.mdm.uploadarchive.raw/RTDC4052/ "%USERPROFILE%\AppData\Local\Temp\OnboardLogs"\RTDC4052\2017-11-10 --exclude "*" --recursive --include "*20171110*" &amp; "%USERPROFILE%\Documents\GitHub\mrs-test-scripts\Headless Mode &amp; Sideloading\WalkAndUnGZ.bat" "%USERPROFILE%\AppData\Local\Temp\OnboardLogs"\RTDC4052\2017-11-10 &amp; aws s3 cp s3://rtdc.mdm.uploadarchive.raw/RTDC4052/ "%USERPROFILE%\AppData\Local\Temp\OnboardLogs"\RTDC4052\2017-11-11 --exclude "*" --recursive --include "*20171111*" &amp; "%USERPROFILE%\Documents\GitHub\mrs-test-scripts\Headless Mode &amp; Sideloading\WalkAndUnGZ.bat" "%USERPROFILE%\AppData\Local\Temp\OnboardLogs"\RTDC4052\2017-11-11</v>
      </c>
      <c r="AF125" s="74" t="str">
        <f t="shared" si="39"/>
        <v>"C:\Program Files (x86)\AstroGrep\AstroGrep.exe" /e /r /s /spath="%USERPROFILE%\AppData\Local\Temp\OnboardLogs" /stypes="app*4052*20171111*" /stext=" 01:.+((SYSTEM_STATE.+slice.+state.+changed )|(ment ac)|(multiple cpu faults)|(system.+state.+changed )|(\[timeout)|(PRM\|1\|D)|(kpr)|(kdp)|(train st.+moving)|(\|lc)|(penalty))"</v>
      </c>
      <c r="AG125" s="182" t="str">
        <f t="shared" si="40"/>
        <v>EC</v>
      </c>
      <c r="AH125" s="78" t="str">
        <f t="shared" si="42"/>
        <v>"%USERPROFILE%\Documents\GitHub\eaglep3\Utilities\RefineRTDCRunTimes.py" --tripid 213-10 --locoid 4052 --swversion DE.1.0.9.0 --startMP 204:524 --initTime 2017-11-10T17:41:25 --startdatetime 2017-11-10T17:45:21 --delay 57 --endMP 204:233230 --enddatetime 2017-11-10T18:21:24 --enforcementcount 1 &gt;&gt;%USERPROFILE%\Documents\GitHub\eaglep3-reporting\EC\2017-11-10-refined-times.txt</v>
      </c>
      <c r="AI125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{"issue":{"subject":"","project_id":79,"tracker_id":40,"status_id":1,"priority_id":2,"assigned_to_id":338,"start_date":"2017-11-10","description":"","custom_fields":[{"id":1,"name":"Subdivision","value":"EC"},{"id":4,"name":"Milepost","value":"23.323"},{"id":17,"name":"Train ID","value":"213-10"},{"id":16,"name":"Locomotive ID","value":"4052"},{"id":130,"name":"Impact","value":""},{"id":150,"name":"Time of Event (Mountain Time)","value":"18:21:24"},{"id":151,"name":"Denver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44"/>
        <v>start /low /b %USERPROFILE%\Documents\GitHub\eaglep3\Utilities\DownloadLogsFromS3.py --loco 4052 --day 2017-11-10</v>
      </c>
      <c r="AN125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01:21:24"},{"id":29,"name":"Sharepoint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6"/>
        <v>https://d0f6bd738d7f1b3e5a7ca70fe4ff75f0.us-east-1.aws.found.io/app/kibana#/discover/Steve-Slow-Train-Analysis-(2080s-and-2083s)?_g=(refreshInterval:(display:Off,pause:!f,section:0,value:0),time:(from:'2017-11-10T16:41:25-0700',mode:absolute,to:'2017-11-10T19:21:24-0700'))&amp;_a=(columns:!('Message%20ID',Summary),filters:!(),index:'emp_*',interval:auto,query:(query_string:(analyze_wildcard:!t,query:'%22rtdc.l.rtdc.4052%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840</v>
      </c>
      <c r="B126" s="7">
        <v>4051</v>
      </c>
      <c r="C126" s="21" t="s">
        <v>192</v>
      </c>
      <c r="D126" s="21" t="s">
        <v>971</v>
      </c>
      <c r="E126" s="13">
        <v>43049.771932870368</v>
      </c>
      <c r="F126" s="13">
        <v>43049.779363425929</v>
      </c>
      <c r="G126" s="7">
        <v>66</v>
      </c>
      <c r="H126" s="21" t="s">
        <v>603</v>
      </c>
      <c r="I126" s="13">
        <v>43049.806145833332</v>
      </c>
      <c r="J126" s="7">
        <v>1</v>
      </c>
      <c r="K126" s="89" t="str">
        <f t="shared" si="29"/>
        <v>4051/4052</v>
      </c>
      <c r="L126" s="185" t="str">
        <f>VLOOKUP(A126,'Trips&amp;Operators'!$C$1:$G$99911,5,FALSE)</f>
        <v>LOPES KIMBERLY</v>
      </c>
      <c r="M126" s="6">
        <f t="shared" si="30"/>
        <v>2.6782407403516117E-2</v>
      </c>
      <c r="N126" s="7">
        <f t="shared" si="51"/>
        <v>38.566666661063209</v>
      </c>
      <c r="O126" s="7"/>
      <c r="P126" s="7"/>
      <c r="Q126" s="22"/>
      <c r="R126" s="174"/>
      <c r="S126" s="221">
        <f t="shared" si="50"/>
        <v>1</v>
      </c>
      <c r="T126" s="174" t="str">
        <f t="shared" si="31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2"/>
        <v>https://d0f6bd738d7f1b3e5a7ca70fe4ff75f0.us-east-1.aws.found.io/app/kibana#/discover/Steve-Slow-Train-Analysis-(2080s-and-2083s)?_g=(refreshInterval:(display:Off,pause:!f,section:0,value:0),time:(from:'2017-11-10T17:31:35-0700',mode:absolute,to:'2017-11-10T20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6" s="204" t="str">
        <f>IF(AA126&lt;VLOOKUP(AG126,Variables!$AC$3:$AD$8,2,FALSE),"Y","N")</f>
        <v>N</v>
      </c>
      <c r="X126" s="204">
        <f t="shared" si="55"/>
        <v>1</v>
      </c>
      <c r="Y126" s="204">
        <f t="shared" si="48"/>
        <v>23.2881</v>
      </c>
      <c r="Z126" s="204">
        <f t="shared" si="49"/>
        <v>2.23E-2</v>
      </c>
      <c r="AA126" s="204">
        <f t="shared" si="36"/>
        <v>23.265799999999999</v>
      </c>
      <c r="AB126" s="54" t="e">
        <f>VLOOKUP(A126,Enforcements!$C$7:$K$9,8,0)</f>
        <v>#N/A</v>
      </c>
      <c r="AC126" s="51" t="e">
        <f>VLOOKUP(A126,Enforcements!$C$7:$E$9,3,0)</f>
        <v>#N/A</v>
      </c>
      <c r="AD126" s="179">
        <f t="shared" si="37"/>
        <v>214</v>
      </c>
      <c r="AE126" s="77" t="str">
        <f t="shared" si="38"/>
        <v>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 &amp; 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</v>
      </c>
      <c r="AF126" s="74" t="str">
        <f t="shared" si="39"/>
        <v>"C:\Program Files (x86)\AstroGrep\AstroGrep.exe" /e /r /s /spath="%USERPROFILE%\AppData\Local\Temp\OnboardLogs" /stypes="app*4051*20171111*" /stext=" 02:.+((SYSTEM_STATE.+slice.+state.+changed )|(ment ac)|(multiple cpu faults)|(system.+state.+changed )|(\[timeout)|(PRM\|1\|D)|(kpr)|(kdp)|(train st.+moving)|(\|lc)|(penalty))"</v>
      </c>
      <c r="AG126" s="182" t="str">
        <f t="shared" si="40"/>
        <v>EC</v>
      </c>
      <c r="AH126" s="78" t="str">
        <f t="shared" si="42"/>
        <v>"%USERPROFILE%\Documents\GitHub\eaglep3\Utilities\RefineRTDCRunTimes.py" --tripid 214-10 --locoid 4051 --swversion DE.1.0.9.0 --startMP 204:232881 --initTime 2017-11-10T18:31:35 --startdatetime 2017-11-10T18:42:17 --delay 66 --endMP 204:223 --enddatetime 2017-11-10T19:20:51 --enforcementcount 1 &gt;&gt;%USERPROFILE%\Documents\GitHub\eaglep3-reporting\EC\2017-11-10-refined-times.txt</v>
      </c>
      <c r="AI126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{"issue":{"subject":"","project_id":79,"tracker_id":40,"status_id":1,"priority_id":2,"assigned_to_id":338,"start_date":"2017-11-10","description":"","custom_fields":[{"id":1,"name":"Subdivision","value":"EC"},{"id":4,"name":"Milepost","value":"0.0223"},{"id":17,"name":"Train ID","value":"214-10"},{"id":16,"name":"Locomotive ID","value":"4051"},{"id":130,"name":"Impact","value":""},{"id":150,"name":"Time of Event (Mountain Time)","value":"19:20:51"},{"id":151,"name":"Denver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44"/>
        <v>start /low /b %USERPROFILE%\Documents\GitHub\eaglep3\Utilities\DownloadLogsFromS3.py --loco 4051 --day 2017-11-10</v>
      </c>
      <c r="AN126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02:20:51"},{"id":29,"name":"Sharepoint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6"/>
        <v>https://d0f6bd738d7f1b3e5a7ca70fe4ff75f0.us-east-1.aws.found.io/app/kibana#/discover/Steve-Slow-Train-Analysis-(2080s-and-2083s)?_g=(refreshInterval:(display:Off,pause:!f,section:0,value:0),time:(from:'2017-11-10T17:31:35-0700',mode:absolute,to:'2017-11-10T20:20:51-0700'))&amp;_a=(columns:!('Message%20ID',Summary),filters:!(),index:'emp_*',interval:auto,query:(query_string:(analyze_wildcard:!t,query:'%22rtdc.l.rtdc.4051%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830</v>
      </c>
      <c r="B127" s="7">
        <v>4042</v>
      </c>
      <c r="C127" s="21" t="s">
        <v>192</v>
      </c>
      <c r="D127" s="21" t="s">
        <v>461</v>
      </c>
      <c r="E127" s="13">
        <v>43049.744652777779</v>
      </c>
      <c r="F127" s="13">
        <v>43049.750185185185</v>
      </c>
      <c r="G127" s="7">
        <v>66</v>
      </c>
      <c r="H127" s="21" t="s">
        <v>979</v>
      </c>
      <c r="I127" s="13">
        <v>43049.774039351854</v>
      </c>
      <c r="J127" s="7">
        <v>1</v>
      </c>
      <c r="K127" s="89" t="str">
        <f t="shared" si="29"/>
        <v>4041/4042</v>
      </c>
      <c r="L127" s="185" t="str">
        <f>VLOOKUP(A127,'Trips&amp;Operators'!$C$1:$G$99911,5,FALSE)</f>
        <v>HOLCOMB KAMDEN</v>
      </c>
      <c r="M127" s="6">
        <f t="shared" si="30"/>
        <v>2.3854166669480037E-2</v>
      </c>
      <c r="N127" s="7">
        <f t="shared" si="51"/>
        <v>34.350000004051253</v>
      </c>
      <c r="O127" s="7"/>
      <c r="P127" s="7"/>
      <c r="Q127" s="22"/>
      <c r="R127" s="174"/>
      <c r="S127" s="221">
        <f t="shared" si="50"/>
        <v>1</v>
      </c>
      <c r="T127" s="174" t="str">
        <f t="shared" si="31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2"/>
        <v>https://d0f6bd738d7f1b3e5a7ca70fe4ff75f0.us-east-1.aws.found.io/app/kibana#/discover/Steve-Slow-Train-Analysis-(2080s-and-2083s)?_g=(refreshInterval:(display:Off,pause:!f,section:0,value:0),time:(from:'2017-11-10T16:52:18-0700',mode:absolute,to:'2017-11-10T19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204" t="str">
        <f>IF(AA127&lt;VLOOKUP(AG127,Variables!$AC$3:$AD$8,2,FALSE),"Y","N")</f>
        <v>N</v>
      </c>
      <c r="X127" s="204">
        <f t="shared" si="55"/>
        <v>1</v>
      </c>
      <c r="Y127" s="204">
        <f t="shared" si="48"/>
        <v>5.1900000000000002E-2</v>
      </c>
      <c r="Z127" s="204">
        <f t="shared" si="49"/>
        <v>23.3142</v>
      </c>
      <c r="AA127" s="204">
        <f t="shared" si="36"/>
        <v>23.2623</v>
      </c>
      <c r="AB127" s="54" t="e">
        <f>VLOOKUP(A127,Enforcements!$C$7:$K$9,8,0)</f>
        <v>#N/A</v>
      </c>
      <c r="AC127" s="51" t="e">
        <f>VLOOKUP(A127,Enforcements!$C$7:$E$9,3,0)</f>
        <v>#N/A</v>
      </c>
      <c r="AD127" s="179">
        <f t="shared" si="37"/>
        <v>215</v>
      </c>
      <c r="AE127" s="77" t="str">
        <f t="shared" si="38"/>
        <v>aws s3 cp s3://rtdc.mdm.uploadarchive.raw/RTDC4042/ "%USERPROFILE%\AppData\Local\Temp\OnboardLogs"\RTDC4042\2017-11-10 --exclude "*" --recursive --include "*20171110*" &amp; "%USERPROFILE%\Documents\GitHub\mrs-test-scripts\Headless Mode &amp; Sideloading\WalkAndUnGZ.bat" "%USERPROFILE%\AppData\Local\Temp\OnboardLogs"\RTDC4042\2017-11-10 &amp; aws s3 cp s3://rtdc.mdm.uploadarchive.raw/RTDC4042/ "%USERPROFILE%\AppData\Local\Temp\OnboardLogs"\RTDC4042\2017-11-11 --exclude "*" --recursive --include "*20171111*" &amp; "%USERPROFILE%\Documents\GitHub\mrs-test-scripts\Headless Mode &amp; Sideloading\WalkAndUnGZ.bat" "%USERPROFILE%\AppData\Local\Temp\OnboardLogs"\RTDC4042\2017-11-11</v>
      </c>
      <c r="AF127" s="74" t="str">
        <f t="shared" si="39"/>
        <v>"C:\Program Files (x86)\AstroGrep\AstroGrep.exe" /e /r /s /spath="%USERPROFILE%\AppData\Local\Temp\OnboardLogs" /stypes="app*4042*20171111*" /stext=" 01:.+((SYSTEM_STATE.+slice.+state.+changed )|(ment ac)|(multiple cpu faults)|(system.+state.+changed )|(\[timeout)|(PRM\|1\|D)|(kpr)|(kdp)|(train st.+moving)|(\|lc)|(penalty))"</v>
      </c>
      <c r="AG127" s="182" t="str">
        <f t="shared" si="40"/>
        <v>EC</v>
      </c>
      <c r="AH127" s="78" t="str">
        <f t="shared" si="42"/>
        <v>"%USERPROFILE%\Documents\GitHub\eaglep3\Utilities\RefineRTDCRunTimes.py" --tripid 215-10 --locoid 4042 --swversion DE.1.0.9.0 --startMP 204:519 --initTime 2017-11-10T17:52:18 --startdatetime 2017-11-10T18:00:16 --delay 66 --endMP 204:233142 --enddatetime 2017-11-10T18:34:37 --enforcementcount 1 &gt;&gt;%USERPROFILE%\Documents\GitHub\eaglep3-reporting\EC\2017-11-10-refined-times.txt</v>
      </c>
      <c r="AI127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{"issue":{"subject":"","project_id":79,"tracker_id":40,"status_id":1,"priority_id":2,"assigned_to_id":338,"start_date":"2017-11-10","description":"","custom_fields":[{"id":1,"name":"Subdivision","value":"EC"},{"id":4,"name":"Milepost","value":"23.3142"},{"id":17,"name":"Train ID","value":"215-10"},{"id":16,"name":"Locomotive ID","value":"4042"},{"id":130,"name":"Impact","value":""},{"id":150,"name":"Time of Event (Mountain Time)","value":"18:34:37"},{"id":151,"name":"Denver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44"/>
        <v>start /low /b %USERPROFILE%\Documents\GitHub\eaglep3\Utilities\DownloadLogsFromS3.py --loco 4042 --day 2017-11-10</v>
      </c>
      <c r="AN127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01:34:37"},{"id":29,"name":"Sharepoint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6"/>
        <v>https://d0f6bd738d7f1b3e5a7ca70fe4ff75f0.us-east-1.aws.found.io/app/kibana#/discover/Steve-Slow-Train-Analysis-(2080s-and-2083s)?_g=(refreshInterval:(display:Off,pause:!f,section:0,value:0),time:(from:'2017-11-10T16:52:18-0700',mode:absolute,to:'2017-11-10T19:34:37-0700'))&amp;_a=(columns:!('Message%20ID',Summary),filters:!(),index:'emp_*',interval:auto,query:(query_string:(analyze_wildcard:!t,query:'%22rtdc.l.rtdc.4042%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842</v>
      </c>
      <c r="B128" s="7">
        <v>4041</v>
      </c>
      <c r="C128" s="21" t="s">
        <v>192</v>
      </c>
      <c r="D128" s="21" t="s">
        <v>980</v>
      </c>
      <c r="E128" s="13">
        <v>43049.783229166664</v>
      </c>
      <c r="F128" s="13">
        <v>43049.789756944447</v>
      </c>
      <c r="G128" s="7">
        <v>70</v>
      </c>
      <c r="H128" s="21" t="s">
        <v>453</v>
      </c>
      <c r="I128" s="13">
        <v>43049.814976851849</v>
      </c>
      <c r="J128" s="7">
        <v>1</v>
      </c>
      <c r="K128" s="89" t="str">
        <f t="shared" si="29"/>
        <v>4041/4042</v>
      </c>
      <c r="L128" s="185" t="str">
        <f>VLOOKUP(A128,'Trips&amp;Operators'!$C$1:$G$99911,5,FALSE)</f>
        <v>HOLCOMB KAMDEN</v>
      </c>
      <c r="M128" s="6">
        <f t="shared" si="30"/>
        <v>2.5219907402060926E-2</v>
      </c>
      <c r="N128" s="7">
        <f t="shared" si="51"/>
        <v>36.316666658967733</v>
      </c>
      <c r="O128" s="7"/>
      <c r="P128" s="7"/>
      <c r="Q128" s="22"/>
      <c r="R128" s="174"/>
      <c r="S128" s="221">
        <f t="shared" si="50"/>
        <v>1</v>
      </c>
      <c r="T128" s="174" t="str">
        <f t="shared" si="31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2"/>
        <v>https://d0f6bd738d7f1b3e5a7ca70fe4ff75f0.us-east-1.aws.found.io/app/kibana#/discover/Steve-Slow-Train-Analysis-(2080s-and-2083s)?_g=(refreshInterval:(display:Off,pause:!f,section:0,value:0),time:(from:'2017-11-10T17:47:51-0700',mode:absolute,to:'2017-11-10T20:33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204" t="str">
        <f>IF(AA128&lt;VLOOKUP(AG128,Variables!$AC$3:$AD$8,2,FALSE),"Y","N")</f>
        <v>N</v>
      </c>
      <c r="X128" s="204">
        <f t="shared" si="55"/>
        <v>1</v>
      </c>
      <c r="Y128" s="204">
        <f t="shared" si="48"/>
        <v>23.283000000000001</v>
      </c>
      <c r="Z128" s="204">
        <f t="shared" si="49"/>
        <v>2.12E-2</v>
      </c>
      <c r="AA128" s="204">
        <f t="shared" si="36"/>
        <v>23.261800000000001</v>
      </c>
      <c r="AB128" s="54" t="e">
        <f>VLOOKUP(A128,Enforcements!$C$7:$K$9,8,0)</f>
        <v>#N/A</v>
      </c>
      <c r="AC128" s="51" t="e">
        <f>VLOOKUP(A128,Enforcements!$C$7:$E$9,3,0)</f>
        <v>#N/A</v>
      </c>
      <c r="AD128" s="179">
        <f t="shared" si="37"/>
        <v>216</v>
      </c>
      <c r="AE128" s="77" t="str">
        <f t="shared" si="38"/>
        <v>aws s3 cp s3://rtdc.mdm.uploadarchive.raw/RTDC4041/ "%USERPROFILE%\AppData\Local\Temp\OnboardLogs"\RTDC4041\2017-11-10 --exclude "*" --recursive --include "*20171110*" &amp; "%USERPROFILE%\Documents\GitHub\mrs-test-scripts\Headless Mode &amp; Sideloading\WalkAndUnGZ.bat" "%USERPROFILE%\AppData\Local\Temp\OnboardLogs"\RTDC4041\2017-11-10 &amp; aws s3 cp s3://rtdc.mdm.uploadarchive.raw/RTDC4041/ "%USERPROFILE%\AppData\Local\Temp\OnboardLogs"\RTDC4041\2017-11-11 --exclude "*" --recursive --include "*20171111*" &amp; "%USERPROFILE%\Documents\GitHub\mrs-test-scripts\Headless Mode &amp; Sideloading\WalkAndUnGZ.bat" "%USERPROFILE%\AppData\Local\Temp\OnboardLogs"\RTDC4041\2017-11-11</v>
      </c>
      <c r="AF128" s="74" t="str">
        <f t="shared" si="39"/>
        <v>"C:\Program Files (x86)\AstroGrep\AstroGrep.exe" /e /r /s /spath="%USERPROFILE%\AppData\Local\Temp\OnboardLogs" /stypes="app*4041*20171111*" /stext=" 02:.+((SYSTEM_STATE.+slice.+state.+changed )|(ment ac)|(multiple cpu faults)|(system.+state.+changed )|(\[timeout)|(PRM\|1\|D)|(kpr)|(kdp)|(train st.+moving)|(\|lc)|(penalty))"</v>
      </c>
      <c r="AG128" s="182" t="str">
        <f t="shared" si="40"/>
        <v>EC</v>
      </c>
      <c r="AH128" s="78" t="str">
        <f t="shared" si="42"/>
        <v>"%USERPROFILE%\Documents\GitHub\eaglep3\Utilities\RefineRTDCRunTimes.py" --tripid 216-10 --locoid 4041 --swversion DE.1.0.9.0 --startMP 204:232830 --initTime 2017-11-10T18:47:51 --startdatetime 2017-11-10T18:57:15 --delay 70 --endMP 204:212 --enddatetime 2017-11-10T19:33:34 --enforcementcount 1 &gt;&gt;%USERPROFILE%\Documents\GitHub\eaglep3-reporting\EC\2017-11-10-refined-times.txt</v>
      </c>
      <c r="AI128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{"issue":{"subject":"","project_id":79,"tracker_id":40,"status_id":1,"priority_id":2,"assigned_to_id":338,"start_date":"2017-11-10","description":"","custom_fields":[{"id":1,"name":"Subdivision","value":"EC"},{"id":4,"name":"Milepost","value":"0.0212"},{"id":17,"name":"Train ID","value":"216-10"},{"id":16,"name":"Locomotive ID","value":"4041"},{"id":130,"name":"Impact","value":""},{"id":150,"name":"Time of Event (Mountain Time)","value":"19:33:34"},{"id":151,"name":"Denver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44"/>
        <v>start /low /b %USERPROFILE%\Documents\GitHub\eaglep3\Utilities\DownloadLogsFromS3.py --loco 4041 --day 2017-11-10</v>
      </c>
      <c r="AN128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02:33:34"},{"id":29,"name":"Sharepoint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6"/>
        <v>https://d0f6bd738d7f1b3e5a7ca70fe4ff75f0.us-east-1.aws.found.io/app/kibana#/discover/Steve-Slow-Train-Analysis-(2080s-and-2083s)?_g=(refreshInterval:(display:Off,pause:!f,section:0,value:0),time:(from:'2017-11-10T17:47:51-0700',mode:absolute,to:'2017-11-10T20:33:34-0700'))&amp;_a=(columns:!('Message%20ID',Summary),filters:!(),index:'emp_*',interval:auto,query:(query_string:(analyze_wildcard:!t,query:'%22rtdc.l.rtdc.4041%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834</v>
      </c>
      <c r="B129" s="7">
        <v>4060</v>
      </c>
      <c r="C129" s="21" t="s">
        <v>192</v>
      </c>
      <c r="D129" s="21" t="s">
        <v>981</v>
      </c>
      <c r="E129" s="13">
        <v>43049.756203703706</v>
      </c>
      <c r="F129" s="13">
        <v>43049.760625000003</v>
      </c>
      <c r="G129" s="7">
        <v>74</v>
      </c>
      <c r="H129" s="21" t="s">
        <v>982</v>
      </c>
      <c r="I129" s="13">
        <v>43049.786550925928</v>
      </c>
      <c r="J129" s="7">
        <v>1</v>
      </c>
      <c r="K129" s="89" t="str">
        <f t="shared" si="29"/>
        <v>4059/4060</v>
      </c>
      <c r="L129" s="185" t="str">
        <f>VLOOKUP(A129,'Trips&amp;Operators'!$C$1:$G$99911,5,FALSE)</f>
        <v>DAVIDSON DAVID</v>
      </c>
      <c r="M129" s="6">
        <f t="shared" si="30"/>
        <v>2.5925925925548654E-2</v>
      </c>
      <c r="N129" s="7">
        <f t="shared" si="51"/>
        <v>37.333333332790062</v>
      </c>
      <c r="O129" s="7"/>
      <c r="P129" s="7"/>
      <c r="Q129" s="22"/>
      <c r="R129" s="174"/>
      <c r="S129" s="221">
        <f t="shared" si="50"/>
        <v>1</v>
      </c>
      <c r="T129" s="174" t="str">
        <f t="shared" si="31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2"/>
        <v>https://d0f6bd738d7f1b3e5a7ca70fe4ff75f0.us-east-1.aws.found.io/app/kibana#/discover/Steve-Slow-Train-Analysis-(2080s-and-2083s)?_g=(refreshInterval:(display:Off,pause:!f,section:0,value:0),time:(from:'2017-11-10T17:08:56-0700',mode:absolute,to:'2017-11-10T19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9" s="204" t="str">
        <f>IF(AA129&lt;VLOOKUP(AG129,Variables!$AC$3:$AD$8,2,FALSE),"Y","N")</f>
        <v>N</v>
      </c>
      <c r="X129" s="204">
        <f t="shared" si="55"/>
        <v>1</v>
      </c>
      <c r="Y129" s="204">
        <f t="shared" si="48"/>
        <v>4.9299999999999997E-2</v>
      </c>
      <c r="Z129" s="204">
        <f t="shared" si="49"/>
        <v>23.312999999999999</v>
      </c>
      <c r="AA129" s="204">
        <f t="shared" si="36"/>
        <v>23.2637</v>
      </c>
      <c r="AB129" s="54" t="e">
        <f>VLOOKUP(A129,Enforcements!$C$7:$K$9,8,0)</f>
        <v>#N/A</v>
      </c>
      <c r="AC129" s="51" t="e">
        <f>VLOOKUP(A129,Enforcements!$C$7:$E$9,3,0)</f>
        <v>#N/A</v>
      </c>
      <c r="AD129" s="179">
        <f t="shared" si="37"/>
        <v>217</v>
      </c>
      <c r="AE129" s="77" t="str">
        <f t="shared" si="38"/>
        <v>aws s3 cp s3://rtdc.mdm.uploadarchive.raw/RTDC4060/ "%USERPROFILE%\AppData\Local\Temp\OnboardLogs"\RTDC4060\2017-11-10 --exclude "*" --recursive --include "*20171110*" &amp; "%USERPROFILE%\Documents\GitHub\mrs-test-scripts\Headless Mode &amp; Sideloading\WalkAndUnGZ.bat" "%USERPROFILE%\AppData\Local\Temp\OnboardLogs"\RTDC4060\2017-11-10 &amp; aws s3 cp s3://rtdc.mdm.uploadarchive.raw/RTDC4060/ "%USERPROFILE%\AppData\Local\Temp\OnboardLogs"\RTDC4060\2017-11-11 --exclude "*" --recursive --include "*20171111*" &amp; "%USERPROFILE%\Documents\GitHub\mrs-test-scripts\Headless Mode &amp; Sideloading\WalkAndUnGZ.bat" "%USERPROFILE%\AppData\Local\Temp\OnboardLogs"\RTDC4060\2017-11-11</v>
      </c>
      <c r="AF129" s="74" t="str">
        <f t="shared" si="39"/>
        <v>"C:\Program Files (x86)\AstroGrep\AstroGrep.exe" /e /r /s /spath="%USERPROFILE%\AppData\Local\Temp\OnboardLogs" /stypes="app*4060*20171111*" /stext=" 01:.+((SYSTEM_STATE.+slice.+state.+changed )|(ment ac)|(multiple cpu faults)|(system.+state.+changed )|(\[timeout)|(PRM\|1\|D)|(kpr)|(kdp)|(train st.+moving)|(\|lc)|(penalty))"</v>
      </c>
      <c r="AG129" s="182" t="str">
        <f t="shared" si="40"/>
        <v>EC</v>
      </c>
      <c r="AH129" s="78" t="str">
        <f t="shared" si="42"/>
        <v>"%USERPROFILE%\Documents\GitHub\eaglep3\Utilities\RefineRTDCRunTimes.py" --tripid 217-10 --locoid 4060 --swversion DE.1.0.9.0 --startMP 204:493 --initTime 2017-11-10T18:08:56 --startdatetime 2017-11-10T18:15:18 --delay 74 --endMP 204:233130 --enddatetime 2017-11-10T18:52:38 --enforcementcount 1 &gt;&gt;%USERPROFILE%\Documents\GitHub\eaglep3-reporting\EC\2017-11-10-refined-times.txt</v>
      </c>
      <c r="AI129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{"issue":{"subject":"","project_id":79,"tracker_id":40,"status_id":1,"priority_id":2,"assigned_to_id":338,"start_date":"2017-11-10","description":"","custom_fields":[{"id":1,"name":"Subdivision","value":"EC"},{"id":4,"name":"Milepost","value":"23.313"},{"id":17,"name":"Train ID","value":"217-10"},{"id":16,"name":"Locomotive ID","value":"4060"},{"id":130,"name":"Impact","value":""},{"id":150,"name":"Time of Event (Mountain Time)","value":"18:52:38"},{"id":151,"name":"Denver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44"/>
        <v>start /low /b %USERPROFILE%\Documents\GitHub\eaglep3\Utilities\DownloadLogsFromS3.py --loco 4060 --day 2017-11-10</v>
      </c>
      <c r="AN129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01:52:38"},{"id":29,"name":"Sharepoint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6"/>
        <v>https://d0f6bd738d7f1b3e5a7ca70fe4ff75f0.us-east-1.aws.found.io/app/kibana#/discover/Steve-Slow-Train-Analysis-(2080s-and-2083s)?_g=(refreshInterval:(display:Off,pause:!f,section:0,value:0),time:(from:'2017-11-10T17:08:56-0700',mode:absolute,to:'2017-11-10T19:52:38-0700'))&amp;_a=(columns:!('Message%20ID',Summary),filters:!(),index:'emp_*',interval:auto,query:(query_string:(analyze_wildcard:!t,query:'%22rtdc.l.rtdc.4060%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846</v>
      </c>
      <c r="B130" s="7">
        <v>4059</v>
      </c>
      <c r="C130" s="21" t="s">
        <v>192</v>
      </c>
      <c r="D130" s="21" t="s">
        <v>983</v>
      </c>
      <c r="E130" s="13">
        <v>43049.79451388889</v>
      </c>
      <c r="F130" s="13">
        <v>43049.800219907411</v>
      </c>
      <c r="G130" s="7">
        <v>90</v>
      </c>
      <c r="H130" s="21" t="s">
        <v>549</v>
      </c>
      <c r="I130" s="13">
        <v>43049.826724537037</v>
      </c>
      <c r="J130" s="7">
        <v>1</v>
      </c>
      <c r="K130" s="89" t="str">
        <f t="shared" si="29"/>
        <v>4059/4060</v>
      </c>
      <c r="L130" s="185" t="str">
        <f>VLOOKUP(A130,'Trips&amp;Operators'!$C$1:$G$99911,5,FALSE)</f>
        <v>DAVIDSON DAVID</v>
      </c>
      <c r="M130" s="6">
        <f t="shared" si="30"/>
        <v>2.6504629626288079E-2</v>
      </c>
      <c r="N130" s="7">
        <f t="shared" si="51"/>
        <v>38.166666661854833</v>
      </c>
      <c r="O130" s="7"/>
      <c r="P130" s="7"/>
      <c r="Q130" s="22"/>
      <c r="R130" s="174"/>
      <c r="S130" s="221">
        <f t="shared" si="50"/>
        <v>1</v>
      </c>
      <c r="T130" s="174" t="str">
        <f t="shared" si="31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2"/>
        <v>https://d0f6bd738d7f1b3e5a7ca70fe4ff75f0.us-east-1.aws.found.io/app/kibana#/discover/Steve-Slow-Train-Analysis-(2080s-and-2083s)?_g=(refreshInterval:(display:Off,pause:!f,section:0,value:0),time:(from:'2017-11-10T18:04:06-0700',mode:absolute,to:'2017-11-10T20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0" s="204" t="str">
        <f>IF(AA130&lt;VLOOKUP(AG130,Variables!$AC$3:$AD$8,2,FALSE),"Y","N")</f>
        <v>N</v>
      </c>
      <c r="X130" s="204">
        <f t="shared" si="55"/>
        <v>1</v>
      </c>
      <c r="Y130" s="204">
        <f t="shared" si="48"/>
        <v>23.280799999999999</v>
      </c>
      <c r="Z130" s="204">
        <f t="shared" si="49"/>
        <v>2.3199999999999998E-2</v>
      </c>
      <c r="AA130" s="204">
        <f t="shared" si="36"/>
        <v>23.2576</v>
      </c>
      <c r="AB130" s="54" t="e">
        <f>VLOOKUP(A130,Enforcements!$C$7:$K$9,8,0)</f>
        <v>#N/A</v>
      </c>
      <c r="AC130" s="51" t="e">
        <f>VLOOKUP(A130,Enforcements!$C$7:$E$9,3,0)</f>
        <v>#N/A</v>
      </c>
      <c r="AD130" s="179">
        <f t="shared" si="37"/>
        <v>218</v>
      </c>
      <c r="AE130" s="77" t="str">
        <f t="shared" si="38"/>
        <v>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 &amp; 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</v>
      </c>
      <c r="AF130" s="74" t="str">
        <f t="shared" si="39"/>
        <v>"C:\Program Files (x86)\AstroGrep\AstroGrep.exe" /e /r /s /spath="%USERPROFILE%\AppData\Local\Temp\OnboardLogs" /stypes="app*4059*20171111*" /stext=" 02:.+((SYSTEM_STATE.+slice.+state.+changed )|(ment ac)|(multiple cpu faults)|(system.+state.+changed )|(\[timeout)|(PRM\|1\|D)|(kpr)|(kdp)|(train st.+moving)|(\|lc)|(penalty))"</v>
      </c>
      <c r="AG130" s="182" t="str">
        <f t="shared" si="40"/>
        <v>EC</v>
      </c>
      <c r="AH130" s="78" t="str">
        <f t="shared" si="42"/>
        <v>"%USERPROFILE%\Documents\GitHub\eaglep3\Utilities\RefineRTDCRunTimes.py" --tripid 218-10 --locoid 4059 --swversion DE.1.0.9.0 --startMP 204:232808 --initTime 2017-11-10T19:04:06 --startdatetime 2017-11-10T19:12:19 --delay 90 --endMP 204:232 --enddatetime 2017-11-10T19:50:29 --enforcementcount 1 &gt;&gt;%USERPROFILE%\Documents\GitHub\eaglep3-reporting\EC\2017-11-10-refined-times.txt</v>
      </c>
      <c r="AI130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{"issue":{"subject":"","project_id":79,"tracker_id":40,"status_id":1,"priority_id":2,"assigned_to_id":338,"start_date":"2017-11-10","description":"","custom_fields":[{"id":1,"name":"Subdivision","value":"EC"},{"id":4,"name":"Milepost","value":"0.0232"},{"id":17,"name":"Train ID","value":"218-10"},{"id":16,"name":"Locomotive ID","value":"4059"},{"id":130,"name":"Impact","value":""},{"id":150,"name":"Time of Event (Mountain Time)","value":"19:50:29"},{"id":151,"name":"Denver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44"/>
        <v>start /low /b %USERPROFILE%\Documents\GitHub\eaglep3\Utilities\DownloadLogsFromS3.py --loco 4059 --day 2017-11-10</v>
      </c>
      <c r="AN130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02:50:29"},{"id":29,"name":"Sharepoint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6"/>
        <v>https://d0f6bd738d7f1b3e5a7ca70fe4ff75f0.us-east-1.aws.found.io/app/kibana#/discover/Steve-Slow-Train-Analysis-(2080s-and-2083s)?_g=(refreshInterval:(display:Off,pause:!f,section:0,value:0),time:(from:'2017-11-10T18:04:06-0700',mode:absolute,to:'2017-11-10T20:50:29-0700'))&amp;_a=(columns:!('Message%20ID',Summary),filters:!(),index:'emp_*',interval:auto,query:(query_string:(analyze_wildcard:!t,query:'%22rtdc.l.rtdc.4059%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837</v>
      </c>
      <c r="B131" s="7">
        <v>4016</v>
      </c>
      <c r="C131" s="21" t="s">
        <v>192</v>
      </c>
      <c r="D131" s="21" t="s">
        <v>555</v>
      </c>
      <c r="E131" s="13">
        <v>43049.765196759261</v>
      </c>
      <c r="F131" s="13">
        <v>43049.771006944444</v>
      </c>
      <c r="G131" s="7">
        <v>102</v>
      </c>
      <c r="H131" s="21" t="s">
        <v>600</v>
      </c>
      <c r="I131" s="13">
        <v>43049.795104166667</v>
      </c>
      <c r="J131" s="7">
        <v>1</v>
      </c>
      <c r="K131" s="89" t="str">
        <f t="shared" si="29"/>
        <v>4015/4016</v>
      </c>
      <c r="L131" s="185" t="str">
        <f>VLOOKUP(A131,'Trips&amp;Operators'!$C$1:$G$99911,5,FALSE)</f>
        <v>ELBAUM MIKE</v>
      </c>
      <c r="M131" s="6">
        <f t="shared" si="30"/>
        <v>2.4097222223645076E-2</v>
      </c>
      <c r="N131" s="7">
        <f t="shared" si="51"/>
        <v>34.70000000204891</v>
      </c>
      <c r="O131" s="7"/>
      <c r="P131" s="7"/>
      <c r="Q131" s="22"/>
      <c r="R131" s="174"/>
      <c r="S131" s="221">
        <f t="shared" si="50"/>
        <v>1</v>
      </c>
      <c r="T131" s="174" t="str">
        <f t="shared" si="31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2"/>
        <v>https://d0f6bd738d7f1b3e5a7ca70fe4ff75f0.us-east-1.aws.found.io/app/kibana#/discover/Steve-Slow-Train-Analysis-(2080s-and-2083s)?_g=(refreshInterval:(display:Off,pause:!f,section:0,value:0),time:(from:'2017-11-10T17:21:53-0700',mode:absolute,to:'2017-11-10T20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1" s="204" t="str">
        <f>IF(AA131&lt;VLOOKUP(AG131,Variables!$AC$3:$AD$8,2,FALSE),"Y","N")</f>
        <v>N</v>
      </c>
      <c r="X131" s="204">
        <f t="shared" si="55"/>
        <v>1</v>
      </c>
      <c r="Y131" s="204">
        <f t="shared" si="48"/>
        <v>5.2400000000000002E-2</v>
      </c>
      <c r="Z131" s="204">
        <f t="shared" si="49"/>
        <v>23.327200000000001</v>
      </c>
      <c r="AA131" s="204">
        <f t="shared" si="36"/>
        <v>23.274800000000003</v>
      </c>
      <c r="AB131" s="54" t="e">
        <f>VLOOKUP(A131,Enforcements!$C$7:$K$9,8,0)</f>
        <v>#N/A</v>
      </c>
      <c r="AC131" s="51" t="e">
        <f>VLOOKUP(A131,Enforcements!$C$7:$E$9,3,0)</f>
        <v>#N/A</v>
      </c>
      <c r="AD131" s="179">
        <f t="shared" si="37"/>
        <v>219</v>
      </c>
      <c r="AE131" s="77" t="str">
        <f t="shared" si="38"/>
        <v>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 &amp; aws s3 cp s3://rtdc.mdm.uploadarchive.raw/RTDC4016/ "%USERPROFILE%\AppData\Local\Temp\OnboardLogs"\RTDC4016\2017-11-11 --exclude "*" --recursive --include "*20171111*" &amp; "%USERPROFILE%\Documents\GitHub\mrs-test-scripts\Headless Mode &amp; Sideloading\WalkAndUnGZ.bat" "%USERPROFILE%\AppData\Local\Temp\OnboardLogs"\RTDC4016\2017-11-11</v>
      </c>
      <c r="AF131" s="74" t="str">
        <f t="shared" si="39"/>
        <v>"C:\Program Files (x86)\AstroGrep\AstroGrep.exe" /e /r /s /spath="%USERPROFILE%\AppData\Local\Temp\OnboardLogs" /stypes="app*4016*20171111*" /stext=" 02:.+((SYSTEM_STATE.+slice.+state.+changed )|(ment ac)|(multiple cpu faults)|(system.+state.+changed )|(\[timeout)|(PRM\|1\|D)|(kpr)|(kdp)|(train st.+moving)|(\|lc)|(penalty))"</v>
      </c>
      <c r="AG131" s="182" t="str">
        <f t="shared" si="40"/>
        <v>EC</v>
      </c>
      <c r="AH131" s="78" t="str">
        <f t="shared" si="42"/>
        <v>"%USERPROFILE%\Documents\GitHub\eaglep3\Utilities\RefineRTDCRunTimes.py" --tripid 219-10 --locoid 4016 --swversion DE.1.0.9.0 --startMP 204:524 --initTime 2017-11-10T18:21:53 --startdatetime 2017-11-10T18:30:15 --delay 102 --endMP 204:233272 --enddatetime 2017-11-10T19:04:57 --enforcementcount 1 &gt;&gt;%USERPROFILE%\Documents\GitHub\eaglep3-reporting\EC\2017-11-10-refined-times.txt</v>
      </c>
      <c r="AI131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{"issue":{"subject":"","project_id":79,"tracker_id":40,"status_id":1,"priority_id":2,"assigned_to_id":338,"start_date":"2017-11-10","description":"","custom_fields":[{"id":1,"name":"Subdivision","value":"EC"},{"id":4,"name":"Milepost","value":"23.3272"},{"id":17,"name":"Train ID","value":"219-10"},{"id":16,"name":"Locomotive ID","value":"4016"},{"id":130,"name":"Impact","value":""},{"id":150,"name":"Time of Event (Mountain Time)","value":"19:04:57"},{"id":151,"name":"Denver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44"/>
        <v>start /low /b %USERPROFILE%\Documents\GitHub\eaglep3\Utilities\DownloadLogsFromS3.py --loco 4016 --day 2017-11-10</v>
      </c>
      <c r="AN131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02:04:57"},{"id":29,"name":"Sharepoint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6"/>
        <v>https://d0f6bd738d7f1b3e5a7ca70fe4ff75f0.us-east-1.aws.found.io/app/kibana#/discover/Steve-Slow-Train-Analysis-(2080s-and-2083s)?_g=(refreshInterval:(display:Off,pause:!f,section:0,value:0),time:(from:'2017-11-10T17:21:53-0700',mode:absolute,to:'2017-11-10T20:04:57-0700'))&amp;_a=(columns:!('Message%20ID',Summary),filters:!(),index:'emp_*',interval:auto,query:(query_string:(analyze_wildcard:!t,query:'%22rtdc.l.rtdc.4016%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847</v>
      </c>
      <c r="B132" s="7">
        <v>4015</v>
      </c>
      <c r="C132" s="21" t="s">
        <v>192</v>
      </c>
      <c r="D132" s="21" t="s">
        <v>984</v>
      </c>
      <c r="E132" s="13">
        <v>43049.796215277776</v>
      </c>
      <c r="F132" s="13">
        <v>43049.810856481483</v>
      </c>
      <c r="G132" s="7">
        <v>75</v>
      </c>
      <c r="H132" s="21" t="s">
        <v>622</v>
      </c>
      <c r="I132" s="13">
        <v>43049.836134259262</v>
      </c>
      <c r="J132" s="7">
        <v>1</v>
      </c>
      <c r="K132" s="89" t="str">
        <f t="shared" si="29"/>
        <v>4015/4016</v>
      </c>
      <c r="L132" s="185" t="str">
        <f>VLOOKUP(A132,'Trips&amp;Operators'!$C$1:$G$99911,5,FALSE)</f>
        <v>ELBAUM MIKE</v>
      </c>
      <c r="M132" s="6">
        <f t="shared" si="30"/>
        <v>2.527777777868323E-2</v>
      </c>
      <c r="N132" s="7">
        <f t="shared" si="51"/>
        <v>36.400000001303852</v>
      </c>
      <c r="O132" s="7"/>
      <c r="P132" s="7"/>
      <c r="Q132" s="22"/>
      <c r="R132" s="174"/>
      <c r="S132" s="221">
        <f t="shared" si="50"/>
        <v>1</v>
      </c>
      <c r="T132" s="174" t="str">
        <f t="shared" si="31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2"/>
        <v>https://d0f6bd738d7f1b3e5a7ca70fe4ff75f0.us-east-1.aws.found.io/app/kibana#/discover/Steve-Slow-Train-Analysis-(2080s-and-2083s)?_g=(refreshInterval:(display:Off,pause:!f,section:0,value:0),time:(from:'2017-11-10T18:06:33-0700',mode:absolute,to:'2017-11-10T21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2" s="204" t="str">
        <f>IF(AA132&lt;VLOOKUP(AG132,Variables!$AC$3:$AD$8,2,FALSE),"Y","N")</f>
        <v>N</v>
      </c>
      <c r="X132" s="204">
        <f t="shared" si="55"/>
        <v>1</v>
      </c>
      <c r="Y132" s="204">
        <f t="shared" si="48"/>
        <v>23.2943</v>
      </c>
      <c r="Z132" s="204">
        <f t="shared" si="49"/>
        <v>2.5999999999999999E-2</v>
      </c>
      <c r="AA132" s="204">
        <f t="shared" si="36"/>
        <v>23.2683</v>
      </c>
      <c r="AB132" s="54" t="e">
        <f>VLOOKUP(A132,Enforcements!$C$7:$K$9,8,0)</f>
        <v>#N/A</v>
      </c>
      <c r="AC132" s="51" t="e">
        <f>VLOOKUP(A132,Enforcements!$C$7:$E$9,3,0)</f>
        <v>#N/A</v>
      </c>
      <c r="AD132" s="179">
        <f t="shared" si="37"/>
        <v>220</v>
      </c>
      <c r="AE132" s="77" t="str">
        <f t="shared" si="38"/>
        <v>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 &amp; 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</v>
      </c>
      <c r="AF132" s="74" t="str">
        <f t="shared" si="39"/>
        <v>"C:\Program Files (x86)\AstroGrep\AstroGrep.exe" /e /r /s /spath="%USERPROFILE%\AppData\Local\Temp\OnboardLogs" /stypes="app*4015*20171111*" /stext=" 03:.+((SYSTEM_STATE.+slice.+state.+changed )|(ment ac)|(multiple cpu faults)|(system.+state.+changed )|(\[timeout)|(PRM\|1\|D)|(kpr)|(kdp)|(train st.+moving)|(\|lc)|(penalty))"</v>
      </c>
      <c r="AG132" s="182" t="str">
        <f t="shared" si="40"/>
        <v>EC</v>
      </c>
      <c r="AH132" s="78" t="str">
        <f t="shared" si="42"/>
        <v>"%USERPROFILE%\Documents\GitHub\eaglep3\Utilities\RefineRTDCRunTimes.py" --tripid 220-10 --locoid 4015 --swversion DE.1.0.9.0 --startMP 204:232943 --initTime 2017-11-10T19:06:33 --startdatetime 2017-11-10T19:27:38 --delay 75 --endMP 204:260 --enddatetime 2017-11-10T20:04:02 --enforcementcount 1 &gt;&gt;%USERPROFILE%\Documents\GitHub\eaglep3-reporting\EC\2017-11-10-refined-times.txt</v>
      </c>
      <c r="AI132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{"issue":{"subject":"","project_id":79,"tracker_id":40,"status_id":1,"priority_id":2,"assigned_to_id":338,"start_date":"2017-11-10","description":"","custom_fields":[{"id":1,"name":"Subdivision","value":"EC"},{"id":4,"name":"Milepost","value":"0.026"},{"id":17,"name":"Train ID","value":"220-10"},{"id":16,"name":"Locomotive ID","value":"4015"},{"id":130,"name":"Impact","value":""},{"id":150,"name":"Time of Event (Mountain Time)","value":"20:04:02"},{"id":151,"name":"Denver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44"/>
        <v>start /low /b %USERPROFILE%\Documents\GitHub\eaglep3\Utilities\DownloadLogsFromS3.py --loco 4015 --day 2017-11-10</v>
      </c>
      <c r="AN132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03:04:02"},{"id":29,"name":"Sharepoint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6"/>
        <v>https://d0f6bd738d7f1b3e5a7ca70fe4ff75f0.us-east-1.aws.found.io/app/kibana#/discover/Steve-Slow-Train-Analysis-(2080s-and-2083s)?_g=(refreshInterval:(display:Off,pause:!f,section:0,value:0),time:(from:'2017-11-10T18:06:33-0700',mode:absolute,to:'2017-11-10T21:04:02-0700'))&amp;_a=(columns:!('Message%20ID',Summary),filters:!(),index:'emp_*',interval:auto,query:(query_string:(analyze_wildcard:!t,query:'%22rtdc.l.rtdc.4015%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843</v>
      </c>
      <c r="B133" s="7">
        <v>4050</v>
      </c>
      <c r="C133" s="21" t="s">
        <v>192</v>
      </c>
      <c r="D133" s="21" t="s">
        <v>920</v>
      </c>
      <c r="E133" s="13">
        <v>43049.787106481483</v>
      </c>
      <c r="F133" s="13">
        <v>43049.79184027778</v>
      </c>
      <c r="G133" s="7">
        <v>263</v>
      </c>
      <c r="H133" s="21" t="s">
        <v>985</v>
      </c>
      <c r="I133" s="13">
        <v>43049.816400462965</v>
      </c>
      <c r="J133" s="7">
        <v>1</v>
      </c>
      <c r="K133" s="89" t="str">
        <f t="shared" si="29"/>
        <v>4049/4050</v>
      </c>
      <c r="L133" s="185" t="str">
        <f>VLOOKUP(A133,'Trips&amp;Operators'!$C$1:$G$99911,5,FALSE)</f>
        <v>AUSTIN THOMPSON</v>
      </c>
      <c r="M133" s="6">
        <f t="shared" si="30"/>
        <v>2.4560185185691807E-2</v>
      </c>
      <c r="N133" s="7">
        <f t="shared" si="51"/>
        <v>35.366666667396203</v>
      </c>
      <c r="O133" s="7"/>
      <c r="P133" s="7"/>
      <c r="Q133" s="22"/>
      <c r="R133" s="174"/>
      <c r="S133" s="221">
        <f t="shared" si="50"/>
        <v>1</v>
      </c>
      <c r="T133" s="174" t="str">
        <f t="shared" si="31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2"/>
        <v>https://d0f6bd738d7f1b3e5a7ca70fe4ff75f0.us-east-1.aws.found.io/app/kibana#/discover/Steve-Slow-Train-Analysis-(2080s-and-2083s)?_g=(refreshInterval:(display:Off,pause:!f,section:0,value:0),time:(from:'2017-11-10T17:53:26-0700',mode:absolute,to:'2017-11-10T20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3" s="204" t="str">
        <f>IF(AA133&lt;VLOOKUP(AG133,Variables!$AC$3:$AD$8,2,FALSE),"Y","N")</f>
        <v>N</v>
      </c>
      <c r="X133" s="204">
        <f t="shared" si="55"/>
        <v>1</v>
      </c>
      <c r="Y133" s="204">
        <f t="shared" si="48"/>
        <v>5.04E-2</v>
      </c>
      <c r="Z133" s="204">
        <f t="shared" si="49"/>
        <v>23.3232</v>
      </c>
      <c r="AA133" s="204">
        <f t="shared" si="36"/>
        <v>23.2728</v>
      </c>
      <c r="AB133" s="54" t="e">
        <f>VLOOKUP(A133,Enforcements!$C$7:$K$9,8,0)</f>
        <v>#N/A</v>
      </c>
      <c r="AC133" s="51" t="e">
        <f>VLOOKUP(A133,Enforcements!$C$7:$E$9,3,0)</f>
        <v>#N/A</v>
      </c>
      <c r="AD133" s="179">
        <f t="shared" si="37"/>
        <v>221</v>
      </c>
      <c r="AE133" s="77" t="str">
        <f t="shared" si="38"/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AF133" s="74" t="str">
        <f t="shared" si="39"/>
        <v>"C:\Program Files (x86)\AstroGrep\AstroGrep.exe" /e /r /s /spath="%USERPROFILE%\AppData\Local\Temp\OnboardLogs" /stypes="app*4050*20171111*" /stext=" 02:.+((SYSTEM_STATE.+slice.+state.+changed )|(ment ac)|(multiple cpu faults)|(system.+state.+changed )|(\[timeout)|(PRM\|1\|D)|(kpr)|(kdp)|(train st.+moving)|(\|lc)|(penalty))"</v>
      </c>
      <c r="AG133" s="182" t="str">
        <f t="shared" si="40"/>
        <v>EC</v>
      </c>
      <c r="AH133" s="78" t="str">
        <f t="shared" si="42"/>
        <v>"%USERPROFILE%\Documents\GitHub\eaglep3\Utilities\RefineRTDCRunTimes.py" --tripid 221-10 --locoid 4050 --swversion DE.1.0.9.0 --startMP 204:504 --initTime 2017-11-10T18:53:26 --startdatetime 2017-11-10T19:00:15 --delay 263 --endMP 204:233232 --enddatetime 2017-11-10T19:35:37 --enforcementcount 1 &gt;&gt;%USERPROFILE%\Documents\GitHub\eaglep3-reporting\EC\2017-11-10-refined-times.txt</v>
      </c>
      <c r="AI133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{"issue":{"subject":"","project_id":79,"tracker_id":40,"status_id":1,"priority_id":2,"assigned_to_id":338,"start_date":"2017-11-10","description":"","custom_fields":[{"id":1,"name":"Subdivision","value":"EC"},{"id":4,"name":"Milepost","value":"23.3232"},{"id":17,"name":"Train ID","value":"221-10"},{"id":16,"name":"Locomotive ID","value":"4050"},{"id":130,"name":"Impact","value":""},{"id":150,"name":"Time of Event (Mountain Time)","value":"19:35:37"},{"id":151,"name":"Denver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44"/>
        <v>start /low /b %USERPROFILE%\Documents\GitHub\eaglep3\Utilities\DownloadLogsFromS3.py --loco 4050 --day 2017-11-10</v>
      </c>
      <c r="AN133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02:35:37"},{"id":29,"name":"Sharepoint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6"/>
        <v>https://d0f6bd738d7f1b3e5a7ca70fe4ff75f0.us-east-1.aws.found.io/app/kibana#/discover/Steve-Slow-Train-Analysis-(2080s-and-2083s)?_g=(refreshInterval:(display:Off,pause:!f,section:0,value:0),time:(from:'2017-11-10T17:53:26-0700',mode:absolute,to:'2017-11-10T20:35:37-0700'))&amp;_a=(columns:!('Message%20ID',Summary),filters:!(),index:'emp_*',interval:auto,query:(query_string:(analyze_wildcard:!t,query:'%22rtdc.l.rtdc.4050%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852</v>
      </c>
      <c r="B134" s="7">
        <v>4049</v>
      </c>
      <c r="C134" s="21" t="s">
        <v>192</v>
      </c>
      <c r="D134" s="21" t="s">
        <v>558</v>
      </c>
      <c r="E134" s="13">
        <v>43049.827743055554</v>
      </c>
      <c r="F134" s="13">
        <v>43049.831747685188</v>
      </c>
      <c r="G134" s="7">
        <v>74</v>
      </c>
      <c r="H134" s="21" t="s">
        <v>554</v>
      </c>
      <c r="I134" s="13">
        <v>43049.857175925928</v>
      </c>
      <c r="J134" s="7">
        <v>1</v>
      </c>
      <c r="K134" s="89" t="str">
        <f t="shared" si="29"/>
        <v>4049/4050</v>
      </c>
      <c r="L134" s="185" t="str">
        <f>VLOOKUP(A134,'Trips&amp;Operators'!$C$1:$G$99911,5,FALSE)</f>
        <v>AUSTIN THOMPSON</v>
      </c>
      <c r="M134" s="6">
        <f t="shared" si="30"/>
        <v>2.5428240740438923E-2</v>
      </c>
      <c r="N134" s="7">
        <f t="shared" si="51"/>
        <v>36.616666666232049</v>
      </c>
      <c r="O134" s="7"/>
      <c r="P134" s="7"/>
      <c r="Q134" s="22"/>
      <c r="R134" s="174"/>
      <c r="S134" s="221">
        <f t="shared" si="50"/>
        <v>1</v>
      </c>
      <c r="T134" s="174" t="str">
        <f t="shared" si="31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2"/>
        <v>https://d0f6bd738d7f1b3e5a7ca70fe4ff75f0.us-east-1.aws.found.io/app/kibana#/discover/Steve-Slow-Train-Analysis-(2080s-and-2083s)?_g=(refreshInterval:(display:Off,pause:!f,section:0,value:0),time:(from:'2017-11-10T18:51:57-0700',mode:absolute,to:'2017-11-10T21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4" s="204" t="str">
        <f>IF(AA134&lt;VLOOKUP(AG134,Variables!$AC$3:$AD$8,2,FALSE),"Y","N")</f>
        <v>N</v>
      </c>
      <c r="X134" s="204">
        <f t="shared" si="55"/>
        <v>1</v>
      </c>
      <c r="Y134" s="204">
        <f t="shared" si="48"/>
        <v>23.2898</v>
      </c>
      <c r="Z134" s="204">
        <f t="shared" si="49"/>
        <v>2.2499999999999999E-2</v>
      </c>
      <c r="AA134" s="204">
        <f t="shared" si="36"/>
        <v>23.267299999999999</v>
      </c>
      <c r="AB134" s="54" t="e">
        <f>VLOOKUP(A134,Enforcements!$C$7:$K$9,8,0)</f>
        <v>#N/A</v>
      </c>
      <c r="AC134" s="51" t="e">
        <f>VLOOKUP(A134,Enforcements!$C$7:$E$9,3,0)</f>
        <v>#N/A</v>
      </c>
      <c r="AD134" s="179">
        <f t="shared" si="37"/>
        <v>222</v>
      </c>
      <c r="AE134" s="77" t="str">
        <f t="shared" si="38"/>
        <v>aws s3 cp s3://rtdc.mdm.uploadarchive.raw/RTDC4049/ "%USERPROFILE%\AppData\Local\Temp\OnboardLogs"\RTDC4049\2017-11-10 --exclude "*" --recursive --include "*20171110*" &amp; "%USERPROFILE%\Documents\GitHub\mrs-test-scripts\Headless Mode &amp; Sideloading\WalkAndUnGZ.bat" "%USERPROFILE%\AppData\Local\Temp\OnboardLogs"\RTDC4049\2017-11-10 &amp; aws s3 cp s3://rtdc.mdm.uploadarchive.raw/RTDC4049/ "%USERPROFILE%\AppData\Local\Temp\OnboardLogs"\RTDC4049\2017-11-11 --exclude "*" --recursive --include "*20171111*" &amp; "%USERPROFILE%\Documents\GitHub\mrs-test-scripts\Headless Mode &amp; Sideloading\WalkAndUnGZ.bat" "%USERPROFILE%\AppData\Local\Temp\OnboardLogs"\RTDC4049\2017-11-11</v>
      </c>
      <c r="AF134" s="74" t="str">
        <f t="shared" si="39"/>
        <v>"C:\Program Files (x86)\AstroGrep\AstroGrep.exe" /e /r /s /spath="%USERPROFILE%\AppData\Local\Temp\OnboardLogs" /stypes="app*4049*20171111*" /stext=" 03:.+((SYSTEM_STATE.+slice.+state.+changed )|(ment ac)|(multiple cpu faults)|(system.+state.+changed )|(\[timeout)|(PRM\|1\|D)|(kpr)|(kdp)|(train st.+moving)|(\|lc)|(penalty))"</v>
      </c>
      <c r="AG134" s="182" t="str">
        <f t="shared" si="40"/>
        <v>EC</v>
      </c>
      <c r="AH134" s="78" t="str">
        <f t="shared" si="42"/>
        <v>"%USERPROFILE%\Documents\GitHub\eaglep3\Utilities\RefineRTDCRunTimes.py" --tripid 222-10 --locoid 4049 --swversion DE.1.0.9.0 --startMP 204:232898 --initTime 2017-11-10T19:51:57 --startdatetime 2017-11-10T19:57:43 --delay 74 --endMP 204:225 --enddatetime 2017-11-10T20:34:20 --enforcementcount 1 &gt;&gt;%USERPROFILE%\Documents\GitHub\eaglep3-reporting\EC\2017-11-10-refined-times.txt</v>
      </c>
      <c r="AI134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{"issue":{"subject":"","project_id":79,"tracker_id":40,"status_id":1,"priority_id":2,"assigned_to_id":338,"start_date":"2017-11-10","description":"","custom_fields":[{"id":1,"name":"Subdivision","value":"EC"},{"id":4,"name":"Milepost","value":"0.0225"},{"id":17,"name":"Train ID","value":"222-10"},{"id":16,"name":"Locomotive ID","value":"4049"},{"id":130,"name":"Impact","value":""},{"id":150,"name":"Time of Event (Mountain Time)","value":"20:34:20"},{"id":151,"name":"Denver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44"/>
        <v>start /low /b %USERPROFILE%\Documents\GitHub\eaglep3\Utilities\DownloadLogsFromS3.py --loco 4049 --day 2017-11-10</v>
      </c>
      <c r="AN134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03:34:20"},{"id":29,"name":"Sharepoint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6"/>
        <v>https://d0f6bd738d7f1b3e5a7ca70fe4ff75f0.us-east-1.aws.found.io/app/kibana#/discover/Steve-Slow-Train-Analysis-(2080s-and-2083s)?_g=(refreshInterval:(display:Off,pause:!f,section:0,value:0),time:(from:'2017-11-10T18:51:57-0700',mode:absolute,to:'2017-11-10T21:34:20-0700'))&amp;_a=(columns:!('Message%20ID',Summary),filters:!(),index:'emp_*',interval:auto,query:(query_string:(analyze_wildcard:!t,query:'%22rtdc.l.rtdc.4049%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849</v>
      </c>
      <c r="B135" s="7">
        <v>4052</v>
      </c>
      <c r="C135" s="21" t="s">
        <v>192</v>
      </c>
      <c r="D135" s="21" t="s">
        <v>472</v>
      </c>
      <c r="E135" s="13">
        <v>43049.80740740741</v>
      </c>
      <c r="F135" s="13">
        <v>43049.812662037039</v>
      </c>
      <c r="G135" s="7">
        <v>68</v>
      </c>
      <c r="H135" s="21" t="s">
        <v>966</v>
      </c>
      <c r="I135" s="13">
        <v>43049.837476851855</v>
      </c>
      <c r="J135" s="7">
        <v>1</v>
      </c>
      <c r="K135" s="89" t="str">
        <f t="shared" si="29"/>
        <v>4051/4052</v>
      </c>
      <c r="L135" s="185" t="str">
        <f>VLOOKUP(A135,'Trips&amp;Operators'!$C$1:$G$99911,5,FALSE)</f>
        <v>LOPES KIMBERLY</v>
      </c>
      <c r="M135" s="6">
        <f t="shared" si="30"/>
        <v>2.4814814816636499E-2</v>
      </c>
      <c r="N135" s="7">
        <f t="shared" si="51"/>
        <v>35.733333335956559</v>
      </c>
      <c r="O135" s="7"/>
      <c r="P135" s="7"/>
      <c r="Q135" s="22"/>
      <c r="R135" s="174"/>
      <c r="S135" s="221">
        <f t="shared" si="50"/>
        <v>1</v>
      </c>
      <c r="T135" s="174" t="str">
        <f t="shared" si="31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2"/>
        <v>https://d0f6bd738d7f1b3e5a7ca70fe4ff75f0.us-east-1.aws.found.io/app/kibana#/discover/Steve-Slow-Train-Analysis-(2080s-and-2083s)?_g=(refreshInterval:(display:Off,pause:!f,section:0,value:0),time:(from:'2017-11-10T18:22:40-0700',mode:absolute,to:'2017-11-10T21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5" s="204" t="str">
        <f>IF(AA135&lt;VLOOKUP(AG135,Variables!$AC$3:$AD$8,2,FALSE),"Y","N")</f>
        <v>N</v>
      </c>
      <c r="X135" s="204">
        <f t="shared" si="55"/>
        <v>1</v>
      </c>
      <c r="Y135" s="204">
        <f t="shared" si="48"/>
        <v>5.28E-2</v>
      </c>
      <c r="Z135" s="204">
        <f t="shared" si="49"/>
        <v>23.3203</v>
      </c>
      <c r="AA135" s="204">
        <f t="shared" si="36"/>
        <v>23.267499999999998</v>
      </c>
      <c r="AB135" s="54" t="e">
        <f>VLOOKUP(A135,Enforcements!$C$7:$K$9,8,0)</f>
        <v>#N/A</v>
      </c>
      <c r="AC135" s="51" t="e">
        <f>VLOOKUP(A135,Enforcements!$C$7:$E$9,3,0)</f>
        <v>#N/A</v>
      </c>
      <c r="AD135" s="179">
        <f t="shared" si="37"/>
        <v>223</v>
      </c>
      <c r="AE135" s="77" t="str">
        <f t="shared" si="38"/>
        <v>aws s3 cp s3://rtdc.mdm.uploadarchive.raw/RTDC4052/ "%USERPROFILE%\AppData\Local\Temp\OnboardLogs"\RTDC4052\2017-11-10 --exclude "*" --recursive --include "*20171110*" &amp; "%USERPROFILE%\Documents\GitHub\mrs-test-scripts\Headless Mode &amp; Sideloading\WalkAndUnGZ.bat" "%USERPROFILE%\AppData\Local\Temp\OnboardLogs"\RTDC4052\2017-11-10 &amp; aws s3 cp s3://rtdc.mdm.uploadarchive.raw/RTDC4052/ "%USERPROFILE%\AppData\Local\Temp\OnboardLogs"\RTDC4052\2017-11-11 --exclude "*" --recursive --include "*20171111*" &amp; "%USERPROFILE%\Documents\GitHub\mrs-test-scripts\Headless Mode &amp; Sideloading\WalkAndUnGZ.bat" "%USERPROFILE%\AppData\Local\Temp\OnboardLogs"\RTDC4052\2017-11-11</v>
      </c>
      <c r="AF135" s="74" t="str">
        <f t="shared" si="39"/>
        <v>"C:\Program Files (x86)\AstroGrep\AstroGrep.exe" /e /r /s /spath="%USERPROFILE%\AppData\Local\Temp\OnboardLogs" /stypes="app*4052*20171111*" /stext=" 03:.+((SYSTEM_STATE.+slice.+state.+changed )|(ment ac)|(multiple cpu faults)|(system.+state.+changed )|(\[timeout)|(PRM\|1\|D)|(kpr)|(kdp)|(train st.+moving)|(\|lc)|(penalty))"</v>
      </c>
      <c r="AG135" s="182" t="str">
        <f t="shared" si="40"/>
        <v>EC</v>
      </c>
      <c r="AH135" s="78" t="str">
        <f t="shared" si="42"/>
        <v>"%USERPROFILE%\Documents\GitHub\eaglep3\Utilities\RefineRTDCRunTimes.py" --tripid 223-10 --locoid 4052 --swversion DE.1.0.9.0 --startMP 204:528 --initTime 2017-11-10T19:22:40 --startdatetime 2017-11-10T19:30:14 --delay 68 --endMP 204:233203 --enddatetime 2017-11-10T20:05:58 --enforcementcount 1 &gt;&gt;%USERPROFILE%\Documents\GitHub\eaglep3-reporting\EC\2017-11-10-refined-times.txt</v>
      </c>
      <c r="AI135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{"issue":{"subject":"","project_id":79,"tracker_id":40,"status_id":1,"priority_id":2,"assigned_to_id":338,"start_date":"2017-11-10","description":"","custom_fields":[{"id":1,"name":"Subdivision","value":"EC"},{"id":4,"name":"Milepost","value":"23.3203"},{"id":17,"name":"Train ID","value":"223-10"},{"id":16,"name":"Locomotive ID","value":"4052"},{"id":130,"name":"Impact","value":""},{"id":150,"name":"Time of Event (Mountain Time)","value":"20:05:58"},{"id":151,"name":"Denver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4"/>
        <v>start /low /b %USERPROFILE%\Documents\GitHub\eaglep3\Utilities\DownloadLogsFromS3.py --loco 4052 --day 2017-11-10</v>
      </c>
      <c r="AN135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03:05:58"},{"id":29,"name":"Sharepoint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6"/>
        <v>https://d0f6bd738d7f1b3e5a7ca70fe4ff75f0.us-east-1.aws.found.io/app/kibana#/discover/Steve-Slow-Train-Analysis-(2080s-and-2083s)?_g=(refreshInterval:(display:Off,pause:!f,section:0,value:0),time:(from:'2017-11-10T18:22:40-0700',mode:absolute,to:'2017-11-10T21:05:58-0700'))&amp;_a=(columns:!('Message%20ID',Summary),filters:!(),index:'emp_*',interval:auto,query:(query_string:(analyze_wildcard:!t,query:'%22rtdc.l.rtdc.4052%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856</v>
      </c>
      <c r="B136" s="7">
        <v>4051</v>
      </c>
      <c r="C136" s="21" t="s">
        <v>192</v>
      </c>
      <c r="D136" s="21" t="s">
        <v>986</v>
      </c>
      <c r="E136" s="13">
        <v>43049.843888888892</v>
      </c>
      <c r="F136" s="13">
        <v>43049.852303240739</v>
      </c>
      <c r="G136" s="7">
        <v>52</v>
      </c>
      <c r="H136" s="21" t="s">
        <v>447</v>
      </c>
      <c r="I136" s="13">
        <v>43049.878078703703</v>
      </c>
      <c r="J136" s="7">
        <v>1</v>
      </c>
      <c r="K136" s="89" t="str">
        <f t="shared" si="29"/>
        <v>4051/4052</v>
      </c>
      <c r="L136" s="185" t="str">
        <f>VLOOKUP(A136,'Trips&amp;Operators'!$C$1:$G$99911,5,FALSE)</f>
        <v>LOPES KIMBERLY</v>
      </c>
      <c r="M136" s="6">
        <f t="shared" si="30"/>
        <v>2.5775462963792961E-2</v>
      </c>
      <c r="N136" s="7">
        <f t="shared" si="51"/>
        <v>37.116666667861864</v>
      </c>
      <c r="O136" s="7"/>
      <c r="P136" s="7"/>
      <c r="Q136" s="22"/>
      <c r="R136" s="174"/>
      <c r="S136" s="221">
        <f t="shared" si="50"/>
        <v>1</v>
      </c>
      <c r="T136" s="174" t="str">
        <f t="shared" si="31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2"/>
        <v>https://d0f6bd738d7f1b3e5a7ca70fe4ff75f0.us-east-1.aws.found.io/app/kibana#/discover/Steve-Slow-Train-Analysis-(2080s-and-2083s)?_g=(refreshInterval:(display:Off,pause:!f,section:0,value:0),time:(from:'2017-11-10T19:15:12-0700',mode:absolute,to:'2017-11-10T22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6" s="204" t="str">
        <f>IF(AA136&lt;VLOOKUP(AG136,Variables!$AC$3:$AD$8,2,FALSE),"Y","N")</f>
        <v>N</v>
      </c>
      <c r="X136" s="204">
        <f t="shared" si="55"/>
        <v>1</v>
      </c>
      <c r="Y136" s="204">
        <f t="shared" si="48"/>
        <v>23.288399999999999</v>
      </c>
      <c r="Z136" s="204">
        <f t="shared" si="49"/>
        <v>2.1399999999999999E-2</v>
      </c>
      <c r="AA136" s="204">
        <f t="shared" si="36"/>
        <v>23.266999999999999</v>
      </c>
      <c r="AB136" s="54" t="e">
        <f>VLOOKUP(A136,Enforcements!$C$7:$K$9,8,0)</f>
        <v>#N/A</v>
      </c>
      <c r="AC136" s="51" t="e">
        <f>VLOOKUP(A136,Enforcements!$C$7:$E$9,3,0)</f>
        <v>#N/A</v>
      </c>
      <c r="AD136" s="179">
        <f t="shared" si="37"/>
        <v>224</v>
      </c>
      <c r="AE136" s="77" t="str">
        <f t="shared" si="38"/>
        <v>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 &amp; 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</v>
      </c>
      <c r="AF136" s="74" t="str">
        <f t="shared" si="39"/>
        <v>"C:\Program Files (x86)\AstroGrep\AstroGrep.exe" /e /r /s /spath="%USERPROFILE%\AppData\Local\Temp\OnboardLogs" /stypes="app*4051*20171111*" /stext=" 04:.+((SYSTEM_STATE.+slice.+state.+changed )|(ment ac)|(multiple cpu faults)|(system.+state.+changed )|(\[timeout)|(PRM\|1\|D)|(kpr)|(kdp)|(train st.+moving)|(\|lc)|(penalty))"</v>
      </c>
      <c r="AG136" s="182" t="str">
        <f t="shared" si="40"/>
        <v>EC</v>
      </c>
      <c r="AH136" s="78" t="str">
        <f t="shared" si="42"/>
        <v>"%USERPROFILE%\Documents\GitHub\eaglep3\Utilities\RefineRTDCRunTimes.py" --tripid 224-10 --locoid 4051 --swversion DE.1.0.9.0 --startMP 204:232884 --initTime 2017-11-10T20:15:12 --startdatetime 2017-11-10T20:27:19 --delay 52 --endMP 204:214 --enddatetime 2017-11-10T21:04:26 --enforcementcount 1 &gt;&gt;%USERPROFILE%\Documents\GitHub\eaglep3-reporting\EC\2017-11-10-refined-times.txt</v>
      </c>
      <c r="AI136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{"issue":{"subject":"","project_id":79,"tracker_id":40,"status_id":1,"priority_id":2,"assigned_to_id":338,"start_date":"2017-11-10","description":"","custom_fields":[{"id":1,"name":"Subdivision","value":"EC"},{"id":4,"name":"Milepost","value":"0.0214"},{"id":17,"name":"Train ID","value":"224-10"},{"id":16,"name":"Locomotive ID","value":"4051"},{"id":130,"name":"Impact","value":""},{"id":150,"name":"Time of Event (Mountain Time)","value":"21:04:26"},{"id":151,"name":"Denver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4"/>
        <v>start /low /b %USERPROFILE%\Documents\GitHub\eaglep3\Utilities\DownloadLogsFromS3.py --loco 4051 --day 2017-11-10</v>
      </c>
      <c r="AN136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04:04:26"},{"id":29,"name":"Sharepoint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6"/>
        <v>https://d0f6bd738d7f1b3e5a7ca70fe4ff75f0.us-east-1.aws.found.io/app/kibana#/discover/Steve-Slow-Train-Analysis-(2080s-and-2083s)?_g=(refreshInterval:(display:Off,pause:!f,section:0,value:0),time:(from:'2017-11-10T19:15:12-0700',mode:absolute,to:'2017-11-10T22:04:26-0700'))&amp;_a=(columns:!('Message%20ID',Summary),filters:!(),index:'emp_*',interval:auto,query:(query_string:(analyze_wildcard:!t,query:'%22rtdc.l.rtdc.4051%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853</v>
      </c>
      <c r="B137" s="7">
        <v>4060</v>
      </c>
      <c r="C137" s="21" t="s">
        <v>192</v>
      </c>
      <c r="D137" s="21" t="s">
        <v>906</v>
      </c>
      <c r="E137" s="13">
        <v>43049.828310185185</v>
      </c>
      <c r="F137" s="13">
        <v>43049.833634259259</v>
      </c>
      <c r="G137" s="7">
        <v>92</v>
      </c>
      <c r="H137" s="21" t="s">
        <v>987</v>
      </c>
      <c r="I137" s="13">
        <v>43049.859363425923</v>
      </c>
      <c r="J137" s="7">
        <v>1</v>
      </c>
      <c r="K137" s="89" t="str">
        <f t="shared" si="29"/>
        <v>4059/4060</v>
      </c>
      <c r="L137" s="185" t="str">
        <f>VLOOKUP(A137,'Trips&amp;Operators'!$C$1:$G$99911,5,FALSE)</f>
        <v>NICHOLSON WESLEY</v>
      </c>
      <c r="M137" s="6">
        <f t="shared" si="30"/>
        <v>2.5729166663950309E-2</v>
      </c>
      <c r="N137" s="7">
        <f t="shared" si="51"/>
        <v>37.049999996088445</v>
      </c>
      <c r="O137" s="7"/>
      <c r="P137" s="7"/>
      <c r="Q137" s="22"/>
      <c r="R137" s="174"/>
      <c r="S137" s="221">
        <f t="shared" si="50"/>
        <v>1</v>
      </c>
      <c r="T137" s="174" t="str">
        <f t="shared" si="31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2"/>
        <v>https://d0f6bd738d7f1b3e5a7ca70fe4ff75f0.us-east-1.aws.found.io/app/kibana#/discover/Steve-Slow-Train-Analysis-(2080s-and-2083s)?_g=(refreshInterval:(display:Off,pause:!f,section:0,value:0),time:(from:'2017-11-10T18:52:46-0700',mode:absolute,to:'2017-11-10T21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7" s="204" t="str">
        <f>IF(AA137&lt;VLOOKUP(AG137,Variables!$AC$3:$AD$8,2,FALSE),"Y","N")</f>
        <v>N</v>
      </c>
      <c r="X137" s="204">
        <f t="shared" si="55"/>
        <v>1</v>
      </c>
      <c r="Y137" s="204">
        <f t="shared" si="48"/>
        <v>5.4899999999999997E-2</v>
      </c>
      <c r="Z137" s="204">
        <f t="shared" si="49"/>
        <v>23.3186</v>
      </c>
      <c r="AA137" s="204">
        <f t="shared" si="36"/>
        <v>23.2637</v>
      </c>
      <c r="AB137" s="54" t="e">
        <f>VLOOKUP(A137,Enforcements!$C$7:$K$9,8,0)</f>
        <v>#N/A</v>
      </c>
      <c r="AC137" s="51" t="e">
        <f>VLOOKUP(A137,Enforcements!$C$7:$E$9,3,0)</f>
        <v>#N/A</v>
      </c>
      <c r="AD137" s="179">
        <f t="shared" si="37"/>
        <v>225</v>
      </c>
      <c r="AE137" s="77" t="str">
        <f t="shared" si="38"/>
        <v>aws s3 cp s3://rtdc.mdm.uploadarchive.raw/RTDC4060/ "%USERPROFILE%\AppData\Local\Temp\OnboardLogs"\RTDC4060\2017-11-10 --exclude "*" --recursive --include "*20171110*" &amp; "%USERPROFILE%\Documents\GitHub\mrs-test-scripts\Headless Mode &amp; Sideloading\WalkAndUnGZ.bat" "%USERPROFILE%\AppData\Local\Temp\OnboardLogs"\RTDC4060\2017-11-10 &amp; aws s3 cp s3://rtdc.mdm.uploadarchive.raw/RTDC4060/ "%USERPROFILE%\AppData\Local\Temp\OnboardLogs"\RTDC4060\2017-11-11 --exclude "*" --recursive --include "*20171111*" &amp; "%USERPROFILE%\Documents\GitHub\mrs-test-scripts\Headless Mode &amp; Sideloading\WalkAndUnGZ.bat" "%USERPROFILE%\AppData\Local\Temp\OnboardLogs"\RTDC4060\2017-11-11</v>
      </c>
      <c r="AF137" s="74" t="str">
        <f t="shared" si="39"/>
        <v>"C:\Program Files (x86)\AstroGrep\AstroGrep.exe" /e /r /s /spath="%USERPROFILE%\AppData\Local\Temp\OnboardLogs" /stypes="app*4060*20171111*" /stext=" 03:.+((SYSTEM_STATE.+slice.+state.+changed )|(ment ac)|(multiple cpu faults)|(system.+state.+changed )|(\[timeout)|(PRM\|1\|D)|(kpr)|(kdp)|(train st.+moving)|(\|lc)|(penalty))"</v>
      </c>
      <c r="AG137" s="182" t="str">
        <f t="shared" si="40"/>
        <v>EC</v>
      </c>
      <c r="AH137" s="78" t="str">
        <f t="shared" si="42"/>
        <v>"%USERPROFILE%\Documents\GitHub\eaglep3\Utilities\RefineRTDCRunTimes.py" --tripid 225-10 --locoid 4060 --swversion DE.1.0.9.0 --startMP 204:549 --initTime 2017-11-10T19:52:46 --startdatetime 2017-11-10T20:00:26 --delay 92 --endMP 204:233186 --enddatetime 2017-11-10T20:37:29 --enforcementcount 1 &gt;&gt;%USERPROFILE%\Documents\GitHub\eaglep3-reporting\EC\2017-11-10-refined-times.txt</v>
      </c>
      <c r="AI137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{"issue":{"subject":"","project_id":79,"tracker_id":40,"status_id":1,"priority_id":2,"assigned_to_id":338,"start_date":"2017-11-10","description":"","custom_fields":[{"id":1,"name":"Subdivision","value":"EC"},{"id":4,"name":"Milepost","value":"23.3186"},{"id":17,"name":"Train ID","value":"225-10"},{"id":16,"name":"Locomotive ID","value":"4060"},{"id":130,"name":"Impact","value":""},{"id":150,"name":"Time of Event (Mountain Time)","value":"20:37:29"},{"id":151,"name":"Denver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44"/>
        <v>start /low /b %USERPROFILE%\Documents\GitHub\eaglep3\Utilities\DownloadLogsFromS3.py --loco 4060 --day 2017-11-10</v>
      </c>
      <c r="AN137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03:37:29"},{"id":29,"name":"Sharepoint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6"/>
        <v>https://d0f6bd738d7f1b3e5a7ca70fe4ff75f0.us-east-1.aws.found.io/app/kibana#/discover/Steve-Slow-Train-Analysis-(2080s-and-2083s)?_g=(refreshInterval:(display:Off,pause:!f,section:0,value:0),time:(from:'2017-11-10T18:52:46-0700',mode:absolute,to:'2017-11-10T21:37:29-0700'))&amp;_a=(columns:!('Message%20ID',Summary),filters:!(),index:'emp_*',interval:auto,query:(query_string:(analyze_wildcard:!t,query:'%22rtdc.l.rtdc.4060%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859</v>
      </c>
      <c r="B138" s="7">
        <v>4059</v>
      </c>
      <c r="C138" s="21" t="s">
        <v>192</v>
      </c>
      <c r="D138" s="21" t="s">
        <v>959</v>
      </c>
      <c r="E138" s="13">
        <v>43049.866168981483</v>
      </c>
      <c r="F138" s="13">
        <v>43049.873252314814</v>
      </c>
      <c r="G138" s="7">
        <v>95</v>
      </c>
      <c r="H138" s="21" t="s">
        <v>488</v>
      </c>
      <c r="I138" s="13">
        <v>43049.900127314817</v>
      </c>
      <c r="J138" s="7">
        <v>1</v>
      </c>
      <c r="K138" s="89" t="str">
        <f t="shared" si="29"/>
        <v>4059/4060</v>
      </c>
      <c r="L138" s="185" t="str">
        <f>VLOOKUP(A138,'Trips&amp;Operators'!$C$1:$G$99911,5,FALSE)</f>
        <v>NICHOLSON WESLEY</v>
      </c>
      <c r="M138" s="6">
        <f t="shared" si="30"/>
        <v>2.6875000003201421E-2</v>
      </c>
      <c r="N138" s="7">
        <f t="shared" si="51"/>
        <v>38.700000004610047</v>
      </c>
      <c r="O138" s="7"/>
      <c r="P138" s="7"/>
      <c r="Q138" s="22"/>
      <c r="R138" s="174"/>
      <c r="S138" s="221">
        <f t="shared" si="50"/>
        <v>1</v>
      </c>
      <c r="T138" s="174" t="str">
        <f t="shared" si="31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2"/>
        <v>https://d0f6bd738d7f1b3e5a7ca70fe4ff75f0.us-east-1.aws.found.io/app/kibana#/discover/Steve-Slow-Train-Analysis-(2080s-and-2083s)?_g=(refreshInterval:(display:Off,pause:!f,section:0,value:0),time:(from:'2017-11-10T19:47:17-0700',mode:absolute,to:'2017-11-10T22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8" s="204" t="str">
        <f>IF(AA138&lt;VLOOKUP(AG138,Variables!$AC$3:$AD$8,2,FALSE),"Y","N")</f>
        <v>N</v>
      </c>
      <c r="X138" s="204">
        <f t="shared" si="55"/>
        <v>1</v>
      </c>
      <c r="Y138" s="204">
        <f t="shared" si="48"/>
        <v>23.285900000000002</v>
      </c>
      <c r="Z138" s="204">
        <f t="shared" si="49"/>
        <v>2.3400000000000001E-2</v>
      </c>
      <c r="AA138" s="204">
        <f t="shared" si="36"/>
        <v>23.262500000000003</v>
      </c>
      <c r="AB138" s="54" t="e">
        <f>VLOOKUP(A138,Enforcements!$C$7:$K$9,8,0)</f>
        <v>#N/A</v>
      </c>
      <c r="AC138" s="51" t="e">
        <f>VLOOKUP(A138,Enforcements!$C$7:$E$9,3,0)</f>
        <v>#N/A</v>
      </c>
      <c r="AD138" s="179">
        <f t="shared" si="37"/>
        <v>226</v>
      </c>
      <c r="AE138" s="77" t="str">
        <f t="shared" si="38"/>
        <v>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 &amp; 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</v>
      </c>
      <c r="AF138" s="74" t="str">
        <f t="shared" si="39"/>
        <v>"C:\Program Files (x86)\AstroGrep\AstroGrep.exe" /e /r /s /spath="%USERPROFILE%\AppData\Local\Temp\OnboardLogs" /stypes="app*4059*20171111*" /stext=" 04:.+((SYSTEM_STATE.+slice.+state.+changed )|(ment ac)|(multiple cpu faults)|(system.+state.+changed )|(\[timeout)|(PRM\|1\|D)|(kpr)|(kdp)|(train st.+moving)|(\|lc)|(penalty))"</v>
      </c>
      <c r="AG138" s="182" t="str">
        <f t="shared" si="40"/>
        <v>EC</v>
      </c>
      <c r="AH138" s="78" t="str">
        <f t="shared" si="42"/>
        <v>"%USERPROFILE%\Documents\GitHub\eaglep3\Utilities\RefineRTDCRunTimes.py" --tripid 226-10 --locoid 4059 --swversion DE.1.0.9.0 --startMP 204:232859 --initTime 2017-11-10T20:47:17 --startdatetime 2017-11-10T20:57:29 --delay 95 --endMP 204:234 --enddatetime 2017-11-10T21:36:11 --enforcementcount 1 &gt;&gt;%USERPROFILE%\Documents\GitHub\eaglep3-reporting\EC\2017-11-10-refined-times.txt</v>
      </c>
      <c r="AI138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{"issue":{"subject":"","project_id":79,"tracker_id":40,"status_id":1,"priority_id":2,"assigned_to_id":338,"start_date":"2017-11-10","description":"","custom_fields":[{"id":1,"name":"Subdivision","value":"EC"},{"id":4,"name":"Milepost","value":"0.0234"},{"id":17,"name":"Train ID","value":"226-10"},{"id":16,"name":"Locomotive ID","value":"4059"},{"id":130,"name":"Impact","value":""},{"id":150,"name":"Time of Event (Mountain Time)","value":"21:36:11"},{"id":151,"name":"Denver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4"/>
        <v>start /low /b %USERPROFILE%\Documents\GitHub\eaglep3\Utilities\DownloadLogsFromS3.py --loco 4059 --day 2017-11-10</v>
      </c>
      <c r="AN138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04:36:11"},{"id":29,"name":"Sharepoint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6"/>
        <v>https://d0f6bd738d7f1b3e5a7ca70fe4ff75f0.us-east-1.aws.found.io/app/kibana#/discover/Steve-Slow-Train-Analysis-(2080s-and-2083s)?_g=(refreshInterval:(display:Off,pause:!f,section:0,value:0),time:(from:'2017-11-10T19:47:17-0700',mode:absolute,to:'2017-11-10T22:36:11-0700'))&amp;_a=(columns:!('Message%20ID',Summary),filters:!(),index:'emp_*',interval:auto,query:(query_string:(analyze_wildcard:!t,query:'%22rtdc.l.rtdc.4059%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855</v>
      </c>
      <c r="B139" s="7">
        <v>4016</v>
      </c>
      <c r="C139" s="21" t="s">
        <v>192</v>
      </c>
      <c r="D139" s="21" t="s">
        <v>988</v>
      </c>
      <c r="E139" s="13">
        <v>43049.837060185186</v>
      </c>
      <c r="F139" s="13">
        <v>43049.854317129626</v>
      </c>
      <c r="G139" s="7">
        <v>80</v>
      </c>
      <c r="H139" s="21" t="s">
        <v>989</v>
      </c>
      <c r="I139" s="13">
        <v>43049.87909722222</v>
      </c>
      <c r="J139" s="7">
        <v>1</v>
      </c>
      <c r="K139" s="89" t="str">
        <f t="shared" si="29"/>
        <v>4015/4016</v>
      </c>
      <c r="L139" s="185" t="str">
        <f>VLOOKUP(A139,'Trips&amp;Operators'!$C$1:$G$99911,5,FALSE)</f>
        <v>ELBAUM MIKE</v>
      </c>
      <c r="M139" s="6">
        <f t="shared" si="30"/>
        <v>2.4780092593573499E-2</v>
      </c>
      <c r="N139" s="7">
        <f t="shared" si="51"/>
        <v>35.683333334745839</v>
      </c>
      <c r="O139" s="7"/>
      <c r="P139" s="7"/>
      <c r="Q139" s="22"/>
      <c r="R139" s="174"/>
      <c r="S139" s="221">
        <f t="shared" si="50"/>
        <v>1</v>
      </c>
      <c r="T139" s="174" t="str">
        <f t="shared" si="31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2"/>
        <v>https://d0f6bd738d7f1b3e5a7ca70fe4ff75f0.us-east-1.aws.found.io/app/kibana#/discover/Steve-Slow-Train-Analysis-(2080s-and-2083s)?_g=(refreshInterval:(display:Off,pause:!f,section:0,value:0),time:(from:'2017-11-10T19:05:22-0700',mode:absolute,to:'2017-11-10T22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9" s="204" t="str">
        <f>IF(AA139&lt;VLOOKUP(AG139,Variables!$AC$3:$AD$8,2,FALSE),"Y","N")</f>
        <v>N</v>
      </c>
      <c r="X139" s="204">
        <f t="shared" si="55"/>
        <v>1</v>
      </c>
      <c r="Y139" s="204">
        <f t="shared" si="48"/>
        <v>6.0199999999999997E-2</v>
      </c>
      <c r="Z139" s="204">
        <f t="shared" si="49"/>
        <v>23.325500000000002</v>
      </c>
      <c r="AA139" s="204">
        <f t="shared" si="36"/>
        <v>23.265300000000003</v>
      </c>
      <c r="AB139" s="54" t="e">
        <f>VLOOKUP(A139,Enforcements!$C$7:$K$9,8,0)</f>
        <v>#N/A</v>
      </c>
      <c r="AC139" s="51" t="e">
        <f>VLOOKUP(A139,Enforcements!$C$7:$E$9,3,0)</f>
        <v>#N/A</v>
      </c>
      <c r="AD139" s="179">
        <f t="shared" si="37"/>
        <v>227</v>
      </c>
      <c r="AE139" s="77" t="str">
        <f t="shared" si="38"/>
        <v>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 &amp; aws s3 cp s3://rtdc.mdm.uploadarchive.raw/RTDC4016/ "%USERPROFILE%\AppData\Local\Temp\OnboardLogs"\RTDC4016\2017-11-11 --exclude "*" --recursive --include "*20171111*" &amp; "%USERPROFILE%\Documents\GitHub\mrs-test-scripts\Headless Mode &amp; Sideloading\WalkAndUnGZ.bat" "%USERPROFILE%\AppData\Local\Temp\OnboardLogs"\RTDC4016\2017-11-11</v>
      </c>
      <c r="AF139" s="74" t="str">
        <f t="shared" si="39"/>
        <v>"C:\Program Files (x86)\AstroGrep\AstroGrep.exe" /e /r /s /spath="%USERPROFILE%\AppData\Local\Temp\OnboardLogs" /stypes="app*4016*20171111*" /stext=" 04:.+((SYSTEM_STATE.+slice.+state.+changed )|(ment ac)|(multiple cpu faults)|(system.+state.+changed )|(\[timeout)|(PRM\|1\|D)|(kpr)|(kdp)|(train st.+moving)|(\|lc)|(penalty))"</v>
      </c>
      <c r="AG139" s="182" t="str">
        <f t="shared" si="40"/>
        <v>EC</v>
      </c>
      <c r="AH139" s="78" t="str">
        <f t="shared" si="42"/>
        <v>"%USERPROFILE%\Documents\GitHub\eaglep3\Utilities\RefineRTDCRunTimes.py" --tripid 227-10 --locoid 4016 --swversion DE.1.0.9.0 --startMP 204:602 --initTime 2017-11-10T20:05:22 --startdatetime 2017-11-10T20:30:13 --delay 80 --endMP 204:233255 --enddatetime 2017-11-10T21:05:54 --enforcementcount 1 &gt;&gt;%USERPROFILE%\Documents\GitHub\eaglep3-reporting\EC\2017-11-10-refined-times.txt</v>
      </c>
      <c r="AI139" s="96" t="str">
        <f t="shared" si="43"/>
        <v>echo {"issue":{"subject":"","project_id":79,"tracker_id":40,"status_id":1,"priority_id":2,"assigned_to_id":338,"start_date":"2017-11-10","description":"","custom_fields":[{"id":1,"name":"Subdivision","value":"EC"},{"id":4,"name":"Milepost","value":"23.3255"},{"id":17,"name":"Train ID","value":"227-10"},{"id":16,"name":"Locomotive ID","value":"4016"},{"id":130,"name":"Impact","value":""},{"id":150,"name":"Time of Event (Mountain Time)","value":"21:05:54"},{"id":151,"name":"Denver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44"/>
        <v>start /low /b %USERPROFILE%\Documents\GitHub\eaglep3\Utilities\DownloadLogsFromS3.py --loco 4016 --day 2017-11-10</v>
      </c>
      <c r="AN139" s="151" t="str">
        <f t="shared" si="4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04:05:54"},{"id":29,"name":"Sharepoint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6"/>
        <v>https://d0f6bd738d7f1b3e5a7ca70fe4ff75f0.us-east-1.aws.found.io/app/kibana#/discover/Steve-Slow-Train-Analysis-(2080s-and-2083s)?_g=(refreshInterval:(display:Off,pause:!f,section:0,value:0),time:(from:'2017-11-10T19:05:22-0700',mode:absolute,to:'2017-11-10T22:05:54-0700'))&amp;_a=(columns:!('Message%20ID',Summary),filters:!(),index:'emp_*',interval:auto,query:(query_string:(analyze_wildcard:!t,query:'%22rtdc.l.rtdc.4016%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861</v>
      </c>
      <c r="B140" s="7">
        <v>4015</v>
      </c>
      <c r="C140" s="21" t="s">
        <v>192</v>
      </c>
      <c r="D140" s="21" t="s">
        <v>964</v>
      </c>
      <c r="E140" s="13">
        <v>43049.880370370367</v>
      </c>
      <c r="F140" s="13">
        <v>43049.893958333334</v>
      </c>
      <c r="G140" s="7">
        <v>51</v>
      </c>
      <c r="H140" s="21" t="s">
        <v>990</v>
      </c>
      <c r="I140" s="13">
        <v>43049.91920138889</v>
      </c>
      <c r="J140" s="7">
        <v>1</v>
      </c>
      <c r="K140" s="89" t="str">
        <f t="shared" si="29"/>
        <v>4015/4016</v>
      </c>
      <c r="L140" s="185" t="str">
        <f>VLOOKUP(A140,'Trips&amp;Operators'!$C$1:$G$99911,5,FALSE)</f>
        <v>ELBAUM MIKE</v>
      </c>
      <c r="M140" s="6">
        <f t="shared" si="30"/>
        <v>2.5243055555620231E-2</v>
      </c>
      <c r="N140" s="7">
        <f t="shared" si="51"/>
        <v>36.350000000093132</v>
      </c>
      <c r="O140" s="7"/>
      <c r="P140" s="7"/>
      <c r="Q140" s="22"/>
      <c r="R140" s="174"/>
      <c r="S140" s="221">
        <f t="shared" si="50"/>
        <v>1</v>
      </c>
      <c r="T140" s="174" t="str">
        <f t="shared" si="31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2"/>
        <v>https://d0f6bd738d7f1b3e5a7ca70fe4ff75f0.us-east-1.aws.found.io/app/kibana#/discover/Steve-Slow-Train-Analysis-(2080s-and-2083s)?_g=(refreshInterval:(display:Off,pause:!f,section:0,value:0),time:(from:'2017-11-10T20:07:44-0700',mode:absolute,to:'2017-11-10T23:03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0" s="204" t="str">
        <f>IF(AA140&lt;VLOOKUP(AG140,Variables!$AC$3:$AD$8,2,FALSE),"Y","N")</f>
        <v>N</v>
      </c>
      <c r="X140" s="204">
        <f t="shared" si="55"/>
        <v>1</v>
      </c>
      <c r="Y140" s="204">
        <f t="shared" si="48"/>
        <v>23.293800000000001</v>
      </c>
      <c r="Z140" s="204">
        <f t="shared" si="49"/>
        <v>2.5399999999999999E-2</v>
      </c>
      <c r="AA140" s="204">
        <f t="shared" si="36"/>
        <v>23.2684</v>
      </c>
      <c r="AB140" s="54" t="e">
        <f>VLOOKUP(A140,Enforcements!$C$7:$K$9,8,0)</f>
        <v>#N/A</v>
      </c>
      <c r="AC140" s="51" t="e">
        <f>VLOOKUP(A140,Enforcements!$C$7:$E$9,3,0)</f>
        <v>#N/A</v>
      </c>
      <c r="AD140" s="179">
        <f t="shared" si="37"/>
        <v>228</v>
      </c>
      <c r="AE140" s="77" t="str">
        <f t="shared" si="38"/>
        <v>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 &amp; 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</v>
      </c>
      <c r="AF140" s="74" t="str">
        <f t="shared" si="39"/>
        <v>"C:\Program Files (x86)\AstroGrep\AstroGrep.exe" /e /r /s /spath="%USERPROFILE%\AppData\Local\Temp\OnboardLogs" /stypes="app*4015*20171111*" /stext=" 05:.+((SYSTEM_STATE.+slice.+state.+changed )|(ment ac)|(multiple cpu faults)|(system.+state.+changed )|(\[timeout)|(PRM\|1\|D)|(kpr)|(kdp)|(train st.+moving)|(\|lc)|(penalty))"</v>
      </c>
      <c r="AG140" s="182" t="str">
        <f t="shared" si="40"/>
        <v>EC</v>
      </c>
      <c r="AH140" s="78" t="str">
        <f t="shared" ref="AH140:AH203" si="56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228-10 --locoid 4015 --swversion DE.1.0.9.0 --startMP 204:232938 --initTime 2017-11-10T21:07:44 --startdatetime 2017-11-10T21:27:18 --delay 51 --endMP 204:254 --enddatetime 2017-11-10T22:03:39 --enforcementcount 1 &gt;&gt;%USERPROFILE%\Documents\GitHub\eaglep3-reporting\EC\2017-11-10-refined-times.txt</v>
      </c>
      <c r="AI140" s="96" t="str">
        <f t="shared" ref="AI140:AI203" si="57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{"issue":{"subject":"","project_id":79,"tracker_id":40,"status_id":1,"priority_id":2,"assigned_to_id":338,"start_date":"2017-11-10","description":"","custom_fields":[{"id":1,"name":"Subdivision","value":"EC"},{"id":4,"name":"Milepost","value":"0.0254"},{"id":17,"name":"Train ID","value":"228-10"},{"id":16,"name":"Locomotive ID","value":"4015"},{"id":130,"name":"Impact","value":""},{"id":150,"name":"Time of Event (Mountain Time)","value":"22:03:39"},{"id":151,"name":"Denver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ref="AM140:AM203" si="58">"start /low /b "&amp;dls3logs&amp;" --loco "&amp;B140&amp;" --day "&amp;TEXT(F140,"YYYY-MM-DD")</f>
        <v>start /low /b %USERPROFILE%\Documents\GitHub\eaglep3\Utilities\DownloadLogsFromS3.py --loco 4015 --day 2017-11-10</v>
      </c>
      <c r="AN140" s="151" t="str">
        <f t="shared" ref="AN140:AN203" si="59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05:03:39"},{"id":29,"name":"Sharepoint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ref="AO140:AO203" si="60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-10T20:07:44-0700',mode:absolute,to:'2017-11-10T23:03:39-0700'))&amp;_a=(columns:!('Message%20ID',Summary),filters:!(),index:'emp_*',interval:auto,query:(query_string:(analyze_wildcard:!t,query:'%22rtdc.l.rtdc.4015%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858</v>
      </c>
      <c r="B141" s="7">
        <v>4050</v>
      </c>
      <c r="C141" s="21" t="s">
        <v>192</v>
      </c>
      <c r="D141" s="21" t="s">
        <v>620</v>
      </c>
      <c r="E141" s="13">
        <v>43049.861620370371</v>
      </c>
      <c r="F141" s="13">
        <v>43049.875335648147</v>
      </c>
      <c r="G141" s="7">
        <v>52</v>
      </c>
      <c r="H141" s="21" t="s">
        <v>991</v>
      </c>
      <c r="I141" s="13">
        <v>43049.900925925926</v>
      </c>
      <c r="J141" s="7">
        <v>1</v>
      </c>
      <c r="K141" s="89" t="str">
        <f t="shared" ref="K141:K204" si="61">IF(ISEVEN(B141),(B141-1)&amp;"/"&amp;B141,B141&amp;"/"&amp;(B141+1))</f>
        <v>4049/4050</v>
      </c>
      <c r="L141" s="185" t="str">
        <f>VLOOKUP(A141,'Trips&amp;Operators'!$C$1:$G$99911,5,FALSE)</f>
        <v>AUSTIN THOMPSON</v>
      </c>
      <c r="M141" s="6">
        <f t="shared" ref="M141:M204" si="62">I141-F141</f>
        <v>2.5590277778974269E-2</v>
      </c>
      <c r="N141" s="7">
        <f t="shared" si="51"/>
        <v>36.850000001722947</v>
      </c>
      <c r="O141" s="7"/>
      <c r="P141" s="7"/>
      <c r="Q141" s="22"/>
      <c r="R141" s="174"/>
      <c r="S141" s="221">
        <f t="shared" si="50"/>
        <v>1</v>
      </c>
      <c r="T141" s="174" t="str">
        <f t="shared" ref="T141:T204" si="63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6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-10T19:40:44-0700',mode:absolute,to:'2017-11-10T22:37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1" s="204" t="str">
        <f>IF(AA141&lt;VLOOKUP(AG141,Variables!$AC$3:$AD$8,2,FALSE),"Y","N")</f>
        <v>N</v>
      </c>
      <c r="X141" s="204">
        <f t="shared" si="55"/>
        <v>1</v>
      </c>
      <c r="Y141" s="204">
        <f t="shared" ref="Y141:Y172" si="65">RIGHT(D141,LEN(D141)-4)/10000</f>
        <v>5.5100000000000003E-2</v>
      </c>
      <c r="Z141" s="204">
        <f t="shared" ref="Z141:Z172" si="66">RIGHT(H141,LEN(H141)-4)/10000</f>
        <v>23.322199999999999</v>
      </c>
      <c r="AA141" s="204">
        <f t="shared" ref="AA141:AA204" si="67">ABS(Z141-Y141)</f>
        <v>23.267099999999999</v>
      </c>
      <c r="AB141" s="54" t="e">
        <f>VLOOKUP(A141,Enforcements!$C$7:$K$9,8,0)</f>
        <v>#N/A</v>
      </c>
      <c r="AC141" s="51" t="e">
        <f>VLOOKUP(A141,Enforcements!$C$7:$E$9,3,0)</f>
        <v>#N/A</v>
      </c>
      <c r="AD141" s="179">
        <f t="shared" ref="AD141:AD204" si="68">VALUE(LEFT(A141,LEN(A141)-3))</f>
        <v>229</v>
      </c>
      <c r="AE141" s="77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AF141" s="74" t="str">
        <f t="shared" ref="AF141:AF204" si="7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/stypes="app*4050*20171111*" /stext=" 04:.+((SYSTEM_STATE.+slice.+state.+changed )|(ment ac)|(multiple cpu faults)|(system.+state.+changed )|(\[timeout)|(PRM\|1\|D)|(kpr)|(kdp)|(train st.+moving)|(\|lc)|(penalty))"</v>
      </c>
      <c r="AG141" s="182" t="str">
        <f t="shared" ref="AG141:AG204" si="71">DetSubdiv(A141)</f>
        <v>EC</v>
      </c>
      <c r="AH141" s="78" t="str">
        <f t="shared" si="56"/>
        <v>"%USERPROFILE%\Documents\GitHub\eaglep3\Utilities\RefineRTDCRunTimes.py" --tripid 229-10 --locoid 4050 --swversion DE.1.0.9.0 --startMP 204:551 --initTime 2017-11-10T20:40:44 --startdatetime 2017-11-10T21:00:29 --delay 52 --endMP 204:233222 --enddatetime 2017-11-10T21:37:20 --enforcementcount 1 &gt;&gt;%USERPROFILE%\Documents\GitHub\eaglep3-reporting\EC\2017-11-10-refined-times.txt</v>
      </c>
      <c r="AI141" s="96" t="str">
        <f t="shared" si="57"/>
        <v>echo {"issue":{"subject":"","project_id":79,"tracker_id":40,"status_id":1,"priority_id":2,"assigned_to_id":338,"start_date":"2017-11-10","description":"","custom_fields":[{"id":1,"name":"Subdivision","value":"EC"},{"id":4,"name":"Milepost","value":"23.3222"},{"id":17,"name":"Train ID","value":"229-10"},{"id":16,"name":"Locomotive ID","value":"4050"},{"id":130,"name":"Impact","value":""},{"id":150,"name":"Time of Event (Mountain Time)","value":"21:37:20"},{"id":151,"name":"Denver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58"/>
        <v>start /low /b %USERPROFILE%\Documents\GitHub\eaglep3\Utilities\DownloadLogsFromS3.py --loco 4050 --day 2017-11-10</v>
      </c>
      <c r="AN141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04:37:20"},{"id":29,"name":"Sharepoint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60"/>
        <v>https://d0f6bd738d7f1b3e5a7ca70fe4ff75f0.us-east-1.aws.found.io/app/kibana#/discover/Steve-Slow-Train-Analysis-(2080s-and-2083s)?_g=(refreshInterval:(display:Off,pause:!f,section:0,value:0),time:(from:'2017-11-10T19:40:44-0700',mode:absolute,to:'2017-11-10T22:37:20-0700'))&amp;_a=(columns:!('Message%20ID',Summary),filters:!(),index:'emp_*',interval:auto,query:(query_string:(analyze_wildcard:!t,query:'%22rtdc.l.rtdc.4050%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654</v>
      </c>
      <c r="B142" s="7">
        <v>4049</v>
      </c>
      <c r="C142" s="21" t="s">
        <v>192</v>
      </c>
      <c r="D142" s="21" t="s">
        <v>934</v>
      </c>
      <c r="E142" s="13">
        <v>43049.912986111114</v>
      </c>
      <c r="F142" s="13">
        <v>43049.914768518516</v>
      </c>
      <c r="G142" s="7">
        <v>55</v>
      </c>
      <c r="H142" s="21" t="s">
        <v>616</v>
      </c>
      <c r="I142" s="13">
        <v>43049.940787037034</v>
      </c>
      <c r="J142" s="7">
        <v>1</v>
      </c>
      <c r="K142" s="89" t="str">
        <f t="shared" si="61"/>
        <v>4049/4050</v>
      </c>
      <c r="L142" s="185" t="str">
        <f>VLOOKUP(A142,'Trips&amp;Operators'!$C$1:$G$99911,5,FALSE)</f>
        <v>AUSTIN THOMPSON</v>
      </c>
      <c r="M142" s="6">
        <f t="shared" si="62"/>
        <v>2.6018518517958E-2</v>
      </c>
      <c r="N142" s="7">
        <f t="shared" si="51"/>
        <v>37.46666666585952</v>
      </c>
      <c r="O142" s="7"/>
      <c r="P142" s="7"/>
      <c r="Q142" s="22"/>
      <c r="R142" s="174"/>
      <c r="S142" s="221">
        <f t="shared" ref="S142:S170" si="72">1/IF(AG142="EC",12,1)*SUM(U142:U142)</f>
        <v>1</v>
      </c>
      <c r="T142" s="174" t="str">
        <f t="shared" si="63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64"/>
        <v>https://d0f6bd738d7f1b3e5a7ca70fe4ff75f0.us-east-1.aws.found.io/app/kibana#/discover/Steve-Slow-Train-Analysis-(2080s-and-2083s)?_g=(refreshInterval:(display:Off,pause:!f,section:0,value:0),time:(from:'2017-11-10T20:54:42-0700',mode:absolute,to:'2017-11-10T23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2" s="204" t="str">
        <f>IF(AA142&lt;VLOOKUP(AG142,Variables!$AC$3:$AD$8,2,FALSE),"Y","N")</f>
        <v>N</v>
      </c>
      <c r="X142" s="204">
        <f t="shared" si="55"/>
        <v>1</v>
      </c>
      <c r="Y142" s="204">
        <f t="shared" si="65"/>
        <v>23.290400000000002</v>
      </c>
      <c r="Z142" s="204">
        <f t="shared" si="66"/>
        <v>2.6200000000000001E-2</v>
      </c>
      <c r="AA142" s="204">
        <f t="shared" si="67"/>
        <v>23.264200000000002</v>
      </c>
      <c r="AB142" s="54" t="str">
        <f>VLOOKUP(A142,Enforcements!$C$7:$K$9,8,0)</f>
        <v>Speed (6)</v>
      </c>
      <c r="AC142" s="51" t="str">
        <f>VLOOKUP(A142,Enforcements!$C$7:$E$9,3,0)</f>
        <v>PERMANENT SPEED RESTRICTION</v>
      </c>
      <c r="AD142" s="179">
        <f t="shared" si="68"/>
        <v>230</v>
      </c>
      <c r="AE142" s="77" t="str">
        <f t="shared" si="69"/>
        <v>aws s3 cp s3://rtdc.mdm.uploadarchive.raw/RTDC4049/ "%USERPROFILE%\AppData\Local\Temp\OnboardLogs"\RTDC4049\2017-11-10 --exclude "*" --recursive --include "*20171110*" &amp; "%USERPROFILE%\Documents\GitHub\mrs-test-scripts\Headless Mode &amp; Sideloading\WalkAndUnGZ.bat" "%USERPROFILE%\AppData\Local\Temp\OnboardLogs"\RTDC4049\2017-11-10 &amp; aws s3 cp s3://rtdc.mdm.uploadarchive.raw/RTDC4049/ "%USERPROFILE%\AppData\Local\Temp\OnboardLogs"\RTDC4049\2017-11-11 --exclude "*" --recursive --include "*20171111*" &amp; "%USERPROFILE%\Documents\GitHub\mrs-test-scripts\Headless Mode &amp; Sideloading\WalkAndUnGZ.bat" "%USERPROFILE%\AppData\Local\Temp\OnboardLogs"\RTDC4049\2017-11-11</v>
      </c>
      <c r="AF142" s="74" t="str">
        <f t="shared" si="70"/>
        <v>"C:\Program Files (x86)\AstroGrep\AstroGrep.exe" /e /r /s /spath="%USERPROFILE%\AppData\Local\Temp\OnboardLogs" /stypes="app*4049*20171111*" /stext=" 05:.+((SYSTEM_STATE.+slice.+state.+changed )|(ment ac)|(multiple cpu faults)|(system.+state.+changed )|(\[timeout)|(PRM\|1\|D)|(kpr)|(kdp)|(train st.+moving)|(\|lc)|(penalty))"</v>
      </c>
      <c r="AG142" s="182" t="str">
        <f t="shared" si="71"/>
        <v>EC</v>
      </c>
      <c r="AH142" s="78" t="str">
        <f t="shared" si="56"/>
        <v>"%USERPROFILE%\Documents\GitHub\eaglep3\Utilities\RefineRTDCRunTimes.py" --tripid 230-10 --locoid 4049 --swversion DE.1.0.9.0 --startMP 204:232904 --initTime 2017-11-10T21:54:42 --startdatetime 2017-11-10T21:57:16 --delay 55 --endMP 204:262 --enddatetime 2017-11-10T22:34:44 --enforcementcount 1 &gt;&gt;%USERPROFILE%\Documents\GitHub\eaglep3-reporting\EC\2017-11-10-refined-times.txt</v>
      </c>
      <c r="AI142" s="96" t="str">
        <f t="shared" si="57"/>
        <v>echo {"issue":{"subject":"","project_id":79,"tracker_id":40,"status_id":1,"priority_id":2,"assigned_to_id":338,"start_date":"2017-11-10","description":"","custom_fields":[{"id":1,"name":"Subdivision","value":"EC"},{"id":4,"name":"Milepost","value":"0.0262"},{"id":17,"name":"Train ID","value":"230-10"},{"id":16,"name":"Locomotive ID","value":"4049"},{"id":130,"name":"Impact","value":""},{"id":150,"name":"Time of Event (Mountain Time)","value":"22:34:44"},{"id":151,"name":"Denver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58"/>
        <v>start /low /b %USERPROFILE%\Documents\GitHub\eaglep3\Utilities\DownloadLogsFromS3.py --loco 4049 --day 2017-11-10</v>
      </c>
      <c r="AN142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05:34:44"},{"id":29,"name":"Sharepoint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60"/>
        <v>https://d0f6bd738d7f1b3e5a7ca70fe4ff75f0.us-east-1.aws.found.io/app/kibana#/discover/Steve-Slow-Train-Analysis-(2080s-and-2083s)?_g=(refreshInterval:(display:Off,pause:!f,section:0,value:0),time:(from:'2017-11-10T20:54:42-0700',mode:absolute,to:'2017-11-10T23:34:44-0700'))&amp;_a=(columns:!('Message%20ID',Summary),filters:!(),index:'emp_*',interval:auto,query:(query_string:(analyze_wildcard:!t,query:'%22rtdc.l.rtdc.4049%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862</v>
      </c>
      <c r="B143" s="7">
        <v>4052</v>
      </c>
      <c r="C143" s="21" t="s">
        <v>192</v>
      </c>
      <c r="D143" s="21" t="s">
        <v>541</v>
      </c>
      <c r="E143" s="13">
        <v>43049.888356481482</v>
      </c>
      <c r="F143" s="13">
        <v>43049.896041666667</v>
      </c>
      <c r="G143" s="7">
        <v>50</v>
      </c>
      <c r="H143" s="21" t="s">
        <v>623</v>
      </c>
      <c r="I143" s="13">
        <v>43049.920636574076</v>
      </c>
      <c r="J143" s="7">
        <v>1</v>
      </c>
      <c r="K143" s="89" t="str">
        <f t="shared" si="61"/>
        <v>4051/4052</v>
      </c>
      <c r="L143" s="185" t="str">
        <f>VLOOKUP(A143,'Trips&amp;Operators'!$C$1:$G$99911,5,FALSE)</f>
        <v>LOPES KIMBERLY</v>
      </c>
      <c r="M143" s="6">
        <f t="shared" si="62"/>
        <v>2.4594907408754807E-2</v>
      </c>
      <c r="N143" s="7">
        <f t="shared" si="51"/>
        <v>35.416666668606922</v>
      </c>
      <c r="O143" s="7"/>
      <c r="P143" s="7"/>
      <c r="Q143" s="22"/>
      <c r="R143" s="174"/>
      <c r="S143" s="221">
        <f t="shared" si="72"/>
        <v>1</v>
      </c>
      <c r="T143" s="174" t="str">
        <f t="shared" si="63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4"/>
        <v>https://d0f6bd738d7f1b3e5a7ca70fe4ff75f0.us-east-1.aws.found.io/app/kibana#/discover/Steve-Slow-Train-Analysis-(2080s-and-2083s)?_g=(refreshInterval:(display:Off,pause:!f,section:0,value:0),time:(from:'2017-11-10T20:19:14-0700',mode:absolute,to:'2017-11-10T23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3" s="204" t="str">
        <f>IF(AA143&lt;VLOOKUP(AG143,Variables!$AC$3:$AD$8,2,FALSE),"Y","N")</f>
        <v>N</v>
      </c>
      <c r="X143" s="204">
        <f t="shared" si="55"/>
        <v>1</v>
      </c>
      <c r="Y143" s="204">
        <f t="shared" si="65"/>
        <v>5.11E-2</v>
      </c>
      <c r="Z143" s="204">
        <f t="shared" si="66"/>
        <v>23.3188</v>
      </c>
      <c r="AA143" s="204">
        <f t="shared" si="67"/>
        <v>23.267699999999998</v>
      </c>
      <c r="AB143" s="54" t="e">
        <f>VLOOKUP(A143,Enforcements!$C$7:$K$9,8,0)</f>
        <v>#N/A</v>
      </c>
      <c r="AC143" s="51" t="e">
        <f>VLOOKUP(A143,Enforcements!$C$7:$E$9,3,0)</f>
        <v>#N/A</v>
      </c>
      <c r="AD143" s="179">
        <f t="shared" si="68"/>
        <v>231</v>
      </c>
      <c r="AE143" s="77" t="str">
        <f t="shared" si="69"/>
        <v>aws s3 cp s3://rtdc.mdm.uploadarchive.raw/RTDC4052/ "%USERPROFILE%\AppData\Local\Temp\OnboardLogs"\RTDC4052\2017-11-10 --exclude "*" --recursive --include "*20171110*" &amp; "%USERPROFILE%\Documents\GitHub\mrs-test-scripts\Headless Mode &amp; Sideloading\WalkAndUnGZ.bat" "%USERPROFILE%\AppData\Local\Temp\OnboardLogs"\RTDC4052\2017-11-10 &amp; aws s3 cp s3://rtdc.mdm.uploadarchive.raw/RTDC4052/ "%USERPROFILE%\AppData\Local\Temp\OnboardLogs"\RTDC4052\2017-11-11 --exclude "*" --recursive --include "*20171111*" &amp; "%USERPROFILE%\Documents\GitHub\mrs-test-scripts\Headless Mode &amp; Sideloading\WalkAndUnGZ.bat" "%USERPROFILE%\AppData\Local\Temp\OnboardLogs"\RTDC4052\2017-11-11</v>
      </c>
      <c r="AF143" s="74" t="str">
        <f t="shared" si="70"/>
        <v>"C:\Program Files (x86)\AstroGrep\AstroGrep.exe" /e /r /s /spath="%USERPROFILE%\AppData\Local\Temp\OnboardLogs" /stypes="app*4052*20171111*" /stext=" 05:.+((SYSTEM_STATE.+slice.+state.+changed )|(ment ac)|(multiple cpu faults)|(system.+state.+changed )|(\[timeout)|(PRM\|1\|D)|(kpr)|(kdp)|(train st.+moving)|(\|lc)|(penalty))"</v>
      </c>
      <c r="AG143" s="182" t="str">
        <f t="shared" si="71"/>
        <v>EC</v>
      </c>
      <c r="AH143" s="78" t="str">
        <f t="shared" si="56"/>
        <v>"%USERPROFILE%\Documents\GitHub\eaglep3\Utilities\RefineRTDCRunTimes.py" --tripid 231-10 --locoid 4052 --swversion DE.1.0.9.0 --startMP 204:511 --initTime 2017-11-10T21:19:14 --startdatetime 2017-11-10T21:30:18 --delay 50 --endMP 204:233188 --enddatetime 2017-11-10T22:05:43 --enforcementcount 1 &gt;&gt;%USERPROFILE%\Documents\GitHub\eaglep3-reporting\EC\2017-11-10-refined-times.txt</v>
      </c>
      <c r="AI143" s="96" t="str">
        <f t="shared" si="57"/>
        <v>echo {"issue":{"subject":"","project_id":79,"tracker_id":40,"status_id":1,"priority_id":2,"assigned_to_id":338,"start_date":"2017-11-10","description":"","custom_fields":[{"id":1,"name":"Subdivision","value":"EC"},{"id":4,"name":"Milepost","value":"23.3188"},{"id":17,"name":"Train ID","value":"231-10"},{"id":16,"name":"Locomotive ID","value":"4052"},{"id":130,"name":"Impact","value":""},{"id":150,"name":"Time of Event (Mountain Time)","value":"22:05:43"},{"id":151,"name":"Denver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58"/>
        <v>start /low /b %USERPROFILE%\Documents\GitHub\eaglep3\Utilities\DownloadLogsFromS3.py --loco 4052 --day 2017-11-10</v>
      </c>
      <c r="AN143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05:05:43"},{"id":29,"name":"Sharepoint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60"/>
        <v>https://d0f6bd738d7f1b3e5a7ca70fe4ff75f0.us-east-1.aws.found.io/app/kibana#/discover/Steve-Slow-Train-Analysis-(2080s-and-2083s)?_g=(refreshInterval:(display:Off,pause:!f,section:0,value:0),time:(from:'2017-11-10T20:19:14-0700',mode:absolute,to:'2017-11-10T23:05:43-0700'))&amp;_a=(columns:!('Message%20ID',Summary),filters:!(),index:'emp_*',interval:auto,query:(query_string:(analyze_wildcard:!t,query:'%22rtdc.l.rtdc.4052%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867</v>
      </c>
      <c r="B144" s="7">
        <v>4051</v>
      </c>
      <c r="C144" s="21" t="s">
        <v>192</v>
      </c>
      <c r="D144" s="21" t="s">
        <v>624</v>
      </c>
      <c r="E144" s="13">
        <v>43049.927384259259</v>
      </c>
      <c r="F144" s="13">
        <v>43049.935798611114</v>
      </c>
      <c r="G144" s="7">
        <v>54</v>
      </c>
      <c r="H144" s="21" t="s">
        <v>963</v>
      </c>
      <c r="I144" s="13">
        <v>43049.962199074071</v>
      </c>
      <c r="J144" s="7">
        <v>1</v>
      </c>
      <c r="K144" s="89" t="str">
        <f t="shared" si="61"/>
        <v>4051/4052</v>
      </c>
      <c r="L144" s="185" t="str">
        <f>VLOOKUP(A144,'Trips&amp;Operators'!$C$1:$G$99911,5,FALSE)</f>
        <v>LOPES KIMBERLY</v>
      </c>
      <c r="M144" s="6">
        <f t="shared" si="62"/>
        <v>2.640046295709908E-2</v>
      </c>
      <c r="N144" s="7">
        <f t="shared" si="51"/>
        <v>38.016666658222675</v>
      </c>
      <c r="O144" s="7"/>
      <c r="P144" s="7"/>
      <c r="Q144" s="22"/>
      <c r="R144" s="174"/>
      <c r="S144" s="221">
        <f t="shared" si="72"/>
        <v>1</v>
      </c>
      <c r="T144" s="174" t="str">
        <f t="shared" si="63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4"/>
        <v>https://d0f6bd738d7f1b3e5a7ca70fe4ff75f0.us-east-1.aws.found.io/app/kibana#/discover/Steve-Slow-Train-Analysis-(2080s-and-2083s)?_g=(refreshInterval:(display:Off,pause:!f,section:0,value:0),time:(from:'2017-11-10T21:15:26-0700',mode:absolute,to:'2017-11-11T00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4" s="204" t="str">
        <f>IF(AA144&lt;VLOOKUP(AG144,Variables!$AC$3:$AD$8,2,FALSE),"Y","N")</f>
        <v>N</v>
      </c>
      <c r="X144" s="204">
        <f t="shared" si="55"/>
        <v>1</v>
      </c>
      <c r="Y144" s="204">
        <f t="shared" si="65"/>
        <v>23.286300000000001</v>
      </c>
      <c r="Z144" s="204">
        <f t="shared" si="66"/>
        <v>2.1600000000000001E-2</v>
      </c>
      <c r="AA144" s="204">
        <f t="shared" si="67"/>
        <v>23.264700000000001</v>
      </c>
      <c r="AB144" s="54" t="e">
        <f>VLOOKUP(A144,Enforcements!$C$7:$K$9,8,0)</f>
        <v>#N/A</v>
      </c>
      <c r="AC144" s="51" t="e">
        <f>VLOOKUP(A144,Enforcements!$C$7:$E$9,3,0)</f>
        <v>#N/A</v>
      </c>
      <c r="AD144" s="179">
        <f t="shared" si="68"/>
        <v>232</v>
      </c>
      <c r="AE144" s="77" t="str">
        <f t="shared" si="69"/>
        <v>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 &amp; 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</v>
      </c>
      <c r="AF144" s="74" t="str">
        <f t="shared" si="70"/>
        <v>"C:\Program Files (x86)\AstroGrep\AstroGrep.exe" /e /r /s /spath="%USERPROFILE%\AppData\Local\Temp\OnboardLogs" /stypes="app*4051*20171111*" /stext=" 06:.+((SYSTEM_STATE.+slice.+state.+changed )|(ment ac)|(multiple cpu faults)|(system.+state.+changed )|(\[timeout)|(PRM\|1\|D)|(kpr)|(kdp)|(train st.+moving)|(\|lc)|(penalty))"</v>
      </c>
      <c r="AG144" s="182" t="str">
        <f t="shared" si="71"/>
        <v>EC</v>
      </c>
      <c r="AH144" s="78" t="str">
        <f t="shared" si="56"/>
        <v>"%USERPROFILE%\Documents\GitHub\eaglep3\Utilities\RefineRTDCRunTimes.py" --tripid 232-10 --locoid 4051 --swversion DE.1.0.9.0 --startMP 204:232863 --initTime 2017-11-10T22:15:26 --startdatetime 2017-11-10T22:27:33 --delay 54 --endMP 204:216 --enddatetime 2017-11-10T23:05:34 --enforcementcount 1 &gt;&gt;%USERPROFILE%\Documents\GitHub\eaglep3-reporting\EC\2017-11-10-refined-times.txt</v>
      </c>
      <c r="AI144" s="96" t="str">
        <f t="shared" si="57"/>
        <v>echo {"issue":{"subject":"","project_id":79,"tracker_id":40,"status_id":1,"priority_id":2,"assigned_to_id":338,"start_date":"2017-11-10","description":"","custom_fields":[{"id":1,"name":"Subdivision","value":"EC"},{"id":4,"name":"Milepost","value":"0.0216"},{"id":17,"name":"Train ID","value":"232-10"},{"id":16,"name":"Locomotive ID","value":"4051"},{"id":130,"name":"Impact","value":""},{"id":150,"name":"Time of Event (Mountain Time)","value":"23:05:34"},{"id":151,"name":"Denver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58"/>
        <v>start /low /b %USERPROFILE%\Documents\GitHub\eaglep3\Utilities\DownloadLogsFromS3.py --loco 4051 --day 2017-11-10</v>
      </c>
      <c r="AN144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06:05:34"},{"id":29,"name":"Sharepoint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60"/>
        <v>https://d0f6bd738d7f1b3e5a7ca70fe4ff75f0.us-east-1.aws.found.io/app/kibana#/discover/Steve-Slow-Train-Analysis-(2080s-and-2083s)?_g=(refreshInterval:(display:Off,pause:!f,section:0,value:0),time:(from:'2017-11-10T21:15:26-0700',mode:absolute,to:'2017-11-11T00:05:34-0700'))&amp;_a=(columns:!('Message%20ID',Summary),filters:!(),index:'emp_*',interval:auto,query:(query_string:(analyze_wildcard:!t,query:'%22rtdc.l.rtdc.4051%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864</v>
      </c>
      <c r="B145" s="7">
        <v>4060</v>
      </c>
      <c r="C145" s="21" t="s">
        <v>192</v>
      </c>
      <c r="D145" s="21" t="s">
        <v>561</v>
      </c>
      <c r="E145" s="13">
        <v>43049.902696759258</v>
      </c>
      <c r="F145" s="13">
        <v>43049.916863425926</v>
      </c>
      <c r="G145" s="7">
        <v>68</v>
      </c>
      <c r="H145" s="21" t="s">
        <v>992</v>
      </c>
      <c r="I145" s="13">
        <v>43049.942685185182</v>
      </c>
      <c r="J145" s="7">
        <v>1</v>
      </c>
      <c r="K145" s="89" t="str">
        <f t="shared" si="61"/>
        <v>4059/4060</v>
      </c>
      <c r="L145" s="185" t="str">
        <f>VLOOKUP(A145,'Trips&amp;Operators'!$C$1:$G$99911,5,FALSE)</f>
        <v>NICHOLSON WESLEY</v>
      </c>
      <c r="M145" s="6">
        <f t="shared" si="62"/>
        <v>2.5821759256359655E-2</v>
      </c>
      <c r="N145" s="7">
        <f t="shared" si="51"/>
        <v>37.183333329157904</v>
      </c>
      <c r="O145" s="7"/>
      <c r="P145" s="7"/>
      <c r="Q145" s="22"/>
      <c r="R145" s="174"/>
      <c r="S145" s="221">
        <f t="shared" si="72"/>
        <v>1</v>
      </c>
      <c r="T145" s="174" t="str">
        <f t="shared" si="63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4"/>
        <v>https://d0f6bd738d7f1b3e5a7ca70fe4ff75f0.us-east-1.aws.found.io/app/kibana#/discover/Steve-Slow-Train-Analysis-(2080s-and-2083s)?_g=(refreshInterval:(display:Off,pause:!f,section:0,value:0),time:(from:'2017-11-10T20:39:53-0700',mode:absolute,to:'2017-11-10T23:37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5" s="204" t="str">
        <f>IF(AA145&lt;VLOOKUP(AG145,Variables!$AC$3:$AD$8,2,FALSE),"Y","N")</f>
        <v>N</v>
      </c>
      <c r="X145" s="204">
        <f t="shared" si="55"/>
        <v>1</v>
      </c>
      <c r="Y145" s="204">
        <f t="shared" si="65"/>
        <v>5.2900000000000003E-2</v>
      </c>
      <c r="Z145" s="204">
        <f t="shared" si="66"/>
        <v>23.317900000000002</v>
      </c>
      <c r="AA145" s="204">
        <f t="shared" si="67"/>
        <v>23.265000000000001</v>
      </c>
      <c r="AB145" s="54" t="e">
        <f>VLOOKUP(A145,Enforcements!$C$7:$K$9,8,0)</f>
        <v>#N/A</v>
      </c>
      <c r="AC145" s="51" t="e">
        <f>VLOOKUP(A145,Enforcements!$C$7:$E$9,3,0)</f>
        <v>#N/A</v>
      </c>
      <c r="AD145" s="179">
        <f t="shared" si="68"/>
        <v>233</v>
      </c>
      <c r="AE145" s="77" t="str">
        <f t="shared" si="69"/>
        <v>aws s3 cp s3://rtdc.mdm.uploadarchive.raw/RTDC4060/ "%USERPROFILE%\AppData\Local\Temp\OnboardLogs"\RTDC4060\2017-11-10 --exclude "*" --recursive --include "*20171110*" &amp; "%USERPROFILE%\Documents\GitHub\mrs-test-scripts\Headless Mode &amp; Sideloading\WalkAndUnGZ.bat" "%USERPROFILE%\AppData\Local\Temp\OnboardLogs"\RTDC4060\2017-11-10 &amp; aws s3 cp s3://rtdc.mdm.uploadarchive.raw/RTDC4060/ "%USERPROFILE%\AppData\Local\Temp\OnboardLogs"\RTDC4060\2017-11-11 --exclude "*" --recursive --include "*20171111*" &amp; "%USERPROFILE%\Documents\GitHub\mrs-test-scripts\Headless Mode &amp; Sideloading\WalkAndUnGZ.bat" "%USERPROFILE%\AppData\Local\Temp\OnboardLogs"\RTDC4060\2017-11-11</v>
      </c>
      <c r="AF145" s="74" t="str">
        <f t="shared" si="70"/>
        <v>"C:\Program Files (x86)\AstroGrep\AstroGrep.exe" /e /r /s /spath="%USERPROFILE%\AppData\Local\Temp\OnboardLogs" /stypes="app*4060*20171111*" /stext=" 05:.+((SYSTEM_STATE.+slice.+state.+changed )|(ment ac)|(multiple cpu faults)|(system.+state.+changed )|(\[timeout)|(PRM\|1\|D)|(kpr)|(kdp)|(train st.+moving)|(\|lc)|(penalty))"</v>
      </c>
      <c r="AG145" s="182" t="str">
        <f t="shared" si="71"/>
        <v>EC</v>
      </c>
      <c r="AH145" s="78" t="str">
        <f t="shared" si="56"/>
        <v>"%USERPROFILE%\Documents\GitHub\eaglep3\Utilities\RefineRTDCRunTimes.py" --tripid 233-10 --locoid 4060 --swversion DE.1.0.9.0 --startMP 204:529 --initTime 2017-11-10T21:39:53 --startdatetime 2017-11-10T22:00:17 --delay 68 --endMP 204:233179 --enddatetime 2017-11-10T22:37:28 --enforcementcount 1 &gt;&gt;%USERPROFILE%\Documents\GitHub\eaglep3-reporting\EC\2017-11-10-refined-times.txt</v>
      </c>
      <c r="AI145" s="96" t="str">
        <f t="shared" si="57"/>
        <v>echo {"issue":{"subject":"","project_id":79,"tracker_id":40,"status_id":1,"priority_id":2,"assigned_to_id":338,"start_date":"2017-11-10","description":"","custom_fields":[{"id":1,"name":"Subdivision","value":"EC"},{"id":4,"name":"Milepost","value":"23.3179"},{"id":17,"name":"Train ID","value":"233-10"},{"id":16,"name":"Locomotive ID","value":"4060"},{"id":130,"name":"Impact","value":""},{"id":150,"name":"Time of Event (Mountain Time)","value":"22:37:28"},{"id":151,"name":"Denver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58"/>
        <v>start /low /b %USERPROFILE%\Documents\GitHub\eaglep3\Utilities\DownloadLogsFromS3.py --loco 4060 --day 2017-11-10</v>
      </c>
      <c r="AN145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05:37:28"},{"id":29,"name":"Sharepoint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60"/>
        <v>https://d0f6bd738d7f1b3e5a7ca70fe4ff75f0.us-east-1.aws.found.io/app/kibana#/discover/Steve-Slow-Train-Analysis-(2080s-and-2083s)?_g=(refreshInterval:(display:Off,pause:!f,section:0,value:0),time:(from:'2017-11-10T20:39:53-0700',mode:absolute,to:'2017-11-10T23:37:28-0700'))&amp;_a=(columns:!('Message%20ID',Summary),filters:!(),index:'emp_*',interval:auto,query:(query_string:(analyze_wildcard:!t,query:'%22rtdc.l.rtdc.4060%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869</v>
      </c>
      <c r="B146" s="7">
        <v>4059</v>
      </c>
      <c r="C146" s="21" t="s">
        <v>192</v>
      </c>
      <c r="D146" s="21" t="s">
        <v>968</v>
      </c>
      <c r="E146" s="13">
        <v>43049.950902777775</v>
      </c>
      <c r="F146" s="13">
        <v>43049.95653935185</v>
      </c>
      <c r="G146" s="7">
        <v>109</v>
      </c>
      <c r="H146" s="21" t="s">
        <v>963</v>
      </c>
      <c r="I146" s="13">
        <v>43049.983541666668</v>
      </c>
      <c r="J146" s="7">
        <v>1</v>
      </c>
      <c r="K146" s="89" t="str">
        <f t="shared" si="61"/>
        <v>4059/4060</v>
      </c>
      <c r="L146" s="185" t="str">
        <f>VLOOKUP(A146,'Trips&amp;Operators'!$C$1:$G$99911,5,FALSE)</f>
        <v>NICHOLSON WESLEY</v>
      </c>
      <c r="M146" s="6">
        <f t="shared" si="62"/>
        <v>2.7002314818673767E-2</v>
      </c>
      <c r="N146" s="7">
        <f t="shared" si="51"/>
        <v>38.883333338890225</v>
      </c>
      <c r="O146" s="7"/>
      <c r="P146" s="7"/>
      <c r="Q146" s="22"/>
      <c r="R146" s="174"/>
      <c r="S146" s="221">
        <f t="shared" si="72"/>
        <v>1</v>
      </c>
      <c r="T146" s="174" t="str">
        <f t="shared" si="63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4"/>
        <v>https://d0f6bd738d7f1b3e5a7ca70fe4ff75f0.us-east-1.aws.found.io/app/kibana#/discover/Steve-Slow-Train-Analysis-(2080s-and-2083s)?_g=(refreshInterval:(display:Off,pause:!f,section:0,value:0),time:(from:'2017-11-10T21:49:18-0700',mode:absolute,to:'2017-11-11T00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6" s="204" t="str">
        <f>IF(AA146&lt;VLOOKUP(AG146,Variables!$AC$3:$AD$8,2,FALSE),"Y","N")</f>
        <v>N</v>
      </c>
      <c r="X146" s="204">
        <f t="shared" si="55"/>
        <v>1</v>
      </c>
      <c r="Y146" s="204">
        <f t="shared" si="65"/>
        <v>23.286999999999999</v>
      </c>
      <c r="Z146" s="204">
        <f t="shared" si="66"/>
        <v>2.1600000000000001E-2</v>
      </c>
      <c r="AA146" s="204">
        <f t="shared" si="67"/>
        <v>23.2654</v>
      </c>
      <c r="AB146" s="54" t="e">
        <f>VLOOKUP(A146,Enforcements!$C$7:$K$9,8,0)</f>
        <v>#N/A</v>
      </c>
      <c r="AC146" s="51" t="e">
        <f>VLOOKUP(A146,Enforcements!$C$7:$E$9,3,0)</f>
        <v>#N/A</v>
      </c>
      <c r="AD146" s="179">
        <f t="shared" si="68"/>
        <v>234</v>
      </c>
      <c r="AE146" s="77" t="str">
        <f t="shared" si="69"/>
        <v>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 &amp; 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</v>
      </c>
      <c r="AF146" s="74" t="str">
        <f t="shared" si="70"/>
        <v>"C:\Program Files (x86)\AstroGrep\AstroGrep.exe" /e /r /s /spath="%USERPROFILE%\AppData\Local\Temp\OnboardLogs" /stypes="app*4059*20171111*" /stext=" 06:.+((SYSTEM_STATE.+slice.+state.+changed )|(ment ac)|(multiple cpu faults)|(system.+state.+changed )|(\[timeout)|(PRM\|1\|D)|(kpr)|(kdp)|(train st.+moving)|(\|lc)|(penalty))"</v>
      </c>
      <c r="AG146" s="182" t="str">
        <f t="shared" si="71"/>
        <v>EC</v>
      </c>
      <c r="AH146" s="78" t="str">
        <f t="shared" si="56"/>
        <v>"%USERPROFILE%\Documents\GitHub\eaglep3\Utilities\RefineRTDCRunTimes.py" --tripid 234-10 --locoid 4059 --swversion DE.1.0.9.0 --startMP 204:232870 --initTime 2017-11-10T22:49:18 --startdatetime 2017-11-10T22:57:25 --delay 109 --endMP 204:216 --enddatetime 2017-11-10T23:36:18 --enforcementcount 1 &gt;&gt;%USERPROFILE%\Documents\GitHub\eaglep3-reporting\EC\2017-11-10-refined-times.txt</v>
      </c>
      <c r="AI146" s="96" t="str">
        <f t="shared" si="57"/>
        <v>echo {"issue":{"subject":"","project_id":79,"tracker_id":40,"status_id":1,"priority_id":2,"assigned_to_id":338,"start_date":"2017-11-10","description":"","custom_fields":[{"id":1,"name":"Subdivision","value":"EC"},{"id":4,"name":"Milepost","value":"0.0216"},{"id":17,"name":"Train ID","value":"234-10"},{"id":16,"name":"Locomotive ID","value":"4059"},{"id":130,"name":"Impact","value":""},{"id":150,"name":"Time of Event (Mountain Time)","value":"23:36:18"},{"id":151,"name":"Denver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58"/>
        <v>start /low /b %USERPROFILE%\Documents\GitHub\eaglep3\Utilities\DownloadLogsFromS3.py --loco 4059 --day 2017-11-10</v>
      </c>
      <c r="AN146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06:36:18"},{"id":29,"name":"Sharepoint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60"/>
        <v>https://d0f6bd738d7f1b3e5a7ca70fe4ff75f0.us-east-1.aws.found.io/app/kibana#/discover/Steve-Slow-Train-Analysis-(2080s-and-2083s)?_g=(refreshInterval:(display:Off,pause:!f,section:0,value:0),time:(from:'2017-11-10T21:49:18-0700',mode:absolute,to:'2017-11-11T00:36:18-0700'))&amp;_a=(columns:!('Message%20ID',Summary),filters:!(),index:'emp_*',interval:auto,query:(query_string:(analyze_wildcard:!t,query:'%22rtdc.l.rtdc.4059%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866</v>
      </c>
      <c r="B147" s="7">
        <v>4016</v>
      </c>
      <c r="C147" s="21" t="s">
        <v>192</v>
      </c>
      <c r="D147" s="21" t="s">
        <v>557</v>
      </c>
      <c r="E147" s="13">
        <v>43049.92050925926</v>
      </c>
      <c r="F147" s="13">
        <v>43049.937638888892</v>
      </c>
      <c r="G147" s="7">
        <v>62</v>
      </c>
      <c r="H147" s="21" t="s">
        <v>484</v>
      </c>
      <c r="I147" s="13">
        <v>43049.961446759262</v>
      </c>
      <c r="J147" s="7">
        <v>1</v>
      </c>
      <c r="K147" s="89" t="str">
        <f t="shared" si="61"/>
        <v>4015/4016</v>
      </c>
      <c r="L147" s="185" t="str">
        <f>VLOOKUP(A147,'Trips&amp;Operators'!$C$1:$G$99911,5,FALSE)</f>
        <v>ELBAUM MIKE</v>
      </c>
      <c r="M147" s="6">
        <f t="shared" si="62"/>
        <v>2.3807870369637385E-2</v>
      </c>
      <c r="N147" s="7">
        <f t="shared" si="51"/>
        <v>34.283333332277834</v>
      </c>
      <c r="O147" s="7"/>
      <c r="P147" s="7"/>
      <c r="Q147" s="22"/>
      <c r="R147" s="174"/>
      <c r="S147" s="221">
        <f t="shared" si="72"/>
        <v>1</v>
      </c>
      <c r="T147" s="174" t="str">
        <f t="shared" si="63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4"/>
        <v>https://d0f6bd738d7f1b3e5a7ca70fe4ff75f0.us-east-1.aws.found.io/app/kibana#/discover/Steve-Slow-Train-Analysis-(2080s-and-2083s)?_g=(refreshInterval:(display:Off,pause:!f,section:0,value:0),time:(from:'2017-11-10T21:05:32-0700',mode:absolute,to:'2017-11-11T00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7" s="204" t="str">
        <f>IF(AA147&lt;VLOOKUP(AG147,Variables!$AC$3:$AD$8,2,FALSE),"Y","N")</f>
        <v>N</v>
      </c>
      <c r="X147" s="204">
        <f t="shared" si="55"/>
        <v>1</v>
      </c>
      <c r="Y147" s="204">
        <f t="shared" si="65"/>
        <v>5.5899999999999998E-2</v>
      </c>
      <c r="Z147" s="204">
        <f t="shared" si="66"/>
        <v>23.325900000000001</v>
      </c>
      <c r="AA147" s="204">
        <f t="shared" si="67"/>
        <v>23.27</v>
      </c>
      <c r="AB147" s="54" t="e">
        <f>VLOOKUP(A147,Enforcements!$C$7:$K$9,8,0)</f>
        <v>#N/A</v>
      </c>
      <c r="AC147" s="51" t="e">
        <f>VLOOKUP(A147,Enforcements!$C$7:$E$9,3,0)</f>
        <v>#N/A</v>
      </c>
      <c r="AD147" s="179">
        <f t="shared" si="68"/>
        <v>235</v>
      </c>
      <c r="AE147" s="77" t="str">
        <f t="shared" si="69"/>
        <v>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 &amp; aws s3 cp s3://rtdc.mdm.uploadarchive.raw/RTDC4016/ "%USERPROFILE%\AppData\Local\Temp\OnboardLogs"\RTDC4016\2017-11-11 --exclude "*" --recursive --include "*20171111*" &amp; "%USERPROFILE%\Documents\GitHub\mrs-test-scripts\Headless Mode &amp; Sideloading\WalkAndUnGZ.bat" "%USERPROFILE%\AppData\Local\Temp\OnboardLogs"\RTDC4016\2017-11-11</v>
      </c>
      <c r="AF147" s="74" t="str">
        <f t="shared" si="70"/>
        <v>"C:\Program Files (x86)\AstroGrep\AstroGrep.exe" /e /r /s /spath="%USERPROFILE%\AppData\Local\Temp\OnboardLogs" /stypes="app*4016*20171111*" /stext=" 06:.+((SYSTEM_STATE.+slice.+state.+changed )|(ment ac)|(multiple cpu faults)|(system.+state.+changed )|(\[timeout)|(PRM\|1\|D)|(kpr)|(kdp)|(train st.+moving)|(\|lc)|(penalty))"</v>
      </c>
      <c r="AG147" s="182" t="str">
        <f t="shared" si="71"/>
        <v>EC</v>
      </c>
      <c r="AH147" s="78" t="str">
        <f t="shared" si="56"/>
        <v>"%USERPROFILE%\Documents\GitHub\eaglep3\Utilities\RefineRTDCRunTimes.py" --tripid 235-10 --locoid 4016 --swversion DE.1.0.9.0 --startMP 204:559 --initTime 2017-11-10T22:05:32 --startdatetime 2017-11-10T22:30:12 --delay 62 --endMP 204:233259 --enddatetime 2017-11-10T23:04:29 --enforcementcount 1 &gt;&gt;%USERPROFILE%\Documents\GitHub\eaglep3-reporting\EC\2017-11-10-refined-times.txt</v>
      </c>
      <c r="AI147" s="96" t="str">
        <f t="shared" si="57"/>
        <v>echo {"issue":{"subject":"","project_id":79,"tracker_id":40,"status_id":1,"priority_id":2,"assigned_to_id":338,"start_date":"2017-11-10","description":"","custom_fields":[{"id":1,"name":"Subdivision","value":"EC"},{"id":4,"name":"Milepost","value":"23.3259"},{"id":17,"name":"Train ID","value":"235-10"},{"id":16,"name":"Locomotive ID","value":"4016"},{"id":130,"name":"Impact","value":""},{"id":150,"name":"Time of Event (Mountain Time)","value":"23:04:29"},{"id":151,"name":"Denver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58"/>
        <v>start /low /b %USERPROFILE%\Documents\GitHub\eaglep3\Utilities\DownloadLogsFromS3.py --loco 4016 --day 2017-11-10</v>
      </c>
      <c r="AN147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06:04:29"},{"id":29,"name":"Sharepoint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60"/>
        <v>https://d0f6bd738d7f1b3e5a7ca70fe4ff75f0.us-east-1.aws.found.io/app/kibana#/discover/Steve-Slow-Train-Analysis-(2080s-and-2083s)?_g=(refreshInterval:(display:Off,pause:!f,section:0,value:0),time:(from:'2017-11-10T21:05:32-0700',mode:absolute,to:'2017-11-11T00:04:29-0700'))&amp;_a=(columns:!('Message%20ID',Summary),filters:!(),index:'emp_*',interval:auto,query:(query_string:(analyze_wildcard:!t,query:'%22rtdc.l.rtdc.4016%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655</v>
      </c>
      <c r="B148" s="7">
        <v>4015</v>
      </c>
      <c r="C148" s="21" t="s">
        <v>192</v>
      </c>
      <c r="D148" s="21" t="s">
        <v>621</v>
      </c>
      <c r="E148" s="13">
        <v>43049.965219907404</v>
      </c>
      <c r="F148" s="13">
        <v>43049.977268518516</v>
      </c>
      <c r="G148" s="7">
        <v>60</v>
      </c>
      <c r="H148" s="21" t="s">
        <v>993</v>
      </c>
      <c r="I148" s="13">
        <v>43049.980069444442</v>
      </c>
      <c r="J148" s="7">
        <v>1</v>
      </c>
      <c r="K148" s="89" t="str">
        <f t="shared" si="61"/>
        <v>4015/4016</v>
      </c>
      <c r="L148" s="185" t="str">
        <f>VLOOKUP(A148,'Trips&amp;Operators'!$C$1:$G$99911,5,FALSE)</f>
        <v>ELBAUM MIKE</v>
      </c>
      <c r="M148" s="6">
        <f t="shared" si="62"/>
        <v>2.8009259258396924E-3</v>
      </c>
      <c r="N148" s="7"/>
      <c r="O148" s="7"/>
      <c r="P148" s="7">
        <f>24*60*SUM($M148:$M148)</f>
        <v>4.033333333209157</v>
      </c>
      <c r="Q148" s="22"/>
      <c r="R148" s="174" t="s">
        <v>1108</v>
      </c>
      <c r="S148" s="221">
        <f t="shared" si="72"/>
        <v>0</v>
      </c>
      <c r="T148" s="174" t="str">
        <f t="shared" si="63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216" t="str">
        <f t="shared" si="64"/>
        <v>https://d0f6bd738d7f1b3e5a7ca70fe4ff75f0.us-east-1.aws.found.io/app/kibana#/discover/Steve-Slow-Train-Analysis-(2080s-and-2083s)?_g=(refreshInterval:(display:Off,pause:!f,section:0,value:0),time:(from:'2017-11-10T22:09:55-0700',mode:absolute,to:'2017-11-11T00:31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8" s="204" t="str">
        <f>IF(AA148&lt;VLOOKUP(AG148,Variables!$AC$3:$AD$8,2,FALSE),"Y","N")</f>
        <v>Y</v>
      </c>
      <c r="X148" s="204">
        <f t="shared" si="55"/>
        <v>1</v>
      </c>
      <c r="Y148" s="204">
        <f t="shared" si="65"/>
        <v>23.2942</v>
      </c>
      <c r="Z148" s="204">
        <f t="shared" si="66"/>
        <v>20.513999999999999</v>
      </c>
      <c r="AA148" s="204">
        <f t="shared" si="67"/>
        <v>2.7802000000000007</v>
      </c>
      <c r="AB148" s="54" t="e">
        <f>VLOOKUP(A148,Enforcements!$C$7:$K$9,8,0)</f>
        <v>#N/A</v>
      </c>
      <c r="AC148" s="51" t="e">
        <f>VLOOKUP(A148,Enforcements!$C$7:$E$9,3,0)</f>
        <v>#N/A</v>
      </c>
      <c r="AD148" s="179">
        <f t="shared" si="68"/>
        <v>236</v>
      </c>
      <c r="AE148" s="77" t="str">
        <f t="shared" si="69"/>
        <v>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 &amp; 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</v>
      </c>
      <c r="AF148" s="74" t="str">
        <f t="shared" si="70"/>
        <v>"C:\Program Files (x86)\AstroGrep\AstroGrep.exe" /e /r /s /spath="%USERPROFILE%\AppData\Local\Temp\OnboardLogs" /stypes="app*4015*20171111*" /stext=" 06:.+((SYSTEM_STATE.+slice.+state.+changed )|(ment ac)|(multiple cpu faults)|(system.+state.+changed )|(\[timeout)|(PRM\|1\|D)|(kpr)|(kdp)|(train st.+moving)|(\|lc)|(penalty))"</v>
      </c>
      <c r="AG148" s="182" t="str">
        <f t="shared" si="71"/>
        <v>EC</v>
      </c>
      <c r="AH148" s="78" t="str">
        <f t="shared" si="56"/>
        <v>"%USERPROFILE%\Documents\GitHub\eaglep3\Utilities\RefineRTDCRunTimes.py" --tripid 236-10 --locoid 4015 --swversion DE.1.0.9.0 --startMP 204:232942 --initTime 2017-11-10T23:09:55 --startdatetime 2017-11-10T23:27:16 --delay 60 --endMP 204:205140 --enddatetime 2017-11-10T23:31:18 --enforcementcount 1 &gt;&gt;%USERPROFILE%\Documents\GitHub\eaglep3-reporting\EC\2017-11-10-refined-times.txt</v>
      </c>
      <c r="AI148" s="96" t="str">
        <f t="shared" si="57"/>
        <v>echo {"issue":{"subject":"Onboard en route failure","project_id":79,"tracker_id":40,"status_id":1,"priority_id":2,"assigned_to_id":338,"start_date":"2017-11-10","description":"","custom_fields":[{"id":1,"name":"Subdivision","value":"EC"},{"id":4,"name":"Milepost","value":"20.514"},{"id":17,"name":"Train ID","value":"236-10"},{"id":16,"name":"Locomotive ID","value":"4015"},{"id":130,"name":"Impact","value":""},{"id":150,"name":"Time of Event (Mountain Time)","value":"23:31:18"},{"id":151,"name":"Denver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58"/>
        <v>start /low /b %USERPROFILE%\Documents\GitHub\eaglep3\Utilities\DownloadLogsFromS3.py --loco 4015 --day 2017-11-10</v>
      </c>
      <c r="AN148" s="151" t="str">
        <f t="shared" si="59"/>
        <v>echo {"issue":{"subject":"Onboard en route failure","project_id":30,"tracker_id":4,"status_id":1,"priority_id":1,"assigned_to_id":10,"start_date":"2017-11-11","description":"","custom_fields":[{"id":30,"name":"Category","value":"Issue"},{"id":3,"name":"Functional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06:31:18"},{"id":29,"name":"Sharepoint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60"/>
        <v>https://d0f6bd738d7f1b3e5a7ca70fe4ff75f0.us-east-1.aws.found.io/app/kibana#/discover/Steve-Slow-Train-Analysis-(2080s-and-2083s)?_g=(refreshInterval:(display:Off,pause:!f,section:0,value:0),time:(from:'2017-11-10T22:09:55-0700',mode:absolute,to:'2017-11-11T00:31:18-0700'))&amp;_a=(columns:!('Message%20ID',Summary),filters:!(),index:'emp_*',interval:auto,query:(query_string:(analyze_wildcard:!t,query:'%22rtdc.l.rtdc.4015%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870</v>
      </c>
      <c r="B149" s="7">
        <v>4050</v>
      </c>
      <c r="C149" s="21" t="s">
        <v>192</v>
      </c>
      <c r="D149" s="21" t="s">
        <v>494</v>
      </c>
      <c r="E149" s="13">
        <v>43049.954270833332</v>
      </c>
      <c r="F149" s="13">
        <v>43049.958506944444</v>
      </c>
      <c r="G149" s="7">
        <v>76</v>
      </c>
      <c r="H149" s="21" t="s">
        <v>612</v>
      </c>
      <c r="I149" s="13">
        <v>43049.982685185183</v>
      </c>
      <c r="J149" s="7">
        <v>1</v>
      </c>
      <c r="K149" s="89" t="str">
        <f t="shared" si="61"/>
        <v>4049/4050</v>
      </c>
      <c r="L149" s="185" t="str">
        <f>VLOOKUP(A149,'Trips&amp;Operators'!$C$1:$G$99911,5,FALSE)</f>
        <v>AUSTIN THOMPSON</v>
      </c>
      <c r="M149" s="6">
        <f t="shared" si="62"/>
        <v>2.417824073927477E-2</v>
      </c>
      <c r="N149" s="7">
        <f t="shared" ref="N149:N157" si="73">24*60*SUM($M149:$M149)</f>
        <v>34.816666664555669</v>
      </c>
      <c r="O149" s="7"/>
      <c r="P149" s="7"/>
      <c r="Q149" s="22"/>
      <c r="R149" s="174"/>
      <c r="S149" s="221">
        <f t="shared" si="72"/>
        <v>1</v>
      </c>
      <c r="T149" s="174" t="str">
        <f t="shared" si="63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4"/>
        <v>https://d0f6bd738d7f1b3e5a7ca70fe4ff75f0.us-east-1.aws.found.io/app/kibana#/discover/Steve-Slow-Train-Analysis-(2080s-and-2083s)?_g=(refreshInterval:(display:Off,pause:!f,section:0,value:0),time:(from:'2017-11-10T21:54:09-0700',mode:absolute,to:'2017-11-11T00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9" s="204" t="str">
        <f>IF(AA149&lt;VLOOKUP(AG149,Variables!$AC$3:$AD$8,2,FALSE),"Y","N")</f>
        <v>N</v>
      </c>
      <c r="X149" s="204">
        <f t="shared" si="55"/>
        <v>1</v>
      </c>
      <c r="Y149" s="204">
        <f t="shared" si="65"/>
        <v>5.7000000000000002E-2</v>
      </c>
      <c r="Z149" s="204">
        <f t="shared" si="66"/>
        <v>23.324200000000001</v>
      </c>
      <c r="AA149" s="204">
        <f t="shared" si="67"/>
        <v>23.267200000000003</v>
      </c>
      <c r="AB149" s="54" t="e">
        <f>VLOOKUP(A149,Enforcements!$C$7:$K$9,8,0)</f>
        <v>#N/A</v>
      </c>
      <c r="AC149" s="51" t="e">
        <f>VLOOKUP(A149,Enforcements!$C$7:$E$9,3,0)</f>
        <v>#N/A</v>
      </c>
      <c r="AD149" s="179">
        <f t="shared" si="68"/>
        <v>237</v>
      </c>
      <c r="AE149" s="77" t="str">
        <f t="shared" si="69"/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AF149" s="74" t="str">
        <f t="shared" si="70"/>
        <v>"C:\Program Files (x86)\AstroGrep\AstroGrep.exe" /e /r /s /spath="%USERPROFILE%\AppData\Local\Temp\OnboardLogs" /stypes="app*4050*20171111*" /stext=" 06:.+((SYSTEM_STATE.+slice.+state.+changed )|(ment ac)|(multiple cpu faults)|(system.+state.+changed )|(\[timeout)|(PRM\|1\|D)|(kpr)|(kdp)|(train st.+moving)|(\|lc)|(penalty))"</v>
      </c>
      <c r="AG149" s="182" t="str">
        <f t="shared" si="71"/>
        <v>EC</v>
      </c>
      <c r="AH149" s="78" t="str">
        <f t="shared" si="56"/>
        <v>"%USERPROFILE%\Documents\GitHub\eaglep3\Utilities\RefineRTDCRunTimes.py" --tripid 237-10 --locoid 4050 --swversion DE.1.0.9.0 --startMP 204:570 --initTime 2017-11-10T22:54:09 --startdatetime 2017-11-10T23:00:15 --delay 76 --endMP 204:233242 --enddatetime 2017-11-10T23:35:04 --enforcementcount 1 &gt;&gt;%USERPROFILE%\Documents\GitHub\eaglep3-reporting\EC\2017-11-10-refined-times.txt</v>
      </c>
      <c r="AI149" s="96" t="str">
        <f t="shared" si="57"/>
        <v>echo {"issue":{"subject":"","project_id":79,"tracker_id":40,"status_id":1,"priority_id":2,"assigned_to_id":338,"start_date":"2017-11-10","description":"","custom_fields":[{"id":1,"name":"Subdivision","value":"EC"},{"id":4,"name":"Milepost","value":"23.3242"},{"id":17,"name":"Train ID","value":"237-10"},{"id":16,"name":"Locomotive ID","value":"4050"},{"id":130,"name":"Impact","value":""},{"id":150,"name":"Time of Event (Mountain Time)","value":"23:35:04"},{"id":151,"name":"Denver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58"/>
        <v>start /low /b %USERPROFILE%\Documents\GitHub\eaglep3\Utilities\DownloadLogsFromS3.py --loco 4050 --day 2017-11-10</v>
      </c>
      <c r="AN149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06:35:04"},{"id":29,"name":"Sharepoint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60"/>
        <v>https://d0f6bd738d7f1b3e5a7ca70fe4ff75f0.us-east-1.aws.found.io/app/kibana#/discover/Steve-Slow-Train-Analysis-(2080s-and-2083s)?_g=(refreshInterval:(display:Off,pause:!f,section:0,value:0),time:(from:'2017-11-10T21:54:09-0700',mode:absolute,to:'2017-11-11T00:35:04-0700'))&amp;_a=(columns:!('Message%20ID',Summary),filters:!(),index:'emp_*',interval:auto,query:(query_string:(analyze_wildcard:!t,query:'%22rtdc.l.rtdc.4050%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875</v>
      </c>
      <c r="B150" s="7">
        <v>4049</v>
      </c>
      <c r="C150" s="21" t="s">
        <v>192</v>
      </c>
      <c r="D150" s="21" t="s">
        <v>560</v>
      </c>
      <c r="E150" s="13">
        <v>43049.993784722225</v>
      </c>
      <c r="F150" s="13">
        <v>43049.998148148145</v>
      </c>
      <c r="G150" s="7">
        <v>67</v>
      </c>
      <c r="H150" s="21" t="s">
        <v>551</v>
      </c>
      <c r="I150" s="13">
        <v>43050.024074074077</v>
      </c>
      <c r="J150" s="7">
        <v>1</v>
      </c>
      <c r="K150" s="89" t="str">
        <f t="shared" si="61"/>
        <v>4049/4050</v>
      </c>
      <c r="L150" s="185" t="str">
        <f>VLOOKUP(A150,'Trips&amp;Operators'!$C$1:$G$99911,5,FALSE)</f>
        <v>AUSTIN THOMPSON</v>
      </c>
      <c r="M150" s="6">
        <f t="shared" si="62"/>
        <v>2.5925925932824612E-2</v>
      </c>
      <c r="N150" s="7">
        <f t="shared" si="73"/>
        <v>37.333333343267441</v>
      </c>
      <c r="O150" s="7"/>
      <c r="P150" s="7"/>
      <c r="Q150" s="22"/>
      <c r="R150" s="174"/>
      <c r="S150" s="221">
        <f t="shared" si="72"/>
        <v>1</v>
      </c>
      <c r="T150" s="174" t="str">
        <f t="shared" si="63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4"/>
        <v>https://d0f6bd738d7f1b3e5a7ca70fe4ff75f0.us-east-1.aws.found.io/app/kibana#/discover/Steve-Slow-Train-Analysis-(2080s-and-2083s)?_g=(refreshInterval:(display:Off,pause:!f,section:0,value:0),time:(from:'2017-11-10T22:51:03-0700',mode:absolute,to:'2017-11-11T01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0" s="204" t="str">
        <f>IF(AA150&lt;VLOOKUP(AG150,Variables!$AC$3:$AD$8,2,FALSE),"Y","N")</f>
        <v>N</v>
      </c>
      <c r="X150" s="204">
        <f t="shared" si="55"/>
        <v>1</v>
      </c>
      <c r="Y150" s="204">
        <f t="shared" si="65"/>
        <v>23.291699999999999</v>
      </c>
      <c r="Z150" s="204">
        <f t="shared" si="66"/>
        <v>2.1999999999999999E-2</v>
      </c>
      <c r="AA150" s="204">
        <f t="shared" si="67"/>
        <v>23.2697</v>
      </c>
      <c r="AB150" s="54" t="e">
        <f>VLOOKUP(A150,Enforcements!$C$7:$K$9,8,0)</f>
        <v>#N/A</v>
      </c>
      <c r="AC150" s="51" t="e">
        <f>VLOOKUP(A150,Enforcements!$C$7:$E$9,3,0)</f>
        <v>#N/A</v>
      </c>
      <c r="AD150" s="179">
        <f t="shared" si="68"/>
        <v>238</v>
      </c>
      <c r="AE150" s="77" t="str">
        <f t="shared" si="69"/>
        <v>aws s3 cp s3://rtdc.mdm.uploadarchive.raw/RTDC4049/ "%USERPROFILE%\AppData\Local\Temp\OnboardLogs"\RTDC4049\2017-11-10 --exclude "*" --recursive --include "*20171110*" &amp; "%USERPROFILE%\Documents\GitHub\mrs-test-scripts\Headless Mode &amp; Sideloading\WalkAndUnGZ.bat" "%USERPROFILE%\AppData\Local\Temp\OnboardLogs"\RTDC4049\2017-11-10 &amp; aws s3 cp s3://rtdc.mdm.uploadarchive.raw/RTDC4049/ "%USERPROFILE%\AppData\Local\Temp\OnboardLogs"\RTDC4049\2017-11-11 --exclude "*" --recursive --include "*20171111*" &amp; "%USERPROFILE%\Documents\GitHub\mrs-test-scripts\Headless Mode &amp; Sideloading\WalkAndUnGZ.bat" "%USERPROFILE%\AppData\Local\Temp\OnboardLogs"\RTDC4049\2017-11-11</v>
      </c>
      <c r="AF150" s="74" t="str">
        <f t="shared" si="70"/>
        <v>"C:\Program Files (x86)\AstroGrep\AstroGrep.exe" /e /r /s /spath="%USERPROFILE%\AppData\Local\Temp\OnboardLogs" /stypes="app*4049*20171111*" /stext=" 07:.+((SYSTEM_STATE.+slice.+state.+changed )|(ment ac)|(multiple cpu faults)|(system.+state.+changed )|(\[timeout)|(PRM\|1\|D)|(kpr)|(kdp)|(train st.+moving)|(\|lc)|(penalty))"</v>
      </c>
      <c r="AG150" s="182" t="str">
        <f t="shared" si="71"/>
        <v>EC</v>
      </c>
      <c r="AH150" s="78" t="str">
        <f t="shared" si="56"/>
        <v>"%USERPROFILE%\Documents\GitHub\eaglep3\Utilities\RefineRTDCRunTimes.py" --tripid 238-10 --locoid 4049 --swversion DE.1.0.9.0 --startMP 204:232917 --initTime 2017-11-10T23:51:03 --startdatetime 2017-11-10T23:57:20 --delay 67 --endMP 204:220 --enddatetime 2017-11-11T00:34:40 --enforcementcount 1 &gt;&gt;%USERPROFILE%\Documents\GitHub\eaglep3-reporting\EC\2017-11-10-refined-times.txt</v>
      </c>
      <c r="AI150" s="96" t="str">
        <f t="shared" si="57"/>
        <v>echo {"issue":{"subject":"","project_id":79,"tracker_id":40,"status_id":1,"priority_id":2,"assigned_to_id":338,"start_date":"2017-11-11","description":"","custom_fields":[{"id":1,"name":"Subdivision","value":"EC"},{"id":4,"name":"Milepost","value":"0.022"},{"id":17,"name":"Train ID","value":"238-10"},{"id":16,"name":"Locomotive ID","value":"4049"},{"id":130,"name":"Impact","value":""},{"id":150,"name":"Time of Event (Mountain Time)","value":"00:34:40"},{"id":151,"name":"Denver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58"/>
        <v>start /low /b %USERPROFILE%\Documents\GitHub\eaglep3\Utilities\DownloadLogsFromS3.py --loco 4049 --day 2017-11-10</v>
      </c>
      <c r="AN150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07:34:40"},{"id":29,"name":"Sharepoint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60"/>
        <v>https://d0f6bd738d7f1b3e5a7ca70fe4ff75f0.us-east-1.aws.found.io/app/kibana#/discover/Steve-Slow-Train-Analysis-(2080s-and-2083s)?_g=(refreshInterval:(display:Off,pause:!f,section:0,value:0),time:(from:'2017-11-10T22:51:03-0700',mode:absolute,to:'2017-11-11T01:34:40-0700'))&amp;_a=(columns:!('Message%20ID',Summary),filters:!(),index:'emp_*',interval:auto,query:(query_string:(analyze_wildcard:!t,query:'%22rtdc.l.rtdc.4049%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872</v>
      </c>
      <c r="B151" s="7">
        <v>4052</v>
      </c>
      <c r="C151" s="21" t="s">
        <v>192</v>
      </c>
      <c r="D151" s="21" t="s">
        <v>450</v>
      </c>
      <c r="E151" s="13">
        <v>43049.966481481482</v>
      </c>
      <c r="F151" s="13">
        <v>43049.979317129626</v>
      </c>
      <c r="G151" s="7">
        <v>67</v>
      </c>
      <c r="H151" s="21" t="s">
        <v>550</v>
      </c>
      <c r="I151" s="13">
        <v>43050.003032407411</v>
      </c>
      <c r="J151" s="7">
        <v>1</v>
      </c>
      <c r="K151" s="89" t="str">
        <f t="shared" si="61"/>
        <v>4051/4052</v>
      </c>
      <c r="L151" s="185" t="str">
        <f>VLOOKUP(A151,'Trips&amp;Operators'!$C$1:$G$99911,5,FALSE)</f>
        <v>MCREYNOLDS KYLE</v>
      </c>
      <c r="M151" s="6">
        <f t="shared" si="62"/>
        <v>2.3715277784503996E-2</v>
      </c>
      <c r="N151" s="7">
        <f t="shared" si="73"/>
        <v>34.150000009685755</v>
      </c>
      <c r="O151" s="7"/>
      <c r="P151" s="7"/>
      <c r="Q151" s="22"/>
      <c r="R151" s="174"/>
      <c r="S151" s="221">
        <f t="shared" si="72"/>
        <v>1</v>
      </c>
      <c r="T151" s="174" t="str">
        <f t="shared" si="63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4"/>
        <v>https://d0f6bd738d7f1b3e5a7ca70fe4ff75f0.us-east-1.aws.found.io/app/kibana#/discover/Steve-Slow-Train-Analysis-(2080s-and-2083s)?_g=(refreshInterval:(display:Off,pause:!f,section:0,value:0),time:(from:'2017-11-10T22:11:44-0700',mode:absolute,to:'2017-11-11T01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1" s="204" t="str">
        <f>IF(AA151&lt;VLOOKUP(AG151,Variables!$AC$3:$AD$8,2,FALSE),"Y","N")</f>
        <v>N</v>
      </c>
      <c r="X151" s="204">
        <f t="shared" si="55"/>
        <v>1</v>
      </c>
      <c r="Y151" s="204">
        <f t="shared" si="65"/>
        <v>5.0799999999999998E-2</v>
      </c>
      <c r="Z151" s="204">
        <f t="shared" si="66"/>
        <v>23.319900000000001</v>
      </c>
      <c r="AA151" s="204">
        <f t="shared" si="67"/>
        <v>23.269100000000002</v>
      </c>
      <c r="AB151" s="54" t="e">
        <f>VLOOKUP(A151,Enforcements!$C$7:$K$9,8,0)</f>
        <v>#N/A</v>
      </c>
      <c r="AC151" s="51" t="e">
        <f>VLOOKUP(A151,Enforcements!$C$7:$E$9,3,0)</f>
        <v>#N/A</v>
      </c>
      <c r="AD151" s="179">
        <f t="shared" si="68"/>
        <v>239</v>
      </c>
      <c r="AE151" s="77" t="str">
        <f t="shared" si="69"/>
        <v>aws s3 cp s3://rtdc.mdm.uploadarchive.raw/RTDC4052/ "%USERPROFILE%\AppData\Local\Temp\OnboardLogs"\RTDC4052\2017-11-10 --exclude "*" --recursive --include "*20171110*" &amp; "%USERPROFILE%\Documents\GitHub\mrs-test-scripts\Headless Mode &amp; Sideloading\WalkAndUnGZ.bat" "%USERPROFILE%\AppData\Local\Temp\OnboardLogs"\RTDC4052\2017-11-10 &amp; aws s3 cp s3://rtdc.mdm.uploadarchive.raw/RTDC4052/ "%USERPROFILE%\AppData\Local\Temp\OnboardLogs"\RTDC4052\2017-11-11 --exclude "*" --recursive --include "*20171111*" &amp; "%USERPROFILE%\Documents\GitHub\mrs-test-scripts\Headless Mode &amp; Sideloading\WalkAndUnGZ.bat" "%USERPROFILE%\AppData\Local\Temp\OnboardLogs"\RTDC4052\2017-11-11</v>
      </c>
      <c r="AF151" s="74" t="str">
        <f t="shared" si="70"/>
        <v>"C:\Program Files (x86)\AstroGrep\AstroGrep.exe" /e /r /s /spath="%USERPROFILE%\AppData\Local\Temp\OnboardLogs" /stypes="app*4052*20171111*" /stext=" 07:.+((SYSTEM_STATE.+slice.+state.+changed )|(ment ac)|(multiple cpu faults)|(system.+state.+changed )|(\[timeout)|(PRM\|1\|D)|(kpr)|(kdp)|(train st.+moving)|(\|lc)|(penalty))"</v>
      </c>
      <c r="AG151" s="182" t="str">
        <f t="shared" si="71"/>
        <v>EC</v>
      </c>
      <c r="AH151" s="78" t="str">
        <f t="shared" si="56"/>
        <v>"%USERPROFILE%\Documents\GitHub\eaglep3\Utilities\RefineRTDCRunTimes.py" --tripid 239-10 --locoid 4052 --swversion DE.1.0.9.0 --startMP 204:508 --initTime 2017-11-10T23:11:44 --startdatetime 2017-11-10T23:30:13 --delay 67 --endMP 204:233199 --enddatetime 2017-11-11T00:04:22 --enforcementcount 1 &gt;&gt;%USERPROFILE%\Documents\GitHub\eaglep3-reporting\EC\2017-11-10-refined-times.txt</v>
      </c>
      <c r="AI151" s="96" t="str">
        <f t="shared" si="57"/>
        <v>echo {"issue":{"subject":"","project_id":79,"tracker_id":40,"status_id":1,"priority_id":2,"assigned_to_id":338,"start_date":"2017-11-11","description":"","custom_fields":[{"id":1,"name":"Subdivision","value":"EC"},{"id":4,"name":"Milepost","value":"23.3199"},{"id":17,"name":"Train ID","value":"239-10"},{"id":16,"name":"Locomotive ID","value":"4052"},{"id":130,"name":"Impact","value":""},{"id":150,"name":"Time of Event (Mountain Time)","value":"00:04:22"},{"id":151,"name":"Denver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58"/>
        <v>start /low /b %USERPROFILE%\Documents\GitHub\eaglep3\Utilities\DownloadLogsFromS3.py --loco 4052 --day 2017-11-10</v>
      </c>
      <c r="AN151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07:04:22"},{"id":29,"name":"Sharepoint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60"/>
        <v>https://d0f6bd738d7f1b3e5a7ca70fe4ff75f0.us-east-1.aws.found.io/app/kibana#/discover/Steve-Slow-Train-Analysis-(2080s-and-2083s)?_g=(refreshInterval:(display:Off,pause:!f,section:0,value:0),time:(from:'2017-11-10T22:11:44-0700',mode:absolute,to:'2017-11-11T01:04:22-0700'))&amp;_a=(columns:!('Message%20ID',Summary),filters:!(),index:'emp_*',interval:auto,query:(query_string:(analyze_wildcard:!t,query:'%22rtdc.l.rtdc.4052%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876</v>
      </c>
      <c r="B152" s="7">
        <v>4051</v>
      </c>
      <c r="C152" s="21" t="s">
        <v>192</v>
      </c>
      <c r="D152" s="21" t="s">
        <v>976</v>
      </c>
      <c r="E152" s="13">
        <v>43050.009004629632</v>
      </c>
      <c r="F152" s="13">
        <v>43050.018912037034</v>
      </c>
      <c r="G152" s="7">
        <v>97</v>
      </c>
      <c r="H152" s="21" t="s">
        <v>994</v>
      </c>
      <c r="I152" s="13">
        <v>43050.044374999998</v>
      </c>
      <c r="J152" s="7">
        <v>1</v>
      </c>
      <c r="K152" s="89" t="str">
        <f t="shared" si="61"/>
        <v>4051/4052</v>
      </c>
      <c r="L152" s="185" t="str">
        <f>VLOOKUP(A152,'Trips&amp;Operators'!$C$1:$G$99911,5,FALSE)</f>
        <v>MCREYNOLDS KYLE</v>
      </c>
      <c r="M152" s="6">
        <f t="shared" si="62"/>
        <v>2.5462962963501923E-2</v>
      </c>
      <c r="N152" s="7">
        <f t="shared" si="73"/>
        <v>36.666666667442769</v>
      </c>
      <c r="O152" s="7"/>
      <c r="P152" s="7"/>
      <c r="Q152" s="22"/>
      <c r="R152" s="174"/>
      <c r="S152" s="221">
        <f t="shared" si="72"/>
        <v>1</v>
      </c>
      <c r="T152" s="174" t="str">
        <f t="shared" si="63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64"/>
        <v>https://d0f6bd738d7f1b3e5a7ca70fe4ff75f0.us-east-1.aws.found.io/app/kibana#/discover/Steve-Slow-Train-Analysis-(2080s-and-2083s)?_g=(refreshInterval:(display:Off,pause:!f,section:0,value:0),time:(from:'2017-11-10T23:12:58-0700',mode:absolute,to:'2017-11-11T02:03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2" s="204" t="str">
        <f>IF(AA152&lt;VLOOKUP(AG152,Variables!$AC$3:$AD$8,2,FALSE),"Y","N")</f>
        <v>N</v>
      </c>
      <c r="X152" s="204">
        <f t="shared" si="55"/>
        <v>1</v>
      </c>
      <c r="Y152" s="204">
        <f t="shared" si="65"/>
        <v>23.2867</v>
      </c>
      <c r="Z152" s="204">
        <f t="shared" si="66"/>
        <v>2.7400000000000001E-2</v>
      </c>
      <c r="AA152" s="204">
        <f t="shared" si="67"/>
        <v>23.2593</v>
      </c>
      <c r="AB152" s="54" t="e">
        <f>VLOOKUP(A152,Enforcements!$C$7:$K$9,8,0)</f>
        <v>#N/A</v>
      </c>
      <c r="AC152" s="51" t="e">
        <f>VLOOKUP(A152,Enforcements!$C$7:$E$9,3,0)</f>
        <v>#N/A</v>
      </c>
      <c r="AD152" s="179">
        <f t="shared" si="68"/>
        <v>240</v>
      </c>
      <c r="AE152" s="77" t="str">
        <f t="shared" si="69"/>
        <v>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 &amp; aws s3 cp s3://rtdc.mdm.uploadarchive.raw/RTDC4051/ "%USERPROFILE%\AppData\Local\Temp\OnboardLogs"\RTDC4051\2017-11-12 --exclude "*" --recursive --include "*20171112*" &amp; "%USERPROFILE%\Documents\GitHub\mrs-test-scripts\Headless Mode &amp; Sideloading\WalkAndUnGZ.bat" "%USERPROFILE%\AppData\Local\Temp\OnboardLogs"\RTDC4051\2017-11-12</v>
      </c>
      <c r="AF152" s="74" t="str">
        <f t="shared" si="70"/>
        <v>"C:\Program Files (x86)\AstroGrep\AstroGrep.exe" /e /r /s /spath="%USERPROFILE%\AppData\Local\Temp\OnboardLogs" /stypes="app*4051*20171111*" /stext=" 08:.+((SYSTEM_STATE.+slice.+state.+changed )|(ment ac)|(multiple cpu faults)|(system.+state.+changed )|(\[timeout)|(PRM\|1\|D)|(kpr)|(kdp)|(train st.+moving)|(\|lc)|(penalty))"</v>
      </c>
      <c r="AG152" s="182" t="str">
        <f t="shared" si="71"/>
        <v>EC</v>
      </c>
      <c r="AH152" s="78" t="str">
        <f t="shared" si="56"/>
        <v>"%USERPROFILE%\Documents\GitHub\eaglep3\Utilities\RefineRTDCRunTimes.py" --tripid 240-10 --locoid 4051 --swversion DE.1.0.9.0 --startMP 204:232867 --initTime 2017-11-11T00:12:58 --startdatetime 2017-11-11T00:27:14 --delay 97 --endMP 204:274 --enddatetime 2017-11-11T01:03:54 --enforcementcount 1 &gt;&gt;%USERPROFILE%\Documents\GitHub\eaglep3-reporting\EC\2017-11-10-refined-times.txt</v>
      </c>
      <c r="AI152" s="96" t="str">
        <f t="shared" si="57"/>
        <v>echo {"issue":{"subject":"","project_id":79,"tracker_id":40,"status_id":1,"priority_id":2,"assigned_to_id":338,"start_date":"2017-11-11","description":"","custom_fields":[{"id":1,"name":"Subdivision","value":"EC"},{"id":4,"name":"Milepost","value":"0.0274"},{"id":17,"name":"Train ID","value":"240-10"},{"id":16,"name":"Locomotive ID","value":"4051"},{"id":130,"name":"Impact","value":""},{"id":150,"name":"Time of Event (Mountain Time)","value":"01:03:54"},{"id":151,"name":"Denver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58"/>
        <v>start /low /b %USERPROFILE%\Documents\GitHub\eaglep3\Utilities\DownloadLogsFromS3.py --loco 4051 --day 2017-11-11</v>
      </c>
      <c r="AN152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08:03:54"},{"id":29,"name":"Sharepoint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60"/>
        <v>https://d0f6bd738d7f1b3e5a7ca70fe4ff75f0.us-east-1.aws.found.io/app/kibana#/discover/Steve-Slow-Train-Analysis-(2080s-and-2083s)?_g=(refreshInterval:(display:Off,pause:!f,section:0,value:0),time:(from:'2017-11-10T23:12:58-0700',mode:absolute,to:'2017-11-11T02:03:54-0700'))&amp;_a=(columns:!('Message%20ID',Summary),filters:!(),index:'emp_*',interval:auto,query:(query_string:(analyze_wildcard:!t,query:'%22rtdc.l.rtdc.4051%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874</v>
      </c>
      <c r="B153" s="7">
        <v>4060</v>
      </c>
      <c r="C153" s="21" t="s">
        <v>192</v>
      </c>
      <c r="D153" s="21" t="s">
        <v>473</v>
      </c>
      <c r="E153" s="13">
        <v>43049.988807870373</v>
      </c>
      <c r="F153" s="13">
        <v>43050.000208333331</v>
      </c>
      <c r="G153" s="7">
        <v>76</v>
      </c>
      <c r="H153" s="21" t="s">
        <v>995</v>
      </c>
      <c r="I153" s="13">
        <v>43050.025266203702</v>
      </c>
      <c r="J153" s="7">
        <v>1</v>
      </c>
      <c r="K153" s="89" t="str">
        <f t="shared" si="61"/>
        <v>4059/4060</v>
      </c>
      <c r="L153" s="185" t="str">
        <f>VLOOKUP(A153,'Trips&amp;Operators'!$C$1:$G$99911,5,FALSE)</f>
        <v>NICHOLSON WESLEY</v>
      </c>
      <c r="M153" s="6">
        <f t="shared" si="62"/>
        <v>2.5057870370801538E-2</v>
      </c>
      <c r="N153" s="7">
        <f t="shared" si="73"/>
        <v>36.083333333954215</v>
      </c>
      <c r="O153" s="7"/>
      <c r="P153" s="7"/>
      <c r="Q153" s="22"/>
      <c r="R153" s="174"/>
      <c r="S153" s="221">
        <f t="shared" si="72"/>
        <v>1</v>
      </c>
      <c r="T153" s="174" t="str">
        <f t="shared" si="63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4"/>
        <v>https://d0f6bd738d7f1b3e5a7ca70fe4ff75f0.us-east-1.aws.found.io/app/kibana#/discover/Steve-Slow-Train-Analysis-(2080s-and-2083s)?_g=(refreshInterval:(display:Off,pause:!f,section:0,value:0),time:(from:'2017-11-10T22:43:53-0700',mode:absolute,to:'2017-11-11T01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3" s="204" t="str">
        <f>IF(AA153&lt;VLOOKUP(AG153,Variables!$AC$3:$AD$8,2,FALSE),"Y","N")</f>
        <v>N</v>
      </c>
      <c r="X153" s="204">
        <f t="shared" si="55"/>
        <v>1</v>
      </c>
      <c r="Y153" s="204">
        <f t="shared" si="65"/>
        <v>5.4199999999999998E-2</v>
      </c>
      <c r="Z153" s="204">
        <f t="shared" si="66"/>
        <v>23.319299999999998</v>
      </c>
      <c r="AA153" s="204">
        <f t="shared" si="67"/>
        <v>23.265099999999997</v>
      </c>
      <c r="AB153" s="54" t="e">
        <f>VLOOKUP(A153,Enforcements!$C$7:$K$9,8,0)</f>
        <v>#N/A</v>
      </c>
      <c r="AC153" s="51" t="e">
        <f>VLOOKUP(A153,Enforcements!$C$7:$E$9,3,0)</f>
        <v>#N/A</v>
      </c>
      <c r="AD153" s="179">
        <f t="shared" si="68"/>
        <v>241</v>
      </c>
      <c r="AE153" s="77" t="str">
        <f t="shared" si="69"/>
        <v>aws s3 cp s3://rtdc.mdm.uploadarchive.raw/RTDC4060/ "%USERPROFILE%\AppData\Local\Temp\OnboardLogs"\RTDC4060\2017-11-11 --exclude "*" --recursive --include "*20171111*" &amp; "%USERPROFILE%\Documents\GitHub\mrs-test-scripts\Headless Mode &amp; Sideloading\WalkAndUnGZ.bat" "%USERPROFILE%\AppData\Local\Temp\OnboardLogs"\RTDC4060\2017-11-11 &amp; aws s3 cp s3://rtdc.mdm.uploadarchive.raw/RTDC4060/ "%USERPROFILE%\AppData\Local\Temp\OnboardLogs"\RTDC4060\2017-11-12 --exclude "*" --recursive --include "*20171112*" &amp; "%USERPROFILE%\Documents\GitHub\mrs-test-scripts\Headless Mode &amp; Sideloading\WalkAndUnGZ.bat" "%USERPROFILE%\AppData\Local\Temp\OnboardLogs"\RTDC4060\2017-11-12</v>
      </c>
      <c r="AF153" s="74" t="str">
        <f t="shared" si="70"/>
        <v>"C:\Program Files (x86)\AstroGrep\AstroGrep.exe" /e /r /s /spath="%USERPROFILE%\AppData\Local\Temp\OnboardLogs" /stypes="app*4060*20171111*" /stext=" 07:.+((SYSTEM_STATE.+slice.+state.+changed )|(ment ac)|(multiple cpu faults)|(system.+state.+changed )|(\[timeout)|(PRM\|1\|D)|(kpr)|(kdp)|(train st.+moving)|(\|lc)|(penalty))"</v>
      </c>
      <c r="AG153" s="182" t="str">
        <f t="shared" si="71"/>
        <v>EC</v>
      </c>
      <c r="AH153" s="78" t="str">
        <f t="shared" si="56"/>
        <v>"%USERPROFILE%\Documents\GitHub\eaglep3\Utilities\RefineRTDCRunTimes.py" --tripid 241-10 --locoid 4060 --swversion DE.1.0.9.0 --startMP 204:542 --initTime 2017-11-10T23:43:53 --startdatetime 2017-11-11T00:00:18 --delay 76 --endMP 204:233193 --enddatetime 2017-11-11T00:36:23 --enforcementcount 1 &gt;&gt;%USERPROFILE%\Documents\GitHub\eaglep3-reporting\EC\2017-11-10-refined-times.txt</v>
      </c>
      <c r="AI153" s="96" t="str">
        <f t="shared" si="57"/>
        <v>echo {"issue":{"subject":"","project_id":79,"tracker_id":40,"status_id":1,"priority_id":2,"assigned_to_id":338,"start_date":"2017-11-11","description":"","custom_fields":[{"id":1,"name":"Subdivision","value":"EC"},{"id":4,"name":"Milepost","value":"23.3193"},{"id":17,"name":"Train ID","value":"241-10"},{"id":16,"name":"Locomotive ID","value":"4060"},{"id":130,"name":"Impact","value":""},{"id":150,"name":"Time of Event (Mountain Time)","value":"00:36:23"},{"id":151,"name":"Denver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58"/>
        <v>start /low /b %USERPROFILE%\Documents\GitHub\eaglep3\Utilities\DownloadLogsFromS3.py --loco 4060 --day 2017-11-11</v>
      </c>
      <c r="AN153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07:36:23"},{"id":29,"name":"Sharepoint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60"/>
        <v>https://d0f6bd738d7f1b3e5a7ca70fe4ff75f0.us-east-1.aws.found.io/app/kibana#/discover/Steve-Slow-Train-Analysis-(2080s-and-2083s)?_g=(refreshInterval:(display:Off,pause:!f,section:0,value:0),time:(from:'2017-11-10T22:43:53-0700',mode:absolute,to:'2017-11-11T01:36:23-0700'))&amp;_a=(columns:!('Message%20ID',Summary),filters:!(),index:'emp_*',interval:auto,query:(query_string:(analyze_wildcard:!t,query:'%22rtdc.l.rtdc.4060%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879</v>
      </c>
      <c r="B154" s="7">
        <v>4059</v>
      </c>
      <c r="C154" s="21" t="s">
        <v>192</v>
      </c>
      <c r="D154" s="21" t="s">
        <v>492</v>
      </c>
      <c r="E154" s="13">
        <v>43050.035868055558</v>
      </c>
      <c r="F154" s="13">
        <v>43050.039826388886</v>
      </c>
      <c r="G154" s="7">
        <v>68</v>
      </c>
      <c r="H154" s="21" t="s">
        <v>453</v>
      </c>
      <c r="I154" s="13">
        <v>43050.066793981481</v>
      </c>
      <c r="J154" s="7">
        <v>1</v>
      </c>
      <c r="K154" s="89" t="str">
        <f t="shared" si="61"/>
        <v>4059/4060</v>
      </c>
      <c r="L154" s="185" t="str">
        <f>VLOOKUP(A154,'Trips&amp;Operators'!$C$1:$G$99911,5,FALSE)</f>
        <v>NICHOLSON WESLEY</v>
      </c>
      <c r="M154" s="6">
        <f t="shared" si="62"/>
        <v>2.6967592595610768E-2</v>
      </c>
      <c r="N154" s="7">
        <f t="shared" si="73"/>
        <v>38.833333337679505</v>
      </c>
      <c r="O154" s="7"/>
      <c r="P154" s="7"/>
      <c r="Q154" s="22"/>
      <c r="R154" s="174"/>
      <c r="S154" s="221">
        <f t="shared" si="72"/>
        <v>1</v>
      </c>
      <c r="T154" s="174" t="str">
        <f t="shared" si="63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4"/>
        <v>https://d0f6bd738d7f1b3e5a7ca70fe4ff75f0.us-east-1.aws.found.io/app/kibana#/discover/Steve-Slow-Train-Analysis-(2080s-and-2083s)?_g=(refreshInterval:(display:Off,pause:!f,section:0,value:0),time:(from:'2017-11-10T23:51:39-0700',mode:absolute,to:'2017-11-11T02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4" s="204" t="str">
        <f>IF(AA154&lt;VLOOKUP(AG154,Variables!$AC$3:$AD$8,2,FALSE),"Y","N")</f>
        <v>N</v>
      </c>
      <c r="X154" s="204">
        <f t="shared" si="55"/>
        <v>1</v>
      </c>
      <c r="Y154" s="204">
        <f t="shared" si="65"/>
        <v>23.287500000000001</v>
      </c>
      <c r="Z154" s="204">
        <f t="shared" si="66"/>
        <v>2.12E-2</v>
      </c>
      <c r="AA154" s="204">
        <f t="shared" si="67"/>
        <v>23.266300000000001</v>
      </c>
      <c r="AB154" s="54" t="e">
        <f>VLOOKUP(A154,Enforcements!$C$7:$K$9,8,0)</f>
        <v>#N/A</v>
      </c>
      <c r="AC154" s="51" t="e">
        <f>VLOOKUP(A154,Enforcements!$C$7:$E$9,3,0)</f>
        <v>#N/A</v>
      </c>
      <c r="AD154" s="179">
        <f t="shared" si="68"/>
        <v>242</v>
      </c>
      <c r="AE154" s="77" t="str">
        <f t="shared" si="69"/>
        <v>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 &amp; aws s3 cp s3://rtdc.mdm.uploadarchive.raw/RTDC4059/ "%USERPROFILE%\AppData\Local\Temp\OnboardLogs"\RTDC4059\2017-11-12 --exclude "*" --recursive --include "*20171112*" &amp; "%USERPROFILE%\Documents\GitHub\mrs-test-scripts\Headless Mode &amp; Sideloading\WalkAndUnGZ.bat" "%USERPROFILE%\AppData\Local\Temp\OnboardLogs"\RTDC4059\2017-11-12</v>
      </c>
      <c r="AF154" s="74" t="str">
        <f t="shared" si="70"/>
        <v>"C:\Program Files (x86)\AstroGrep\AstroGrep.exe" /e /r /s /spath="%USERPROFILE%\AppData\Local\Temp\OnboardLogs" /stypes="app*4059*20171111*" /stext=" 08:.+((SYSTEM_STATE.+slice.+state.+changed )|(ment ac)|(multiple cpu faults)|(system.+state.+changed )|(\[timeout)|(PRM\|1\|D)|(kpr)|(kdp)|(train st.+moving)|(\|lc)|(penalty))"</v>
      </c>
      <c r="AG154" s="182" t="str">
        <f t="shared" si="71"/>
        <v>EC</v>
      </c>
      <c r="AH154" s="78" t="str">
        <f t="shared" si="56"/>
        <v>"%USERPROFILE%\Documents\GitHub\eaglep3\Utilities\RefineRTDCRunTimes.py" --tripid 242-10 --locoid 4059 --swversion DE.1.0.9.0 --startMP 204:232875 --initTime 2017-11-11T00:51:39 --startdatetime 2017-11-11T00:57:21 --delay 68 --endMP 204:212 --enddatetime 2017-11-11T01:36:11 --enforcementcount 1 &gt;&gt;%USERPROFILE%\Documents\GitHub\eaglep3-reporting\EC\2017-11-10-refined-times.txt</v>
      </c>
      <c r="AI154" s="96" t="str">
        <f t="shared" si="57"/>
        <v>echo {"issue":{"subject":"","project_id":79,"tracker_id":40,"status_id":1,"priority_id":2,"assigned_to_id":338,"start_date":"2017-11-11","description":"","custom_fields":[{"id":1,"name":"Subdivision","value":"EC"},{"id":4,"name":"Milepost","value":"0.0212"},{"id":17,"name":"Train ID","value":"242-10"},{"id":16,"name":"Locomotive ID","value":"4059"},{"id":130,"name":"Impact","value":""},{"id":150,"name":"Time of Event (Mountain Time)","value":"01:36:11"},{"id":151,"name":"Denver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58"/>
        <v>start /low /b %USERPROFILE%\Documents\GitHub\eaglep3\Utilities\DownloadLogsFromS3.py --loco 4059 --day 2017-11-11</v>
      </c>
      <c r="AN154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08:36:11"},{"id":29,"name":"Sharepoint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60"/>
        <v>https://d0f6bd738d7f1b3e5a7ca70fe4ff75f0.us-east-1.aws.found.io/app/kibana#/discover/Steve-Slow-Train-Analysis-(2080s-and-2083s)?_g=(refreshInterval:(display:Off,pause:!f,section:0,value:0),time:(from:'2017-11-10T23:51:39-0700',mode:absolute,to:'2017-11-11T02:36:11-0700'))&amp;_a=(columns:!('Message%20ID',Summary),filters:!(),index:'emp_*',interval:auto,query:(query_string:(analyze_wildcard:!t,query:'%22rtdc.l.rtdc.4059%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877</v>
      </c>
      <c r="B155" s="7">
        <v>4016</v>
      </c>
      <c r="C155" s="21" t="s">
        <v>192</v>
      </c>
      <c r="D155" s="21" t="s">
        <v>626</v>
      </c>
      <c r="E155" s="13">
        <v>43050.01667824074</v>
      </c>
      <c r="F155" s="13">
        <v>43050.020972222221</v>
      </c>
      <c r="G155" s="7">
        <v>58</v>
      </c>
      <c r="H155" s="21" t="s">
        <v>989</v>
      </c>
      <c r="I155" s="13">
        <v>43050.044571759259</v>
      </c>
      <c r="J155" s="7">
        <v>1</v>
      </c>
      <c r="K155" s="89" t="str">
        <f t="shared" si="61"/>
        <v>4015/4016</v>
      </c>
      <c r="L155" s="185" t="str">
        <f>VLOOKUP(A155,'Trips&amp;Operators'!$C$1:$G$99911,5,FALSE)</f>
        <v>ELBAUM MIKE</v>
      </c>
      <c r="M155" s="6">
        <f t="shared" si="62"/>
        <v>2.3599537038535345E-2</v>
      </c>
      <c r="N155" s="7">
        <f t="shared" si="73"/>
        <v>33.983333335490897</v>
      </c>
      <c r="O155" s="7"/>
      <c r="P155" s="7"/>
      <c r="Q155" s="22"/>
      <c r="R155" s="174"/>
      <c r="S155" s="221">
        <f t="shared" si="72"/>
        <v>1</v>
      </c>
      <c r="T155" s="174" t="str">
        <f t="shared" si="63"/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4"/>
        <v>https://d0f6bd738d7f1b3e5a7ca70fe4ff75f0.us-east-1.aws.found.io/app/kibana#/discover/Steve-Slow-Train-Analysis-(2080s-and-2083s)?_g=(refreshInterval:(display:Off,pause:!f,section:0,value:0),time:(from:'2017-11-10T23:24:01-0700',mode:absolute,to:'2017-11-11T02:04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5" s="204" t="str">
        <f>IF(AA155&lt;VLOOKUP(AG155,Variables!$AC$3:$AD$8,2,FALSE),"Y","N")</f>
        <v>N</v>
      </c>
      <c r="X155" s="204">
        <f t="shared" si="55"/>
        <v>1</v>
      </c>
      <c r="Y155" s="204">
        <f t="shared" si="65"/>
        <v>5.7500000000000002E-2</v>
      </c>
      <c r="Z155" s="204">
        <f t="shared" si="66"/>
        <v>23.325500000000002</v>
      </c>
      <c r="AA155" s="204">
        <f t="shared" si="67"/>
        <v>23.268000000000001</v>
      </c>
      <c r="AB155" s="54" t="e">
        <f>VLOOKUP(A155,Enforcements!$C$7:$K$9,8,0)</f>
        <v>#N/A</v>
      </c>
      <c r="AC155" s="51" t="e">
        <f>VLOOKUP(A155,Enforcements!$C$7:$E$9,3,0)</f>
        <v>#N/A</v>
      </c>
      <c r="AD155" s="179">
        <f t="shared" si="68"/>
        <v>243</v>
      </c>
      <c r="AE155" s="77" t="str">
        <f t="shared" si="69"/>
        <v>aws s3 cp s3://rtdc.mdm.uploadarchive.raw/RTDC4016/ "%USERPROFILE%\AppData\Local\Temp\OnboardLogs"\RTDC4016\2017-11-11 --exclude "*" --recursive --include "*20171111*" &amp; "%USERPROFILE%\Documents\GitHub\mrs-test-scripts\Headless Mode &amp; Sideloading\WalkAndUnGZ.bat" "%USERPROFILE%\AppData\Local\Temp\OnboardLogs"\RTDC4016\2017-11-11 &amp; 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</v>
      </c>
      <c r="AF155" s="74" t="str">
        <f t="shared" si="70"/>
        <v>"C:\Program Files (x86)\AstroGrep\AstroGrep.exe" /e /r /s /spath="%USERPROFILE%\AppData\Local\Temp\OnboardLogs" /stypes="app*4016*20171111*" /stext=" 08:.+((SYSTEM_STATE.+slice.+state.+changed )|(ment ac)|(multiple cpu faults)|(system.+state.+changed )|(\[timeout)|(PRM\|1\|D)|(kpr)|(kdp)|(train st.+moving)|(\|lc)|(penalty))"</v>
      </c>
      <c r="AG155" s="182" t="str">
        <f t="shared" si="71"/>
        <v>EC</v>
      </c>
      <c r="AH155" s="78" t="str">
        <f t="shared" si="56"/>
        <v>"%USERPROFILE%\Documents\GitHub\eaglep3\Utilities\RefineRTDCRunTimes.py" --tripid 243-10 --locoid 4016 --swversion DE.1.0.9.0 --startMP 204:575 --initTime 2017-11-11T00:24:01 --startdatetime 2017-11-11T00:30:12 --delay 58 --endMP 204:233255 --enddatetime 2017-11-11T01:04:11 --enforcementcount 1 &gt;&gt;%USERPROFILE%\Documents\GitHub\eaglep3-reporting\EC\2017-11-10-refined-times.txt</v>
      </c>
      <c r="AI155" s="96" t="str">
        <f t="shared" si="57"/>
        <v>echo {"issue":{"subject":"","project_id":79,"tracker_id":40,"status_id":1,"priority_id":2,"assigned_to_id":338,"start_date":"2017-11-11","description":"","custom_fields":[{"id":1,"name":"Subdivision","value":"EC"},{"id":4,"name":"Milepost","value":"23.3255"},{"id":17,"name":"Train ID","value":"243-10"},{"id":16,"name":"Locomotive ID","value":"4016"},{"id":130,"name":"Impact","value":""},{"id":150,"name":"Time of Event (Mountain Time)","value":"01:04:11"},{"id":151,"name":"Denver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58"/>
        <v>start /low /b %USERPROFILE%\Documents\GitHub\eaglep3\Utilities\DownloadLogsFromS3.py --loco 4016 --day 2017-11-11</v>
      </c>
      <c r="AN155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08:04:11"},{"id":29,"name":"Sharepoint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60"/>
        <v>https://d0f6bd738d7f1b3e5a7ca70fe4ff75f0.us-east-1.aws.found.io/app/kibana#/discover/Steve-Slow-Train-Analysis-(2080s-and-2083s)?_g=(refreshInterval:(display:Off,pause:!f,section:0,value:0),time:(from:'2017-11-10T23:24:01-0700',mode:absolute,to:'2017-11-11T02:04:11-0700'))&amp;_a=(columns:!('Message%20ID',Summary),filters:!(),index:'emp_*',interval:auto,query:(query_string:(analyze_wildcard:!t,query:'%22rtdc.l.rtdc.4016%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881</v>
      </c>
      <c r="B156" s="7">
        <v>4015</v>
      </c>
      <c r="C156" s="21" t="s">
        <v>192</v>
      </c>
      <c r="D156" s="21" t="s">
        <v>925</v>
      </c>
      <c r="E156" s="13">
        <v>43050.04583333333</v>
      </c>
      <c r="F156" s="13">
        <v>43050.060624999998</v>
      </c>
      <c r="G156" s="7">
        <v>62</v>
      </c>
      <c r="H156" s="21" t="s">
        <v>924</v>
      </c>
      <c r="I156" s="13">
        <v>43050.085763888892</v>
      </c>
      <c r="J156" s="7">
        <v>1</v>
      </c>
      <c r="K156" s="89" t="str">
        <f t="shared" si="61"/>
        <v>4015/4016</v>
      </c>
      <c r="L156" s="185" t="str">
        <f>VLOOKUP(A156,'Trips&amp;Operators'!$C$1:$G$99911,5,FALSE)</f>
        <v>ELBAUM MIKE</v>
      </c>
      <c r="M156" s="6">
        <f t="shared" si="62"/>
        <v>2.513888889370719E-2</v>
      </c>
      <c r="N156" s="7">
        <f t="shared" si="73"/>
        <v>36.200000006938353</v>
      </c>
      <c r="O156" s="7"/>
      <c r="P156" s="7"/>
      <c r="Q156" s="22"/>
      <c r="R156" s="174"/>
      <c r="S156" s="221">
        <f t="shared" si="72"/>
        <v>1</v>
      </c>
      <c r="T156" s="174" t="str">
        <f t="shared" si="63"/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64"/>
        <v>https://d0f6bd738d7f1b3e5a7ca70fe4ff75f0.us-east-1.aws.found.io/app/kibana#/discover/Steve-Slow-Train-Analysis-(2080s-and-2083s)?_g=(refreshInterval:(display:Off,pause:!f,section:0,value:0),time:(from:'2017-11-11T00:06:00-0700',mode:absolute,to:'2017-11-11T03:03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6" s="204" t="str">
        <f>IF(AA156&lt;VLOOKUP(AG156,Variables!$AC$3:$AD$8,2,FALSE),"Y","N")</f>
        <v>N</v>
      </c>
      <c r="X156" s="204">
        <f t="shared" si="55"/>
        <v>1</v>
      </c>
      <c r="Y156" s="204">
        <f t="shared" si="65"/>
        <v>23.294</v>
      </c>
      <c r="Z156" s="204">
        <f t="shared" si="66"/>
        <v>2.63E-2</v>
      </c>
      <c r="AA156" s="204">
        <f t="shared" si="67"/>
        <v>23.267700000000001</v>
      </c>
      <c r="AB156" s="54" t="e">
        <f>VLOOKUP(A156,Enforcements!$C$7:$K$9,8,0)</f>
        <v>#N/A</v>
      </c>
      <c r="AC156" s="51" t="e">
        <f>VLOOKUP(A156,Enforcements!$C$7:$E$9,3,0)</f>
        <v>#N/A</v>
      </c>
      <c r="AD156" s="179">
        <f t="shared" si="68"/>
        <v>244</v>
      </c>
      <c r="AE156" s="77" t="str">
        <f t="shared" si="69"/>
        <v>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 &amp; aws s3 cp s3://rtdc.mdm.uploadarchive.raw/RTDC4015/ "%USERPROFILE%\AppData\Local\Temp\OnboardLogs"\RTDC4015\2017-11-12 --exclude "*" --recursive --include "*20171112*" &amp; "%USERPROFILE%\Documents\GitHub\mrs-test-scripts\Headless Mode &amp; Sideloading\WalkAndUnGZ.bat" "%USERPROFILE%\AppData\Local\Temp\OnboardLogs"\RTDC4015\2017-11-12</v>
      </c>
      <c r="AF156" s="74" t="str">
        <f t="shared" si="70"/>
        <v>"C:\Program Files (x86)\AstroGrep\AstroGrep.exe" /e /r /s /spath="%USERPROFILE%\AppData\Local\Temp\OnboardLogs" /stypes="app*4015*20171111*" /stext=" 09:.+((SYSTEM_STATE.+slice.+state.+changed )|(ment ac)|(multiple cpu faults)|(system.+state.+changed )|(\[timeout)|(PRM\|1\|D)|(kpr)|(kdp)|(train st.+moving)|(\|lc)|(penalty))"</v>
      </c>
      <c r="AG156" s="182" t="str">
        <f t="shared" si="71"/>
        <v>EC</v>
      </c>
      <c r="AH156" s="78" t="str">
        <f t="shared" si="56"/>
        <v>"%USERPROFILE%\Documents\GitHub\eaglep3\Utilities\RefineRTDCRunTimes.py" --tripid 244-10 --locoid 4015 --swversion DE.1.0.9.0 --startMP 204:232940 --initTime 2017-11-11T01:06:00 --startdatetime 2017-11-11T01:27:18 --delay 62 --endMP 204:263 --enddatetime 2017-11-11T02:03:30 --enforcementcount 1 &gt;&gt;%USERPROFILE%\Documents\GitHub\eaglep3-reporting\EC\2017-11-10-refined-times.txt</v>
      </c>
      <c r="AI156" s="96" t="str">
        <f t="shared" si="57"/>
        <v>echo {"issue":{"subject":"","project_id":79,"tracker_id":40,"status_id":1,"priority_id":2,"assigned_to_id":338,"start_date":"2017-11-11","description":"","custom_fields":[{"id":1,"name":"Subdivision","value":"EC"},{"id":4,"name":"Milepost","value":"0.0263"},{"id":17,"name":"Train ID","value":"244-10"},{"id":16,"name":"Locomotive ID","value":"4015"},{"id":130,"name":"Impact","value":""},{"id":150,"name":"Time of Event (Mountain Time)","value":"02:03:30"},{"id":151,"name":"Denver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58"/>
        <v>start /low /b %USERPROFILE%\Documents\GitHub\eaglep3\Utilities\DownloadLogsFromS3.py --loco 4015 --day 2017-11-11</v>
      </c>
      <c r="AN156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09:03:30"},{"id":29,"name":"Sharepoint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60"/>
        <v>https://d0f6bd738d7f1b3e5a7ca70fe4ff75f0.us-east-1.aws.found.io/app/kibana#/discover/Steve-Slow-Train-Analysis-(2080s-and-2083s)?_g=(refreshInterval:(display:Off,pause:!f,section:0,value:0),time:(from:'2017-11-11T00:06:00-0700',mode:absolute,to:'2017-11-11T03:03:30-0700'))&amp;_a=(columns:!('Message%20ID',Summary),filters:!(),index:'emp_*',interval:auto,query:(query_string:(analyze_wildcard:!t,query:'%22rtdc.l.rtdc.4015%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878</v>
      </c>
      <c r="B157" s="7">
        <v>4050</v>
      </c>
      <c r="C157" s="21" t="s">
        <v>192</v>
      </c>
      <c r="D157" s="21" t="s">
        <v>472</v>
      </c>
      <c r="E157" s="13">
        <v>43050.028634259259</v>
      </c>
      <c r="F157" s="13">
        <v>43050.042037037034</v>
      </c>
      <c r="G157" s="7">
        <v>51</v>
      </c>
      <c r="H157" s="21" t="s">
        <v>996</v>
      </c>
      <c r="I157" s="13">
        <v>43050.067037037035</v>
      </c>
      <c r="J157" s="7">
        <v>1</v>
      </c>
      <c r="K157" s="89" t="str">
        <f t="shared" si="61"/>
        <v>4049/4050</v>
      </c>
      <c r="L157" s="185" t="str">
        <f>VLOOKUP(A157,'Trips&amp;Operators'!$C$1:$G$99911,5,FALSE)</f>
        <v>AUSTIN THOMPSON</v>
      </c>
      <c r="M157" s="6">
        <f t="shared" si="62"/>
        <v>2.5000000001455192E-2</v>
      </c>
      <c r="N157" s="7">
        <f t="shared" si="73"/>
        <v>36.000000002095476</v>
      </c>
      <c r="O157" s="7"/>
      <c r="P157" s="7"/>
      <c r="Q157" s="22"/>
      <c r="R157" s="174"/>
      <c r="S157" s="221">
        <f t="shared" si="72"/>
        <v>1</v>
      </c>
      <c r="T157" s="174" t="str">
        <f t="shared" si="63"/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64"/>
        <v>https://d0f6bd738d7f1b3e5a7ca70fe4ff75f0.us-east-1.aws.found.io/app/kibana#/discover/Steve-Slow-Train-Analysis-(2080s-and-2083s)?_g=(refreshInterval:(display:Off,pause:!f,section:0,value:0),time:(from:'2017-11-10T23:41:14-0700',mode:absolute,to:'2017-11-11T02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7" s="204" t="str">
        <f>IF(AA157&lt;VLOOKUP(AG157,Variables!$AC$3:$AD$8,2,FALSE),"Y","N")</f>
        <v>N</v>
      </c>
      <c r="X157" s="204">
        <f t="shared" si="55"/>
        <v>1</v>
      </c>
      <c r="Y157" s="204">
        <f t="shared" si="65"/>
        <v>5.28E-2</v>
      </c>
      <c r="Z157" s="204">
        <f t="shared" si="66"/>
        <v>23.320399999999999</v>
      </c>
      <c r="AA157" s="204">
        <f t="shared" si="67"/>
        <v>23.267599999999998</v>
      </c>
      <c r="AB157" s="54" t="e">
        <f>VLOOKUP(A157,Enforcements!$C$7:$K$9,8,0)</f>
        <v>#N/A</v>
      </c>
      <c r="AC157" s="51" t="e">
        <f>VLOOKUP(A157,Enforcements!$C$7:$E$9,3,0)</f>
        <v>#N/A</v>
      </c>
      <c r="AD157" s="179">
        <f t="shared" si="68"/>
        <v>245</v>
      </c>
      <c r="AE157" s="77" t="str">
        <f t="shared" si="69"/>
        <v>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 &amp; aws s3 cp s3://rtdc.mdm.uploadarchive.raw/RTDC4050/ "%USERPROFILE%\AppData\Local\Temp\OnboardLogs"\RTDC4050\2017-11-12 --exclude "*" --recursive --include "*20171112*" &amp; "%USERPROFILE%\Documents\GitHub\mrs-test-scripts\Headless Mode &amp; Sideloading\WalkAndUnGZ.bat" "%USERPROFILE%\AppData\Local\Temp\OnboardLogs"\RTDC4050\2017-11-12</v>
      </c>
      <c r="AF157" s="74" t="str">
        <f t="shared" si="70"/>
        <v>"C:\Program Files (x86)\AstroGrep\AstroGrep.exe" /e /r /s /spath="%USERPROFILE%\AppData\Local\Temp\OnboardLogs" /stypes="app*4050*20171111*" /stext=" 08:.+((SYSTEM_STATE.+slice.+state.+changed )|(ment ac)|(multiple cpu faults)|(system.+state.+changed )|(\[timeout)|(PRM\|1\|D)|(kpr)|(kdp)|(train st.+moving)|(\|lc)|(penalty))"</v>
      </c>
      <c r="AG157" s="182" t="str">
        <f t="shared" si="71"/>
        <v>EC</v>
      </c>
      <c r="AH157" s="78" t="str">
        <f t="shared" si="56"/>
        <v>"%USERPROFILE%\Documents\GitHub\eaglep3\Utilities\RefineRTDCRunTimes.py" --tripid 245-10 --locoid 4050 --swversion DE.1.0.9.0 --startMP 204:528 --initTime 2017-11-11T00:41:14 --startdatetime 2017-11-11T01:00:32 --delay 51 --endMP 204:233204 --enddatetime 2017-11-11T01:36:32 --enforcementcount 1 &gt;&gt;%USERPROFILE%\Documents\GitHub\eaglep3-reporting\EC\2017-11-10-refined-times.txt</v>
      </c>
      <c r="AI157" s="96" t="str">
        <f t="shared" si="57"/>
        <v>echo {"issue":{"subject":"","project_id":79,"tracker_id":40,"status_id":1,"priority_id":2,"assigned_to_id":338,"start_date":"2017-11-11","description":"","custom_fields":[{"id":1,"name":"Subdivision","value":"EC"},{"id":4,"name":"Milepost","value":"23.3204"},{"id":17,"name":"Train ID","value":"245-10"},{"id":16,"name":"Locomotive ID","value":"4050"},{"id":130,"name":"Impact","value":""},{"id":150,"name":"Time of Event (Mountain Time)","value":"01:36:32"},{"id":151,"name":"Denver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58"/>
        <v>start /low /b %USERPROFILE%\Documents\GitHub\eaglep3\Utilities\DownloadLogsFromS3.py --loco 4050 --day 2017-11-11</v>
      </c>
      <c r="AN157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08:36:32"},{"id":29,"name":"Sharepoint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60"/>
        <v>https://d0f6bd738d7f1b3e5a7ca70fe4ff75f0.us-east-1.aws.found.io/app/kibana#/discover/Steve-Slow-Train-Analysis-(2080s-and-2083s)?_g=(refreshInterval:(display:Off,pause:!f,section:0,value:0),time:(from:'2017-11-10T23:41:14-0700',mode:absolute,to:'2017-11-11T02:36:32-0700'))&amp;_a=(columns:!('Message%20ID',Summary),filters:!(),index:'emp_*',interval:auto,query:(query_string:(analyze_wildcard:!t,query:'%22rtdc.l.rtdc.4050%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883</v>
      </c>
      <c r="B158" s="7">
        <v>4049</v>
      </c>
      <c r="C158" s="21" t="s">
        <v>192</v>
      </c>
      <c r="D158" s="21" t="s">
        <v>971</v>
      </c>
      <c r="E158" s="13">
        <v>43050.07304398148</v>
      </c>
      <c r="F158" s="13">
        <v>43050.081423611111</v>
      </c>
      <c r="G158" s="7">
        <v>63</v>
      </c>
      <c r="H158" s="21" t="s">
        <v>997</v>
      </c>
      <c r="I158" s="13">
        <v>43050.097187500003</v>
      </c>
      <c r="J158" s="7">
        <v>1</v>
      </c>
      <c r="K158" s="89" t="str">
        <f t="shared" si="61"/>
        <v>4049/4050</v>
      </c>
      <c r="L158" s="185" t="str">
        <f>VLOOKUP(A158,'Trips&amp;Operators'!$C$1:$G$99911,5,FALSE)</f>
        <v>AUSTIN THOMPSON</v>
      </c>
      <c r="M158" s="6">
        <f t="shared" si="62"/>
        <v>1.5763888892251998E-2</v>
      </c>
      <c r="N158" s="7"/>
      <c r="O158" s="7"/>
      <c r="P158" s="7">
        <f>24*60*SUM($M158:$M158)</f>
        <v>22.700000004842877</v>
      </c>
      <c r="Q158" s="22"/>
      <c r="R158" s="174" t="s">
        <v>1108</v>
      </c>
      <c r="S158" s="221">
        <f t="shared" si="72"/>
        <v>0.25</v>
      </c>
      <c r="T158" s="174" t="str">
        <f t="shared" si="63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3</v>
      </c>
      <c r="V158" s="216" t="str">
        <f t="shared" si="64"/>
        <v>https://d0f6bd738d7f1b3e5a7ca70fe4ff75f0.us-east-1.aws.found.io/app/kibana#/discover/Steve-Slow-Train-Analysis-(2080s-and-2083s)?_g=(refreshInterval:(display:Off,pause:!f,section:0,value:0),time:(from:'2017-11-11T00:45:11-0700',mode:absolute,to:'2017-11-11T03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8" s="204" t="str">
        <f>IF(AA158&lt;VLOOKUP(AG158,Variables!$AC$3:$AD$8,2,FALSE),"Y","N")</f>
        <v>Y</v>
      </c>
      <c r="X158" s="204">
        <f t="shared" si="55"/>
        <v>1</v>
      </c>
      <c r="Y158" s="204">
        <f t="shared" si="65"/>
        <v>23.2881</v>
      </c>
      <c r="Z158" s="204">
        <f t="shared" si="66"/>
        <v>6.4589999999999996</v>
      </c>
      <c r="AA158" s="204">
        <f t="shared" si="67"/>
        <v>16.8291</v>
      </c>
      <c r="AB158" s="54" t="e">
        <f>VLOOKUP(A158,Enforcements!$C$7:$K$9,8,0)</f>
        <v>#N/A</v>
      </c>
      <c r="AC158" s="51" t="e">
        <f>VLOOKUP(A158,Enforcements!$C$7:$E$9,3,0)</f>
        <v>#N/A</v>
      </c>
      <c r="AD158" s="179">
        <f t="shared" si="68"/>
        <v>246</v>
      </c>
      <c r="AE158" s="77" t="str">
        <f t="shared" si="69"/>
        <v>aws s3 cp s3://rtdc.mdm.uploadarchive.raw/RTDC4049/ "%USERPROFILE%\AppData\Local\Temp\OnboardLogs"\RTDC4049\2017-11-11 --exclude "*" --recursive --include "*20171111*" &amp; "%USERPROFILE%\Documents\GitHub\mrs-test-scripts\Headless Mode &amp; Sideloading\WalkAndUnGZ.bat" "%USERPROFILE%\AppData\Local\Temp\OnboardLogs"\RTDC4049\2017-11-11 &amp; aws s3 cp s3://rtdc.mdm.uploadarchive.raw/RTDC4049/ "%USERPROFILE%\AppData\Local\Temp\OnboardLogs"\RTDC4049\2017-11-12 --exclude "*" --recursive --include "*20171112*" &amp; "%USERPROFILE%\Documents\GitHub\mrs-test-scripts\Headless Mode &amp; Sideloading\WalkAndUnGZ.bat" "%USERPROFILE%\AppData\Local\Temp\OnboardLogs"\RTDC4049\2017-11-12</v>
      </c>
      <c r="AF158" s="74" t="str">
        <f t="shared" si="70"/>
        <v>"C:\Program Files (x86)\AstroGrep\AstroGrep.exe" /e /r /s /spath="%USERPROFILE%\AppData\Local\Temp\OnboardLogs" /stypes="app*4049*20171111*" /stext=" 09:.+((SYSTEM_STATE.+slice.+state.+changed )|(ment ac)|(multiple cpu faults)|(system.+state.+changed )|(\[timeout)|(PRM\|1\|D)|(kpr)|(kdp)|(train st.+moving)|(\|lc)|(penalty))"</v>
      </c>
      <c r="AG158" s="182" t="str">
        <f t="shared" si="71"/>
        <v>EC</v>
      </c>
      <c r="AH158" s="78" t="str">
        <f t="shared" si="56"/>
        <v>"%USERPROFILE%\Documents\GitHub\eaglep3\Utilities\RefineRTDCRunTimes.py" --tripid 246-10 --locoid 4049 --swversion DE.1.0.9.0 --startMP 204:232881 --initTime 2017-11-11T01:45:11 --startdatetime 2017-11-11T01:57:15 --delay 63 --endMP 204:64590 --enddatetime 2017-11-11T02:19:57 --enforcementcount 1 &gt;&gt;%USERPROFILE%\Documents\GitHub\eaglep3-reporting\EC\2017-11-10-refined-times.txt</v>
      </c>
      <c r="AI158" s="96" t="str">
        <f t="shared" si="57"/>
        <v>echo {"issue":{"subject":"Onboard en route failure","project_id":79,"tracker_id":40,"status_id":1,"priority_id":2,"assigned_to_id":338,"start_date":"2017-11-11","description":"","custom_fields":[{"id":1,"name":"Subdivision","value":"EC"},{"id":4,"name":"Milepost","value":"6.459"},{"id":17,"name":"Train ID","value":"246-10"},{"id":16,"name":"Locomotive ID","value":"4049"},{"id":130,"name":"Impact","value":""},{"id":150,"name":"Time of Event (Mountain Time)","value":"02:19:57"},{"id":151,"name":"Denver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58"/>
        <v>start /low /b %USERPROFILE%\Documents\GitHub\eaglep3\Utilities\DownloadLogsFromS3.py --loco 4049 --day 2017-11-11</v>
      </c>
      <c r="AN158" s="151" t="str">
        <f t="shared" si="59"/>
        <v>echo {"issue":{"subject":"Onboard en route failure","project_id":30,"tracker_id":4,"status_id":1,"priority_id":1,"assigned_to_id":10,"start_date":"2017-11-11","description":"","custom_fields":[{"id":30,"name":"Category","value":"Issue"},{"id":3,"name":"Functional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09:19:57"},{"id":29,"name":"Sharepoint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60"/>
        <v>https://d0f6bd738d7f1b3e5a7ca70fe4ff75f0.us-east-1.aws.found.io/app/kibana#/discover/Steve-Slow-Train-Analysis-(2080s-and-2083s)?_g=(refreshInterval:(display:Off,pause:!f,section:0,value:0),time:(from:'2017-11-11T00:45:11-0700',mode:absolute,to:'2017-11-11T03:19:57-0700'))&amp;_a=(columns:!('Message%20ID',Summary),filters:!(),index:'emp_*',interval:auto,query:(query_string:(analyze_wildcard:!t,query:'%22rtdc.l.rtdc.4049%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680</v>
      </c>
      <c r="B159" s="7">
        <v>4031</v>
      </c>
      <c r="C159" s="21" t="s">
        <v>192</v>
      </c>
      <c r="D159" s="21" t="s">
        <v>1019</v>
      </c>
      <c r="E159" s="13">
        <v>43049.207592592589</v>
      </c>
      <c r="F159" s="13">
        <v>43049.216840277775</v>
      </c>
      <c r="G159" s="7">
        <v>81</v>
      </c>
      <c r="H159" s="21" t="s">
        <v>1020</v>
      </c>
      <c r="I159" s="13">
        <v>43049.227048611108</v>
      </c>
      <c r="J159" s="7">
        <v>1</v>
      </c>
      <c r="K159" s="89" t="str">
        <f t="shared" si="61"/>
        <v>4031/4032</v>
      </c>
      <c r="L159" s="185" t="str">
        <f>VLOOKUP(A159,'Trips&amp;Operators'!$C$1:$G$99911,5,FALSE)</f>
        <v>WILLIAMS DONTE</v>
      </c>
      <c r="M159" s="6">
        <f t="shared" si="62"/>
        <v>1.0208333333139308E-2</v>
      </c>
      <c r="N159" s="7">
        <f t="shared" ref="N159:N170" si="74">24*60*SUM($M159:$M159)</f>
        <v>14.699999999720603</v>
      </c>
      <c r="O159" s="7"/>
      <c r="P159" s="7"/>
      <c r="Q159" s="22"/>
      <c r="R159" s="174"/>
      <c r="S159" s="221">
        <f t="shared" si="72"/>
        <v>1</v>
      </c>
      <c r="T159" s="174" t="str">
        <f t="shared" si="63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64"/>
        <v>https://d0f6bd738d7f1b3e5a7ca70fe4ff75f0.us-east-1.aws.found.io/app/kibana#/discover/Steve-Slow-Train-Analysis-(2080s-and-2083s)?_g=(refreshInterval:(display:Off,pause:!f,section:0,value:0),time:(from:'2017-11-10T03:58:56-0700',mode:absolute,to:'2017-11-10T06:26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9" s="204" t="str">
        <f>IF(AA159&lt;VLOOKUP(AG159,Variables!$AC$3:$AD$8,2,FALSE),"Y","N")</f>
        <v>N</v>
      </c>
      <c r="X159" s="204">
        <f t="shared" si="55"/>
        <v>554</v>
      </c>
      <c r="Y159" s="204">
        <f t="shared" si="65"/>
        <v>5.8616999999999999</v>
      </c>
      <c r="Z159" s="204">
        <f t="shared" si="66"/>
        <v>7.0599999999999996E-2</v>
      </c>
      <c r="AA159" s="204">
        <f t="shared" si="67"/>
        <v>5.7911000000000001</v>
      </c>
      <c r="AB159" s="54" t="e">
        <f>VLOOKUP(A159,Enforcements!$C$7:$K$9,8,0)</f>
        <v>#N/A</v>
      </c>
      <c r="AC159" s="51" t="e">
        <f>VLOOKUP(A159,Enforcements!$C$7:$E$9,3,0)</f>
        <v>#N/A</v>
      </c>
      <c r="AD159" s="179">
        <f t="shared" si="68"/>
        <v>800</v>
      </c>
      <c r="AE159" s="77" t="str">
        <f t="shared" si="69"/>
        <v>aws s3 cp s3://rtdc.mdm.uploadarchive.raw/RTDC4031/ "%USERPROFILE%\AppData\Local\Temp\OnboardLogs"\RTDC4031\2017-11-10 --exclude "*" --recursive --include "*20171110*" &amp; "%USERPROFILE%\Documents\GitHub\mrs-test-scripts\Headless Mode &amp; Sideloading\WalkAndUnGZ.bat" "%USERPROFILE%\AppData\Local\Temp\OnboardLogs"\RTDC4031\2017-11-10 &amp; aws s3 cp s3://rtdc.mdm.uploadarchive.raw/RTDC4031/ "%USERPROFILE%\AppData\Local\Temp\OnboardLogs"\RTDC4031\2017-11-11 --exclude "*" --recursive --include "*20171111*" &amp; "%USERPROFILE%\Documents\GitHub\mrs-test-scripts\Headless Mode &amp; Sideloading\WalkAndUnGZ.bat" "%USERPROFILE%\AppData\Local\Temp\OnboardLogs"\RTDC4031\2017-11-11</v>
      </c>
      <c r="AF159" s="74" t="str">
        <f t="shared" si="70"/>
        <v>"C:\Program Files (x86)\AstroGrep\AstroGrep.exe" /e /r /s /spath="%USERPROFILE%\AppData\Local\Temp\OnboardLogs" /stypes="app*4031*20171110*" /stext=" 12:.+((SYSTEM_STATE.+slice.+state.+changed )|(ment ac)|(multiple cpu faults)|(system.+state.+changed )|(\[timeout)|(PRM\|1\|D)|(kpr)|(kdp)|(train st.+moving)|(\|lc)|(penalty))"</v>
      </c>
      <c r="AG159" s="182" t="str">
        <f t="shared" si="71"/>
        <v>NW</v>
      </c>
      <c r="AH159" s="78" t="str">
        <f t="shared" si="56"/>
        <v>"%USERPROFILE%\Documents\GitHub\eaglep3\Utilities\RefineRTDCRunTimes.py" --tripid 800-10 --locoid 4031 --swversion DE.1.0.9.0 --startMP 300:58617 --initTime 2017-11-10T04:58:56 --startdatetime 2017-11-10T05:12:15 --delay 81 --endMP 204:706 --enddatetime 2017-11-10T05:26:57 --enforcementcount 1 &gt;&gt;%USERPROFILE%\Documents\GitHub\eaglep3-reporting\EC\2017-11-10-refined-times.txt</v>
      </c>
      <c r="AI159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{"issue":{"subject":"","project_id":79,"tracker_id":40,"status_id":1,"priority_id":2,"assigned_to_id":338,"start_date":"2017-11-10","description":"","custom_fields":[{"id":1,"name":"Subdivision","value":"NW"},{"id":4,"name":"Milepost","value":"0.0706"},{"id":17,"name":"Train ID","value":"800-10"},{"id":16,"name":"Locomotive ID","value":"4031"},{"id":130,"name":"Impact","value":""},{"id":150,"name":"Time of Event (Mountain Time)","value":"05:26:57"},{"id":151,"name":"Denver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58"/>
        <v>start /low /b %USERPROFILE%\Documents\GitHub\eaglep3\Utilities\DownloadLogsFromS3.py --loco 4031 --day 2017-11-10</v>
      </c>
      <c r="AN159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12:26:57"},{"id":29,"name":"Sharepoint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60"/>
        <v>https://d0f6bd738d7f1b3e5a7ca70fe4ff75f0.us-east-1.aws.found.io/app/kibana#/discover/Steve-Slow-Train-Analysis-(2080s-and-2083s)?_g=(refreshInterval:(display:Off,pause:!f,section:0,value:0),time:(from:'2017-11-10T03:58:56-0700',mode:absolute,to:'2017-11-10T06:26:57-0700'))&amp;_a=(columns:!('Message%20ID',Summary),filters:!(),index:'emp_*',interval:auto,query:(query_string:(analyze_wildcard:!t,query:'%22rtdc.l.rtdc.4031%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692</v>
      </c>
      <c r="B160" s="7">
        <v>4032</v>
      </c>
      <c r="C160" s="21" t="s">
        <v>192</v>
      </c>
      <c r="D160" s="21" t="s">
        <v>1021</v>
      </c>
      <c r="E160" s="13">
        <v>43049.233113425929</v>
      </c>
      <c r="F160" s="13">
        <v>43049.23636574074</v>
      </c>
      <c r="G160" s="7">
        <v>56</v>
      </c>
      <c r="H160" s="21" t="s">
        <v>1022</v>
      </c>
      <c r="I160" s="13">
        <v>43049.246782407405</v>
      </c>
      <c r="J160" s="7">
        <v>1</v>
      </c>
      <c r="K160" s="89" t="str">
        <f t="shared" si="61"/>
        <v>4031/4032</v>
      </c>
      <c r="L160" s="185" t="str">
        <f>VLOOKUP(A160,'Trips&amp;Operators'!$C$1:$G$99911,5,FALSE)</f>
        <v>WILLIAMS DONTE</v>
      </c>
      <c r="M160" s="6">
        <f t="shared" si="62"/>
        <v>1.0416666664241347E-2</v>
      </c>
      <c r="N160" s="7">
        <f t="shared" si="74"/>
        <v>14.99999999650754</v>
      </c>
      <c r="O160" s="7"/>
      <c r="P160" s="7"/>
      <c r="Q160" s="22"/>
      <c r="R160" s="174"/>
      <c r="S160" s="221">
        <f t="shared" si="72"/>
        <v>1</v>
      </c>
      <c r="T160" s="174" t="str">
        <f t="shared" si="63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64"/>
        <v>https://d0f6bd738d7f1b3e5a7ca70fe4ff75f0.us-east-1.aws.found.io/app/kibana#/discover/Steve-Slow-Train-Analysis-(2080s-and-2083s)?_g=(refreshInterval:(display:Off,pause:!f,section:0,value:0),time:(from:'2017-11-10T04:35:41-0700',mode:absolute,to:'2017-11-10T06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0" s="204" t="str">
        <f>IF(AA160&lt;VLOOKUP(AG160,Variables!$AC$3:$AD$8,2,FALSE),"Y","N")</f>
        <v>N</v>
      </c>
      <c r="X160" s="204">
        <f t="shared" si="55"/>
        <v>1</v>
      </c>
      <c r="Y160" s="204">
        <f t="shared" si="65"/>
        <v>0.1007</v>
      </c>
      <c r="Z160" s="204">
        <f t="shared" si="66"/>
        <v>5.8940999999999999</v>
      </c>
      <c r="AA160" s="204">
        <f t="shared" si="67"/>
        <v>5.7934000000000001</v>
      </c>
      <c r="AB160" s="54" t="e">
        <f>VLOOKUP(A160,Enforcements!$C$7:$K$9,8,0)</f>
        <v>#N/A</v>
      </c>
      <c r="AC160" s="51" t="e">
        <f>VLOOKUP(A160,Enforcements!$C$7:$E$9,3,0)</f>
        <v>#N/A</v>
      </c>
      <c r="AD160" s="179">
        <f t="shared" si="68"/>
        <v>801</v>
      </c>
      <c r="AE160" s="77" t="str">
        <f t="shared" si="69"/>
        <v>aws s3 cp s3://rtdc.mdm.uploadarchive.raw/RTDC4032/ "%USERPROFILE%\AppData\Local\Temp\OnboardLogs"\RTDC4032\2017-11-10 --exclude "*" --recursive --include "*20171110*" &amp; "%USERPROFILE%\Documents\GitHub\mrs-test-scripts\Headless Mode &amp; Sideloading\WalkAndUnGZ.bat" "%USERPROFILE%\AppData\Local\Temp\OnboardLogs"\RTDC4032\2017-11-10 &amp; aws s3 cp s3://rtdc.mdm.uploadarchive.raw/RTDC4032/ "%USERPROFILE%\AppData\Local\Temp\OnboardLogs"\RTDC4032\2017-11-11 --exclude "*" --recursive --include "*20171111*" &amp; "%USERPROFILE%\Documents\GitHub\mrs-test-scripts\Headless Mode &amp; Sideloading\WalkAndUnGZ.bat" "%USERPROFILE%\AppData\Local\Temp\OnboardLogs"\RTDC4032\2017-11-11</v>
      </c>
      <c r="AF160" s="74" t="str">
        <f t="shared" si="70"/>
        <v>"C:\Program Files (x86)\AstroGrep\AstroGrep.exe" /e /r /s /spath="%USERPROFILE%\AppData\Local\Temp\OnboardLogs" /stypes="app*4032*20171110*" /stext=" 12:.+((SYSTEM_STATE.+slice.+state.+changed )|(ment ac)|(multiple cpu faults)|(system.+state.+changed )|(\[timeout)|(PRM\|1\|D)|(kpr)|(kdp)|(train st.+moving)|(\|lc)|(penalty))"</v>
      </c>
      <c r="AG160" s="182" t="str">
        <f t="shared" si="71"/>
        <v>NW</v>
      </c>
      <c r="AH160" s="78" t="str">
        <f t="shared" si="56"/>
        <v>"%USERPROFILE%\Documents\GitHub\eaglep3\Utilities\RefineRTDCRunTimes.py" --tripid 801-10 --locoid 4032 --swversion DE.1.0.9.0 --startMP 204:1007 --initTime 2017-11-10T05:35:41 --startdatetime 2017-11-10T05:40:22 --delay 56 --endMP 300:58941 --enddatetime 2017-11-10T05:55:22 --enforcementcount 1 &gt;&gt;%USERPROFILE%\Documents\GitHub\eaglep3-reporting\EC\2017-11-10-refined-times.txt</v>
      </c>
      <c r="AI160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{"issue":{"subject":"","project_id":79,"tracker_id":40,"status_id":1,"priority_id":2,"assigned_to_id":338,"start_date":"2017-11-10","description":"","custom_fields":[{"id":1,"name":"Subdivision","value":"NW"},{"id":4,"name":"Milepost","value":"5.8941"},{"id":17,"name":"Train ID","value":"801-10"},{"id":16,"name":"Locomotive ID","value":"4032"},{"id":130,"name":"Impact","value":""},{"id":150,"name":"Time of Event (Mountain Time)","value":"05:55:22"},{"id":151,"name":"Denver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58"/>
        <v>start /low /b %USERPROFILE%\Documents\GitHub\eaglep3\Utilities\DownloadLogsFromS3.py --loco 4032 --day 2017-11-10</v>
      </c>
      <c r="AN160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12:55:22"},{"id":29,"name":"Sharepoint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60"/>
        <v>https://d0f6bd738d7f1b3e5a7ca70fe4ff75f0.us-east-1.aws.found.io/app/kibana#/discover/Steve-Slow-Train-Analysis-(2080s-and-2083s)?_g=(refreshInterval:(display:Off,pause:!f,section:0,value:0),time:(from:'2017-11-10T04:35:41-0700',mode:absolute,to:'2017-11-10T06:55:22-0700'))&amp;_a=(columns:!('Message%20ID',Summary),filters:!(),index:'emp_*',interval:auto,query:(query_string:(analyze_wildcard:!t,query:'%22rtdc.l.rtdc.4032%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696</v>
      </c>
      <c r="B161" s="7">
        <v>4031</v>
      </c>
      <c r="C161" s="21" t="s">
        <v>192</v>
      </c>
      <c r="D161" s="21" t="s">
        <v>1023</v>
      </c>
      <c r="E161" s="13">
        <v>43049.247986111113</v>
      </c>
      <c r="F161" s="13">
        <v>43049.259108796294</v>
      </c>
      <c r="G161" s="7">
        <v>54</v>
      </c>
      <c r="H161" s="21" t="s">
        <v>1020</v>
      </c>
      <c r="I161" s="13">
        <v>43049.267939814818</v>
      </c>
      <c r="J161" s="7">
        <v>1</v>
      </c>
      <c r="K161" s="89" t="str">
        <f t="shared" si="61"/>
        <v>4031/4032</v>
      </c>
      <c r="L161" s="185" t="str">
        <f>VLOOKUP(A161,'Trips&amp;Operators'!$C$1:$G$99911,5,FALSE)</f>
        <v>WILLIAMS DONTE</v>
      </c>
      <c r="M161" s="6">
        <f t="shared" si="62"/>
        <v>8.8310185237787664E-3</v>
      </c>
      <c r="N161" s="7">
        <f t="shared" si="74"/>
        <v>12.716666674241424</v>
      </c>
      <c r="O161" s="7"/>
      <c r="P161" s="7"/>
      <c r="Q161" s="22"/>
      <c r="R161" s="174"/>
      <c r="S161" s="221">
        <f t="shared" si="72"/>
        <v>1</v>
      </c>
      <c r="T161" s="174" t="str">
        <f t="shared" si="63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64"/>
        <v>https://d0f6bd738d7f1b3e5a7ca70fe4ff75f0.us-east-1.aws.found.io/app/kibana#/discover/Steve-Slow-Train-Analysis-(2080s-and-2083s)?_g=(refreshInterval:(display:Off,pause:!f,section:0,value:0),time:(from:'2017-11-10T04:57:06-0700',mode:absolute,to:'2017-11-10T07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1" s="204" t="str">
        <f>IF(AA161&lt;VLOOKUP(AG161,Variables!$AC$3:$AD$8,2,FALSE),"Y","N")</f>
        <v>N</v>
      </c>
      <c r="X161" s="204">
        <f t="shared" si="55"/>
        <v>1</v>
      </c>
      <c r="Y161" s="204">
        <f t="shared" si="65"/>
        <v>5.8625999999999996</v>
      </c>
      <c r="Z161" s="204">
        <f t="shared" si="66"/>
        <v>7.0599999999999996E-2</v>
      </c>
      <c r="AA161" s="204">
        <f t="shared" si="67"/>
        <v>5.7919999999999998</v>
      </c>
      <c r="AB161" s="54" t="e">
        <f>VLOOKUP(A161,Enforcements!$C$7:$K$9,8,0)</f>
        <v>#N/A</v>
      </c>
      <c r="AC161" s="51" t="e">
        <f>VLOOKUP(A161,Enforcements!$C$7:$E$9,3,0)</f>
        <v>#N/A</v>
      </c>
      <c r="AD161" s="179">
        <f t="shared" si="68"/>
        <v>802</v>
      </c>
      <c r="AE161" s="77" t="str">
        <f t="shared" si="69"/>
        <v>aws s3 cp s3://rtdc.mdm.uploadarchive.raw/RTDC4031/ "%USERPROFILE%\AppData\Local\Temp\OnboardLogs"\RTDC4031\2017-11-10 --exclude "*" --recursive --include "*20171110*" &amp; "%USERPROFILE%\Documents\GitHub\mrs-test-scripts\Headless Mode &amp; Sideloading\WalkAndUnGZ.bat" "%USERPROFILE%\AppData\Local\Temp\OnboardLogs"\RTDC4031\2017-11-10 &amp; aws s3 cp s3://rtdc.mdm.uploadarchive.raw/RTDC4031/ "%USERPROFILE%\AppData\Local\Temp\OnboardLogs"\RTDC4031\2017-11-11 --exclude "*" --recursive --include "*20171111*" &amp; "%USERPROFILE%\Documents\GitHub\mrs-test-scripts\Headless Mode &amp; Sideloading\WalkAndUnGZ.bat" "%USERPROFILE%\AppData\Local\Temp\OnboardLogs"\RTDC4031\2017-11-11</v>
      </c>
      <c r="AF161" s="74" t="str">
        <f t="shared" si="70"/>
        <v>"C:\Program Files (x86)\AstroGrep\AstroGrep.exe" /e /r /s /spath="%USERPROFILE%\AppData\Local\Temp\OnboardLogs" /stypes="app*4031*20171110*" /stext=" 13:.+((SYSTEM_STATE.+slice.+state.+changed )|(ment ac)|(multiple cpu faults)|(system.+state.+changed )|(\[timeout)|(PRM\|1\|D)|(kpr)|(kdp)|(train st.+moving)|(\|lc)|(penalty))"</v>
      </c>
      <c r="AG161" s="182" t="str">
        <f t="shared" si="71"/>
        <v>NW</v>
      </c>
      <c r="AH161" s="78" t="str">
        <f t="shared" si="56"/>
        <v>"%USERPROFILE%\Documents\GitHub\eaglep3\Utilities\RefineRTDCRunTimes.py" --tripid 802-10 --locoid 4031 --swversion DE.1.0.9.0 --startMP 300:58626 --initTime 2017-11-10T05:57:06 --startdatetime 2017-11-10T06:13:07 --delay 54 --endMP 204:706 --enddatetime 2017-11-10T06:25:50 --enforcementcount 1 &gt;&gt;%USERPROFILE%\Documents\GitHub\eaglep3-reporting\EC\2017-11-10-refined-times.txt</v>
      </c>
      <c r="AI161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{"issue":{"subject":"","project_id":79,"tracker_id":40,"status_id":1,"priority_id":2,"assigned_to_id":338,"start_date":"2017-11-10","description":"","custom_fields":[{"id":1,"name":"Subdivision","value":"NW"},{"id":4,"name":"Milepost","value":"0.0706"},{"id":17,"name":"Train ID","value":"802-10"},{"id":16,"name":"Locomotive ID","value":"4031"},{"id":130,"name":"Impact","value":""},{"id":150,"name":"Time of Event (Mountain Time)","value":"06:25:50"},{"id":151,"name":"Denver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58"/>
        <v>start /low /b %USERPROFILE%\Documents\GitHub\eaglep3\Utilities\DownloadLogsFromS3.py --loco 4031 --day 2017-11-10</v>
      </c>
      <c r="AN161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13:25:50"},{"id":29,"name":"Sharepoint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60"/>
        <v>https://d0f6bd738d7f1b3e5a7ca70fe4ff75f0.us-east-1.aws.found.io/app/kibana#/discover/Steve-Slow-Train-Analysis-(2080s-and-2083s)?_g=(refreshInterval:(display:Off,pause:!f,section:0,value:0),time:(from:'2017-11-10T04:57:06-0700',mode:absolute,to:'2017-11-10T07:25:50-0700'))&amp;_a=(columns:!('Message%20ID',Summary),filters:!(),index:'emp_*',interval:auto,query:(query_string:(analyze_wildcard:!t,query:'%22rtdc.l.rtdc.4031%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697</v>
      </c>
      <c r="B162" s="7">
        <v>4008</v>
      </c>
      <c r="C162" s="21" t="s">
        <v>192</v>
      </c>
      <c r="D162" s="21" t="s">
        <v>1024</v>
      </c>
      <c r="E162" s="13">
        <v>43049.249976851854</v>
      </c>
      <c r="F162" s="13">
        <v>43049.256423611114</v>
      </c>
      <c r="G162" s="7">
        <v>83</v>
      </c>
      <c r="H162" s="21" t="s">
        <v>1025</v>
      </c>
      <c r="I162" s="13">
        <v>43049.267395833333</v>
      </c>
      <c r="J162" s="7">
        <v>1</v>
      </c>
      <c r="K162" s="89" t="str">
        <f t="shared" si="61"/>
        <v>4007/4008</v>
      </c>
      <c r="L162" s="185" t="str">
        <f>VLOOKUP(A162,'Trips&amp;Operators'!$C$1:$G$99911,5,FALSE)</f>
        <v>BARRON PERLA</v>
      </c>
      <c r="M162" s="6">
        <f t="shared" si="62"/>
        <v>1.0972222218697425E-2</v>
      </c>
      <c r="N162" s="7">
        <f t="shared" si="74"/>
        <v>15.799999994924292</v>
      </c>
      <c r="O162" s="7"/>
      <c r="P162" s="7"/>
      <c r="Q162" s="22"/>
      <c r="R162" s="174"/>
      <c r="S162" s="221">
        <f t="shared" si="72"/>
        <v>1</v>
      </c>
      <c r="T162" s="174" t="str">
        <f t="shared" si="63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64"/>
        <v>https://d0f6bd738d7f1b3e5a7ca70fe4ff75f0.us-east-1.aws.found.io/app/kibana#/discover/Steve-Slow-Train-Analysis-(2080s-and-2083s)?_g=(refreshInterval:(display:Off,pause:!f,section:0,value:0),time:(from:'2017-11-10T04:59:58-0700',mode:absolute,to:'2017-11-10T07:25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2" s="204" t="str">
        <f>IF(AA162&lt;VLOOKUP(AG162,Variables!$AC$3:$AD$8,2,FALSE),"Y","N")</f>
        <v>N</v>
      </c>
      <c r="X162" s="204">
        <f t="shared" si="55"/>
        <v>1</v>
      </c>
      <c r="Y162" s="204">
        <f t="shared" si="65"/>
        <v>0.1004</v>
      </c>
      <c r="Z162" s="204">
        <f t="shared" si="66"/>
        <v>5.8956</v>
      </c>
      <c r="AA162" s="204">
        <f t="shared" si="67"/>
        <v>5.7952000000000004</v>
      </c>
      <c r="AB162" s="54" t="e">
        <f>VLOOKUP(A162,Enforcements!$C$7:$K$9,8,0)</f>
        <v>#N/A</v>
      </c>
      <c r="AC162" s="51" t="e">
        <f>VLOOKUP(A162,Enforcements!$C$7:$E$9,3,0)</f>
        <v>#N/A</v>
      </c>
      <c r="AD162" s="179">
        <f t="shared" si="68"/>
        <v>803</v>
      </c>
      <c r="AE162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162" s="74" t="str">
        <f t="shared" si="70"/>
        <v>"C:\Program Files (x86)\AstroGrep\AstroGrep.exe" /e /r /s /spath="%USERPROFILE%\AppData\Local\Temp\OnboardLogs" /stypes="app*4008*20171110*" /stext=" 13:.+((SYSTEM_STATE.+slice.+state.+changed )|(ment ac)|(multiple cpu faults)|(system.+state.+changed )|(\[timeout)|(PRM\|1\|D)|(kpr)|(kdp)|(train st.+moving)|(\|lc)|(penalty))"</v>
      </c>
      <c r="AG162" s="182" t="str">
        <f t="shared" si="71"/>
        <v>NW</v>
      </c>
      <c r="AH162" s="78" t="str">
        <f t="shared" si="56"/>
        <v>"%USERPROFILE%\Documents\GitHub\eaglep3\Utilities\RefineRTDCRunTimes.py" --tripid 803-10 --locoid 4008 --swversion DE.1.0.9.0 --startMP 204:1004 --initTime 2017-11-10T05:59:58 --startdatetime 2017-11-10T06:09:15 --delay 83 --endMP 300:58956 --enddatetime 2017-11-10T06:25:03 --enforcementcount 1 &gt;&gt;%USERPROFILE%\Documents\GitHub\eaglep3-reporting\EC\2017-11-10-refined-times.txt</v>
      </c>
      <c r="AI162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{"issue":{"subject":"","project_id":79,"tracker_id":40,"status_id":1,"priority_id":2,"assigned_to_id":338,"start_date":"2017-11-10","description":"","custom_fields":[{"id":1,"name":"Subdivision","value":"NW"},{"id":4,"name":"Milepost","value":"5.8956"},{"id":17,"name":"Train ID","value":"803-10"},{"id":16,"name":"Locomotive ID","value":"4008"},{"id":130,"name":"Impact","value":""},{"id":150,"name":"Time of Event (Mountain Time)","value":"06:25:03"},{"id":151,"name":"Denver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58"/>
        <v>start /low /b %USERPROFILE%\Documents\GitHub\eaglep3\Utilities\DownloadLogsFromS3.py --loco 4008 --day 2017-11-10</v>
      </c>
      <c r="AN162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13:25:03"},{"id":29,"name":"Sharepoint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60"/>
        <v>https://d0f6bd738d7f1b3e5a7ca70fe4ff75f0.us-east-1.aws.found.io/app/kibana#/discover/Steve-Slow-Train-Analysis-(2080s-and-2083s)?_g=(refreshInterval:(display:Off,pause:!f,section:0,value:0),time:(from:'2017-11-10T04:59:58-0700',mode:absolute,to:'2017-11-10T07:25:03-0700'))&amp;_a=(columns:!('Message%20ID',Summary),filters:!(),index:'emp_*',interval:auto,query:(query_string:(analyze_wildcard:!t,query:'%22rtdc.l.rtdc.4008%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701</v>
      </c>
      <c r="B163" s="7">
        <v>4007</v>
      </c>
      <c r="C163" s="21" t="s">
        <v>192</v>
      </c>
      <c r="D163" s="21" t="s">
        <v>1026</v>
      </c>
      <c r="E163" s="13">
        <v>43049.269097222219</v>
      </c>
      <c r="F163" s="13">
        <v>43049.279930555553</v>
      </c>
      <c r="G163" s="7">
        <v>56</v>
      </c>
      <c r="H163" s="21" t="s">
        <v>1027</v>
      </c>
      <c r="I163" s="13">
        <v>43049.288553240738</v>
      </c>
      <c r="J163" s="7">
        <v>1</v>
      </c>
      <c r="K163" s="89" t="str">
        <f t="shared" si="61"/>
        <v>4007/4008</v>
      </c>
      <c r="L163" s="185" t="str">
        <f>VLOOKUP(A163,'Trips&amp;Operators'!$C$1:$G$99911,5,FALSE)</f>
        <v>BARRON PERLA</v>
      </c>
      <c r="M163" s="6">
        <f t="shared" si="62"/>
        <v>8.6226851854007691E-3</v>
      </c>
      <c r="N163" s="7">
        <f t="shared" si="74"/>
        <v>12.416666666977108</v>
      </c>
      <c r="O163" s="7"/>
      <c r="P163" s="7"/>
      <c r="Q163" s="22"/>
      <c r="R163" s="174"/>
      <c r="S163" s="221">
        <f t="shared" si="72"/>
        <v>1</v>
      </c>
      <c r="T163" s="174" t="str">
        <f t="shared" si="63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64"/>
        <v>https://d0f6bd738d7f1b3e5a7ca70fe4ff75f0.us-east-1.aws.found.io/app/kibana#/discover/Steve-Slow-Train-Analysis-(2080s-and-2083s)?_g=(refreshInterval:(display:Off,pause:!f,section:0,value:0),time:(from:'2017-11-10T05:27:30-0700',mode:absolute,to:'2017-11-10T07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3" s="204" t="str">
        <f>IF(AA163&lt;VLOOKUP(AG163,Variables!$AC$3:$AD$8,2,FALSE),"Y","N")</f>
        <v>N</v>
      </c>
      <c r="X163" s="204">
        <f t="shared" si="55"/>
        <v>1</v>
      </c>
      <c r="Y163" s="204">
        <f t="shared" si="65"/>
        <v>5.8639999999999999</v>
      </c>
      <c r="Z163" s="204">
        <f t="shared" si="66"/>
        <v>7.2599999999999998E-2</v>
      </c>
      <c r="AA163" s="204">
        <f t="shared" si="67"/>
        <v>5.7913999999999994</v>
      </c>
      <c r="AB163" s="54" t="e">
        <f>VLOOKUP(A163,Enforcements!$C$7:$K$9,8,0)</f>
        <v>#N/A</v>
      </c>
      <c r="AC163" s="51" t="e">
        <f>VLOOKUP(A163,Enforcements!$C$7:$E$9,3,0)</f>
        <v>#N/A</v>
      </c>
      <c r="AD163" s="179">
        <f t="shared" si="68"/>
        <v>804</v>
      </c>
      <c r="AE163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163" s="74" t="str">
        <f t="shared" si="70"/>
        <v>"C:\Program Files (x86)\AstroGrep\AstroGrep.exe" /e /r /s /spath="%USERPROFILE%\AppData\Local\Temp\OnboardLogs" /stypes="app*4007*20171110*" /stext=" 13:.+((SYSTEM_STATE.+slice.+state.+changed )|(ment ac)|(multiple cpu faults)|(system.+state.+changed )|(\[timeout)|(PRM\|1\|D)|(kpr)|(kdp)|(train st.+moving)|(\|lc)|(penalty))"</v>
      </c>
      <c r="AG163" s="182" t="str">
        <f t="shared" si="71"/>
        <v>NW</v>
      </c>
      <c r="AH163" s="78" t="str">
        <f t="shared" si="56"/>
        <v>"%USERPROFILE%\Documents\GitHub\eaglep3\Utilities\RefineRTDCRunTimes.py" --tripid 804-10 --locoid 4007 --swversion DE.1.0.9.0 --startMP 300:58640 --initTime 2017-11-10T06:27:30 --startdatetime 2017-11-10T06:43:06 --delay 56 --endMP 204:726 --enddatetime 2017-11-10T06:55:31 --enforcementcount 1 &gt;&gt;%USERPROFILE%\Documents\GitHub\eaglep3-reporting\EC\2017-11-10-refined-times.txt</v>
      </c>
      <c r="AI163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{"issue":{"subject":"","project_id":79,"tracker_id":40,"status_id":1,"priority_id":2,"assigned_to_id":338,"start_date":"2017-11-10","description":"","custom_fields":[{"id":1,"name":"Subdivision","value":"NW"},{"id":4,"name":"Milepost","value":"0.0726"},{"id":17,"name":"Train ID","value":"804-10"},{"id":16,"name":"Locomotive ID","value":"4007"},{"id":130,"name":"Impact","value":""},{"id":150,"name":"Time of Event (Mountain Time)","value":"06:55:31"},{"id":151,"name":"Denver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58"/>
        <v>start /low /b %USERPROFILE%\Documents\GitHub\eaglep3\Utilities\DownloadLogsFromS3.py --loco 4007 --day 2017-11-10</v>
      </c>
      <c r="AN163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13:55:31"},{"id":29,"name":"Sharepoint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60"/>
        <v>https://d0f6bd738d7f1b3e5a7ca70fe4ff75f0.us-east-1.aws.found.io/app/kibana#/discover/Steve-Slow-Train-Analysis-(2080s-and-2083s)?_g=(refreshInterval:(display:Off,pause:!f,section:0,value:0),time:(from:'2017-11-10T05:27:30-0700',mode:absolute,to:'2017-11-10T07:55:31-0700'))&amp;_a=(columns:!('Message%20ID',Summary),filters:!(),index:'emp_*',interval:auto,query:(query_string:(analyze_wildcard:!t,query:'%22rtdc.l.rtdc.4007%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702</v>
      </c>
      <c r="B164" s="7">
        <v>4032</v>
      </c>
      <c r="C164" s="21" t="s">
        <v>192</v>
      </c>
      <c r="D164" s="21" t="s">
        <v>1028</v>
      </c>
      <c r="E164" s="13">
        <v>43049.273854166669</v>
      </c>
      <c r="F164" s="13">
        <v>43049.277291666665</v>
      </c>
      <c r="G164" s="7">
        <v>67</v>
      </c>
      <c r="H164" s="21" t="s">
        <v>635</v>
      </c>
      <c r="I164" s="13">
        <v>43049.287847222222</v>
      </c>
      <c r="J164" s="7">
        <v>1</v>
      </c>
      <c r="K164" s="89" t="str">
        <f t="shared" si="61"/>
        <v>4031/4032</v>
      </c>
      <c r="L164" s="185" t="str">
        <f>VLOOKUP(A164,'Trips&amp;Operators'!$C$1:$G$99911,5,FALSE)</f>
        <v>WILLIAMS DONTE</v>
      </c>
      <c r="M164" s="6">
        <f t="shared" si="62"/>
        <v>1.0555555556493346E-2</v>
      </c>
      <c r="N164" s="7">
        <f t="shared" si="74"/>
        <v>15.200000001350418</v>
      </c>
      <c r="O164" s="7"/>
      <c r="P164" s="7"/>
      <c r="Q164" s="22"/>
      <c r="R164" s="174"/>
      <c r="S164" s="221">
        <f t="shared" si="72"/>
        <v>1</v>
      </c>
      <c r="T164" s="174" t="str">
        <f t="shared" si="63"/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4"/>
        <v>https://d0f6bd738d7f1b3e5a7ca70fe4ff75f0.us-east-1.aws.found.io/app/kibana#/discover/Steve-Slow-Train-Analysis-(2080s-and-2083s)?_g=(refreshInterval:(display:Off,pause:!f,section:0,value:0),time:(from:'2017-11-10T05:34:21-0700',mode:absolute,to:'2017-11-10T07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4" s="204" t="str">
        <f>IF(AA164&lt;VLOOKUP(AG164,Variables!$AC$3:$AD$8,2,FALSE),"Y","N")</f>
        <v>N</v>
      </c>
      <c r="X164" s="204">
        <f t="shared" si="55"/>
        <v>1</v>
      </c>
      <c r="Y164" s="204">
        <f t="shared" si="65"/>
        <v>9.5699999999999993E-2</v>
      </c>
      <c r="Z164" s="204">
        <f t="shared" si="66"/>
        <v>5.8936999999999999</v>
      </c>
      <c r="AA164" s="204">
        <f t="shared" si="67"/>
        <v>5.798</v>
      </c>
      <c r="AB164" s="54" t="e">
        <f>VLOOKUP(A164,Enforcements!$C$7:$K$9,8,0)</f>
        <v>#N/A</v>
      </c>
      <c r="AC164" s="51" t="e">
        <f>VLOOKUP(A164,Enforcements!$C$7:$E$9,3,0)</f>
        <v>#N/A</v>
      </c>
      <c r="AD164" s="179">
        <f t="shared" si="68"/>
        <v>805</v>
      </c>
      <c r="AE164" s="77" t="str">
        <f t="shared" si="69"/>
        <v>aws s3 cp s3://rtdc.mdm.uploadarchive.raw/RTDC4032/ "%USERPROFILE%\AppData\Local\Temp\OnboardLogs"\RTDC4032\2017-11-10 --exclude "*" --recursive --include "*20171110*" &amp; "%USERPROFILE%\Documents\GitHub\mrs-test-scripts\Headless Mode &amp; Sideloading\WalkAndUnGZ.bat" "%USERPROFILE%\AppData\Local\Temp\OnboardLogs"\RTDC4032\2017-11-10 &amp; aws s3 cp s3://rtdc.mdm.uploadarchive.raw/RTDC4032/ "%USERPROFILE%\AppData\Local\Temp\OnboardLogs"\RTDC4032\2017-11-11 --exclude "*" --recursive --include "*20171111*" &amp; "%USERPROFILE%\Documents\GitHub\mrs-test-scripts\Headless Mode &amp; Sideloading\WalkAndUnGZ.bat" "%USERPROFILE%\AppData\Local\Temp\OnboardLogs"\RTDC4032\2017-11-11</v>
      </c>
      <c r="AF164" s="74" t="str">
        <f t="shared" si="70"/>
        <v>"C:\Program Files (x86)\AstroGrep\AstroGrep.exe" /e /r /s /spath="%USERPROFILE%\AppData\Local\Temp\OnboardLogs" /stypes="app*4032*20171110*" /stext=" 13:.+((SYSTEM_STATE.+slice.+state.+changed )|(ment ac)|(multiple cpu faults)|(system.+state.+changed )|(\[timeout)|(PRM\|1\|D)|(kpr)|(kdp)|(train st.+moving)|(\|lc)|(penalty))"</v>
      </c>
      <c r="AG164" s="182" t="str">
        <f t="shared" si="71"/>
        <v>NW</v>
      </c>
      <c r="AH164" s="78" t="str">
        <f t="shared" si="56"/>
        <v>"%USERPROFILE%\Documents\GitHub\eaglep3\Utilities\RefineRTDCRunTimes.py" --tripid 805-10 --locoid 4032 --swversion DE.1.0.9.0 --startMP 204:957 --initTime 2017-11-10T06:34:21 --startdatetime 2017-11-10T06:39:18 --delay 67 --endMP 300:58937 --enddatetime 2017-11-10T06:54:30 --enforcementcount 1 &gt;&gt;%USERPROFILE%\Documents\GitHub\eaglep3-reporting\EC\2017-11-10-refined-times.txt</v>
      </c>
      <c r="AI164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{"issue":{"subject":"","project_id":79,"tracker_id":40,"status_id":1,"priority_id":2,"assigned_to_id":338,"start_date":"2017-11-10","description":"","custom_fields":[{"id":1,"name":"Subdivision","value":"NW"},{"id":4,"name":"Milepost","value":"5.8937"},{"id":17,"name":"Train ID","value":"805-10"},{"id":16,"name":"Locomotive ID","value":"4032"},{"id":130,"name":"Impact","value":""},{"id":150,"name":"Time of Event (Mountain Time)","value":"06:54:30"},{"id":151,"name":"Denver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58"/>
        <v>start /low /b %USERPROFILE%\Documents\GitHub\eaglep3\Utilities\DownloadLogsFromS3.py --loco 4032 --day 2017-11-10</v>
      </c>
      <c r="AN164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13:54:30"},{"id":29,"name":"Sharepoint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60"/>
        <v>https://d0f6bd738d7f1b3e5a7ca70fe4ff75f0.us-east-1.aws.found.io/app/kibana#/discover/Steve-Slow-Train-Analysis-(2080s-and-2083s)?_g=(refreshInterval:(display:Off,pause:!f,section:0,value:0),time:(from:'2017-11-10T05:34:21-0700',mode:absolute,to:'2017-11-10T07:54:30-0700'))&amp;_a=(columns:!('Message%20ID',Summary),filters:!(),index:'emp_*',interval:auto,query:(query_string:(analyze_wildcard:!t,query:'%22rtdc.l.rtdc.4032%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706</v>
      </c>
      <c r="B165" s="7">
        <v>4031</v>
      </c>
      <c r="C165" s="21" t="s">
        <v>192</v>
      </c>
      <c r="D165" s="21" t="s">
        <v>1029</v>
      </c>
      <c r="E165" s="13">
        <v>43049.289166666669</v>
      </c>
      <c r="F165" s="13">
        <v>43049.30027777778</v>
      </c>
      <c r="G165" s="7">
        <v>61</v>
      </c>
      <c r="H165" s="21" t="s">
        <v>630</v>
      </c>
      <c r="I165" s="13">
        <v>43049.309374999997</v>
      </c>
      <c r="J165" s="7">
        <v>1</v>
      </c>
      <c r="K165" s="89" t="str">
        <f t="shared" si="61"/>
        <v>4031/4032</v>
      </c>
      <c r="L165" s="185" t="str">
        <f>VLOOKUP(A165,'Trips&amp;Operators'!$C$1:$G$99911,5,FALSE)</f>
        <v>WILLIAMS DONTE</v>
      </c>
      <c r="M165" s="6">
        <f t="shared" si="62"/>
        <v>9.0972222169511952E-3</v>
      </c>
      <c r="N165" s="7">
        <f t="shared" si="74"/>
        <v>13.099999992409721</v>
      </c>
      <c r="O165" s="7"/>
      <c r="P165" s="7"/>
      <c r="Q165" s="22"/>
      <c r="R165" s="174"/>
      <c r="S165" s="221">
        <f t="shared" si="72"/>
        <v>1</v>
      </c>
      <c r="T165" s="174" t="str">
        <f t="shared" si="63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4"/>
        <v>https://d0f6bd738d7f1b3e5a7ca70fe4ff75f0.us-east-1.aws.found.io/app/kibana#/discover/Steve-Slow-Train-Analysis-(2080s-and-2083s)?_g=(refreshInterval:(display:Off,pause:!f,section:0,value:0),time:(from:'2017-11-10T05:56:24-0700',mode:absolute,to:'2017-11-10T08:25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5" s="204" t="str">
        <f>IF(AA165&lt;VLOOKUP(AG165,Variables!$AC$3:$AD$8,2,FALSE),"Y","N")</f>
        <v>N</v>
      </c>
      <c r="X165" s="204">
        <f t="shared" si="55"/>
        <v>1</v>
      </c>
      <c r="Y165" s="204">
        <f t="shared" si="65"/>
        <v>5.8623000000000003</v>
      </c>
      <c r="Z165" s="204">
        <f t="shared" si="66"/>
        <v>6.8699999999999997E-2</v>
      </c>
      <c r="AA165" s="204">
        <f t="shared" si="67"/>
        <v>5.7936000000000005</v>
      </c>
      <c r="AB165" s="54" t="e">
        <f>VLOOKUP(A165,Enforcements!$C$7:$K$9,8,0)</f>
        <v>#N/A</v>
      </c>
      <c r="AC165" s="51" t="e">
        <f>VLOOKUP(A165,Enforcements!$C$7:$E$9,3,0)</f>
        <v>#N/A</v>
      </c>
      <c r="AD165" s="179">
        <f t="shared" si="68"/>
        <v>806</v>
      </c>
      <c r="AE165" s="77" t="str">
        <f t="shared" si="69"/>
        <v>aws s3 cp s3://rtdc.mdm.uploadarchive.raw/RTDC4031/ "%USERPROFILE%\AppData\Local\Temp\OnboardLogs"\RTDC4031\2017-11-10 --exclude "*" --recursive --include "*20171110*" &amp; "%USERPROFILE%\Documents\GitHub\mrs-test-scripts\Headless Mode &amp; Sideloading\WalkAndUnGZ.bat" "%USERPROFILE%\AppData\Local\Temp\OnboardLogs"\RTDC4031\2017-11-10 &amp; aws s3 cp s3://rtdc.mdm.uploadarchive.raw/RTDC4031/ "%USERPROFILE%\AppData\Local\Temp\OnboardLogs"\RTDC4031\2017-11-11 --exclude "*" --recursive --include "*20171111*" &amp; "%USERPROFILE%\Documents\GitHub\mrs-test-scripts\Headless Mode &amp; Sideloading\WalkAndUnGZ.bat" "%USERPROFILE%\AppData\Local\Temp\OnboardLogs"\RTDC4031\2017-11-11</v>
      </c>
      <c r="AF165" s="74" t="str">
        <f t="shared" si="70"/>
        <v>"C:\Program Files (x86)\AstroGrep\AstroGrep.exe" /e /r /s /spath="%USERPROFILE%\AppData\Local\Temp\OnboardLogs" /stypes="app*4031*20171110*" /stext=" 14:.+((SYSTEM_STATE.+slice.+state.+changed )|(ment ac)|(multiple cpu faults)|(system.+state.+changed )|(\[timeout)|(PRM\|1\|D)|(kpr)|(kdp)|(train st.+moving)|(\|lc)|(penalty))"</v>
      </c>
      <c r="AG165" s="182" t="str">
        <f t="shared" si="71"/>
        <v>NW</v>
      </c>
      <c r="AH165" s="78" t="str">
        <f t="shared" si="56"/>
        <v>"%USERPROFILE%\Documents\GitHub\eaglep3\Utilities\RefineRTDCRunTimes.py" --tripid 806-10 --locoid 4031 --swversion DE.1.0.9.0 --startMP 300:58623 --initTime 2017-11-10T06:56:24 --startdatetime 2017-11-10T07:12:24 --delay 61 --endMP 204:687 --enddatetime 2017-11-10T07:25:30 --enforcementcount 1 &gt;&gt;%USERPROFILE%\Documents\GitHub\eaglep3-reporting\EC\2017-11-10-refined-times.txt</v>
      </c>
      <c r="AI165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{"issue":{"subject":"","project_id":79,"tracker_id":40,"status_id":1,"priority_id":2,"assigned_to_id":338,"start_date":"2017-11-10","description":"","custom_fields":[{"id":1,"name":"Subdivision","value":"NW"},{"id":4,"name":"Milepost","value":"0.0687"},{"id":17,"name":"Train ID","value":"806-10"},{"id":16,"name":"Locomotive ID","value":"4031"},{"id":130,"name":"Impact","value":""},{"id":150,"name":"Time of Event (Mountain Time)","value":"07:25:30"},{"id":151,"name":"Denver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58"/>
        <v>start /low /b %USERPROFILE%\Documents\GitHub\eaglep3\Utilities\DownloadLogsFromS3.py --loco 4031 --day 2017-11-10</v>
      </c>
      <c r="AN165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14:25:30"},{"id":29,"name":"Sharepoint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60"/>
        <v>https://d0f6bd738d7f1b3e5a7ca70fe4ff75f0.us-east-1.aws.found.io/app/kibana#/discover/Steve-Slow-Train-Analysis-(2080s-and-2083s)?_g=(refreshInterval:(display:Off,pause:!f,section:0,value:0),time:(from:'2017-11-10T05:56:24-0700',mode:absolute,to:'2017-11-10T08:25:30-0700'))&amp;_a=(columns:!('Message%20ID',Summary),filters:!(),index:'emp_*',interval:auto,query:(query_string:(analyze_wildcard:!t,query:'%22rtdc.l.rtdc.4031%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708</v>
      </c>
      <c r="B166" s="7">
        <v>4008</v>
      </c>
      <c r="C166" s="21" t="s">
        <v>192</v>
      </c>
      <c r="D166" s="21" t="s">
        <v>1030</v>
      </c>
      <c r="E166" s="13">
        <v>43049.290196759262</v>
      </c>
      <c r="F166" s="13">
        <v>43049.298472222225</v>
      </c>
      <c r="G166" s="7">
        <v>68</v>
      </c>
      <c r="H166" s="21" t="s">
        <v>1031</v>
      </c>
      <c r="I166" s="13">
        <v>43049.308831018519</v>
      </c>
      <c r="J166" s="7">
        <v>1</v>
      </c>
      <c r="K166" s="89" t="str">
        <f t="shared" si="61"/>
        <v>4007/4008</v>
      </c>
      <c r="L166" s="185" t="str">
        <f>VLOOKUP(A166,'Trips&amp;Operators'!$C$1:$G$99911,5,FALSE)</f>
        <v>BARRON PERLA</v>
      </c>
      <c r="M166" s="6">
        <f t="shared" si="62"/>
        <v>1.0358796294895001E-2</v>
      </c>
      <c r="N166" s="7">
        <f t="shared" si="74"/>
        <v>14.916666664648801</v>
      </c>
      <c r="O166" s="7"/>
      <c r="P166" s="7"/>
      <c r="Q166" s="22"/>
      <c r="R166" s="174"/>
      <c r="S166" s="221">
        <f t="shared" si="72"/>
        <v>1</v>
      </c>
      <c r="T166" s="174" t="str">
        <f t="shared" si="63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4"/>
        <v>https://d0f6bd738d7f1b3e5a7ca70fe4ff75f0.us-east-1.aws.found.io/app/kibana#/discover/Steve-Slow-Train-Analysis-(2080s-and-2083s)?_g=(refreshInterval:(display:Off,pause:!f,section:0,value:0),time:(from:'2017-11-10T05:57:53-0700',mode:absolute,to:'2017-11-10T08:24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6" s="204" t="str">
        <f>IF(AA166&lt;VLOOKUP(AG166,Variables!$AC$3:$AD$8,2,FALSE),"Y","N")</f>
        <v>N</v>
      </c>
      <c r="X166" s="204">
        <f t="shared" si="55"/>
        <v>1</v>
      </c>
      <c r="Y166" s="204">
        <f t="shared" si="65"/>
        <v>0.1023</v>
      </c>
      <c r="Z166" s="204">
        <f t="shared" si="66"/>
        <v>5.8945999999999996</v>
      </c>
      <c r="AA166" s="204">
        <f t="shared" si="67"/>
        <v>5.7923</v>
      </c>
      <c r="AB166" s="54" t="e">
        <f>VLOOKUP(A166,Enforcements!$C$7:$K$9,8,0)</f>
        <v>#N/A</v>
      </c>
      <c r="AC166" s="51" t="e">
        <f>VLOOKUP(A166,Enforcements!$C$7:$E$9,3,0)</f>
        <v>#N/A</v>
      </c>
      <c r="AD166" s="179">
        <f t="shared" si="68"/>
        <v>807</v>
      </c>
      <c r="AE166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166" s="74" t="str">
        <f t="shared" si="70"/>
        <v>"C:\Program Files (x86)\AstroGrep\AstroGrep.exe" /e /r /s /spath="%USERPROFILE%\AppData\Local\Temp\OnboardLogs" /stypes="app*4008*20171110*" /stext=" 14:.+((SYSTEM_STATE.+slice.+state.+changed )|(ment ac)|(multiple cpu faults)|(system.+state.+changed )|(\[timeout)|(PRM\|1\|D)|(kpr)|(kdp)|(train st.+moving)|(\|lc)|(penalty))"</v>
      </c>
      <c r="AG166" s="182" t="str">
        <f t="shared" si="71"/>
        <v>NW</v>
      </c>
      <c r="AH166" s="78" t="str">
        <f t="shared" si="56"/>
        <v>"%USERPROFILE%\Documents\GitHub\eaglep3\Utilities\RefineRTDCRunTimes.py" --tripid 807-10 --locoid 4008 --swversion DE.1.0.9.0 --startMP 204:1023 --initTime 2017-11-10T06:57:53 --startdatetime 2017-11-10T07:09:48 --delay 68 --endMP 300:58946 --enddatetime 2017-11-10T07:24:43 --enforcementcount 1 &gt;&gt;%USERPROFILE%\Documents\GitHub\eaglep3-reporting\EC\2017-11-10-refined-times.txt</v>
      </c>
      <c r="AI166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{"issue":{"subject":"","project_id":79,"tracker_id":40,"status_id":1,"priority_id":2,"assigned_to_id":338,"start_date":"2017-11-10","description":"","custom_fields":[{"id":1,"name":"Subdivision","value":"NW"},{"id":4,"name":"Milepost","value":"5.8946"},{"id":17,"name":"Train ID","value":"807-10"},{"id":16,"name":"Locomotive ID","value":"4008"},{"id":130,"name":"Impact","value":""},{"id":150,"name":"Time of Event (Mountain Time)","value":"07:24:43"},{"id":151,"name":"Denver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58"/>
        <v>start /low /b %USERPROFILE%\Documents\GitHub\eaglep3\Utilities\DownloadLogsFromS3.py --loco 4008 --day 2017-11-10</v>
      </c>
      <c r="AN166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14:24:43"},{"id":29,"name":"Sharepoint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60"/>
        <v>https://d0f6bd738d7f1b3e5a7ca70fe4ff75f0.us-east-1.aws.found.io/app/kibana#/discover/Steve-Slow-Train-Analysis-(2080s-and-2083s)?_g=(refreshInterval:(display:Off,pause:!f,section:0,value:0),time:(from:'2017-11-10T05:57:53-0700',mode:absolute,to:'2017-11-10T08:24:43-0700'))&amp;_a=(columns:!('Message%20ID',Summary),filters:!(),index:'emp_*',interval:auto,query:(query_string:(analyze_wildcard:!t,query:'%22rtdc.l.rtdc.4008%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713</v>
      </c>
      <c r="B167" s="7">
        <v>4007</v>
      </c>
      <c r="C167" s="21" t="s">
        <v>192</v>
      </c>
      <c r="D167" s="21" t="s">
        <v>1032</v>
      </c>
      <c r="E167" s="13">
        <v>43049.310115740744</v>
      </c>
      <c r="F167" s="13">
        <v>43049.321099537039</v>
      </c>
      <c r="G167" s="7">
        <v>92</v>
      </c>
      <c r="H167" s="21" t="s">
        <v>640</v>
      </c>
      <c r="I167" s="13">
        <v>43049.329930555556</v>
      </c>
      <c r="J167" s="7">
        <v>1</v>
      </c>
      <c r="K167" s="89" t="str">
        <f t="shared" si="61"/>
        <v>4007/4008</v>
      </c>
      <c r="L167" s="185" t="str">
        <f>VLOOKUP(A167,'Trips&amp;Operators'!$C$1:$G$99911,5,FALSE)</f>
        <v>BARRON PERLA</v>
      </c>
      <c r="M167" s="6">
        <f t="shared" si="62"/>
        <v>8.8310185165028088E-3</v>
      </c>
      <c r="N167" s="7">
        <f t="shared" si="74"/>
        <v>12.716666663764045</v>
      </c>
      <c r="O167" s="7"/>
      <c r="P167" s="7"/>
      <c r="Q167" s="22"/>
      <c r="R167" s="174"/>
      <c r="S167" s="221">
        <f t="shared" si="72"/>
        <v>1</v>
      </c>
      <c r="T167" s="174" t="str">
        <f t="shared" si="63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4"/>
        <v>https://d0f6bd738d7f1b3e5a7ca70fe4ff75f0.us-east-1.aws.found.io/app/kibana#/discover/Steve-Slow-Train-Analysis-(2080s-and-2083s)?_g=(refreshInterval:(display:Off,pause:!f,section:0,value:0),time:(from:'2017-11-10T06:26:34-0700',mode:absolute,to:'2017-11-10T08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7" s="204" t="str">
        <f>IF(AA167&lt;VLOOKUP(AG167,Variables!$AC$3:$AD$8,2,FALSE),"Y","N")</f>
        <v>N</v>
      </c>
      <c r="X167" s="204">
        <f t="shared" si="55"/>
        <v>1</v>
      </c>
      <c r="Y167" s="204">
        <f t="shared" si="65"/>
        <v>5.8635999999999999</v>
      </c>
      <c r="Z167" s="204">
        <f t="shared" si="66"/>
        <v>7.5499999999999998E-2</v>
      </c>
      <c r="AA167" s="204">
        <f t="shared" si="67"/>
        <v>5.7881</v>
      </c>
      <c r="AB167" s="54" t="e">
        <f>VLOOKUP(A167,Enforcements!$C$7:$K$9,8,0)</f>
        <v>#N/A</v>
      </c>
      <c r="AC167" s="51" t="e">
        <f>VLOOKUP(A167,Enforcements!$C$7:$E$9,3,0)</f>
        <v>#N/A</v>
      </c>
      <c r="AD167" s="179">
        <f t="shared" si="68"/>
        <v>808</v>
      </c>
      <c r="AE167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167" s="74" t="str">
        <f t="shared" si="70"/>
        <v>"C:\Program Files (x86)\AstroGrep\AstroGrep.exe" /e /r /s /spath="%USERPROFILE%\AppData\Local\Temp\OnboardLogs" /stypes="app*4007*20171110*" /stext=" 14:.+((SYSTEM_STATE.+slice.+state.+changed )|(ment ac)|(multiple cpu faults)|(system.+state.+changed )|(\[timeout)|(PRM\|1\|D)|(kpr)|(kdp)|(train st.+moving)|(\|lc)|(penalty))"</v>
      </c>
      <c r="AG167" s="182" t="str">
        <f t="shared" si="71"/>
        <v>NW</v>
      </c>
      <c r="AH167" s="78" t="str">
        <f t="shared" si="56"/>
        <v>"%USERPROFILE%\Documents\GitHub\eaglep3\Utilities\RefineRTDCRunTimes.py" --tripid 808-10 --locoid 4007 --swversion DE.1.0.9.0 --startMP 300:58636 --initTime 2017-11-10T07:26:34 --startdatetime 2017-11-10T07:42:23 --delay 92 --endMP 204:755 --enddatetime 2017-11-10T07:55:06 --enforcementcount 1 &gt;&gt;%USERPROFILE%\Documents\GitHub\eaglep3-reporting\EC\2017-11-10-refined-times.txt</v>
      </c>
      <c r="AI167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{"issue":{"subject":"","project_id":79,"tracker_id":40,"status_id":1,"priority_id":2,"assigned_to_id":338,"start_date":"2017-11-10","description":"","custom_fields":[{"id":1,"name":"Subdivision","value":"NW"},{"id":4,"name":"Milepost","value":"0.0755"},{"id":17,"name":"Train ID","value":"808-10"},{"id":16,"name":"Locomotive ID","value":"4007"},{"id":130,"name":"Impact","value":""},{"id":150,"name":"Time of Event (Mountain Time)","value":"07:55:06"},{"id":151,"name":"Denver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58"/>
        <v>start /low /b %USERPROFILE%\Documents\GitHub\eaglep3\Utilities\DownloadLogsFromS3.py --loco 4007 --day 2017-11-10</v>
      </c>
      <c r="AN167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14:55:06"},{"id":29,"name":"Sharepoint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60"/>
        <v>https://d0f6bd738d7f1b3e5a7ca70fe4ff75f0.us-east-1.aws.found.io/app/kibana#/discover/Steve-Slow-Train-Analysis-(2080s-and-2083s)?_g=(refreshInterval:(display:Off,pause:!f,section:0,value:0),time:(from:'2017-11-10T06:26:34-0700',mode:absolute,to:'2017-11-10T08:55:06-0700'))&amp;_a=(columns:!('Message%20ID',Summary),filters:!(),index:'emp_*',interval:auto,query:(query_string:(analyze_wildcard:!t,query:'%22rtdc.l.rtdc.4007%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714</v>
      </c>
      <c r="B168" s="7">
        <v>4032</v>
      </c>
      <c r="C168" s="21" t="s">
        <v>192</v>
      </c>
      <c r="D168" s="21" t="s">
        <v>1033</v>
      </c>
      <c r="E168" s="13">
        <v>43049.316516203704</v>
      </c>
      <c r="F168" s="13">
        <v>43049.319328703707</v>
      </c>
      <c r="G168" s="7">
        <v>79</v>
      </c>
      <c r="H168" s="21" t="s">
        <v>1022</v>
      </c>
      <c r="I168" s="13">
        <v>43049.329479166663</v>
      </c>
      <c r="J168" s="7">
        <v>1</v>
      </c>
      <c r="K168" s="89" t="str">
        <f t="shared" si="61"/>
        <v>4031/4032</v>
      </c>
      <c r="L168" s="185" t="str">
        <f>VLOOKUP(A168,'Trips&amp;Operators'!$C$1:$G$99911,5,FALSE)</f>
        <v>WILLIAMS DONTE</v>
      </c>
      <c r="M168" s="6">
        <f t="shared" si="62"/>
        <v>1.0150462956517003E-2</v>
      </c>
      <c r="N168" s="7">
        <f t="shared" si="74"/>
        <v>14.616666657384485</v>
      </c>
      <c r="O168" s="7"/>
      <c r="P168" s="7"/>
      <c r="Q168" s="22"/>
      <c r="R168" s="174"/>
      <c r="S168" s="221">
        <f t="shared" si="72"/>
        <v>1</v>
      </c>
      <c r="T168" s="174" t="str">
        <f t="shared" si="63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64"/>
        <v>https://d0f6bd738d7f1b3e5a7ca70fe4ff75f0.us-east-1.aws.found.io/app/kibana#/discover/Steve-Slow-Train-Analysis-(2080s-and-2083s)?_g=(refreshInterval:(display:Off,pause:!f,section:0,value:0),time:(from:'2017-11-10T06:35:47-0700',mode:absolute,to:'2017-11-10T08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8" s="204" t="str">
        <f>IF(AA168&lt;VLOOKUP(AG168,Variables!$AC$3:$AD$8,2,FALSE),"Y","N")</f>
        <v>N</v>
      </c>
      <c r="X168" s="204">
        <f t="shared" si="55"/>
        <v>1</v>
      </c>
      <c r="Y168" s="204">
        <f t="shared" si="65"/>
        <v>9.9900000000000003E-2</v>
      </c>
      <c r="Z168" s="204">
        <f t="shared" si="66"/>
        <v>5.8940999999999999</v>
      </c>
      <c r="AA168" s="204">
        <f t="shared" si="67"/>
        <v>5.7942</v>
      </c>
      <c r="AB168" s="54" t="e">
        <f>VLOOKUP(A168,Enforcements!$C$7:$K$9,8,0)</f>
        <v>#N/A</v>
      </c>
      <c r="AC168" s="51" t="e">
        <f>VLOOKUP(A168,Enforcements!$C$7:$E$9,3,0)</f>
        <v>#N/A</v>
      </c>
      <c r="AD168" s="179">
        <f t="shared" si="68"/>
        <v>809</v>
      </c>
      <c r="AE168" s="77" t="str">
        <f t="shared" si="69"/>
        <v>aws s3 cp s3://rtdc.mdm.uploadarchive.raw/RTDC4032/ "%USERPROFILE%\AppData\Local\Temp\OnboardLogs"\RTDC4032\2017-11-10 --exclude "*" --recursive --include "*20171110*" &amp; "%USERPROFILE%\Documents\GitHub\mrs-test-scripts\Headless Mode &amp; Sideloading\WalkAndUnGZ.bat" "%USERPROFILE%\AppData\Local\Temp\OnboardLogs"\RTDC4032\2017-11-10 &amp; aws s3 cp s3://rtdc.mdm.uploadarchive.raw/RTDC4032/ "%USERPROFILE%\AppData\Local\Temp\OnboardLogs"\RTDC4032\2017-11-11 --exclude "*" --recursive --include "*20171111*" &amp; "%USERPROFILE%\Documents\GitHub\mrs-test-scripts\Headless Mode &amp; Sideloading\WalkAndUnGZ.bat" "%USERPROFILE%\AppData\Local\Temp\OnboardLogs"\RTDC4032\2017-11-11</v>
      </c>
      <c r="AF168" s="74" t="str">
        <f t="shared" si="70"/>
        <v>"C:\Program Files (x86)\AstroGrep\AstroGrep.exe" /e /r /s /spath="%USERPROFILE%\AppData\Local\Temp\OnboardLogs" /stypes="app*4032*20171110*" /stext=" 14:.+((SYSTEM_STATE.+slice.+state.+changed )|(ment ac)|(multiple cpu faults)|(system.+state.+changed )|(\[timeout)|(PRM\|1\|D)|(kpr)|(kdp)|(train st.+moving)|(\|lc)|(penalty))"</v>
      </c>
      <c r="AG168" s="182" t="str">
        <f t="shared" si="71"/>
        <v>NW</v>
      </c>
      <c r="AH168" s="78" t="str">
        <f t="shared" si="56"/>
        <v>"%USERPROFILE%\Documents\GitHub\eaglep3\Utilities\RefineRTDCRunTimes.py" --tripid 809-10 --locoid 4032 --swversion DE.1.0.9.0 --startMP 204:999 --initTime 2017-11-10T07:35:47 --startdatetime 2017-11-10T07:39:50 --delay 79 --endMP 300:58941 --enddatetime 2017-11-10T07:54:27 --enforcementcount 1 &gt;&gt;%USERPROFILE%\Documents\GitHub\eaglep3-reporting\EC\2017-11-10-refined-times.txt</v>
      </c>
      <c r="AI168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{"issue":{"subject":"","project_id":79,"tracker_id":40,"status_id":1,"priority_id":2,"assigned_to_id":338,"start_date":"2017-11-10","description":"","custom_fields":[{"id":1,"name":"Subdivision","value":"NW"},{"id":4,"name":"Milepost","value":"5.8941"},{"id":17,"name":"Train ID","value":"809-10"},{"id":16,"name":"Locomotive ID","value":"4032"},{"id":130,"name":"Impact","value":""},{"id":150,"name":"Time of Event (Mountain Time)","value":"07:54:27"},{"id":151,"name":"Denver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58"/>
        <v>start /low /b %USERPROFILE%\Documents\GitHub\eaglep3\Utilities\DownloadLogsFromS3.py --loco 4032 --day 2017-11-10</v>
      </c>
      <c r="AN168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14:54:27"},{"id":29,"name":"Sharepoint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60"/>
        <v>https://d0f6bd738d7f1b3e5a7ca70fe4ff75f0.us-east-1.aws.found.io/app/kibana#/discover/Steve-Slow-Train-Analysis-(2080s-and-2083s)?_g=(refreshInterval:(display:Off,pause:!f,section:0,value:0),time:(from:'2017-11-10T06:35:47-0700',mode:absolute,to:'2017-11-10T08:54:27-0700'))&amp;_a=(columns:!('Message%20ID',Summary),filters:!(),index:'emp_*',interval:auto,query:(query_string:(analyze_wildcard:!t,query:'%22rtdc.l.rtdc.4032%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718</v>
      </c>
      <c r="B169" s="7">
        <v>4031</v>
      </c>
      <c r="C169" s="21" t="s">
        <v>192</v>
      </c>
      <c r="D169" s="21" t="s">
        <v>568</v>
      </c>
      <c r="E169" s="13">
        <v>43049.330717592595</v>
      </c>
      <c r="F169" s="13">
        <v>43049.341990740744</v>
      </c>
      <c r="G169" s="7">
        <v>64</v>
      </c>
      <c r="H169" s="21" t="s">
        <v>1034</v>
      </c>
      <c r="I169" s="13">
        <v>43049.351134259261</v>
      </c>
      <c r="J169" s="7">
        <v>1</v>
      </c>
      <c r="K169" s="89" t="str">
        <f t="shared" si="61"/>
        <v>4031/4032</v>
      </c>
      <c r="L169" s="185" t="str">
        <f>VLOOKUP(A169,'Trips&amp;Operators'!$C$1:$G$99911,5,FALSE)</f>
        <v>WILLIAMS DONTE</v>
      </c>
      <c r="M169" s="6">
        <f t="shared" si="62"/>
        <v>9.1435185167938471E-3</v>
      </c>
      <c r="N169" s="7">
        <f t="shared" si="74"/>
        <v>13.16666666418314</v>
      </c>
      <c r="O169" s="7"/>
      <c r="P169" s="7"/>
      <c r="Q169" s="22"/>
      <c r="R169" s="174"/>
      <c r="S169" s="221">
        <f t="shared" si="72"/>
        <v>1</v>
      </c>
      <c r="T169" s="174" t="str">
        <f t="shared" si="63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64"/>
        <v>https://d0f6bd738d7f1b3e5a7ca70fe4ff75f0.us-east-1.aws.found.io/app/kibana#/discover/Steve-Slow-Train-Analysis-(2080s-and-2083s)?_g=(refreshInterval:(display:Off,pause:!f,section:0,value:0),time:(from:'2017-11-10T06:56:14-0700',mode:absolute,to:'2017-11-10T09:25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9" s="204" t="str">
        <f>IF(AA169&lt;VLOOKUP(AG169,Variables!$AC$3:$AD$8,2,FALSE),"Y","N")</f>
        <v>N</v>
      </c>
      <c r="X169" s="204">
        <f t="shared" si="55"/>
        <v>1</v>
      </c>
      <c r="Y169" s="204">
        <f t="shared" si="65"/>
        <v>5.8628</v>
      </c>
      <c r="Z169" s="204">
        <f t="shared" si="66"/>
        <v>1.3299999999999999E-2</v>
      </c>
      <c r="AA169" s="204">
        <f t="shared" si="67"/>
        <v>5.8494999999999999</v>
      </c>
      <c r="AB169" s="54" t="e">
        <f>VLOOKUP(A169,Enforcements!$C$7:$K$9,8,0)</f>
        <v>#N/A</v>
      </c>
      <c r="AC169" s="51" t="e">
        <f>VLOOKUP(A169,Enforcements!$C$7:$E$9,3,0)</f>
        <v>#N/A</v>
      </c>
      <c r="AD169" s="179">
        <f t="shared" si="68"/>
        <v>810</v>
      </c>
      <c r="AE169" s="77" t="str">
        <f t="shared" si="69"/>
        <v>aws s3 cp s3://rtdc.mdm.uploadarchive.raw/RTDC4031/ "%USERPROFILE%\AppData\Local\Temp\OnboardLogs"\RTDC4031\2017-11-10 --exclude "*" --recursive --include "*20171110*" &amp; "%USERPROFILE%\Documents\GitHub\mrs-test-scripts\Headless Mode &amp; Sideloading\WalkAndUnGZ.bat" "%USERPROFILE%\AppData\Local\Temp\OnboardLogs"\RTDC4031\2017-11-10 &amp; aws s3 cp s3://rtdc.mdm.uploadarchive.raw/RTDC4031/ "%USERPROFILE%\AppData\Local\Temp\OnboardLogs"\RTDC4031\2017-11-11 --exclude "*" --recursive --include "*20171111*" &amp; "%USERPROFILE%\Documents\GitHub\mrs-test-scripts\Headless Mode &amp; Sideloading\WalkAndUnGZ.bat" "%USERPROFILE%\AppData\Local\Temp\OnboardLogs"\RTDC4031\2017-11-11</v>
      </c>
      <c r="AF169" s="74" t="str">
        <f t="shared" si="70"/>
        <v>"C:\Program Files (x86)\AstroGrep\AstroGrep.exe" /e /r /s /spath="%USERPROFILE%\AppData\Local\Temp\OnboardLogs" /stypes="app*4031*20171110*" /stext=" 15:.+((SYSTEM_STATE.+slice.+state.+changed )|(ment ac)|(multiple cpu faults)|(system.+state.+changed )|(\[timeout)|(PRM\|1\|D)|(kpr)|(kdp)|(train st.+moving)|(\|lc)|(penalty))"</v>
      </c>
      <c r="AG169" s="182" t="str">
        <f t="shared" si="71"/>
        <v>NW</v>
      </c>
      <c r="AH169" s="78" t="str">
        <f t="shared" si="56"/>
        <v>"%USERPROFILE%\Documents\GitHub\eaglep3\Utilities\RefineRTDCRunTimes.py" --tripid 810-10 --locoid 4031 --swversion DE.1.0.9.0 --startMP 300:58628 --initTime 2017-11-10T07:56:14 --startdatetime 2017-11-10T08:12:28 --delay 64 --endMP 204:133 --enddatetime 2017-11-10T08:25:38 --enforcementcount 1 &gt;&gt;%USERPROFILE%\Documents\GitHub\eaglep3-reporting\EC\2017-11-10-refined-times.txt</v>
      </c>
      <c r="AI169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{"issue":{"subject":"","project_id":79,"tracker_id":40,"status_id":1,"priority_id":2,"assigned_to_id":338,"start_date":"2017-11-10","description":"","custom_fields":[{"id":1,"name":"Subdivision","value":"NW"},{"id":4,"name":"Milepost","value":"0.0133"},{"id":17,"name":"Train ID","value":"810-10"},{"id":16,"name":"Locomotive ID","value":"4031"},{"id":130,"name":"Impact","value":""},{"id":150,"name":"Time of Event (Mountain Time)","value":"08:25:38"},{"id":151,"name":"Denver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58"/>
        <v>start /low /b %USERPROFILE%\Documents\GitHub\eaglep3\Utilities\DownloadLogsFromS3.py --loco 4031 --day 2017-11-10</v>
      </c>
      <c r="AN169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15:25:38"},{"id":29,"name":"Sharepoint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60"/>
        <v>https://d0f6bd738d7f1b3e5a7ca70fe4ff75f0.us-east-1.aws.found.io/app/kibana#/discover/Steve-Slow-Train-Analysis-(2080s-and-2083s)?_g=(refreshInterval:(display:Off,pause:!f,section:0,value:0),time:(from:'2017-11-10T06:56:14-0700',mode:absolute,to:'2017-11-10T09:25:38-0700'))&amp;_a=(columns:!('Message%20ID',Summary),filters:!(),index:'emp_*',interval:auto,query:(query_string:(analyze_wildcard:!t,query:'%22rtdc.l.rtdc.4031%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720</v>
      </c>
      <c r="B170" s="7">
        <v>4008</v>
      </c>
      <c r="C170" s="21" t="s">
        <v>192</v>
      </c>
      <c r="D170" s="21" t="s">
        <v>1035</v>
      </c>
      <c r="E170" s="13">
        <v>43049.337581018517</v>
      </c>
      <c r="F170" s="13">
        <v>43049.34034722222</v>
      </c>
      <c r="G170" s="7">
        <v>81</v>
      </c>
      <c r="H170" s="21" t="s">
        <v>1036</v>
      </c>
      <c r="I170" s="13">
        <v>43049.350891203707</v>
      </c>
      <c r="J170" s="7">
        <v>1</v>
      </c>
      <c r="K170" s="89" t="str">
        <f t="shared" si="61"/>
        <v>4007/4008</v>
      </c>
      <c r="L170" s="185" t="str">
        <f>VLOOKUP(A170,'Trips&amp;Operators'!$C$1:$G$99911,5,FALSE)</f>
        <v>BARRON PERLA</v>
      </c>
      <c r="M170" s="6">
        <f t="shared" si="62"/>
        <v>1.0543981486989651E-2</v>
      </c>
      <c r="N170" s="7">
        <f t="shared" si="74"/>
        <v>15.183333341265097</v>
      </c>
      <c r="O170" s="7"/>
      <c r="P170" s="7"/>
      <c r="Q170" s="22"/>
      <c r="R170" s="174"/>
      <c r="S170" s="221">
        <f t="shared" si="72"/>
        <v>1</v>
      </c>
      <c r="T170" s="174" t="str">
        <f t="shared" si="63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64"/>
        <v>https://d0f6bd738d7f1b3e5a7ca70fe4ff75f0.us-east-1.aws.found.io/app/kibana#/discover/Steve-Slow-Train-Analysis-(2080s-and-2083s)?_g=(refreshInterval:(display:Off,pause:!f,section:0,value:0),time:(from:'2017-11-10T07:06:07-0700',mode:absolute,to:'2017-11-10T09:25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0" s="204" t="str">
        <f>IF(AA170&lt;VLOOKUP(AG170,Variables!$AC$3:$AD$8,2,FALSE),"Y","N")</f>
        <v>N</v>
      </c>
      <c r="X170" s="204">
        <f t="shared" si="55"/>
        <v>1</v>
      </c>
      <c r="Y170" s="204">
        <f t="shared" si="65"/>
        <v>0.10390000000000001</v>
      </c>
      <c r="Z170" s="204">
        <f t="shared" si="66"/>
        <v>5.8958000000000004</v>
      </c>
      <c r="AA170" s="204">
        <f t="shared" si="67"/>
        <v>5.7919</v>
      </c>
      <c r="AB170" s="54" t="e">
        <f>VLOOKUP(A170,Enforcements!$C$7:$K$9,8,0)</f>
        <v>#N/A</v>
      </c>
      <c r="AC170" s="51" t="e">
        <f>VLOOKUP(A170,Enforcements!$C$7:$E$9,3,0)</f>
        <v>#N/A</v>
      </c>
      <c r="AD170" s="179">
        <f t="shared" si="68"/>
        <v>811</v>
      </c>
      <c r="AE170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170" s="74" t="str">
        <f t="shared" si="70"/>
        <v>"C:\Program Files (x86)\AstroGrep\AstroGrep.exe" /e /r /s /spath="%USERPROFILE%\AppData\Local\Temp\OnboardLogs" /stypes="app*4008*20171110*" /stext=" 15:.+((SYSTEM_STATE.+slice.+state.+changed )|(ment ac)|(multiple cpu faults)|(system.+state.+changed )|(\[timeout)|(PRM\|1\|D)|(kpr)|(kdp)|(train st.+moving)|(\|lc)|(penalty))"</v>
      </c>
      <c r="AG170" s="182" t="str">
        <f t="shared" si="71"/>
        <v>NW</v>
      </c>
      <c r="AH170" s="78" t="str">
        <f t="shared" si="56"/>
        <v>"%USERPROFILE%\Documents\GitHub\eaglep3\Utilities\RefineRTDCRunTimes.py" --tripid 811-10 --locoid 4008 --swversion DE.1.0.9.0 --startMP 204:1039 --initTime 2017-11-10T08:06:07 --startdatetime 2017-11-10T08:10:06 --delay 81 --endMP 300:58958 --enddatetime 2017-11-10T08:25:17 --enforcementcount 1 &gt;&gt;%USERPROFILE%\Documents\GitHub\eaglep3-reporting\EC\2017-11-10-refined-times.txt</v>
      </c>
      <c r="AI170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{"issue":{"subject":"","project_id":79,"tracker_id":40,"status_id":1,"priority_id":2,"assigned_to_id":338,"start_date":"2017-11-10","description":"","custom_fields":[{"id":1,"name":"Subdivision","value":"NW"},{"id":4,"name":"Milepost","value":"5.8958"},{"id":17,"name":"Train ID","value":"811-10"},{"id":16,"name":"Locomotive ID","value":"4008"},{"id":130,"name":"Impact","value":""},{"id":150,"name":"Time of Event (Mountain Time)","value":"08:25:17"},{"id":151,"name":"Denver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58"/>
        <v>start /low /b %USERPROFILE%\Documents\GitHub\eaglep3\Utilities\DownloadLogsFromS3.py --loco 4008 --day 2017-11-10</v>
      </c>
      <c r="AN170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15:25:17"},{"id":29,"name":"Sharepoint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60"/>
        <v>https://d0f6bd738d7f1b3e5a7ca70fe4ff75f0.us-east-1.aws.found.io/app/kibana#/discover/Steve-Slow-Train-Analysis-(2080s-and-2083s)?_g=(refreshInterval:(display:Off,pause:!f,section:0,value:0),time:(from:'2017-11-10T07:06:07-0700',mode:absolute,to:'2017-11-10T09:25:17-0700'))&amp;_a=(columns:!('Message%20ID',Summary),filters:!(),index:'emp_*',interval:auto,query:(query_string:(analyze_wildcard:!t,query:'%22rtdc.l.rtdc.4008%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724</v>
      </c>
      <c r="B171" s="7">
        <v>4007</v>
      </c>
      <c r="C171" s="21" t="s">
        <v>192</v>
      </c>
      <c r="D171" s="21" t="s">
        <v>568</v>
      </c>
      <c r="E171" s="13">
        <v>43049.352743055555</v>
      </c>
      <c r="F171" s="13">
        <v>43049.363356481481</v>
      </c>
      <c r="G171" s="7">
        <v>80</v>
      </c>
      <c r="H171" s="21" t="s">
        <v>1037</v>
      </c>
      <c r="I171" s="13">
        <v>43049.373090277775</v>
      </c>
      <c r="J171" s="7">
        <v>1</v>
      </c>
      <c r="K171" s="89" t="str">
        <f t="shared" si="61"/>
        <v>4007/4008</v>
      </c>
      <c r="L171" s="185" t="str">
        <f>VLOOKUP(A171,'Trips&amp;Operators'!$C$1:$G$99911,5,FALSE)</f>
        <v>BARRON PERLA</v>
      </c>
      <c r="M171" s="6">
        <f t="shared" si="62"/>
        <v>9.7337962943129241E-3</v>
      </c>
      <c r="N171" s="7"/>
      <c r="O171" s="7"/>
      <c r="P171" s="7"/>
      <c r="Q171" s="22"/>
      <c r="R171" s="174"/>
      <c r="S171" s="221"/>
      <c r="T171" s="174" t="str">
        <f t="shared" si="63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216" t="str">
        <f t="shared" si="64"/>
        <v>https://d0f6bd738d7f1b3e5a7ca70fe4ff75f0.us-east-1.aws.found.io/app/kibana#/discover/Steve-Slow-Train-Analysis-(2080s-and-2083s)?_g=(refreshInterval:(display:Off,pause:!f,section:0,value:0),time:(from:'2017-11-10T07:27:57-0700',mode:absolute,to:'2017-11-10T09:57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1" s="204" t="str">
        <f>IF(AA171&lt;VLOOKUP(AG171,Variables!$AC$3:$AD$8,2,FALSE),"Y","N")</f>
        <v>Y</v>
      </c>
      <c r="X171" s="204">
        <f t="shared" ref="X171:X173" si="75">VALUE(LEFT(AD171,4))-VALUE(LEFT(AD170,4))</f>
        <v>1</v>
      </c>
      <c r="Y171" s="204">
        <f t="shared" si="65"/>
        <v>5.8628</v>
      </c>
      <c r="Z171" s="204">
        <f t="shared" si="66"/>
        <v>5.7240000000000002</v>
      </c>
      <c r="AA171" s="204">
        <f t="shared" si="67"/>
        <v>0.13879999999999981</v>
      </c>
      <c r="AB171" s="54" t="e">
        <f>VLOOKUP(A171,Enforcements!$C$7:$K$9,8,0)</f>
        <v>#N/A</v>
      </c>
      <c r="AC171" s="51" t="e">
        <f>VLOOKUP(A171,Enforcements!$C$7:$E$9,3,0)</f>
        <v>#N/A</v>
      </c>
      <c r="AD171" s="179">
        <f t="shared" si="68"/>
        <v>812</v>
      </c>
      <c r="AE171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171" s="74" t="str">
        <f t="shared" si="70"/>
        <v>"C:\Program Files (x86)\AstroGrep\AstroGrep.exe" /e /r /s /spath="%USERPROFILE%\AppData\Local\Temp\OnboardLogs" /stypes="app*4007*20171110*" /stext=" 15:.+((SYSTEM_STATE.+slice.+state.+changed )|(ment ac)|(multiple cpu faults)|(system.+state.+changed )|(\[timeout)|(PRM\|1\|D)|(kpr)|(kdp)|(train st.+moving)|(\|lc)|(penalty))"</v>
      </c>
      <c r="AG171" s="182" t="str">
        <f t="shared" si="71"/>
        <v>NW</v>
      </c>
      <c r="AH171" s="78" t="str">
        <f t="shared" si="56"/>
        <v>"%USERPROFILE%\Documents\GitHub\eaglep3\Utilities\RefineRTDCRunTimes.py" --tripid 812-10 --locoid 4007 --swversion DE.1.0.9.0 --startMP 300:58628 --initTime 2017-11-10T08:27:57 --startdatetime 2017-11-10T08:43:14 --delay 80 --endMP 300:57240 --enddatetime 2017-11-10T08:57:15 --enforcementcount 1 &gt;&gt;%USERPROFILE%\Documents\GitHub\eaglep3-reporting\EC\2017-11-10-refined-times.txt</v>
      </c>
      <c r="AI171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{"issue":{"subject":"","project_id":79,"tracker_id":40,"status_id":1,"priority_id":2,"assigned_to_id":338,"start_date":"2017-11-10","description":"","custom_fields":[{"id":1,"name":"Subdivision","value":"NW"},{"id":4,"name":"Milepost","value":"5.724"},{"id":17,"name":"Train ID","value":"812-10"},{"id":16,"name":"Locomotive ID","value":"4007"},{"id":130,"name":"Impact","value":""},{"id":150,"name":"Time of Event (Mountain Time)","value":"08:57:15"},{"id":151,"name":"Denver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58"/>
        <v>start /low /b %USERPROFILE%\Documents\GitHub\eaglep3\Utilities\DownloadLogsFromS3.py --loco 4007 --day 2017-11-10</v>
      </c>
      <c r="AN171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15:57:15"},{"id":29,"name":"Sharepoint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60"/>
        <v>https://d0f6bd738d7f1b3e5a7ca70fe4ff75f0.us-east-1.aws.found.io/app/kibana#/discover/Steve-Slow-Train-Analysis-(2080s-and-2083s)?_g=(refreshInterval:(display:Off,pause:!f,section:0,value:0),time:(from:'2017-11-10T07:27:57-0700',mode:absolute,to:'2017-11-10T09:57:15-0700'))&amp;_a=(columns:!('Message%20ID',Summary),filters:!(),index:'emp_*',interval:auto,query:(query_string:(analyze_wildcard:!t,query:'%22rtdc.l.rtdc.4007%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724</v>
      </c>
      <c r="B172" s="7">
        <v>4007</v>
      </c>
      <c r="C172" s="21" t="s">
        <v>192</v>
      </c>
      <c r="D172" s="21" t="s">
        <v>1038</v>
      </c>
      <c r="E172" s="13">
        <v>43049.361203703702</v>
      </c>
      <c r="F172" s="13">
        <v>43049.363356481481</v>
      </c>
      <c r="G172" s="7">
        <v>61</v>
      </c>
      <c r="H172" s="21" t="s">
        <v>1039</v>
      </c>
      <c r="I172" s="13">
        <v>43049.373090277775</v>
      </c>
      <c r="J172" s="7">
        <v>1</v>
      </c>
      <c r="K172" s="89" t="str">
        <f t="shared" si="61"/>
        <v>4007/4008</v>
      </c>
      <c r="L172" s="185" t="str">
        <f>VLOOKUP(A172,'Trips&amp;Operators'!$C$1:$G$99911,5,FALSE)</f>
        <v>BARRON PERLA</v>
      </c>
      <c r="M172" s="6">
        <f t="shared" si="62"/>
        <v>9.7337962943129241E-3</v>
      </c>
      <c r="N172" s="7">
        <f t="shared" ref="N172:N203" si="76">24*60*SUM($M172:$M172)</f>
        <v>14.016666663810611</v>
      </c>
      <c r="O172" s="7"/>
      <c r="P172" s="7"/>
      <c r="Q172" s="22"/>
      <c r="R172" s="174"/>
      <c r="S172" s="221">
        <f t="shared" ref="S172:S203" si="77">1/IF(AG172="EC",12,1)*SUM(U172:U172)</f>
        <v>1</v>
      </c>
      <c r="T172" s="174" t="str">
        <f t="shared" si="63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4"/>
        <v>https://d0f6bd738d7f1b3e5a7ca70fe4ff75f0.us-east-1.aws.found.io/app/kibana#/discover/Steve-Slow-Train-Analysis-(2080s-and-2083s)?_g=(refreshInterval:(display:Off,pause:!f,section:0,value:0),time:(from:'2017-11-10T07:40:08-0700',mode:absolute,to:'2017-11-10T09:57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2" s="204" t="str">
        <f>IF(AA172&lt;VLOOKUP(AG172,Variables!$AC$3:$AD$8,2,FALSE),"Y","N")</f>
        <v>N</v>
      </c>
      <c r="X172" s="204">
        <f t="shared" si="75"/>
        <v>0</v>
      </c>
      <c r="Y172" s="204">
        <f t="shared" si="65"/>
        <v>5.7251000000000003</v>
      </c>
      <c r="Z172" s="204">
        <f t="shared" si="66"/>
        <v>7.3800000000000004E-2</v>
      </c>
      <c r="AA172" s="204">
        <f t="shared" si="67"/>
        <v>5.6513</v>
      </c>
      <c r="AB172" s="54" t="e">
        <f>VLOOKUP(A172,Enforcements!$C$7:$K$9,8,0)</f>
        <v>#N/A</v>
      </c>
      <c r="AC172" s="51" t="e">
        <f>VLOOKUP(A172,Enforcements!$C$7:$E$9,3,0)</f>
        <v>#N/A</v>
      </c>
      <c r="AD172" s="179">
        <f t="shared" si="68"/>
        <v>812</v>
      </c>
      <c r="AE172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172" s="74" t="str">
        <f t="shared" si="70"/>
        <v>"C:\Program Files (x86)\AstroGrep\AstroGrep.exe" /e /r /s /spath="%USERPROFILE%\AppData\Local\Temp\OnboardLogs" /stypes="app*4007*20171110*" /stext=" 15:.+((SYSTEM_STATE.+slice.+state.+changed )|(ment ac)|(multiple cpu faults)|(system.+state.+changed )|(\[timeout)|(PRM\|1\|D)|(kpr)|(kdp)|(train st.+moving)|(\|lc)|(penalty))"</v>
      </c>
      <c r="AG172" s="182" t="str">
        <f t="shared" si="71"/>
        <v>NW</v>
      </c>
      <c r="AH172" s="78" t="str">
        <f t="shared" si="56"/>
        <v>"%USERPROFILE%\Documents\GitHub\eaglep3\Utilities\RefineRTDCRunTimes.py" --tripid 812-10 --locoid 4007 --swversion DE.1.0.9.0 --startMP 300:57251 --initTime 2017-11-10T08:40:08 --startdatetime 2017-11-10T08:43:14 --delay 61 --endMP 204:738 --enddatetime 2017-11-10T08:57:15 --enforcementcount 1 &gt;&gt;%USERPROFILE%\Documents\GitHub\eaglep3-reporting\EC\2017-11-10-refined-times.txt</v>
      </c>
      <c r="AI172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{"issue":{"subject":"","project_id":79,"tracker_id":40,"status_id":1,"priority_id":2,"assigned_to_id":338,"start_date":"2017-11-10","description":"","custom_fields":[{"id":1,"name":"Subdivision","value":"NW"},{"id":4,"name":"Milepost","value":"0.0738"},{"id":17,"name":"Train ID","value":"812-10"},{"id":16,"name":"Locomotive ID","value":"4007"},{"id":130,"name":"Impact","value":""},{"id":150,"name":"Time of Event (Mountain Time)","value":"08:57:15"},{"id":151,"name":"Denver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58"/>
        <v>start /low /b %USERPROFILE%\Documents\GitHub\eaglep3\Utilities\DownloadLogsFromS3.py --loco 4007 --day 2017-11-10</v>
      </c>
      <c r="AN172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15:57:15"},{"id":29,"name":"Sharepoint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60"/>
        <v>https://d0f6bd738d7f1b3e5a7ca70fe4ff75f0.us-east-1.aws.found.io/app/kibana#/discover/Steve-Slow-Train-Analysis-(2080s-and-2083s)?_g=(refreshInterval:(display:Off,pause:!f,section:0,value:0),time:(from:'2017-11-10T07:40:08-0700',mode:absolute,to:'2017-11-10T09:57:15-0700'))&amp;_a=(columns:!('Message%20ID',Summary),filters:!(),index:'emp_*',interval:auto,query:(query_string:(analyze_wildcard:!t,query:'%22rtdc.l.rtdc.4007%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731</v>
      </c>
      <c r="B173" s="7">
        <v>4008</v>
      </c>
      <c r="C173" s="21" t="s">
        <v>192</v>
      </c>
      <c r="D173" s="21" t="s">
        <v>1040</v>
      </c>
      <c r="E173" s="13">
        <v>43049.376747685186</v>
      </c>
      <c r="F173" s="13">
        <v>43049.38144675926</v>
      </c>
      <c r="G173" s="7">
        <v>87</v>
      </c>
      <c r="H173" s="21" t="s">
        <v>1041</v>
      </c>
      <c r="I173" s="13">
        <v>43049.392141203702</v>
      </c>
      <c r="J173" s="7">
        <v>1</v>
      </c>
      <c r="K173" s="89" t="str">
        <f t="shared" si="61"/>
        <v>4007/4008</v>
      </c>
      <c r="L173" s="185" t="str">
        <f>VLOOKUP(A173,'Trips&amp;Operators'!$C$1:$G$99911,5,FALSE)</f>
        <v>BARRON PERLA</v>
      </c>
      <c r="M173" s="6">
        <f t="shared" si="62"/>
        <v>1.0694444441469386E-2</v>
      </c>
      <c r="N173" s="7">
        <f t="shared" si="76"/>
        <v>15.399999995715916</v>
      </c>
      <c r="O173" s="7"/>
      <c r="P173" s="7"/>
      <c r="Q173" s="22"/>
      <c r="R173" s="174"/>
      <c r="S173" s="221">
        <f t="shared" si="77"/>
        <v>1</v>
      </c>
      <c r="T173" s="174" t="str">
        <f t="shared" si="63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4"/>
        <v>https://d0f6bd738d7f1b3e5a7ca70fe4ff75f0.us-east-1.aws.found.io/app/kibana#/discover/Steve-Slow-Train-Analysis-(2080s-and-2083s)?_g=(refreshInterval:(display:Off,pause:!f,section:0,value:0),time:(from:'2017-11-10T08:02:31-0700',mode:absolute,to:'2017-11-10T10:24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3" s="204" t="str">
        <f>IF(AA173&lt;VLOOKUP(AG173,Variables!$AC$3:$AD$8,2,FALSE),"Y","N")</f>
        <v>N</v>
      </c>
      <c r="X173" s="204">
        <f t="shared" si="75"/>
        <v>1</v>
      </c>
      <c r="Y173" s="204">
        <f t="shared" ref="Y173:Y194" si="78">RIGHT(D173,LEN(D173)-4)/10000</f>
        <v>0.1062</v>
      </c>
      <c r="Z173" s="204">
        <f t="shared" ref="Z173:Z194" si="79">RIGHT(H173,LEN(H173)-4)/10000</f>
        <v>5.8975</v>
      </c>
      <c r="AA173" s="204">
        <f t="shared" si="67"/>
        <v>5.7912999999999997</v>
      </c>
      <c r="AB173" s="54" t="e">
        <f>VLOOKUP(A173,Enforcements!$C$7:$K$9,8,0)</f>
        <v>#N/A</v>
      </c>
      <c r="AC173" s="51" t="e">
        <f>VLOOKUP(A173,Enforcements!$C$7:$E$9,3,0)</f>
        <v>#N/A</v>
      </c>
      <c r="AD173" s="179">
        <f t="shared" si="68"/>
        <v>813</v>
      </c>
      <c r="AE173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173" s="74" t="str">
        <f t="shared" si="70"/>
        <v>"C:\Program Files (x86)\AstroGrep\AstroGrep.exe" /e /r /s /spath="%USERPROFILE%\AppData\Local\Temp\OnboardLogs" /stypes="app*4008*20171110*" /stext=" 16:.+((SYSTEM_STATE.+slice.+state.+changed )|(ment ac)|(multiple cpu faults)|(system.+state.+changed )|(\[timeout)|(PRM\|1\|D)|(kpr)|(kdp)|(train st.+moving)|(\|lc)|(penalty))"</v>
      </c>
      <c r="AG173" s="182" t="str">
        <f t="shared" si="71"/>
        <v>NW</v>
      </c>
      <c r="AH173" s="78" t="str">
        <f t="shared" si="56"/>
        <v>"%USERPROFILE%\Documents\GitHub\eaglep3\Utilities\RefineRTDCRunTimes.py" --tripid 813-10 --locoid 4008 --swversion DE.1.0.9.0 --startMP 204:1062 --initTime 2017-11-10T09:02:31 --startdatetime 2017-11-10T09:09:17 --delay 87 --endMP 300:58975 --enddatetime 2017-11-10T09:24:41 --enforcementcount 1 &gt;&gt;%USERPROFILE%\Documents\GitHub\eaglep3-reporting\EC\2017-11-10-refined-times.txt</v>
      </c>
      <c r="AI173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{"issue":{"subject":"","project_id":79,"tracker_id":40,"status_id":1,"priority_id":2,"assigned_to_id":338,"start_date":"2017-11-10","description":"","custom_fields":[{"id":1,"name":"Subdivision","value":"NW"},{"id":4,"name":"Milepost","value":"5.8975"},{"id":17,"name":"Train ID","value":"813-10"},{"id":16,"name":"Locomotive ID","value":"4008"},{"id":130,"name":"Impact","value":""},{"id":150,"name":"Time of Event (Mountain Time)","value":"09:24:41"},{"id":151,"name":"Denver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58"/>
        <v>start /low /b %USERPROFILE%\Documents\GitHub\eaglep3\Utilities\DownloadLogsFromS3.py --loco 4008 --day 2017-11-10</v>
      </c>
      <c r="AN173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16:24:41"},{"id":29,"name":"Sharepoint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60"/>
        <v>https://d0f6bd738d7f1b3e5a7ca70fe4ff75f0.us-east-1.aws.found.io/app/kibana#/discover/Steve-Slow-Train-Analysis-(2080s-and-2083s)?_g=(refreshInterval:(display:Off,pause:!f,section:0,value:0),time:(from:'2017-11-10T08:02:31-0700',mode:absolute,to:'2017-11-10T10:24:41-0700'))&amp;_a=(columns:!('Message%20ID',Summary),filters:!(),index:'emp_*',interval:auto,query:(query_string:(analyze_wildcard:!t,query:'%22rtdc.l.rtdc.4008%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735</v>
      </c>
      <c r="B174" s="7">
        <v>4007</v>
      </c>
      <c r="C174" s="21" t="s">
        <v>192</v>
      </c>
      <c r="D174" s="21" t="s">
        <v>1042</v>
      </c>
      <c r="E174" s="13">
        <v>43049.394317129627</v>
      </c>
      <c r="F174" s="13">
        <v>43049.40488425926</v>
      </c>
      <c r="G174" s="7">
        <v>60</v>
      </c>
      <c r="H174" s="21" t="s">
        <v>1043</v>
      </c>
      <c r="I174" s="13">
        <v>43049.413472222222</v>
      </c>
      <c r="J174" s="7">
        <v>1</v>
      </c>
      <c r="K174" s="89" t="str">
        <f t="shared" si="61"/>
        <v>4007/4008</v>
      </c>
      <c r="L174" s="185" t="str">
        <f>VLOOKUP(A174,'Trips&amp;Operators'!$C$1:$G$99911,5,FALSE)</f>
        <v>BARRON PERLA</v>
      </c>
      <c r="M174" s="6">
        <f t="shared" si="62"/>
        <v>8.5879629623377696E-3</v>
      </c>
      <c r="N174" s="7">
        <f t="shared" si="76"/>
        <v>12.366666665766388</v>
      </c>
      <c r="O174" s="7"/>
      <c r="P174" s="7"/>
      <c r="Q174" s="22"/>
      <c r="R174" s="174"/>
      <c r="S174" s="221">
        <f t="shared" si="77"/>
        <v>1</v>
      </c>
      <c r="T174" s="174" t="str">
        <f t="shared" si="63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4"/>
        <v>https://d0f6bd738d7f1b3e5a7ca70fe4ff75f0.us-east-1.aws.found.io/app/kibana#/discover/Steve-Slow-Train-Analysis-(2080s-and-2083s)?_g=(refreshInterval:(display:Off,pause:!f,section:0,value:0),time:(from:'2017-11-10T08:27:49-0700',mode:absolute,to:'2017-11-10T10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204" t="str">
        <f>IF(AA174&lt;VLOOKUP(AG174,Variables!$AC$3:$AD$8,2,FALSE),"Y","N")</f>
        <v>N</v>
      </c>
      <c r="X174" s="204">
        <f t="shared" ref="X174:X195" si="80">VALUE(LEFT(AD174,4))-VALUE(LEFT(AD173,4))</f>
        <v>1</v>
      </c>
      <c r="Y174" s="204">
        <f t="shared" si="78"/>
        <v>5.8659999999999997</v>
      </c>
      <c r="Z174" s="204">
        <f t="shared" si="79"/>
        <v>7.6200000000000004E-2</v>
      </c>
      <c r="AA174" s="204">
        <f t="shared" si="67"/>
        <v>5.7897999999999996</v>
      </c>
      <c r="AB174" s="54" t="e">
        <f>VLOOKUP(A174,Enforcements!$C$7:$K$9,8,0)</f>
        <v>#N/A</v>
      </c>
      <c r="AC174" s="51" t="e">
        <f>VLOOKUP(A174,Enforcements!$C$7:$E$9,3,0)</f>
        <v>#N/A</v>
      </c>
      <c r="AD174" s="179">
        <f t="shared" si="68"/>
        <v>814</v>
      </c>
      <c r="AE174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174" s="74" t="str">
        <f t="shared" si="70"/>
        <v>"C:\Program Files (x86)\AstroGrep\AstroGrep.exe" /e /r /s /spath="%USERPROFILE%\AppData\Local\Temp\OnboardLogs" /stypes="app*4007*20171110*" /stext=" 16:.+((SYSTEM_STATE.+slice.+state.+changed )|(ment ac)|(multiple cpu faults)|(system.+state.+changed )|(\[timeout)|(PRM\|1\|D)|(kpr)|(kdp)|(train st.+moving)|(\|lc)|(penalty))"</v>
      </c>
      <c r="AG174" s="182" t="str">
        <f t="shared" si="71"/>
        <v>NW</v>
      </c>
      <c r="AH174" s="78" t="str">
        <f t="shared" si="56"/>
        <v>"%USERPROFILE%\Documents\GitHub\eaglep3\Utilities\RefineRTDCRunTimes.py" --tripid 814-10 --locoid 4007 --swversion DE.1.0.9.0 --startMP 300:58660 --initTime 2017-11-10T09:27:49 --startdatetime 2017-11-10T09:43:02 --delay 60 --endMP 204:762 --enddatetime 2017-11-10T09:55:24 --enforcementcount 1 &gt;&gt;%USERPROFILE%\Documents\GitHub\eaglep3-reporting\EC\2017-11-10-refined-times.txt</v>
      </c>
      <c r="AI174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{"issue":{"subject":"","project_id":79,"tracker_id":40,"status_id":1,"priority_id":2,"assigned_to_id":338,"start_date":"2017-11-10","description":"","custom_fields":[{"id":1,"name":"Subdivision","value":"NW"},{"id":4,"name":"Milepost","value":"0.0762"},{"id":17,"name":"Train ID","value":"814-10"},{"id":16,"name":"Locomotive ID","value":"4007"},{"id":130,"name":"Impact","value":""},{"id":150,"name":"Time of Event (Mountain Time)","value":"09:55:24"},{"id":151,"name":"Denver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58"/>
        <v>start /low /b %USERPROFILE%\Documents\GitHub\eaglep3\Utilities\DownloadLogsFromS3.py --loco 4007 --day 2017-11-10</v>
      </c>
      <c r="AN174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16:55:24"},{"id":29,"name":"Sharepoint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60"/>
        <v>https://d0f6bd738d7f1b3e5a7ca70fe4ff75f0.us-east-1.aws.found.io/app/kibana#/discover/Steve-Slow-Train-Analysis-(2080s-and-2083s)?_g=(refreshInterval:(display:Off,pause:!f,section:0,value:0),time:(from:'2017-11-10T08:27:49-0700',mode:absolute,to:'2017-11-10T10:55:24-0700'))&amp;_a=(columns:!('Message%20ID',Summary),filters:!(),index:'emp_*',interval:auto,query:(query_string:(analyze_wildcard:!t,query:'%22rtdc.l.rtdc.4007%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740</v>
      </c>
      <c r="B175" s="7">
        <v>4008</v>
      </c>
      <c r="C175" s="21" t="s">
        <v>192</v>
      </c>
      <c r="D175" s="21" t="s">
        <v>1044</v>
      </c>
      <c r="E175" s="13">
        <v>43049.414837962962</v>
      </c>
      <c r="F175" s="13">
        <v>43049.423298611109</v>
      </c>
      <c r="G175" s="7">
        <v>64</v>
      </c>
      <c r="H175" s="21" t="s">
        <v>1036</v>
      </c>
      <c r="I175" s="13">
        <v>43049.433831018519</v>
      </c>
      <c r="J175" s="7">
        <v>1</v>
      </c>
      <c r="K175" s="89" t="str">
        <f t="shared" si="61"/>
        <v>4007/4008</v>
      </c>
      <c r="L175" s="185" t="str">
        <f>VLOOKUP(A175,'Trips&amp;Operators'!$C$1:$G$99911,5,FALSE)</f>
        <v>BARRON PERLA</v>
      </c>
      <c r="M175" s="6">
        <f t="shared" si="62"/>
        <v>1.0532407410209998E-2</v>
      </c>
      <c r="N175" s="7">
        <f t="shared" si="76"/>
        <v>15.166666670702398</v>
      </c>
      <c r="O175" s="7"/>
      <c r="P175" s="7"/>
      <c r="Q175" s="22"/>
      <c r="R175" s="174"/>
      <c r="S175" s="221">
        <f t="shared" si="77"/>
        <v>1</v>
      </c>
      <c r="T175" s="174" t="str">
        <f t="shared" si="63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4"/>
        <v>https://d0f6bd738d7f1b3e5a7ca70fe4ff75f0.us-east-1.aws.found.io/app/kibana#/discover/Steve-Slow-Train-Analysis-(2080s-and-2083s)?_g=(refreshInterval:(display:Off,pause:!f,section:0,value:0),time:(from:'2017-11-10T08:57:22-0700',mode:absolute,to:'2017-11-10T11:24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204" t="str">
        <f>IF(AA175&lt;VLOOKUP(AG175,Variables!$AC$3:$AD$8,2,FALSE),"Y","N")</f>
        <v>N</v>
      </c>
      <c r="X175" s="204">
        <f t="shared" si="80"/>
        <v>1</v>
      </c>
      <c r="Y175" s="204">
        <f t="shared" si="78"/>
        <v>0.10580000000000001</v>
      </c>
      <c r="Z175" s="204">
        <f t="shared" si="79"/>
        <v>5.8958000000000004</v>
      </c>
      <c r="AA175" s="204">
        <f t="shared" si="67"/>
        <v>5.79</v>
      </c>
      <c r="AB175" s="54" t="e">
        <f>VLOOKUP(A175,Enforcements!$C$7:$K$9,8,0)</f>
        <v>#N/A</v>
      </c>
      <c r="AC175" s="51" t="e">
        <f>VLOOKUP(A175,Enforcements!$C$7:$E$9,3,0)</f>
        <v>#N/A</v>
      </c>
      <c r="AD175" s="179">
        <f t="shared" si="68"/>
        <v>815</v>
      </c>
      <c r="AE175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175" s="74" t="str">
        <f t="shared" si="70"/>
        <v>"C:\Program Files (x86)\AstroGrep\AstroGrep.exe" /e /r /s /spath="%USERPROFILE%\AppData\Local\Temp\OnboardLogs" /stypes="app*4008*20171110*" /stext=" 17:.+((SYSTEM_STATE.+slice.+state.+changed )|(ment ac)|(multiple cpu faults)|(system.+state.+changed )|(\[timeout)|(PRM\|1\|D)|(kpr)|(kdp)|(train st.+moving)|(\|lc)|(penalty))"</v>
      </c>
      <c r="AG175" s="182" t="str">
        <f t="shared" si="71"/>
        <v>NW</v>
      </c>
      <c r="AH175" s="78" t="str">
        <f t="shared" si="56"/>
        <v>"%USERPROFILE%\Documents\GitHub\eaglep3\Utilities\RefineRTDCRunTimes.py" --tripid 815-10 --locoid 4008 --swversion DE.1.0.9.0 --startMP 204:1058 --initTime 2017-11-10T09:57:22 --startdatetime 2017-11-10T10:09:33 --delay 64 --endMP 300:58958 --enddatetime 2017-11-10T10:24:43 --enforcementcount 1 &gt;&gt;%USERPROFILE%\Documents\GitHub\eaglep3-reporting\EC\2017-11-10-refined-times.txt</v>
      </c>
      <c r="AI175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{"issue":{"subject":"","project_id":79,"tracker_id":40,"status_id":1,"priority_id":2,"assigned_to_id":338,"start_date":"2017-11-10","description":"","custom_fields":[{"id":1,"name":"Subdivision","value":"NW"},{"id":4,"name":"Milepost","value":"5.8958"},{"id":17,"name":"Train ID","value":"815-10"},{"id":16,"name":"Locomotive ID","value":"4008"},{"id":130,"name":"Impact","value":""},{"id":150,"name":"Time of Event (Mountain Time)","value":"10:24:43"},{"id":151,"name":"Denver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58"/>
        <v>start /low /b %USERPROFILE%\Documents\GitHub\eaglep3\Utilities\DownloadLogsFromS3.py --loco 4008 --day 2017-11-10</v>
      </c>
      <c r="AN175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17:24:43"},{"id":29,"name":"Sharepoint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60"/>
        <v>https://d0f6bd738d7f1b3e5a7ca70fe4ff75f0.us-east-1.aws.found.io/app/kibana#/discover/Steve-Slow-Train-Analysis-(2080s-and-2083s)?_g=(refreshInterval:(display:Off,pause:!f,section:0,value:0),time:(from:'2017-11-10T08:57:22-0700',mode:absolute,to:'2017-11-10T11:24:43-0700'))&amp;_a=(columns:!('Message%20ID',Summary),filters:!(),index:'emp_*',interval:auto,query:(query_string:(analyze_wildcard:!t,query:'%22rtdc.l.rtdc.4008%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744</v>
      </c>
      <c r="B176" s="7">
        <v>4007</v>
      </c>
      <c r="C176" s="21" t="s">
        <v>192</v>
      </c>
      <c r="D176" s="21" t="s">
        <v>632</v>
      </c>
      <c r="E176" s="13">
        <v>43049.435486111113</v>
      </c>
      <c r="F176" s="13">
        <v>43049.446562500001</v>
      </c>
      <c r="G176" s="7">
        <v>55</v>
      </c>
      <c r="H176" s="21" t="s">
        <v>1045</v>
      </c>
      <c r="I176" s="13">
        <v>43049.45758101852</v>
      </c>
      <c r="J176" s="7">
        <v>1</v>
      </c>
      <c r="K176" s="89" t="str">
        <f t="shared" si="61"/>
        <v>4007/4008</v>
      </c>
      <c r="L176" s="185" t="str">
        <f>VLOOKUP(A176,'Trips&amp;Operators'!$C$1:$G$99911,5,FALSE)</f>
        <v>BARRON PERLA</v>
      </c>
      <c r="M176" s="6">
        <f t="shared" si="62"/>
        <v>1.1018518518540077E-2</v>
      </c>
      <c r="N176" s="7">
        <f t="shared" si="76"/>
        <v>15.866666666697711</v>
      </c>
      <c r="O176" s="7"/>
      <c r="P176" s="7"/>
      <c r="Q176" s="22"/>
      <c r="R176" s="174"/>
      <c r="S176" s="221">
        <f t="shared" si="77"/>
        <v>1</v>
      </c>
      <c r="T176" s="174" t="str">
        <f t="shared" si="63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4"/>
        <v>https://d0f6bd738d7f1b3e5a7ca70fe4ff75f0.us-east-1.aws.found.io/app/kibana#/discover/Steve-Slow-Train-Analysis-(2080s-and-2083s)?_g=(refreshInterval:(display:Off,pause:!f,section:0,value:0),time:(from:'2017-11-10T09:27:06-0700',mode:absolute,to:'2017-11-10T11:58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204" t="str">
        <f>IF(AA176&lt;VLOOKUP(AG176,Variables!$AC$3:$AD$8,2,FALSE),"Y","N")</f>
        <v>N</v>
      </c>
      <c r="X176" s="204">
        <f t="shared" si="80"/>
        <v>1</v>
      </c>
      <c r="Y176" s="204">
        <f t="shared" si="78"/>
        <v>5.8653000000000004</v>
      </c>
      <c r="Z176" s="204">
        <f t="shared" si="79"/>
        <v>8.1699999999999995E-2</v>
      </c>
      <c r="AA176" s="204">
        <f t="shared" si="67"/>
        <v>5.7836000000000007</v>
      </c>
      <c r="AB176" s="54" t="e">
        <f>VLOOKUP(A176,Enforcements!$C$7:$K$9,8,0)</f>
        <v>#N/A</v>
      </c>
      <c r="AC176" s="51" t="e">
        <f>VLOOKUP(A176,Enforcements!$C$7:$E$9,3,0)</f>
        <v>#N/A</v>
      </c>
      <c r="AD176" s="179">
        <f t="shared" si="68"/>
        <v>816</v>
      </c>
      <c r="AE176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176" s="74" t="str">
        <f t="shared" si="70"/>
        <v>"C:\Program Files (x86)\AstroGrep\AstroGrep.exe" /e /r /s /spath="%USERPROFILE%\AppData\Local\Temp\OnboardLogs" /stypes="app*4007*20171110*" /stext=" 17:.+((SYSTEM_STATE.+slice.+state.+changed )|(ment ac)|(multiple cpu faults)|(system.+state.+changed )|(\[timeout)|(PRM\|1\|D)|(kpr)|(kdp)|(train st.+moving)|(\|lc)|(penalty))"</v>
      </c>
      <c r="AG176" s="182" t="str">
        <f t="shared" si="71"/>
        <v>NW</v>
      </c>
      <c r="AH176" s="78" t="str">
        <f t="shared" si="56"/>
        <v>"%USERPROFILE%\Documents\GitHub\eaglep3\Utilities\RefineRTDCRunTimes.py" --tripid 816-10 --locoid 4007 --swversion DE.1.0.9.0 --startMP 300:58653 --initTime 2017-11-10T10:27:06 --startdatetime 2017-11-10T10:43:03 --delay 55 --endMP 204:817 --enddatetime 2017-11-10T10:58:55 --enforcementcount 1 &gt;&gt;%USERPROFILE%\Documents\GitHub\eaglep3-reporting\EC\2017-11-10-refined-times.txt</v>
      </c>
      <c r="AI176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{"issue":{"subject":"","project_id":79,"tracker_id":40,"status_id":1,"priority_id":2,"assigned_to_id":338,"start_date":"2017-11-10","description":"","custom_fields":[{"id":1,"name":"Subdivision","value":"NW"},{"id":4,"name":"Milepost","value":"0.0817"},{"id":17,"name":"Train ID","value":"816-10"},{"id":16,"name":"Locomotive ID","value":"4007"},{"id":130,"name":"Impact","value":""},{"id":150,"name":"Time of Event (Mountain Time)","value":"10:58:55"},{"id":151,"name":"Denver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58"/>
        <v>start /low /b %USERPROFILE%\Documents\GitHub\eaglep3\Utilities\DownloadLogsFromS3.py --loco 4007 --day 2017-11-10</v>
      </c>
      <c r="AN176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17:58:55"},{"id":29,"name":"Sharepoint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60"/>
        <v>https://d0f6bd738d7f1b3e5a7ca70fe4ff75f0.us-east-1.aws.found.io/app/kibana#/discover/Steve-Slow-Train-Analysis-(2080s-and-2083s)?_g=(refreshInterval:(display:Off,pause:!f,section:0,value:0),time:(from:'2017-11-10T09:27:06-0700',mode:absolute,to:'2017-11-10T11:58:55-0700'))&amp;_a=(columns:!('Message%20ID',Summary),filters:!(),index:'emp_*',interval:auto,query:(query_string:(analyze_wildcard:!t,query:'%22rtdc.l.rtdc.4007%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748</v>
      </c>
      <c r="B177" s="7">
        <v>4008</v>
      </c>
      <c r="C177" s="21" t="s">
        <v>192</v>
      </c>
      <c r="D177" s="21" t="s">
        <v>1046</v>
      </c>
      <c r="E177" s="13">
        <v>43049.459699074076</v>
      </c>
      <c r="F177" s="13">
        <v>43049.464780092596</v>
      </c>
      <c r="G177" s="7">
        <v>63</v>
      </c>
      <c r="H177" s="21" t="s">
        <v>566</v>
      </c>
      <c r="I177" s="13">
        <v>43049.475081018521</v>
      </c>
      <c r="J177" s="7">
        <v>1</v>
      </c>
      <c r="K177" s="89" t="str">
        <f t="shared" si="61"/>
        <v>4007/4008</v>
      </c>
      <c r="L177" s="185" t="str">
        <f>VLOOKUP(A177,'Trips&amp;Operators'!$C$1:$G$99911,5,FALSE)</f>
        <v>BARRON PERLA</v>
      </c>
      <c r="M177" s="6">
        <f t="shared" si="62"/>
        <v>1.0300925925548654E-2</v>
      </c>
      <c r="N177" s="7">
        <f t="shared" si="76"/>
        <v>14.833333332790062</v>
      </c>
      <c r="O177" s="7"/>
      <c r="P177" s="7"/>
      <c r="Q177" s="22"/>
      <c r="R177" s="174"/>
      <c r="S177" s="221">
        <f t="shared" si="77"/>
        <v>1</v>
      </c>
      <c r="T177" s="174" t="str">
        <f t="shared" si="63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4"/>
        <v>https://d0f6bd738d7f1b3e5a7ca70fe4ff75f0.us-east-1.aws.found.io/app/kibana#/discover/Steve-Slow-Train-Analysis-(2080s-and-2083s)?_g=(refreshInterval:(display:Off,pause:!f,section:0,value:0),time:(from:'2017-11-10T10:01:58-0700',mode:absolute,to:'2017-11-10T12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204" t="str">
        <f>IF(AA177&lt;VLOOKUP(AG177,Variables!$AC$3:$AD$8,2,FALSE),"Y","N")</f>
        <v>N</v>
      </c>
      <c r="X177" s="204">
        <f t="shared" si="80"/>
        <v>1</v>
      </c>
      <c r="Y177" s="204">
        <f t="shared" si="78"/>
        <v>0.1051</v>
      </c>
      <c r="Z177" s="204">
        <f t="shared" si="79"/>
        <v>5.8971</v>
      </c>
      <c r="AA177" s="204">
        <f t="shared" si="67"/>
        <v>5.7919999999999998</v>
      </c>
      <c r="AB177" s="54" t="e">
        <f>VLOOKUP(A177,Enforcements!$C$7:$K$9,8,0)</f>
        <v>#N/A</v>
      </c>
      <c r="AC177" s="51" t="e">
        <f>VLOOKUP(A177,Enforcements!$C$7:$E$9,3,0)</f>
        <v>#N/A</v>
      </c>
      <c r="AD177" s="179">
        <f t="shared" si="68"/>
        <v>817</v>
      </c>
      <c r="AE177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177" s="74" t="str">
        <f t="shared" si="70"/>
        <v>"C:\Program Files (x86)\AstroGrep\AstroGrep.exe" /e /r /s /spath="%USERPROFILE%\AppData\Local\Temp\OnboardLogs" /stypes="app*4008*20171110*" /stext=" 18:.+((SYSTEM_STATE.+slice.+state.+changed )|(ment ac)|(multiple cpu faults)|(system.+state.+changed )|(\[timeout)|(PRM\|1\|D)|(kpr)|(kdp)|(train st.+moving)|(\|lc)|(penalty))"</v>
      </c>
      <c r="AG177" s="182" t="str">
        <f t="shared" si="71"/>
        <v>NW</v>
      </c>
      <c r="AH177" s="78" t="str">
        <f t="shared" si="56"/>
        <v>"%USERPROFILE%\Documents\GitHub\eaglep3\Utilities\RefineRTDCRunTimes.py" --tripid 817-10 --locoid 4008 --swversion DE.1.0.9.0 --startMP 204:1051 --initTime 2017-11-10T11:01:58 --startdatetime 2017-11-10T11:09:17 --delay 63 --endMP 300:58971 --enddatetime 2017-11-10T11:24:07 --enforcementcount 1 &gt;&gt;%USERPROFILE%\Documents\GitHub\eaglep3-reporting\EC\2017-11-10-refined-times.txt</v>
      </c>
      <c r="AI177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{"issue":{"subject":"","project_id":79,"tracker_id":40,"status_id":1,"priority_id":2,"assigned_to_id":338,"start_date":"2017-11-10","description":"","custom_fields":[{"id":1,"name":"Subdivision","value":"NW"},{"id":4,"name":"Milepost","value":"5.8971"},{"id":17,"name":"Train ID","value":"817-10"},{"id":16,"name":"Locomotive ID","value":"4008"},{"id":130,"name":"Impact","value":""},{"id":150,"name":"Time of Event (Mountain Time)","value":"11:24:07"},{"id":151,"name":"Denver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58"/>
        <v>start /low /b %USERPROFILE%\Documents\GitHub\eaglep3\Utilities\DownloadLogsFromS3.py --loco 4008 --day 2017-11-10</v>
      </c>
      <c r="AN177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18:24:07"},{"id":29,"name":"Sharepoint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60"/>
        <v>https://d0f6bd738d7f1b3e5a7ca70fe4ff75f0.us-east-1.aws.found.io/app/kibana#/discover/Steve-Slow-Train-Analysis-(2080s-and-2083s)?_g=(refreshInterval:(display:Off,pause:!f,section:0,value:0),time:(from:'2017-11-10T10:01:58-0700',mode:absolute,to:'2017-11-10T12:24:07-0700'))&amp;_a=(columns:!('Message%20ID',Summary),filters:!(),index:'emp_*',interval:auto,query:(query_string:(analyze_wildcard:!t,query:'%22rtdc.l.rtdc.4008%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754</v>
      </c>
      <c r="B178" s="7">
        <v>4007</v>
      </c>
      <c r="C178" s="21" t="s">
        <v>192</v>
      </c>
      <c r="D178" s="21" t="s">
        <v>1047</v>
      </c>
      <c r="E178" s="13">
        <v>43049.476886574077</v>
      </c>
      <c r="F178" s="13">
        <v>43049.488217592596</v>
      </c>
      <c r="G178" s="7">
        <v>60</v>
      </c>
      <c r="H178" s="21" t="s">
        <v>1048</v>
      </c>
      <c r="I178" s="13">
        <v>43049.496724537035</v>
      </c>
      <c r="J178" s="7">
        <v>1</v>
      </c>
      <c r="K178" s="89" t="str">
        <f t="shared" si="61"/>
        <v>4007/4008</v>
      </c>
      <c r="L178" s="185" t="str">
        <f>VLOOKUP(A178,'Trips&amp;Operators'!$C$1:$G$99911,5,FALSE)</f>
        <v>BARRON PERLA</v>
      </c>
      <c r="M178" s="6">
        <f t="shared" si="62"/>
        <v>8.5069444394321181E-3</v>
      </c>
      <c r="N178" s="7">
        <f t="shared" si="76"/>
        <v>12.24999999278225</v>
      </c>
      <c r="O178" s="7"/>
      <c r="P178" s="7"/>
      <c r="Q178" s="22"/>
      <c r="R178" s="174"/>
      <c r="S178" s="221">
        <f t="shared" si="77"/>
        <v>1</v>
      </c>
      <c r="T178" s="174" t="str">
        <f t="shared" si="63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4"/>
        <v>https://d0f6bd738d7f1b3e5a7ca70fe4ff75f0.us-east-1.aws.found.io/app/kibana#/discover/Steve-Slow-Train-Analysis-(2080s-and-2083s)?_g=(refreshInterval:(display:Off,pause:!f,section:0,value:0),time:(from:'2017-11-10T10:26:43-0700',mode:absolute,to:'2017-11-10T12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204" t="str">
        <f>IF(AA178&lt;VLOOKUP(AG178,Variables!$AC$3:$AD$8,2,FALSE),"Y","N")</f>
        <v>N</v>
      </c>
      <c r="X178" s="204">
        <f t="shared" si="80"/>
        <v>1</v>
      </c>
      <c r="Y178" s="204">
        <f t="shared" si="78"/>
        <v>5.8651</v>
      </c>
      <c r="Z178" s="204">
        <f t="shared" si="79"/>
        <v>7.4800000000000005E-2</v>
      </c>
      <c r="AA178" s="204">
        <f t="shared" si="67"/>
        <v>5.7903000000000002</v>
      </c>
      <c r="AB178" s="54" t="e">
        <f>VLOOKUP(A178,Enforcements!$C$7:$K$9,8,0)</f>
        <v>#N/A</v>
      </c>
      <c r="AC178" s="51" t="e">
        <f>VLOOKUP(A178,Enforcements!$C$7:$E$9,3,0)</f>
        <v>#N/A</v>
      </c>
      <c r="AD178" s="179">
        <f t="shared" si="68"/>
        <v>818</v>
      </c>
      <c r="AE178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178" s="74" t="str">
        <f t="shared" si="70"/>
        <v>"C:\Program Files (x86)\AstroGrep\AstroGrep.exe" /e /r /s /spath="%USERPROFILE%\AppData\Local\Temp\OnboardLogs" /stypes="app*4007*20171110*" /stext=" 18:.+((SYSTEM_STATE.+slice.+state.+changed )|(ment ac)|(multiple cpu faults)|(system.+state.+changed )|(\[timeout)|(PRM\|1\|D)|(kpr)|(kdp)|(train st.+moving)|(\|lc)|(penalty))"</v>
      </c>
      <c r="AG178" s="182" t="str">
        <f t="shared" si="71"/>
        <v>NW</v>
      </c>
      <c r="AH178" s="78" t="str">
        <f t="shared" si="56"/>
        <v>"%USERPROFILE%\Documents\GitHub\eaglep3\Utilities\RefineRTDCRunTimes.py" --tripid 818-10 --locoid 4007 --swversion DE.1.0.9.0 --startMP 300:58651 --initTime 2017-11-10T11:26:43 --startdatetime 2017-11-10T11:43:02 --delay 60 --endMP 204:748 --enddatetime 2017-11-10T11:55:17 --enforcementcount 1 &gt;&gt;%USERPROFILE%\Documents\GitHub\eaglep3-reporting\EC\2017-11-10-refined-times.txt</v>
      </c>
      <c r="AI178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{"issue":{"subject":"","project_id":79,"tracker_id":40,"status_id":1,"priority_id":2,"assigned_to_id":338,"start_date":"2017-11-10","description":"","custom_fields":[{"id":1,"name":"Subdivision","value":"NW"},{"id":4,"name":"Milepost","value":"0.0748"},{"id":17,"name":"Train ID","value":"818-10"},{"id":16,"name":"Locomotive ID","value":"4007"},{"id":130,"name":"Impact","value":""},{"id":150,"name":"Time of Event (Mountain Time)","value":"11:55:17"},{"id":151,"name":"Denver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58"/>
        <v>start /low /b %USERPROFILE%\Documents\GitHub\eaglep3\Utilities\DownloadLogsFromS3.py --loco 4007 --day 2017-11-10</v>
      </c>
      <c r="AN178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18:55:17"},{"id":29,"name":"Sharepoint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60"/>
        <v>https://d0f6bd738d7f1b3e5a7ca70fe4ff75f0.us-east-1.aws.found.io/app/kibana#/discover/Steve-Slow-Train-Analysis-(2080s-and-2083s)?_g=(refreshInterval:(display:Off,pause:!f,section:0,value:0),time:(from:'2017-11-10T10:26:43-0700',mode:absolute,to:'2017-11-10T12:55:17-0700'))&amp;_a=(columns:!('Message%20ID',Summary),filters:!(),index:'emp_*',interval:auto,query:(query_string:(analyze_wildcard:!t,query:'%22rtdc.l.rtdc.4007%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761</v>
      </c>
      <c r="B179" s="7">
        <v>4008</v>
      </c>
      <c r="C179" s="21" t="s">
        <v>192</v>
      </c>
      <c r="D179" s="21" t="s">
        <v>1049</v>
      </c>
      <c r="E179" s="13">
        <v>43049.499351851853</v>
      </c>
      <c r="F179" s="13">
        <v>43049.506435185183</v>
      </c>
      <c r="G179" s="7">
        <v>57</v>
      </c>
      <c r="H179" s="21" t="s">
        <v>1050</v>
      </c>
      <c r="I179" s="13">
        <v>43049.516724537039</v>
      </c>
      <c r="J179" s="7">
        <v>1</v>
      </c>
      <c r="K179" s="89" t="str">
        <f t="shared" si="61"/>
        <v>4007/4008</v>
      </c>
      <c r="L179" s="185" t="str">
        <f>VLOOKUP(A179,'Trips&amp;Operators'!$C$1:$G$99911,5,FALSE)</f>
        <v>BARRON PERLA</v>
      </c>
      <c r="M179" s="6">
        <f t="shared" si="62"/>
        <v>1.0289351856044959E-2</v>
      </c>
      <c r="N179" s="7">
        <f t="shared" si="76"/>
        <v>14.816666672704741</v>
      </c>
      <c r="O179" s="7"/>
      <c r="P179" s="7"/>
      <c r="Q179" s="22"/>
      <c r="R179" s="174"/>
      <c r="S179" s="221">
        <f t="shared" si="77"/>
        <v>1</v>
      </c>
      <c r="T179" s="174" t="str">
        <f t="shared" si="63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4"/>
        <v>https://d0f6bd738d7f1b3e5a7ca70fe4ff75f0.us-east-1.aws.found.io/app/kibana#/discover/Steve-Slow-Train-Analysis-(2080s-and-2083s)?_g=(refreshInterval:(display:Off,pause:!f,section:0,value:0),time:(from:'2017-11-10T10:59:04-0700',mode:absolute,to:'2017-11-10T13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204" t="str">
        <f>IF(AA179&lt;VLOOKUP(AG179,Variables!$AC$3:$AD$8,2,FALSE),"Y","N")</f>
        <v>N</v>
      </c>
      <c r="X179" s="204">
        <f t="shared" si="80"/>
        <v>1</v>
      </c>
      <c r="Y179" s="204">
        <f t="shared" si="78"/>
        <v>0.106</v>
      </c>
      <c r="Z179" s="204">
        <f t="shared" si="79"/>
        <v>5.8967000000000001</v>
      </c>
      <c r="AA179" s="204">
        <f t="shared" si="67"/>
        <v>5.7907000000000002</v>
      </c>
      <c r="AB179" s="54" t="e">
        <f>VLOOKUP(A179,Enforcements!$C$7:$K$9,8,0)</f>
        <v>#N/A</v>
      </c>
      <c r="AC179" s="51" t="e">
        <f>VLOOKUP(A179,Enforcements!$C$7:$E$9,3,0)</f>
        <v>#N/A</v>
      </c>
      <c r="AD179" s="179">
        <f t="shared" si="68"/>
        <v>819</v>
      </c>
      <c r="AE179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179" s="74" t="str">
        <f t="shared" si="70"/>
        <v>"C:\Program Files (x86)\AstroGrep\AstroGrep.exe" /e /r /s /spath="%USERPROFILE%\AppData\Local\Temp\OnboardLogs" /stypes="app*4008*20171110*" /stext=" 19:.+((SYSTEM_STATE.+slice.+state.+changed )|(ment ac)|(multiple cpu faults)|(system.+state.+changed )|(\[timeout)|(PRM\|1\|D)|(kpr)|(kdp)|(train st.+moving)|(\|lc)|(penalty))"</v>
      </c>
      <c r="AG179" s="182" t="str">
        <f t="shared" si="71"/>
        <v>NW</v>
      </c>
      <c r="AH179" s="78" t="str">
        <f t="shared" si="56"/>
        <v>"%USERPROFILE%\Documents\GitHub\eaglep3\Utilities\RefineRTDCRunTimes.py" --tripid 819-10 --locoid 4008 --swversion DE.1.0.9.0 --startMP 204:1060 --initTime 2017-11-10T11:59:04 --startdatetime 2017-11-10T12:09:16 --delay 57 --endMP 300:58967 --enddatetime 2017-11-10T12:24:05 --enforcementcount 1 &gt;&gt;%USERPROFILE%\Documents\GitHub\eaglep3-reporting\EC\2017-11-10-refined-times.txt</v>
      </c>
      <c r="AI179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{"issue":{"subject":"","project_id":79,"tracker_id":40,"status_id":1,"priority_id":2,"assigned_to_id":338,"start_date":"2017-11-10","description":"","custom_fields":[{"id":1,"name":"Subdivision","value":"NW"},{"id":4,"name":"Milepost","value":"5.8967"},{"id":17,"name":"Train ID","value":"819-10"},{"id":16,"name":"Locomotive ID","value":"4008"},{"id":130,"name":"Impact","value":""},{"id":150,"name":"Time of Event (Mountain Time)","value":"12:24:05"},{"id":151,"name":"Denver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58"/>
        <v>start /low /b %USERPROFILE%\Documents\GitHub\eaglep3\Utilities\DownloadLogsFromS3.py --loco 4008 --day 2017-11-10</v>
      </c>
      <c r="AN179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19:24:05"},{"id":29,"name":"Sharepoint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60"/>
        <v>https://d0f6bd738d7f1b3e5a7ca70fe4ff75f0.us-east-1.aws.found.io/app/kibana#/discover/Steve-Slow-Train-Analysis-(2080s-and-2083s)?_g=(refreshInterval:(display:Off,pause:!f,section:0,value:0),time:(from:'2017-11-10T10:59:04-0700',mode:absolute,to:'2017-11-10T13:24:05-0700'))&amp;_a=(columns:!('Message%20ID',Summary),filters:!(),index:'emp_*',interval:auto,query:(query_string:(analyze_wildcard:!t,query:'%22rtdc.l.rtdc.4008%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765</v>
      </c>
      <c r="B180" s="7">
        <v>4007</v>
      </c>
      <c r="C180" s="21" t="s">
        <v>192</v>
      </c>
      <c r="D180" s="21" t="s">
        <v>1051</v>
      </c>
      <c r="E180" s="13">
        <v>43049.518148148149</v>
      </c>
      <c r="F180" s="13">
        <v>43049.529895833337</v>
      </c>
      <c r="G180" s="7">
        <v>74</v>
      </c>
      <c r="H180" s="21" t="s">
        <v>886</v>
      </c>
      <c r="I180" s="13">
        <v>43049.538449074076</v>
      </c>
      <c r="J180" s="7">
        <v>1</v>
      </c>
      <c r="K180" s="89" t="str">
        <f t="shared" si="61"/>
        <v>4007/4008</v>
      </c>
      <c r="L180" s="185" t="str">
        <f>VLOOKUP(A180,'Trips&amp;Operators'!$C$1:$G$99911,5,FALSE)</f>
        <v>BARRON PERLA</v>
      </c>
      <c r="M180" s="6">
        <f t="shared" si="62"/>
        <v>8.55324073927477E-3</v>
      </c>
      <c r="N180" s="7">
        <f t="shared" si="76"/>
        <v>12.316666664555669</v>
      </c>
      <c r="O180" s="7"/>
      <c r="P180" s="7"/>
      <c r="Q180" s="22"/>
      <c r="R180" s="174"/>
      <c r="S180" s="221">
        <f t="shared" si="77"/>
        <v>1</v>
      </c>
      <c r="T180" s="174" t="str">
        <f t="shared" si="63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4"/>
        <v>https://d0f6bd738d7f1b3e5a7ca70fe4ff75f0.us-east-1.aws.found.io/app/kibana#/discover/Steve-Slow-Train-Analysis-(2080s-and-2083s)?_g=(refreshInterval:(display:Off,pause:!f,section:0,value:0),time:(from:'2017-11-10T11:26:08-0700',mode:absolute,to:'2017-11-10T13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204" t="str">
        <f>IF(AA180&lt;VLOOKUP(AG180,Variables!$AC$3:$AD$8,2,FALSE),"Y","N")</f>
        <v>N</v>
      </c>
      <c r="X180" s="204">
        <f t="shared" si="80"/>
        <v>1</v>
      </c>
      <c r="Y180" s="204">
        <f t="shared" si="78"/>
        <v>5.8654999999999999</v>
      </c>
      <c r="Z180" s="204">
        <f t="shared" si="79"/>
        <v>7.85E-2</v>
      </c>
      <c r="AA180" s="204">
        <f t="shared" si="67"/>
        <v>5.7869999999999999</v>
      </c>
      <c r="AB180" s="54" t="e">
        <f>VLOOKUP(A180,Enforcements!$C$7:$K$9,8,0)</f>
        <v>#N/A</v>
      </c>
      <c r="AC180" s="51" t="e">
        <f>VLOOKUP(A180,Enforcements!$C$7:$E$9,3,0)</f>
        <v>#N/A</v>
      </c>
      <c r="AD180" s="179">
        <f t="shared" si="68"/>
        <v>820</v>
      </c>
      <c r="AE180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180" s="74" t="str">
        <f t="shared" si="70"/>
        <v>"C:\Program Files (x86)\AstroGrep\AstroGrep.exe" /e /r /s /spath="%USERPROFILE%\AppData\Local\Temp\OnboardLogs" /stypes="app*4007*20171110*" /stext=" 19:.+((SYSTEM_STATE.+slice.+state.+changed )|(ment ac)|(multiple cpu faults)|(system.+state.+changed )|(\[timeout)|(PRM\|1\|D)|(kpr)|(kdp)|(train st.+moving)|(\|lc)|(penalty))"</v>
      </c>
      <c r="AG180" s="182" t="str">
        <f t="shared" si="71"/>
        <v>NW</v>
      </c>
      <c r="AH180" s="78" t="str">
        <f t="shared" si="56"/>
        <v>"%USERPROFILE%\Documents\GitHub\eaglep3\Utilities\RefineRTDCRunTimes.py" --tripid 820-10 --locoid 4007 --swversion DE.1.0.9.0 --startMP 300:58655 --initTime 2017-11-10T12:26:08 --startdatetime 2017-11-10T12:43:03 --delay 74 --endMP 204:785 --enddatetime 2017-11-10T12:55:22 --enforcementcount 1 &gt;&gt;%USERPROFILE%\Documents\GitHub\eaglep3-reporting\EC\2017-11-10-refined-times.txt</v>
      </c>
      <c r="AI180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{"issue":{"subject":"","project_id":79,"tracker_id":40,"status_id":1,"priority_id":2,"assigned_to_id":338,"start_date":"2017-11-10","description":"","custom_fields":[{"id":1,"name":"Subdivision","value":"NW"},{"id":4,"name":"Milepost","value":"0.0785"},{"id":17,"name":"Train ID","value":"820-10"},{"id":16,"name":"Locomotive ID","value":"4007"},{"id":130,"name":"Impact","value":""},{"id":150,"name":"Time of Event (Mountain Time)","value":"12:55:22"},{"id":151,"name":"Denver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58"/>
        <v>start /low /b %USERPROFILE%\Documents\GitHub\eaglep3\Utilities\DownloadLogsFromS3.py --loco 4007 --day 2017-11-10</v>
      </c>
      <c r="AN180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19:55:22"},{"id":29,"name":"Sharepoint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60"/>
        <v>https://d0f6bd738d7f1b3e5a7ca70fe4ff75f0.us-east-1.aws.found.io/app/kibana#/discover/Steve-Slow-Train-Analysis-(2080s-and-2083s)?_g=(refreshInterval:(display:Off,pause:!f,section:0,value:0),time:(from:'2017-11-10T11:26:08-0700',mode:absolute,to:'2017-11-10T13:55:22-0700'))&amp;_a=(columns:!('Message%20ID',Summary),filters:!(),index:'emp_*',interval:auto,query:(query_string:(analyze_wildcard:!t,query:'%22rtdc.l.rtdc.4007%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772</v>
      </c>
      <c r="B181" s="7">
        <v>4008</v>
      </c>
      <c r="C181" s="21" t="s">
        <v>192</v>
      </c>
      <c r="D181" s="21" t="s">
        <v>637</v>
      </c>
      <c r="E181" s="13">
        <v>43049.540729166663</v>
      </c>
      <c r="F181" s="13">
        <v>43049.548078703701</v>
      </c>
      <c r="G181" s="7">
        <v>91</v>
      </c>
      <c r="H181" s="21" t="s">
        <v>1052</v>
      </c>
      <c r="I181" s="13">
        <v>43049.558310185188</v>
      </c>
      <c r="J181" s="7">
        <v>1</v>
      </c>
      <c r="K181" s="89" t="str">
        <f t="shared" si="61"/>
        <v>4007/4008</v>
      </c>
      <c r="L181" s="185" t="str">
        <f>VLOOKUP(A181,'Trips&amp;Operators'!$C$1:$G$99911,5,FALSE)</f>
        <v>BERLING GARY</v>
      </c>
      <c r="M181" s="6">
        <f t="shared" si="62"/>
        <v>1.0231481486698613E-2</v>
      </c>
      <c r="N181" s="7">
        <f t="shared" si="76"/>
        <v>14.733333340846002</v>
      </c>
      <c r="O181" s="7"/>
      <c r="P181" s="7"/>
      <c r="Q181" s="22"/>
      <c r="R181" s="174"/>
      <c r="S181" s="221">
        <f t="shared" si="77"/>
        <v>1</v>
      </c>
      <c r="T181" s="174" t="str">
        <f t="shared" si="63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4"/>
        <v>https://d0f6bd738d7f1b3e5a7ca70fe4ff75f0.us-east-1.aws.found.io/app/kibana#/discover/Steve-Slow-Train-Analysis-(2080s-and-2083s)?_g=(refreshInterval:(display:Off,pause:!f,section:0,value:0),time:(from:'2017-11-10T11:58:39-0700',mode:absolute,to:'2017-11-10T14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204" t="str">
        <f>IF(AA181&lt;VLOOKUP(AG181,Variables!$AC$3:$AD$8,2,FALSE),"Y","N")</f>
        <v>N</v>
      </c>
      <c r="X181" s="204">
        <f t="shared" si="80"/>
        <v>1</v>
      </c>
      <c r="Y181" s="204">
        <f t="shared" si="78"/>
        <v>0.1067</v>
      </c>
      <c r="Z181" s="204">
        <f t="shared" si="79"/>
        <v>5.8993000000000002</v>
      </c>
      <c r="AA181" s="204">
        <f t="shared" si="67"/>
        <v>5.7926000000000002</v>
      </c>
      <c r="AB181" s="54" t="e">
        <f>VLOOKUP(A181,Enforcements!$C$7:$K$9,8,0)</f>
        <v>#N/A</v>
      </c>
      <c r="AC181" s="51" t="e">
        <f>VLOOKUP(A181,Enforcements!$C$7:$E$9,3,0)</f>
        <v>#N/A</v>
      </c>
      <c r="AD181" s="179">
        <f t="shared" si="68"/>
        <v>821</v>
      </c>
      <c r="AE181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181" s="74" t="str">
        <f t="shared" si="70"/>
        <v>"C:\Program Files (x86)\AstroGrep\AstroGrep.exe" /e /r /s /spath="%USERPROFILE%\AppData\Local\Temp\OnboardLogs" /stypes="app*4008*20171110*" /stext=" 20:.+((SYSTEM_STATE.+slice.+state.+changed )|(ment ac)|(multiple cpu faults)|(system.+state.+changed )|(\[timeout)|(PRM\|1\|D)|(kpr)|(kdp)|(train st.+moving)|(\|lc)|(penalty))"</v>
      </c>
      <c r="AG181" s="182" t="str">
        <f t="shared" si="71"/>
        <v>NW</v>
      </c>
      <c r="AH181" s="78" t="str">
        <f t="shared" si="56"/>
        <v>"%USERPROFILE%\Documents\GitHub\eaglep3\Utilities\RefineRTDCRunTimes.py" --tripid 821-10 --locoid 4008 --swversion DE.1.0.9.0 --startMP 204:1067 --initTime 2017-11-10T12:58:39 --startdatetime 2017-11-10T13:09:14 --delay 91 --endMP 300:58993 --enddatetime 2017-11-10T13:23:58 --enforcementcount 1 &gt;&gt;%USERPROFILE%\Documents\GitHub\eaglep3-reporting\EC\2017-11-10-refined-times.txt</v>
      </c>
      <c r="AI181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{"issue":{"subject":"","project_id":79,"tracker_id":40,"status_id":1,"priority_id":2,"assigned_to_id":338,"start_date":"2017-11-10","description":"","custom_fields":[{"id":1,"name":"Subdivision","value":"NW"},{"id":4,"name":"Milepost","value":"5.8993"},{"id":17,"name":"Train ID","value":"821-10"},{"id":16,"name":"Locomotive ID","value":"4008"},{"id":130,"name":"Impact","value":""},{"id":150,"name":"Time of Event (Mountain Time)","value":"13:23:58"},{"id":151,"name":"Denver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58"/>
        <v>start /low /b %USERPROFILE%\Documents\GitHub\eaglep3\Utilities\DownloadLogsFromS3.py --loco 4008 --day 2017-11-10</v>
      </c>
      <c r="AN181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20:23:58"},{"id":29,"name":"Sharepoint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60"/>
        <v>https://d0f6bd738d7f1b3e5a7ca70fe4ff75f0.us-east-1.aws.found.io/app/kibana#/discover/Steve-Slow-Train-Analysis-(2080s-and-2083s)?_g=(refreshInterval:(display:Off,pause:!f,section:0,value:0),time:(from:'2017-11-10T11:58:39-0700',mode:absolute,to:'2017-11-10T14:23:58-0700'))&amp;_a=(columns:!('Message%20ID',Summary),filters:!(),index:'emp_*',interval:auto,query:(query_string:(analyze_wildcard:!t,query:'%22rtdc.l.rtdc.4008%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777</v>
      </c>
      <c r="B182" s="7">
        <v>4007</v>
      </c>
      <c r="C182" s="21" t="s">
        <v>192</v>
      </c>
      <c r="D182" s="21" t="s">
        <v>567</v>
      </c>
      <c r="E182" s="13">
        <v>43049.560034722221</v>
      </c>
      <c r="F182" s="13">
        <v>43049.57135416667</v>
      </c>
      <c r="G182" s="7">
        <v>79</v>
      </c>
      <c r="H182" s="21" t="s">
        <v>886</v>
      </c>
      <c r="I182" s="13">
        <v>43049.579444444447</v>
      </c>
      <c r="J182" s="7">
        <v>1</v>
      </c>
      <c r="K182" s="89" t="str">
        <f t="shared" si="61"/>
        <v>4007/4008</v>
      </c>
      <c r="L182" s="185" t="str">
        <f>VLOOKUP(A182,'Trips&amp;Operators'!$C$1:$G$99911,5,FALSE)</f>
        <v>BERLING GARY</v>
      </c>
      <c r="M182" s="6">
        <f t="shared" si="62"/>
        <v>8.0902777772280388E-3</v>
      </c>
      <c r="N182" s="7">
        <f t="shared" si="76"/>
        <v>11.649999999208376</v>
      </c>
      <c r="O182" s="7"/>
      <c r="P182" s="7"/>
      <c r="Q182" s="22"/>
      <c r="R182" s="174"/>
      <c r="S182" s="221">
        <f t="shared" si="77"/>
        <v>1</v>
      </c>
      <c r="T182" s="174" t="str">
        <f t="shared" si="63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4"/>
        <v>https://d0f6bd738d7f1b3e5a7ca70fe4ff75f0.us-east-1.aws.found.io/app/kibana#/discover/Steve-Slow-Train-Analysis-(2080s-and-2083s)?_g=(refreshInterval:(display:Off,pause:!f,section:0,value:0),time:(from:'2017-11-10T12:26:27-0700',mode:absolute,to:'2017-11-10T14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204" t="str">
        <f>IF(AA182&lt;VLOOKUP(AG182,Variables!$AC$3:$AD$8,2,FALSE),"Y","N")</f>
        <v>N</v>
      </c>
      <c r="X182" s="204">
        <f t="shared" si="80"/>
        <v>1</v>
      </c>
      <c r="Y182" s="204">
        <f t="shared" si="78"/>
        <v>5.867</v>
      </c>
      <c r="Z182" s="204">
        <f t="shared" si="79"/>
        <v>7.85E-2</v>
      </c>
      <c r="AA182" s="204">
        <f t="shared" si="67"/>
        <v>5.7885</v>
      </c>
      <c r="AB182" s="54" t="e">
        <f>VLOOKUP(A182,Enforcements!$C$7:$K$9,8,0)</f>
        <v>#N/A</v>
      </c>
      <c r="AC182" s="51" t="e">
        <f>VLOOKUP(A182,Enforcements!$C$7:$E$9,3,0)</f>
        <v>#N/A</v>
      </c>
      <c r="AD182" s="179">
        <f t="shared" si="68"/>
        <v>822</v>
      </c>
      <c r="AE182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182" s="74" t="str">
        <f t="shared" si="70"/>
        <v>"C:\Program Files (x86)\AstroGrep\AstroGrep.exe" /e /r /s /spath="%USERPROFILE%\AppData\Local\Temp\OnboardLogs" /stypes="app*4007*20171110*" /stext=" 20:.+((SYSTEM_STATE.+slice.+state.+changed )|(ment ac)|(multiple cpu faults)|(system.+state.+changed )|(\[timeout)|(PRM\|1\|D)|(kpr)|(kdp)|(train st.+moving)|(\|lc)|(penalty))"</v>
      </c>
      <c r="AG182" s="182" t="str">
        <f t="shared" si="71"/>
        <v>NW</v>
      </c>
      <c r="AH182" s="78" t="str">
        <f t="shared" si="56"/>
        <v>"%USERPROFILE%\Documents\GitHub\eaglep3\Utilities\RefineRTDCRunTimes.py" --tripid 822-10 --locoid 4007 --swversion DE.1.0.9.0 --startMP 300:58670 --initTime 2017-11-10T13:26:27 --startdatetime 2017-11-10T13:42:45 --delay 79 --endMP 204:785 --enddatetime 2017-11-10T13:54:24 --enforcementcount 1 &gt;&gt;%USERPROFILE%\Documents\GitHub\eaglep3-reporting\EC\2017-11-10-refined-times.txt</v>
      </c>
      <c r="AI182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{"issue":{"subject":"","project_id":79,"tracker_id":40,"status_id":1,"priority_id":2,"assigned_to_id":338,"start_date":"2017-11-10","description":"","custom_fields":[{"id":1,"name":"Subdivision","value":"NW"},{"id":4,"name":"Milepost","value":"0.0785"},{"id":17,"name":"Train ID","value":"822-10"},{"id":16,"name":"Locomotive ID","value":"4007"},{"id":130,"name":"Impact","value":""},{"id":150,"name":"Time of Event (Mountain Time)","value":"13:54:24"},{"id":151,"name":"Denver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58"/>
        <v>start /low /b %USERPROFILE%\Documents\GitHub\eaglep3\Utilities\DownloadLogsFromS3.py --loco 4007 --day 2017-11-10</v>
      </c>
      <c r="AN182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20:54:24"},{"id":29,"name":"Sharepoint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60"/>
        <v>https://d0f6bd738d7f1b3e5a7ca70fe4ff75f0.us-east-1.aws.found.io/app/kibana#/discover/Steve-Slow-Train-Analysis-(2080s-and-2083s)?_g=(refreshInterval:(display:Off,pause:!f,section:0,value:0),time:(from:'2017-11-10T12:26:27-0700',mode:absolute,to:'2017-11-10T14:54:24-0700'))&amp;_a=(columns:!('Message%20ID',Summary),filters:!(),index:'emp_*',interval:auto,query:(query_string:(analyze_wildcard:!t,query:'%22rtdc.l.rtdc.4007%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782</v>
      </c>
      <c r="B183" s="7">
        <v>4008</v>
      </c>
      <c r="C183" s="21" t="s">
        <v>192</v>
      </c>
      <c r="D183" s="21" t="s">
        <v>1044</v>
      </c>
      <c r="E183" s="13">
        <v>43049.586041666669</v>
      </c>
      <c r="F183" s="13">
        <v>43049.589745370373</v>
      </c>
      <c r="G183" s="7">
        <v>90</v>
      </c>
      <c r="H183" s="21" t="s">
        <v>641</v>
      </c>
      <c r="I183" s="13">
        <v>43049.599918981483</v>
      </c>
      <c r="J183" s="7">
        <v>1</v>
      </c>
      <c r="K183" s="89" t="str">
        <f t="shared" si="61"/>
        <v>4007/4008</v>
      </c>
      <c r="L183" s="185" t="str">
        <f>VLOOKUP(A183,'Trips&amp;Operators'!$C$1:$G$99911,5,FALSE)</f>
        <v>BERLING GARY</v>
      </c>
      <c r="M183" s="6">
        <f t="shared" si="62"/>
        <v>1.0173611110076308E-2</v>
      </c>
      <c r="N183" s="7">
        <f t="shared" si="76"/>
        <v>14.649999998509884</v>
      </c>
      <c r="O183" s="7"/>
      <c r="P183" s="7"/>
      <c r="Q183" s="22"/>
      <c r="R183" s="174"/>
      <c r="S183" s="221">
        <f t="shared" si="77"/>
        <v>1</v>
      </c>
      <c r="T183" s="174" t="str">
        <f t="shared" si="63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4"/>
        <v>https://d0f6bd738d7f1b3e5a7ca70fe4ff75f0.us-east-1.aws.found.io/app/kibana#/discover/Steve-Slow-Train-Analysis-(2080s-and-2083s)?_g=(refreshInterval:(display:Off,pause:!f,section:0,value:0),time:(from:'2017-11-10T13:03:54-0700',mode:absolute,to:'2017-11-10T15:23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204" t="str">
        <f>IF(AA183&lt;VLOOKUP(AG183,Variables!$AC$3:$AD$8,2,FALSE),"Y","N")</f>
        <v>N</v>
      </c>
      <c r="X183" s="204">
        <f t="shared" si="80"/>
        <v>1</v>
      </c>
      <c r="Y183" s="204">
        <f t="shared" si="78"/>
        <v>0.10580000000000001</v>
      </c>
      <c r="Z183" s="204">
        <f t="shared" si="79"/>
        <v>5.8973000000000004</v>
      </c>
      <c r="AA183" s="204">
        <f t="shared" si="67"/>
        <v>5.7915000000000001</v>
      </c>
      <c r="AB183" s="54" t="e">
        <f>VLOOKUP(A183,Enforcements!$C$7:$K$9,8,0)</f>
        <v>#N/A</v>
      </c>
      <c r="AC183" s="51" t="e">
        <f>VLOOKUP(A183,Enforcements!$C$7:$E$9,3,0)</f>
        <v>#N/A</v>
      </c>
      <c r="AD183" s="179">
        <f t="shared" si="68"/>
        <v>823</v>
      </c>
      <c r="AE183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183" s="74" t="str">
        <f t="shared" si="70"/>
        <v>"C:\Program Files (x86)\AstroGrep\AstroGrep.exe" /e /r /s /spath="%USERPROFILE%\AppData\Local\Temp\OnboardLogs" /stypes="app*4008*20171110*" /stext=" 21:.+((SYSTEM_STATE.+slice.+state.+changed )|(ment ac)|(multiple cpu faults)|(system.+state.+changed )|(\[timeout)|(PRM\|1\|D)|(kpr)|(kdp)|(train st.+moving)|(\|lc)|(penalty))"</v>
      </c>
      <c r="AG183" s="182" t="str">
        <f t="shared" si="71"/>
        <v>NW</v>
      </c>
      <c r="AH183" s="78" t="str">
        <f t="shared" si="56"/>
        <v>"%USERPROFILE%\Documents\GitHub\eaglep3\Utilities\RefineRTDCRunTimes.py" --tripid 823-10 --locoid 4008 --swversion DE.1.0.9.0 --startMP 204:1058 --initTime 2017-11-10T14:03:54 --startdatetime 2017-11-10T14:09:14 --delay 90 --endMP 300:58973 --enddatetime 2017-11-10T14:23:53 --enforcementcount 1 &gt;&gt;%USERPROFILE%\Documents\GitHub\eaglep3-reporting\EC\2017-11-10-refined-times.txt</v>
      </c>
      <c r="AI183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{"issue":{"subject":"","project_id":79,"tracker_id":40,"status_id":1,"priority_id":2,"assigned_to_id":338,"start_date":"2017-11-10","description":"","custom_fields":[{"id":1,"name":"Subdivision","value":"NW"},{"id":4,"name":"Milepost","value":"5.8973"},{"id":17,"name":"Train ID","value":"823-10"},{"id":16,"name":"Locomotive ID","value":"4008"},{"id":130,"name":"Impact","value":""},{"id":150,"name":"Time of Event (Mountain Time)","value":"14:23:53"},{"id":151,"name":"Denver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58"/>
        <v>start /low /b %USERPROFILE%\Documents\GitHub\eaglep3\Utilities\DownloadLogsFromS3.py --loco 4008 --day 2017-11-10</v>
      </c>
      <c r="AN183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21:23:53"},{"id":29,"name":"Sharepoint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60"/>
        <v>https://d0f6bd738d7f1b3e5a7ca70fe4ff75f0.us-east-1.aws.found.io/app/kibana#/discover/Steve-Slow-Train-Analysis-(2080s-and-2083s)?_g=(refreshInterval:(display:Off,pause:!f,section:0,value:0),time:(from:'2017-11-10T13:03:54-0700',mode:absolute,to:'2017-11-10T15:23:53-0700'))&amp;_a=(columns:!('Message%20ID',Summary),filters:!(),index:'emp_*',interval:auto,query:(query_string:(analyze_wildcard:!t,query:'%22rtdc.l.rtdc.4008%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790</v>
      </c>
      <c r="B184" s="7">
        <v>4007</v>
      </c>
      <c r="C184" s="21" t="s">
        <v>192</v>
      </c>
      <c r="D184" s="21" t="s">
        <v>497</v>
      </c>
      <c r="E184" s="13">
        <v>43049.601527777777</v>
      </c>
      <c r="F184" s="13">
        <v>43049.613368055558</v>
      </c>
      <c r="G184" s="7">
        <v>72</v>
      </c>
      <c r="H184" s="21" t="s">
        <v>638</v>
      </c>
      <c r="I184" s="13">
        <v>43049.621712962966</v>
      </c>
      <c r="J184" s="7">
        <v>1</v>
      </c>
      <c r="K184" s="89" t="str">
        <f t="shared" si="61"/>
        <v>4007/4008</v>
      </c>
      <c r="L184" s="185" t="str">
        <f>VLOOKUP(A184,'Trips&amp;Operators'!$C$1:$G$99911,5,FALSE)</f>
        <v>BERLING GARY</v>
      </c>
      <c r="M184" s="6">
        <f t="shared" si="62"/>
        <v>8.3449074081727304E-3</v>
      </c>
      <c r="N184" s="7">
        <f t="shared" si="76"/>
        <v>12.016666667768732</v>
      </c>
      <c r="O184" s="7"/>
      <c r="P184" s="7"/>
      <c r="Q184" s="22"/>
      <c r="R184" s="174"/>
      <c r="S184" s="221">
        <f t="shared" si="77"/>
        <v>1</v>
      </c>
      <c r="T184" s="174" t="str">
        <f t="shared" si="63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4"/>
        <v>https://d0f6bd738d7f1b3e5a7ca70fe4ff75f0.us-east-1.aws.found.io/app/kibana#/discover/Steve-Slow-Train-Analysis-(2080s-and-2083s)?_g=(refreshInterval:(display:Off,pause:!f,section:0,value:0),time:(from:'2017-11-10T13:26:12-0700',mode:absolute,to:'2017-11-10T15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204" t="str">
        <f>IF(AA184&lt;VLOOKUP(AG184,Variables!$AC$3:$AD$8,2,FALSE),"Y","N")</f>
        <v>N</v>
      </c>
      <c r="X184" s="204">
        <f t="shared" si="80"/>
        <v>1</v>
      </c>
      <c r="Y184" s="204">
        <f t="shared" si="78"/>
        <v>5.8666</v>
      </c>
      <c r="Z184" s="204">
        <f t="shared" si="79"/>
        <v>7.9399999999999998E-2</v>
      </c>
      <c r="AA184" s="204">
        <f t="shared" si="67"/>
        <v>5.7872000000000003</v>
      </c>
      <c r="AB184" s="54" t="e">
        <f>VLOOKUP(A184,Enforcements!$C$7:$K$9,8,0)</f>
        <v>#N/A</v>
      </c>
      <c r="AC184" s="51" t="e">
        <f>VLOOKUP(A184,Enforcements!$C$7:$E$9,3,0)</f>
        <v>#N/A</v>
      </c>
      <c r="AD184" s="179">
        <f t="shared" si="68"/>
        <v>824</v>
      </c>
      <c r="AE184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184" s="74" t="str">
        <f t="shared" si="70"/>
        <v>"C:\Program Files (x86)\AstroGrep\AstroGrep.exe" /e /r /s /spath="%USERPROFILE%\AppData\Local\Temp\OnboardLogs" /stypes="app*4007*20171110*" /stext=" 21:.+((SYSTEM_STATE.+slice.+state.+changed )|(ment ac)|(multiple cpu faults)|(system.+state.+changed )|(\[timeout)|(PRM\|1\|D)|(kpr)|(kdp)|(train st.+moving)|(\|lc)|(penalty))"</v>
      </c>
      <c r="AG184" s="182" t="str">
        <f t="shared" si="71"/>
        <v>NW</v>
      </c>
      <c r="AH184" s="78" t="str">
        <f t="shared" si="56"/>
        <v>"%USERPROFILE%\Documents\GitHub\eaglep3\Utilities\RefineRTDCRunTimes.py" --tripid 824-10 --locoid 4007 --swversion DE.1.0.9.0 --startMP 300:58666 --initTime 2017-11-10T14:26:12 --startdatetime 2017-11-10T14:43:15 --delay 72 --endMP 204:794 --enddatetime 2017-11-10T14:55:16 --enforcementcount 1 &gt;&gt;%USERPROFILE%\Documents\GitHub\eaglep3-reporting\EC\2017-11-10-refined-times.txt</v>
      </c>
      <c r="AI184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{"issue":{"subject":"","project_id":79,"tracker_id":40,"status_id":1,"priority_id":2,"assigned_to_id":338,"start_date":"2017-11-10","description":"","custom_fields":[{"id":1,"name":"Subdivision","value":"NW"},{"id":4,"name":"Milepost","value":"0.0794"},{"id":17,"name":"Train ID","value":"824-10"},{"id":16,"name":"Locomotive ID","value":"4007"},{"id":130,"name":"Impact","value":""},{"id":150,"name":"Time of Event (Mountain Time)","value":"14:55:16"},{"id":151,"name":"Denver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58"/>
        <v>start /low /b %USERPROFILE%\Documents\GitHub\eaglep3\Utilities\DownloadLogsFromS3.py --loco 4007 --day 2017-11-10</v>
      </c>
      <c r="AN184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21:55:16"},{"id":29,"name":"Sharepoint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60"/>
        <v>https://d0f6bd738d7f1b3e5a7ca70fe4ff75f0.us-east-1.aws.found.io/app/kibana#/discover/Steve-Slow-Train-Analysis-(2080s-and-2083s)?_g=(refreshInterval:(display:Off,pause:!f,section:0,value:0),time:(from:'2017-11-10T13:26:12-0700',mode:absolute,to:'2017-11-10T15:55:16-0700'))&amp;_a=(columns:!('Message%20ID',Summary),filters:!(),index:'emp_*',interval:auto,query:(query_string:(analyze_wildcard:!t,query:'%22rtdc.l.rtdc.4007%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794</v>
      </c>
      <c r="B185" s="7">
        <v>4008</v>
      </c>
      <c r="C185" s="21" t="s">
        <v>192</v>
      </c>
      <c r="D185" s="21" t="s">
        <v>1053</v>
      </c>
      <c r="E185" s="13">
        <v>43049.623171296298</v>
      </c>
      <c r="F185" s="13">
        <v>43049.631666666668</v>
      </c>
      <c r="G185" s="7">
        <v>87</v>
      </c>
      <c r="H185" s="21" t="s">
        <v>1054</v>
      </c>
      <c r="I185" s="13">
        <v>43049.641469907408</v>
      </c>
      <c r="J185" s="7">
        <v>1</v>
      </c>
      <c r="K185" s="89" t="str">
        <f t="shared" si="61"/>
        <v>4007/4008</v>
      </c>
      <c r="L185" s="185" t="str">
        <f>VLOOKUP(A185,'Trips&amp;Operators'!$C$1:$G$99911,5,FALSE)</f>
        <v>NEWELL JAMES</v>
      </c>
      <c r="M185" s="6">
        <f t="shared" si="62"/>
        <v>9.8032407404389232E-3</v>
      </c>
      <c r="N185" s="7">
        <f t="shared" si="76"/>
        <v>14.116666666232049</v>
      </c>
      <c r="O185" s="7"/>
      <c r="P185" s="7"/>
      <c r="Q185" s="22"/>
      <c r="R185" s="174"/>
      <c r="S185" s="221">
        <f t="shared" si="77"/>
        <v>1</v>
      </c>
      <c r="T185" s="174" t="str">
        <f t="shared" si="63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4"/>
        <v>https://d0f6bd738d7f1b3e5a7ca70fe4ff75f0.us-east-1.aws.found.io/app/kibana#/discover/Steve-Slow-Train-Analysis-(2080s-and-2083s)?_g=(refreshInterval:(display:Off,pause:!f,section:0,value:0),time:(from:'2017-11-10T13:57:22-0700',mode:absolute,to:'2017-11-10T16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204" t="str">
        <f>IF(AA185&lt;VLOOKUP(AG185,Variables!$AC$3:$AD$8,2,FALSE),"Y","N")</f>
        <v>N</v>
      </c>
      <c r="X185" s="204">
        <f t="shared" si="80"/>
        <v>1</v>
      </c>
      <c r="Y185" s="204">
        <f t="shared" si="78"/>
        <v>0.1086</v>
      </c>
      <c r="Z185" s="204">
        <f t="shared" si="79"/>
        <v>5.8930999999999996</v>
      </c>
      <c r="AA185" s="204">
        <f t="shared" si="67"/>
        <v>5.7844999999999995</v>
      </c>
      <c r="AB185" s="54" t="e">
        <f>VLOOKUP(A185,Enforcements!$C$7:$K$9,8,0)</f>
        <v>#N/A</v>
      </c>
      <c r="AC185" s="51" t="e">
        <f>VLOOKUP(A185,Enforcements!$C$7:$E$9,3,0)</f>
        <v>#N/A</v>
      </c>
      <c r="AD185" s="179">
        <f t="shared" si="68"/>
        <v>825</v>
      </c>
      <c r="AE185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185" s="74" t="str">
        <f t="shared" si="70"/>
        <v>"C:\Program Files (x86)\AstroGrep\AstroGrep.exe" /e /r /s /spath="%USERPROFILE%\AppData\Local\Temp\OnboardLogs" /stypes="app*4008*20171110*" /stext=" 22:.+((SYSTEM_STATE.+slice.+state.+changed )|(ment ac)|(multiple cpu faults)|(system.+state.+changed )|(\[timeout)|(PRM\|1\|D)|(kpr)|(kdp)|(train st.+moving)|(\|lc)|(penalty))"</v>
      </c>
      <c r="AG185" s="182" t="str">
        <f t="shared" si="71"/>
        <v>NW</v>
      </c>
      <c r="AH185" s="78" t="str">
        <f t="shared" si="56"/>
        <v>"%USERPROFILE%\Documents\GitHub\eaglep3\Utilities\RefineRTDCRunTimes.py" --tripid 825-10 --locoid 4008 --swversion DE.1.0.9.0 --startMP 204:1086 --initTime 2017-11-10T14:57:22 --startdatetime 2017-11-10T15:09:36 --delay 87 --endMP 300:58931 --enddatetime 2017-11-10T15:23:43 --enforcementcount 1 &gt;&gt;%USERPROFILE%\Documents\GitHub\eaglep3-reporting\EC\2017-11-10-refined-times.txt</v>
      </c>
      <c r="AI185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{"issue":{"subject":"","project_id":79,"tracker_id":40,"status_id":1,"priority_id":2,"assigned_to_id":338,"start_date":"2017-11-10","description":"","custom_fields":[{"id":1,"name":"Subdivision","value":"NW"},{"id":4,"name":"Milepost","value":"5.8931"},{"id":17,"name":"Train ID","value":"825-10"},{"id":16,"name":"Locomotive ID","value":"4008"},{"id":130,"name":"Impact","value":""},{"id":150,"name":"Time of Event (Mountain Time)","value":"15:23:43"},{"id":151,"name":"Denver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58"/>
        <v>start /low /b %USERPROFILE%\Documents\GitHub\eaglep3\Utilities\DownloadLogsFromS3.py --loco 4008 --day 2017-11-10</v>
      </c>
      <c r="AN185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22:23:43"},{"id":29,"name":"Sharepoint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60"/>
        <v>https://d0f6bd738d7f1b3e5a7ca70fe4ff75f0.us-east-1.aws.found.io/app/kibana#/discover/Steve-Slow-Train-Analysis-(2080s-and-2083s)?_g=(refreshInterval:(display:Off,pause:!f,section:0,value:0),time:(from:'2017-11-10T13:57:22-0700',mode:absolute,to:'2017-11-10T16:23:43-0700'))&amp;_a=(columns:!('Message%20ID',Summary),filters:!(),index:'emp_*',interval:auto,query:(query_string:(analyze_wildcard:!t,query:'%22rtdc.l.rtdc.4008%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799</v>
      </c>
      <c r="B186" s="7">
        <v>4007</v>
      </c>
      <c r="C186" s="21" t="s">
        <v>192</v>
      </c>
      <c r="D186" s="21" t="s">
        <v>639</v>
      </c>
      <c r="E186" s="13">
        <v>43049.642372685186</v>
      </c>
      <c r="F186" s="13">
        <v>43049.654594907406</v>
      </c>
      <c r="G186" s="7">
        <v>67</v>
      </c>
      <c r="H186" s="21" t="s">
        <v>1055</v>
      </c>
      <c r="I186" s="13">
        <v>43049.662685185183</v>
      </c>
      <c r="J186" s="7">
        <v>1</v>
      </c>
      <c r="K186" s="89" t="str">
        <f t="shared" si="61"/>
        <v>4007/4008</v>
      </c>
      <c r="L186" s="185" t="str">
        <f>VLOOKUP(A186,'Trips&amp;Operators'!$C$1:$G$99911,5,FALSE)</f>
        <v>NEWELL JAMES</v>
      </c>
      <c r="M186" s="6">
        <f t="shared" si="62"/>
        <v>8.0902777772280388E-3</v>
      </c>
      <c r="N186" s="7">
        <f t="shared" si="76"/>
        <v>11.649999999208376</v>
      </c>
      <c r="O186" s="7"/>
      <c r="P186" s="7"/>
      <c r="Q186" s="22"/>
      <c r="R186" s="174"/>
      <c r="S186" s="221">
        <f t="shared" si="77"/>
        <v>1</v>
      </c>
      <c r="T186" s="174" t="str">
        <f t="shared" si="63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4"/>
        <v>https://d0f6bd738d7f1b3e5a7ca70fe4ff75f0.us-east-1.aws.found.io/app/kibana#/discover/Steve-Slow-Train-Analysis-(2080s-and-2083s)?_g=(refreshInterval:(display:Off,pause:!f,section:0,value:0),time:(from:'2017-11-10T14:25:01-0700',mode:absolute,to:'2017-11-10T16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204" t="str">
        <f>IF(AA186&lt;VLOOKUP(AG186,Variables!$AC$3:$AD$8,2,FALSE),"Y","N")</f>
        <v>N</v>
      </c>
      <c r="X186" s="204">
        <f t="shared" si="80"/>
        <v>1</v>
      </c>
      <c r="Y186" s="204">
        <f t="shared" si="78"/>
        <v>5.8611000000000004</v>
      </c>
      <c r="Z186" s="204">
        <f t="shared" si="79"/>
        <v>8.6599999999999996E-2</v>
      </c>
      <c r="AA186" s="204">
        <f t="shared" si="67"/>
        <v>5.7745000000000006</v>
      </c>
      <c r="AB186" s="54" t="e">
        <f>VLOOKUP(A186,Enforcements!$C$7:$K$9,8,0)</f>
        <v>#N/A</v>
      </c>
      <c r="AC186" s="51" t="e">
        <f>VLOOKUP(A186,Enforcements!$C$7:$E$9,3,0)</f>
        <v>#N/A</v>
      </c>
      <c r="AD186" s="179">
        <f t="shared" si="68"/>
        <v>826</v>
      </c>
      <c r="AE186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186" s="74" t="str">
        <f t="shared" si="70"/>
        <v>"C:\Program Files (x86)\AstroGrep\AstroGrep.exe" /e /r /s /spath="%USERPROFILE%\AppData\Local\Temp\OnboardLogs" /stypes="app*4007*20171110*" /stext=" 22:.+((SYSTEM_STATE.+slice.+state.+changed )|(ment ac)|(multiple cpu faults)|(system.+state.+changed )|(\[timeout)|(PRM\|1\|D)|(kpr)|(kdp)|(train st.+moving)|(\|lc)|(penalty))"</v>
      </c>
      <c r="AG186" s="182" t="str">
        <f t="shared" si="71"/>
        <v>NW</v>
      </c>
      <c r="AH186" s="78" t="str">
        <f t="shared" si="56"/>
        <v>"%USERPROFILE%\Documents\GitHub\eaglep3\Utilities\RefineRTDCRunTimes.py" --tripid 826-10 --locoid 4007 --swversion DE.1.0.9.0 --startMP 300:58611 --initTime 2017-11-10T15:25:01 --startdatetime 2017-11-10T15:42:37 --delay 67 --endMP 204:866 --enddatetime 2017-11-10T15:54:16 --enforcementcount 1 &gt;&gt;%USERPROFILE%\Documents\GitHub\eaglep3-reporting\EC\2017-11-10-refined-times.txt</v>
      </c>
      <c r="AI186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{"issue":{"subject":"","project_id":79,"tracker_id":40,"status_id":1,"priority_id":2,"assigned_to_id":338,"start_date":"2017-11-10","description":"","custom_fields":[{"id":1,"name":"Subdivision","value":"NW"},{"id":4,"name":"Milepost","value":"0.0866"},{"id":17,"name":"Train ID","value":"826-10"},{"id":16,"name":"Locomotive ID","value":"4007"},{"id":130,"name":"Impact","value":""},{"id":150,"name":"Time of Event (Mountain Time)","value":"15:54:16"},{"id":151,"name":"Denver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58"/>
        <v>start /low /b %USERPROFILE%\Documents\GitHub\eaglep3\Utilities\DownloadLogsFromS3.py --loco 4007 --day 2017-11-10</v>
      </c>
      <c r="AN186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22:54:16"},{"id":29,"name":"Sharepoint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60"/>
        <v>https://d0f6bd738d7f1b3e5a7ca70fe4ff75f0.us-east-1.aws.found.io/app/kibana#/discover/Steve-Slow-Train-Analysis-(2080s-and-2083s)?_g=(refreshInterval:(display:Off,pause:!f,section:0,value:0),time:(from:'2017-11-10T14:25:01-0700',mode:absolute,to:'2017-11-10T16:54:16-0700'))&amp;_a=(columns:!('Message%20ID',Summary),filters:!(),index:'emp_*',interval:auto,query:(query_string:(analyze_wildcard:!t,query:'%22rtdc.l.rtdc.4007%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800</v>
      </c>
      <c r="B187" s="7">
        <v>4032</v>
      </c>
      <c r="C187" s="21" t="s">
        <v>192</v>
      </c>
      <c r="D187" s="21" t="s">
        <v>1056</v>
      </c>
      <c r="E187" s="13">
        <v>43049.650659722225</v>
      </c>
      <c r="F187" s="13">
        <v>43049.652442129627</v>
      </c>
      <c r="G187" s="7">
        <v>73</v>
      </c>
      <c r="H187" s="21" t="s">
        <v>1054</v>
      </c>
      <c r="I187" s="13">
        <v>43049.663321759261</v>
      </c>
      <c r="J187" s="7">
        <v>1</v>
      </c>
      <c r="K187" s="89" t="str">
        <f t="shared" si="61"/>
        <v>4031/4032</v>
      </c>
      <c r="L187" s="185" t="str">
        <f>VLOOKUP(A187,'Trips&amp;Operators'!$C$1:$G$99911,5,FALSE)</f>
        <v>SMITH MICHAEL</v>
      </c>
      <c r="M187" s="6">
        <f t="shared" si="62"/>
        <v>1.0879629633564036E-2</v>
      </c>
      <c r="N187" s="7">
        <f t="shared" si="76"/>
        <v>15.666666672332212</v>
      </c>
      <c r="O187" s="7"/>
      <c r="P187" s="7"/>
      <c r="Q187" s="22"/>
      <c r="R187" s="174"/>
      <c r="S187" s="221">
        <f t="shared" si="77"/>
        <v>1</v>
      </c>
      <c r="T187" s="174" t="str">
        <f t="shared" si="63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4"/>
        <v>https://d0f6bd738d7f1b3e5a7ca70fe4ff75f0.us-east-1.aws.found.io/app/kibana#/discover/Steve-Slow-Train-Analysis-(2080s-and-2083s)?_g=(refreshInterval:(display:Off,pause:!f,section:0,value:0),time:(from:'2017-11-10T14:36:57-0700',mode:absolute,to:'2017-11-10T16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204" t="str">
        <f>IF(AA187&lt;VLOOKUP(AG187,Variables!$AC$3:$AD$8,2,FALSE),"Y","N")</f>
        <v>N</v>
      </c>
      <c r="X187" s="204">
        <f t="shared" si="80"/>
        <v>1</v>
      </c>
      <c r="Y187" s="204">
        <f t="shared" si="78"/>
        <v>9.74E-2</v>
      </c>
      <c r="Z187" s="204">
        <f t="shared" si="79"/>
        <v>5.8930999999999996</v>
      </c>
      <c r="AA187" s="204">
        <f t="shared" si="67"/>
        <v>5.7956999999999992</v>
      </c>
      <c r="AB187" s="54" t="e">
        <f>VLOOKUP(A187,Enforcements!$C$7:$K$9,8,0)</f>
        <v>#N/A</v>
      </c>
      <c r="AC187" s="51" t="e">
        <f>VLOOKUP(A187,Enforcements!$C$7:$E$9,3,0)</f>
        <v>#N/A</v>
      </c>
      <c r="AD187" s="179">
        <f t="shared" si="68"/>
        <v>827</v>
      </c>
      <c r="AE187" s="77" t="str">
        <f t="shared" si="69"/>
        <v>aws s3 cp s3://rtdc.mdm.uploadarchive.raw/RTDC4032/ "%USERPROFILE%\AppData\Local\Temp\OnboardLogs"\RTDC4032\2017-11-10 --exclude "*" --recursive --include "*20171110*" &amp; "%USERPROFILE%\Documents\GitHub\mrs-test-scripts\Headless Mode &amp; Sideloading\WalkAndUnGZ.bat" "%USERPROFILE%\AppData\Local\Temp\OnboardLogs"\RTDC4032\2017-11-10 &amp; aws s3 cp s3://rtdc.mdm.uploadarchive.raw/RTDC4032/ "%USERPROFILE%\AppData\Local\Temp\OnboardLogs"\RTDC4032\2017-11-11 --exclude "*" --recursive --include "*20171111*" &amp; "%USERPROFILE%\Documents\GitHub\mrs-test-scripts\Headless Mode &amp; Sideloading\WalkAndUnGZ.bat" "%USERPROFILE%\AppData\Local\Temp\OnboardLogs"\RTDC4032\2017-11-11</v>
      </c>
      <c r="AF187" s="74" t="str">
        <f t="shared" si="70"/>
        <v>"C:\Program Files (x86)\AstroGrep\AstroGrep.exe" /e /r /s /spath="%USERPROFILE%\AppData\Local\Temp\OnboardLogs" /stypes="app*4032*20171110*" /stext=" 22:.+((SYSTEM_STATE.+slice.+state.+changed )|(ment ac)|(multiple cpu faults)|(system.+state.+changed )|(\[timeout)|(PRM\|1\|D)|(kpr)|(kdp)|(train st.+moving)|(\|lc)|(penalty))"</v>
      </c>
      <c r="AG187" s="182" t="str">
        <f t="shared" si="71"/>
        <v>NW</v>
      </c>
      <c r="AH187" s="78" t="str">
        <f t="shared" si="56"/>
        <v>"%USERPROFILE%\Documents\GitHub\eaglep3\Utilities\RefineRTDCRunTimes.py" --tripid 827-10 --locoid 4032 --swversion DE.1.0.9.0 --startMP 204:974 --initTime 2017-11-10T15:36:57 --startdatetime 2017-11-10T15:39:31 --delay 73 --endMP 300:58931 --enddatetime 2017-11-10T15:55:11 --enforcementcount 1 &gt;&gt;%USERPROFILE%\Documents\GitHub\eaglep3-reporting\EC\2017-11-10-refined-times.txt</v>
      </c>
      <c r="AI187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{"issue":{"subject":"","project_id":79,"tracker_id":40,"status_id":1,"priority_id":2,"assigned_to_id":338,"start_date":"2017-11-10","description":"","custom_fields":[{"id":1,"name":"Subdivision","value":"NW"},{"id":4,"name":"Milepost","value":"5.8931"},{"id":17,"name":"Train ID","value":"827-10"},{"id":16,"name":"Locomotive ID","value":"4032"},{"id":130,"name":"Impact","value":""},{"id":150,"name":"Time of Event (Mountain Time)","value":"15:55:11"},{"id":151,"name":"Denver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58"/>
        <v>start /low /b %USERPROFILE%\Documents\GitHub\eaglep3\Utilities\DownloadLogsFromS3.py --loco 4032 --day 2017-11-10</v>
      </c>
      <c r="AN187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22:55:11"},{"id":29,"name":"Sharepoint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60"/>
        <v>https://d0f6bd738d7f1b3e5a7ca70fe4ff75f0.us-east-1.aws.found.io/app/kibana#/discover/Steve-Slow-Train-Analysis-(2080s-and-2083s)?_g=(refreshInterval:(display:Off,pause:!f,section:0,value:0),time:(from:'2017-11-10T14:36:57-0700',mode:absolute,to:'2017-11-10T16:55:11-0700'))&amp;_a=(columns:!('Message%20ID',Summary),filters:!(),index:'emp_*',interval:auto,query:(query_string:(analyze_wildcard:!t,query:'%22rtdc.l.rtdc.4032%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804</v>
      </c>
      <c r="B188" s="7">
        <v>4031</v>
      </c>
      <c r="C188" s="21" t="s">
        <v>192</v>
      </c>
      <c r="D188" s="21" t="s">
        <v>636</v>
      </c>
      <c r="E188" s="13">
        <v>43049.666006944448</v>
      </c>
      <c r="F188" s="13">
        <v>43049.675821759258</v>
      </c>
      <c r="G188" s="7">
        <v>58</v>
      </c>
      <c r="H188" s="21" t="s">
        <v>631</v>
      </c>
      <c r="I188" s="13">
        <v>43049.684155092589</v>
      </c>
      <c r="J188" s="7">
        <v>1</v>
      </c>
      <c r="K188" s="89" t="str">
        <f t="shared" si="61"/>
        <v>4031/4032</v>
      </c>
      <c r="L188" s="185" t="str">
        <f>VLOOKUP(A188,'Trips&amp;Operators'!$C$1:$G$99911,5,FALSE)</f>
        <v>SMITH MICHAEL</v>
      </c>
      <c r="M188" s="6">
        <f t="shared" si="62"/>
        <v>8.333333331393078E-3</v>
      </c>
      <c r="N188" s="7">
        <f t="shared" si="76"/>
        <v>11.999999997206032</v>
      </c>
      <c r="O188" s="7"/>
      <c r="P188" s="7"/>
      <c r="Q188" s="22"/>
      <c r="R188" s="174"/>
      <c r="S188" s="221">
        <f t="shared" si="77"/>
        <v>1</v>
      </c>
      <c r="T188" s="174" t="str">
        <f t="shared" si="63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4"/>
        <v>https://d0f6bd738d7f1b3e5a7ca70fe4ff75f0.us-east-1.aws.found.io/app/kibana#/discover/Steve-Slow-Train-Analysis-(2080s-and-2083s)?_g=(refreshInterval:(display:Off,pause:!f,section:0,value:0),time:(from:'2017-11-10T14:59:03-0700',mode:absolute,to:'2017-11-10T17:25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204" t="str">
        <f>IF(AA188&lt;VLOOKUP(AG188,Variables!$AC$3:$AD$8,2,FALSE),"Y","N")</f>
        <v>N</v>
      </c>
      <c r="X188" s="204">
        <f t="shared" si="80"/>
        <v>1</v>
      </c>
      <c r="Y188" s="204">
        <f t="shared" si="78"/>
        <v>5.8619000000000003</v>
      </c>
      <c r="Z188" s="204">
        <f t="shared" si="79"/>
        <v>7.1900000000000006E-2</v>
      </c>
      <c r="AA188" s="204">
        <f t="shared" si="67"/>
        <v>5.79</v>
      </c>
      <c r="AB188" s="54" t="e">
        <f>VLOOKUP(A188,Enforcements!$C$7:$K$9,8,0)</f>
        <v>#N/A</v>
      </c>
      <c r="AC188" s="51" t="e">
        <f>VLOOKUP(A188,Enforcements!$C$7:$E$9,3,0)</f>
        <v>#N/A</v>
      </c>
      <c r="AD188" s="179">
        <f t="shared" si="68"/>
        <v>828</v>
      </c>
      <c r="AE188" s="77" t="str">
        <f t="shared" si="69"/>
        <v>aws s3 cp s3://rtdc.mdm.uploadarchive.raw/RTDC4031/ "%USERPROFILE%\AppData\Local\Temp\OnboardLogs"\RTDC4031\2017-11-10 --exclude "*" --recursive --include "*20171110*" &amp; "%USERPROFILE%\Documents\GitHub\mrs-test-scripts\Headless Mode &amp; Sideloading\WalkAndUnGZ.bat" "%USERPROFILE%\AppData\Local\Temp\OnboardLogs"\RTDC4031\2017-11-10 &amp; aws s3 cp s3://rtdc.mdm.uploadarchive.raw/RTDC4031/ "%USERPROFILE%\AppData\Local\Temp\OnboardLogs"\RTDC4031\2017-11-11 --exclude "*" --recursive --include "*20171111*" &amp; "%USERPROFILE%\Documents\GitHub\mrs-test-scripts\Headless Mode &amp; Sideloading\WalkAndUnGZ.bat" "%USERPROFILE%\AppData\Local\Temp\OnboardLogs"\RTDC4031\2017-11-11</v>
      </c>
      <c r="AF188" s="74" t="str">
        <f t="shared" si="70"/>
        <v>"C:\Program Files (x86)\AstroGrep\AstroGrep.exe" /e /r /s /spath="%USERPROFILE%\AppData\Local\Temp\OnboardLogs" /stypes="app*4031*20171110*" /stext=" 23:.+((SYSTEM_STATE.+slice.+state.+changed )|(ment ac)|(multiple cpu faults)|(system.+state.+changed )|(\[timeout)|(PRM\|1\|D)|(kpr)|(kdp)|(train st.+moving)|(\|lc)|(penalty))"</v>
      </c>
      <c r="AG188" s="182" t="str">
        <f t="shared" si="71"/>
        <v>NW</v>
      </c>
      <c r="AH188" s="78" t="str">
        <f t="shared" si="56"/>
        <v>"%USERPROFILE%\Documents\GitHub\eaglep3\Utilities\RefineRTDCRunTimes.py" --tripid 828-10 --locoid 4031 --swversion DE.1.0.9.0 --startMP 300:58619 --initTime 2017-11-10T15:59:03 --startdatetime 2017-11-10T16:13:11 --delay 58 --endMP 204:719 --enddatetime 2017-11-10T16:25:11 --enforcementcount 1 &gt;&gt;%USERPROFILE%\Documents\GitHub\eaglep3-reporting\EC\2017-11-10-refined-times.txt</v>
      </c>
      <c r="AI188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{"issue":{"subject":"","project_id":79,"tracker_id":40,"status_id":1,"priority_id":2,"assigned_to_id":338,"start_date":"2017-11-10","description":"","custom_fields":[{"id":1,"name":"Subdivision","value":"NW"},{"id":4,"name":"Milepost","value":"0.0719"},{"id":17,"name":"Train ID","value":"828-10"},{"id":16,"name":"Locomotive ID","value":"4031"},{"id":130,"name":"Impact","value":""},{"id":150,"name":"Time of Event (Mountain Time)","value":"16:25:11"},{"id":151,"name":"Denver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58"/>
        <v>start /low /b %USERPROFILE%\Documents\GitHub\eaglep3\Utilities\DownloadLogsFromS3.py --loco 4031 --day 2017-11-10</v>
      </c>
      <c r="AN188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23:25:11"},{"id":29,"name":"Sharepoint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60"/>
        <v>https://d0f6bd738d7f1b3e5a7ca70fe4ff75f0.us-east-1.aws.found.io/app/kibana#/discover/Steve-Slow-Train-Analysis-(2080s-and-2083s)?_g=(refreshInterval:(display:Off,pause:!f,section:0,value:0),time:(from:'2017-11-10T14:59:03-0700',mode:absolute,to:'2017-11-10T17:25:11-0700'))&amp;_a=(columns:!('Message%20ID',Summary),filters:!(),index:'emp_*',interval:auto,query:(query_string:(analyze_wildcard:!t,query:'%22rtdc.l.rtdc.4031%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803</v>
      </c>
      <c r="B189" s="7">
        <v>4008</v>
      </c>
      <c r="C189" s="21" t="s">
        <v>192</v>
      </c>
      <c r="D189" s="21" t="s">
        <v>1057</v>
      </c>
      <c r="E189" s="13">
        <v>43049.665277777778</v>
      </c>
      <c r="F189" s="13">
        <v>43049.673078703701</v>
      </c>
      <c r="G189" s="7">
        <v>77</v>
      </c>
      <c r="H189" s="21" t="s">
        <v>1058</v>
      </c>
      <c r="I189" s="13">
        <v>43049.683831018519</v>
      </c>
      <c r="J189" s="7">
        <v>1</v>
      </c>
      <c r="K189" s="89" t="str">
        <f t="shared" si="61"/>
        <v>4007/4008</v>
      </c>
      <c r="L189" s="185" t="str">
        <f>VLOOKUP(A189,'Trips&amp;Operators'!$C$1:$G$99911,5,FALSE)</f>
        <v>BERLING GARY</v>
      </c>
      <c r="M189" s="6">
        <f t="shared" si="62"/>
        <v>1.0752314818091691E-2</v>
      </c>
      <c r="N189" s="7">
        <f t="shared" si="76"/>
        <v>15.483333338052034</v>
      </c>
      <c r="O189" s="7"/>
      <c r="P189" s="7"/>
      <c r="Q189" s="22"/>
      <c r="R189" s="174"/>
      <c r="S189" s="221">
        <f t="shared" si="77"/>
        <v>1</v>
      </c>
      <c r="T189" s="174" t="str">
        <f t="shared" si="63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4"/>
        <v>https://d0f6bd738d7f1b3e5a7ca70fe4ff75f0.us-east-1.aws.found.io/app/kibana#/discover/Steve-Slow-Train-Analysis-(2080s-and-2083s)?_g=(refreshInterval:(display:Off,pause:!f,section:0,value:0),time:(from:'2017-11-10T14:58:00-0700',mode:absolute,to:'2017-11-10T17:24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9" s="204" t="str">
        <f>IF(AA189&lt;VLOOKUP(AG189,Variables!$AC$3:$AD$8,2,FALSE),"Y","N")</f>
        <v>N</v>
      </c>
      <c r="X189" s="204">
        <f t="shared" si="80"/>
        <v>1</v>
      </c>
      <c r="Y189" s="204">
        <f t="shared" si="78"/>
        <v>0.1172</v>
      </c>
      <c r="Z189" s="204">
        <f t="shared" si="79"/>
        <v>5.8987999999999996</v>
      </c>
      <c r="AA189" s="204">
        <f t="shared" si="67"/>
        <v>5.7815999999999992</v>
      </c>
      <c r="AB189" s="54" t="e">
        <f>VLOOKUP(A189,Enforcements!$C$7:$K$9,8,0)</f>
        <v>#N/A</v>
      </c>
      <c r="AC189" s="51" t="e">
        <f>VLOOKUP(A189,Enforcements!$C$7:$E$9,3,0)</f>
        <v>#N/A</v>
      </c>
      <c r="AD189" s="179">
        <f t="shared" si="68"/>
        <v>829</v>
      </c>
      <c r="AE189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189" s="74" t="str">
        <f t="shared" si="70"/>
        <v>"C:\Program Files (x86)\AstroGrep\AstroGrep.exe" /e /r /s /spath="%USERPROFILE%\AppData\Local\Temp\OnboardLogs" /stypes="app*4008*20171110*" /stext=" 23:.+((SYSTEM_STATE.+slice.+state.+changed )|(ment ac)|(multiple cpu faults)|(system.+state.+changed )|(\[timeout)|(PRM\|1\|D)|(kpr)|(kdp)|(train st.+moving)|(\|lc)|(penalty))"</v>
      </c>
      <c r="AG189" s="182" t="str">
        <f t="shared" si="71"/>
        <v>NW</v>
      </c>
      <c r="AH189" s="78" t="str">
        <f t="shared" si="56"/>
        <v>"%USERPROFILE%\Documents\GitHub\eaglep3\Utilities\RefineRTDCRunTimes.py" --tripid 829-10 --locoid 4008 --swversion DE.1.0.9.0 --startMP 204:1172 --initTime 2017-11-10T15:58:00 --startdatetime 2017-11-10T16:09:14 --delay 77 --endMP 300:58988 --enddatetime 2017-11-10T16:24:43 --enforcementcount 1 &gt;&gt;%USERPROFILE%\Documents\GitHub\eaglep3-reporting\EC\2017-11-10-refined-times.txt</v>
      </c>
      <c r="AI189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{"issue":{"subject":"","project_id":79,"tracker_id":40,"status_id":1,"priority_id":2,"assigned_to_id":338,"start_date":"2017-11-10","description":"","custom_fields":[{"id":1,"name":"Subdivision","value":"NW"},{"id":4,"name":"Milepost","value":"5.8988"},{"id":17,"name":"Train ID","value":"829-10"},{"id":16,"name":"Locomotive ID","value":"4008"},{"id":130,"name":"Impact","value":""},{"id":150,"name":"Time of Event (Mountain Time)","value":"16:24:43"},{"id":151,"name":"Denver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58"/>
        <v>start /low /b %USERPROFILE%\Documents\GitHub\eaglep3\Utilities\DownloadLogsFromS3.py --loco 4008 --day 2017-11-10</v>
      </c>
      <c r="AN189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23:24:43"},{"id":29,"name":"Sharepoint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60"/>
        <v>https://d0f6bd738d7f1b3e5a7ca70fe4ff75f0.us-east-1.aws.found.io/app/kibana#/discover/Steve-Slow-Train-Analysis-(2080s-and-2083s)?_g=(refreshInterval:(display:Off,pause:!f,section:0,value:0),time:(from:'2017-11-10T14:58:00-0700',mode:absolute,to:'2017-11-10T17:24:43-0700'))&amp;_a=(columns:!('Message%20ID',Summary),filters:!(),index:'emp_*',interval:auto,query:(query_string:(analyze_wildcard:!t,query:'%22rtdc.l.rtdc.4008%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810</v>
      </c>
      <c r="B190" s="7">
        <v>4007</v>
      </c>
      <c r="C190" s="21" t="s">
        <v>192</v>
      </c>
      <c r="D190" s="21" t="s">
        <v>497</v>
      </c>
      <c r="E190" s="13">
        <v>43049.685972222222</v>
      </c>
      <c r="F190" s="13">
        <v>43049.696550925924</v>
      </c>
      <c r="G190" s="7">
        <v>101</v>
      </c>
      <c r="H190" s="21" t="s">
        <v>633</v>
      </c>
      <c r="I190" s="13">
        <v>43049.704745370371</v>
      </c>
      <c r="J190" s="7">
        <v>1</v>
      </c>
      <c r="K190" s="89" t="str">
        <f t="shared" si="61"/>
        <v>4007/4008</v>
      </c>
      <c r="L190" s="185" t="str">
        <f>VLOOKUP(A190,'Trips&amp;Operators'!$C$1:$G$99911,5,FALSE)</f>
        <v>BERLING GARY</v>
      </c>
      <c r="M190" s="6">
        <f t="shared" si="62"/>
        <v>8.1944444464170374E-3</v>
      </c>
      <c r="N190" s="7">
        <f t="shared" si="76"/>
        <v>11.800000002840534</v>
      </c>
      <c r="O190" s="7"/>
      <c r="P190" s="7"/>
      <c r="Q190" s="22"/>
      <c r="R190" s="174"/>
      <c r="S190" s="221">
        <f t="shared" si="77"/>
        <v>1</v>
      </c>
      <c r="T190" s="174" t="str">
        <f t="shared" si="63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4"/>
        <v>https://d0f6bd738d7f1b3e5a7ca70fe4ff75f0.us-east-1.aws.found.io/app/kibana#/discover/Steve-Slow-Train-Analysis-(2080s-and-2083s)?_g=(refreshInterval:(display:Off,pause:!f,section:0,value:0),time:(from:'2017-11-10T15:27:48-0700',mode:absolute,to:'2017-11-10T17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0" s="204" t="str">
        <f>IF(AA190&lt;VLOOKUP(AG190,Variables!$AC$3:$AD$8,2,FALSE),"Y","N")</f>
        <v>N</v>
      </c>
      <c r="X190" s="204">
        <f t="shared" si="80"/>
        <v>1</v>
      </c>
      <c r="Y190" s="204">
        <f t="shared" si="78"/>
        <v>5.8666</v>
      </c>
      <c r="Z190" s="204">
        <f t="shared" si="79"/>
        <v>8.4099999999999994E-2</v>
      </c>
      <c r="AA190" s="204">
        <f t="shared" si="67"/>
        <v>5.7824999999999998</v>
      </c>
      <c r="AB190" s="54" t="e">
        <f>VLOOKUP(A190,Enforcements!$C$7:$K$9,8,0)</f>
        <v>#N/A</v>
      </c>
      <c r="AC190" s="51" t="e">
        <f>VLOOKUP(A190,Enforcements!$C$7:$E$9,3,0)</f>
        <v>#N/A</v>
      </c>
      <c r="AD190" s="179">
        <f t="shared" si="68"/>
        <v>830</v>
      </c>
      <c r="AE190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190" s="74" t="str">
        <f t="shared" si="70"/>
        <v>"C:\Program Files (x86)\AstroGrep\AstroGrep.exe" /e /r /s /spath="%USERPROFILE%\AppData\Local\Temp\OnboardLogs" /stypes="app*4007*20171110*" /stext=" 23:.+((SYSTEM_STATE.+slice.+state.+changed )|(ment ac)|(multiple cpu faults)|(system.+state.+changed )|(\[timeout)|(PRM\|1\|D)|(kpr)|(kdp)|(train st.+moving)|(\|lc)|(penalty))"</v>
      </c>
      <c r="AG190" s="182" t="str">
        <f t="shared" si="71"/>
        <v>NW</v>
      </c>
      <c r="AH190" s="78" t="str">
        <f t="shared" si="56"/>
        <v>"%USERPROFILE%\Documents\GitHub\eaglep3\Utilities\RefineRTDCRunTimes.py" --tripid 830-10 --locoid 4007 --swversion DE.1.0.9.0 --startMP 300:58666 --initTime 2017-11-10T16:27:48 --startdatetime 2017-11-10T16:43:02 --delay 101 --endMP 204:841 --enddatetime 2017-11-10T16:54:50 --enforcementcount 1 &gt;&gt;%USERPROFILE%\Documents\GitHub\eaglep3-reporting\EC\2017-11-10-refined-times.txt</v>
      </c>
      <c r="AI190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{"issue":{"subject":"","project_id":79,"tracker_id":40,"status_id":1,"priority_id":2,"assigned_to_id":338,"start_date":"2017-11-10","description":"","custom_fields":[{"id":1,"name":"Subdivision","value":"NW"},{"id":4,"name":"Milepost","value":"0.0841"},{"id":17,"name":"Train ID","value":"830-10"},{"id":16,"name":"Locomotive ID","value":"4007"},{"id":130,"name":"Impact","value":""},{"id":150,"name":"Time of Event (Mountain Time)","value":"16:54:50"},{"id":151,"name":"Denver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58"/>
        <v>start /low /b %USERPROFILE%\Documents\GitHub\eaglep3\Utilities\DownloadLogsFromS3.py --loco 4007 --day 2017-11-10</v>
      </c>
      <c r="AN190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23:54:50"},{"id":29,"name":"Sharepoint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60"/>
        <v>https://d0f6bd738d7f1b3e5a7ca70fe4ff75f0.us-east-1.aws.found.io/app/kibana#/discover/Steve-Slow-Train-Analysis-(2080s-and-2083s)?_g=(refreshInterval:(display:Off,pause:!f,section:0,value:0),time:(from:'2017-11-10T15:27:48-0700',mode:absolute,to:'2017-11-10T17:54:50-0700'))&amp;_a=(columns:!('Message%20ID',Summary),filters:!(),index:'emp_*',interval:auto,query:(query_string:(analyze_wildcard:!t,query:'%22rtdc.l.rtdc.4007%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809</v>
      </c>
      <c r="B191" s="7">
        <v>4032</v>
      </c>
      <c r="C191" s="21" t="s">
        <v>192</v>
      </c>
      <c r="D191" s="21" t="s">
        <v>1059</v>
      </c>
      <c r="E191" s="13">
        <v>43049.686076388891</v>
      </c>
      <c r="F191" s="13">
        <v>43049.694293981483</v>
      </c>
      <c r="G191" s="7">
        <v>85</v>
      </c>
      <c r="H191" s="21" t="s">
        <v>1060</v>
      </c>
      <c r="I191" s="13">
        <v>43049.704641203702</v>
      </c>
      <c r="J191" s="7">
        <v>1</v>
      </c>
      <c r="K191" s="89" t="str">
        <f t="shared" si="61"/>
        <v>4031/4032</v>
      </c>
      <c r="L191" s="185" t="str">
        <f>VLOOKUP(A191,'Trips&amp;Operators'!$C$1:$G$99911,5,FALSE)</f>
        <v>SMITH MICHAEL</v>
      </c>
      <c r="M191" s="6">
        <f t="shared" si="62"/>
        <v>1.0347222218115348E-2</v>
      </c>
      <c r="N191" s="7">
        <f t="shared" si="76"/>
        <v>14.899999994086102</v>
      </c>
      <c r="O191" s="7"/>
      <c r="P191" s="7"/>
      <c r="Q191" s="22"/>
      <c r="R191" s="174"/>
      <c r="S191" s="221">
        <f t="shared" si="77"/>
        <v>1</v>
      </c>
      <c r="T191" s="174" t="str">
        <f t="shared" si="63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4"/>
        <v>https://d0f6bd738d7f1b3e5a7ca70fe4ff75f0.us-east-1.aws.found.io/app/kibana#/discover/Steve-Slow-Train-Analysis-(2080s-and-2083s)?_g=(refreshInterval:(display:Off,pause:!f,section:0,value:0),time:(from:'2017-11-10T15:27:57-0700',mode:absolute,to:'2017-11-10T17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204" t="str">
        <f>IF(AA191&lt;VLOOKUP(AG191,Variables!$AC$3:$AD$8,2,FALSE),"Y","N")</f>
        <v>N</v>
      </c>
      <c r="X191" s="204">
        <f t="shared" si="80"/>
        <v>1</v>
      </c>
      <c r="Y191" s="204">
        <f t="shared" si="78"/>
        <v>9.8299999999999998E-2</v>
      </c>
      <c r="Z191" s="204">
        <f t="shared" si="79"/>
        <v>5.8963000000000001</v>
      </c>
      <c r="AA191" s="204">
        <f t="shared" si="67"/>
        <v>5.798</v>
      </c>
      <c r="AB191" s="54" t="e">
        <f>VLOOKUP(A191,Enforcements!$C$7:$K$9,8,0)</f>
        <v>#N/A</v>
      </c>
      <c r="AC191" s="51" t="e">
        <f>VLOOKUP(A191,Enforcements!$C$7:$E$9,3,0)</f>
        <v>#N/A</v>
      </c>
      <c r="AD191" s="179">
        <f t="shared" si="68"/>
        <v>831</v>
      </c>
      <c r="AE191" s="77" t="str">
        <f t="shared" si="69"/>
        <v>aws s3 cp s3://rtdc.mdm.uploadarchive.raw/RTDC4032/ "%USERPROFILE%\AppData\Local\Temp\OnboardLogs"\RTDC4032\2017-11-10 --exclude "*" --recursive --include "*20171110*" &amp; "%USERPROFILE%\Documents\GitHub\mrs-test-scripts\Headless Mode &amp; Sideloading\WalkAndUnGZ.bat" "%USERPROFILE%\AppData\Local\Temp\OnboardLogs"\RTDC4032\2017-11-10 &amp; aws s3 cp s3://rtdc.mdm.uploadarchive.raw/RTDC4032/ "%USERPROFILE%\AppData\Local\Temp\OnboardLogs"\RTDC4032\2017-11-11 --exclude "*" --recursive --include "*20171111*" &amp; "%USERPROFILE%\Documents\GitHub\mrs-test-scripts\Headless Mode &amp; Sideloading\WalkAndUnGZ.bat" "%USERPROFILE%\AppData\Local\Temp\OnboardLogs"\RTDC4032\2017-11-11</v>
      </c>
      <c r="AF191" s="74" t="str">
        <f t="shared" si="70"/>
        <v>"C:\Program Files (x86)\AstroGrep\AstroGrep.exe" /e /r /s /spath="%USERPROFILE%\AppData\Local\Temp\OnboardLogs" /stypes="app*4032*20171110*" /stext=" 23:.+((SYSTEM_STATE.+slice.+state.+changed )|(ment ac)|(multiple cpu faults)|(system.+state.+changed )|(\[timeout)|(PRM\|1\|D)|(kpr)|(kdp)|(train st.+moving)|(\|lc)|(penalty))"</v>
      </c>
      <c r="AG191" s="182" t="str">
        <f t="shared" si="71"/>
        <v>NW</v>
      </c>
      <c r="AH191" s="78" t="str">
        <f t="shared" si="56"/>
        <v>"%USERPROFILE%\Documents\GitHub\eaglep3\Utilities\RefineRTDCRunTimes.py" --tripid 831-10 --locoid 4032 --swversion DE.1.0.9.0 --startMP 204:983 --initTime 2017-11-10T16:27:57 --startdatetime 2017-11-10T16:39:47 --delay 85 --endMP 300:58963 --enddatetime 2017-11-10T16:54:41 --enforcementcount 1 &gt;&gt;%USERPROFILE%\Documents\GitHub\eaglep3-reporting\EC\2017-11-10-refined-times.txt</v>
      </c>
      <c r="AI191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{"issue":{"subject":"","project_id":79,"tracker_id":40,"status_id":1,"priority_id":2,"assigned_to_id":338,"start_date":"2017-11-10","description":"","custom_fields":[{"id":1,"name":"Subdivision","value":"NW"},{"id":4,"name":"Milepost","value":"5.8963"},{"id":17,"name":"Train ID","value":"831-10"},{"id":16,"name":"Locomotive ID","value":"4032"},{"id":130,"name":"Impact","value":""},{"id":150,"name":"Time of Event (Mountain Time)","value":"16:54:41"},{"id":151,"name":"Denver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58"/>
        <v>start /low /b %USERPROFILE%\Documents\GitHub\eaglep3\Utilities\DownloadLogsFromS3.py --loco 4032 --day 2017-11-10</v>
      </c>
      <c r="AN191" s="151" t="str">
        <f t="shared" si="59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23:54:41"},{"id":29,"name":"Sharepoint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60"/>
        <v>https://d0f6bd738d7f1b3e5a7ca70fe4ff75f0.us-east-1.aws.found.io/app/kibana#/discover/Steve-Slow-Train-Analysis-(2080s-and-2083s)?_g=(refreshInterval:(display:Off,pause:!f,section:0,value:0),time:(from:'2017-11-10T15:27:57-0700',mode:absolute,to:'2017-11-10T17:54:41-0700'))&amp;_a=(columns:!('Message%20ID',Summary),filters:!(),index:'emp_*',interval:auto,query:(query_string:(analyze_wildcard:!t,query:'%22rtdc.l.rtdc.4032%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816</v>
      </c>
      <c r="B192" s="7">
        <v>4031</v>
      </c>
      <c r="C192" s="21" t="s">
        <v>192</v>
      </c>
      <c r="D192" s="21" t="s">
        <v>1061</v>
      </c>
      <c r="E192" s="13">
        <v>43049.706087962964</v>
      </c>
      <c r="F192" s="13">
        <v>43049.717476851853</v>
      </c>
      <c r="G192" s="7">
        <v>76</v>
      </c>
      <c r="H192" s="21" t="s">
        <v>1062</v>
      </c>
      <c r="I192" s="13">
        <v>43049.726527777777</v>
      </c>
      <c r="J192" s="7">
        <v>1</v>
      </c>
      <c r="K192" s="89" t="str">
        <f t="shared" si="61"/>
        <v>4031/4032</v>
      </c>
      <c r="L192" s="185" t="str">
        <f>VLOOKUP(A192,'Trips&amp;Operators'!$C$1:$G$99911,5,FALSE)</f>
        <v>SMITH MICHAEL</v>
      </c>
      <c r="M192" s="6">
        <f t="shared" si="62"/>
        <v>9.0509259243845008E-3</v>
      </c>
      <c r="N192" s="7">
        <f t="shared" si="76"/>
        <v>13.033333331113681</v>
      </c>
      <c r="O192" s="7"/>
      <c r="P192" s="7"/>
      <c r="Q192" s="22"/>
      <c r="R192" s="174"/>
      <c r="S192" s="221">
        <f t="shared" si="77"/>
        <v>1</v>
      </c>
      <c r="T192" s="174" t="str">
        <f t="shared" si="63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4"/>
        <v>https://d0f6bd738d7f1b3e5a7ca70fe4ff75f0.us-east-1.aws.found.io/app/kibana#/discover/Steve-Slow-Train-Analysis-(2080s-and-2083s)?_g=(refreshInterval:(display:Off,pause:!f,section:0,value:0),time:(from:'2017-11-10T15:56:46-0700',mode:absolute,to:'2017-11-10T18:26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204" t="str">
        <f>IF(AA192&lt;VLOOKUP(AG192,Variables!$AC$3:$AD$8,2,FALSE),"Y","N")</f>
        <v>N</v>
      </c>
      <c r="X192" s="204">
        <f t="shared" si="80"/>
        <v>1</v>
      </c>
      <c r="Y192" s="204">
        <f t="shared" si="78"/>
        <v>5.8648999999999996</v>
      </c>
      <c r="Z192" s="204">
        <f t="shared" si="79"/>
        <v>8.0600000000000005E-2</v>
      </c>
      <c r="AA192" s="204">
        <f t="shared" si="67"/>
        <v>5.7843</v>
      </c>
      <c r="AB192" s="54" t="e">
        <f>VLOOKUP(A192,Enforcements!$C$7:$K$9,8,0)</f>
        <v>#N/A</v>
      </c>
      <c r="AC192" s="51" t="e">
        <f>VLOOKUP(A192,Enforcements!$C$7:$E$9,3,0)</f>
        <v>#N/A</v>
      </c>
      <c r="AD192" s="179">
        <f t="shared" si="68"/>
        <v>832</v>
      </c>
      <c r="AE192" s="77" t="str">
        <f t="shared" si="69"/>
        <v>aws s3 cp s3://rtdc.mdm.uploadarchive.raw/RTDC4031/ "%USERPROFILE%\AppData\Local\Temp\OnboardLogs"\RTDC4031\2017-11-10 --exclude "*" --recursive --include "*20171110*" &amp; "%USERPROFILE%\Documents\GitHub\mrs-test-scripts\Headless Mode &amp; Sideloading\WalkAndUnGZ.bat" "%USERPROFILE%\AppData\Local\Temp\OnboardLogs"\RTDC4031\2017-11-10 &amp; aws s3 cp s3://rtdc.mdm.uploadarchive.raw/RTDC4031/ "%USERPROFILE%\AppData\Local\Temp\OnboardLogs"\RTDC4031\2017-11-11 --exclude "*" --recursive --include "*20171111*" &amp; "%USERPROFILE%\Documents\GitHub\mrs-test-scripts\Headless Mode &amp; Sideloading\WalkAndUnGZ.bat" "%USERPROFILE%\AppData\Local\Temp\OnboardLogs"\RTDC4031\2017-11-11</v>
      </c>
      <c r="AF192" s="74" t="str">
        <f t="shared" si="70"/>
        <v>"C:\Program Files (x86)\AstroGrep\AstroGrep.exe" /e /r /s /spath="%USERPROFILE%\AppData\Local\Temp\OnboardLogs" /stypes="app*4031*20171111*" /stext=" 00:.+((SYSTEM_STATE.+slice.+state.+changed )|(ment ac)|(multiple cpu faults)|(system.+state.+changed )|(\[timeout)|(PRM\|1\|D)|(kpr)|(kdp)|(train st.+moving)|(\|lc)|(penalty))"</v>
      </c>
      <c r="AG192" s="182" t="str">
        <f t="shared" si="71"/>
        <v>NW</v>
      </c>
      <c r="AH192" s="78" t="str">
        <f t="shared" si="56"/>
        <v>"%USERPROFILE%\Documents\GitHub\eaglep3\Utilities\RefineRTDCRunTimes.py" --tripid 832-10 --locoid 4031 --swversion DE.1.0.9.0 --startMP 300:58649 --initTime 2017-11-10T16:56:46 --startdatetime 2017-11-10T17:13:10 --delay 76 --endMP 204:806 --enddatetime 2017-11-10T17:26:12 --enforcementcount 1 &gt;&gt;%USERPROFILE%\Documents\GitHub\eaglep3-reporting\EC\2017-11-10-refined-times.txt</v>
      </c>
      <c r="AI192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{"issue":{"subject":"","project_id":79,"tracker_id":40,"status_id":1,"priority_id":2,"assigned_to_id":338,"start_date":"2017-11-10","description":"","custom_fields":[{"id":1,"name":"Subdivision","value":"NW"},{"id":4,"name":"Milepost","value":"0.0806"},{"id":17,"name":"Train ID","value":"832-10"},{"id":16,"name":"Locomotive ID","value":"4031"},{"id":130,"name":"Impact","value":""},{"id":150,"name":"Time of Event (Mountain Time)","value":"17:26:12"},{"id":151,"name":"Denver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58"/>
        <v>start /low /b %USERPROFILE%\Documents\GitHub\eaglep3\Utilities\DownloadLogsFromS3.py --loco 4031 --day 2017-11-10</v>
      </c>
      <c r="AN192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00:26:12"},{"id":29,"name":"Sharepoint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60"/>
        <v>https://d0f6bd738d7f1b3e5a7ca70fe4ff75f0.us-east-1.aws.found.io/app/kibana#/discover/Steve-Slow-Train-Analysis-(2080s-and-2083s)?_g=(refreshInterval:(display:Off,pause:!f,section:0,value:0),time:(from:'2017-11-10T15:56:46-0700',mode:absolute,to:'2017-11-10T18:26:12-0700'))&amp;_a=(columns:!('Message%20ID',Summary),filters:!(),index:'emp_*',interval:auto,query:(query_string:(analyze_wildcard:!t,query:'%22rtdc.l.rtdc.4031%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817</v>
      </c>
      <c r="B193" s="7">
        <v>4008</v>
      </c>
      <c r="C193" s="21" t="s">
        <v>192</v>
      </c>
      <c r="D193" s="21" t="s">
        <v>1063</v>
      </c>
      <c r="E193" s="13">
        <v>43049.708414351851</v>
      </c>
      <c r="F193" s="13">
        <v>43049.714907407404</v>
      </c>
      <c r="G193" s="7">
        <v>99</v>
      </c>
      <c r="H193" s="21" t="s">
        <v>1064</v>
      </c>
      <c r="I193" s="13">
        <v>43049.725682870368</v>
      </c>
      <c r="J193" s="7">
        <v>1</v>
      </c>
      <c r="K193" s="89" t="str">
        <f t="shared" si="61"/>
        <v>4007/4008</v>
      </c>
      <c r="L193" s="185" t="str">
        <f>VLOOKUP(A193,'Trips&amp;Operators'!$C$1:$G$99911,5,FALSE)</f>
        <v>BERLING GARY</v>
      </c>
      <c r="M193" s="6">
        <f t="shared" si="62"/>
        <v>1.0775462964375038E-2</v>
      </c>
      <c r="N193" s="7">
        <f t="shared" si="76"/>
        <v>15.516666668700054</v>
      </c>
      <c r="O193" s="7"/>
      <c r="P193" s="7"/>
      <c r="Q193" s="22"/>
      <c r="R193" s="174"/>
      <c r="S193" s="221">
        <f t="shared" si="77"/>
        <v>1</v>
      </c>
      <c r="T193" s="174" t="str">
        <f t="shared" si="63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4"/>
        <v>https://d0f6bd738d7f1b3e5a7ca70fe4ff75f0.us-east-1.aws.found.io/app/kibana#/discover/Steve-Slow-Train-Analysis-(2080s-and-2083s)?_g=(refreshInterval:(display:Off,pause:!f,section:0,value:0),time:(from:'2017-11-10T16:00:07-0700',mode:absolute,to:'2017-11-10T18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3" s="204" t="str">
        <f>IF(AA193&lt;VLOOKUP(AG193,Variables!$AC$3:$AD$8,2,FALSE),"Y","N")</f>
        <v>N</v>
      </c>
      <c r="X193" s="204">
        <f t="shared" si="80"/>
        <v>1</v>
      </c>
      <c r="Y193" s="204">
        <f t="shared" si="78"/>
        <v>0.1084</v>
      </c>
      <c r="Z193" s="204">
        <f t="shared" si="79"/>
        <v>5.8948</v>
      </c>
      <c r="AA193" s="204">
        <f t="shared" si="67"/>
        <v>5.7864000000000004</v>
      </c>
      <c r="AB193" s="54" t="e">
        <f>VLOOKUP(A193,Enforcements!$C$7:$K$9,8,0)</f>
        <v>#N/A</v>
      </c>
      <c r="AC193" s="51" t="e">
        <f>VLOOKUP(A193,Enforcements!$C$7:$E$9,3,0)</f>
        <v>#N/A</v>
      </c>
      <c r="AD193" s="179">
        <f t="shared" si="68"/>
        <v>833</v>
      </c>
      <c r="AE193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193" s="74" t="str">
        <f t="shared" si="70"/>
        <v>"C:\Program Files (x86)\AstroGrep\AstroGrep.exe" /e /r /s /spath="%USERPROFILE%\AppData\Local\Temp\OnboardLogs" /stypes="app*4008*20171111*" /stext=" 00:.+((SYSTEM_STATE.+slice.+state.+changed )|(ment ac)|(multiple cpu faults)|(system.+state.+changed )|(\[timeout)|(PRM\|1\|D)|(kpr)|(kdp)|(train st.+moving)|(\|lc)|(penalty))"</v>
      </c>
      <c r="AG193" s="182" t="str">
        <f t="shared" si="71"/>
        <v>NW</v>
      </c>
      <c r="AH193" s="78" t="str">
        <f t="shared" si="56"/>
        <v>"%USERPROFILE%\Documents\GitHub\eaglep3\Utilities\RefineRTDCRunTimes.py" --tripid 833-10 --locoid 4008 --swversion DE.1.0.9.0 --startMP 204:1084 --initTime 2017-11-10T17:00:07 --startdatetime 2017-11-10T17:09:28 --delay 99 --endMP 300:58948 --enddatetime 2017-11-10T17:24:59 --enforcementcount 1 &gt;&gt;%USERPROFILE%\Documents\GitHub\eaglep3-reporting\EC\2017-11-10-refined-times.txt</v>
      </c>
      <c r="AI193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{"issue":{"subject":"","project_id":79,"tracker_id":40,"status_id":1,"priority_id":2,"assigned_to_id":338,"start_date":"2017-11-10","description":"","custom_fields":[{"id":1,"name":"Subdivision","value":"NW"},{"id":4,"name":"Milepost","value":"5.8948"},{"id":17,"name":"Train ID","value":"833-10"},{"id":16,"name":"Locomotive ID","value":"4008"},{"id":130,"name":"Impact","value":""},{"id":150,"name":"Time of Event (Mountain Time)","value":"17:24:59"},{"id":151,"name":"Denver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58"/>
        <v>start /low /b %USERPROFILE%\Documents\GitHub\eaglep3\Utilities\DownloadLogsFromS3.py --loco 4008 --day 2017-11-10</v>
      </c>
      <c r="AN193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00:24:59"},{"id":29,"name":"Sharepoint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60"/>
        <v>https://d0f6bd738d7f1b3e5a7ca70fe4ff75f0.us-east-1.aws.found.io/app/kibana#/discover/Steve-Slow-Train-Analysis-(2080s-and-2083s)?_g=(refreshInterval:(display:Off,pause:!f,section:0,value:0),time:(from:'2017-11-10T16:00:07-0700',mode:absolute,to:'2017-11-10T18:24:59-0700'))&amp;_a=(columns:!('Message%20ID',Summary),filters:!(),index:'emp_*',interval:auto,query:(query_string:(analyze_wildcard:!t,query:'%22rtdc.l.rtdc.4008%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823</v>
      </c>
      <c r="B194" s="7">
        <v>4007</v>
      </c>
      <c r="C194" s="21" t="s">
        <v>192</v>
      </c>
      <c r="D194" s="21" t="s">
        <v>1065</v>
      </c>
      <c r="E194" s="13">
        <v>43049.726736111108</v>
      </c>
      <c r="F194" s="13">
        <v>43049.738229166665</v>
      </c>
      <c r="G194" s="7">
        <v>68</v>
      </c>
      <c r="H194" s="21" t="s">
        <v>1066</v>
      </c>
      <c r="I194" s="13">
        <v>43049.747395833336</v>
      </c>
      <c r="J194" s="7">
        <v>1</v>
      </c>
      <c r="K194" s="89" t="str">
        <f t="shared" si="61"/>
        <v>4007/4008</v>
      </c>
      <c r="L194" s="185" t="str">
        <f>VLOOKUP(A194,'Trips&amp;Operators'!$C$1:$G$99911,5,FALSE)</f>
        <v>BERLING GARY</v>
      </c>
      <c r="M194" s="6">
        <f t="shared" si="62"/>
        <v>9.1666666703531519E-3</v>
      </c>
      <c r="N194" s="7">
        <f t="shared" si="76"/>
        <v>13.200000005308539</v>
      </c>
      <c r="O194" s="7"/>
      <c r="P194" s="7"/>
      <c r="Q194" s="22"/>
      <c r="R194" s="174"/>
      <c r="S194" s="221">
        <f t="shared" si="77"/>
        <v>1</v>
      </c>
      <c r="T194" s="174" t="str">
        <f t="shared" si="63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4"/>
        <v>https://d0f6bd738d7f1b3e5a7ca70fe4ff75f0.us-east-1.aws.found.io/app/kibana#/discover/Steve-Slow-Train-Analysis-(2080s-and-2083s)?_g=(refreshInterval:(display:Off,pause:!f,section:0,value:0),time:(from:'2017-11-10T16:26:30-0700',mode:absolute,to:'2017-11-10T18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4" s="204" t="str">
        <f>IF(AA194&lt;VLOOKUP(AG194,Variables!$AC$3:$AD$8,2,FALSE),"Y","N")</f>
        <v>N</v>
      </c>
      <c r="X194" s="204">
        <f t="shared" si="80"/>
        <v>1</v>
      </c>
      <c r="Y194" s="204">
        <f t="shared" si="78"/>
        <v>5.8630000000000004</v>
      </c>
      <c r="Z194" s="204">
        <f t="shared" si="79"/>
        <v>8.0399999999999999E-2</v>
      </c>
      <c r="AA194" s="204">
        <f t="shared" si="67"/>
        <v>5.7826000000000004</v>
      </c>
      <c r="AB194" s="54" t="e">
        <f>VLOOKUP(A194,Enforcements!$C$7:$K$9,8,0)</f>
        <v>#N/A</v>
      </c>
      <c r="AC194" s="51" t="e">
        <f>VLOOKUP(A194,Enforcements!$C$7:$E$9,3,0)</f>
        <v>#N/A</v>
      </c>
      <c r="AD194" s="179">
        <f t="shared" si="68"/>
        <v>834</v>
      </c>
      <c r="AE194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194" s="74" t="str">
        <f t="shared" si="70"/>
        <v>"C:\Program Files (x86)\AstroGrep\AstroGrep.exe" /e /r /s /spath="%USERPROFILE%\AppData\Local\Temp\OnboardLogs" /stypes="app*4007*20171111*" /stext=" 00:.+((SYSTEM_STATE.+slice.+state.+changed )|(ment ac)|(multiple cpu faults)|(system.+state.+changed )|(\[timeout)|(PRM\|1\|D)|(kpr)|(kdp)|(train st.+moving)|(\|lc)|(penalty))"</v>
      </c>
      <c r="AG194" s="182" t="str">
        <f t="shared" si="71"/>
        <v>NW</v>
      </c>
      <c r="AH194" s="78" t="str">
        <f t="shared" si="56"/>
        <v>"%USERPROFILE%\Documents\GitHub\eaglep3\Utilities\RefineRTDCRunTimes.py" --tripid 834-10 --locoid 4007 --swversion DE.1.0.9.0 --startMP 300:58630 --initTime 2017-11-10T17:26:30 --startdatetime 2017-11-10T17:43:03 --delay 68 --endMP 204:804 --enddatetime 2017-11-10T17:56:15 --enforcementcount 1 &gt;&gt;%USERPROFILE%\Documents\GitHub\eaglep3-reporting\EC\2017-11-10-refined-times.txt</v>
      </c>
      <c r="AI194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{"issue":{"subject":"","project_id":79,"tracker_id":40,"status_id":1,"priority_id":2,"assigned_to_id":338,"start_date":"2017-11-10","description":"","custom_fields":[{"id":1,"name":"Subdivision","value":"NW"},{"id":4,"name":"Milepost","value":"0.0804"},{"id":17,"name":"Train ID","value":"834-10"},{"id":16,"name":"Locomotive ID","value":"4007"},{"id":130,"name":"Impact","value":""},{"id":150,"name":"Time of Event (Mountain Time)","value":"17:56:15"},{"id":151,"name":"Denver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58"/>
        <v>start /low /b %USERPROFILE%\Documents\GitHub\eaglep3\Utilities\DownloadLogsFromS3.py --loco 4007 --day 2017-11-10</v>
      </c>
      <c r="AN194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00:56:15"},{"id":29,"name":"Sharepoint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60"/>
        <v>https://d0f6bd738d7f1b3e5a7ca70fe4ff75f0.us-east-1.aws.found.io/app/kibana#/discover/Steve-Slow-Train-Analysis-(2080s-and-2083s)?_g=(refreshInterval:(display:Off,pause:!f,section:0,value:0),time:(from:'2017-11-10T16:26:30-0700',mode:absolute,to:'2017-11-10T18:56:15-0700'))&amp;_a=(columns:!('Message%20ID',Summary),filters:!(),index:'emp_*',interval:auto,query:(query_string:(analyze_wildcard:!t,query:'%22rtdc.l.rtdc.4007%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825</v>
      </c>
      <c r="B195" s="7">
        <v>4032</v>
      </c>
      <c r="C195" s="21" t="s">
        <v>192</v>
      </c>
      <c r="D195" s="21" t="s">
        <v>1065</v>
      </c>
      <c r="E195" s="13">
        <v>43049.726736111108</v>
      </c>
      <c r="F195" s="13">
        <v>43049.735659722224</v>
      </c>
      <c r="G195" s="7">
        <v>68</v>
      </c>
      <c r="H195" s="21" t="s">
        <v>1066</v>
      </c>
      <c r="I195" s="13">
        <v>43049.746111111112</v>
      </c>
      <c r="J195" s="7">
        <v>1</v>
      </c>
      <c r="K195" s="89" t="str">
        <f t="shared" si="61"/>
        <v>4031/4032</v>
      </c>
      <c r="L195" s="185" t="str">
        <f>VLOOKUP(A195,'Trips&amp;Operators'!$C$1:$G$99911,5,FALSE)</f>
        <v>SMITH MICHAEL</v>
      </c>
      <c r="M195" s="6">
        <f t="shared" si="62"/>
        <v>1.0451388887304347E-2</v>
      </c>
      <c r="N195" s="7">
        <f t="shared" si="76"/>
        <v>15.04999999771826</v>
      </c>
      <c r="O195" s="7"/>
      <c r="P195" s="7"/>
      <c r="Q195" s="22"/>
      <c r="R195" s="174"/>
      <c r="S195" s="221">
        <f t="shared" si="77"/>
        <v>1</v>
      </c>
      <c r="T195" s="174" t="str">
        <f t="shared" si="63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4"/>
        <v>https://d0f6bd738d7f1b3e5a7ca70fe4ff75f0.us-east-1.aws.found.io/app/kibana#/discover/Steve-Slow-Train-Analysis-(2080s-and-2083s)?_g=(refreshInterval:(display:Off,pause:!f,section:0,value:0),time:(from:'2017-11-10T16:26:30-0700',mode:absolute,to:'2017-11-10T18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204" t="str">
        <f>IF(AA195&lt;VLOOKUP(AG195,Variables!$AC$3:$AD$8,2,FALSE),"Y","N")</f>
        <v>N</v>
      </c>
      <c r="X195" s="204">
        <f t="shared" si="80"/>
        <v>1</v>
      </c>
      <c r="Y195" s="204">
        <v>0.1084</v>
      </c>
      <c r="Z195" s="204">
        <v>5.8948</v>
      </c>
      <c r="AA195" s="204">
        <f t="shared" si="67"/>
        <v>5.7864000000000004</v>
      </c>
      <c r="AB195" s="54" t="e">
        <f>VLOOKUP(A195,Enforcements!$C$7:$K$9,8,0)</f>
        <v>#N/A</v>
      </c>
      <c r="AC195" s="51" t="e">
        <f>VLOOKUP(A195,Enforcements!$C$7:$E$9,3,0)</f>
        <v>#N/A</v>
      </c>
      <c r="AD195" s="179">
        <f t="shared" si="68"/>
        <v>835</v>
      </c>
      <c r="AE195" s="77" t="str">
        <f t="shared" si="69"/>
        <v>aws s3 cp s3://rtdc.mdm.uploadarchive.raw/RTDC4032/ "%USERPROFILE%\AppData\Local\Temp\OnboardLogs"\RTDC4032\2017-11-10 --exclude "*" --recursive --include "*20171110*" &amp; "%USERPROFILE%\Documents\GitHub\mrs-test-scripts\Headless Mode &amp; Sideloading\WalkAndUnGZ.bat" "%USERPROFILE%\AppData\Local\Temp\OnboardLogs"\RTDC4032\2017-11-10 &amp; aws s3 cp s3://rtdc.mdm.uploadarchive.raw/RTDC4032/ "%USERPROFILE%\AppData\Local\Temp\OnboardLogs"\RTDC4032\2017-11-11 --exclude "*" --recursive --include "*20171111*" &amp; "%USERPROFILE%\Documents\GitHub\mrs-test-scripts\Headless Mode &amp; Sideloading\WalkAndUnGZ.bat" "%USERPROFILE%\AppData\Local\Temp\OnboardLogs"\RTDC4032\2017-11-11</v>
      </c>
      <c r="AF195" s="74" t="str">
        <f t="shared" si="70"/>
        <v>"C:\Program Files (x86)\AstroGrep\AstroGrep.exe" /e /r /s /spath="%USERPROFILE%\AppData\Local\Temp\OnboardLogs" /stypes="app*4032*20171111*" /stext=" 00:.+((SYSTEM_STATE.+slice.+state.+changed )|(ment ac)|(multiple cpu faults)|(system.+state.+changed )|(\[timeout)|(PRM\|1\|D)|(kpr)|(kdp)|(train st.+moving)|(\|lc)|(penalty))"</v>
      </c>
      <c r="AG195" s="182" t="str">
        <f t="shared" si="71"/>
        <v>NW</v>
      </c>
      <c r="AH195" s="78" t="str">
        <f t="shared" ref="AH195" si="81">refinertdcruntimes&amp;" --tripid "&amp;A195&amp;" --locoid "&amp;B195&amp;" --swversion "&amp;C195&amp;" --startMP "&amp;D195&amp;" --initTime "&amp;TEXT(E195,"yyyy-mm-ddTHH:MM:SS")&amp;" --startdatetime "&amp;TEXT(F195,"yyyy-mm-ddTHH:MM:SS")&amp;" --delay "&amp;G195&amp;" --endMP "&amp;H195&amp;" --enddatetime "&amp;TEXT(I195,"yyyy-mm-ddTHH:MM:SS")&amp;" --enforcementcount "&amp;J195&amp;IF(outputrefinedruntimes," &gt;&gt;"&amp;RefinedRTDCRunTimesOutputFile,"")</f>
        <v>"%USERPROFILE%\Documents\GitHub\eaglep3\Utilities\RefineRTDCRunTimes.py" --tripid 835-10 --locoid 4032 --swversion DE.1.0.9.0 --startMP 300:58630 --initTime 2017-11-10T17:26:30 --startdatetime 2017-11-10T17:39:21 --delay 68 --endMP 204:804 --enddatetime 2017-11-10T17:54:24 --enforcementcount 1 &gt;&gt;%USERPROFILE%\Documents\GitHub\eaglep3-reporting\EC\2017-11-10-refined-times.txt</v>
      </c>
      <c r="AI195" s="96" t="str">
        <f t="shared" ref="AI195" si="82">"echo {""issue"":{""subject"":"""&amp;R195&amp;""",""project_id"":79,""tracker_id"":40,""status_id"":"&amp;redmine_status&amp;",""priority_id"":"&amp;redmine_priority&amp;",""assigned_to_id"":"&amp;redmine_assignee&amp;",""start_date"":"""&amp;TEXT(I195,"YYYY-mm-dd")&amp;""",""description"":"""&amp;AJ195&amp;""",""custom_fields"":[{""id"":1,""name"":""Subdivision"",""value"":"""&amp;AG195&amp;"""},{""id"":4,""name"":""Milepost"",""value"":"""&amp;Z195&amp;"""},{""id"":17,""name"":""Train ID"",""value"":"""&amp;A195&amp;"""},{""id"":16,""name"":""Locomotive ID"",""value"":"""&amp;B195&amp;"""},{""id"":130,""name"":""Impact"",""value"":"""&amp;AK195&amp;"""},{""id"":150,""name"":""Time of Event (Mountain Time)"",""value"":"""&amp;TEXT(I195,"hh:mm:ss")&amp;"""},{""id"":151,""name"":""Denver Issue ID"",""value"":"""&amp;"""},{""id"":178,""name"":""Operational Impact"",""value"":"""&amp;redmine_op_impact&amp;"""},{""id"":179,""name"":""Denver Segment Assigned"",""value"":"""&amp;AL195&amp;"""}]}}"&amp;"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{"issue":{"subject":"","project_id":79,"tracker_id":40,"status_id":1,"priority_id":2,"assigned_to_id":338,"start_date":"2017-11-10","description":"","custom_fields":[{"id":1,"name":"Subdivision","value":"NW"},{"id":4,"name":"Milepost","value":"5.8948"},{"id":17,"name":"Train ID","value":"835-10"},{"id":16,"name":"Locomotive ID","value":"4032"},{"id":130,"name":"Impact","value":""},{"id":150,"name":"Time of Event (Mountain Time)","value":"17:54:24"},{"id":151,"name":"Denver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ref="AM195" si="83">"start /low /b "&amp;dls3logs&amp;" --loco "&amp;B195&amp;" --day "&amp;TEXT(F195,"YYYY-MM-DD")</f>
        <v>start /low /b %USERPROFILE%\Documents\GitHub\eaglep3\Utilities\DownloadLogsFromS3.py --loco 4032 --day 2017-11-10</v>
      </c>
      <c r="AN195" s="151" t="str">
        <f t="shared" ref="AN195" si="84">"echo {""issue"":{""subject"":"""&amp;R195&amp;""",""project_id"":30,""tracker_id"":4,""status_id"":"&amp;redmine_status_wcr&amp;",""priority_id"":"&amp;redmine_priority_wcr&amp;",""assigned_to_id"":"&amp;redmine_assignee_wcr&amp;",""start_date"":"""&amp;TEXT(I195-utc_offset/24,"YYYY-mm-dd")&amp;""",""description"":"""&amp;AJ195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00:54:24"},{"id":29,"name":"Sharepoint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ref="AO195" si="85"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Message%20ID',Summary),filters:!(),index:'emp_*',interval:auto,query:"&amp;"(query_string:(analyze_wildcard:!t,query:'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-11-10T16:26:30-0700',mode:absolute,to:'2017-11-10T18:54:24-0700'))&amp;_a=(columns:!('Message%20ID',Summary),filters:!(),index:'emp_*',interval:auto,query:(query_string:(analyze_wildcard:!t,query:'%22rtdc.l.rtdc.4032%22')),sort:!(Time.ISO8601,asc))</v>
      </c>
    </row>
    <row r="196" spans="1:91" s="20" customFormat="1" x14ac:dyDescent="0.25">
      <c r="A196" s="32" t="s">
        <v>832</v>
      </c>
      <c r="B196" s="7">
        <v>4031</v>
      </c>
      <c r="C196" s="21" t="s">
        <v>192</v>
      </c>
      <c r="D196" s="21" t="s">
        <v>1023</v>
      </c>
      <c r="E196" s="13">
        <v>43049.748090277775</v>
      </c>
      <c r="F196" s="13">
        <v>43049.758715277778</v>
      </c>
      <c r="G196" s="7">
        <v>83</v>
      </c>
      <c r="H196" s="21" t="s">
        <v>638</v>
      </c>
      <c r="I196" s="13">
        <v>43049.767268518517</v>
      </c>
      <c r="J196" s="7">
        <v>1</v>
      </c>
      <c r="K196" s="89" t="str">
        <f t="shared" si="61"/>
        <v>4031/4032</v>
      </c>
      <c r="L196" s="185" t="str">
        <f>VLOOKUP(A196,'Trips&amp;Operators'!$C$1:$G$99911,5,FALSE)</f>
        <v>SMITH MICHAEL</v>
      </c>
      <c r="M196" s="6">
        <f t="shared" si="62"/>
        <v>8.55324073927477E-3</v>
      </c>
      <c r="N196" s="7">
        <f t="shared" si="76"/>
        <v>12.316666664555669</v>
      </c>
      <c r="O196" s="7"/>
      <c r="P196" s="7"/>
      <c r="Q196" s="22"/>
      <c r="R196" s="174"/>
      <c r="S196" s="221">
        <f t="shared" si="77"/>
        <v>1</v>
      </c>
      <c r="T196" s="174" t="str">
        <f t="shared" si="63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4"/>
        <v>https://d0f6bd738d7f1b3e5a7ca70fe4ff75f0.us-east-1.aws.found.io/app/kibana#/discover/Steve-Slow-Train-Analysis-(2080s-and-2083s)?_g=(refreshInterval:(display:Off,pause:!f,section:0,value:0),time:(from:'2017-11-10T16:57:15-0700',mode:absolute,to:'2017-11-10T19:24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6" s="204" t="str">
        <f>IF(AA196&lt;VLOOKUP(AG196,Variables!$AC$3:$AD$8,2,FALSE),"Y","N")</f>
        <v>N</v>
      </c>
      <c r="X196" s="204">
        <f t="shared" ref="X196:X197" si="86">VALUE(LEFT(AD196,4))-VALUE(LEFT(AD195,4))</f>
        <v>1</v>
      </c>
      <c r="Y196" s="204">
        <f t="shared" ref="Y196:Y234" si="87">RIGHT(D196,LEN(D196)-4)/10000</f>
        <v>5.8625999999999996</v>
      </c>
      <c r="Z196" s="204">
        <f t="shared" ref="Z196:Z234" si="88">RIGHT(H196,LEN(H196)-4)/10000</f>
        <v>7.9399999999999998E-2</v>
      </c>
      <c r="AA196" s="204">
        <f t="shared" si="67"/>
        <v>5.7831999999999999</v>
      </c>
      <c r="AB196" s="54" t="e">
        <f>VLOOKUP(A196,Enforcements!$C$7:$K$9,8,0)</f>
        <v>#N/A</v>
      </c>
      <c r="AC196" s="51" t="e">
        <f>VLOOKUP(A196,Enforcements!$C$7:$E$9,3,0)</f>
        <v>#N/A</v>
      </c>
      <c r="AD196" s="179">
        <f t="shared" si="68"/>
        <v>836</v>
      </c>
      <c r="AE196" s="77" t="str">
        <f t="shared" si="69"/>
        <v>aws s3 cp s3://rtdc.mdm.uploadarchive.raw/RTDC4031/ "%USERPROFILE%\AppData\Local\Temp\OnboardLogs"\RTDC4031\2017-11-10 --exclude "*" --recursive --include "*20171110*" &amp; "%USERPROFILE%\Documents\GitHub\mrs-test-scripts\Headless Mode &amp; Sideloading\WalkAndUnGZ.bat" "%USERPROFILE%\AppData\Local\Temp\OnboardLogs"\RTDC4031\2017-11-10 &amp; aws s3 cp s3://rtdc.mdm.uploadarchive.raw/RTDC4031/ "%USERPROFILE%\AppData\Local\Temp\OnboardLogs"\RTDC4031\2017-11-11 --exclude "*" --recursive --include "*20171111*" &amp; "%USERPROFILE%\Documents\GitHub\mrs-test-scripts\Headless Mode &amp; Sideloading\WalkAndUnGZ.bat" "%USERPROFILE%\AppData\Local\Temp\OnboardLogs"\RTDC4031\2017-11-11</v>
      </c>
      <c r="AF196" s="74" t="str">
        <f t="shared" si="70"/>
        <v>"C:\Program Files (x86)\AstroGrep\AstroGrep.exe" /e /r /s /spath="%USERPROFILE%\AppData\Local\Temp\OnboardLogs" /stypes="app*4031*20171111*" /stext=" 01:.+((SYSTEM_STATE.+slice.+state.+changed )|(ment ac)|(multiple cpu faults)|(system.+state.+changed )|(\[timeout)|(PRM\|1\|D)|(kpr)|(kdp)|(train st.+moving)|(\|lc)|(penalty))"</v>
      </c>
      <c r="AG196" s="182" t="str">
        <f t="shared" si="71"/>
        <v>NW</v>
      </c>
      <c r="AH196" s="78" t="str">
        <f t="shared" si="56"/>
        <v>"%USERPROFILE%\Documents\GitHub\eaglep3\Utilities\RefineRTDCRunTimes.py" --tripid 836-10 --locoid 4031 --swversion DE.1.0.9.0 --startMP 300:58626 --initTime 2017-11-10T17:57:15 --startdatetime 2017-11-10T18:12:33 --delay 83 --endMP 204:794 --enddatetime 2017-11-10T18:24:52 --enforcementcount 1 &gt;&gt;%USERPROFILE%\Documents\GitHub\eaglep3-reporting\EC\2017-11-10-refined-times.txt</v>
      </c>
      <c r="AI196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{"issue":{"subject":"","project_id":79,"tracker_id":40,"status_id":1,"priority_id":2,"assigned_to_id":338,"start_date":"2017-11-10","description":"","custom_fields":[{"id":1,"name":"Subdivision","value":"NW"},{"id":4,"name":"Milepost","value":"0.0794"},{"id":17,"name":"Train ID","value":"836-10"},{"id":16,"name":"Locomotive ID","value":"4031"},{"id":130,"name":"Impact","value":""},{"id":150,"name":"Time of Event (Mountain Time)","value":"18:24:52"},{"id":151,"name":"Denver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58"/>
        <v>start /low /b %USERPROFILE%\Documents\GitHub\eaglep3\Utilities\DownloadLogsFromS3.py --loco 4031 --day 2017-11-10</v>
      </c>
      <c r="AN196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01:24:52"},{"id":29,"name":"Sharepoint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60"/>
        <v>https://d0f6bd738d7f1b3e5a7ca70fe4ff75f0.us-east-1.aws.found.io/app/kibana#/discover/Steve-Slow-Train-Analysis-(2080s-and-2083s)?_g=(refreshInterval:(display:Off,pause:!f,section:0,value:0),time:(from:'2017-11-10T16:57:15-0700',mode:absolute,to:'2017-11-10T19:24:52-0700'))&amp;_a=(columns:!('Message%20ID',Summary),filters:!(),index:'emp_*',interval:auto,query:(query_string:(analyze_wildcard:!t,query:'%22rtdc.l.rtdc.4031%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833</v>
      </c>
      <c r="B197" s="7">
        <v>4008</v>
      </c>
      <c r="C197" s="21" t="s">
        <v>192</v>
      </c>
      <c r="D197" s="21" t="s">
        <v>1067</v>
      </c>
      <c r="E197" s="13">
        <v>43049.75</v>
      </c>
      <c r="F197" s="13">
        <v>43049.756840277776</v>
      </c>
      <c r="G197" s="7">
        <v>83</v>
      </c>
      <c r="H197" s="21" t="s">
        <v>1050</v>
      </c>
      <c r="I197" s="13">
        <v>43049.767418981479</v>
      </c>
      <c r="J197" s="7">
        <v>1</v>
      </c>
      <c r="K197" s="89" t="str">
        <f t="shared" si="61"/>
        <v>4007/4008</v>
      </c>
      <c r="L197" s="185" t="str">
        <f>VLOOKUP(A197,'Trips&amp;Operators'!$C$1:$G$99911,5,FALSE)</f>
        <v>BERLING GARY</v>
      </c>
      <c r="M197" s="6">
        <f t="shared" si="62"/>
        <v>1.0578703702776693E-2</v>
      </c>
      <c r="N197" s="7">
        <f t="shared" si="76"/>
        <v>15.233333331998438</v>
      </c>
      <c r="O197" s="7"/>
      <c r="P197" s="7"/>
      <c r="Q197" s="22"/>
      <c r="R197" s="174"/>
      <c r="S197" s="221">
        <f t="shared" si="77"/>
        <v>1</v>
      </c>
      <c r="T197" s="174" t="str">
        <f t="shared" si="63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4"/>
        <v>https://d0f6bd738d7f1b3e5a7ca70fe4ff75f0.us-east-1.aws.found.io/app/kibana#/discover/Steve-Slow-Train-Analysis-(2080s-and-2083s)?_g=(refreshInterval:(display:Off,pause:!f,section:0,value:0),time:(from:'2017-11-10T17:00:00-0700',mode:absolute,to:'2017-11-10T19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7" s="204" t="str">
        <f>IF(AA197&lt;VLOOKUP(AG197,Variables!$AC$3:$AD$8,2,FALSE),"Y","N")</f>
        <v>N</v>
      </c>
      <c r="X197" s="204">
        <f t="shared" si="86"/>
        <v>1</v>
      </c>
      <c r="Y197" s="204">
        <f t="shared" si="87"/>
        <v>0.1091</v>
      </c>
      <c r="Z197" s="204">
        <f t="shared" si="88"/>
        <v>5.8967000000000001</v>
      </c>
      <c r="AA197" s="204">
        <f t="shared" si="67"/>
        <v>5.7876000000000003</v>
      </c>
      <c r="AB197" s="54" t="e">
        <f>VLOOKUP(A197,Enforcements!$C$7:$K$9,8,0)</f>
        <v>#N/A</v>
      </c>
      <c r="AC197" s="51" t="e">
        <f>VLOOKUP(A197,Enforcements!$C$7:$E$9,3,0)</f>
        <v>#N/A</v>
      </c>
      <c r="AD197" s="179">
        <f t="shared" si="68"/>
        <v>837</v>
      </c>
      <c r="AE197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197" s="74" t="str">
        <f t="shared" si="70"/>
        <v>"C:\Program Files (x86)\AstroGrep\AstroGrep.exe" /e /r /s /spath="%USERPROFILE%\AppData\Local\Temp\OnboardLogs" /stypes="app*4008*20171111*" /stext=" 01:.+((SYSTEM_STATE.+slice.+state.+changed )|(ment ac)|(multiple cpu faults)|(system.+state.+changed )|(\[timeout)|(PRM\|1\|D)|(kpr)|(kdp)|(train st.+moving)|(\|lc)|(penalty))"</v>
      </c>
      <c r="AG197" s="182" t="str">
        <f t="shared" si="71"/>
        <v>NW</v>
      </c>
      <c r="AH197" s="78" t="str">
        <f t="shared" si="56"/>
        <v>"%USERPROFILE%\Documents\GitHub\eaglep3\Utilities\RefineRTDCRunTimes.py" --tripid 837-10 --locoid 4008 --swversion DE.1.0.9.0 --startMP 204:1091 --initTime 2017-11-10T18:00:00 --startdatetime 2017-11-10T18:09:51 --delay 83 --endMP 300:58967 --enddatetime 2017-11-10T18:25:05 --enforcementcount 1 &gt;&gt;%USERPROFILE%\Documents\GitHub\eaglep3-reporting\EC\2017-11-10-refined-times.txt</v>
      </c>
      <c r="AI197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{"issue":{"subject":"","project_id":79,"tracker_id":40,"status_id":1,"priority_id":2,"assigned_to_id":338,"start_date":"2017-11-10","description":"","custom_fields":[{"id":1,"name":"Subdivision","value":"NW"},{"id":4,"name":"Milepost","value":"5.8967"},{"id":17,"name":"Train ID","value":"837-10"},{"id":16,"name":"Locomotive ID","value":"4008"},{"id":130,"name":"Impact","value":""},{"id":150,"name":"Time of Event (Mountain Time)","value":"18:25:05"},{"id":151,"name":"Denver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58"/>
        <v>start /low /b %USERPROFILE%\Documents\GitHub\eaglep3\Utilities\DownloadLogsFromS3.py --loco 4008 --day 2017-11-10</v>
      </c>
      <c r="AN197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01:25:05"},{"id":29,"name":"Sharepoint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60"/>
        <v>https://d0f6bd738d7f1b3e5a7ca70fe4ff75f0.us-east-1.aws.found.io/app/kibana#/discover/Steve-Slow-Train-Analysis-(2080s-and-2083s)?_g=(refreshInterval:(display:Off,pause:!f,section:0,value:0),time:(from:'2017-11-10T17:00:00-0700',mode:absolute,to:'2017-11-10T19:25:05-0700'))&amp;_a=(columns:!('Message%20ID',Summary),filters:!(),index:'emp_*',interval:auto,query:(query_string:(analyze_wildcard:!t,query:'%22rtdc.l.rtdc.4008%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839</v>
      </c>
      <c r="B198" s="7">
        <v>4007</v>
      </c>
      <c r="C198" s="21" t="s">
        <v>192</v>
      </c>
      <c r="D198" s="21" t="s">
        <v>1068</v>
      </c>
      <c r="E198" s="13">
        <v>43049.769791666666</v>
      </c>
      <c r="F198" s="13">
        <v>43049.779895833337</v>
      </c>
      <c r="G198" s="7">
        <v>63</v>
      </c>
      <c r="H198" s="21" t="s">
        <v>886</v>
      </c>
      <c r="I198" s="13">
        <v>43049.788599537038</v>
      </c>
      <c r="J198" s="7">
        <v>1</v>
      </c>
      <c r="K198" s="89" t="str">
        <f t="shared" si="61"/>
        <v>4007/4008</v>
      </c>
      <c r="L198" s="185" t="str">
        <f>VLOOKUP(A198,'Trips&amp;Operators'!$C$1:$G$99911,5,FALSE)</f>
        <v>BERLING GARY</v>
      </c>
      <c r="M198" s="6">
        <f t="shared" si="62"/>
        <v>8.703703701030463E-3</v>
      </c>
      <c r="N198" s="7">
        <f t="shared" si="76"/>
        <v>12.533333329483867</v>
      </c>
      <c r="O198" s="7"/>
      <c r="P198" s="7"/>
      <c r="Q198" s="22"/>
      <c r="R198" s="174"/>
      <c r="S198" s="221">
        <f t="shared" si="77"/>
        <v>1</v>
      </c>
      <c r="T198" s="174" t="str">
        <f t="shared" si="63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4"/>
        <v>https://d0f6bd738d7f1b3e5a7ca70fe4ff75f0.us-east-1.aws.found.io/app/kibana#/discover/Steve-Slow-Train-Analysis-(2080s-and-2083s)?_g=(refreshInterval:(display:Off,pause:!f,section:0,value:0),time:(from:'2017-11-10T17:28:30-0700',mode:absolute,to:'2017-11-10T19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8" s="204" t="str">
        <f>IF(AA198&lt;VLOOKUP(AG198,Variables!$AC$3:$AD$8,2,FALSE),"Y","N")</f>
        <v>N</v>
      </c>
      <c r="X198" s="204">
        <f t="shared" ref="X198:X234" si="89">VALUE(LEFT(AD198,4))-VALUE(LEFT(AD197,4))</f>
        <v>1</v>
      </c>
      <c r="Y198" s="204">
        <f t="shared" si="87"/>
        <v>5.8644999999999996</v>
      </c>
      <c r="Z198" s="204">
        <f t="shared" si="88"/>
        <v>7.85E-2</v>
      </c>
      <c r="AA198" s="204">
        <f t="shared" si="67"/>
        <v>5.7859999999999996</v>
      </c>
      <c r="AB198" s="54" t="e">
        <f>VLOOKUP(A198,Enforcements!$C$7:$K$9,8,0)</f>
        <v>#N/A</v>
      </c>
      <c r="AC198" s="51" t="e">
        <f>VLOOKUP(A198,Enforcements!$C$7:$E$9,3,0)</f>
        <v>#N/A</v>
      </c>
      <c r="AD198" s="179">
        <f t="shared" si="68"/>
        <v>838</v>
      </c>
      <c r="AE198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198" s="74" t="str">
        <f t="shared" si="70"/>
        <v>"C:\Program Files (x86)\AstroGrep\AstroGrep.exe" /e /r /s /spath="%USERPROFILE%\AppData\Local\Temp\OnboardLogs" /stypes="app*4007*20171111*" /stext=" 01:.+((SYSTEM_STATE.+slice.+state.+changed )|(ment ac)|(multiple cpu faults)|(system.+state.+changed )|(\[timeout)|(PRM\|1\|D)|(kpr)|(kdp)|(train st.+moving)|(\|lc)|(penalty))"</v>
      </c>
      <c r="AG198" s="182" t="str">
        <f t="shared" si="71"/>
        <v>NW</v>
      </c>
      <c r="AH198" s="78" t="str">
        <f t="shared" si="56"/>
        <v>"%USERPROFILE%\Documents\GitHub\eaglep3\Utilities\RefineRTDCRunTimes.py" --tripid 838-10 --locoid 4007 --swversion DE.1.0.9.0 --startMP 300:58645 --initTime 2017-11-10T18:28:30 --startdatetime 2017-11-10T18:43:03 --delay 63 --endMP 204:785 --enddatetime 2017-11-10T18:55:35 --enforcementcount 1 &gt;&gt;%USERPROFILE%\Documents\GitHub\eaglep3-reporting\EC\2017-11-10-refined-times.txt</v>
      </c>
      <c r="AI198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{"issue":{"subject":"","project_id":79,"tracker_id":40,"status_id":1,"priority_id":2,"assigned_to_id":338,"start_date":"2017-11-10","description":"","custom_fields":[{"id":1,"name":"Subdivision","value":"NW"},{"id":4,"name":"Milepost","value":"0.0785"},{"id":17,"name":"Train ID","value":"838-10"},{"id":16,"name":"Locomotive ID","value":"4007"},{"id":130,"name":"Impact","value":""},{"id":150,"name":"Time of Event (Mountain Time)","value":"18:55:35"},{"id":151,"name":"Denver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58"/>
        <v>start /low /b %USERPROFILE%\Documents\GitHub\eaglep3\Utilities\DownloadLogsFromS3.py --loco 4007 --day 2017-11-10</v>
      </c>
      <c r="AN198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01:55:35"},{"id":29,"name":"Sharepoint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60"/>
        <v>https://d0f6bd738d7f1b3e5a7ca70fe4ff75f0.us-east-1.aws.found.io/app/kibana#/discover/Steve-Slow-Train-Analysis-(2080s-and-2083s)?_g=(refreshInterval:(display:Off,pause:!f,section:0,value:0),time:(from:'2017-11-10T17:28:30-0700',mode:absolute,to:'2017-11-10T19:55:35-0700'))&amp;_a=(columns:!('Message%20ID',Summary),filters:!(),index:'emp_*',interval:auto,query:(query_string:(analyze_wildcard:!t,query:'%22rtdc.l.rtdc.4007%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838</v>
      </c>
      <c r="B199" s="7">
        <v>4032</v>
      </c>
      <c r="C199" s="21" t="s">
        <v>192</v>
      </c>
      <c r="D199" s="21" t="s">
        <v>1069</v>
      </c>
      <c r="E199" s="13">
        <v>43049.769386574073</v>
      </c>
      <c r="F199" s="13">
        <v>43049.777395833335</v>
      </c>
      <c r="G199" s="7">
        <v>53</v>
      </c>
      <c r="H199" s="21" t="s">
        <v>1070</v>
      </c>
      <c r="I199" s="13">
        <v>43049.790393518517</v>
      </c>
      <c r="J199" s="7">
        <v>1</v>
      </c>
      <c r="K199" s="89" t="str">
        <f t="shared" si="61"/>
        <v>4031/4032</v>
      </c>
      <c r="L199" s="185" t="str">
        <f>VLOOKUP(A199,'Trips&amp;Operators'!$C$1:$G$99911,5,FALSE)</f>
        <v>SMITH MICHAEL</v>
      </c>
      <c r="M199" s="6">
        <f t="shared" si="62"/>
        <v>1.2997685182199348E-2</v>
      </c>
      <c r="N199" s="7">
        <f t="shared" si="76"/>
        <v>18.716666662367061</v>
      </c>
      <c r="O199" s="7"/>
      <c r="P199" s="7"/>
      <c r="Q199" s="22"/>
      <c r="R199" s="174"/>
      <c r="S199" s="221">
        <f t="shared" si="77"/>
        <v>1</v>
      </c>
      <c r="T199" s="174" t="str">
        <f t="shared" si="63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4"/>
        <v>https://d0f6bd738d7f1b3e5a7ca70fe4ff75f0.us-east-1.aws.found.io/app/kibana#/discover/Steve-Slow-Train-Analysis-(2080s-and-2083s)?_g=(refreshInterval:(display:Off,pause:!f,section:0,value:0),time:(from:'2017-11-10T17:27:55-0700',mode:absolute,to:'2017-11-10T19:58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9" s="204" t="str">
        <f>IF(AA199&lt;VLOOKUP(AG199,Variables!$AC$3:$AD$8,2,FALSE),"Y","N")</f>
        <v>N</v>
      </c>
      <c r="X199" s="204">
        <f t="shared" si="89"/>
        <v>1</v>
      </c>
      <c r="Y199" s="204">
        <f t="shared" si="87"/>
        <v>0.1095</v>
      </c>
      <c r="Z199" s="204">
        <f t="shared" si="88"/>
        <v>5.8979999999999997</v>
      </c>
      <c r="AA199" s="204">
        <f t="shared" si="67"/>
        <v>5.7885</v>
      </c>
      <c r="AB199" s="54" t="e">
        <f>VLOOKUP(A199,Enforcements!$C$7:$K$9,8,0)</f>
        <v>#N/A</v>
      </c>
      <c r="AC199" s="51" t="e">
        <f>VLOOKUP(A199,Enforcements!$C$7:$E$9,3,0)</f>
        <v>#N/A</v>
      </c>
      <c r="AD199" s="179">
        <f t="shared" si="68"/>
        <v>839</v>
      </c>
      <c r="AE199" s="77" t="str">
        <f t="shared" si="69"/>
        <v>aws s3 cp s3://rtdc.mdm.uploadarchive.raw/RTDC4032/ "%USERPROFILE%\AppData\Local\Temp\OnboardLogs"\RTDC4032\2017-11-10 --exclude "*" --recursive --include "*20171110*" &amp; "%USERPROFILE%\Documents\GitHub\mrs-test-scripts\Headless Mode &amp; Sideloading\WalkAndUnGZ.bat" "%USERPROFILE%\AppData\Local\Temp\OnboardLogs"\RTDC4032\2017-11-10 &amp; aws s3 cp s3://rtdc.mdm.uploadarchive.raw/RTDC4032/ "%USERPROFILE%\AppData\Local\Temp\OnboardLogs"\RTDC4032\2017-11-11 --exclude "*" --recursive --include "*20171111*" &amp; "%USERPROFILE%\Documents\GitHub\mrs-test-scripts\Headless Mode &amp; Sideloading\WalkAndUnGZ.bat" "%USERPROFILE%\AppData\Local\Temp\OnboardLogs"\RTDC4032\2017-11-11</v>
      </c>
      <c r="AF199" s="74" t="str">
        <f t="shared" si="70"/>
        <v>"C:\Program Files (x86)\AstroGrep\AstroGrep.exe" /e /r /s /spath="%USERPROFILE%\AppData\Local\Temp\OnboardLogs" /stypes="app*4032*20171111*" /stext=" 01:.+((SYSTEM_STATE.+slice.+state.+changed )|(ment ac)|(multiple cpu faults)|(system.+state.+changed )|(\[timeout)|(PRM\|1\|D)|(kpr)|(kdp)|(train st.+moving)|(\|lc)|(penalty))"</v>
      </c>
      <c r="AG199" s="182" t="str">
        <f t="shared" si="71"/>
        <v>NW</v>
      </c>
      <c r="AH199" s="78" t="str">
        <f t="shared" si="56"/>
        <v>"%USERPROFILE%\Documents\GitHub\eaglep3\Utilities\RefineRTDCRunTimes.py" --tripid 839-10 --locoid 4032 --swversion DE.1.0.9.0 --startMP 204:1095 --initTime 2017-11-10T18:27:55 --startdatetime 2017-11-10T18:39:27 --delay 53 --endMP 300:58980 --enddatetime 2017-11-10T18:58:10 --enforcementcount 1 &gt;&gt;%USERPROFILE%\Documents\GitHub\eaglep3-reporting\EC\2017-11-10-refined-times.txt</v>
      </c>
      <c r="AI199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{"issue":{"subject":"","project_id":79,"tracker_id":40,"status_id":1,"priority_id":2,"assigned_to_id":338,"start_date":"2017-11-10","description":"","custom_fields":[{"id":1,"name":"Subdivision","value":"NW"},{"id":4,"name":"Milepost","value":"5.898"},{"id":17,"name":"Train ID","value":"839-10"},{"id":16,"name":"Locomotive ID","value":"4032"},{"id":130,"name":"Impact","value":""},{"id":150,"name":"Time of Event (Mountain Time)","value":"18:58:10"},{"id":151,"name":"Denver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58"/>
        <v>start /low /b %USERPROFILE%\Documents\GitHub\eaglep3\Utilities\DownloadLogsFromS3.py --loco 4032 --day 2017-11-10</v>
      </c>
      <c r="AN199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01:58:10"},{"id":29,"name":"Sharepoint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60"/>
        <v>https://d0f6bd738d7f1b3e5a7ca70fe4ff75f0.us-east-1.aws.found.io/app/kibana#/discover/Steve-Slow-Train-Analysis-(2080s-and-2083s)?_g=(refreshInterval:(display:Off,pause:!f,section:0,value:0),time:(from:'2017-11-10T17:27:55-0700',mode:absolute,to:'2017-11-10T19:58:10-0700'))&amp;_a=(columns:!('Message%20ID',Summary),filters:!(),index:'emp_*',interval:auto,query:(query_string:(analyze_wildcard:!t,query:'%22rtdc.l.rtdc.4032%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850</v>
      </c>
      <c r="B200" s="7">
        <v>4007</v>
      </c>
      <c r="C200" s="21" t="s">
        <v>192</v>
      </c>
      <c r="D200" s="21" t="s">
        <v>1061</v>
      </c>
      <c r="E200" s="13">
        <v>43049.809953703705</v>
      </c>
      <c r="F200" s="13">
        <v>43049.821238425924</v>
      </c>
      <c r="G200" s="7">
        <v>53</v>
      </c>
      <c r="H200" s="21" t="s">
        <v>1071</v>
      </c>
      <c r="I200" s="13">
        <v>43049.830393518518</v>
      </c>
      <c r="J200" s="7">
        <v>1</v>
      </c>
      <c r="K200" s="89" t="str">
        <f t="shared" si="61"/>
        <v>4007/4008</v>
      </c>
      <c r="L200" s="185" t="str">
        <f>VLOOKUP(A200,'Trips&amp;Operators'!$C$1:$G$99911,5,FALSE)</f>
        <v>BERLING GARY</v>
      </c>
      <c r="M200" s="6">
        <f t="shared" si="62"/>
        <v>9.1550925935734995E-3</v>
      </c>
      <c r="N200" s="7">
        <f t="shared" si="76"/>
        <v>13.183333334745839</v>
      </c>
      <c r="O200" s="7"/>
      <c r="P200" s="7"/>
      <c r="Q200" s="22"/>
      <c r="R200" s="174"/>
      <c r="S200" s="221">
        <f t="shared" si="77"/>
        <v>1</v>
      </c>
      <c r="T200" s="174" t="str">
        <f t="shared" si="63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4"/>
        <v>https://d0f6bd738d7f1b3e5a7ca70fe4ff75f0.us-east-1.aws.found.io/app/kibana#/discover/Steve-Slow-Train-Analysis-(2080s-and-2083s)?_g=(refreshInterval:(display:Off,pause:!f,section:0,value:0),time:(from:'2017-11-10T18:26:20-0700',mode:absolute,to:'2017-11-10T20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0" s="204" t="str">
        <f>IF(AA200&lt;VLOOKUP(AG200,Variables!$AC$3:$AD$8,2,FALSE),"Y","N")</f>
        <v>N</v>
      </c>
      <c r="X200" s="204">
        <f t="shared" si="89"/>
        <v>1</v>
      </c>
      <c r="Y200" s="204">
        <f t="shared" si="87"/>
        <v>5.8648999999999996</v>
      </c>
      <c r="Z200" s="204">
        <f t="shared" si="88"/>
        <v>7.6899999999999996E-2</v>
      </c>
      <c r="AA200" s="204">
        <f t="shared" si="67"/>
        <v>5.7879999999999994</v>
      </c>
      <c r="AB200" s="54" t="e">
        <f>VLOOKUP(A200,Enforcements!$C$7:$K$9,8,0)</f>
        <v>#N/A</v>
      </c>
      <c r="AC200" s="51" t="e">
        <f>VLOOKUP(A200,Enforcements!$C$7:$E$9,3,0)</f>
        <v>#N/A</v>
      </c>
      <c r="AD200" s="179">
        <f t="shared" si="68"/>
        <v>840</v>
      </c>
      <c r="AE200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200" s="74" t="str">
        <f t="shared" si="70"/>
        <v>"C:\Program Files (x86)\AstroGrep\AstroGrep.exe" /e /r /s /spath="%USERPROFILE%\AppData\Local\Temp\OnboardLogs" /stypes="app*4007*20171111*" /stext=" 02:.+((SYSTEM_STATE.+slice.+state.+changed )|(ment ac)|(multiple cpu faults)|(system.+state.+changed )|(\[timeout)|(PRM\|1\|D)|(kpr)|(kdp)|(train st.+moving)|(\|lc)|(penalty))"</v>
      </c>
      <c r="AG200" s="182" t="str">
        <f t="shared" si="71"/>
        <v>NW</v>
      </c>
      <c r="AH200" s="78" t="str">
        <f t="shared" si="56"/>
        <v>"%USERPROFILE%\Documents\GitHub\eaglep3\Utilities\RefineRTDCRunTimes.py" --tripid 840-10 --locoid 4007 --swversion DE.1.0.9.0 --startMP 300:58649 --initTime 2017-11-10T19:26:20 --startdatetime 2017-11-10T19:42:35 --delay 53 --endMP 204:769 --enddatetime 2017-11-10T19:55:46 --enforcementcount 1 &gt;&gt;%USERPROFILE%\Documents\GitHub\eaglep3-reporting\EC\2017-11-10-refined-times.txt</v>
      </c>
      <c r="AI200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{"issue":{"subject":"","project_id":79,"tracker_id":40,"status_id":1,"priority_id":2,"assigned_to_id":338,"start_date":"2017-11-10","description":"","custom_fields":[{"id":1,"name":"Subdivision","value":"NW"},{"id":4,"name":"Milepost","value":"0.0769"},{"id":17,"name":"Train ID","value":"840-10"},{"id":16,"name":"Locomotive ID","value":"4007"},{"id":130,"name":"Impact","value":""},{"id":150,"name":"Time of Event (Mountain Time)","value":"19:55:46"},{"id":151,"name":"Denver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58"/>
        <v>start /low /b %USERPROFILE%\Documents\GitHub\eaglep3\Utilities\DownloadLogsFromS3.py --loco 4007 --day 2017-11-10</v>
      </c>
      <c r="AN200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02:55:46"},{"id":29,"name":"Sharepoint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60"/>
        <v>https://d0f6bd738d7f1b3e5a7ca70fe4ff75f0.us-east-1.aws.found.io/app/kibana#/discover/Steve-Slow-Train-Analysis-(2080s-and-2083s)?_g=(refreshInterval:(display:Off,pause:!f,section:0,value:0),time:(from:'2017-11-10T18:26:20-0700',mode:absolute,to:'2017-11-10T20:55:46-0700'))&amp;_a=(columns:!('Message%20ID',Summary),filters:!(),index:'emp_*',interval:auto,query:(query_string:(analyze_wildcard:!t,query:'%22rtdc.l.rtdc.4007%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845</v>
      </c>
      <c r="B201" s="7">
        <v>4008</v>
      </c>
      <c r="C201" s="21" t="s">
        <v>192</v>
      </c>
      <c r="D201" s="21" t="s">
        <v>1053</v>
      </c>
      <c r="E201" s="13">
        <v>43049.79142361111</v>
      </c>
      <c r="F201" s="13">
        <v>43049.798391203702</v>
      </c>
      <c r="G201" s="7">
        <v>94</v>
      </c>
      <c r="H201" s="21" t="s">
        <v>1072</v>
      </c>
      <c r="I201" s="13">
        <v>43049.808645833335</v>
      </c>
      <c r="J201" s="7">
        <v>1</v>
      </c>
      <c r="K201" s="89" t="str">
        <f t="shared" si="61"/>
        <v>4007/4008</v>
      </c>
      <c r="L201" s="185" t="str">
        <f>VLOOKUP(A201,'Trips&amp;Operators'!$C$1:$G$99911,5,FALSE)</f>
        <v>BERLING GARY</v>
      </c>
      <c r="M201" s="6">
        <f t="shared" si="62"/>
        <v>1.025462963298196E-2</v>
      </c>
      <c r="N201" s="7">
        <f t="shared" si="76"/>
        <v>14.766666671494022</v>
      </c>
      <c r="O201" s="7"/>
      <c r="P201" s="7"/>
      <c r="Q201" s="22"/>
      <c r="R201" s="174"/>
      <c r="S201" s="221">
        <f t="shared" si="77"/>
        <v>1</v>
      </c>
      <c r="T201" s="174" t="str">
        <f t="shared" si="63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64"/>
        <v>https://d0f6bd738d7f1b3e5a7ca70fe4ff75f0.us-east-1.aws.found.io/app/kibana#/discover/Steve-Slow-Train-Analysis-(2080s-and-2083s)?_g=(refreshInterval:(display:Off,pause:!f,section:0,value:0),time:(from:'2017-11-10T17:59:39-0700',mode:absolute,to:'2017-11-10T20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1" s="204" t="str">
        <f>IF(AA201&lt;VLOOKUP(AG201,Variables!$AC$3:$AD$8,2,FALSE),"Y","N")</f>
        <v>N</v>
      </c>
      <c r="X201" s="204">
        <f t="shared" si="89"/>
        <v>1</v>
      </c>
      <c r="Y201" s="204">
        <f t="shared" si="87"/>
        <v>0.1086</v>
      </c>
      <c r="Z201" s="204">
        <f t="shared" si="88"/>
        <v>5.8959999999999999</v>
      </c>
      <c r="AA201" s="204">
        <f t="shared" si="67"/>
        <v>5.7873999999999999</v>
      </c>
      <c r="AB201" s="54" t="e">
        <f>VLOOKUP(A201,Enforcements!$C$7:$K$9,8,0)</f>
        <v>#N/A</v>
      </c>
      <c r="AC201" s="51" t="e">
        <f>VLOOKUP(A201,Enforcements!$C$7:$E$9,3,0)</f>
        <v>#N/A</v>
      </c>
      <c r="AD201" s="179">
        <f t="shared" si="68"/>
        <v>841</v>
      </c>
      <c r="AE201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201" s="74" t="str">
        <f t="shared" si="70"/>
        <v>"C:\Program Files (x86)\AstroGrep\AstroGrep.exe" /e /r /s /spath="%USERPROFILE%\AppData\Local\Temp\OnboardLogs" /stypes="app*4008*20171111*" /stext=" 02:.+((SYSTEM_STATE.+slice.+state.+changed )|(ment ac)|(multiple cpu faults)|(system.+state.+changed )|(\[timeout)|(PRM\|1\|D)|(kpr)|(kdp)|(train st.+moving)|(\|lc)|(penalty))"</v>
      </c>
      <c r="AG201" s="182" t="str">
        <f t="shared" si="71"/>
        <v>NW</v>
      </c>
      <c r="AH201" s="78" t="str">
        <f t="shared" si="56"/>
        <v>"%USERPROFILE%\Documents\GitHub\eaglep3\Utilities\RefineRTDCRunTimes.py" --tripid 841-10 --locoid 4008 --swversion DE.1.0.9.0 --startMP 204:1086 --initTime 2017-11-10T18:59:39 --startdatetime 2017-11-10T19:09:41 --delay 94 --endMP 300:58960 --enddatetime 2017-11-10T19:24:27 --enforcementcount 1 &gt;&gt;%USERPROFILE%\Documents\GitHub\eaglep3-reporting\EC\2017-11-10-refined-times.txt</v>
      </c>
      <c r="AI201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{"issue":{"subject":"","project_id":79,"tracker_id":40,"status_id":1,"priority_id":2,"assigned_to_id":338,"start_date":"2017-11-10","description":"","custom_fields":[{"id":1,"name":"Subdivision","value":"NW"},{"id":4,"name":"Milepost","value":"5.896"},{"id":17,"name":"Train ID","value":"841-10"},{"id":16,"name":"Locomotive ID","value":"4008"},{"id":130,"name":"Impact","value":""},{"id":150,"name":"Time of Event (Mountain Time)","value":"19:24:27"},{"id":151,"name":"Denver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58"/>
        <v>start /low /b %USERPROFILE%\Documents\GitHub\eaglep3\Utilities\DownloadLogsFromS3.py --loco 4008 --day 2017-11-10</v>
      </c>
      <c r="AN201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02:24:27"},{"id":29,"name":"Sharepoint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60"/>
        <v>https://d0f6bd738d7f1b3e5a7ca70fe4ff75f0.us-east-1.aws.found.io/app/kibana#/discover/Steve-Slow-Train-Analysis-(2080s-and-2083s)?_g=(refreshInterval:(display:Off,pause:!f,section:0,value:0),time:(from:'2017-11-10T17:59:39-0700',mode:absolute,to:'2017-11-10T20:24:27-0700'))&amp;_a=(columns:!('Message%20ID',Summary),filters:!(),index:'emp_*',interval:auto,query:(query_string:(analyze_wildcard:!t,query:'%22rtdc.l.rtdc.4008%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857</v>
      </c>
      <c r="B202" s="7">
        <v>4007</v>
      </c>
      <c r="C202" s="21" t="s">
        <v>192</v>
      </c>
      <c r="D202" s="21" t="s">
        <v>1073</v>
      </c>
      <c r="E202" s="13">
        <v>43049.85359953704</v>
      </c>
      <c r="F202" s="13">
        <v>43049.862858796296</v>
      </c>
      <c r="G202" s="7">
        <v>69</v>
      </c>
      <c r="H202" s="21" t="s">
        <v>1074</v>
      </c>
      <c r="I202" s="13">
        <v>43049.871446759258</v>
      </c>
      <c r="J202" s="7">
        <v>1</v>
      </c>
      <c r="K202" s="89" t="str">
        <f t="shared" si="61"/>
        <v>4007/4008</v>
      </c>
      <c r="L202" s="185" t="str">
        <f>VLOOKUP(A202,'Trips&amp;Operators'!$C$1:$G$99911,5,FALSE)</f>
        <v>ZEWDU DEREJE</v>
      </c>
      <c r="M202" s="6">
        <f t="shared" si="62"/>
        <v>8.5879629623377696E-3</v>
      </c>
      <c r="N202" s="7">
        <f t="shared" si="76"/>
        <v>12.366666665766388</v>
      </c>
      <c r="O202" s="7"/>
      <c r="P202" s="7"/>
      <c r="Q202" s="22"/>
      <c r="R202" s="174"/>
      <c r="S202" s="221">
        <f t="shared" si="77"/>
        <v>1</v>
      </c>
      <c r="T202" s="174" t="str">
        <f t="shared" si="63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4"/>
        <v>https://d0f6bd738d7f1b3e5a7ca70fe4ff75f0.us-east-1.aws.found.io/app/kibana#/discover/Steve-Slow-Train-Analysis-(2080s-and-2083s)?_g=(refreshInterval:(display:Off,pause:!f,section:0,value:0),time:(from:'2017-11-10T19:29:11-0700',mode:absolute,to:'2017-11-10T21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2" s="204" t="str">
        <f>IF(AA202&lt;VLOOKUP(AG202,Variables!$AC$3:$AD$8,2,FALSE),"Y","N")</f>
        <v>N</v>
      </c>
      <c r="X202" s="204">
        <f t="shared" si="89"/>
        <v>1</v>
      </c>
      <c r="Y202" s="204">
        <f t="shared" si="87"/>
        <v>5.8696000000000002</v>
      </c>
      <c r="Z202" s="204">
        <f t="shared" si="88"/>
        <v>7.17E-2</v>
      </c>
      <c r="AA202" s="204">
        <f t="shared" si="67"/>
        <v>5.7979000000000003</v>
      </c>
      <c r="AB202" s="54" t="e">
        <f>VLOOKUP(A202,Enforcements!$C$7:$K$9,8,0)</f>
        <v>#N/A</v>
      </c>
      <c r="AC202" s="51" t="e">
        <f>VLOOKUP(A202,Enforcements!$C$7:$E$9,3,0)</f>
        <v>#N/A</v>
      </c>
      <c r="AD202" s="179">
        <f t="shared" si="68"/>
        <v>842</v>
      </c>
      <c r="AE202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202" s="74" t="str">
        <f t="shared" si="70"/>
        <v>"C:\Program Files (x86)\AstroGrep\AstroGrep.exe" /e /r /s /spath="%USERPROFILE%\AppData\Local\Temp\OnboardLogs" /stypes="app*4007*20171111*" /stext=" 03:.+((SYSTEM_STATE.+slice.+state.+changed )|(ment ac)|(multiple cpu faults)|(system.+state.+changed )|(\[timeout)|(PRM\|1\|D)|(kpr)|(kdp)|(train st.+moving)|(\|lc)|(penalty))"</v>
      </c>
      <c r="AG202" s="182" t="str">
        <f t="shared" si="71"/>
        <v>NW</v>
      </c>
      <c r="AH202" s="78" t="str">
        <f t="shared" si="56"/>
        <v>"%USERPROFILE%\Documents\GitHub\eaglep3\Utilities\RefineRTDCRunTimes.py" --tripid 842-10 --locoid 4007 --swversion DE.1.0.9.0 --startMP 300:58696 --initTime 2017-11-10T20:29:11 --startdatetime 2017-11-10T20:42:31 --delay 69 --endMP 204:717 --enddatetime 2017-11-10T20:54:53 --enforcementcount 1 &gt;&gt;%USERPROFILE%\Documents\GitHub\eaglep3-reporting\EC\2017-11-10-refined-times.txt</v>
      </c>
      <c r="AI202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{"issue":{"subject":"","project_id":79,"tracker_id":40,"status_id":1,"priority_id":2,"assigned_to_id":338,"start_date":"2017-11-10","description":"","custom_fields":[{"id":1,"name":"Subdivision","value":"NW"},{"id":4,"name":"Milepost","value":"0.0717"},{"id":17,"name":"Train ID","value":"842-10"},{"id":16,"name":"Locomotive ID","value":"4007"},{"id":130,"name":"Impact","value":""},{"id":150,"name":"Time of Event (Mountain Time)","value":"20:54:53"},{"id":151,"name":"Denver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58"/>
        <v>start /low /b %USERPROFILE%\Documents\GitHub\eaglep3\Utilities\DownloadLogsFromS3.py --loco 4007 --day 2017-11-10</v>
      </c>
      <c r="AN202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60"/>
        <v>https://d0f6bd738d7f1b3e5a7ca70fe4ff75f0.us-east-1.aws.found.io/app/kibana#/discover/Steve-Slow-Train-Analysis-(2080s-and-2083s)?_g=(refreshInterval:(display:Off,pause:!f,section:0,value:0),time:(from:'2017-11-10T19:29:11-0700',mode:absolute,to:'2017-11-10T21:54:53-0700'))&amp;_a=(columns:!('Message%20ID',Summary),filters:!(),index:'emp_*',interval:auto,query:(query_string:(analyze_wildcard:!t,query:'%22rtdc.l.rtdc.4007%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854</v>
      </c>
      <c r="B203" s="7">
        <v>4008</v>
      </c>
      <c r="C203" s="21" t="s">
        <v>192</v>
      </c>
      <c r="D203" s="21" t="s">
        <v>1075</v>
      </c>
      <c r="E203" s="13">
        <v>43049.835266203707</v>
      </c>
      <c r="F203" s="13">
        <v>43049.840173611112</v>
      </c>
      <c r="G203" s="7">
        <v>100</v>
      </c>
      <c r="H203" s="21" t="s">
        <v>1076</v>
      </c>
      <c r="I203" s="13">
        <v>43049.849722222221</v>
      </c>
      <c r="J203" s="7">
        <v>1</v>
      </c>
      <c r="K203" s="89" t="str">
        <f t="shared" si="61"/>
        <v>4007/4008</v>
      </c>
      <c r="L203" s="185" t="str">
        <f>VLOOKUP(A203,'Trips&amp;Operators'!$C$1:$G$99911,5,FALSE)</f>
        <v>ZEWDU DEREJE</v>
      </c>
      <c r="M203" s="6">
        <f t="shared" si="62"/>
        <v>9.5486111094942316E-3</v>
      </c>
      <c r="N203" s="7">
        <f t="shared" si="76"/>
        <v>13.749999997671694</v>
      </c>
      <c r="O203" s="7"/>
      <c r="P203" s="7"/>
      <c r="Q203" s="22"/>
      <c r="R203" s="174"/>
      <c r="S203" s="221">
        <f t="shared" si="77"/>
        <v>1</v>
      </c>
      <c r="T203" s="174" t="str">
        <f t="shared" si="63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64"/>
        <v>https://d0f6bd738d7f1b3e5a7ca70fe4ff75f0.us-east-1.aws.found.io/app/kibana#/discover/Steve-Slow-Train-Analysis-(2080s-and-2083s)?_g=(refreshInterval:(display:Off,pause:!f,section:0,value:0),time:(from:'2017-11-10T19:02:47-0700',mode:absolute,to:'2017-11-10T21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3" s="204" t="str">
        <f>IF(AA203&lt;VLOOKUP(AG203,Variables!$AC$3:$AD$8,2,FALSE),"Y","N")</f>
        <v>N</v>
      </c>
      <c r="X203" s="204">
        <f t="shared" si="89"/>
        <v>1</v>
      </c>
      <c r="Y203" s="204">
        <f t="shared" si="87"/>
        <v>0.1076</v>
      </c>
      <c r="Z203" s="204">
        <f t="shared" si="88"/>
        <v>5.9002999999999997</v>
      </c>
      <c r="AA203" s="204">
        <f t="shared" si="67"/>
        <v>5.7927</v>
      </c>
      <c r="AB203" s="54" t="e">
        <f>VLOOKUP(A203,Enforcements!$C$7:$K$9,8,0)</f>
        <v>#N/A</v>
      </c>
      <c r="AC203" s="51" t="e">
        <f>VLOOKUP(A203,Enforcements!$C$7:$E$9,3,0)</f>
        <v>#N/A</v>
      </c>
      <c r="AD203" s="179">
        <f t="shared" si="68"/>
        <v>843</v>
      </c>
      <c r="AE203" s="77" t="str">
        <f t="shared" si="69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203" s="74" t="str">
        <f t="shared" si="70"/>
        <v>"C:\Program Files (x86)\AstroGrep\AstroGrep.exe" /e /r /s /spath="%USERPROFILE%\AppData\Local\Temp\OnboardLogs" /stypes="app*4008*20171111*" /stext=" 03:.+((SYSTEM_STATE.+slice.+state.+changed )|(ment ac)|(multiple cpu faults)|(system.+state.+changed )|(\[timeout)|(PRM\|1\|D)|(kpr)|(kdp)|(train st.+moving)|(\|lc)|(penalty))"</v>
      </c>
      <c r="AG203" s="182" t="str">
        <f t="shared" si="71"/>
        <v>NW</v>
      </c>
      <c r="AH203" s="78" t="str">
        <f t="shared" si="56"/>
        <v>"%USERPROFILE%\Documents\GitHub\eaglep3\Utilities\RefineRTDCRunTimes.py" --tripid 843-10 --locoid 4008 --swversion DE.1.0.9.0 --startMP 204:1076 --initTime 2017-11-10T20:02:47 --startdatetime 2017-11-10T20:09:51 --delay 100 --endMP 300:59003 --enddatetime 2017-11-10T20:23:36 --enforcementcount 1 &gt;&gt;%USERPROFILE%\Documents\GitHub\eaglep3-reporting\EC\2017-11-10-refined-times.txt</v>
      </c>
      <c r="AI203" s="96" t="str">
        <f t="shared" si="57"/>
        <v>echo {"issue":{"subject":"","project_id":79,"tracker_id":40,"status_id":1,"priority_id":2,"assigned_to_id":338,"start_date":"2017-11-10","description":"","custom_fields":[{"id":1,"name":"Subdivision","value":"NW"},{"id":4,"name":"Milepost","value":"5.9003"},{"id":17,"name":"Train ID","value":"843-10"},{"id":16,"name":"Locomotive ID","value":"4008"},{"id":130,"name":"Impact","value":""},{"id":150,"name":"Time of Event (Mountain Time)","value":"20:23:36"},{"id":151,"name":"Denver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58"/>
        <v>start /low /b %USERPROFILE%\Documents\GitHub\eaglep3\Utilities\DownloadLogsFromS3.py --loco 4008 --day 2017-11-10</v>
      </c>
      <c r="AN203" s="151" t="str">
        <f t="shared" si="59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03:23:36"},{"id":29,"name":"Sharepoint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60"/>
        <v>https://d0f6bd738d7f1b3e5a7ca70fe4ff75f0.us-east-1.aws.found.io/app/kibana#/discover/Steve-Slow-Train-Analysis-(2080s-and-2083s)?_g=(refreshInterval:(display:Off,pause:!f,section:0,value:0),time:(from:'2017-11-10T19:02:47-0700',mode:absolute,to:'2017-11-10T21:23:36-0700'))&amp;_a=(columns:!('Message%20ID',Summary),filters:!(),index:'emp_*',interval:auto,query:(query_string:(analyze_wildcard:!t,query:'%22rtdc.l.rtdc.4008%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863</v>
      </c>
      <c r="B204" s="7">
        <v>4007</v>
      </c>
      <c r="C204" s="21" t="s">
        <v>192</v>
      </c>
      <c r="D204" s="21" t="s">
        <v>1077</v>
      </c>
      <c r="E204" s="13">
        <v>43049.89340277778</v>
      </c>
      <c r="F204" s="13">
        <v>43049.904965277776</v>
      </c>
      <c r="G204" s="7">
        <v>86</v>
      </c>
      <c r="H204" s="21" t="s">
        <v>1078</v>
      </c>
      <c r="I204" s="13">
        <v>43049.91302083333</v>
      </c>
      <c r="J204" s="7">
        <v>1</v>
      </c>
      <c r="K204" s="89" t="str">
        <f t="shared" si="61"/>
        <v>4007/4008</v>
      </c>
      <c r="L204" s="185" t="str">
        <f>VLOOKUP(A204,'Trips&amp;Operators'!$C$1:$G$99911,5,FALSE)</f>
        <v>SMITH MICHAEL</v>
      </c>
      <c r="M204" s="6">
        <f t="shared" si="62"/>
        <v>8.0555555541650392E-3</v>
      </c>
      <c r="N204" s="7">
        <f t="shared" ref="N204:N234" si="90">24*60*SUM($M204:$M204)</f>
        <v>11.599999997997656</v>
      </c>
      <c r="O204" s="7"/>
      <c r="P204" s="7"/>
      <c r="Q204" s="22"/>
      <c r="R204" s="174"/>
      <c r="S204" s="221">
        <f t="shared" ref="S204:S234" si="91">1/IF(AG204="EC",12,1)*SUM(U204:U204)</f>
        <v>1</v>
      </c>
      <c r="T204" s="174" t="str">
        <f t="shared" si="63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64"/>
        <v>https://d0f6bd738d7f1b3e5a7ca70fe4ff75f0.us-east-1.aws.found.io/app/kibana#/discover/Steve-Slow-Train-Analysis-(2080s-and-2083s)?_g=(refreshInterval:(display:Off,pause:!f,section:0,value:0),time:(from:'2017-11-10T20:26:30-0700',mode:absolute,to:'2017-11-10T22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4" s="204" t="str">
        <f>IF(AA204&lt;VLOOKUP(AG204,Variables!$AC$3:$AD$8,2,FALSE),"Y","N")</f>
        <v>N</v>
      </c>
      <c r="X204" s="204">
        <f t="shared" si="89"/>
        <v>1</v>
      </c>
      <c r="Y204" s="204">
        <f t="shared" si="87"/>
        <v>5.8688000000000002</v>
      </c>
      <c r="Z204" s="204">
        <f t="shared" si="88"/>
        <v>7.6600000000000001E-2</v>
      </c>
      <c r="AA204" s="204">
        <f t="shared" si="67"/>
        <v>5.7922000000000002</v>
      </c>
      <c r="AB204" s="54" t="e">
        <f>VLOOKUP(A204,Enforcements!$C$7:$K$9,8,0)</f>
        <v>#N/A</v>
      </c>
      <c r="AC204" s="51" t="e">
        <f>VLOOKUP(A204,Enforcements!$C$7:$E$9,3,0)</f>
        <v>#N/A</v>
      </c>
      <c r="AD204" s="179">
        <f t="shared" si="68"/>
        <v>844</v>
      </c>
      <c r="AE204" s="77" t="str">
        <f t="shared" si="69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204" s="74" t="str">
        <f t="shared" si="70"/>
        <v>"C:\Program Files (x86)\AstroGrep\AstroGrep.exe" /e /r /s /spath="%USERPROFILE%\AppData\Local\Temp\OnboardLogs" /stypes="app*4007*20171111*" /stext=" 04:.+((SYSTEM_STATE.+slice.+state.+changed )|(ment ac)|(multiple cpu faults)|(system.+state.+changed )|(\[timeout)|(PRM\|1\|D)|(kpr)|(kdp)|(train st.+moving)|(\|lc)|(penalty))"</v>
      </c>
      <c r="AG204" s="182" t="str">
        <f t="shared" si="71"/>
        <v>NW</v>
      </c>
      <c r="AH204" s="78" t="str">
        <f t="shared" ref="AH204:AH234" si="92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844-10 --locoid 4007 --swversion DE.1.0.9.0 --startMP 300:58688 --initTime 2017-11-10T21:26:30 --startdatetime 2017-11-10T21:43:09 --delay 86 --endMP 204:766 --enddatetime 2017-11-10T21:54:45 --enforcementcount 1 &gt;&gt;%USERPROFILE%\Documents\GitHub\eaglep3-reporting\EC\2017-11-10-refined-times.txt</v>
      </c>
      <c r="AI204" s="96" t="str">
        <f t="shared" ref="AI204:AI234" si="93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{"issue":{"subject":"","project_id":79,"tracker_id":40,"status_id":1,"priority_id":2,"assigned_to_id":338,"start_date":"2017-11-10","description":"","custom_fields":[{"id":1,"name":"Subdivision","value":"NW"},{"id":4,"name":"Milepost","value":"0.0766"},{"id":17,"name":"Train ID","value":"844-10"},{"id":16,"name":"Locomotive ID","value":"4007"},{"id":130,"name":"Impact","value":""},{"id":150,"name":"Time of Event (Mountain Time)","value":"21:54:45"},{"id":151,"name":"Denver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ref="AM204:AM234" si="94">"start /low /b "&amp;dls3logs&amp;" --loco "&amp;B204&amp;" --day "&amp;TEXT(F204,"YYYY-MM-DD")</f>
        <v>start /low /b %USERPROFILE%\Documents\GitHub\eaglep3\Utilities\DownloadLogsFromS3.py --loco 4007 --day 2017-11-10</v>
      </c>
      <c r="AN204" s="151" t="str">
        <f t="shared" ref="AN204:AN234" si="95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04:54:45"},{"id":29,"name":"Sharepoint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ref="AO204:AO234" si="96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-10T20:26:30-0700',mode:absolute,to:'2017-11-10T22:54:45-0700'))&amp;_a=(columns:!('Message%20ID',Summary),filters:!(),index:'emp_*',interval:auto,query:(query_string:(analyze_wildcard:!t,query:'%22rtdc.l.rtdc.4007%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860</v>
      </c>
      <c r="B205" s="7">
        <v>4008</v>
      </c>
      <c r="C205" s="21" t="s">
        <v>192</v>
      </c>
      <c r="D205" s="21" t="s">
        <v>1079</v>
      </c>
      <c r="E205" s="13">
        <v>43049.875659722224</v>
      </c>
      <c r="F205" s="13">
        <v>43049.881493055553</v>
      </c>
      <c r="G205" s="7">
        <v>105</v>
      </c>
      <c r="H205" s="21" t="s">
        <v>1080</v>
      </c>
      <c r="I205" s="13">
        <v>43049.891469907408</v>
      </c>
      <c r="J205" s="7">
        <v>1</v>
      </c>
      <c r="K205" s="89" t="str">
        <f t="shared" ref="K205:K234" si="97">IF(ISEVEN(B205),(B205-1)&amp;"/"&amp;B205,B205&amp;"/"&amp;(B205+1))</f>
        <v>4007/4008</v>
      </c>
      <c r="L205" s="185" t="str">
        <f>VLOOKUP(A205,'Trips&amp;Operators'!$C$1:$G$99911,5,FALSE)</f>
        <v>SMITH MICHAEL</v>
      </c>
      <c r="M205" s="6">
        <f t="shared" ref="M205:M234" si="98">I205-F205</f>
        <v>9.976851855753921E-3</v>
      </c>
      <c r="N205" s="7">
        <f t="shared" si="90"/>
        <v>14.366666672285646</v>
      </c>
      <c r="O205" s="7"/>
      <c r="P205" s="7"/>
      <c r="Q205" s="22"/>
      <c r="R205" s="174"/>
      <c r="S205" s="221">
        <f t="shared" si="91"/>
        <v>1</v>
      </c>
      <c r="T205" s="174" t="str">
        <f t="shared" ref="T205:T234" si="99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34" si="10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-10T20:00:57-0700',mode:absolute,to:'2017-11-10T22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5" s="204" t="str">
        <f>IF(AA205&lt;VLOOKUP(AG205,Variables!$AC$3:$AD$8,2,FALSE),"Y","N")</f>
        <v>N</v>
      </c>
      <c r="X205" s="204">
        <f t="shared" si="89"/>
        <v>1</v>
      </c>
      <c r="Y205" s="204">
        <f t="shared" si="87"/>
        <v>9.9000000000000005E-2</v>
      </c>
      <c r="Z205" s="204">
        <f t="shared" si="88"/>
        <v>5.8997000000000002</v>
      </c>
      <c r="AA205" s="204">
        <f t="shared" ref="AA205:AA234" si="101">ABS(Z205-Y205)</f>
        <v>5.8007</v>
      </c>
      <c r="AB205" s="54" t="e">
        <f>VLOOKUP(A205,Enforcements!$C$7:$K$9,8,0)</f>
        <v>#N/A</v>
      </c>
      <c r="AC205" s="51" t="e">
        <f>VLOOKUP(A205,Enforcements!$C$7:$E$9,3,0)</f>
        <v>#N/A</v>
      </c>
      <c r="AD205" s="179">
        <f t="shared" ref="AD205:AD234" si="102">VALUE(LEFT(A205,LEN(A205)-3))</f>
        <v>845</v>
      </c>
      <c r="AE205" s="77" t="str">
        <f t="shared" ref="AE205:AE234" si="10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205" s="74" t="str">
        <f t="shared" ref="AF205:AF234" si="10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/stypes="app*4008*20171111*" /stext=" 04:.+((SYSTEM_STATE.+slice.+state.+changed )|(ment ac)|(multiple cpu faults)|(system.+state.+changed )|(\[timeout)|(PRM\|1\|D)|(kpr)|(kdp)|(train st.+moving)|(\|lc)|(penalty))"</v>
      </c>
      <c r="AG205" s="182" t="str">
        <f t="shared" ref="AG205:AG234" si="105">DetSubdiv(A205)</f>
        <v>NW</v>
      </c>
      <c r="AH205" s="78" t="str">
        <f t="shared" si="92"/>
        <v>"%USERPROFILE%\Documents\GitHub\eaglep3\Utilities\RefineRTDCRunTimes.py" --tripid 845-10 --locoid 4008 --swversion DE.1.0.9.0 --startMP 204:990 --initTime 2017-11-10T21:00:57 --startdatetime 2017-11-10T21:09:21 --delay 105 --endMP 300:58997 --enddatetime 2017-11-10T21:23:43 --enforcementcount 1 &gt;&gt;%USERPROFILE%\Documents\GitHub\eaglep3-reporting\EC\2017-11-10-refined-times.txt</v>
      </c>
      <c r="AI205" s="96" t="str">
        <f t="shared" si="93"/>
        <v>echo {"issue":{"subject":"","project_id":79,"tracker_id":40,"status_id":1,"priority_id":2,"assigned_to_id":338,"start_date":"2017-11-10","description":"","custom_fields":[{"id":1,"name":"Subdivision","value":"NW"},{"id":4,"name":"Milepost","value":"5.8997"},{"id":17,"name":"Train ID","value":"845-10"},{"id":16,"name":"Locomotive ID","value":"4008"},{"id":130,"name":"Impact","value":""},{"id":150,"name":"Time of Event (Mountain Time)","value":"21:23:43"},{"id":151,"name":"Denver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94"/>
        <v>start /low /b %USERPROFILE%\Documents\GitHub\eaglep3\Utilities\DownloadLogsFromS3.py --loco 4008 --day 2017-11-10</v>
      </c>
      <c r="AN205" s="151" t="str">
        <f t="shared" si="9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04:23:43"},{"id":29,"name":"Sharepoint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96"/>
        <v>https://d0f6bd738d7f1b3e5a7ca70fe4ff75f0.us-east-1.aws.found.io/app/kibana#/discover/Steve-Slow-Train-Analysis-(2080s-and-2083s)?_g=(refreshInterval:(display:Off,pause:!f,section:0,value:0),time:(from:'2017-11-10T20:00:57-0700',mode:absolute,to:'2017-11-10T22:23:43-0700'))&amp;_a=(columns:!('Message%20ID',Summary),filters:!(),index:'emp_*',interval:auto,query:(query_string:(analyze_wildcard:!t,query:'%22rtdc.l.rtdc.4008%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868</v>
      </c>
      <c r="B206" s="7">
        <v>4007</v>
      </c>
      <c r="C206" s="21" t="s">
        <v>192</v>
      </c>
      <c r="D206" s="21" t="s">
        <v>1081</v>
      </c>
      <c r="E206" s="13">
        <v>43049.934687499997</v>
      </c>
      <c r="F206" s="13">
        <v>43049.946620370371</v>
      </c>
      <c r="G206" s="7">
        <v>84</v>
      </c>
      <c r="H206" s="21" t="s">
        <v>1082</v>
      </c>
      <c r="I206" s="13">
        <v>43049.955335648148</v>
      </c>
      <c r="J206" s="7">
        <v>1</v>
      </c>
      <c r="K206" s="89" t="str">
        <f t="shared" si="97"/>
        <v>4007/4008</v>
      </c>
      <c r="L206" s="185" t="str">
        <f>VLOOKUP(A206,'Trips&amp;Operators'!$C$1:$G$99911,5,FALSE)</f>
        <v>SMITH MICHAEL</v>
      </c>
      <c r="M206" s="6">
        <f t="shared" si="98"/>
        <v>8.7152777778101154E-3</v>
      </c>
      <c r="N206" s="7">
        <f t="shared" si="90"/>
        <v>12.550000000046566</v>
      </c>
      <c r="O206" s="7"/>
      <c r="P206" s="7"/>
      <c r="Q206" s="22"/>
      <c r="R206" s="174"/>
      <c r="S206" s="221">
        <f t="shared" si="91"/>
        <v>1</v>
      </c>
      <c r="T206" s="174" t="str">
        <f t="shared" si="99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00"/>
        <v>https://d0f6bd738d7f1b3e5a7ca70fe4ff75f0.us-east-1.aws.found.io/app/kibana#/discover/Steve-Slow-Train-Analysis-(2080s-and-2083s)?_g=(refreshInterval:(display:Off,pause:!f,section:0,value:0),time:(from:'2017-11-10T21:25:57-0700',mode:absolute,to:'2017-11-10T23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204" t="str">
        <f>IF(AA206&lt;VLOOKUP(AG206,Variables!$AC$3:$AD$8,2,FALSE),"Y","N")</f>
        <v>N</v>
      </c>
      <c r="X206" s="204">
        <f t="shared" si="89"/>
        <v>1</v>
      </c>
      <c r="Y206" s="204">
        <f t="shared" si="87"/>
        <v>5.8640999999999996</v>
      </c>
      <c r="Z206" s="204">
        <f t="shared" si="88"/>
        <v>7.8700000000000006E-2</v>
      </c>
      <c r="AA206" s="204">
        <f t="shared" si="101"/>
        <v>5.7853999999999992</v>
      </c>
      <c r="AB206" s="54" t="e">
        <f>VLOOKUP(A206,Enforcements!$C$7:$K$9,8,0)</f>
        <v>#N/A</v>
      </c>
      <c r="AC206" s="51" t="e">
        <f>VLOOKUP(A206,Enforcements!$C$7:$E$9,3,0)</f>
        <v>#N/A</v>
      </c>
      <c r="AD206" s="179">
        <f t="shared" si="102"/>
        <v>846</v>
      </c>
      <c r="AE206" s="77" t="str">
        <f t="shared" si="103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206" s="74" t="str">
        <f t="shared" si="104"/>
        <v>"C:\Program Files (x86)\AstroGrep\AstroGrep.exe" /e /r /s /spath="%USERPROFILE%\AppData\Local\Temp\OnboardLogs" /stypes="app*4007*20171111*" /stext=" 05:.+((SYSTEM_STATE.+slice.+state.+changed )|(ment ac)|(multiple cpu faults)|(system.+state.+changed )|(\[timeout)|(PRM\|1\|D)|(kpr)|(kdp)|(train st.+moving)|(\|lc)|(penalty))"</v>
      </c>
      <c r="AG206" s="182" t="str">
        <f t="shared" si="105"/>
        <v>NW</v>
      </c>
      <c r="AH206" s="78" t="str">
        <f t="shared" si="92"/>
        <v>"%USERPROFILE%\Documents\GitHub\eaglep3\Utilities\RefineRTDCRunTimes.py" --tripid 846-10 --locoid 4007 --swversion DE.1.0.9.0 --startMP 300:58641 --initTime 2017-11-10T22:25:57 --startdatetime 2017-11-10T22:43:08 --delay 84 --endMP 204:787 --enddatetime 2017-11-10T22:55:41 --enforcementcount 1 &gt;&gt;%USERPROFILE%\Documents\GitHub\eaglep3-reporting\EC\2017-11-10-refined-times.txt</v>
      </c>
      <c r="AI206" s="96" t="str">
        <f t="shared" si="93"/>
        <v>echo {"issue":{"subject":"","project_id":79,"tracker_id":40,"status_id":1,"priority_id":2,"assigned_to_id":338,"start_date":"2017-11-10","description":"","custom_fields":[{"id":1,"name":"Subdivision","value":"NW"},{"id":4,"name":"Milepost","value":"0.0787"},{"id":17,"name":"Train ID","value":"846-10"},{"id":16,"name":"Locomotive ID","value":"4007"},{"id":130,"name":"Impact","value":""},{"id":150,"name":"Time of Event (Mountain Time)","value":"22:55:41"},{"id":151,"name":"Denver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94"/>
        <v>start /low /b %USERPROFILE%\Documents\GitHub\eaglep3\Utilities\DownloadLogsFromS3.py --loco 4007 --day 2017-11-10</v>
      </c>
      <c r="AN206" s="151" t="str">
        <f t="shared" si="9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05:55:41"},{"id":29,"name":"Sharepoint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6"/>
        <v>https://d0f6bd738d7f1b3e5a7ca70fe4ff75f0.us-east-1.aws.found.io/app/kibana#/discover/Steve-Slow-Train-Analysis-(2080s-and-2083s)?_g=(refreshInterval:(display:Off,pause:!f,section:0,value:0),time:(from:'2017-11-10T21:25:57-0700',mode:absolute,to:'2017-11-10T23:55:41-0700'))&amp;_a=(columns:!('Message%20ID',Summary),filters:!(),index:'emp_*',interval:auto,query:(query_string:(analyze_wildcard:!t,query:'%22rtdc.l.rtdc.4007%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865</v>
      </c>
      <c r="B207" s="7">
        <v>4008</v>
      </c>
      <c r="C207" s="21" t="s">
        <v>192</v>
      </c>
      <c r="D207" s="21" t="s">
        <v>1083</v>
      </c>
      <c r="E207" s="13">
        <v>43049.915196759262</v>
      </c>
      <c r="F207" s="13">
        <v>43049.923194444447</v>
      </c>
      <c r="G207" s="7">
        <v>73</v>
      </c>
      <c r="H207" s="21" t="s">
        <v>1084</v>
      </c>
      <c r="I207" s="13">
        <v>43049.933449074073</v>
      </c>
      <c r="J207" s="7">
        <v>1</v>
      </c>
      <c r="K207" s="89" t="str">
        <f t="shared" si="97"/>
        <v>4007/4008</v>
      </c>
      <c r="L207" s="185" t="str">
        <f>VLOOKUP(A207,'Trips&amp;Operators'!$C$1:$G$99911,5,FALSE)</f>
        <v>SMITH MICHAEL</v>
      </c>
      <c r="M207" s="6">
        <f t="shared" si="98"/>
        <v>1.0254629625706002E-2</v>
      </c>
      <c r="N207" s="7">
        <f t="shared" si="90"/>
        <v>14.766666661016643</v>
      </c>
      <c r="O207" s="7"/>
      <c r="P207" s="7"/>
      <c r="Q207" s="22"/>
      <c r="R207" s="174"/>
      <c r="S207" s="221">
        <f t="shared" si="91"/>
        <v>1</v>
      </c>
      <c r="T207" s="174" t="str">
        <f t="shared" si="99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00"/>
        <v>https://d0f6bd738d7f1b3e5a7ca70fe4ff75f0.us-east-1.aws.found.io/app/kibana#/discover/Steve-Slow-Train-Analysis-(2080s-and-2083s)?_g=(refreshInterval:(display:Off,pause:!f,section:0,value:0),time:(from:'2017-11-10T20:57:53-0700',mode:absolute,to:'2017-11-10T23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7" s="204" t="str">
        <f>IF(AA207&lt;VLOOKUP(AG207,Variables!$AC$3:$AD$8,2,FALSE),"Y","N")</f>
        <v>N</v>
      </c>
      <c r="X207" s="204">
        <f t="shared" si="89"/>
        <v>1</v>
      </c>
      <c r="Y207" s="204">
        <f t="shared" si="87"/>
        <v>0.10879999999999999</v>
      </c>
      <c r="Z207" s="204">
        <f t="shared" si="88"/>
        <v>5.8949999999999996</v>
      </c>
      <c r="AA207" s="204">
        <f t="shared" si="101"/>
        <v>5.7862</v>
      </c>
      <c r="AB207" s="54" t="e">
        <f>VLOOKUP(A207,Enforcements!$C$7:$K$9,8,0)</f>
        <v>#N/A</v>
      </c>
      <c r="AC207" s="51" t="e">
        <f>VLOOKUP(A207,Enforcements!$C$7:$E$9,3,0)</f>
        <v>#N/A</v>
      </c>
      <c r="AD207" s="179">
        <f t="shared" si="102"/>
        <v>847</v>
      </c>
      <c r="AE207" s="77" t="str">
        <f t="shared" si="103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207" s="74" t="str">
        <f t="shared" si="104"/>
        <v>"C:\Program Files (x86)\AstroGrep\AstroGrep.exe" /e /r /s /spath="%USERPROFILE%\AppData\Local\Temp\OnboardLogs" /stypes="app*4008*20171111*" /stext=" 05:.+((SYSTEM_STATE.+slice.+state.+changed )|(ment ac)|(multiple cpu faults)|(system.+state.+changed )|(\[timeout)|(PRM\|1\|D)|(kpr)|(kdp)|(train st.+moving)|(\|lc)|(penalty))"</v>
      </c>
      <c r="AG207" s="182" t="str">
        <f t="shared" si="105"/>
        <v>NW</v>
      </c>
      <c r="AH207" s="78" t="str">
        <f t="shared" si="92"/>
        <v>"%USERPROFILE%\Documents\GitHub\eaglep3\Utilities\RefineRTDCRunTimes.py" --tripid 847-10 --locoid 4008 --swversion DE.1.0.9.0 --startMP 204:1088 --initTime 2017-11-10T21:57:53 --startdatetime 2017-11-10T22:09:24 --delay 73 --endMP 300:58950 --enddatetime 2017-11-10T22:24:10 --enforcementcount 1 &gt;&gt;%USERPROFILE%\Documents\GitHub\eaglep3-reporting\EC\2017-11-10-refined-times.txt</v>
      </c>
      <c r="AI207" s="96" t="str">
        <f t="shared" si="93"/>
        <v>echo {"issue":{"subject":"","project_id":79,"tracker_id":40,"status_id":1,"priority_id":2,"assigned_to_id":338,"start_date":"2017-11-10","description":"","custom_fields":[{"id":1,"name":"Subdivision","value":"NW"},{"id":4,"name":"Milepost","value":"5.895"},{"id":17,"name":"Train ID","value":"847-10"},{"id":16,"name":"Locomotive ID","value":"4008"},{"id":130,"name":"Impact","value":""},{"id":150,"name":"Time of Event (Mountain Time)","value":"22:24:10"},{"id":151,"name":"Denver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94"/>
        <v>start /low /b %USERPROFILE%\Documents\GitHub\eaglep3\Utilities\DownloadLogsFromS3.py --loco 4008 --day 2017-11-10</v>
      </c>
      <c r="AN207" s="151" t="str">
        <f t="shared" si="9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05:24:10"},{"id":29,"name":"Sharepoint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6"/>
        <v>https://d0f6bd738d7f1b3e5a7ca70fe4ff75f0.us-east-1.aws.found.io/app/kibana#/discover/Steve-Slow-Train-Analysis-(2080s-and-2083s)?_g=(refreshInterval:(display:Off,pause:!f,section:0,value:0),time:(from:'2017-11-10T20:57:53-0700',mode:absolute,to:'2017-11-10T23:24:10-0700'))&amp;_a=(columns:!('Message%20ID',Summary),filters:!(),index:'emp_*',interval:auto,query:(query_string:(analyze_wildcard:!t,query:'%22rtdc.l.rtdc.4008%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871</v>
      </c>
      <c r="B208" s="7">
        <v>4008</v>
      </c>
      <c r="C208" s="21" t="s">
        <v>192</v>
      </c>
      <c r="D208" s="21" t="s">
        <v>634</v>
      </c>
      <c r="E208" s="13">
        <v>43049.957673611112</v>
      </c>
      <c r="F208" s="13">
        <v>43049.964861111112</v>
      </c>
      <c r="G208" s="7">
        <v>55</v>
      </c>
      <c r="H208" s="21" t="s">
        <v>1085</v>
      </c>
      <c r="I208" s="13">
        <v>43049.974675925929</v>
      </c>
      <c r="J208" s="7">
        <v>1</v>
      </c>
      <c r="K208" s="89" t="str">
        <f t="shared" si="97"/>
        <v>4007/4008</v>
      </c>
      <c r="L208" s="185" t="str">
        <f>VLOOKUP(A208,'Trips&amp;Operators'!$C$1:$G$99911,5,FALSE)</f>
        <v>SMITH MICHAEL</v>
      </c>
      <c r="M208" s="6">
        <f t="shared" si="98"/>
        <v>9.8148148172185756E-3</v>
      </c>
      <c r="N208" s="7">
        <f t="shared" si="90"/>
        <v>14.133333336794749</v>
      </c>
      <c r="O208" s="7"/>
      <c r="P208" s="7"/>
      <c r="Q208" s="22"/>
      <c r="R208" s="174"/>
      <c r="S208" s="221">
        <f t="shared" si="91"/>
        <v>1</v>
      </c>
      <c r="T208" s="174" t="str">
        <f t="shared" si="99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00"/>
        <v>https://d0f6bd738d7f1b3e5a7ca70fe4ff75f0.us-east-1.aws.found.io/app/kibana#/discover/Steve-Slow-Train-Analysis-(2080s-and-2083s)?_g=(refreshInterval:(display:Off,pause:!f,section:0,value:0),time:(from:'2017-11-10T21:59:03-0700',mode:absolute,to:'2017-11-11T00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8" s="204" t="str">
        <f>IF(AA208&lt;VLOOKUP(AG208,Variables!$AC$3:$AD$8,2,FALSE),"Y","N")</f>
        <v>N</v>
      </c>
      <c r="X208" s="204">
        <f t="shared" si="89"/>
        <v>2</v>
      </c>
      <c r="Y208" s="204">
        <f t="shared" si="87"/>
        <v>0.10929999999999999</v>
      </c>
      <c r="Z208" s="204">
        <f t="shared" si="88"/>
        <v>5.8952</v>
      </c>
      <c r="AA208" s="204">
        <f t="shared" si="101"/>
        <v>5.7858999999999998</v>
      </c>
      <c r="AB208" s="54" t="e">
        <f>VLOOKUP(A208,Enforcements!$C$7:$K$9,8,0)</f>
        <v>#N/A</v>
      </c>
      <c r="AC208" s="51" t="e">
        <f>VLOOKUP(A208,Enforcements!$C$7:$E$9,3,0)</f>
        <v>#N/A</v>
      </c>
      <c r="AD208" s="179">
        <f t="shared" si="102"/>
        <v>849</v>
      </c>
      <c r="AE208" s="77" t="str">
        <f t="shared" si="103"/>
        <v>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 &amp; aws s3 cp s3://rtdc.mdm.uploadarchive.raw/RTDC4008/ "%USERPROFILE%\AppData\Local\Temp\OnboardLogs"\RTDC4008\2017-11-11 --exclude "*" --recursive --include "*20171111*" &amp; "%USERPROFILE%\Documents\GitHub\mrs-test-scripts\Headless Mode &amp; Sideloading\WalkAndUnGZ.bat" "%USERPROFILE%\AppData\Local\Temp\OnboardLogs"\RTDC4008\2017-11-11</v>
      </c>
      <c r="AF208" s="74" t="str">
        <f t="shared" si="104"/>
        <v>"C:\Program Files (x86)\AstroGrep\AstroGrep.exe" /e /r /s /spath="%USERPROFILE%\AppData\Local\Temp\OnboardLogs" /stypes="app*4008*20171111*" /stext=" 06:.+((SYSTEM_STATE.+slice.+state.+changed )|(ment ac)|(multiple cpu faults)|(system.+state.+changed )|(\[timeout)|(PRM\|1\|D)|(kpr)|(kdp)|(train st.+moving)|(\|lc)|(penalty))"</v>
      </c>
      <c r="AG208" s="182" t="str">
        <f t="shared" si="105"/>
        <v>NW</v>
      </c>
      <c r="AH208" s="78" t="str">
        <f t="shared" si="92"/>
        <v>"%USERPROFILE%\Documents\GitHub\eaglep3\Utilities\RefineRTDCRunTimes.py" --tripid 849-10 --locoid 4008 --swversion DE.1.0.9.0 --startMP 204:1093 --initTime 2017-11-10T22:59:03 --startdatetime 2017-11-10T23:09:24 --delay 55 --endMP 300:58952 --enddatetime 2017-11-10T23:23:32 --enforcementcount 1 &gt;&gt;%USERPROFILE%\Documents\GitHub\eaglep3-reporting\EC\2017-11-10-refined-times.txt</v>
      </c>
      <c r="AI208" s="96" t="str">
        <f t="shared" si="93"/>
        <v>echo {"issue":{"subject":"","project_id":79,"tracker_id":40,"status_id":1,"priority_id":2,"assigned_to_id":338,"start_date":"2017-11-10","description":"","custom_fields":[{"id":1,"name":"Subdivision","value":"NW"},{"id":4,"name":"Milepost","value":"5.8952"},{"id":17,"name":"Train ID","value":"849-10"},{"id":16,"name":"Locomotive ID","value":"4008"},{"id":130,"name":"Impact","value":""},{"id":150,"name":"Time of Event (Mountain Time)","value":"23:23:32"},{"id":151,"name":"Denver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94"/>
        <v>start /low /b %USERPROFILE%\Documents\GitHub\eaglep3\Utilities\DownloadLogsFromS3.py --loco 4008 --day 2017-11-10</v>
      </c>
      <c r="AN208" s="151" t="str">
        <f t="shared" si="9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06:23:32"},{"id":29,"name":"Sharepoint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6"/>
        <v>https://d0f6bd738d7f1b3e5a7ca70fe4ff75f0.us-east-1.aws.found.io/app/kibana#/discover/Steve-Slow-Train-Analysis-(2080s-and-2083s)?_g=(refreshInterval:(display:Off,pause:!f,section:0,value:0),time:(from:'2017-11-10T21:59:03-0700',mode:absolute,to:'2017-11-11T00:23:32-0700'))&amp;_a=(columns:!('Message%20ID',Summary),filters:!(),index:'emp_*',interval:auto,query:(query_string:(analyze_wildcard:!t,query:'%22rtdc.l.rtdc.4008%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656</v>
      </c>
      <c r="B209" s="7">
        <v>4017</v>
      </c>
      <c r="C209" s="21" t="s">
        <v>192</v>
      </c>
      <c r="D209" s="21" t="s">
        <v>998</v>
      </c>
      <c r="E209" s="13">
        <v>43049.12090277778</v>
      </c>
      <c r="F209" s="13">
        <v>43049.122731481482</v>
      </c>
      <c r="G209" s="7">
        <v>47</v>
      </c>
      <c r="H209" s="21" t="s">
        <v>599</v>
      </c>
      <c r="I209" s="13">
        <v>43049.127465277779</v>
      </c>
      <c r="J209" s="7">
        <v>1</v>
      </c>
      <c r="K209" s="89" t="str">
        <f t="shared" si="97"/>
        <v>4017/4018</v>
      </c>
      <c r="L209" s="185" t="str">
        <f>VLOOKUP(A209,'Trips&amp;Operators'!$C$1:$G$99911,5,FALSE)</f>
        <v>YORK EDGAR</v>
      </c>
      <c r="M209" s="6">
        <f t="shared" si="98"/>
        <v>4.7337962969322689E-3</v>
      </c>
      <c r="N209" s="7">
        <f t="shared" si="90"/>
        <v>6.8166666675824672</v>
      </c>
      <c r="O209" s="7"/>
      <c r="P209" s="7"/>
      <c r="Q209" s="22"/>
      <c r="R209" s="174"/>
      <c r="S209" s="221">
        <f t="shared" si="91"/>
        <v>1</v>
      </c>
      <c r="T209" s="174" t="str">
        <f t="shared" si="99"/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00"/>
        <v>https://d0f6bd738d7f1b3e5a7ca70fe4ff75f0.us-east-1.aws.found.io/app/kibana#/discover/Steve-Slow-Train-Analysis-(2080s-and-2083s)?_g=(refreshInterval:(display:Off,pause:!f,section:0,value:0),time:(from:'2017-11-10T01:54:06-0700',mode:absolute,to:'2017-11-10T04:03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9" s="204" t="str">
        <f>IF(AA209&lt;VLOOKUP(AG209,Variables!$AC$3:$AD$8,2,FALSE),"Y","N")</f>
        <v>Y</v>
      </c>
      <c r="X209" s="204">
        <f t="shared" si="89"/>
        <v>-549</v>
      </c>
      <c r="Y209" s="204">
        <f t="shared" si="87"/>
        <v>2.2355</v>
      </c>
      <c r="Z209" s="204">
        <f t="shared" si="88"/>
        <v>1.52E-2</v>
      </c>
      <c r="AA209" s="204">
        <f t="shared" si="101"/>
        <v>2.2202999999999999</v>
      </c>
      <c r="AB209" s="54" t="e">
        <f>VLOOKUP(A209,Enforcements!$C$7:$K$9,8,0)</f>
        <v>#N/A</v>
      </c>
      <c r="AC209" s="51" t="e">
        <f>VLOOKUP(A209,Enforcements!$C$7:$E$9,3,0)</f>
        <v>#N/A</v>
      </c>
      <c r="AD209" s="179">
        <f t="shared" si="102"/>
        <v>300</v>
      </c>
      <c r="AE209" s="77" t="str">
        <f t="shared" si="103"/>
        <v>aws s3 cp s3://rtdc.mdm.uploadarchive.raw/RTDC4017/ "%USERPROFILE%\AppData\Local\Temp\OnboardLogs"\RTDC4017\2017-11-10 --exclude "*" --recursive --include "*20171110*" &amp; "%USERPROFILE%\Documents\GitHub\mrs-test-scripts\Headless Mode &amp; Sideloading\WalkAndUnGZ.bat" "%USERPROFILE%\AppData\Local\Temp\OnboardLogs"\RTDC4017\2017-11-10 &amp; aws s3 cp s3://rtdc.mdm.uploadarchive.raw/RTDC4017/ "%USERPROFILE%\AppData\Local\Temp\OnboardLogs"\RTDC4017\2017-11-11 --exclude "*" --recursive --include "*20171111*" &amp; "%USERPROFILE%\Documents\GitHub\mrs-test-scripts\Headless Mode &amp; Sideloading\WalkAndUnGZ.bat" "%USERPROFILE%\AppData\Local\Temp\OnboardLogs"\RTDC4017\2017-11-11</v>
      </c>
      <c r="AF209" s="74" t="str">
        <f t="shared" si="104"/>
        <v>"C:\Program Files (x86)\AstroGrep\AstroGrep.exe" /e /r /s /spath="%USERPROFILE%\AppData\Local\Temp\OnboardLogs" /stypes="app*4017*20171110*" /stext=" 10:.+((SYSTEM_STATE.+slice.+state.+changed )|(ment ac)|(multiple cpu faults)|(system.+state.+changed )|(\[timeout)|(PRM\|1\|D)|(kpr)|(kdp)|(train st.+moving)|(\|lc)|(penalty))"</v>
      </c>
      <c r="AG209" s="182" t="str">
        <f t="shared" si="105"/>
        <v>Other</v>
      </c>
      <c r="AH209" s="78" t="str">
        <f t="shared" si="92"/>
        <v>"%USERPROFILE%\Documents\GitHub\eaglep3\Utilities\RefineRTDCRunTimes.py" --tripid 300-10 --locoid 4017 --swversion DE.1.0.9.0 --startMP 300:22355 --initTime 2017-11-10T02:54:06 --startdatetime 2017-11-10T02:56:44 --delay 47 --endMP 204:152 --enddatetime 2017-11-10T03:03:33 --enforcementcount 1 &gt;&gt;%USERPROFILE%\Documents\GitHub\eaglep3-reporting\EC\2017-11-10-refined-times.txt</v>
      </c>
      <c r="AI209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{"issue":{"subject":"","project_id":79,"tracker_id":40,"status_id":1,"priority_id":2,"assigned_to_id":338,"start_date":"2017-11-10","description":"","custom_fields":[{"id":1,"name":"Subdivision","value":"Other"},{"id":4,"name":"Milepost","value":"0.0152"},{"id":17,"name":"Train ID","value":"300-10"},{"id":16,"name":"Locomotive ID","value":"4017"},{"id":130,"name":"Impact","value":""},{"id":150,"name":"Time of Event (Mountain Time)","value":"03:03:33"},{"id":151,"name":"Denver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94"/>
        <v>start /low /b %USERPROFILE%\Documents\GitHub\eaglep3\Utilities\DownloadLogsFromS3.py --loco 4017 --day 2017-11-10</v>
      </c>
      <c r="AN209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10:03:33"},{"id":29,"name":"Sharepoint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6"/>
        <v>https://d0f6bd738d7f1b3e5a7ca70fe4ff75f0.us-east-1.aws.found.io/app/kibana#/discover/Steve-Slow-Train-Analysis-(2080s-and-2083s)?_g=(refreshInterval:(display:Off,pause:!f,section:0,value:0),time:(from:'2017-11-10T01:54:06-0700',mode:absolute,to:'2017-11-10T04:03:33-0700'))&amp;_a=(columns:!('Message%20ID',Summary),filters:!(),index:'emp_*',interval:auto,query:(query_string:(analyze_wildcard:!t,query:'%22rtdc.l.rtdc.4017%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841</v>
      </c>
      <c r="B210" s="7">
        <v>4028</v>
      </c>
      <c r="C210" s="21" t="s">
        <v>192</v>
      </c>
      <c r="D210" s="21" t="s">
        <v>489</v>
      </c>
      <c r="E210" s="13">
        <v>43049.778009259258</v>
      </c>
      <c r="F210" s="13">
        <v>43049.779675925929</v>
      </c>
      <c r="G210" s="7">
        <v>61</v>
      </c>
      <c r="H210" s="21" t="s">
        <v>474</v>
      </c>
      <c r="I210" s="13">
        <v>43049.787453703706</v>
      </c>
      <c r="J210" s="7">
        <v>1</v>
      </c>
      <c r="K210" s="89" t="str">
        <f t="shared" si="97"/>
        <v>4027/4028</v>
      </c>
      <c r="L210" s="185" t="str">
        <f>VLOOKUP(A210,'Trips&amp;Operators'!$C$1:$G$99911,5,FALSE)</f>
        <v>LEVERE CRAIG</v>
      </c>
      <c r="M210" s="6">
        <f t="shared" si="98"/>
        <v>7.7777777769370005E-3</v>
      </c>
      <c r="N210" s="7">
        <f t="shared" si="90"/>
        <v>11.199999998789281</v>
      </c>
      <c r="O210" s="7"/>
      <c r="P210" s="7"/>
      <c r="Q210" s="22"/>
      <c r="R210" s="174"/>
      <c r="S210" s="221">
        <f t="shared" si="91"/>
        <v>1</v>
      </c>
      <c r="T210" s="174" t="str">
        <f t="shared" si="99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00"/>
        <v>https://d0f6bd738d7f1b3e5a7ca70fe4ff75f0.us-east-1.aws.found.io/app/kibana#/discover/Steve-Slow-Train-Analysis-(2080s-and-2083s)?_g=(refreshInterval:(display:Off,pause:!f,section:0,value:0),time:(from:'2017-11-10T17:40:20-0700',mode:absolute,to:'2017-11-10T19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0" s="204" t="str">
        <f>IF(AA210&lt;VLOOKUP(AG210,Variables!$AC$3:$AD$8,2,FALSE),"Y","N")</f>
        <v>Y</v>
      </c>
      <c r="X210" s="204">
        <f t="shared" si="89"/>
        <v>1</v>
      </c>
      <c r="Y210" s="204">
        <f t="shared" si="87"/>
        <v>5.3900000000000003E-2</v>
      </c>
      <c r="Z210" s="204">
        <f t="shared" si="88"/>
        <v>2.3306</v>
      </c>
      <c r="AA210" s="204">
        <f t="shared" si="101"/>
        <v>2.2766999999999999</v>
      </c>
      <c r="AB210" s="54" t="e">
        <f>VLOOKUP(A210,Enforcements!$C$7:$K$9,8,0)</f>
        <v>#N/A</v>
      </c>
      <c r="AC210" s="51" t="e">
        <f>VLOOKUP(A210,Enforcements!$C$7:$E$9,3,0)</f>
        <v>#N/A</v>
      </c>
      <c r="AD210" s="179">
        <f t="shared" si="102"/>
        <v>301</v>
      </c>
      <c r="AE210" s="77" t="str">
        <f t="shared" si="103"/>
        <v>aws s3 cp s3://rtdc.mdm.uploadarchive.raw/RTDC4028/ "%USERPROFILE%\AppData\Local\Temp\OnboardLogs"\RTDC4028\2017-11-10 --exclude "*" --recursive --include "*20171110*" &amp; "%USERPROFILE%\Documents\GitHub\mrs-test-scripts\Headless Mode &amp; Sideloading\WalkAndUnGZ.bat" "%USERPROFILE%\AppData\Local\Temp\OnboardLogs"\RTDC4028\2017-11-10 &amp; aws s3 cp s3://rtdc.mdm.uploadarchive.raw/RTDC4028/ "%USERPROFILE%\AppData\Local\Temp\OnboardLogs"\RTDC4028\2017-11-11 --exclude "*" --recursive --include "*20171111*" &amp; "%USERPROFILE%\Documents\GitHub\mrs-test-scripts\Headless Mode &amp; Sideloading\WalkAndUnGZ.bat" "%USERPROFILE%\AppData\Local\Temp\OnboardLogs"\RTDC4028\2017-11-11</v>
      </c>
      <c r="AF210" s="74" t="str">
        <f t="shared" si="104"/>
        <v>"C:\Program Files (x86)\AstroGrep\AstroGrep.exe" /e /r /s /spath="%USERPROFILE%\AppData\Local\Temp\OnboardLogs" /stypes="app*4028*20171111*" /stext=" 01:.+((SYSTEM_STATE.+slice.+state.+changed )|(ment ac)|(multiple cpu faults)|(system.+state.+changed )|(\[timeout)|(PRM\|1\|D)|(kpr)|(kdp)|(train st.+moving)|(\|lc)|(penalty))"</v>
      </c>
      <c r="AG210" s="182" t="str">
        <f t="shared" si="105"/>
        <v>Other</v>
      </c>
      <c r="AH210" s="78" t="str">
        <f t="shared" si="92"/>
        <v>"%USERPROFILE%\Documents\GitHub\eaglep3\Utilities\RefineRTDCRunTimes.py" --tripid 301-10 --locoid 4028 --swversion DE.1.0.9.0 --startMP 204:539 --initTime 2017-11-10T18:40:20 --startdatetime 2017-11-10T18:42:44 --delay 61 --endMP 300:23306 --enddatetime 2017-11-10T18:53:56 --enforcementcount 1 &gt;&gt;%USERPROFILE%\Documents\GitHub\eaglep3-reporting\EC\2017-11-10-refined-times.txt</v>
      </c>
      <c r="AI210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{"issue":{"subject":"","project_id":79,"tracker_id":40,"status_id":1,"priority_id":2,"assigned_to_id":338,"start_date":"2017-11-10","description":"","custom_fields":[{"id":1,"name":"Subdivision","value":"Other"},{"id":4,"name":"Milepost","value":"2.3306"},{"id":17,"name":"Train ID","value":"301-10"},{"id":16,"name":"Locomotive ID","value":"4028"},{"id":130,"name":"Impact","value":""},{"id":150,"name":"Time of Event (Mountain Time)","value":"18:53:56"},{"id":151,"name":"Denver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94"/>
        <v>start /low /b %USERPROFILE%\Documents\GitHub\eaglep3\Utilities\DownloadLogsFromS3.py --loco 4028 --day 2017-11-10</v>
      </c>
      <c r="AN210" s="151" t="str">
        <f t="shared" si="9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01:53:56"},{"id":29,"name":"Sharepoint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96"/>
        <v>https://d0f6bd738d7f1b3e5a7ca70fe4ff75f0.us-east-1.aws.found.io/app/kibana#/discover/Steve-Slow-Train-Analysis-(2080s-and-2083s)?_g=(refreshInterval:(display:Off,pause:!f,section:0,value:0),time:(from:'2017-11-10T17:40:20-0700',mode:absolute,to:'2017-11-10T19:53:56-0700'))&amp;_a=(columns:!('Message%20ID',Summary),filters:!(),index:'emp_*',interval:auto,query:(query_string:(analyze_wildcard:!t,query:'%22rtdc.l.rtdc.4028%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643</v>
      </c>
      <c r="B211" s="7">
        <v>4051</v>
      </c>
      <c r="C211" s="21" t="s">
        <v>192</v>
      </c>
      <c r="D211" s="21" t="s">
        <v>999</v>
      </c>
      <c r="E211" s="13">
        <v>43049.139837962961</v>
      </c>
      <c r="F211" s="13">
        <v>43049.144861111112</v>
      </c>
      <c r="G211" s="7">
        <v>63</v>
      </c>
      <c r="H211" s="21" t="s">
        <v>475</v>
      </c>
      <c r="I211" s="13">
        <v>43049.150625000002</v>
      </c>
      <c r="J211" s="7">
        <v>1</v>
      </c>
      <c r="K211" s="89" t="str">
        <f t="shared" si="97"/>
        <v>4051/4052</v>
      </c>
      <c r="L211" s="185" t="str">
        <f>VLOOKUP(A211,'Trips&amp;Operators'!$C$1:$G$99911,5,FALSE)</f>
        <v>MAELZER KURT</v>
      </c>
      <c r="M211" s="6">
        <f t="shared" si="98"/>
        <v>5.7638888902147301E-3</v>
      </c>
      <c r="N211" s="7">
        <f t="shared" si="90"/>
        <v>8.3000000019092113</v>
      </c>
      <c r="O211" s="7"/>
      <c r="P211" s="7"/>
      <c r="Q211" s="22"/>
      <c r="R211" s="174"/>
      <c r="S211" s="221">
        <f t="shared" si="91"/>
        <v>1</v>
      </c>
      <c r="T211" s="174" t="str">
        <f t="shared" si="99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00"/>
        <v>https://d0f6bd738d7f1b3e5a7ca70fe4ff75f0.us-east-1.aws.found.io/app/kibana#/discover/Steve-Slow-Train-Analysis-(2080s-and-2083s)?_g=(refreshInterval:(display:Off,pause:!f,section:0,value:0),time:(from:'2017-11-10T02:21:22-0700',mode:absolute,to:'2017-11-10T04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1" s="204" t="str">
        <f>IF(AA211&lt;VLOOKUP(AG211,Variables!$AC$3:$AD$8,2,FALSE),"Y","N")</f>
        <v>Y</v>
      </c>
      <c r="X211" s="204">
        <f t="shared" si="89"/>
        <v>1</v>
      </c>
      <c r="Y211" s="204">
        <f t="shared" si="87"/>
        <v>1.9227000000000001</v>
      </c>
      <c r="Z211" s="204">
        <f t="shared" si="88"/>
        <v>1.5800000000000002E-2</v>
      </c>
      <c r="AA211" s="204">
        <f t="shared" si="101"/>
        <v>1.9069</v>
      </c>
      <c r="AB211" s="54" t="e">
        <f>VLOOKUP(A211,Enforcements!$C$7:$K$9,8,0)</f>
        <v>#N/A</v>
      </c>
      <c r="AC211" s="51" t="e">
        <f>VLOOKUP(A211,Enforcements!$C$7:$E$9,3,0)</f>
        <v>#N/A</v>
      </c>
      <c r="AD211" s="179">
        <f t="shared" si="102"/>
        <v>302</v>
      </c>
      <c r="AE211" s="77" t="str">
        <f t="shared" si="103"/>
        <v>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 &amp; 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</v>
      </c>
      <c r="AF211" s="74" t="str">
        <f t="shared" si="104"/>
        <v>"C:\Program Files (x86)\AstroGrep\AstroGrep.exe" /e /r /s /spath="%USERPROFILE%\AppData\Local\Temp\OnboardLogs" /stypes="app*4051*20171110*" /stext=" 10:.+((SYSTEM_STATE.+slice.+state.+changed )|(ment ac)|(multiple cpu faults)|(system.+state.+changed )|(\[timeout)|(PRM\|1\|D)|(kpr)|(kdp)|(train st.+moving)|(\|lc)|(penalty))"</v>
      </c>
      <c r="AG211" s="182" t="str">
        <f t="shared" si="105"/>
        <v>Other</v>
      </c>
      <c r="AH211" s="78" t="str">
        <f t="shared" si="92"/>
        <v>"%USERPROFILE%\Documents\GitHub\eaglep3\Utilities\RefineRTDCRunTimes.py" --tripid 302-10 --locoid 4051 --swversion DE.1.0.9.0 --startMP 300:19227 --initTime 2017-11-10T03:21:22 --startdatetime 2017-11-10T03:28:36 --delay 63 --endMP 204:158 --enddatetime 2017-11-10T03:36:54 --enforcementcount 1 &gt;&gt;%USERPROFILE%\Documents\GitHub\eaglep3-reporting\EC\2017-11-10-refined-times.txt</v>
      </c>
      <c r="AI211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{"issue":{"subject":"","project_id":79,"tracker_id":40,"status_id":1,"priority_id":2,"assigned_to_id":338,"start_date":"2017-11-10","description":"","custom_fields":[{"id":1,"name":"Subdivision","value":"Other"},{"id":4,"name":"Milepost","value":"0.0158"},{"id":17,"name":"Train ID","value":"302-10"},{"id":16,"name":"Locomotive ID","value":"4051"},{"id":130,"name":"Impact","value":""},{"id":150,"name":"Time of Event (Mountain Time)","value":"03:36:54"},{"id":151,"name":"Denver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94"/>
        <v>start /low /b %USERPROFILE%\Documents\GitHub\eaglep3\Utilities\DownloadLogsFromS3.py --loco 4051 --day 2017-11-10</v>
      </c>
      <c r="AN211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10:36:54"},{"id":29,"name":"Sharepoint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96"/>
        <v>https://d0f6bd738d7f1b3e5a7ca70fe4ff75f0.us-east-1.aws.found.io/app/kibana#/discover/Steve-Slow-Train-Analysis-(2080s-and-2083s)?_g=(refreshInterval:(display:Off,pause:!f,section:0,value:0),time:(from:'2017-11-10T02:21:22-0700',mode:absolute,to:'2017-11-10T04:36:54-0700'))&amp;_a=(columns:!('Message%20ID',Summary),filters:!(),index:'emp_*',interval:auto,query:(query_string:(analyze_wildcard:!t,query:'%22rtdc.l.rtdc.4051%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848</v>
      </c>
      <c r="B212" s="7">
        <v>4012</v>
      </c>
      <c r="C212" s="21" t="s">
        <v>192</v>
      </c>
      <c r="D212" s="21" t="s">
        <v>1000</v>
      </c>
      <c r="E212" s="13">
        <v>43049.796736111108</v>
      </c>
      <c r="F212" s="13">
        <v>43049.797962962963</v>
      </c>
      <c r="G212" s="7">
        <v>64</v>
      </c>
      <c r="H212" s="21" t="s">
        <v>565</v>
      </c>
      <c r="I212" s="13">
        <v>43049.803888888891</v>
      </c>
      <c r="J212" s="7">
        <v>1</v>
      </c>
      <c r="K212" s="89" t="str">
        <f t="shared" si="97"/>
        <v>4011/4012</v>
      </c>
      <c r="L212" s="185" t="str">
        <f>VLOOKUP(A212,'Trips&amp;Operators'!$C$1:$G$99911,5,FALSE)</f>
        <v>LEVIN SCOTT</v>
      </c>
      <c r="M212" s="6">
        <f t="shared" si="98"/>
        <v>5.9259259287500754E-3</v>
      </c>
      <c r="N212" s="7">
        <f t="shared" si="90"/>
        <v>8.5333333374001086</v>
      </c>
      <c r="O212" s="7"/>
      <c r="P212" s="7"/>
      <c r="Q212" s="22"/>
      <c r="R212" s="174"/>
      <c r="S212" s="221">
        <f t="shared" si="91"/>
        <v>1</v>
      </c>
      <c r="T212" s="174" t="str">
        <f t="shared" si="99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00"/>
        <v>https://d0f6bd738d7f1b3e5a7ca70fe4ff75f0.us-east-1.aws.found.io/app/kibana#/discover/Steve-Slow-Train-Analysis-(2080s-and-2083s)?_g=(refreshInterval:(display:Off,pause:!f,section:0,value:0),time:(from:'2017-11-10T18:07:18-0700',mode:absolute,to:'2017-11-10T20:17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2" s="204" t="str">
        <f>IF(AA212&lt;VLOOKUP(AG212,Variables!$AC$3:$AD$8,2,FALSE),"Y","N")</f>
        <v>Y</v>
      </c>
      <c r="X212" s="204">
        <f t="shared" si="89"/>
        <v>1</v>
      </c>
      <c r="Y212" s="204">
        <f t="shared" si="87"/>
        <v>4.9799999999999997E-2</v>
      </c>
      <c r="Z212" s="204">
        <f t="shared" si="88"/>
        <v>2.3346</v>
      </c>
      <c r="AA212" s="204">
        <f t="shared" si="101"/>
        <v>2.2848000000000002</v>
      </c>
      <c r="AB212" s="54" t="e">
        <f>VLOOKUP(A212,Enforcements!$C$7:$K$9,8,0)</f>
        <v>#N/A</v>
      </c>
      <c r="AC212" s="51" t="e">
        <f>VLOOKUP(A212,Enforcements!$C$7:$E$9,3,0)</f>
        <v>#N/A</v>
      </c>
      <c r="AD212" s="179">
        <f t="shared" si="102"/>
        <v>303</v>
      </c>
      <c r="AE212" s="77" t="str">
        <f t="shared" si="103"/>
        <v>aws s3 cp s3://rtdc.mdm.uploadarchive.raw/RTDC4012/ "%USERPROFILE%\AppData\Local\Temp\OnboardLogs"\RTDC4012\2017-11-10 --exclude "*" --recursive --include "*20171110*" &amp; "%USERPROFILE%\Documents\GitHub\mrs-test-scripts\Headless Mode &amp; Sideloading\WalkAndUnGZ.bat" "%USERPROFILE%\AppData\Local\Temp\OnboardLogs"\RTDC4012\2017-11-10 &amp; aws s3 cp s3://rtdc.mdm.uploadarchive.raw/RTDC4012/ "%USERPROFILE%\AppData\Local\Temp\OnboardLogs"\RTDC4012\2017-11-11 --exclude "*" --recursive --include "*20171111*" &amp; "%USERPROFILE%\Documents\GitHub\mrs-test-scripts\Headless Mode &amp; Sideloading\WalkAndUnGZ.bat" "%USERPROFILE%\AppData\Local\Temp\OnboardLogs"\RTDC4012\2017-11-11</v>
      </c>
      <c r="AF212" s="74" t="str">
        <f t="shared" si="104"/>
        <v>"C:\Program Files (x86)\AstroGrep\AstroGrep.exe" /e /r /s /spath="%USERPROFILE%\AppData\Local\Temp\OnboardLogs" /stypes="app*4012*20171111*" /stext=" 02:.+((SYSTEM_STATE.+slice.+state.+changed )|(ment ac)|(multiple cpu faults)|(system.+state.+changed )|(\[timeout)|(PRM\|1\|D)|(kpr)|(kdp)|(train st.+moving)|(\|lc)|(penalty))"</v>
      </c>
      <c r="AG212" s="182" t="str">
        <f t="shared" si="105"/>
        <v>Other</v>
      </c>
      <c r="AH212" s="78" t="str">
        <f t="shared" si="92"/>
        <v>"%USERPROFILE%\Documents\GitHub\eaglep3\Utilities\RefineRTDCRunTimes.py" --tripid 303-10 --locoid 4012 --swversion DE.1.0.9.0 --startMP 204:498 --initTime 2017-11-10T19:07:18 --startdatetime 2017-11-10T19:09:04 --delay 64 --endMP 300:23346 --enddatetime 2017-11-10T19:17:36 --enforcementcount 1 &gt;&gt;%USERPROFILE%\Documents\GitHub\eaglep3-reporting\EC\2017-11-10-refined-times.txt</v>
      </c>
      <c r="AI212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{"issue":{"subject":"","project_id":79,"tracker_id":40,"status_id":1,"priority_id":2,"assigned_to_id":338,"start_date":"2017-11-10","description":"","custom_fields":[{"id":1,"name":"Subdivision","value":"Other"},{"id":4,"name":"Milepost","value":"2.3346"},{"id":17,"name":"Train ID","value":"303-10"},{"id":16,"name":"Locomotive ID","value":"4012"},{"id":130,"name":"Impact","value":""},{"id":150,"name":"Time of Event (Mountain Time)","value":"19:17:36"},{"id":151,"name":"Denver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94"/>
        <v>start /low /b %USERPROFILE%\Documents\GitHub\eaglep3\Utilities\DownloadLogsFromS3.py --loco 4012 --day 2017-11-10</v>
      </c>
      <c r="AN212" s="151" t="str">
        <f t="shared" si="9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02:17:36"},{"id":29,"name":"Sharepoint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96"/>
        <v>https://d0f6bd738d7f1b3e5a7ca70fe4ff75f0.us-east-1.aws.found.io/app/kibana#/discover/Steve-Slow-Train-Analysis-(2080s-and-2083s)?_g=(refreshInterval:(display:Off,pause:!f,section:0,value:0),time:(from:'2017-11-10T18:07:18-0700',mode:absolute,to:'2017-11-10T20:17:36-0700'))&amp;_a=(columns:!('Message%20ID',Summary),filters:!(),index:'emp_*',interval:auto,query:(query_string:(analyze_wildcard:!t,query:'%22rtdc.l.rtdc.4012%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662</v>
      </c>
      <c r="B213" s="7">
        <v>4059</v>
      </c>
      <c r="C213" s="21" t="s">
        <v>192</v>
      </c>
      <c r="D213" s="21" t="s">
        <v>1001</v>
      </c>
      <c r="E213" s="13">
        <v>43049.161712962959</v>
      </c>
      <c r="F213" s="13">
        <v>43049.164918981478</v>
      </c>
      <c r="G213" s="7">
        <v>63</v>
      </c>
      <c r="H213" s="21" t="s">
        <v>446</v>
      </c>
      <c r="I213" s="13">
        <v>43049.170046296298</v>
      </c>
      <c r="J213" s="7">
        <v>1</v>
      </c>
      <c r="K213" s="89" t="str">
        <f t="shared" si="97"/>
        <v>4059/4060</v>
      </c>
      <c r="L213" s="185" t="str">
        <f>VLOOKUP(A213,'Trips&amp;Operators'!$C$1:$G$99911,5,FALSE)</f>
        <v>BONDS REYNALDO</v>
      </c>
      <c r="M213" s="6">
        <f t="shared" si="98"/>
        <v>5.1273148201289587E-3</v>
      </c>
      <c r="N213" s="7">
        <f t="shared" si="90"/>
        <v>7.3833333409857005</v>
      </c>
      <c r="O213" s="7"/>
      <c r="P213" s="7"/>
      <c r="Q213" s="22"/>
      <c r="R213" s="174"/>
      <c r="S213" s="221">
        <f t="shared" si="91"/>
        <v>1</v>
      </c>
      <c r="T213" s="174" t="str">
        <f t="shared" si="99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00"/>
        <v>https://d0f6bd738d7f1b3e5a7ca70fe4ff75f0.us-east-1.aws.found.io/app/kibana#/discover/Steve-Slow-Train-Analysis-(2080s-and-2083s)?_g=(refreshInterval:(display:Off,pause:!f,section:0,value:0),time:(from:'2017-11-10T02:52:52-0700',mode:absolute,to:'2017-11-10T05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3" s="204" t="str">
        <f>IF(AA213&lt;VLOOKUP(AG213,Variables!$AC$3:$AD$8,2,FALSE),"Y","N")</f>
        <v>Y</v>
      </c>
      <c r="X213" s="204">
        <f t="shared" si="89"/>
        <v>1</v>
      </c>
      <c r="Y213" s="204">
        <f t="shared" si="87"/>
        <v>2.2732000000000001</v>
      </c>
      <c r="Z213" s="204">
        <f t="shared" si="88"/>
        <v>2.2100000000000002E-2</v>
      </c>
      <c r="AA213" s="204">
        <f t="shared" si="101"/>
        <v>2.2511000000000001</v>
      </c>
      <c r="AB213" s="54" t="e">
        <f>VLOOKUP(A213,Enforcements!$C$7:$K$9,8,0)</f>
        <v>#N/A</v>
      </c>
      <c r="AC213" s="51" t="e">
        <f>VLOOKUP(A213,Enforcements!$C$7:$E$9,3,0)</f>
        <v>#N/A</v>
      </c>
      <c r="AD213" s="179">
        <f t="shared" si="102"/>
        <v>304</v>
      </c>
      <c r="AE213" s="77" t="str">
        <f t="shared" si="103"/>
        <v>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 &amp; 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</v>
      </c>
      <c r="AF213" s="74" t="str">
        <f t="shared" si="104"/>
        <v>"C:\Program Files (x86)\AstroGrep\AstroGrep.exe" /e /r /s /spath="%USERPROFILE%\AppData\Local\Temp\OnboardLogs" /stypes="app*4059*20171110*" /stext=" 11:.+((SYSTEM_STATE.+slice.+state.+changed )|(ment ac)|(multiple cpu faults)|(system.+state.+changed )|(\[timeout)|(PRM\|1\|D)|(kpr)|(kdp)|(train st.+moving)|(\|lc)|(penalty))"</v>
      </c>
      <c r="AG213" s="182" t="str">
        <f t="shared" si="105"/>
        <v>Other</v>
      </c>
      <c r="AH213" s="78" t="str">
        <f t="shared" si="92"/>
        <v>"%USERPROFILE%\Documents\GitHub\eaglep3\Utilities\RefineRTDCRunTimes.py" --tripid 304-10 --locoid 4059 --swversion DE.1.0.9.0 --startMP 300:22732 --initTime 2017-11-10T03:52:52 --startdatetime 2017-11-10T03:57:29 --delay 63 --endMP 204:221 --enddatetime 2017-11-10T04:04:52 --enforcementcount 1 &gt;&gt;%USERPROFILE%\Documents\GitHub\eaglep3-reporting\EC\2017-11-10-refined-times.txt</v>
      </c>
      <c r="AI213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{"issue":{"subject":"","project_id":79,"tracker_id":40,"status_id":1,"priority_id":2,"assigned_to_id":338,"start_date":"2017-11-10","description":"","custom_fields":[{"id":1,"name":"Subdivision","value":"Other"},{"id":4,"name":"Milepost","value":"0.0221"},{"id":17,"name":"Train ID","value":"304-10"},{"id":16,"name":"Locomotive ID","value":"4059"},{"id":130,"name":"Impact","value":""},{"id":150,"name":"Time of Event (Mountain Time)","value":"04:04:52"},{"id":151,"name":"Denver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94"/>
        <v>start /low /b %USERPROFILE%\Documents\GitHub\eaglep3\Utilities\DownloadLogsFromS3.py --loco 4059 --day 2017-11-10</v>
      </c>
      <c r="AN213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11:04:52"},{"id":29,"name":"Sharepoint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96"/>
        <v>https://d0f6bd738d7f1b3e5a7ca70fe4ff75f0.us-east-1.aws.found.io/app/kibana#/discover/Steve-Slow-Train-Analysis-(2080s-and-2083s)?_g=(refreshInterval:(display:Off,pause:!f,section:0,value:0),time:(from:'2017-11-10T02:52:52-0700',mode:absolute,to:'2017-11-10T05:04:52-0700'))&amp;_a=(columns:!('Message%20ID',Summary),filters:!(),index:'emp_*',interval:auto,query:(query_string:(analyze_wildcard:!t,query:'%22rtdc.l.rtdc.4059%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851</v>
      </c>
      <c r="B214" s="7">
        <v>4042</v>
      </c>
      <c r="C214" s="21" t="s">
        <v>192</v>
      </c>
      <c r="D214" s="21" t="s">
        <v>1002</v>
      </c>
      <c r="E214" s="13">
        <v>43049.816388888888</v>
      </c>
      <c r="F214" s="13">
        <v>43049.81858796296</v>
      </c>
      <c r="G214" s="7">
        <v>123</v>
      </c>
      <c r="H214" s="21" t="s">
        <v>563</v>
      </c>
      <c r="I214" s="13">
        <v>43049.823587962965</v>
      </c>
      <c r="J214" s="7">
        <v>1</v>
      </c>
      <c r="K214" s="89" t="str">
        <f t="shared" si="97"/>
        <v>4041/4042</v>
      </c>
      <c r="L214" s="185" t="str">
        <f>VLOOKUP(A214,'Trips&amp;Operators'!$C$1:$G$99911,5,FALSE)</f>
        <v>HOLCOMB KAMDEN</v>
      </c>
      <c r="M214" s="6">
        <f t="shared" si="98"/>
        <v>5.0000000046566129E-3</v>
      </c>
      <c r="N214" s="7">
        <f t="shared" si="90"/>
        <v>7.2000000067055225</v>
      </c>
      <c r="O214" s="7"/>
      <c r="P214" s="7"/>
      <c r="Q214" s="22"/>
      <c r="R214" s="174"/>
      <c r="S214" s="221">
        <f t="shared" si="91"/>
        <v>1</v>
      </c>
      <c r="T214" s="174" t="str">
        <f t="shared" si="99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00"/>
        <v>https://d0f6bd738d7f1b3e5a7ca70fe4ff75f0.us-east-1.aws.found.io/app/kibana#/discover/Steve-Slow-Train-Analysis-(2080s-and-2083s)?_g=(refreshInterval:(display:Off,pause:!f,section:0,value:0),time:(from:'2017-11-10T18:35:36-0700',mode:absolute,to:'2017-11-10T20:45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4" s="204" t="str">
        <f>IF(AA214&lt;VLOOKUP(AG214,Variables!$AC$3:$AD$8,2,FALSE),"Y","N")</f>
        <v>Y</v>
      </c>
      <c r="X214" s="204">
        <f t="shared" si="89"/>
        <v>1</v>
      </c>
      <c r="Y214" s="204">
        <f t="shared" si="87"/>
        <v>5.2200000000000003E-2</v>
      </c>
      <c r="Z214" s="204">
        <f t="shared" si="88"/>
        <v>2.3308</v>
      </c>
      <c r="AA214" s="204">
        <f t="shared" si="101"/>
        <v>2.2786</v>
      </c>
      <c r="AB214" s="54" t="e">
        <f>VLOOKUP(A214,Enforcements!$C$7:$K$9,8,0)</f>
        <v>#N/A</v>
      </c>
      <c r="AC214" s="51" t="e">
        <f>VLOOKUP(A214,Enforcements!$C$7:$E$9,3,0)</f>
        <v>#N/A</v>
      </c>
      <c r="AD214" s="179">
        <f t="shared" si="102"/>
        <v>305</v>
      </c>
      <c r="AE214" s="77" t="str">
        <f t="shared" si="103"/>
        <v>aws s3 cp s3://rtdc.mdm.uploadarchive.raw/RTDC4042/ "%USERPROFILE%\AppData\Local\Temp\OnboardLogs"\RTDC4042\2017-11-10 --exclude "*" --recursive --include "*20171110*" &amp; "%USERPROFILE%\Documents\GitHub\mrs-test-scripts\Headless Mode &amp; Sideloading\WalkAndUnGZ.bat" "%USERPROFILE%\AppData\Local\Temp\OnboardLogs"\RTDC4042\2017-11-10 &amp; aws s3 cp s3://rtdc.mdm.uploadarchive.raw/RTDC4042/ "%USERPROFILE%\AppData\Local\Temp\OnboardLogs"\RTDC4042\2017-11-11 --exclude "*" --recursive --include "*20171111*" &amp; "%USERPROFILE%\Documents\GitHub\mrs-test-scripts\Headless Mode &amp; Sideloading\WalkAndUnGZ.bat" "%USERPROFILE%\AppData\Local\Temp\OnboardLogs"\RTDC4042\2017-11-11</v>
      </c>
      <c r="AF214" s="74" t="str">
        <f t="shared" si="104"/>
        <v>"C:\Program Files (x86)\AstroGrep\AstroGrep.exe" /e /r /s /spath="%USERPROFILE%\AppData\Local\Temp\OnboardLogs" /stypes="app*4042*20171111*" /stext=" 02:.+((SYSTEM_STATE.+slice.+state.+changed )|(ment ac)|(multiple cpu faults)|(system.+state.+changed )|(\[timeout)|(PRM\|1\|D)|(kpr)|(kdp)|(train st.+moving)|(\|lc)|(penalty))"</v>
      </c>
      <c r="AG214" s="182" t="str">
        <f t="shared" si="105"/>
        <v>Other</v>
      </c>
      <c r="AH214" s="78" t="str">
        <f t="shared" si="92"/>
        <v>"%USERPROFILE%\Documents\GitHub\eaglep3\Utilities\RefineRTDCRunTimes.py" --tripid 305-10 --locoid 4042 --swversion DE.1.0.9.0 --startMP 204:522 --initTime 2017-11-10T19:35:36 --startdatetime 2017-11-10T19:38:46 --delay 123 --endMP 300:23308 --enddatetime 2017-11-10T19:45:58 --enforcementcount 1 &gt;&gt;%USERPROFILE%\Documents\GitHub\eaglep3-reporting\EC\2017-11-10-refined-times.txt</v>
      </c>
      <c r="AI214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{"issue":{"subject":"","project_id":79,"tracker_id":40,"status_id":1,"priority_id":2,"assigned_to_id":338,"start_date":"2017-11-10","description":"","custom_fields":[{"id":1,"name":"Subdivision","value":"Other"},{"id":4,"name":"Milepost","value":"2.3308"},{"id":17,"name":"Train ID","value":"305-10"},{"id":16,"name":"Locomotive ID","value":"4042"},{"id":130,"name":"Impact","value":""},{"id":150,"name":"Time of Event (Mountain Time)","value":"19:45:58"},{"id":151,"name":"Denver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94"/>
        <v>start /low /b %USERPROFILE%\Documents\GitHub\eaglep3\Utilities\DownloadLogsFromS3.py --loco 4042 --day 2017-11-10</v>
      </c>
      <c r="AN214" s="151" t="str">
        <f t="shared" si="9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02:45:58"},{"id":29,"name":"Sharepoint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96"/>
        <v>https://d0f6bd738d7f1b3e5a7ca70fe4ff75f0.us-east-1.aws.found.io/app/kibana#/discover/Steve-Slow-Train-Analysis-(2080s-and-2083s)?_g=(refreshInterval:(display:Off,pause:!f,section:0,value:0),time:(from:'2017-11-10T18:35:36-0700',mode:absolute,to:'2017-11-10T20:45:58-0700'))&amp;_a=(columns:!('Message%20ID',Summary),filters:!(),index:'emp_*',interval:auto,query:(query_string:(analyze_wildcard:!t,query:'%22rtdc.l.rtdc.4042%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665</v>
      </c>
      <c r="B215" s="7">
        <v>4015</v>
      </c>
      <c r="C215" s="21" t="s">
        <v>192</v>
      </c>
      <c r="D215" s="21" t="s">
        <v>1003</v>
      </c>
      <c r="E215" s="13">
        <v>43049.173310185186</v>
      </c>
      <c r="F215" s="13">
        <v>43049.17690972222</v>
      </c>
      <c r="G215" s="7">
        <v>65</v>
      </c>
      <c r="H215" s="21" t="s">
        <v>540</v>
      </c>
      <c r="I215" s="13">
        <v>43049.181956018518</v>
      </c>
      <c r="J215" s="7">
        <v>1</v>
      </c>
      <c r="K215" s="89" t="str">
        <f t="shared" si="97"/>
        <v>4015/4016</v>
      </c>
      <c r="L215" s="185" t="str">
        <f>VLOOKUP(A215,'Trips&amp;Operators'!$C$1:$G$99911,5,FALSE)</f>
        <v>GEBRETEKLE DAGNEW</v>
      </c>
      <c r="M215" s="6">
        <f t="shared" si="98"/>
        <v>5.0462962972233072E-3</v>
      </c>
      <c r="N215" s="7">
        <f t="shared" si="90"/>
        <v>7.2666666680015624</v>
      </c>
      <c r="O215" s="7"/>
      <c r="P215" s="7"/>
      <c r="Q215" s="22"/>
      <c r="R215" s="174"/>
      <c r="S215" s="221">
        <f t="shared" si="91"/>
        <v>1</v>
      </c>
      <c r="T215" s="174" t="str">
        <f t="shared" si="99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00"/>
        <v>https://d0f6bd738d7f1b3e5a7ca70fe4ff75f0.us-east-1.aws.found.io/app/kibana#/discover/Steve-Slow-Train-Analysis-(2080s-and-2083s)?_g=(refreshInterval:(display:Off,pause:!f,section:0,value:0),time:(from:'2017-11-10T03:09:34-0700',mode:absolute,to:'2017-11-10T05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5" s="204" t="str">
        <f>IF(AA215&lt;VLOOKUP(AG215,Variables!$AC$3:$AD$8,2,FALSE),"Y","N")</f>
        <v>Y</v>
      </c>
      <c r="X215" s="204">
        <f t="shared" si="89"/>
        <v>1</v>
      </c>
      <c r="Y215" s="204">
        <f t="shared" si="87"/>
        <v>2.3491</v>
      </c>
      <c r="Z215" s="204">
        <f t="shared" si="88"/>
        <v>2.01E-2</v>
      </c>
      <c r="AA215" s="204">
        <f t="shared" si="101"/>
        <v>2.3290000000000002</v>
      </c>
      <c r="AB215" s="54" t="e">
        <f>VLOOKUP(A215,Enforcements!$C$7:$K$9,8,0)</f>
        <v>#N/A</v>
      </c>
      <c r="AC215" s="51" t="e">
        <f>VLOOKUP(A215,Enforcements!$C$7:$E$9,3,0)</f>
        <v>#N/A</v>
      </c>
      <c r="AD215" s="179">
        <f t="shared" si="102"/>
        <v>306</v>
      </c>
      <c r="AE215" s="77" t="str">
        <f t="shared" si="103"/>
        <v>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 &amp; 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</v>
      </c>
      <c r="AF215" s="74" t="str">
        <f t="shared" si="104"/>
        <v>"C:\Program Files (x86)\AstroGrep\AstroGrep.exe" /e /r /s /spath="%USERPROFILE%\AppData\Local\Temp\OnboardLogs" /stypes="app*4015*20171110*" /stext=" 11:.+((SYSTEM_STATE.+slice.+state.+changed )|(ment ac)|(multiple cpu faults)|(system.+state.+changed )|(\[timeout)|(PRM\|1\|D)|(kpr)|(kdp)|(train st.+moving)|(\|lc)|(penalty))"</v>
      </c>
      <c r="AG215" s="182" t="str">
        <f t="shared" si="105"/>
        <v>Other</v>
      </c>
      <c r="AH215" s="78" t="str">
        <f t="shared" si="92"/>
        <v>"%USERPROFILE%\Documents\GitHub\eaglep3\Utilities\RefineRTDCRunTimes.py" --tripid 306-10 --locoid 4015 --swversion DE.1.0.9.0 --startMP 300:23491 --initTime 2017-11-10T04:09:34 --startdatetime 2017-11-10T04:14:45 --delay 65 --endMP 204:201 --enddatetime 2017-11-10T04:22:01 --enforcementcount 1 &gt;&gt;%USERPROFILE%\Documents\GitHub\eaglep3-reporting\EC\2017-11-10-refined-times.txt</v>
      </c>
      <c r="AI215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{"issue":{"subject":"","project_id":79,"tracker_id":40,"status_id":1,"priority_id":2,"assigned_to_id":338,"start_date":"2017-11-10","description":"","custom_fields":[{"id":1,"name":"Subdivision","value":"Other"},{"id":4,"name":"Milepost","value":"0.0201"},{"id":17,"name":"Train ID","value":"306-10"},{"id":16,"name":"Locomotive ID","value":"4015"},{"id":130,"name":"Impact","value":""},{"id":150,"name":"Time of Event (Mountain Time)","value":"04:22:01"},{"id":151,"name":"Denver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94"/>
        <v>start /low /b %USERPROFILE%\Documents\GitHub\eaglep3\Utilities\DownloadLogsFromS3.py --loco 4015 --day 2017-11-10</v>
      </c>
      <c r="AN215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11:22:01"},{"id":29,"name":"Sharepoint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96"/>
        <v>https://d0f6bd738d7f1b3e5a7ca70fe4ff75f0.us-east-1.aws.found.io/app/kibana#/discover/Steve-Slow-Train-Analysis-(2080s-and-2083s)?_g=(refreshInterval:(display:Off,pause:!f,section:0,value:0),time:(from:'2017-11-10T03:09:34-0700',mode:absolute,to:'2017-11-10T05:22:01-0700'))&amp;_a=(columns:!('Message%20ID',Summary),filters:!(),index:'emp_*',interval:auto,query:(query_string:(analyze_wildcard:!t,query:'%22rtdc.l.rtdc.4015%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880</v>
      </c>
      <c r="B216" s="7">
        <v>4052</v>
      </c>
      <c r="C216" s="21" t="s">
        <v>192</v>
      </c>
      <c r="D216" s="21" t="s">
        <v>1004</v>
      </c>
      <c r="E216" s="13">
        <v>43050.044490740744</v>
      </c>
      <c r="F216" s="13">
        <v>43050.047025462962</v>
      </c>
      <c r="G216" s="7">
        <v>57</v>
      </c>
      <c r="H216" s="21" t="s">
        <v>565</v>
      </c>
      <c r="I216" s="13">
        <v>43050.120671296296</v>
      </c>
      <c r="J216" s="7">
        <v>1</v>
      </c>
      <c r="K216" s="89" t="str">
        <f t="shared" si="97"/>
        <v>4051/4052</v>
      </c>
      <c r="L216" s="185" t="str">
        <f>VLOOKUP(A216,'Trips&amp;Operators'!$C$1:$G$99911,5,FALSE)</f>
        <v>MCREYNOLDS KYLE</v>
      </c>
      <c r="M216" s="6">
        <f t="shared" si="98"/>
        <v>7.3645833334012423E-2</v>
      </c>
      <c r="N216" s="7">
        <f t="shared" si="90"/>
        <v>106.05000000097789</v>
      </c>
      <c r="O216" s="7"/>
      <c r="P216" s="7"/>
      <c r="Q216" s="22"/>
      <c r="R216" s="174"/>
      <c r="S216" s="221">
        <f t="shared" si="91"/>
        <v>1</v>
      </c>
      <c r="T216" s="174" t="str">
        <f t="shared" si="99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00"/>
        <v>https://d0f6bd738d7f1b3e5a7ca70fe4ff75f0.us-east-1.aws.found.io/app/kibana#/discover/Steve-Slow-Train-Analysis-(2080s-and-2083s)?_g=(refreshInterval:(display:Off,pause:!f,section:0,value:0),time:(from:'2017-11-11T00:04:04-0700',mode:absolute,to:'2017-11-11T03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6" s="204" t="str">
        <f>IF(AA216&lt;VLOOKUP(AG216,Variables!$AC$3:$AD$8,2,FALSE),"Y","N")</f>
        <v>Y</v>
      </c>
      <c r="X216" s="204">
        <f t="shared" si="89"/>
        <v>1</v>
      </c>
      <c r="Y216" s="204">
        <f t="shared" si="87"/>
        <v>5.7099999999999998E-2</v>
      </c>
      <c r="Z216" s="204">
        <f t="shared" si="88"/>
        <v>2.3346</v>
      </c>
      <c r="AA216" s="204">
        <f t="shared" si="101"/>
        <v>2.2774999999999999</v>
      </c>
      <c r="AB216" s="54" t="e">
        <f>VLOOKUP(A216,Enforcements!$C$7:$K$9,8,0)</f>
        <v>#N/A</v>
      </c>
      <c r="AC216" s="51" t="e">
        <f>VLOOKUP(A216,Enforcements!$C$7:$E$9,3,0)</f>
        <v>#N/A</v>
      </c>
      <c r="AD216" s="179">
        <f t="shared" si="102"/>
        <v>307</v>
      </c>
      <c r="AE216" s="77" t="str">
        <f t="shared" si="103"/>
        <v>aws s3 cp s3://rtdc.mdm.uploadarchive.raw/RTDC4052/ "%USERPROFILE%\AppData\Local\Temp\OnboardLogs"\RTDC4052\2017-11-11 --exclude "*" --recursive --include "*20171111*" &amp; "%USERPROFILE%\Documents\GitHub\mrs-test-scripts\Headless Mode &amp; Sideloading\WalkAndUnGZ.bat" "%USERPROFILE%\AppData\Local\Temp\OnboardLogs"\RTDC4052\2017-11-11 &amp; aws s3 cp s3://rtdc.mdm.uploadarchive.raw/RTDC4052/ "%USERPROFILE%\AppData\Local\Temp\OnboardLogs"\RTDC4052\2017-11-12 --exclude "*" --recursive --include "*20171112*" &amp; "%USERPROFILE%\Documents\GitHub\mrs-test-scripts\Headless Mode &amp; Sideloading\WalkAndUnGZ.bat" "%USERPROFILE%\AppData\Local\Temp\OnboardLogs"\RTDC4052\2017-11-12</v>
      </c>
      <c r="AF216" s="74" t="str">
        <f t="shared" si="104"/>
        <v>"C:\Program Files (x86)\AstroGrep\AstroGrep.exe" /e /r /s /spath="%USERPROFILE%\AppData\Local\Temp\OnboardLogs" /stypes="app*4052*20171111*" /stext=" 09:.+((SYSTEM_STATE.+slice.+state.+changed )|(ment ac)|(multiple cpu faults)|(system.+state.+changed )|(\[timeout)|(PRM\|1\|D)|(kpr)|(kdp)|(train st.+moving)|(\|lc)|(penalty))"</v>
      </c>
      <c r="AG216" s="182" t="str">
        <f t="shared" si="105"/>
        <v>Other</v>
      </c>
      <c r="AH216" s="78" t="str">
        <f t="shared" si="92"/>
        <v>"%USERPROFILE%\Documents\GitHub\eaglep3\Utilities\RefineRTDCRunTimes.py" --tripid 307-10 --locoid 4052 --swversion DE.1.0.9.0 --startMP 204:571 --initTime 2017-11-11T01:04:04 --startdatetime 2017-11-11T01:07:43 --delay 57 --endMP 300:23346 --enddatetime 2017-11-11T02:53:46 --enforcementcount 1 &gt;&gt;%USERPROFILE%\Documents\GitHub\eaglep3-reporting\EC\2017-11-10-refined-times.txt</v>
      </c>
      <c r="AI216" s="96" t="str">
        <f t="shared" si="93"/>
        <v>echo {"issue":{"subject":"","project_id":79,"tracker_id":40,"status_id":1,"priority_id":2,"assigned_to_id":338,"start_date":"2017-11-11","description":"","custom_fields":[{"id":1,"name":"Subdivision","value":"Other"},{"id":4,"name":"Milepost","value":"2.3346"},{"id":17,"name":"Train ID","value":"307-10"},{"id":16,"name":"Locomotive ID","value":"4052"},{"id":130,"name":"Impact","value":""},{"id":150,"name":"Time of Event (Mountain Time)","value":"02:53:46"},{"id":151,"name":"Denver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94"/>
        <v>start /low /b %USERPROFILE%\Documents\GitHub\eaglep3\Utilities\DownloadLogsFromS3.py --loco 4052 --day 2017-11-11</v>
      </c>
      <c r="AN216" s="151" t="str">
        <f t="shared" si="9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09:53:46"},{"id":29,"name":"Sharepoint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96"/>
        <v>https://d0f6bd738d7f1b3e5a7ca70fe4ff75f0.us-east-1.aws.found.io/app/kibana#/discover/Steve-Slow-Train-Analysis-(2080s-and-2083s)?_g=(refreshInterval:(display:Off,pause:!f,section:0,value:0),time:(from:'2017-11-11T00:04:04-0700',mode:absolute,to:'2017-11-11T03:53:46-0700'))&amp;_a=(columns:!('Message%20ID',Summary),filters:!(),index:'emp_*',interval:auto,query:(query_string:(analyze_wildcard:!t,query:'%22rtdc.l.rtdc.4052%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669</v>
      </c>
      <c r="B217" s="7">
        <v>4027</v>
      </c>
      <c r="C217" s="21" t="s">
        <v>192</v>
      </c>
      <c r="D217" s="21" t="s">
        <v>1005</v>
      </c>
      <c r="E217" s="13">
        <v>43049.18109953704</v>
      </c>
      <c r="F217" s="13">
        <v>43049.183993055558</v>
      </c>
      <c r="G217" s="7">
        <v>75</v>
      </c>
      <c r="H217" s="21" t="s">
        <v>597</v>
      </c>
      <c r="I217" s="13">
        <v>43049.189837962964</v>
      </c>
      <c r="J217" s="7">
        <v>1</v>
      </c>
      <c r="K217" s="89" t="str">
        <f t="shared" si="97"/>
        <v>4027/4028</v>
      </c>
      <c r="L217" s="185" t="str">
        <f>VLOOKUP(A217,'Trips&amp;Operators'!$C$1:$G$99911,5,FALSE)</f>
        <v>BIRENBAUM THOMAS</v>
      </c>
      <c r="M217" s="6">
        <f t="shared" si="98"/>
        <v>5.8449074058444239E-3</v>
      </c>
      <c r="N217" s="7">
        <f t="shared" si="90"/>
        <v>8.4166666644159704</v>
      </c>
      <c r="O217" s="7"/>
      <c r="P217" s="7"/>
      <c r="Q217" s="22"/>
      <c r="R217" s="174"/>
      <c r="S217" s="221">
        <f t="shared" si="91"/>
        <v>1</v>
      </c>
      <c r="T217" s="174" t="str">
        <f t="shared" si="99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00"/>
        <v>https://d0f6bd738d7f1b3e5a7ca70fe4ff75f0.us-east-1.aws.found.io/app/kibana#/discover/Steve-Slow-Train-Analysis-(2080s-and-2083s)?_g=(refreshInterval:(display:Off,pause:!f,section:0,value:0),time:(from:'2017-11-10T03:20:47-0700',mode:absolute,to:'2017-11-10T05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7" s="204" t="str">
        <f>IF(AA217&lt;VLOOKUP(AG217,Variables!$AC$3:$AD$8,2,FALSE),"Y","N")</f>
        <v>Y</v>
      </c>
      <c r="X217" s="204">
        <f t="shared" si="89"/>
        <v>1</v>
      </c>
      <c r="Y217" s="204">
        <f t="shared" si="87"/>
        <v>2.3254000000000001</v>
      </c>
      <c r="Z217" s="204">
        <f t="shared" si="88"/>
        <v>5.0200000000000002E-2</v>
      </c>
      <c r="AA217" s="204">
        <f t="shared" si="101"/>
        <v>2.2752000000000003</v>
      </c>
      <c r="AB217" s="54" t="e">
        <f>VLOOKUP(A217,Enforcements!$C$7:$K$9,8,0)</f>
        <v>#N/A</v>
      </c>
      <c r="AC217" s="51" t="e">
        <f>VLOOKUP(A217,Enforcements!$C$7:$E$9,3,0)</f>
        <v>#N/A</v>
      </c>
      <c r="AD217" s="179">
        <f t="shared" si="102"/>
        <v>308</v>
      </c>
      <c r="AE217" s="77" t="str">
        <f t="shared" si="103"/>
        <v>aws s3 cp s3://rtdc.mdm.uploadarchive.raw/RTDC4027/ "%USERPROFILE%\AppData\Local\Temp\OnboardLogs"\RTDC4027\2017-11-10 --exclude "*" --recursive --include "*20171110*" &amp; "%USERPROFILE%\Documents\GitHub\mrs-test-scripts\Headless Mode &amp; Sideloading\WalkAndUnGZ.bat" "%USERPROFILE%\AppData\Local\Temp\OnboardLogs"\RTDC4027\2017-11-10 &amp; aws s3 cp s3://rtdc.mdm.uploadarchive.raw/RTDC4027/ "%USERPROFILE%\AppData\Local\Temp\OnboardLogs"\RTDC4027\2017-11-11 --exclude "*" --recursive --include "*20171111*" &amp; "%USERPROFILE%\Documents\GitHub\mrs-test-scripts\Headless Mode &amp; Sideloading\WalkAndUnGZ.bat" "%USERPROFILE%\AppData\Local\Temp\OnboardLogs"\RTDC4027\2017-11-11</v>
      </c>
      <c r="AF217" s="74" t="str">
        <f t="shared" si="104"/>
        <v>"C:\Program Files (x86)\AstroGrep\AstroGrep.exe" /e /r /s /spath="%USERPROFILE%\AppData\Local\Temp\OnboardLogs" /stypes="app*4027*20171110*" /stext=" 11:.+((SYSTEM_STATE.+slice.+state.+changed )|(ment ac)|(multiple cpu faults)|(system.+state.+changed )|(\[timeout)|(PRM\|1\|D)|(kpr)|(kdp)|(train st.+moving)|(\|lc)|(penalty))"</v>
      </c>
      <c r="AG217" s="182" t="str">
        <f t="shared" si="105"/>
        <v>Other</v>
      </c>
      <c r="AH217" s="78" t="str">
        <f t="shared" si="92"/>
        <v>"%USERPROFILE%\Documents\GitHub\eaglep3\Utilities\RefineRTDCRunTimes.py" --tripid 308-10 --locoid 4027 --swversion DE.1.0.9.0 --startMP 300:23254 --initTime 2017-11-10T04:20:47 --startdatetime 2017-11-10T04:24:57 --delay 75 --endMP 204:502 --enddatetime 2017-11-10T04:33:22 --enforcementcount 1 &gt;&gt;%USERPROFILE%\Documents\GitHub\eaglep3-reporting\EC\2017-11-10-refined-times.txt</v>
      </c>
      <c r="AI217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{"issue":{"subject":"","project_id":79,"tracker_id":40,"status_id":1,"priority_id":2,"assigned_to_id":338,"start_date":"2017-11-10","description":"","custom_fields":[{"id":1,"name":"Subdivision","value":"Other"},{"id":4,"name":"Milepost","value":"0.0502"},{"id":17,"name":"Train ID","value":"308-10"},{"id":16,"name":"Locomotive ID","value":"4027"},{"id":130,"name":"Impact","value":""},{"id":150,"name":"Time of Event (Mountain Time)","value":"04:33:22"},{"id":151,"name":"Denver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94"/>
        <v>start /low /b %USERPROFILE%\Documents\GitHub\eaglep3\Utilities\DownloadLogsFromS3.py --loco 4027 --day 2017-11-10</v>
      </c>
      <c r="AN217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11:33:22"},{"id":29,"name":"Sharepoint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96"/>
        <v>https://d0f6bd738d7f1b3e5a7ca70fe4ff75f0.us-east-1.aws.found.io/app/kibana#/discover/Steve-Slow-Train-Analysis-(2080s-and-2083s)?_g=(refreshInterval:(display:Off,pause:!f,section:0,value:0),time:(from:'2017-11-10T03:20:47-0700',mode:absolute,to:'2017-11-10T05:33:22-0700'))&amp;_a=(columns:!('Message%20ID',Summary),filters:!(),index:'emp_*',interval:auto,query:(query_string:(analyze_wildcard:!t,query:'%22rtdc.l.rtdc.4027%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882</v>
      </c>
      <c r="B218" s="7">
        <v>4060</v>
      </c>
      <c r="C218" s="21" t="s">
        <v>192</v>
      </c>
      <c r="D218" s="21" t="s">
        <v>1006</v>
      </c>
      <c r="E218" s="13">
        <v>43050.069490740738</v>
      </c>
      <c r="F218" s="13">
        <v>43050.071423611109</v>
      </c>
      <c r="G218" s="7">
        <v>58</v>
      </c>
      <c r="H218" s="21" t="s">
        <v>563</v>
      </c>
      <c r="I218" s="13">
        <v>43050.081331018519</v>
      </c>
      <c r="J218" s="7">
        <v>1</v>
      </c>
      <c r="K218" s="89" t="str">
        <f t="shared" si="97"/>
        <v>4059/4060</v>
      </c>
      <c r="L218" s="185" t="str">
        <f>VLOOKUP(A218,'Trips&amp;Operators'!$C$1:$G$99911,5,FALSE)</f>
        <v>NICHOLSON WESLEY</v>
      </c>
      <c r="M218" s="6">
        <f t="shared" si="98"/>
        <v>9.9074074096279219E-3</v>
      </c>
      <c r="N218" s="7">
        <f t="shared" si="90"/>
        <v>14.266666669864208</v>
      </c>
      <c r="O218" s="7"/>
      <c r="P218" s="7"/>
      <c r="Q218" s="22"/>
      <c r="R218" s="174"/>
      <c r="S218" s="221">
        <f t="shared" si="91"/>
        <v>1</v>
      </c>
      <c r="T218" s="174" t="str">
        <f t="shared" si="99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00"/>
        <v>https://d0f6bd738d7f1b3e5a7ca70fe4ff75f0.us-east-1.aws.found.io/app/kibana#/discover/Steve-Slow-Train-Analysis-(2080s-and-2083s)?_g=(refreshInterval:(display:Off,pause:!f,section:0,value:0),time:(from:'2017-11-11T00:40:04-0700',mode:absolute,to:'2017-11-11T02:57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8" s="204" t="str">
        <f>IF(AA218&lt;VLOOKUP(AG218,Variables!$AC$3:$AD$8,2,FALSE),"Y","N")</f>
        <v>Y</v>
      </c>
      <c r="X218" s="204">
        <f t="shared" si="89"/>
        <v>1</v>
      </c>
      <c r="Y218" s="204">
        <f t="shared" si="87"/>
        <v>5.5500000000000001E-2</v>
      </c>
      <c r="Z218" s="204">
        <f t="shared" si="88"/>
        <v>2.3308</v>
      </c>
      <c r="AA218" s="204">
        <f t="shared" si="101"/>
        <v>2.2753000000000001</v>
      </c>
      <c r="AB218" s="54" t="e">
        <f>VLOOKUP(A218,Enforcements!$C$7:$K$9,8,0)</f>
        <v>#N/A</v>
      </c>
      <c r="AC218" s="51" t="e">
        <f>VLOOKUP(A218,Enforcements!$C$7:$E$9,3,0)</f>
        <v>#N/A</v>
      </c>
      <c r="AD218" s="179">
        <f t="shared" si="102"/>
        <v>309</v>
      </c>
      <c r="AE218" s="77" t="str">
        <f t="shared" si="103"/>
        <v>aws s3 cp s3://rtdc.mdm.uploadarchive.raw/RTDC4060/ "%USERPROFILE%\AppData\Local\Temp\OnboardLogs"\RTDC4060\2017-11-11 --exclude "*" --recursive --include "*20171111*" &amp; "%USERPROFILE%\Documents\GitHub\mrs-test-scripts\Headless Mode &amp; Sideloading\WalkAndUnGZ.bat" "%USERPROFILE%\AppData\Local\Temp\OnboardLogs"\RTDC4060\2017-11-11 &amp; aws s3 cp s3://rtdc.mdm.uploadarchive.raw/RTDC4060/ "%USERPROFILE%\AppData\Local\Temp\OnboardLogs"\RTDC4060\2017-11-12 --exclude "*" --recursive --include "*20171112*" &amp; "%USERPROFILE%\Documents\GitHub\mrs-test-scripts\Headless Mode &amp; Sideloading\WalkAndUnGZ.bat" "%USERPROFILE%\AppData\Local\Temp\OnboardLogs"\RTDC4060\2017-11-12</v>
      </c>
      <c r="AF218" s="74" t="str">
        <f t="shared" si="104"/>
        <v>"C:\Program Files (x86)\AstroGrep\AstroGrep.exe" /e /r /s /spath="%USERPROFILE%\AppData\Local\Temp\OnboardLogs" /stypes="app*4060*20171111*" /stext=" 08:.+((SYSTEM_STATE.+slice.+state.+changed )|(ment ac)|(multiple cpu faults)|(system.+state.+changed )|(\[timeout)|(PRM\|1\|D)|(kpr)|(kdp)|(train st.+moving)|(\|lc)|(penalty))"</v>
      </c>
      <c r="AG218" s="182" t="str">
        <f t="shared" si="105"/>
        <v>Other</v>
      </c>
      <c r="AH218" s="78" t="str">
        <f t="shared" si="92"/>
        <v>"%USERPROFILE%\Documents\GitHub\eaglep3\Utilities\RefineRTDCRunTimes.py" --tripid 309-10 --locoid 4060 --swversion DE.1.0.9.0 --startMP 204:555 --initTime 2017-11-11T01:40:04 --startdatetime 2017-11-11T01:42:51 --delay 58 --endMP 300:23308 --enddatetime 2017-11-11T01:57:07 --enforcementcount 1 &gt;&gt;%USERPROFILE%\Documents\GitHub\eaglep3-reporting\EC\2017-11-10-refined-times.txt</v>
      </c>
      <c r="AI218" s="96" t="str">
        <f t="shared" si="93"/>
        <v>echo {"issue":{"subject":"","project_id":79,"tracker_id":40,"status_id":1,"priority_id":2,"assigned_to_id":338,"start_date":"2017-11-11","description":"","custom_fields":[{"id":1,"name":"Subdivision","value":"Other"},{"id":4,"name":"Milepost","value":"2.3308"},{"id":17,"name":"Train ID","value":"309-10"},{"id":16,"name":"Locomotive ID","value":"4060"},{"id":130,"name":"Impact","value":""},{"id":150,"name":"Time of Event (Mountain Time)","value":"01:57:07"},{"id":151,"name":"Denver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94"/>
        <v>start /low /b %USERPROFILE%\Documents\GitHub\eaglep3\Utilities\DownloadLogsFromS3.py --loco 4060 --day 2017-11-11</v>
      </c>
      <c r="AN218" s="151" t="str">
        <f t="shared" si="9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08:57:07"},{"id":29,"name":"Sharepoint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96"/>
        <v>https://d0f6bd738d7f1b3e5a7ca70fe4ff75f0.us-east-1.aws.found.io/app/kibana#/discover/Steve-Slow-Train-Analysis-(2080s-and-2083s)?_g=(refreshInterval:(display:Off,pause:!f,section:0,value:0),time:(from:'2017-11-11T00:40:04-0700',mode:absolute,to:'2017-11-11T02:57:07-0700'))&amp;_a=(columns:!('Message%20ID',Summary),filters:!(),index:'emp_*',interval:auto,query:(query_string:(analyze_wildcard:!t,query:'%22rtdc.l.rtdc.4060%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676</v>
      </c>
      <c r="B219" s="7">
        <v>4011</v>
      </c>
      <c r="C219" s="21" t="s">
        <v>192</v>
      </c>
      <c r="D219" s="21" t="s">
        <v>1007</v>
      </c>
      <c r="E219" s="13">
        <v>43049.198321759257</v>
      </c>
      <c r="F219" s="13">
        <v>43049.201828703706</v>
      </c>
      <c r="G219" s="7">
        <v>159</v>
      </c>
      <c r="H219" s="21" t="s">
        <v>1008</v>
      </c>
      <c r="I219" s="13">
        <v>43049.201990740738</v>
      </c>
      <c r="J219" s="7">
        <v>1</v>
      </c>
      <c r="K219" s="89" t="str">
        <f t="shared" si="97"/>
        <v>4011/4012</v>
      </c>
      <c r="L219" s="185" t="str">
        <f>VLOOKUP(A219,'Trips&amp;Operators'!$C$1:$G$99911,5,FALSE)</f>
        <v>MACDONALD THOMAS</v>
      </c>
      <c r="M219" s="6">
        <f t="shared" si="98"/>
        <v>1.6203703125938773E-4</v>
      </c>
      <c r="N219" s="7">
        <f t="shared" si="90"/>
        <v>0.23333332501351833</v>
      </c>
      <c r="O219" s="7"/>
      <c r="P219" s="7"/>
      <c r="Q219" s="22"/>
      <c r="R219" s="174"/>
      <c r="S219" s="221">
        <f t="shared" si="91"/>
        <v>1</v>
      </c>
      <c r="T219" s="174" t="str">
        <f t="shared" si="99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00"/>
        <v>https://d0f6bd738d7f1b3e5a7ca70fe4ff75f0.us-east-1.aws.found.io/app/kibana#/discover/Steve-Slow-Train-Analysis-(2080s-and-2083s)?_g=(refreshInterval:(display:Off,pause:!f,section:0,value:0),time:(from:'2017-11-10T03:45:35-0700',mode:absolute,to:'2017-11-10T05:50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9" s="204" t="str">
        <f>IF(AA219&lt;VLOOKUP(AG219,Variables!$AC$3:$AD$8,2,FALSE),"Y","N")</f>
        <v>Y</v>
      </c>
      <c r="X219" s="204">
        <f t="shared" si="89"/>
        <v>1</v>
      </c>
      <c r="Y219" s="204">
        <f t="shared" si="87"/>
        <v>2.5465</v>
      </c>
      <c r="Z219" s="204">
        <f t="shared" si="88"/>
        <v>3.0200000000000001E-2</v>
      </c>
      <c r="AA219" s="204">
        <f t="shared" si="101"/>
        <v>2.5163000000000002</v>
      </c>
      <c r="AB219" s="54" t="e">
        <f>VLOOKUP(A219,Enforcements!$C$7:$K$9,8,0)</f>
        <v>#N/A</v>
      </c>
      <c r="AC219" s="51" t="e">
        <f>VLOOKUP(A219,Enforcements!$C$7:$E$9,3,0)</f>
        <v>#N/A</v>
      </c>
      <c r="AD219" s="179">
        <f t="shared" si="102"/>
        <v>310</v>
      </c>
      <c r="AE219" s="77" t="str">
        <f t="shared" si="103"/>
        <v>aws s3 cp s3://rtdc.mdm.uploadarchive.raw/RTDC4011/ "%USERPROFILE%\AppData\Local\Temp\OnboardLogs"\RTDC4011\2017-11-10 --exclude "*" --recursive --include "*20171110*" &amp; "%USERPROFILE%\Documents\GitHub\mrs-test-scripts\Headless Mode &amp; Sideloading\WalkAndUnGZ.bat" "%USERPROFILE%\AppData\Local\Temp\OnboardLogs"\RTDC4011\2017-11-10 &amp; aws s3 cp s3://rtdc.mdm.uploadarchive.raw/RTDC4011/ "%USERPROFILE%\AppData\Local\Temp\OnboardLogs"\RTDC4011\2017-11-11 --exclude "*" --recursive --include "*20171111*" &amp; "%USERPROFILE%\Documents\GitHub\mrs-test-scripts\Headless Mode &amp; Sideloading\WalkAndUnGZ.bat" "%USERPROFILE%\AppData\Local\Temp\OnboardLogs"\RTDC4011\2017-11-11</v>
      </c>
      <c r="AF219" s="74" t="str">
        <f t="shared" si="104"/>
        <v>"C:\Program Files (x86)\AstroGrep\AstroGrep.exe" /e /r /s /spath="%USERPROFILE%\AppData\Local\Temp\OnboardLogs" /stypes="app*4011*20171110*" /stext=" 11:.+((SYSTEM_STATE.+slice.+state.+changed )|(ment ac)|(multiple cpu faults)|(system.+state.+changed )|(\[timeout)|(PRM\|1\|D)|(kpr)|(kdp)|(train st.+moving)|(\|lc)|(penalty))"</v>
      </c>
      <c r="AG219" s="182" t="str">
        <f t="shared" si="105"/>
        <v>Other</v>
      </c>
      <c r="AH219" s="78" t="str">
        <f t="shared" si="92"/>
        <v>"%USERPROFILE%\Documents\GitHub\eaglep3\Utilities\RefineRTDCRunTimes.py" --tripid 310-10 --locoid 4011 --swversion DE.1.0.9.0 --startMP 300:25465 --initTime 2017-11-10T04:45:35 --startdatetime 2017-11-10T04:50:38 --delay 159 --endMP 204:302 --enddatetime 2017-11-10T04:50:52 --enforcementcount 1 &gt;&gt;%USERPROFILE%\Documents\GitHub\eaglep3-reporting\EC\2017-11-10-refined-times.txt</v>
      </c>
      <c r="AI219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{"issue":{"subject":"","project_id":79,"tracker_id":40,"status_id":1,"priority_id":2,"assigned_to_id":338,"start_date":"2017-11-10","description":"","custom_fields":[{"id":1,"name":"Subdivision","value":"Other"},{"id":4,"name":"Milepost","value":"0.0302"},{"id":17,"name":"Train ID","value":"310-10"},{"id":16,"name":"Locomotive ID","value":"4011"},{"id":130,"name":"Impact","value":""},{"id":150,"name":"Time of Event (Mountain Time)","value":"04:50:52"},{"id":151,"name":"Denver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94"/>
        <v>start /low /b %USERPROFILE%\Documents\GitHub\eaglep3\Utilities\DownloadLogsFromS3.py --loco 4011 --day 2017-11-10</v>
      </c>
      <c r="AN219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11:50:52"},{"id":29,"name":"Sharepoint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96"/>
        <v>https://d0f6bd738d7f1b3e5a7ca70fe4ff75f0.us-east-1.aws.found.io/app/kibana#/discover/Steve-Slow-Train-Analysis-(2080s-and-2083s)?_g=(refreshInterval:(display:Off,pause:!f,section:0,value:0),time:(from:'2017-11-10T03:45:35-0700',mode:absolute,to:'2017-11-10T05:50:52-0700'))&amp;_a=(columns:!('Message%20ID',Summary),filters:!(),index:'emp_*',interval:auto,query:(query_string:(analyze_wildcard:!t,query:'%22rtdc.l.rtdc.4011%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884</v>
      </c>
      <c r="B220" s="7">
        <v>4016</v>
      </c>
      <c r="C220" s="21" t="s">
        <v>192</v>
      </c>
      <c r="D220" s="21" t="s">
        <v>559</v>
      </c>
      <c r="E220" s="13">
        <v>43050.086655092593</v>
      </c>
      <c r="F220" s="13">
        <v>43050.088587962964</v>
      </c>
      <c r="G220" s="7">
        <v>54</v>
      </c>
      <c r="H220" s="21" t="s">
        <v>563</v>
      </c>
      <c r="I220" s="13">
        <v>43050.120856481481</v>
      </c>
      <c r="J220" s="7">
        <v>1</v>
      </c>
      <c r="K220" s="89" t="str">
        <f t="shared" si="97"/>
        <v>4015/4016</v>
      </c>
      <c r="L220" s="185" t="str">
        <f>VLOOKUP(A220,'Trips&amp;Operators'!$C$1:$G$99911,5,FALSE)</f>
        <v>ELBAUM MIKE</v>
      </c>
      <c r="M220" s="6">
        <f t="shared" si="98"/>
        <v>3.2268518516502809E-2</v>
      </c>
      <c r="N220" s="7">
        <f t="shared" si="90"/>
        <v>46.466666663764045</v>
      </c>
      <c r="O220" s="7"/>
      <c r="P220" s="7"/>
      <c r="Q220" s="22"/>
      <c r="R220" s="174"/>
      <c r="S220" s="221">
        <f t="shared" si="91"/>
        <v>1</v>
      </c>
      <c r="T220" s="174" t="str">
        <f t="shared" si="99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00"/>
        <v>https://d0f6bd738d7f1b3e5a7ca70fe4ff75f0.us-east-1.aws.found.io/app/kibana#/discover/Steve-Slow-Train-Analysis-(2080s-and-2083s)?_g=(refreshInterval:(display:Off,pause:!f,section:0,value:0),time:(from:'2017-11-11T01:04:47-0700',mode:absolute,to:'2017-11-11T03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0" s="204" t="str">
        <f>IF(AA220&lt;VLOOKUP(AG220,Variables!$AC$3:$AD$8,2,FALSE),"Y","N")</f>
        <v>Y</v>
      </c>
      <c r="X220" s="204">
        <f t="shared" si="89"/>
        <v>1</v>
      </c>
      <c r="Y220" s="204">
        <f t="shared" si="87"/>
        <v>5.79E-2</v>
      </c>
      <c r="Z220" s="204">
        <f t="shared" si="88"/>
        <v>2.3308</v>
      </c>
      <c r="AA220" s="204">
        <f t="shared" si="101"/>
        <v>2.2728999999999999</v>
      </c>
      <c r="AB220" s="54" t="e">
        <f>VLOOKUP(A220,Enforcements!$C$7:$K$9,8,0)</f>
        <v>#N/A</v>
      </c>
      <c r="AC220" s="51" t="e">
        <f>VLOOKUP(A220,Enforcements!$C$7:$E$9,3,0)</f>
        <v>#N/A</v>
      </c>
      <c r="AD220" s="179">
        <f t="shared" si="102"/>
        <v>311</v>
      </c>
      <c r="AE220" s="77" t="str">
        <f t="shared" si="103"/>
        <v>aws s3 cp s3://rtdc.mdm.uploadarchive.raw/RTDC4016/ "%USERPROFILE%\AppData\Local\Temp\OnboardLogs"\RTDC4016\2017-11-11 --exclude "*" --recursive --include "*20171111*" &amp; "%USERPROFILE%\Documents\GitHub\mrs-test-scripts\Headless Mode &amp; Sideloading\WalkAndUnGZ.bat" "%USERPROFILE%\AppData\Local\Temp\OnboardLogs"\RTDC4016\2017-11-11 &amp; 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</v>
      </c>
      <c r="AF220" s="74" t="str">
        <f t="shared" si="104"/>
        <v>"C:\Program Files (x86)\AstroGrep\AstroGrep.exe" /e /r /s /spath="%USERPROFILE%\AppData\Local\Temp\OnboardLogs" /stypes="app*4016*20171111*" /stext=" 09:.+((SYSTEM_STATE.+slice.+state.+changed )|(ment ac)|(multiple cpu faults)|(system.+state.+changed )|(\[timeout)|(PRM\|1\|D)|(kpr)|(kdp)|(train st.+moving)|(\|lc)|(penalty))"</v>
      </c>
      <c r="AG220" s="182" t="str">
        <f t="shared" si="105"/>
        <v>Other</v>
      </c>
      <c r="AH220" s="78" t="str">
        <f t="shared" si="92"/>
        <v>"%USERPROFILE%\Documents\GitHub\eaglep3\Utilities\RefineRTDCRunTimes.py" --tripid 311-10 --locoid 4016 --swversion DE.1.0.9.0 --startMP 204:579 --initTime 2017-11-11T02:04:47 --startdatetime 2017-11-11T02:07:34 --delay 54 --endMP 300:23308 --enddatetime 2017-11-11T02:54:02 --enforcementcount 1 &gt;&gt;%USERPROFILE%\Documents\GitHub\eaglep3-reporting\EC\2017-11-10-refined-times.txt</v>
      </c>
      <c r="AI220" s="96" t="str">
        <f t="shared" si="93"/>
        <v>echo {"issue":{"subject":"","project_id":79,"tracker_id":40,"status_id":1,"priority_id":2,"assigned_to_id":338,"start_date":"2017-11-11","description":"","custom_fields":[{"id":1,"name":"Subdivision","value":"Other"},{"id":4,"name":"Milepost","value":"2.3308"},{"id":17,"name":"Train ID","value":"311-10"},{"id":16,"name":"Locomotive ID","value":"4016"},{"id":130,"name":"Impact","value":""},{"id":150,"name":"Time of Event (Mountain Time)","value":"02:54:02"},{"id":151,"name":"Denver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94"/>
        <v>start /low /b %USERPROFILE%\Documents\GitHub\eaglep3\Utilities\DownloadLogsFromS3.py --loco 4016 --day 2017-11-11</v>
      </c>
      <c r="AN220" s="151" t="str">
        <f t="shared" si="9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09:54:02"},{"id":29,"name":"Sharepoint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96"/>
        <v>https://d0f6bd738d7f1b3e5a7ca70fe4ff75f0.us-east-1.aws.found.io/app/kibana#/discover/Steve-Slow-Train-Analysis-(2080s-and-2083s)?_g=(refreshInterval:(display:Off,pause:!f,section:0,value:0),time:(from:'2017-11-11T01:04:47-0700',mode:absolute,to:'2017-11-11T03:54:02-0700'))&amp;_a=(columns:!('Message%20ID',Summary),filters:!(),index:'emp_*',interval:auto,query:(query_string:(analyze_wildcard:!t,query:'%22rtdc.l.rtdc.4016%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683</v>
      </c>
      <c r="B221" s="7">
        <v>4041</v>
      </c>
      <c r="C221" s="21" t="s">
        <v>192</v>
      </c>
      <c r="D221" s="21" t="s">
        <v>596</v>
      </c>
      <c r="E221" s="13">
        <v>43049.219097222223</v>
      </c>
      <c r="F221" s="13">
        <v>25568.708333333332</v>
      </c>
      <c r="G221" s="7">
        <v>93</v>
      </c>
      <c r="H221" s="21" t="s">
        <v>594</v>
      </c>
      <c r="I221" s="13">
        <v>25568.708333333332</v>
      </c>
      <c r="J221" s="7">
        <v>1</v>
      </c>
      <c r="K221" s="89" t="str">
        <f t="shared" si="97"/>
        <v>4041/4042</v>
      </c>
      <c r="L221" s="185" t="str">
        <f>VLOOKUP(A221,'Trips&amp;Operators'!$C$1:$G$99911,5,FALSE)</f>
        <v>YANAI IAN</v>
      </c>
      <c r="M221" s="6">
        <f t="shared" si="98"/>
        <v>0</v>
      </c>
      <c r="N221" s="7">
        <f t="shared" si="90"/>
        <v>0</v>
      </c>
      <c r="O221" s="7"/>
      <c r="P221" s="7"/>
      <c r="Q221" s="22"/>
      <c r="R221" s="174"/>
      <c r="S221" s="221">
        <f t="shared" si="91"/>
        <v>1</v>
      </c>
      <c r="T221" s="174" t="str">
        <f t="shared" si="99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00"/>
        <v>https://d0f6bd738d7f1b3e5a7ca70fe4ff75f0.us-east-1.aws.found.io/app/kibana#/discover/Steve-Slow-Train-Analysis-(2080s-and-2083s)?_g=(refreshInterval:(display:Off,pause:!f,section:0,value:0),time:(from:'2017-11-10T04:15:30-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1" s="204" t="str">
        <f>IF(AA221&lt;VLOOKUP(AG221,Variables!$AC$3:$AD$8,2,FALSE),"Y","N")</f>
        <v>Y</v>
      </c>
      <c r="X221" s="204">
        <f t="shared" si="89"/>
        <v>1</v>
      </c>
      <c r="Y221" s="204">
        <f t="shared" si="87"/>
        <v>23.297999999999998</v>
      </c>
      <c r="Z221" s="204">
        <f t="shared" si="88"/>
        <v>2.0299999999999999E-2</v>
      </c>
      <c r="AA221" s="204">
        <f t="shared" si="101"/>
        <v>23.277699999999999</v>
      </c>
      <c r="AB221" s="54" t="e">
        <f>VLOOKUP(A221,Enforcements!$C$7:$K$9,8,0)</f>
        <v>#N/A</v>
      </c>
      <c r="AC221" s="51" t="e">
        <f>VLOOKUP(A221,Enforcements!$C$7:$E$9,3,0)</f>
        <v>#N/A</v>
      </c>
      <c r="AD221" s="179">
        <f t="shared" si="102"/>
        <v>312</v>
      </c>
      <c r="AE221" s="77" t="str">
        <f t="shared" si="103"/>
        <v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v>
      </c>
      <c r="AF221" s="74" t="str">
        <f t="shared" si="104"/>
        <v>"C:\Program Files (x86)\AstroGrep\AstroGrep.exe" /e /r /s /spath="%USERPROFILE%\AppData\Local\Temp\OnboardLogs" /stypes="app*4041*19700101*" /stext=" 00:.+((SYSTEM_STATE.+slice.+state.+changed )|(ment ac)|(multiple cpu faults)|(system.+state.+changed )|(\[timeout)|(PRM\|1\|D)|(kpr)|(kdp)|(train st.+moving)|(\|lc)|(penalty))"</v>
      </c>
      <c r="AG221" s="182" t="str">
        <f t="shared" si="105"/>
        <v>Other</v>
      </c>
      <c r="AH221" s="78" t="str">
        <f t="shared" si="92"/>
        <v>"%USERPROFILE%\Documents\GitHub\eaglep3\Utilities\RefineRTDCRunTimes.py" --tripid 312-10 --locoid 4041 --swversion DE.1.0.9.0 --startMP 204:232980 --initTime 2017-11-10T05:15:30 --startdatetime 1969-12-31T17:00:00 --delay 93 --endMP 204:203 --enddatetime 1969-12-31T17:00:00 --enforcementcount 1 &gt;&gt;%USERPROFILE%\Documents\GitHub\eaglep3-reporting\EC\2017-11-10-refined-times.txt</v>
      </c>
      <c r="AI221" s="96" t="str">
        <f t="shared" si="93"/>
        <v>echo {"issue":{"subject":"","project_id":79,"tracker_id":40,"status_id":1,"priority_id":2,"assigned_to_id":338,"start_date":"1969-12-31","description":"","custom_fields":[{"id":1,"name":"Subdivision","value":"Other"},{"id":4,"name":"Milepost","value":"0.0203"},{"id":17,"name":"Train ID","value":"312-10"},{"id":16,"name":"Locomotive ID","value":"4041"},{"id":130,"name":"Impact","value":""},{"id":150,"name":"Time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94"/>
        <v>start /low /b %USERPROFILE%\Documents\GitHub\eaglep3\Utilities\DownloadLogsFromS3.py --loco 4041 --day 1969-12-31</v>
      </c>
      <c r="AN221" s="151" t="str">
        <f t="shared" si="95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96"/>
        <v>https://d0f6bd738d7f1b3e5a7ca70fe4ff75f0.us-east-1.aws.found.io/app/kibana#/discover/Steve-Slow-Train-Analysis-(2080s-and-2083s)?_g=(refreshInterval:(display:Off,pause:!f,section:0,value:0),time:(from:'2017-11-10T04:15:30-0700',mode:absolute,to:'1969-12-31T18:00:00-0700'))&amp;_a=(columns:!('Message%20ID',Summary),filters:!(),index:'emp_*',interval:auto,query:(query_string:(analyze_wildcard:!t,query:'%22rtdc.l.rtdc.4041%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674</v>
      </c>
      <c r="B222" s="7">
        <v>4032</v>
      </c>
      <c r="C222" s="21" t="s">
        <v>192</v>
      </c>
      <c r="D222" s="21" t="s">
        <v>1086</v>
      </c>
      <c r="E222" s="13">
        <v>43049.194745370369</v>
      </c>
      <c r="F222" s="13">
        <v>43049.200358796297</v>
      </c>
      <c r="G222" s="7">
        <v>103</v>
      </c>
      <c r="H222" s="21" t="s">
        <v>1087</v>
      </c>
      <c r="I222" s="13">
        <v>43049.206053240741</v>
      </c>
      <c r="J222" s="7">
        <v>1</v>
      </c>
      <c r="K222" s="89" t="str">
        <f t="shared" si="97"/>
        <v>4031/4032</v>
      </c>
      <c r="L222" s="185" t="str">
        <f>VLOOKUP(A222,'Trips&amp;Operators'!$C$1:$G$99911,5,FALSE)</f>
        <v>WILLIAMS DONTE</v>
      </c>
      <c r="M222" s="6">
        <f t="shared" si="98"/>
        <v>5.694444444088731E-3</v>
      </c>
      <c r="N222" s="7">
        <f t="shared" si="90"/>
        <v>8.1999999994877726</v>
      </c>
      <c r="O222" s="7"/>
      <c r="P222" s="7"/>
      <c r="Q222" s="22"/>
      <c r="R222" s="174"/>
      <c r="S222" s="221">
        <f t="shared" si="91"/>
        <v>0</v>
      </c>
      <c r="T222" s="174" t="str">
        <f t="shared" si="99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 t="shared" si="100"/>
        <v>https://d0f6bd738d7f1b3e5a7ca70fe4ff75f0.us-east-1.aws.found.io/app/kibana#/discover/Steve-Slow-Train-Analysis-(2080s-and-2083s)?_g=(refreshInterval:(display:Off,pause:!f,section:0,value:0),time:(from:'2017-11-10T03:40:26-0700',mode:absolute,to:'2017-11-10T05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2" s="204" t="str">
        <f>IF(AA222&lt;VLOOKUP(AG222,Variables!$AC$3:$AD$8,2,FALSE),"Y","N")</f>
        <v>Y</v>
      </c>
      <c r="X222" s="204">
        <f t="shared" si="89"/>
        <v>589</v>
      </c>
      <c r="Y222" s="204">
        <f t="shared" si="87"/>
        <v>3.0257999999999998</v>
      </c>
      <c r="Z222" s="204">
        <f t="shared" si="88"/>
        <v>5.8929</v>
      </c>
      <c r="AA222" s="204">
        <f t="shared" si="101"/>
        <v>2.8671000000000002</v>
      </c>
      <c r="AB222" s="54" t="e">
        <f>VLOOKUP(A222,Enforcements!$C$7:$K$9,8,0)</f>
        <v>#N/A</v>
      </c>
      <c r="AC222" s="51" t="e">
        <f>VLOOKUP(A222,Enforcements!$C$7:$E$9,3,0)</f>
        <v>#N/A</v>
      </c>
      <c r="AD222" s="179">
        <f t="shared" si="102"/>
        <v>901</v>
      </c>
      <c r="AE222" s="77" t="str">
        <f t="shared" si="103"/>
        <v>aws s3 cp s3://rtdc.mdm.uploadarchive.raw/RTDC4032/ "%USERPROFILE%\AppData\Local\Temp\OnboardLogs"\RTDC4032\2017-11-10 --exclude "*" --recursive --include "*20171110*" &amp; "%USERPROFILE%\Documents\GitHub\mrs-test-scripts\Headless Mode &amp; Sideloading\WalkAndUnGZ.bat" "%USERPROFILE%\AppData\Local\Temp\OnboardLogs"\RTDC4032\2017-11-10 &amp; aws s3 cp s3://rtdc.mdm.uploadarchive.raw/RTDC4032/ "%USERPROFILE%\AppData\Local\Temp\OnboardLogs"\RTDC4032\2017-11-11 --exclude "*" --recursive --include "*20171111*" &amp; "%USERPROFILE%\Documents\GitHub\mrs-test-scripts\Headless Mode &amp; Sideloading\WalkAndUnGZ.bat" "%USERPROFILE%\AppData\Local\Temp\OnboardLogs"\RTDC4032\2017-11-11</v>
      </c>
      <c r="AF222" s="74" t="str">
        <f t="shared" si="104"/>
        <v>"C:\Program Files (x86)\AstroGrep\AstroGrep.exe" /e /r /s /spath="%USERPROFILE%\AppData\Local\Temp\OnboardLogs" /stypes="app*4032*20171110*" /stext=" 11:.+((SYSTEM_STATE.+slice.+state.+changed )|(ment ac)|(multiple cpu faults)|(system.+state.+changed )|(\[timeout)|(PRM\|1\|D)|(kpr)|(kdp)|(train st.+moving)|(\|lc)|(penalty))"</v>
      </c>
      <c r="AG222" s="182" t="str">
        <f t="shared" si="105"/>
        <v>Other</v>
      </c>
      <c r="AH222" s="78" t="str">
        <f t="shared" si="92"/>
        <v>"%USERPROFILE%\Documents\GitHub\eaglep3\Utilities\RefineRTDCRunTimes.py" --tripid 901-10 --locoid 4032 --swversion DE.1.0.9.0 --startMP 300:30258 --initTime 2017-11-10T04:40:26 --startdatetime 2017-11-10T04:48:31 --delay 103 --endMP 300:58929 --enddatetime 2017-11-10T04:56:43 --enforcementcount 1 &gt;&gt;%USERPROFILE%\Documents\GitHub\eaglep3-reporting\EC\2017-11-10-refined-times.txt</v>
      </c>
      <c r="AI222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{"issue":{"subject":"","project_id":79,"tracker_id":40,"status_id":1,"priority_id":2,"assigned_to_id":338,"start_date":"2017-11-10","description":"","custom_fields":[{"id":1,"name":"Subdivision","value":"Other"},{"id":4,"name":"Milepost","value":"5.8929"},{"id":17,"name":"Train ID","value":"901-10"},{"id":16,"name":"Locomotive ID","value":"4032"},{"id":130,"name":"Impact","value":""},{"id":150,"name":"Time of Event (Mountain Time)","value":"04:56:43"},{"id":151,"name":"Denver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94"/>
        <v>start /low /b %USERPROFILE%\Documents\GitHub\eaglep3\Utilities\DownloadLogsFromS3.py --loco 4032 --day 2017-11-10</v>
      </c>
      <c r="AN222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11:56:43"},{"id":29,"name":"Sharepoint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96"/>
        <v>https://d0f6bd738d7f1b3e5a7ca70fe4ff75f0.us-east-1.aws.found.io/app/kibana#/discover/Steve-Slow-Train-Analysis-(2080s-and-2083s)?_g=(refreshInterval:(display:Off,pause:!f,section:0,value:0),time:(from:'2017-11-10T03:40:26-0700',mode:absolute,to:'2017-11-10T05:56:43-0700'))&amp;_a=(columns:!('Message%20ID',Summary),filters:!(),index:'emp_*',interval:auto,query:(query_string:(analyze_wildcard:!t,query:'%22rtdc.l.rtdc.4032%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688</v>
      </c>
      <c r="B223" s="7">
        <v>4007</v>
      </c>
      <c r="C223" s="21" t="s">
        <v>192</v>
      </c>
      <c r="D223" s="21" t="s">
        <v>1088</v>
      </c>
      <c r="E223" s="13">
        <v>43049.22934027778</v>
      </c>
      <c r="F223" s="13">
        <v>43049.242210648146</v>
      </c>
      <c r="G223" s="7">
        <v>94</v>
      </c>
      <c r="H223" s="21" t="s">
        <v>1074</v>
      </c>
      <c r="I223" s="13">
        <v>43049.248564814814</v>
      </c>
      <c r="J223" s="7">
        <v>1</v>
      </c>
      <c r="K223" s="89" t="str">
        <f t="shared" si="97"/>
        <v>4007/4008</v>
      </c>
      <c r="L223" s="185" t="str">
        <f>VLOOKUP(A223,'Trips&amp;Operators'!$C$1:$G$99911,5,FALSE)</f>
        <v>BARRON PERLA</v>
      </c>
      <c r="M223" s="6">
        <f t="shared" si="98"/>
        <v>6.3541666677338071E-3</v>
      </c>
      <c r="N223" s="7">
        <f t="shared" si="90"/>
        <v>9.1500000015366822</v>
      </c>
      <c r="O223" s="7"/>
      <c r="P223" s="7"/>
      <c r="Q223" s="22"/>
      <c r="R223" s="174"/>
      <c r="S223" s="221">
        <f t="shared" si="91"/>
        <v>1</v>
      </c>
      <c r="T223" s="174" t="str">
        <f t="shared" si="99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00"/>
        <v>https://d0f6bd738d7f1b3e5a7ca70fe4ff75f0.us-east-1.aws.found.io/app/kibana#/discover/Steve-Slow-Train-Analysis-(2080s-and-2083s)?_g=(refreshInterval:(display:Off,pause:!f,section:0,value:0),time:(from:'2017-11-10T04:30:15-0700',mode:absolute,to:'2017-11-10T06:57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3" s="204" t="str">
        <f>IF(AA223&lt;VLOOKUP(AG223,Variables!$AC$3:$AD$8,2,FALSE),"Y","N")</f>
        <v>Y</v>
      </c>
      <c r="X223" s="204">
        <f t="shared" si="89"/>
        <v>1</v>
      </c>
      <c r="Y223" s="204">
        <f t="shared" si="87"/>
        <v>2.3633000000000002</v>
      </c>
      <c r="Z223" s="204">
        <f t="shared" si="88"/>
        <v>7.17E-2</v>
      </c>
      <c r="AA223" s="204">
        <f t="shared" si="101"/>
        <v>2.2916000000000003</v>
      </c>
      <c r="AB223" s="54" t="e">
        <f>VLOOKUP(A223,Enforcements!$C$7:$K$9,8,0)</f>
        <v>#N/A</v>
      </c>
      <c r="AC223" s="51" t="e">
        <f>VLOOKUP(A223,Enforcements!$C$7:$E$9,3,0)</f>
        <v>#N/A</v>
      </c>
      <c r="AD223" s="179">
        <f t="shared" si="102"/>
        <v>902</v>
      </c>
      <c r="AE223" s="77" t="str">
        <f t="shared" si="103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223" s="74" t="str">
        <f t="shared" si="104"/>
        <v>"C:\Program Files (x86)\AstroGrep\AstroGrep.exe" /e /r /s /spath="%USERPROFILE%\AppData\Local\Temp\OnboardLogs" /stypes="app*4007*20171110*" /stext=" 12:.+((SYSTEM_STATE.+slice.+state.+changed )|(ment ac)|(multiple cpu faults)|(system.+state.+changed )|(\[timeout)|(PRM\|1\|D)|(kpr)|(kdp)|(train st.+moving)|(\|lc)|(penalty))"</v>
      </c>
      <c r="AG223" s="182" t="str">
        <f t="shared" si="105"/>
        <v>Other</v>
      </c>
      <c r="AH223" s="78" t="str">
        <f t="shared" si="92"/>
        <v>"%USERPROFILE%\Documents\GitHub\eaglep3\Utilities\RefineRTDCRunTimes.py" --tripid 902-10 --locoid 4007 --swversion DE.1.0.9.0 --startMP 300:23633 --initTime 2017-11-10T05:30:15 --startdatetime 2017-11-10T05:48:47 --delay 94 --endMP 204:717 --enddatetime 2017-11-10T05:57:56 --enforcementcount 1 &gt;&gt;%USERPROFILE%\Documents\GitHub\eaglep3-reporting\EC\2017-11-10-refined-times.txt</v>
      </c>
      <c r="AI223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{"issue":{"subject":"","project_id":79,"tracker_id":40,"status_id":1,"priority_id":2,"assigned_to_id":338,"start_date":"2017-11-10","description":"","custom_fields":[{"id":1,"name":"Subdivision","value":"Other"},{"id":4,"name":"Milepost","value":"0.0717"},{"id":17,"name":"Train ID","value":"902-10"},{"id":16,"name":"Locomotive ID","value":"4007"},{"id":130,"name":"Impact","value":""},{"id":150,"name":"Time of Event (Mountain Time)","value":"05:57:56"},{"id":151,"name":"Denver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94"/>
        <v>start /low /b %USERPROFILE%\Documents\GitHub\eaglep3\Utilities\DownloadLogsFromS3.py --loco 4007 --day 2017-11-10</v>
      </c>
      <c r="AN223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12:57:56"},{"id":29,"name":"Sharepoint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96"/>
        <v>https://d0f6bd738d7f1b3e5a7ca70fe4ff75f0.us-east-1.aws.found.io/app/kibana#/discover/Steve-Slow-Train-Analysis-(2080s-and-2083s)?_g=(refreshInterval:(display:Off,pause:!f,section:0,value:0),time:(from:'2017-11-10T04:30:15-0700',mode:absolute,to:'2017-11-10T06:57:56-0700'))&amp;_a=(columns:!('Message%20ID',Summary),filters:!(),index:'emp_*',interval:auto,query:(query_string:(analyze_wildcard:!t,query:'%22rtdc.l.rtdc.4007%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726</v>
      </c>
      <c r="B224" s="7">
        <v>4032</v>
      </c>
      <c r="C224" s="21" t="s">
        <v>192</v>
      </c>
      <c r="D224" s="21" t="s">
        <v>1089</v>
      </c>
      <c r="E224" s="13">
        <v>43049.353946759256</v>
      </c>
      <c r="F224" s="13">
        <v>43049.355763888889</v>
      </c>
      <c r="G224" s="7">
        <v>74</v>
      </c>
      <c r="H224" s="21" t="s">
        <v>1090</v>
      </c>
      <c r="I224" s="13">
        <v>43049.361539351848</v>
      </c>
      <c r="J224" s="7">
        <v>1</v>
      </c>
      <c r="K224" s="89" t="str">
        <f t="shared" si="97"/>
        <v>4031/4032</v>
      </c>
      <c r="L224" s="185" t="str">
        <f>VLOOKUP(A224,'Trips&amp;Operators'!$C$1:$G$99911,5,FALSE)</f>
        <v>WILLIAMS DONTE</v>
      </c>
      <c r="M224" s="6">
        <f t="shared" si="98"/>
        <v>5.7754629597184248E-3</v>
      </c>
      <c r="N224" s="7">
        <f t="shared" si="90"/>
        <v>8.3166666619945318</v>
      </c>
      <c r="O224" s="7"/>
      <c r="P224" s="7"/>
      <c r="Q224" s="22"/>
      <c r="R224" s="174"/>
      <c r="S224" s="221">
        <f t="shared" si="91"/>
        <v>1</v>
      </c>
      <c r="T224" s="174" t="str">
        <f t="shared" si="99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100"/>
        <v>https://d0f6bd738d7f1b3e5a7ca70fe4ff75f0.us-east-1.aws.found.io/app/kibana#/discover/Steve-Slow-Train-Analysis-(2080s-and-2083s)?_g=(refreshInterval:(display:Off,pause:!f,section:0,value:0),time:(from:'2017-11-10T07:29:41-0700',mode:absolute,to:'2017-11-10T09:40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4" s="204" t="str">
        <f>IF(AA224&lt;VLOOKUP(AG224,Variables!$AC$3:$AD$8,2,FALSE),"Y","N")</f>
        <v>Y</v>
      </c>
      <c r="X224" s="204">
        <f t="shared" si="89"/>
        <v>1</v>
      </c>
      <c r="Y224" s="204">
        <f t="shared" si="87"/>
        <v>4.1700000000000001E-2</v>
      </c>
      <c r="Z224" s="204">
        <f t="shared" si="88"/>
        <v>2.4211999999999998</v>
      </c>
      <c r="AA224" s="204">
        <f t="shared" si="101"/>
        <v>2.3794999999999997</v>
      </c>
      <c r="AB224" s="54" t="e">
        <f>VLOOKUP(A224,Enforcements!$C$7:$K$9,8,0)</f>
        <v>#N/A</v>
      </c>
      <c r="AC224" s="51" t="e">
        <f>VLOOKUP(A224,Enforcements!$C$7:$E$9,3,0)</f>
        <v>#N/A</v>
      </c>
      <c r="AD224" s="179">
        <f t="shared" si="102"/>
        <v>903</v>
      </c>
      <c r="AE224" s="77" t="str">
        <f t="shared" si="103"/>
        <v>aws s3 cp s3://rtdc.mdm.uploadarchive.raw/RTDC4032/ "%USERPROFILE%\AppData\Local\Temp\OnboardLogs"\RTDC4032\2017-11-10 --exclude "*" --recursive --include "*20171110*" &amp; "%USERPROFILE%\Documents\GitHub\mrs-test-scripts\Headless Mode &amp; Sideloading\WalkAndUnGZ.bat" "%USERPROFILE%\AppData\Local\Temp\OnboardLogs"\RTDC4032\2017-11-10 &amp; aws s3 cp s3://rtdc.mdm.uploadarchive.raw/RTDC4032/ "%USERPROFILE%\AppData\Local\Temp\OnboardLogs"\RTDC4032\2017-11-11 --exclude "*" --recursive --include "*20171111*" &amp; "%USERPROFILE%\Documents\GitHub\mrs-test-scripts\Headless Mode &amp; Sideloading\WalkAndUnGZ.bat" "%USERPROFILE%\AppData\Local\Temp\OnboardLogs"\RTDC4032\2017-11-11</v>
      </c>
      <c r="AF224" s="74" t="str">
        <f t="shared" si="104"/>
        <v>"C:\Program Files (x86)\AstroGrep\AstroGrep.exe" /e /r /s /spath="%USERPROFILE%\AppData\Local\Temp\OnboardLogs" /stypes="app*4032*20171110*" /stext=" 15:.+((SYSTEM_STATE.+slice.+state.+changed )|(ment ac)|(multiple cpu faults)|(system.+state.+changed )|(\[timeout)|(PRM\|1\|D)|(kpr)|(kdp)|(train st.+moving)|(\|lc)|(penalty))"</v>
      </c>
      <c r="AG224" s="182" t="str">
        <f t="shared" si="105"/>
        <v>Other</v>
      </c>
      <c r="AH224" s="78" t="str">
        <f t="shared" si="92"/>
        <v>"%USERPROFILE%\Documents\GitHub\eaglep3\Utilities\RefineRTDCRunTimes.py" --tripid 903-10 --locoid 4032 --swversion DE.1.0.9.0 --startMP 204:417 --initTime 2017-11-10T08:29:41 --startdatetime 2017-11-10T08:32:18 --delay 74 --endMP 300:24212 --enddatetime 2017-11-10T08:40:37 --enforcementcount 1 &gt;&gt;%USERPROFILE%\Documents\GitHub\eaglep3-reporting\EC\2017-11-10-refined-times.txt</v>
      </c>
      <c r="AI224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{"issue":{"subject":"","project_id":79,"tracker_id":40,"status_id":1,"priority_id":2,"assigned_to_id":338,"start_date":"2017-11-10","description":"","custom_fields":[{"id":1,"name":"Subdivision","value":"Other"},{"id":4,"name":"Milepost","value":"2.4212"},{"id":17,"name":"Train ID","value":"903-10"},{"id":16,"name":"Locomotive ID","value":"4032"},{"id":130,"name":"Impact","value":""},{"id":150,"name":"Time of Event (Mountain Time)","value":"08:40:37"},{"id":151,"name":"Denver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94"/>
        <v>start /low /b %USERPROFILE%\Documents\GitHub\eaglep3\Utilities\DownloadLogsFromS3.py --loco 4032 --day 2017-11-10</v>
      </c>
      <c r="AN224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15:40:37"},{"id":29,"name":"Sharepoint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96"/>
        <v>https://d0f6bd738d7f1b3e5a7ca70fe4ff75f0.us-east-1.aws.found.io/app/kibana#/discover/Steve-Slow-Train-Analysis-(2080s-and-2083s)?_g=(refreshInterval:(display:Off,pause:!f,section:0,value:0),time:(from:'2017-11-10T07:29:41-0700',mode:absolute,to:'2017-11-10T09:40:37-0700'))&amp;_a=(columns:!('Message%20ID',Summary),filters:!(),index:'emp_*',interval:auto,query:(query_string:(analyze_wildcard:!t,query:'%22rtdc.l.rtdc.4032%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798</v>
      </c>
      <c r="B225" s="7">
        <v>4031</v>
      </c>
      <c r="C225" s="21" t="s">
        <v>192</v>
      </c>
      <c r="D225" s="21" t="s">
        <v>1091</v>
      </c>
      <c r="E225" s="13">
        <v>43049.635428240741</v>
      </c>
      <c r="F225" s="13">
        <v>43049.643842592595</v>
      </c>
      <c r="G225" s="7">
        <v>546</v>
      </c>
      <c r="H225" s="21" t="s">
        <v>1092</v>
      </c>
      <c r="I225" s="13">
        <v>43049.649351851855</v>
      </c>
      <c r="J225" s="7">
        <v>1</v>
      </c>
      <c r="K225" s="89" t="str">
        <f t="shared" si="97"/>
        <v>4031/4032</v>
      </c>
      <c r="L225" s="185" t="str">
        <f>VLOOKUP(A225,'Trips&amp;Operators'!$C$1:$G$99911,5,FALSE)</f>
        <v>SMITH MICHAEL</v>
      </c>
      <c r="M225" s="6">
        <f t="shared" si="98"/>
        <v>5.5092592592700385E-3</v>
      </c>
      <c r="N225" s="7">
        <f t="shared" si="90"/>
        <v>7.9333333333488554</v>
      </c>
      <c r="O225" s="7"/>
      <c r="P225" s="7"/>
      <c r="Q225" s="22"/>
      <c r="R225" s="174"/>
      <c r="S225" s="221">
        <f t="shared" si="91"/>
        <v>1</v>
      </c>
      <c r="T225" s="174" t="str">
        <f t="shared" si="99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00"/>
        <v>https://d0f6bd738d7f1b3e5a7ca70fe4ff75f0.us-east-1.aws.found.io/app/kibana#/discover/Steve-Slow-Train-Analysis-(2080s-and-2083s)?_g=(refreshInterval:(display:Off,pause:!f,section:0,value:0),time:(from:'2017-11-10T14:15:01-0700',mode:absolute,to:'2017-11-10T16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5" s="204" t="str">
        <f>IF(AA225&lt;VLOOKUP(AG225,Variables!$AC$3:$AD$8,2,FALSE),"Y","N")</f>
        <v>Y</v>
      </c>
      <c r="X225" s="204">
        <f t="shared" si="89"/>
        <v>1</v>
      </c>
      <c r="Y225" s="204">
        <f t="shared" si="87"/>
        <v>2.3365999999999998</v>
      </c>
      <c r="Z225" s="204">
        <f t="shared" si="88"/>
        <v>6.7500000000000004E-2</v>
      </c>
      <c r="AA225" s="204">
        <f t="shared" si="101"/>
        <v>2.2690999999999999</v>
      </c>
      <c r="AB225" s="54" t="e">
        <f>VLOOKUP(A225,Enforcements!$C$7:$K$9,8,0)</f>
        <v>#N/A</v>
      </c>
      <c r="AC225" s="51" t="e">
        <f>VLOOKUP(A225,Enforcements!$C$7:$E$9,3,0)</f>
        <v>#N/A</v>
      </c>
      <c r="AD225" s="179">
        <f t="shared" si="102"/>
        <v>904</v>
      </c>
      <c r="AE225" s="77" t="str">
        <f t="shared" si="103"/>
        <v>aws s3 cp s3://rtdc.mdm.uploadarchive.raw/RTDC4031/ "%USERPROFILE%\AppData\Local\Temp\OnboardLogs"\RTDC4031\2017-11-10 --exclude "*" --recursive --include "*20171110*" &amp; "%USERPROFILE%\Documents\GitHub\mrs-test-scripts\Headless Mode &amp; Sideloading\WalkAndUnGZ.bat" "%USERPROFILE%\AppData\Local\Temp\OnboardLogs"\RTDC4031\2017-11-10 &amp; aws s3 cp s3://rtdc.mdm.uploadarchive.raw/RTDC4031/ "%USERPROFILE%\AppData\Local\Temp\OnboardLogs"\RTDC4031\2017-11-11 --exclude "*" --recursive --include "*20171111*" &amp; "%USERPROFILE%\Documents\GitHub\mrs-test-scripts\Headless Mode &amp; Sideloading\WalkAndUnGZ.bat" "%USERPROFILE%\AppData\Local\Temp\OnboardLogs"\RTDC4031\2017-11-11</v>
      </c>
      <c r="AF225" s="74" t="str">
        <f t="shared" si="104"/>
        <v>"C:\Program Files (x86)\AstroGrep\AstroGrep.exe" /e /r /s /spath="%USERPROFILE%\AppData\Local\Temp\OnboardLogs" /stypes="app*4031*20171110*" /stext=" 22:.+((SYSTEM_STATE.+slice.+state.+changed )|(ment ac)|(multiple cpu faults)|(system.+state.+changed )|(\[timeout)|(PRM\|1\|D)|(kpr)|(kdp)|(train st.+moving)|(\|lc)|(penalty))"</v>
      </c>
      <c r="AG225" s="182" t="str">
        <f t="shared" si="105"/>
        <v>Other</v>
      </c>
      <c r="AH225" s="78" t="str">
        <f t="shared" si="92"/>
        <v>"%USERPROFILE%\Documents\GitHub\eaglep3\Utilities\RefineRTDCRunTimes.py" --tripid 904-10 --locoid 4031 --swversion DE.1.0.9.0 --startMP 300:23366 --initTime 2017-11-10T15:15:01 --startdatetime 2017-11-10T15:27:08 --delay 546 --endMP 204:675 --enddatetime 2017-11-10T15:35:04 --enforcementcount 1 &gt;&gt;%USERPROFILE%\Documents\GitHub\eaglep3-reporting\EC\2017-11-10-refined-times.txt</v>
      </c>
      <c r="AI225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{"issue":{"subject":"","project_id":79,"tracker_id":40,"status_id":1,"priority_id":2,"assigned_to_id":338,"start_date":"2017-11-10","description":"","custom_fields":[{"id":1,"name":"Subdivision","value":"Other"},{"id":4,"name":"Milepost","value":"0.0675"},{"id":17,"name":"Train ID","value":"904-10"},{"id":16,"name":"Locomotive ID","value":"4031"},{"id":130,"name":"Impact","value":""},{"id":150,"name":"Time of Event (Mountain Time)","value":"15:35:04"},{"id":151,"name":"Denver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94"/>
        <v>start /low /b %USERPROFILE%\Documents\GitHub\eaglep3\Utilities\DownloadLogsFromS3.py --loco 4031 --day 2017-11-10</v>
      </c>
      <c r="AN225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22:35:04"},{"id":29,"name":"Sharepoint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96"/>
        <v>https://d0f6bd738d7f1b3e5a7ca70fe4ff75f0.us-east-1.aws.found.io/app/kibana#/discover/Steve-Slow-Train-Analysis-(2080s-and-2083s)?_g=(refreshInterval:(display:Off,pause:!f,section:0,value:0),time:(from:'2017-11-10T14:15:01-0700',mode:absolute,to:'2017-11-10T16:35:04-0700'))&amp;_a=(columns:!('Message%20ID',Summary),filters:!(),index:'emp_*',interval:auto,query:(query_string:(analyze_wildcard:!t,query:'%22rtdc.l.rtdc.4031%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844</v>
      </c>
      <c r="B226" s="7">
        <v>4031</v>
      </c>
      <c r="C226" s="21" t="s">
        <v>192</v>
      </c>
      <c r="D226" s="21" t="s">
        <v>629</v>
      </c>
      <c r="E226" s="13">
        <v>43049.791435185187</v>
      </c>
      <c r="F226" s="13">
        <v>43049.792928240742</v>
      </c>
      <c r="G226" s="7">
        <v>55</v>
      </c>
      <c r="H226" s="21" t="s">
        <v>1093</v>
      </c>
      <c r="I226" s="13">
        <v>43049.821643518517</v>
      </c>
      <c r="J226" s="7">
        <v>1</v>
      </c>
      <c r="K226" s="89" t="str">
        <f t="shared" si="97"/>
        <v>4031/4032</v>
      </c>
      <c r="L226" s="185" t="str">
        <f>VLOOKUP(A226,'Trips&amp;Operators'!$C$1:$G$99911,5,FALSE)</f>
        <v>SMITH MICHAEL</v>
      </c>
      <c r="M226" s="6">
        <f t="shared" si="98"/>
        <v>2.8715277774608694E-2</v>
      </c>
      <c r="N226" s="7">
        <f t="shared" si="90"/>
        <v>41.349999995436519</v>
      </c>
      <c r="O226" s="7"/>
      <c r="P226" s="7"/>
      <c r="Q226" s="22"/>
      <c r="R226" s="174"/>
      <c r="S226" s="221">
        <f t="shared" si="91"/>
        <v>0</v>
      </c>
      <c r="T226" s="174" t="str">
        <f t="shared" si="99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100"/>
        <v>https://d0f6bd738d7f1b3e5a7ca70fe4ff75f0.us-east-1.aws.found.io/app/kibana#/discover/Steve-Slow-Train-Analysis-(2080s-and-2083s)?_g=(refreshInterval:(display:Off,pause:!f,section:0,value:0),time:(from:'2017-11-10T17:59:40-0700',mode:absolute,to:'2017-11-10T20:43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6" s="204" t="str">
        <f>IF(AA226&lt;VLOOKUP(AG226,Variables!$AC$3:$AD$8,2,FALSE),"Y","N")</f>
        <v>Y</v>
      </c>
      <c r="X226" s="204">
        <f t="shared" si="89"/>
        <v>2</v>
      </c>
      <c r="Y226" s="204">
        <f t="shared" si="87"/>
        <v>5.8655999999999997</v>
      </c>
      <c r="Z226" s="204">
        <f t="shared" si="88"/>
        <v>2.8767</v>
      </c>
      <c r="AA226" s="204">
        <f t="shared" si="101"/>
        <v>2.9888999999999997</v>
      </c>
      <c r="AB226" s="54" t="e">
        <f>VLOOKUP(A226,Enforcements!$C$7:$K$9,8,0)</f>
        <v>#N/A</v>
      </c>
      <c r="AC226" s="51" t="e">
        <f>VLOOKUP(A226,Enforcements!$C$7:$E$9,3,0)</f>
        <v>#N/A</v>
      </c>
      <c r="AD226" s="179">
        <f t="shared" si="102"/>
        <v>906</v>
      </c>
      <c r="AE226" s="77" t="str">
        <f t="shared" si="103"/>
        <v>aws s3 cp s3://rtdc.mdm.uploadarchive.raw/RTDC4031/ "%USERPROFILE%\AppData\Local\Temp\OnboardLogs"\RTDC4031\2017-11-10 --exclude "*" --recursive --include "*20171110*" &amp; "%USERPROFILE%\Documents\GitHub\mrs-test-scripts\Headless Mode &amp; Sideloading\WalkAndUnGZ.bat" "%USERPROFILE%\AppData\Local\Temp\OnboardLogs"\RTDC4031\2017-11-10 &amp; aws s3 cp s3://rtdc.mdm.uploadarchive.raw/RTDC4031/ "%USERPROFILE%\AppData\Local\Temp\OnboardLogs"\RTDC4031\2017-11-11 --exclude "*" --recursive --include "*20171111*" &amp; "%USERPROFILE%\Documents\GitHub\mrs-test-scripts\Headless Mode &amp; Sideloading\WalkAndUnGZ.bat" "%USERPROFILE%\AppData\Local\Temp\OnboardLogs"\RTDC4031\2017-11-11</v>
      </c>
      <c r="AF226" s="74" t="str">
        <f t="shared" si="104"/>
        <v>"C:\Program Files (x86)\AstroGrep\AstroGrep.exe" /e /r /s /spath="%USERPROFILE%\AppData\Local\Temp\OnboardLogs" /stypes="app*4031*20171111*" /stext=" 02:.+((SYSTEM_STATE.+slice.+state.+changed )|(ment ac)|(multiple cpu faults)|(system.+state.+changed )|(\[timeout)|(PRM\|1\|D)|(kpr)|(kdp)|(train st.+moving)|(\|lc)|(penalty))"</v>
      </c>
      <c r="AG226" s="182" t="str">
        <f t="shared" si="105"/>
        <v>Other</v>
      </c>
      <c r="AH226" s="78" t="str">
        <f t="shared" si="92"/>
        <v>"%USERPROFILE%\Documents\GitHub\eaglep3\Utilities\RefineRTDCRunTimes.py" --tripid 906-10 --locoid 4031 --swversion DE.1.0.9.0 --startMP 300:58656 --initTime 2017-11-10T18:59:40 --startdatetime 2017-11-10T19:01:49 --delay 55 --endMP 300:28767 --enddatetime 2017-11-10T19:43:10 --enforcementcount 1 &gt;&gt;%USERPROFILE%\Documents\GitHub\eaglep3-reporting\EC\2017-11-10-refined-times.txt</v>
      </c>
      <c r="AI226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{"issue":{"subject":"","project_id":79,"tracker_id":40,"status_id":1,"priority_id":2,"assigned_to_id":338,"start_date":"2017-11-10","description":"","custom_fields":[{"id":1,"name":"Subdivision","value":"Other"},{"id":4,"name":"Milepost","value":"2.8767"},{"id":17,"name":"Train ID","value":"906-10"},{"id":16,"name":"Locomotive ID","value":"4031"},{"id":130,"name":"Impact","value":""},{"id":150,"name":"Time of Event (Mountain Time)","value":"19:43:10"},{"id":151,"name":"Denver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94"/>
        <v>start /low /b %USERPROFILE%\Documents\GitHub\eaglep3\Utilities\DownloadLogsFromS3.py --loco 4031 --day 2017-11-10</v>
      </c>
      <c r="AN226" s="151" t="str">
        <f t="shared" si="9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02:43:10"},{"id":29,"name":"Sharepoint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96"/>
        <v>https://d0f6bd738d7f1b3e5a7ca70fe4ff75f0.us-east-1.aws.found.io/app/kibana#/discover/Steve-Slow-Train-Analysis-(2080s-and-2083s)?_g=(refreshInterval:(display:Off,pause:!f,section:0,value:0),time:(from:'2017-11-10T17:59:40-0700',mode:absolute,to:'2017-11-10T20:43:10-0700'))&amp;_a=(columns:!('Message%20ID',Summary),filters:!(),index:'emp_*',interval:auto,query:(query_string:(analyze_wildcard:!t,query:'%22rtdc.l.rtdc.4031%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873</v>
      </c>
      <c r="B227" s="7">
        <v>4007</v>
      </c>
      <c r="C227" s="21" t="s">
        <v>192</v>
      </c>
      <c r="D227" s="21" t="s">
        <v>1094</v>
      </c>
      <c r="E227" s="13">
        <v>43049.976782407408</v>
      </c>
      <c r="F227" s="13">
        <v>43049.978645833333</v>
      </c>
      <c r="G227" s="7">
        <v>61</v>
      </c>
      <c r="H227" s="21" t="s">
        <v>1095</v>
      </c>
      <c r="I227" s="13">
        <v>43049.986747685187</v>
      </c>
      <c r="J227" s="7">
        <v>1</v>
      </c>
      <c r="K227" s="89" t="str">
        <f t="shared" si="97"/>
        <v>4007/4008</v>
      </c>
      <c r="L227" s="185" t="str">
        <f>VLOOKUP(A227,'Trips&amp;Operators'!$C$1:$G$99911,5,FALSE)</f>
        <v>SMITH MICHAEL</v>
      </c>
      <c r="M227" s="6">
        <f t="shared" si="98"/>
        <v>8.1018518540076911E-3</v>
      </c>
      <c r="N227" s="7">
        <f t="shared" si="90"/>
        <v>11.666666669771075</v>
      </c>
      <c r="O227" s="7"/>
      <c r="P227" s="7"/>
      <c r="Q227" s="22"/>
      <c r="R227" s="174"/>
      <c r="S227" s="221">
        <f t="shared" si="91"/>
        <v>0</v>
      </c>
      <c r="T227" s="174" t="str">
        <f t="shared" si="99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100"/>
        <v>https://d0f6bd738d7f1b3e5a7ca70fe4ff75f0.us-east-1.aws.found.io/app/kibana#/discover/Steve-Slow-Train-Analysis-(2080s-and-2083s)?_g=(refreshInterval:(display:Off,pause:!f,section:0,value:0),time:(from:'2017-11-10T22:26:34-0700',mode:absolute,to:'2017-11-11T00:40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7" s="204" t="str">
        <f>IF(AA227&lt;VLOOKUP(AG227,Variables!$AC$3:$AD$8,2,FALSE),"Y","N")</f>
        <v>Y</v>
      </c>
      <c r="X227" s="204">
        <f t="shared" si="89"/>
        <v>2</v>
      </c>
      <c r="Y227" s="204">
        <f t="shared" si="87"/>
        <v>5.8632</v>
      </c>
      <c r="Z227" s="204">
        <f t="shared" si="88"/>
        <v>2.8784000000000001</v>
      </c>
      <c r="AA227" s="204">
        <f t="shared" si="101"/>
        <v>2.9847999999999999</v>
      </c>
      <c r="AB227" s="54" t="e">
        <f>VLOOKUP(A227,Enforcements!$C$7:$K$9,8,0)</f>
        <v>#N/A</v>
      </c>
      <c r="AC227" s="51" t="e">
        <f>VLOOKUP(A227,Enforcements!$C$7:$E$9,3,0)</f>
        <v>#N/A</v>
      </c>
      <c r="AD227" s="179">
        <f t="shared" si="102"/>
        <v>908</v>
      </c>
      <c r="AE227" s="77" t="str">
        <f t="shared" si="103"/>
        <v>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 &amp; aws s3 cp s3://rtdc.mdm.uploadarchive.raw/RTDC4007/ "%USERPROFILE%\AppData\Local\Temp\OnboardLogs"\RTDC4007\2017-11-11 --exclude "*" --recursive --include "*20171111*" &amp; "%USERPROFILE%\Documents\GitHub\mrs-test-scripts\Headless Mode &amp; Sideloading\WalkAndUnGZ.bat" "%USERPROFILE%\AppData\Local\Temp\OnboardLogs"\RTDC4007\2017-11-11</v>
      </c>
      <c r="AF227" s="74" t="str">
        <f t="shared" si="104"/>
        <v>"C:\Program Files (x86)\AstroGrep\AstroGrep.exe" /e /r /s /spath="%USERPROFILE%\AppData\Local\Temp\OnboardLogs" /stypes="app*4007*20171111*" /stext=" 06:.+((SYSTEM_STATE.+slice.+state.+changed )|(ment ac)|(multiple cpu faults)|(system.+state.+changed )|(\[timeout)|(PRM\|1\|D)|(kpr)|(kdp)|(train st.+moving)|(\|lc)|(penalty))"</v>
      </c>
      <c r="AG227" s="182" t="str">
        <f t="shared" si="105"/>
        <v>Other</v>
      </c>
      <c r="AH227" s="78" t="str">
        <f t="shared" si="92"/>
        <v>"%USERPROFILE%\Documents\GitHub\eaglep3\Utilities\RefineRTDCRunTimes.py" --tripid 908-10 --locoid 4007 --swversion DE.1.0.9.0 --startMP 300:58632 --initTime 2017-11-10T23:26:34 --startdatetime 2017-11-10T23:29:15 --delay 61 --endMP 300:28784 --enddatetime 2017-11-10T23:40:55 --enforcementcount 1 &gt;&gt;%USERPROFILE%\Documents\GitHub\eaglep3-reporting\EC\2017-11-10-refined-times.txt</v>
      </c>
      <c r="AI227" s="96" t="str">
        <f t="shared" si="93"/>
        <v>echo {"issue":{"subject":"","project_id":79,"tracker_id":40,"status_id":1,"priority_id":2,"assigned_to_id":338,"start_date":"2017-11-10","description":"","custom_fields":[{"id":1,"name":"Subdivision","value":"Other"},{"id":4,"name":"Milepost","value":"2.8784"},{"id":17,"name":"Train ID","value":"908-10"},{"id":16,"name":"Locomotive ID","value":"4007"},{"id":130,"name":"Impact","value":""},{"id":150,"name":"Time of Event (Mountain Time)","value":"23:40:55"},{"id":151,"name":"Denver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94"/>
        <v>start /low /b %USERPROFILE%\Documents\GitHub\eaglep3\Utilities\DownloadLogsFromS3.py --loco 4007 --day 2017-11-10</v>
      </c>
      <c r="AN227" s="151" t="str">
        <f t="shared" si="9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06:40:55"},{"id":29,"name":"Sharepoint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96"/>
        <v>https://d0f6bd738d7f1b3e5a7ca70fe4ff75f0.us-east-1.aws.found.io/app/kibana#/discover/Steve-Slow-Train-Analysis-(2080s-and-2083s)?_g=(refreshInterval:(display:Off,pause:!f,section:0,value:0),time:(from:'2017-11-10T22:26:34-0700',mode:absolute,to:'2017-11-11T00:40:55-0700'))&amp;_a=(columns:!('Message%20ID',Summary),filters:!(),index:'emp_*',interval:auto,query:(query_string:(analyze_wildcard:!t,query:'%22rtdc.l.rtdc.4007%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657</v>
      </c>
      <c r="B228" s="7">
        <v>4018</v>
      </c>
      <c r="C228" s="21" t="s">
        <v>192</v>
      </c>
      <c r="D228" s="21" t="s">
        <v>1009</v>
      </c>
      <c r="E228" s="13">
        <v>43049.134340277778</v>
      </c>
      <c r="F228" s="13">
        <v>43049.138032407405</v>
      </c>
      <c r="G228" s="7">
        <v>223</v>
      </c>
      <c r="H228" s="21" t="s">
        <v>1010</v>
      </c>
      <c r="I228" s="13">
        <v>43049.138993055552</v>
      </c>
      <c r="J228" s="7">
        <v>1</v>
      </c>
      <c r="K228" s="89" t="str">
        <f t="shared" si="97"/>
        <v>4017/4018</v>
      </c>
      <c r="L228" s="185" t="str">
        <f>VLOOKUP(A228,'Trips&amp;Operators'!$C$1:$G$99911,5,FALSE)</f>
        <v>ROCHA YAOTL</v>
      </c>
      <c r="M228" s="6">
        <f t="shared" si="98"/>
        <v>9.6064814715646207E-4</v>
      </c>
      <c r="N228" s="7">
        <f t="shared" si="90"/>
        <v>1.3833333319053054</v>
      </c>
      <c r="O228" s="7"/>
      <c r="P228" s="7"/>
      <c r="Q228" s="22"/>
      <c r="R228" s="174"/>
      <c r="S228" s="221">
        <f t="shared" si="91"/>
        <v>0</v>
      </c>
      <c r="T228" s="174" t="str">
        <f t="shared" si="99"/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100"/>
        <v>https://d0f6bd738d7f1b3e5a7ca70fe4ff75f0.us-east-1.aws.found.io/app/kibana#/discover/Steve-Slow-Train-Analysis-(2080s-and-2083s)?_g=(refreshInterval:(display:Off,pause:!f,section:0,value:0),time:(from:'2017-11-10T02:13:27-0700',mode:absolute,to:'2017-11-10T04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8" s="204" t="str">
        <f>IF(AA228&lt;VLOOKUP(AG228,Variables!$AC$3:$AD$8,2,FALSE),"Y","N")</f>
        <v>Y</v>
      </c>
      <c r="X228" s="204">
        <f t="shared" si="89"/>
        <v>-857</v>
      </c>
      <c r="Y228" s="204">
        <f t="shared" si="87"/>
        <v>4.3999999999999997E-2</v>
      </c>
      <c r="Z228" s="204">
        <f t="shared" si="88"/>
        <v>0.34670000000000001</v>
      </c>
      <c r="AA228" s="204">
        <f t="shared" si="101"/>
        <v>0.30270000000000002</v>
      </c>
      <c r="AB228" s="54" t="e">
        <f>VLOOKUP(A228,Enforcements!$C$7:$K$9,8,0)</f>
        <v>#N/A</v>
      </c>
      <c r="AC228" s="51" t="e">
        <f>VLOOKUP(A228,Enforcements!$C$7:$E$9,3,0)</f>
        <v>#N/A</v>
      </c>
      <c r="AD228" s="179">
        <f t="shared" si="102"/>
        <v>51</v>
      </c>
      <c r="AE228" s="77" t="str">
        <f t="shared" si="103"/>
        <v>aws s3 cp s3://rtdc.mdm.uploadarchive.raw/RTDC4018/ "%USERPROFILE%\AppData\Local\Temp\OnboardLogs"\RTDC4018\2017-11-10 --exclude "*" --recursive --include "*20171110*" &amp; "%USERPROFILE%\Documents\GitHub\mrs-test-scripts\Headless Mode &amp; Sideloading\WalkAndUnGZ.bat" "%USERPROFILE%\AppData\Local\Temp\OnboardLogs"\RTDC4018\2017-11-10 &amp; aws s3 cp s3://rtdc.mdm.uploadarchive.raw/RTDC4018/ "%USERPROFILE%\AppData\Local\Temp\OnboardLogs"\RTDC4018\2017-11-11 --exclude "*" --recursive --include "*20171111*" &amp; "%USERPROFILE%\Documents\GitHub\mrs-test-scripts\Headless Mode &amp; Sideloading\WalkAndUnGZ.bat" "%USERPROFILE%\AppData\Local\Temp\OnboardLogs"\RTDC4018\2017-11-11</v>
      </c>
      <c r="AF228" s="74" t="str">
        <f t="shared" si="104"/>
        <v>"C:\Program Files (x86)\AstroGrep\AstroGrep.exe" /e /r /s /spath="%USERPROFILE%\AppData\Local\Temp\OnboardLogs" /stypes="app*4018*20171110*" /stext=" 10:.+((SYSTEM_STATE.+slice.+state.+changed )|(ment ac)|(multiple cpu faults)|(system.+state.+changed )|(\[timeout)|(PRM\|1\|D)|(kpr)|(kdp)|(train st.+moving)|(\|lc)|(penalty))"</v>
      </c>
      <c r="AG228" s="182" t="str">
        <f t="shared" si="105"/>
        <v>Shuttle/Test</v>
      </c>
      <c r="AH228" s="78" t="str">
        <f t="shared" si="92"/>
        <v>"%USERPROFILE%\Documents\GitHub\eaglep3\Utilities\RefineRTDCRunTimes.py" --tripid 51-10 --locoid 4018 --swversion DE.1.0.9.0 --startMP 204:440 --initTime 2017-11-10T03:13:27 --startdatetime 2017-11-10T03:18:46 --delay 223 --endMP 204:3467 --enddatetime 2017-11-10T03:20:09 --enforcementcount 1 &gt;&gt;%USERPROFILE%\Documents\GitHub\eaglep3-reporting\EC\2017-11-10-refined-times.txt</v>
      </c>
      <c r="AI228" s="96" t="str">
        <f t="shared" si="93"/>
        <v>echo {"issue":{"subject":"","project_id":79,"tracker_id":40,"status_id":1,"priority_id":2,"assigned_to_id":338,"start_date":"2017-11-10","description":"","custom_fields":[{"id":1,"name":"Subdivision","value":"Shuttle/Test"},{"id":4,"name":"Milepost","value":"0.3467"},{"id":17,"name":"Train ID","value":"51-10"},{"id":16,"name":"Locomotive ID","value":"4018"},{"id":130,"name":"Impact","value":""},{"id":150,"name":"Time of Event (Mountain Time)","value":"03:20:09"},{"id":151,"name":"Denver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94"/>
        <v>start /low /b %USERPROFILE%\Documents\GitHub\eaglep3\Utilities\DownloadLogsFromS3.py --loco 4018 --day 2017-11-10</v>
      </c>
      <c r="AN228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10:20:09"},{"id":29,"name":"Sharepoint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96"/>
        <v>https://d0f6bd738d7f1b3e5a7ca70fe4ff75f0.us-east-1.aws.found.io/app/kibana#/discover/Steve-Slow-Train-Analysis-(2080s-and-2083s)?_g=(refreshInterval:(display:Off,pause:!f,section:0,value:0),time:(from:'2017-11-10T02:13:27-0700',mode:absolute,to:'2017-11-10T04:20:09-0700'))&amp;_a=(columns:!('Message%20ID',Summary),filters:!(),index:'emp_*',interval:auto,query:(query_string:(analyze_wildcard:!t,query:'%22rtdc.l.rtdc.4018%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657</v>
      </c>
      <c r="B229" s="7">
        <v>4025</v>
      </c>
      <c r="C229" s="21" t="s">
        <v>192</v>
      </c>
      <c r="D229" s="21" t="s">
        <v>1011</v>
      </c>
      <c r="E229" s="13">
        <v>43049.44672453704</v>
      </c>
      <c r="F229" s="13">
        <v>43049.449849537035</v>
      </c>
      <c r="G229" s="7">
        <v>59</v>
      </c>
      <c r="H229" s="21" t="s">
        <v>1012</v>
      </c>
      <c r="I229" s="13">
        <v>43049.455462962964</v>
      </c>
      <c r="J229" s="7">
        <v>1</v>
      </c>
      <c r="K229" s="89" t="str">
        <f t="shared" si="97"/>
        <v>4025/4026</v>
      </c>
      <c r="L229" s="185" t="str">
        <f>VLOOKUP(A229,'Trips&amp;Operators'!$C$1:$G$99911,5,FALSE)</f>
        <v>ROCHA YAOTL</v>
      </c>
      <c r="M229" s="6">
        <f t="shared" si="98"/>
        <v>5.6134259284590371E-3</v>
      </c>
      <c r="N229" s="7">
        <f t="shared" si="90"/>
        <v>8.0833333369810134</v>
      </c>
      <c r="O229" s="7"/>
      <c r="P229" s="7"/>
      <c r="Q229" s="22"/>
      <c r="R229" s="174"/>
      <c r="S229" s="221">
        <f t="shared" si="91"/>
        <v>0</v>
      </c>
      <c r="T229" s="174" t="str">
        <f t="shared" si="99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00"/>
        <v>https://d0f6bd738d7f1b3e5a7ca70fe4ff75f0.us-east-1.aws.found.io/app/kibana#/discover/Steve-Slow-Train-Analysis-(2080s-and-2083s)?_g=(refreshInterval:(display:Off,pause:!f,section:0,value:0),time:(from:'2017-11-10T09:43:17-0700',mode:absolute,to:'2017-11-10T11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9" s="204" t="str">
        <f>IF(AA229&lt;VLOOKUP(AG229,Variables!$AC$3:$AD$8,2,FALSE),"Y","N")</f>
        <v>Y</v>
      </c>
      <c r="X229" s="204">
        <f t="shared" si="89"/>
        <v>0</v>
      </c>
      <c r="Y229" s="204">
        <f t="shared" si="87"/>
        <v>2.2103999999999999</v>
      </c>
      <c r="Z229" s="204">
        <f t="shared" si="88"/>
        <v>1.7500000000000002E-2</v>
      </c>
      <c r="AA229" s="204">
        <f t="shared" si="101"/>
        <v>2.1928999999999998</v>
      </c>
      <c r="AB229" s="54" t="e">
        <f>VLOOKUP(A229,Enforcements!$C$7:$K$9,8,0)</f>
        <v>#N/A</v>
      </c>
      <c r="AC229" s="51" t="e">
        <f>VLOOKUP(A229,Enforcements!$C$7:$E$9,3,0)</f>
        <v>#N/A</v>
      </c>
      <c r="AD229" s="179">
        <f t="shared" si="102"/>
        <v>51</v>
      </c>
      <c r="AE229" s="77" t="str">
        <f t="shared" si="103"/>
        <v>aws s3 cp s3://rtdc.mdm.uploadarchive.raw/RTDC4025/ "%USERPROFILE%\AppData\Local\Temp\OnboardLogs"\RTDC4025\2017-11-10 --exclude "*" --recursive --include "*20171110*" &amp; "%USERPROFILE%\Documents\GitHub\mrs-test-scripts\Headless Mode &amp; Sideloading\WalkAndUnGZ.bat" "%USERPROFILE%\AppData\Local\Temp\OnboardLogs"\RTDC4025\2017-11-10 &amp; aws s3 cp s3://rtdc.mdm.uploadarchive.raw/RTDC4025/ "%USERPROFILE%\AppData\Local\Temp\OnboardLogs"\RTDC4025\2017-11-11 --exclude "*" --recursive --include "*20171111*" &amp; "%USERPROFILE%\Documents\GitHub\mrs-test-scripts\Headless Mode &amp; Sideloading\WalkAndUnGZ.bat" "%USERPROFILE%\AppData\Local\Temp\OnboardLogs"\RTDC4025\2017-11-11</v>
      </c>
      <c r="AF229" s="74" t="str">
        <f t="shared" si="104"/>
        <v>"C:\Program Files (x86)\AstroGrep\AstroGrep.exe" /e /r /s /spath="%USERPROFILE%\AppData\Local\Temp\OnboardLogs" /stypes="app*4025*20171110*" /stext=" 17:.+((SYSTEM_STATE.+slice.+state.+changed )|(ment ac)|(multiple cpu faults)|(system.+state.+changed )|(\[timeout)|(PRM\|1\|D)|(kpr)|(kdp)|(train st.+moving)|(\|lc)|(penalty))"</v>
      </c>
      <c r="AG229" s="182" t="str">
        <f t="shared" si="105"/>
        <v>Shuttle/Test</v>
      </c>
      <c r="AH229" s="78" t="str">
        <f t="shared" si="92"/>
        <v>"%USERPROFILE%\Documents\GitHub\eaglep3\Utilities\RefineRTDCRunTimes.py" --tripid 51-10 --locoid 4025 --swversion DE.1.0.9.0 --startMP 300:22104 --initTime 2017-11-10T10:43:17 --startdatetime 2017-11-10T10:47:47 --delay 59 --endMP 204:175 --enddatetime 2017-11-10T10:55:52 --enforcementcount 1 &gt;&gt;%USERPROFILE%\Documents\GitHub\eaglep3-reporting\EC\2017-11-10-refined-times.txt</v>
      </c>
      <c r="AI229" s="96" t="str">
        <f t="shared" si="93"/>
        <v>echo {"issue":{"subject":"","project_id":79,"tracker_id":40,"status_id":1,"priority_id":2,"assigned_to_id":338,"start_date":"2017-11-10","description":"","custom_fields":[{"id":1,"name":"Subdivision","value":"Shuttle/Test"},{"id":4,"name":"Milepost","value":"0.0175"},{"id":17,"name":"Train ID","value":"51-10"},{"id":16,"name":"Locomotive ID","value":"4025"},{"id":130,"name":"Impact","value":""},{"id":150,"name":"Time of Event (Mountain Time)","value":"10:55:52"},{"id":151,"name":"Denver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94"/>
        <v>start /low /b %USERPROFILE%\Documents\GitHub\eaglep3\Utilities\DownloadLogsFromS3.py --loco 4025 --day 2017-11-10</v>
      </c>
      <c r="AN229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17:55:52"},{"id":29,"name":"Sharepoint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96"/>
        <v>https://d0f6bd738d7f1b3e5a7ca70fe4ff75f0.us-east-1.aws.found.io/app/kibana#/discover/Steve-Slow-Train-Analysis-(2080s-and-2083s)?_g=(refreshInterval:(display:Off,pause:!f,section:0,value:0),time:(from:'2017-11-10T09:43:17-0700',mode:absolute,to:'2017-11-10T11:55:52-0700'))&amp;_a=(columns:!('Message%20ID',Summary),filters:!(),index:'emp_*',interval:auto,query:(query_string:(analyze_wildcard:!t,query:'%22rtdc.l.rtdc.4025%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657</v>
      </c>
      <c r="B230" s="7">
        <v>4026</v>
      </c>
      <c r="C230" s="21" t="s">
        <v>192</v>
      </c>
      <c r="D230" s="21" t="s">
        <v>1013</v>
      </c>
      <c r="E230" s="13">
        <v>43049.476018518515</v>
      </c>
      <c r="F230" s="13">
        <v>43049.478854166664</v>
      </c>
      <c r="G230" s="7">
        <v>182</v>
      </c>
      <c r="H230" s="21" t="s">
        <v>1014</v>
      </c>
      <c r="I230" s="13">
        <v>43049.484270833331</v>
      </c>
      <c r="J230" s="7">
        <v>1</v>
      </c>
      <c r="K230" s="89" t="str">
        <f t="shared" si="97"/>
        <v>4025/4026</v>
      </c>
      <c r="L230" s="185" t="str">
        <f>VLOOKUP(A230,'Trips&amp;Operators'!$C$1:$G$99911,5,FALSE)</f>
        <v>ROCHA YAOTL</v>
      </c>
      <c r="M230" s="6">
        <f t="shared" si="98"/>
        <v>5.4166666668606922E-3</v>
      </c>
      <c r="N230" s="7">
        <f t="shared" si="90"/>
        <v>7.8000000002793968</v>
      </c>
      <c r="O230" s="7"/>
      <c r="P230" s="7"/>
      <c r="Q230" s="22"/>
      <c r="R230" s="174"/>
      <c r="S230" s="221">
        <f t="shared" si="91"/>
        <v>1</v>
      </c>
      <c r="T230" s="174" t="str">
        <f t="shared" si="99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 t="shared" si="100"/>
        <v>https://d0f6bd738d7f1b3e5a7ca70fe4ff75f0.us-east-1.aws.found.io/app/kibana#/discover/Steve-Slow-Train-Analysis-(2080s-and-2083s)?_g=(refreshInterval:(display:Off,pause:!f,section:0,value:0),time:(from:'2017-11-10T10:25:28-0700',mode:absolute,to:'2017-11-10T12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0" s="204" t="str">
        <f>IF(AA230&lt;VLOOKUP(AG230,Variables!$AC$3:$AD$8,2,FALSE),"Y","N")</f>
        <v>Y</v>
      </c>
      <c r="X230" s="204">
        <f t="shared" si="89"/>
        <v>0</v>
      </c>
      <c r="Y230" s="204">
        <f t="shared" si="87"/>
        <v>4.7E-2</v>
      </c>
      <c r="Z230" s="204">
        <f t="shared" si="88"/>
        <v>2.4235000000000002</v>
      </c>
      <c r="AA230" s="204">
        <f t="shared" si="101"/>
        <v>2.3765000000000001</v>
      </c>
      <c r="AB230" s="54" t="e">
        <f>VLOOKUP(A230,Enforcements!$C$7:$K$9,8,0)</f>
        <v>#N/A</v>
      </c>
      <c r="AC230" s="51" t="e">
        <f>VLOOKUP(A230,Enforcements!$C$7:$E$9,3,0)</f>
        <v>#N/A</v>
      </c>
      <c r="AD230" s="179">
        <f t="shared" si="102"/>
        <v>51</v>
      </c>
      <c r="AE230" s="77" t="str">
        <f t="shared" si="103"/>
        <v>aws s3 cp s3://rtdc.mdm.uploadarchive.raw/RTDC4026/ "%USERPROFILE%\AppData\Local\Temp\OnboardLogs"\RTDC4026\2017-11-10 --exclude "*" --recursive --include "*20171110*" &amp; "%USERPROFILE%\Documents\GitHub\mrs-test-scripts\Headless Mode &amp; Sideloading\WalkAndUnGZ.bat" "%USERPROFILE%\AppData\Local\Temp\OnboardLogs"\RTDC4026\2017-11-10 &amp; aws s3 cp s3://rtdc.mdm.uploadarchive.raw/RTDC4026/ "%USERPROFILE%\AppData\Local\Temp\OnboardLogs"\RTDC4026\2017-11-11 --exclude "*" --recursive --include "*20171111*" &amp; "%USERPROFILE%\Documents\GitHub\mrs-test-scripts\Headless Mode &amp; Sideloading\WalkAndUnGZ.bat" "%USERPROFILE%\AppData\Local\Temp\OnboardLogs"\RTDC4026\2017-11-11</v>
      </c>
      <c r="AF230" s="74" t="str">
        <f t="shared" si="104"/>
        <v>"C:\Program Files (x86)\AstroGrep\AstroGrep.exe" /e /r /s /spath="%USERPROFILE%\AppData\Local\Temp\OnboardLogs" /stypes="app*4026*20171110*" /stext=" 18:.+((SYSTEM_STATE.+slice.+state.+changed )|(ment ac)|(multiple cpu faults)|(system.+state.+changed )|(\[timeout)|(PRM\|1\|D)|(kpr)|(kdp)|(train st.+moving)|(\|lc)|(penalty))"</v>
      </c>
      <c r="AG230" s="182" t="str">
        <f t="shared" si="105"/>
        <v>Shuttle/Test</v>
      </c>
      <c r="AH230" s="78" t="str">
        <f t="shared" si="92"/>
        <v>"%USERPROFILE%\Documents\GitHub\eaglep3\Utilities\RefineRTDCRunTimes.py" --tripid 51-10 --locoid 4026 --swversion DE.1.0.9.0 --startMP 204:470 --initTime 2017-11-10T11:25:28 --startdatetime 2017-11-10T11:29:33 --delay 182 --endMP 300:24235 --enddatetime 2017-11-10T11:37:21 --enforcementcount 1 &gt;&gt;%USERPROFILE%\Documents\GitHub\eaglep3-reporting\EC\2017-11-10-refined-times.txt</v>
      </c>
      <c r="AI230" s="96" t="str">
        <f t="shared" si="93"/>
        <v>echo {"issue":{"subject":"","project_id":79,"tracker_id":40,"status_id":1,"priority_id":2,"assigned_to_id":338,"start_date":"2017-11-10","description":"","custom_fields":[{"id":1,"name":"Subdivision","value":"Shuttle/Test"},{"id":4,"name":"Milepost","value":"2.4235"},{"id":17,"name":"Train ID","value":"51-10"},{"id":16,"name":"Locomotive ID","value":"4026"},{"id":130,"name":"Impact","value":""},{"id":150,"name":"Time of Event (Mountain Time)","value":"11:37:21"},{"id":151,"name":"Denver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94"/>
        <v>start /low /b %USERPROFILE%\Documents\GitHub\eaglep3\Utilities\DownloadLogsFromS3.py --loco 4026 --day 2017-11-10</v>
      </c>
      <c r="AN230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18:37:21"},{"id":29,"name":"Sharepoint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96"/>
        <v>https://d0f6bd738d7f1b3e5a7ca70fe4ff75f0.us-east-1.aws.found.io/app/kibana#/discover/Steve-Slow-Train-Analysis-(2080s-and-2083s)?_g=(refreshInterval:(display:Off,pause:!f,section:0,value:0),time:(from:'2017-11-10T10:25:28-0700',mode:absolute,to:'2017-11-10T12:37:21-0700'))&amp;_a=(columns:!('Message%20ID',Summary),filters:!(),index:'emp_*',interval:auto,query:(query_string:(analyze_wildcard:!t,query:'%22rtdc.l.rtdc.4026%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660</v>
      </c>
      <c r="B231" s="7">
        <v>4017</v>
      </c>
      <c r="C231" s="21" t="s">
        <v>192</v>
      </c>
      <c r="D231" s="21" t="s">
        <v>1015</v>
      </c>
      <c r="E231" s="13">
        <v>43049.139756944445</v>
      </c>
      <c r="F231" s="13">
        <v>43049.141087962962</v>
      </c>
      <c r="G231" s="7">
        <v>63</v>
      </c>
      <c r="H231" s="21" t="s">
        <v>564</v>
      </c>
      <c r="I231" s="13">
        <v>43049.142025462963</v>
      </c>
      <c r="J231" s="7">
        <v>1</v>
      </c>
      <c r="K231" s="89" t="str">
        <f t="shared" si="97"/>
        <v>4017/4018</v>
      </c>
      <c r="L231" s="185" t="str">
        <f>VLOOKUP(A231,'Trips&amp;Operators'!$C$1:$G$99911,5,FALSE)</f>
        <v>ROCHA YAOTL</v>
      </c>
      <c r="M231" s="6">
        <f t="shared" si="98"/>
        <v>9.3750000087311491E-4</v>
      </c>
      <c r="N231" s="7">
        <f t="shared" si="90"/>
        <v>1.3500000012572855</v>
      </c>
      <c r="O231" s="7"/>
      <c r="P231" s="7"/>
      <c r="Q231" s="22"/>
      <c r="R231" s="174"/>
      <c r="S231" s="221">
        <f t="shared" si="91"/>
        <v>0</v>
      </c>
      <c r="T231" s="174" t="str">
        <f t="shared" si="99"/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100"/>
        <v>https://d0f6bd738d7f1b3e5a7ca70fe4ff75f0.us-east-1.aws.found.io/app/kibana#/discover/Steve-Slow-Train-Analysis-(2080s-and-2083s)?_g=(refreshInterval:(display:Off,pause:!f,section:0,value:0),time:(from:'2017-11-10T02:21:15-0700',mode:absolute,to:'2017-11-10T04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1" s="204" t="str">
        <f>IF(AA231&lt;VLOOKUP(AG231,Variables!$AC$3:$AD$8,2,FALSE),"Y","N")</f>
        <v>Y</v>
      </c>
      <c r="X231" s="204">
        <f t="shared" si="89"/>
        <v>1</v>
      </c>
      <c r="Y231" s="204">
        <f t="shared" si="87"/>
        <v>0.3145</v>
      </c>
      <c r="Z231" s="204">
        <f t="shared" si="88"/>
        <v>0.1171</v>
      </c>
      <c r="AA231" s="204">
        <f t="shared" si="101"/>
        <v>0.19740000000000002</v>
      </c>
      <c r="AB231" s="54" t="e">
        <f>VLOOKUP(A231,Enforcements!$C$7:$K$9,8,0)</f>
        <v>#N/A</v>
      </c>
      <c r="AC231" s="51" t="e">
        <f>VLOOKUP(A231,Enforcements!$C$7:$E$9,3,0)</f>
        <v>#N/A</v>
      </c>
      <c r="AD231" s="179">
        <f t="shared" si="102"/>
        <v>52</v>
      </c>
      <c r="AE231" s="77" t="str">
        <f t="shared" si="103"/>
        <v>aws s3 cp s3://rtdc.mdm.uploadarchive.raw/RTDC4017/ "%USERPROFILE%\AppData\Local\Temp\OnboardLogs"\RTDC4017\2017-11-10 --exclude "*" --recursive --include "*20171110*" &amp; "%USERPROFILE%\Documents\GitHub\mrs-test-scripts\Headless Mode &amp; Sideloading\WalkAndUnGZ.bat" "%USERPROFILE%\AppData\Local\Temp\OnboardLogs"\RTDC4017\2017-11-10 &amp; aws s3 cp s3://rtdc.mdm.uploadarchive.raw/RTDC4017/ "%USERPROFILE%\AppData\Local\Temp\OnboardLogs"\RTDC4017\2017-11-11 --exclude "*" --recursive --include "*20171111*" &amp; "%USERPROFILE%\Documents\GitHub\mrs-test-scripts\Headless Mode &amp; Sideloading\WalkAndUnGZ.bat" "%USERPROFILE%\AppData\Local\Temp\OnboardLogs"\RTDC4017\2017-11-11</v>
      </c>
      <c r="AF231" s="74" t="str">
        <f t="shared" si="104"/>
        <v>"C:\Program Files (x86)\AstroGrep\AstroGrep.exe" /e /r /s /spath="%USERPROFILE%\AppData\Local\Temp\OnboardLogs" /stypes="app*4017*20171110*" /stext=" 10:.+((SYSTEM_STATE.+slice.+state.+changed )|(ment ac)|(multiple cpu faults)|(system.+state.+changed )|(\[timeout)|(PRM\|1\|D)|(kpr)|(kdp)|(train st.+moving)|(\|lc)|(penalty))"</v>
      </c>
      <c r="AG231" s="182" t="str">
        <f t="shared" si="105"/>
        <v>Shuttle/Test</v>
      </c>
      <c r="AH231" s="78" t="str">
        <f t="shared" si="92"/>
        <v>"%USERPROFILE%\Documents\GitHub\eaglep3\Utilities\RefineRTDCRunTimes.py" --tripid 52-10 --locoid 4017 --swversion DE.1.0.9.0 --startMP 204:3145 --initTime 2017-11-10T03:21:15 --startdatetime 2017-11-10T03:23:10 --delay 63 --endMP 204:1171 --enddatetime 2017-11-10T03:24:31 --enforcementcount 1 &gt;&gt;%USERPROFILE%\Documents\GitHub\eaglep3-reporting\EC\2017-11-10-refined-times.txt</v>
      </c>
      <c r="AI231" s="96" t="str">
        <f t="shared" si="93"/>
        <v>echo {"issue":{"subject":"","project_id":79,"tracker_id":40,"status_id":1,"priority_id":2,"assigned_to_id":338,"start_date":"2017-11-10","description":"","custom_fields":[{"id":1,"name":"Subdivision","value":"Shuttle/Test"},{"id":4,"name":"Milepost","value":"0.1171"},{"id":17,"name":"Train ID","value":"52-10"},{"id":16,"name":"Locomotive ID","value":"4017"},{"id":130,"name":"Impact","value":""},{"id":150,"name":"Time of Event (Mountain Time)","value":"03:24:31"},{"id":151,"name":"Denver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94"/>
        <v>start /low /b %USERPROFILE%\Documents\GitHub\eaglep3\Utilities\DownloadLogsFromS3.py --loco 4017 --day 2017-11-10</v>
      </c>
      <c r="AN231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10:24:31"},{"id":29,"name":"Sharepoint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96"/>
        <v>https://d0f6bd738d7f1b3e5a7ca70fe4ff75f0.us-east-1.aws.found.io/app/kibana#/discover/Steve-Slow-Train-Analysis-(2080s-and-2083s)?_g=(refreshInterval:(display:Off,pause:!f,section:0,value:0),time:(from:'2017-11-10T02:21:15-0700',mode:absolute,to:'2017-11-10T04:24:31-0700'))&amp;_a=(columns:!('Message%20ID',Summary),filters:!(),index:'emp_*',interval:auto,query:(query_string:(analyze_wildcard:!t,query:'%22rtdc.l.rtdc.4017%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828</v>
      </c>
      <c r="B232" s="7">
        <v>4013</v>
      </c>
      <c r="C232" s="21" t="s">
        <v>192</v>
      </c>
      <c r="D232" s="21" t="s">
        <v>1016</v>
      </c>
      <c r="E232" s="13">
        <v>43049.736655092594</v>
      </c>
      <c r="F232" s="13">
        <v>43049.739710648151</v>
      </c>
      <c r="G232" s="7">
        <v>164</v>
      </c>
      <c r="H232" s="21" t="s">
        <v>1017</v>
      </c>
      <c r="I232" s="13">
        <v>43049.745011574072</v>
      </c>
      <c r="J232" s="7">
        <v>1</v>
      </c>
      <c r="K232" s="89" t="str">
        <f t="shared" si="97"/>
        <v>4013/4014</v>
      </c>
      <c r="L232" s="185" t="str">
        <f>VLOOKUP(A232,'Trips&amp;Operators'!$C$1:$G$99911,5,FALSE)</f>
        <v>GUNTHIER ERIC</v>
      </c>
      <c r="M232" s="6">
        <f t="shared" si="98"/>
        <v>5.3009259208920412E-3</v>
      </c>
      <c r="N232" s="7">
        <f t="shared" si="90"/>
        <v>7.6333333260845393</v>
      </c>
      <c r="O232" s="7"/>
      <c r="P232" s="7"/>
      <c r="Q232" s="22"/>
      <c r="R232" s="174"/>
      <c r="S232" s="221">
        <f t="shared" si="91"/>
        <v>0</v>
      </c>
      <c r="T232" s="174" t="str">
        <f t="shared" si="99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 t="shared" si="100"/>
        <v>https://d0f6bd738d7f1b3e5a7ca70fe4ff75f0.us-east-1.aws.found.io/app/kibana#/discover/Steve-Slow-Train-Analysis-(2080s-and-2083s)?_g=(refreshInterval:(display:Off,pause:!f,section:0,value:0),time:(from:'2017-11-10T16:40:47-0700',mode:absolute,to:'2017-11-10T18:52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2" s="204" t="str">
        <f>IF(AA232&lt;VLOOKUP(AG232,Variables!$AC$3:$AD$8,2,FALSE),"Y","N")</f>
        <v>Y</v>
      </c>
      <c r="X232" s="204">
        <f t="shared" si="89"/>
        <v>13</v>
      </c>
      <c r="Y232" s="204">
        <f t="shared" si="87"/>
        <v>2.3576000000000001</v>
      </c>
      <c r="Z232" s="204">
        <f t="shared" si="88"/>
        <v>0.1079</v>
      </c>
      <c r="AA232" s="204">
        <f t="shared" si="101"/>
        <v>2.2497000000000003</v>
      </c>
      <c r="AB232" s="54" t="e">
        <f>VLOOKUP(A232,Enforcements!$C$7:$K$9,8,0)</f>
        <v>#N/A</v>
      </c>
      <c r="AC232" s="51" t="e">
        <f>VLOOKUP(A232,Enforcements!$C$7:$E$9,3,0)</f>
        <v>#N/A</v>
      </c>
      <c r="AD232" s="179">
        <f t="shared" si="102"/>
        <v>65</v>
      </c>
      <c r="AE232" s="77" t="str">
        <f t="shared" si="103"/>
        <v>aws s3 cp s3://rtdc.mdm.uploadarchive.raw/RTDC4013/ "%USERPROFILE%\AppData\Local\Temp\OnboardLogs"\RTDC4013\2017-11-10 --exclude "*" --recursive --include "*20171110*" &amp; "%USERPROFILE%\Documents\GitHub\mrs-test-scripts\Headless Mode &amp; Sideloading\WalkAndUnGZ.bat" "%USERPROFILE%\AppData\Local\Temp\OnboardLogs"\RTDC4013\2017-11-10 &amp; aws s3 cp s3://rtdc.mdm.uploadarchive.raw/RTDC4013/ "%USERPROFILE%\AppData\Local\Temp\OnboardLogs"\RTDC4013\2017-11-11 --exclude "*" --recursive --include "*20171111*" &amp; "%USERPROFILE%\Documents\GitHub\mrs-test-scripts\Headless Mode &amp; Sideloading\WalkAndUnGZ.bat" "%USERPROFILE%\AppData\Local\Temp\OnboardLogs"\RTDC4013\2017-11-11</v>
      </c>
      <c r="AF232" s="74" t="str">
        <f t="shared" si="104"/>
        <v>"C:\Program Files (x86)\AstroGrep\AstroGrep.exe" /e /r /s /spath="%USERPROFILE%\AppData\Local\Temp\OnboardLogs" /stypes="app*4013*20171111*" /stext=" 00:.+((SYSTEM_STATE.+slice.+state.+changed )|(ment ac)|(multiple cpu faults)|(system.+state.+changed )|(\[timeout)|(PRM\|1\|D)|(kpr)|(kdp)|(train st.+moving)|(\|lc)|(penalty))"</v>
      </c>
      <c r="AG232" s="182" t="str">
        <f t="shared" si="105"/>
        <v>Shuttle/Test</v>
      </c>
      <c r="AH232" s="78" t="str">
        <f t="shared" si="92"/>
        <v>"%USERPROFILE%\Documents\GitHub\eaglep3\Utilities\RefineRTDCRunTimes.py" --tripid 65-10 --locoid 4013 --swversion DE.1.0.9.0 --startMP 300:23576 --initTime 2017-11-10T17:40:47 --startdatetime 2017-11-10T17:45:11 --delay 164 --endMP 204:1079 --enddatetime 2017-11-10T17:52:49 --enforcementcount 1 &gt;&gt;%USERPROFILE%\Documents\GitHub\eaglep3-reporting\EC\2017-11-10-refined-times.txt</v>
      </c>
      <c r="AI232" s="96" t="str">
        <f t="shared" si="93"/>
        <v>echo {"issue":{"subject":"","project_id":79,"tracker_id":40,"status_id":1,"priority_id":2,"assigned_to_id":338,"start_date":"2017-11-10","description":"","custom_fields":[{"id":1,"name":"Subdivision","value":"Shuttle/Test"},{"id":4,"name":"Milepost","value":"0.1079"},{"id":17,"name":"Train ID","value":"65-10"},{"id":16,"name":"Locomotive ID","value":"4013"},{"id":130,"name":"Impact","value":""},{"id":150,"name":"Time of Event (Mountain Time)","value":"17:52:49"},{"id":151,"name":"Denver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94"/>
        <v>start /low /b %USERPROFILE%\Documents\GitHub\eaglep3\Utilities\DownloadLogsFromS3.py --loco 4013 --day 2017-11-10</v>
      </c>
      <c r="AN232" s="151" t="str">
        <f t="shared" si="9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00:52:49"},{"id":29,"name":"Sharepoint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96"/>
        <v>https://d0f6bd738d7f1b3e5a7ca70fe4ff75f0.us-east-1.aws.found.io/app/kibana#/discover/Steve-Slow-Train-Analysis-(2080s-and-2083s)?_g=(refreshInterval:(display:Off,pause:!f,section:0,value:0),time:(from:'2017-11-10T16:40:47-0700',mode:absolute,to:'2017-11-10T18:52:49-0700'))&amp;_a=(columns:!('Message%20ID',Summary),filters:!(),index:'emp_*',interval:auto,query:(query_string:(analyze_wildcard:!t,query:'%22rtdc.l.rtdc.4013%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811</v>
      </c>
      <c r="B233" s="7">
        <v>4018</v>
      </c>
      <c r="C233" s="21" t="s">
        <v>192</v>
      </c>
      <c r="D233" s="21" t="s">
        <v>1018</v>
      </c>
      <c r="E233" s="13">
        <v>43049.686851851853</v>
      </c>
      <c r="F233" s="13">
        <v>43049.689479166664</v>
      </c>
      <c r="G233" s="7">
        <v>82</v>
      </c>
      <c r="H233" s="21" t="s">
        <v>474</v>
      </c>
      <c r="I233" s="13">
        <v>43049.695405092592</v>
      </c>
      <c r="J233" s="7">
        <v>1</v>
      </c>
      <c r="K233" s="89" t="str">
        <f t="shared" si="97"/>
        <v>4017/4018</v>
      </c>
      <c r="L233" s="185" t="str">
        <f>VLOOKUP(A233,'Trips&amp;Operators'!$C$1:$G$99911,5,FALSE)</f>
        <v>NEWELL JAMES</v>
      </c>
      <c r="M233" s="6">
        <f t="shared" si="98"/>
        <v>5.9259259287500754E-3</v>
      </c>
      <c r="N233" s="7">
        <f t="shared" si="90"/>
        <v>8.5333333374001086</v>
      </c>
      <c r="O233" s="7"/>
      <c r="P233" s="7"/>
      <c r="Q233" s="22"/>
      <c r="R233" s="174"/>
      <c r="S233" s="221">
        <f t="shared" si="91"/>
        <v>1</v>
      </c>
      <c r="T233" s="174" t="str">
        <f t="shared" si="99"/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 t="shared" si="100"/>
        <v>https://d0f6bd738d7f1b3e5a7ca70fe4ff75f0.us-east-1.aws.found.io/app/kibana#/discover/Steve-Slow-Train-Analysis-(2080s-and-2083s)?_g=(refreshInterval:(display:Off,pause:!f,section:0,value:0),time:(from:'2017-11-10T15:29:04-0700',mode:absolute,to:'2017-11-10T17:41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3" s="204" t="str">
        <f>IF(AA233&lt;VLOOKUP(AG233,Variables!$AC$3:$AD$8,2,FALSE),"Y","N")</f>
        <v>Y</v>
      </c>
      <c r="X233" s="204">
        <f t="shared" si="89"/>
        <v>10</v>
      </c>
      <c r="Y233" s="204">
        <f t="shared" si="87"/>
        <v>0.15029999999999999</v>
      </c>
      <c r="Z233" s="204">
        <f t="shared" si="88"/>
        <v>2.3306</v>
      </c>
      <c r="AA233" s="204">
        <f t="shared" si="101"/>
        <v>2.1802999999999999</v>
      </c>
      <c r="AB233" s="54" t="e">
        <f>VLOOKUP(A233,Enforcements!$C$7:$K$9,8,0)</f>
        <v>#N/A</v>
      </c>
      <c r="AC233" s="51" t="e">
        <f>VLOOKUP(A233,Enforcements!$C$7:$E$9,3,0)</f>
        <v>#N/A</v>
      </c>
      <c r="AD233" s="179">
        <f t="shared" si="102"/>
        <v>75</v>
      </c>
      <c r="AE233" s="77" t="str">
        <f t="shared" si="103"/>
        <v>aws s3 cp s3://rtdc.mdm.uploadarchive.raw/RTDC4018/ "%USERPROFILE%\AppData\Local\Temp\OnboardLogs"\RTDC4018\2017-11-10 --exclude "*" --recursive --include "*20171110*" &amp; "%USERPROFILE%\Documents\GitHub\mrs-test-scripts\Headless Mode &amp; Sideloading\WalkAndUnGZ.bat" "%USERPROFILE%\AppData\Local\Temp\OnboardLogs"\RTDC4018\2017-11-10 &amp; aws s3 cp s3://rtdc.mdm.uploadarchive.raw/RTDC4018/ "%USERPROFILE%\AppData\Local\Temp\OnboardLogs"\RTDC4018\2017-11-11 --exclude "*" --recursive --include "*20171111*" &amp; "%USERPROFILE%\Documents\GitHub\mrs-test-scripts\Headless Mode &amp; Sideloading\WalkAndUnGZ.bat" "%USERPROFILE%\AppData\Local\Temp\OnboardLogs"\RTDC4018\2017-11-11</v>
      </c>
      <c r="AF233" s="74" t="str">
        <f t="shared" si="104"/>
        <v>"C:\Program Files (x86)\AstroGrep\AstroGrep.exe" /e /r /s /spath="%USERPROFILE%\AppData\Local\Temp\OnboardLogs" /stypes="app*4018*20171110*" /stext=" 23:.+((SYSTEM_STATE.+slice.+state.+changed )|(ment ac)|(multiple cpu faults)|(system.+state.+changed )|(\[timeout)|(PRM\|1\|D)|(kpr)|(kdp)|(train st.+moving)|(\|lc)|(penalty))"</v>
      </c>
      <c r="AG233" s="182" t="str">
        <f t="shared" si="105"/>
        <v>Shuttle/Test</v>
      </c>
      <c r="AH233" s="78" t="str">
        <f t="shared" si="92"/>
        <v>"%USERPROFILE%\Documents\GitHub\eaglep3\Utilities\RefineRTDCRunTimes.py" --tripid 75-10 --locoid 4018 --swversion DE.1.0.9.0 --startMP 204:1503 --initTime 2017-11-10T16:29:04 --startdatetime 2017-11-10T16:32:51 --delay 82 --endMP 300:23306 --enddatetime 2017-11-10T16:41:23 --enforcementcount 1 &gt;&gt;%USERPROFILE%\Documents\GitHub\eaglep3-reporting\EC\2017-11-10-refined-times.txt</v>
      </c>
      <c r="AI233" s="96" t="str">
        <f t="shared" si="93"/>
        <v>echo {"issue":{"subject":"","project_id":79,"tracker_id":40,"status_id":1,"priority_id":2,"assigned_to_id":338,"start_date":"2017-11-10","description":"","custom_fields":[{"id":1,"name":"Subdivision","value":"Shuttle/Test"},{"id":4,"name":"Milepost","value":"2.3306"},{"id":17,"name":"Train ID","value":"75-10"},{"id":16,"name":"Locomotive ID","value":"4018"},{"id":130,"name":"Impact","value":""},{"id":150,"name":"Time of Event (Mountain Time)","value":"16:41:23"},{"id":151,"name":"Denver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94"/>
        <v>start /low /b %USERPROFILE%\Documents\GitHub\eaglep3\Utilities\DownloadLogsFromS3.py --loco 4018 --day 2017-11-10</v>
      </c>
      <c r="AN233" s="151" t="str">
        <f t="shared" si="95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23:41:23"},{"id":29,"name":"Sharepoint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96"/>
        <v>https://d0f6bd738d7f1b3e5a7ca70fe4ff75f0.us-east-1.aws.found.io/app/kibana#/discover/Steve-Slow-Train-Analysis-(2080s-and-2083s)?_g=(refreshInterval:(display:Off,pause:!f,section:0,value:0),time:(from:'2017-11-10T15:29:04-0700',mode:absolute,to:'2017-11-10T17:41:23-0700'))&amp;_a=(columns:!('Message%20ID',Summary),filters:!(),index:'emp_*',interval:auto,query:(query_string:(analyze_wildcard:!t,query:'%22rtdc.l.rtdc.4018%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819</v>
      </c>
      <c r="B234" s="7">
        <v>4002</v>
      </c>
      <c r="C234" s="21" t="s">
        <v>192</v>
      </c>
      <c r="D234" s="21" t="s">
        <v>628</v>
      </c>
      <c r="E234" s="13">
        <v>43049.702685185184</v>
      </c>
      <c r="F234" s="13">
        <v>43049.713182870371</v>
      </c>
      <c r="G234" s="7">
        <v>679</v>
      </c>
      <c r="H234" s="21" t="s">
        <v>562</v>
      </c>
      <c r="I234" s="13">
        <v>43049.719594907408</v>
      </c>
      <c r="J234" s="7">
        <v>1</v>
      </c>
      <c r="K234" s="89" t="str">
        <f t="shared" si="97"/>
        <v>4001/4002</v>
      </c>
      <c r="L234" s="185" t="str">
        <f>VLOOKUP(A234,'Trips&amp;Operators'!$C$1:$G$99911,5,FALSE)</f>
        <v>DELGADO DIANAH</v>
      </c>
      <c r="M234" s="6">
        <f t="shared" si="98"/>
        <v>6.4120370370801538E-3</v>
      </c>
      <c r="N234" s="7">
        <f t="shared" si="90"/>
        <v>9.2333333333954215</v>
      </c>
      <c r="O234" s="7"/>
      <c r="P234" s="7"/>
      <c r="Q234" s="22"/>
      <c r="R234" s="174"/>
      <c r="S234" s="221">
        <f t="shared" si="91"/>
        <v>1</v>
      </c>
      <c r="T234" s="174" t="str">
        <f t="shared" si="99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100"/>
        <v>https://d0f6bd738d7f1b3e5a7ca70fe4ff75f0.us-east-1.aws.found.io/app/kibana#/discover/Steve-Slow-Train-Analysis-(2080s-and-2083s)?_g=(refreshInterval:(display:Off,pause:!f,section:0,value:0),time:(from:'2017-11-10T15:51:52-0700',mode:absolute,to:'2017-11-10T18:16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4" s="204" t="str">
        <f>IF(AA234&lt;VLOOKUP(AG234,Variables!$AC$3:$AD$8,2,FALSE),"Y","N")</f>
        <v>Y</v>
      </c>
      <c r="X234" s="204">
        <f t="shared" si="89"/>
        <v>2</v>
      </c>
      <c r="Y234" s="204">
        <f t="shared" si="87"/>
        <v>0.11559999999999999</v>
      </c>
      <c r="Z234" s="204">
        <f t="shared" si="88"/>
        <v>2.3302</v>
      </c>
      <c r="AA234" s="204">
        <f t="shared" si="101"/>
        <v>2.2145999999999999</v>
      </c>
      <c r="AB234" s="54" t="e">
        <f>VLOOKUP(A234,Enforcements!$C$7:$K$9,8,0)</f>
        <v>#N/A</v>
      </c>
      <c r="AC234" s="51" t="e">
        <f>VLOOKUP(A234,Enforcements!$C$7:$E$9,3,0)</f>
        <v>#N/A</v>
      </c>
      <c r="AD234" s="179">
        <f t="shared" si="102"/>
        <v>77</v>
      </c>
      <c r="AE234" s="77" t="str">
        <f t="shared" si="103"/>
        <v>aws s3 cp s3://rtdc.mdm.uploadarchive.raw/RTDC4002/ "%USERPROFILE%\AppData\Local\Temp\OnboardLogs"\RTDC4002\2017-11-10 --exclude "*" --recursive --include "*20171110*" &amp; "%USERPROFILE%\Documents\GitHub\mrs-test-scripts\Headless Mode &amp; Sideloading\WalkAndUnGZ.bat" "%USERPROFILE%\AppData\Local\Temp\OnboardLogs"\RTDC4002\2017-11-10 &amp; aws s3 cp s3://rtdc.mdm.uploadarchive.raw/RTDC4002/ "%USERPROFILE%\AppData\Local\Temp\OnboardLogs"\RTDC4002\2017-11-11 --exclude "*" --recursive --include "*20171111*" &amp; "%USERPROFILE%\Documents\GitHub\mrs-test-scripts\Headless Mode &amp; Sideloading\WalkAndUnGZ.bat" "%USERPROFILE%\AppData\Local\Temp\OnboardLogs"\RTDC4002\2017-11-11</v>
      </c>
      <c r="AF234" s="74" t="str">
        <f t="shared" si="104"/>
        <v>"C:\Program Files (x86)\AstroGrep\AstroGrep.exe" /e /r /s /spath="%USERPROFILE%\AppData\Local\Temp\OnboardLogs" /stypes="app*4002*20171111*" /stext=" 00:.+((SYSTEM_STATE.+slice.+state.+changed )|(ment ac)|(multiple cpu faults)|(system.+state.+changed )|(\[timeout)|(PRM\|1\|D)|(kpr)|(kdp)|(train st.+moving)|(\|lc)|(penalty))"</v>
      </c>
      <c r="AG234" s="182" t="str">
        <f t="shared" si="105"/>
        <v>Shuttle/Test</v>
      </c>
      <c r="AH234" s="78" t="str">
        <f t="shared" si="92"/>
        <v>"%USERPROFILE%\Documents\GitHub\eaglep3\Utilities\RefineRTDCRunTimes.py" --tripid 77-10 --locoid 4002 --swversion DE.1.0.9.0 --startMP 204:1156 --initTime 2017-11-10T16:51:52 --startdatetime 2017-11-10T17:06:59 --delay 679 --endMP 300:23302 --enddatetime 2017-11-10T17:16:13 --enforcementcount 1 &gt;&gt;%USERPROFILE%\Documents\GitHub\eaglep3-reporting\EC\2017-11-10-refined-times.txt</v>
      </c>
      <c r="AI234" s="96" t="str">
        <f t="shared" si="93"/>
        <v>echo {"issue":{"subject":"","project_id":79,"tracker_id":40,"status_id":1,"priority_id":2,"assigned_to_id":338,"start_date":"2017-11-10","description":"","custom_fields":[{"id":1,"name":"Subdivision","value":"Shuttle/Test"},{"id":4,"name":"Milepost","value":"2.3302"},{"id":17,"name":"Train ID","value":"77-10"},{"id":16,"name":"Locomotive ID","value":"4002"},{"id":130,"name":"Impact","value":""},{"id":150,"name":"Time of Event (Mountain Time)","value":"17:16:13"},{"id":151,"name":"Denver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94"/>
        <v>start /low /b %USERPROFILE%\Documents\GitHub\eaglep3\Utilities\DownloadLogsFromS3.py --loco 4002 --day 2017-11-10</v>
      </c>
      <c r="AN234" s="151" t="str">
        <f t="shared" si="95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00:16:13"},{"id":29,"name":"Sharepoint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96"/>
        <v>https://d0f6bd738d7f1b3e5a7ca70fe4ff75f0.us-east-1.aws.found.io/app/kibana#/discover/Steve-Slow-Train-Analysis-(2080s-and-2083s)?_g=(refreshInterval:(display:Off,pause:!f,section:0,value:0),time:(from:'2017-11-10T15:51:52-0700',mode:absolute,to:'2017-11-10T18:16:13-0700'))&amp;_a=(columns:!('Message%20ID',Summary),filters:!(),index:'emp_*',interval:auto,query:(query_string:(analyze_wildcard:!t,query:'%22rtdc.l.rtdc.4002%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s="2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</sheetData>
  <autoFilter ref="A12:AG483">
    <sortState ref="A13:AG483">
      <sortCondition ref="AG13:AG234"/>
      <sortCondition ref="AD13:AD234"/>
    </sortState>
  </autoFilter>
  <sortState ref="A13:AN388">
    <sortCondition ref="AG13:AG388"/>
    <sortCondition ref="AD13:AD388"/>
  </sortState>
  <mergeCells count="1">
    <mergeCell ref="A11:P11"/>
  </mergeCells>
  <conditionalFormatting sqref="W11:W12 W489:X1048576 W13:X234">
    <cfRule type="cellIs" dxfId="10" priority="465" operator="equal">
      <formula>"Y"</formula>
    </cfRule>
  </conditionalFormatting>
  <conditionalFormatting sqref="X489:X1048576 X13:X234">
    <cfRule type="cellIs" dxfId="9" priority="448" operator="greaterThan">
      <formula>1</formula>
    </cfRule>
  </conditionalFormatting>
  <conditionalFormatting sqref="X489:X1048576 X12:X234">
    <cfRule type="cellIs" dxfId="8" priority="445" operator="equal">
      <formula>0</formula>
    </cfRule>
  </conditionalFormatting>
  <conditionalFormatting sqref="A13:S234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4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COUNTIF($O$7:$O$210,"=Y")</f>
        <v>8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COUNTA($O$7:$O$210)-O2</f>
        <v>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- 2017-11-10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25">
      <c r="A7" s="31">
        <v>43049.655381944445</v>
      </c>
      <c r="B7" s="30" t="s">
        <v>464</v>
      </c>
      <c r="C7" s="30" t="s">
        <v>651</v>
      </c>
      <c r="D7" s="30" t="s">
        <v>49</v>
      </c>
      <c r="E7" s="30" t="s">
        <v>183</v>
      </c>
      <c r="F7" s="42">
        <v>330</v>
      </c>
      <c r="G7" s="42">
        <v>521</v>
      </c>
      <c r="H7" s="42">
        <v>60607</v>
      </c>
      <c r="I7" s="42">
        <v>62410</v>
      </c>
      <c r="J7" s="30" t="s">
        <v>184</v>
      </c>
      <c r="K7" s="42">
        <v>63069</v>
      </c>
      <c r="L7" s="131" t="s">
        <v>50</v>
      </c>
      <c r="M7" s="132">
        <f t="shared" ref="M7:M18" si="0">CONVERT((I7-K7)/10000,"mi","ft")*IF(L7="Increasing Mileposts (1)",-1,1)</f>
        <v>347.952</v>
      </c>
      <c r="N7" s="133" t="str">
        <f>VLOOKUP(C7,'Trips&amp;Operators'!$C$1:$G$99911,5,FALSE)</f>
        <v>FORTUNATO FRANK</v>
      </c>
      <c r="O7" s="176" t="s">
        <v>178</v>
      </c>
      <c r="P7" s="134" t="s">
        <v>344</v>
      </c>
      <c r="Q7" s="30"/>
      <c r="R7" s="81" t="str">
        <f>VLOOKUP(C7,'Train Runs'!$A$13:$AE$10142,31,0)</f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S7" s="84" t="str">
        <f>VLOOKUP(C7,'Train Runs'!$A$13:$AE$10142,22,0)</f>
        <v>https://d0f6bd738d7f1b3e5a7ca70fe4ff75f0.us-east-1.aws.found.io/app/kibana#/discover/Steve-Slow-Train-Analysis-(2080s-and-2083s)?_g=(refreshInterval:(display:Off,pause:!f,section:0,value:0),time:(from:'2017-11-10T14:22:02-0700',mode:absolute,to:'2017-11-10T17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7" s="86" t="str">
        <f t="shared" ref="T7:T1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/stypes="*4050*201711102*" /stext=" 22:.+((SYSTEM_STATE.+slice.+state.+changed )|(ment ac)|(multiple cpu faults)|(system.+state.+changed )|(\[timeout)|(PRM\|1\|D)|(kpr)|(kdp)|(train st.+moving)|(\|lc)|(penalty))"</v>
      </c>
      <c r="U7" s="9" t="str">
        <f t="shared" ref="U7:U18" si="2">MID(B7,13,4)</f>
        <v>4050</v>
      </c>
      <c r="V7" s="31">
        <f t="shared" ref="V7:V18" si="3">A7-utc_offset/24</f>
        <v>43049.947048611109</v>
      </c>
      <c r="W7" s="45" t="str">
        <f t="shared" ref="W7:W18" si="4">DetSubdiv(C7)</f>
        <v>EC</v>
      </c>
      <c r="X7" s="22">
        <f t="shared" ref="X7:X18" si="5">VALUE(LEFT(C7,LEN(C7)-3))</f>
        <v>195</v>
      </c>
      <c r="Y7" s="96" t="str">
        <f t="shared" ref="Y7:Y1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Arrival","project_id":79,"tracker_id":40,"status_id":1,"priority_id":2,"assigned_to_id":338,"start_date":"2017-11-10","description":"","custom_fields":[{"id":1,"name":"Subdivision","value":"EC"},{"id":4,"name":"Milepost","value":"6.3069"},{"id":17,"name":"Train ID","value":"195-10"},{"id":16,"name":"Locomotive ID","value":"4050"},{"id":130,"name":"Impact","value":""},{"id":150,"name":"Time of Event (Mountain Time)","value":"15:43:45"},{"id":151,"name":"Denver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1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/c/Users/stu/AppData/Local/Temp/OnboardLogs/RTDC4050 --include="*4050*201711102*"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"%USERPROFILE%\AppData\Local\Temp\OnboardLogs"\RTDC4050\*4050*201711102* &gt;&gt; 2017-11-10-SliceDisagreementCheck.txt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4050 --day 2017-11-10</v>
      </c>
    </row>
    <row r="8" spans="1:32" s="1" customFormat="1" x14ac:dyDescent="0.25">
      <c r="A8" s="31">
        <v>43049.233449074076</v>
      </c>
      <c r="B8" s="30" t="s">
        <v>392</v>
      </c>
      <c r="C8" s="30" t="s">
        <v>644</v>
      </c>
      <c r="D8" s="30" t="s">
        <v>95</v>
      </c>
      <c r="E8" s="30" t="s">
        <v>183</v>
      </c>
      <c r="F8" s="42">
        <v>0</v>
      </c>
      <c r="G8" s="42">
        <v>205</v>
      </c>
      <c r="H8" s="42">
        <v>63261</v>
      </c>
      <c r="I8" s="42">
        <v>63064</v>
      </c>
      <c r="J8" s="30" t="s">
        <v>184</v>
      </c>
      <c r="K8" s="42">
        <v>63309</v>
      </c>
      <c r="L8" s="131" t="s">
        <v>51</v>
      </c>
      <c r="M8" s="132">
        <f t="shared" si="0"/>
        <v>-129.36000000000001</v>
      </c>
      <c r="N8" s="133" t="str">
        <f>VLOOKUP(C8,'Trips&amp;Operators'!$C$1:$G$99911,5,FALSE)</f>
        <v>BONDS REYNALDO</v>
      </c>
      <c r="O8" s="176" t="s">
        <v>178</v>
      </c>
      <c r="P8" s="134" t="s">
        <v>344</v>
      </c>
      <c r="Q8" s="30"/>
      <c r="R8" s="81" t="str">
        <f>VLOOKUP(C8,'Train Runs'!$A$13:$AE$10142,31,0)</f>
        <v>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 &amp; 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</v>
      </c>
      <c r="S8" s="84" t="str">
        <f>VLOOKUP(C8,'Train Runs'!$A$13:$AE$10142,22,0)</f>
        <v>https://d0f6bd738d7f1b3e5a7ca70fe4ff75f0.us-east-1.aws.found.io/app/kibana#/discover/Steve-Slow-Train-Analysis-(2080s-and-2083s)?_g=(refreshInterval:(display:Off,pause:!f,section:0,value:0),time:(from:'2017-11-10T04:01:51-0700',mode:absolute,to:'2017-11-10T06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8" s="86" t="str">
        <f t="shared" si="1"/>
        <v>"C:\Program Files (x86)\AstroGrep\AstroGrep.exe" /e /r /s /spath="%USERPROFILE%\AppData\Local\Temp\OnboardLogs" /stypes="*4059*201711101*" /stext=" 12:.+((SYSTEM_STATE.+slice.+state.+changed )|(ment ac)|(multiple cpu faults)|(system.+state.+changed )|(\[timeout)|(PRM\|1\|D)|(kpr)|(kdp)|(train st.+moving)|(\|lc)|(penalty))"</v>
      </c>
      <c r="U8" s="9" t="str">
        <f t="shared" si="2"/>
        <v>4059</v>
      </c>
      <c r="V8" s="31">
        <f t="shared" si="3"/>
        <v>43049.52511574074</v>
      </c>
      <c r="W8" s="45" t="str">
        <f t="shared" si="4"/>
        <v>EC</v>
      </c>
      <c r="X8" s="22">
        <f t="shared" si="5"/>
        <v>106</v>
      </c>
      <c r="Y8" s="96" t="str">
        <f t="shared" si="6"/>
        <v>echo {"issue":{"subject":"Early Arrival","project_id":79,"tracker_id":40,"status_id":1,"priority_id":2,"assigned_to_id":338,"start_date":"2017-11-10","description":"","custom_fields":[{"id":1,"name":"Subdivision","value":"EC"},{"id":4,"name":"Milepost","value":"6.3309"},{"id":17,"name":"Train ID","value":"106-10"},{"id":16,"name":"Locomotive ID","value":"4059"},{"id":130,"name":"Impact","value":""},{"id":150,"name":"Time of Event (Mountain Time)","value":"05:36:10"},{"id":151,"name":"Denver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/c/Users/stu/AppData/Local/Temp/OnboardLogs/RTDC4059 --include="*4059*201711101*"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"%USERPROFILE%\AppData\Local\Temp\OnboardLogs"\RTDC4059\*4059*201711101* &gt;&gt; 2017-11-10-SliceDisagreementCheck.txt</v>
      </c>
      <c r="AE8" s="145" t="str">
        <f t="shared" ref="AE8:AE18" si="9">"start /low /b "&amp;dls3logs&amp;" --loco "&amp;U8&amp;" --day "&amp;TEXT(V8,"YYYY-MM-DD")</f>
        <v>start /low /b %USERPROFILE%\Documents\GitHub\eaglep3\Utilities\DownloadLogsFromS3.py --loco 4059 --day 2017-11-10</v>
      </c>
    </row>
    <row r="9" spans="1:32" s="1" customFormat="1" x14ac:dyDescent="0.25">
      <c r="A9" s="31">
        <v>43049.935937499999</v>
      </c>
      <c r="B9" s="30" t="s">
        <v>463</v>
      </c>
      <c r="C9" s="30" t="s">
        <v>654</v>
      </c>
      <c r="D9" s="30" t="s">
        <v>49</v>
      </c>
      <c r="E9" s="30" t="s">
        <v>190</v>
      </c>
      <c r="F9" s="42">
        <v>300</v>
      </c>
      <c r="G9" s="42">
        <v>463</v>
      </c>
      <c r="H9" s="42">
        <v>23659</v>
      </c>
      <c r="I9" s="42">
        <v>22388</v>
      </c>
      <c r="J9" s="30" t="s">
        <v>191</v>
      </c>
      <c r="K9" s="42">
        <v>21848</v>
      </c>
      <c r="L9" s="131" t="s">
        <v>51</v>
      </c>
      <c r="M9" s="132">
        <f t="shared" si="0"/>
        <v>285.12</v>
      </c>
      <c r="N9" s="133" t="str">
        <f>VLOOKUP(C9,'Trips&amp;Operators'!$C$1:$G$99911,5,FALSE)</f>
        <v>AUSTIN THOMPSON</v>
      </c>
      <c r="O9" s="176" t="s">
        <v>178</v>
      </c>
      <c r="P9" s="134"/>
      <c r="Q9" s="30"/>
      <c r="R9" s="81" t="str">
        <f>VLOOKUP(C9,'Train Runs'!$A$13:$AE$10142,31,0)</f>
        <v>aws s3 cp s3://rtdc.mdm.uploadarchive.raw/RTDC4049/ "%USERPROFILE%\AppData\Local\Temp\OnboardLogs"\RTDC4049\2017-11-10 --exclude "*" --recursive --include "*20171110*" &amp; "%USERPROFILE%\Documents\GitHub\mrs-test-scripts\Headless Mode &amp; Sideloading\WalkAndUnGZ.bat" "%USERPROFILE%\AppData\Local\Temp\OnboardLogs"\RTDC4049\2017-11-10 &amp; aws s3 cp s3://rtdc.mdm.uploadarchive.raw/RTDC4049/ "%USERPROFILE%\AppData\Local\Temp\OnboardLogs"\RTDC4049\2017-11-11 --exclude "*" --recursive --include "*20171111*" &amp; "%USERPROFILE%\Documents\GitHub\mrs-test-scripts\Headless Mode &amp; Sideloading\WalkAndUnGZ.bat" "%USERPROFILE%\AppData\Local\Temp\OnboardLogs"\RTDC4049\2017-11-11</v>
      </c>
      <c r="S9" s="84" t="str">
        <f>VLOOKUP(C9,'Train Runs'!$A$13:$AE$10142,22,0)</f>
        <v>https://d0f6bd738d7f1b3e5a7ca70fe4ff75f0.us-east-1.aws.found.io/app/kibana#/discover/Steve-Slow-Train-Analysis-(2080s-and-2083s)?_g=(refreshInterval:(display:Off,pause:!f,section:0,value:0),time:(from:'2017-11-10T20:54:42-0700',mode:absolute,to:'2017-11-10T23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9" s="86" t="str">
        <f t="shared" si="1"/>
        <v>"C:\Program Files (x86)\AstroGrep\AstroGrep.exe" /e /r /s /spath="%USERPROFILE%\AppData\Local\Temp\OnboardLogs" /stypes="*4049*201711110*" /stext=" 05:.+((SYSTEM_STATE.+slice.+state.+changed )|(ment ac)|(multiple cpu faults)|(system.+state.+changed )|(\[timeout)|(PRM\|1\|D)|(kpr)|(kdp)|(train st.+moving)|(\|lc)|(penalty))"</v>
      </c>
      <c r="U9" s="9" t="str">
        <f t="shared" si="2"/>
        <v>4049</v>
      </c>
      <c r="V9" s="31">
        <f t="shared" si="3"/>
        <v>43050.227604166663</v>
      </c>
      <c r="W9" s="45" t="str">
        <f t="shared" si="4"/>
        <v>EC</v>
      </c>
      <c r="X9" s="22">
        <f t="shared" si="5"/>
        <v>230</v>
      </c>
      <c r="Y9" s="96" t="str">
        <f t="shared" si="6"/>
        <v>echo {"issue":{"subject":"","project_id":79,"tracker_id":40,"status_id":1,"priority_id":2,"assigned_to_id":338,"start_date":"2017-11-10","description":"","custom_fields":[{"id":1,"name":"Subdivision","value":"EC"},{"id":4,"name":"Milepost","value":"2.1848"},{"id":17,"name":"Train ID","value":"230-10"},{"id":16,"name":"Locomotive ID","value":"4049"},{"id":130,"name":"Impact","value":""},{"id":150,"name":"Time of Event (Mountain Time)","value":"22:27:45"},{"id":151,"name":"Denver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/c/Users/stu/AppData/Local/Temp/OnboardLogs/RTDC4049 --include="*4049*201711110*"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"%USERPROFILE%\AppData\Local\Temp\OnboardLogs"\RTDC4049\*4049*201711110* &gt;&gt; 2017-11-10-SliceDisagreementCheck.txt</v>
      </c>
      <c r="AE9" s="145" t="str">
        <f t="shared" si="9"/>
        <v>start /low /b %USERPROFILE%\Documents\GitHub\eaglep3\Utilities\DownloadLogsFromS3.py --loco 4049 --day 2017-11-11</v>
      </c>
    </row>
    <row r="10" spans="1:32" x14ac:dyDescent="0.25">
      <c r="A10" s="31">
        <v>43049.136064814818</v>
      </c>
      <c r="B10" s="30" t="s">
        <v>464</v>
      </c>
      <c r="C10" s="30" t="s">
        <v>642</v>
      </c>
      <c r="D10" s="30" t="s">
        <v>95</v>
      </c>
      <c r="E10" s="30" t="s">
        <v>356</v>
      </c>
      <c r="F10" s="42">
        <v>0</v>
      </c>
      <c r="G10" s="42">
        <v>118</v>
      </c>
      <c r="H10" s="42">
        <v>1837</v>
      </c>
      <c r="I10" s="42">
        <v>2062</v>
      </c>
      <c r="J10" s="30" t="s">
        <v>357</v>
      </c>
      <c r="K10" s="42">
        <v>1692</v>
      </c>
      <c r="L10" s="131" t="s">
        <v>50</v>
      </c>
      <c r="M10" s="132">
        <f t="shared" si="0"/>
        <v>-195.36</v>
      </c>
      <c r="N10" s="133" t="str">
        <f>VLOOKUP(C10,'Trips&amp;Operators'!$C$1:$G$99911,5,FALSE)</f>
        <v>YORK EDGAR</v>
      </c>
      <c r="O10" s="176" t="s">
        <v>350</v>
      </c>
      <c r="P10" s="134" t="s">
        <v>1105</v>
      </c>
      <c r="Q10" s="30"/>
      <c r="R10" s="81" t="str">
        <f>VLOOKUP(C10,'Train Runs'!$A$13:$AE$10142,31,0)</f>
        <v>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 &amp; aws s3 cp s3://rtdc.mdm.uploadarchive.raw/RTDC4050/ "%USERPROFILE%\AppData\Local\Temp\OnboardLogs"\RTDC4050\2017-11-11 --exclude "*" --recursive --include "*20171111*" &amp; "%USERPROFILE%\Documents\GitHub\mrs-test-scripts\Headless Mode &amp; Sideloading\WalkAndUnGZ.bat" "%USERPROFILE%\AppData\Local\Temp\OnboardLogs"\RTDC4050\2017-11-11</v>
      </c>
      <c r="S10" s="84" t="str">
        <f>VLOOKUP(C10,'Train Runs'!$A$13:$AE$10142,22,0)</f>
        <v>https://d0f6bd738d7f1b3e5a7ca70fe4ff75f0.us-east-1.aws.found.io/app/kibana#/discover/Steve-Slow-Train-Analysis-(2080s-and-2083s)?_g=(refreshInterval:(display:Off,pause:!f,section:0,value:0),time:(from:'2017-11-10T02:08:05-0700',mode:absolute,to:'2017-11-10T04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0" s="86" t="str">
        <f t="shared" si="1"/>
        <v>"C:\Program Files (x86)\AstroGrep\AstroGrep.exe" /e /r /s /spath="%USERPROFILE%\AppData\Local\Temp\OnboardLogs" /stypes="*4050*201711101*" /stext=" 10:.+((SYSTEM_STATE.+slice.+state.+changed )|(ment ac)|(multiple cpu faults)|(system.+state.+changed )|(\[timeout)|(PRM\|1\|D)|(kpr)|(kdp)|(train st.+moving)|(\|lc)|(penalty))"</v>
      </c>
      <c r="U10" s="9" t="str">
        <f t="shared" si="2"/>
        <v>4050</v>
      </c>
      <c r="V10" s="31">
        <f t="shared" si="3"/>
        <v>43049.427731481483</v>
      </c>
      <c r="W10" s="45" t="str">
        <f t="shared" si="4"/>
        <v>EC</v>
      </c>
      <c r="X10" s="22">
        <f t="shared" si="5"/>
        <v>101</v>
      </c>
      <c r="Y10" s="96" t="str">
        <f t="shared" si="6"/>
        <v>echo {"issue":{"subject":"Poor GPS at DUS","project_id":79,"tracker_id":40,"status_id":1,"priority_id":2,"assigned_to_id":338,"start_date":"2017-11-10","description":"","custom_fields":[{"id":1,"name":"Subdivision","value":"EC"},{"id":4,"name":"Milepost","value":"0.1692"},{"id":17,"name":"Train ID","value":"101-10"},{"id":16,"name":"Locomotive ID","value":"4050"},{"id":130,"name":"Impact","value":""},{"id":150,"name":"Time of Event (Mountain Time)","value":"03:15:56"},{"id":151,"name":"Denver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/c/Users/stu/AppData/Local/Temp/OnboardLogs/RTDC4050 --include="*4050*201711101*"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"%USERPROFILE%\AppData\Local\Temp\OnboardLogs"\RTDC4050\*4050*201711101* &gt;&gt; 2017-11-10-SliceDisagreementCheck.txt</v>
      </c>
      <c r="AE10" s="145" t="str">
        <f t="shared" si="9"/>
        <v>start /low /b %USERPROFILE%\Documents\GitHub\eaglep3\Utilities\DownloadLogsFromS3.py --loco 4050 --day 2017-11-10</v>
      </c>
      <c r="AF10" s="1"/>
    </row>
    <row r="11" spans="1:32" x14ac:dyDescent="0.25">
      <c r="A11" s="31">
        <v>43049.438356481478</v>
      </c>
      <c r="B11" s="30" t="s">
        <v>372</v>
      </c>
      <c r="C11" s="30" t="s">
        <v>649</v>
      </c>
      <c r="D11" s="30" t="s">
        <v>49</v>
      </c>
      <c r="E11" s="30" t="s">
        <v>356</v>
      </c>
      <c r="F11" s="42">
        <v>0</v>
      </c>
      <c r="G11" s="42">
        <v>157</v>
      </c>
      <c r="H11" s="42">
        <v>1029</v>
      </c>
      <c r="I11" s="42">
        <v>1202</v>
      </c>
      <c r="J11" s="30" t="s">
        <v>357</v>
      </c>
      <c r="K11" s="42">
        <v>1692</v>
      </c>
      <c r="L11" s="131" t="s">
        <v>50</v>
      </c>
      <c r="M11" s="132">
        <f t="shared" si="0"/>
        <v>258.72000000000003</v>
      </c>
      <c r="N11" s="133" t="str">
        <f>VLOOKUP(C11,'Trips&amp;Operators'!$C$1:$G$99911,5,FALSE)</f>
        <v>MACDONALD THOMAS</v>
      </c>
      <c r="O11" s="176" t="s">
        <v>350</v>
      </c>
      <c r="P11" s="134" t="s">
        <v>1106</v>
      </c>
      <c r="Q11" s="30"/>
      <c r="R11" s="81" t="str">
        <f>VLOOKUP(C11,'Train Runs'!$A$13:$AE$10142,31,0)</f>
        <v>aws s3 cp s3://rtdc.mdm.uploadarchive.raw/RTDC4012/ "%USERPROFILE%\AppData\Local\Temp\OnboardLogs"\RTDC4012\2017-11-10 --exclude "*" --recursive --include "*20171110*" &amp; "%USERPROFILE%\Documents\GitHub\mrs-test-scripts\Headless Mode &amp; Sideloading\WalkAndUnGZ.bat" "%USERPROFILE%\AppData\Local\Temp\OnboardLogs"\RTDC4012\2017-11-10 &amp; aws s3 cp s3://rtdc.mdm.uploadarchive.raw/RTDC4012/ "%USERPROFILE%\AppData\Local\Temp\OnboardLogs"\RTDC4012\2017-11-11 --exclude "*" --recursive --include "*20171111*" &amp; "%USERPROFILE%\Documents\GitHub\mrs-test-scripts\Headless Mode &amp; Sideloading\WalkAndUnGZ.bat" "%USERPROFILE%\AppData\Local\Temp\OnboardLogs"\RTDC4012\2017-11-11</v>
      </c>
      <c r="S11" s="84" t="str">
        <f>VLOOKUP(C11,'Train Runs'!$A$13:$AE$10142,22,0)</f>
        <v>https://d0f6bd738d7f1b3e5a7ca70fe4ff75f0.us-east-1.aws.found.io/app/kibana#/discover/Steve-Slow-Train-Analysis-(2080s-and-2083s)?_g=(refreshInterval:(display:Off,pause:!f,section:0,value:0),time:(from:'2017-11-10T09:27:01-0700',mode:absolute,to:'2017-11-10T12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1" s="86" t="str">
        <f t="shared" si="1"/>
        <v>"C:\Program Files (x86)\AstroGrep\AstroGrep.exe" /e /r /s /spath="%USERPROFILE%\AppData\Local\Temp\OnboardLogs" /stypes="*4012*201711101*" /stext=" 17:.+((SYSTEM_STATE.+slice.+state.+changed )|(ment ac)|(multiple cpu faults)|(system.+state.+changed )|(\[timeout)|(PRM\|1\|D)|(kpr)|(kdp)|(train st.+moving)|(\|lc)|(penalty))"</v>
      </c>
      <c r="U11" s="9" t="str">
        <f t="shared" si="2"/>
        <v>4012</v>
      </c>
      <c r="V11" s="31">
        <f t="shared" si="3"/>
        <v>43049.730023148142</v>
      </c>
      <c r="W11" s="45" t="str">
        <f t="shared" si="4"/>
        <v>EC</v>
      </c>
      <c r="X11" s="22">
        <f t="shared" si="5"/>
        <v>155</v>
      </c>
      <c r="Y11" s="96" t="str">
        <f t="shared" si="6"/>
        <v>echo {"issue":{"subject":"Operator selected wrong track","project_id":79,"tracker_id":40,"status_id":1,"priority_id":2,"assigned_to_id":338,"start_date":"2017-11-10","description":"","custom_fields":[{"id":1,"name":"Subdivision","value":"EC"},{"id":4,"name":"Milepost","value":"0.1692"},{"id":17,"name":"Train ID","value":"155-10"},{"id":16,"name":"Locomotive ID","value":"4012"},{"id":130,"name":"Impact","value":""},{"id":150,"name":"Time of Event (Mountain Time)","value":"10:31:14"},{"id":151,"name":"Denver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/c/Users/stu/AppData/Local/Temp/OnboardLogs/RTDC4012 --include="*4012*201711101*"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"%USERPROFILE%\AppData\Local\Temp\OnboardLogs"\RTDC4012\*4012*201711101* &gt;&gt; 2017-11-10-SliceDisagreementCheck.txt</v>
      </c>
      <c r="AE11" s="145" t="str">
        <f t="shared" si="9"/>
        <v>start /low /b %USERPROFILE%\Documents\GitHub\eaglep3\Utilities\DownloadLogsFromS3.py --loco 4012 --day 2017-11-10</v>
      </c>
      <c r="AF11" s="1"/>
    </row>
    <row r="12" spans="1:32" x14ac:dyDescent="0.25">
      <c r="A12" s="31">
        <v>43049.679328703707</v>
      </c>
      <c r="B12" s="30" t="s">
        <v>575</v>
      </c>
      <c r="C12" s="30" t="s">
        <v>653</v>
      </c>
      <c r="D12" s="30" t="s">
        <v>49</v>
      </c>
      <c r="E12" s="30" t="s">
        <v>356</v>
      </c>
      <c r="F12" s="42">
        <v>0</v>
      </c>
      <c r="G12" s="42">
        <v>577</v>
      </c>
      <c r="H12" s="42">
        <v>82545</v>
      </c>
      <c r="I12" s="42">
        <v>80232</v>
      </c>
      <c r="J12" s="30" t="s">
        <v>357</v>
      </c>
      <c r="K12" s="42">
        <v>81751</v>
      </c>
      <c r="L12" s="131" t="s">
        <v>51</v>
      </c>
      <c r="M12" s="132">
        <f t="shared" si="0"/>
        <v>-802.03200000000004</v>
      </c>
      <c r="N12" s="133" t="str">
        <f>VLOOKUP(C12,'Trips&amp;Operators'!$C$1:$G$99911,5,FALSE)</f>
        <v>BRUDER RICHARD</v>
      </c>
      <c r="O12" s="176" t="s">
        <v>350</v>
      </c>
      <c r="P12" s="134" t="s">
        <v>1109</v>
      </c>
      <c r="Q12" s="30"/>
      <c r="R12" s="81" t="str">
        <f>VLOOKUP(C12,'Train Runs'!$A$13:$AE$10142,31,0)</f>
        <v>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 &amp; 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</v>
      </c>
      <c r="S12" s="84" t="str">
        <f>VLOOKUP(C12,'Train Runs'!$A$13:$AE$10142,22,0)</f>
        <v>https://d0f6bd738d7f1b3e5a7ca70fe4ff75f0.us-east-1.aws.found.io/app/kibana#/discover/Steve-Slow-Train-Analysis-(2080s-and-2083s)?_g=(refreshInterval:(display:Off,pause:!f,section:0,value:0),time:(from:'2017-11-10T14:52:24-0700',mode:absolute,to:'2017-11-10T17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2" s="86" t="str">
        <f t="shared" si="1"/>
        <v>"C:\Program Files (x86)\AstroGrep\AstroGrep.exe" /e /r /s /spath="%USERPROFILE%\AppData\Local\Temp\OnboardLogs" /stypes="*4015*201711102*" /stext=" 23:.+((SYSTEM_STATE.+slice.+state.+changed )|(ment ac)|(multiple cpu faults)|(system.+state.+changed )|(\[timeout)|(PRM\|1\|D)|(kpr)|(kdp)|(train st.+moving)|(\|lc)|(penalty))"</v>
      </c>
      <c r="U12" s="9" t="str">
        <f t="shared" si="2"/>
        <v>4015</v>
      </c>
      <c r="V12" s="31">
        <f t="shared" si="3"/>
        <v>43049.970995370371</v>
      </c>
      <c r="W12" s="45" t="str">
        <f t="shared" si="4"/>
        <v>EC</v>
      </c>
      <c r="X12" s="22">
        <f t="shared" si="5"/>
        <v>192</v>
      </c>
      <c r="Y12" s="96" t="str">
        <f t="shared" si="6"/>
        <v>echo {"issue":{"subject":"Wi-MAX data drop","project_id":79,"tracker_id":40,"status_id":1,"priority_id":2,"assigned_to_id":338,"start_date":"2017-11-10","description":"","custom_fields":[{"id":1,"name":"Subdivision","value":"EC"},{"id":4,"name":"Milepost","value":"8.1751"},{"id":17,"name":"Train ID","value":"192-10"},{"id":16,"name":"Locomotive ID","value":"4015"},{"id":130,"name":"Impact","value":""},{"id":150,"name":"Time of Event (Mountain Time)","value":"16:18:14"},{"id":151,"name":"Denver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/c/Users/stu/AppData/Local/Temp/OnboardLogs/RTDC4015 --include="*4015*201711102*"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"%USERPROFILE%\AppData\Local\Temp\OnboardLogs"\RTDC4015\*4015*201711102* &gt;&gt; 2017-11-10-SliceDisagreementCheck.txt</v>
      </c>
      <c r="AE12" s="145" t="str">
        <f t="shared" si="9"/>
        <v>start /low /b %USERPROFILE%\Documents\GitHub\eaglep3\Utilities\DownloadLogsFromS3.py --loco 4015 --day 2017-11-10</v>
      </c>
      <c r="AF12" s="1"/>
    </row>
    <row r="13" spans="1:32" x14ac:dyDescent="0.25">
      <c r="A13" s="31">
        <v>43049.418171296296</v>
      </c>
      <c r="B13" s="30" t="s">
        <v>508</v>
      </c>
      <c r="C13" s="30" t="s">
        <v>648</v>
      </c>
      <c r="D13" s="30" t="s">
        <v>49</v>
      </c>
      <c r="E13" s="30" t="s">
        <v>356</v>
      </c>
      <c r="F13" s="42">
        <v>0</v>
      </c>
      <c r="G13" s="42">
        <v>97</v>
      </c>
      <c r="H13" s="42">
        <v>86380</v>
      </c>
      <c r="I13" s="42">
        <v>86514</v>
      </c>
      <c r="J13" s="30" t="s">
        <v>357</v>
      </c>
      <c r="K13" s="42">
        <v>87889</v>
      </c>
      <c r="L13" s="131" t="s">
        <v>50</v>
      </c>
      <c r="M13" s="132">
        <f t="shared" si="0"/>
        <v>726</v>
      </c>
      <c r="N13" s="133" t="str">
        <f>VLOOKUP(C13,'Trips&amp;Operators'!$C$1:$G$99911,5,FALSE)</f>
        <v>GEBRETEKLE DAGNEW</v>
      </c>
      <c r="O13" s="176" t="s">
        <v>350</v>
      </c>
      <c r="P13" s="134" t="s">
        <v>1109</v>
      </c>
      <c r="Q13" s="30"/>
      <c r="R13" s="81" t="str">
        <f>VLOOKUP(C13,'Train Runs'!$A$13:$AE$10142,31,0)</f>
        <v>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 &amp; aws s3 cp s3://rtdc.mdm.uploadarchive.raw/RTDC4016/ "%USERPROFILE%\AppData\Local\Temp\OnboardLogs"\RTDC4016\2017-11-11 --exclude "*" --recursive --include "*20171111*" &amp; "%USERPROFILE%\Documents\GitHub\mrs-test-scripts\Headless Mode &amp; Sideloading\WalkAndUnGZ.bat" "%USERPROFILE%\AppData\Local\Temp\OnboardLogs"\RTDC4016\2017-11-11</v>
      </c>
      <c r="S13" s="84" t="str">
        <f>VLOOKUP(C13,'Train Runs'!$A$13:$AE$10142,22,0)</f>
        <v>https://d0f6bd738d7f1b3e5a7ca70fe4ff75f0.us-east-1.aws.found.io/app/kibana#/discover/Steve-Slow-Train-Analysis-(2080s-and-2083s)?_g=(refreshInterval:(display:Off,pause:!f,section:0,value:0),time:(from:'2017-11-10T08:36:55-0700',mode:absolute,to:'2017-11-10T11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3" s="86" t="str">
        <f t="shared" si="1"/>
        <v>"C:\Program Files (x86)\AstroGrep\AstroGrep.exe" /e /r /s /spath="%USERPROFILE%\AppData\Local\Temp\OnboardLogs" /stypes="*4016*201711101*" /stext=" 17:.+((SYSTEM_STATE.+slice.+state.+changed )|(ment ac)|(multiple cpu faults)|(system.+state.+changed )|(\[timeout)|(PRM\|1\|D)|(kpr)|(kdp)|(train st.+moving)|(\|lc)|(penalty))"</v>
      </c>
      <c r="U13" s="9" t="str">
        <f t="shared" si="2"/>
        <v>4016</v>
      </c>
      <c r="V13" s="31">
        <f t="shared" si="3"/>
        <v>43049.709837962961</v>
      </c>
      <c r="W13" s="45" t="str">
        <f t="shared" si="4"/>
        <v>EC</v>
      </c>
      <c r="X13" s="22">
        <f t="shared" si="5"/>
        <v>149</v>
      </c>
      <c r="Y13" s="96" t="str">
        <f t="shared" si="6"/>
        <v>echo {"issue":{"subject":"Wi-MAX data drop","project_id":79,"tracker_id":40,"status_id":1,"priority_id":2,"assigned_to_id":338,"start_date":"2017-11-10","description":"","custom_fields":[{"id":1,"name":"Subdivision","value":"EC"},{"id":4,"name":"Milepost","value":"8.7889"},{"id":17,"name":"Train ID","value":"149-10"},{"id":16,"name":"Locomotive ID","value":"4016"},{"id":130,"name":"Impact","value":""},{"id":150,"name":"Time of Event (Mountain Time)","value":"10:02:10"},{"id":151,"name":"Denver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/c/Users/stu/AppData/Local/Temp/OnboardLogs/RTDC4016 --include="*4016*201711101*"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"%USERPROFILE%\AppData\Local\Temp\OnboardLogs"\RTDC4016\*4016*201711101* &gt;&gt; 2017-11-10-SliceDisagreementCheck.txt</v>
      </c>
      <c r="AE13" s="145" t="str">
        <f t="shared" si="9"/>
        <v>start /low /b %USERPROFILE%\Documents\GitHub\eaglep3\Utilities\DownloadLogsFromS3.py --loco 4016 --day 2017-11-10</v>
      </c>
      <c r="AF13" s="1"/>
    </row>
    <row r="14" spans="1:32" x14ac:dyDescent="0.25">
      <c r="A14" s="31">
        <v>43049.980069444442</v>
      </c>
      <c r="B14" s="30" t="s">
        <v>575</v>
      </c>
      <c r="C14" s="30" t="s">
        <v>655</v>
      </c>
      <c r="D14" s="30" t="s">
        <v>49</v>
      </c>
      <c r="E14" s="30" t="s">
        <v>356</v>
      </c>
      <c r="F14" s="42">
        <v>0</v>
      </c>
      <c r="G14" s="42">
        <v>324</v>
      </c>
      <c r="H14" s="42">
        <v>205865</v>
      </c>
      <c r="I14" s="42">
        <v>205107</v>
      </c>
      <c r="J14" s="30" t="s">
        <v>357</v>
      </c>
      <c r="K14" s="42">
        <v>204340</v>
      </c>
      <c r="L14" s="131" t="s">
        <v>51</v>
      </c>
      <c r="M14" s="132">
        <f t="shared" si="0"/>
        <v>404.976</v>
      </c>
      <c r="N14" s="133" t="str">
        <f>VLOOKUP(C14,'Trips&amp;Operators'!$C$1:$G$99911,5,FALSE)</f>
        <v>ELBAUM MIKE</v>
      </c>
      <c r="O14" s="176" t="s">
        <v>350</v>
      </c>
      <c r="P14" s="134" t="s">
        <v>1108</v>
      </c>
      <c r="Q14" s="30"/>
      <c r="R14" s="81" t="str">
        <f>VLOOKUP(C14,'Train Runs'!$A$13:$AE$10142,31,0)</f>
        <v>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 &amp; aws s3 cp s3://rtdc.mdm.uploadarchive.raw/RTDC4015/ "%USERPROFILE%\AppData\Local\Temp\OnboardLogs"\RTDC4015\2017-11-11 --exclude "*" --recursive --include "*20171111*" &amp; "%USERPROFILE%\Documents\GitHub\mrs-test-scripts\Headless Mode &amp; Sideloading\WalkAndUnGZ.bat" "%USERPROFILE%\AppData\Local\Temp\OnboardLogs"\RTDC4015\2017-11-11</v>
      </c>
      <c r="S14" s="84" t="str">
        <f>VLOOKUP(C14,'Train Runs'!$A$13:$AE$10142,22,0)</f>
        <v>https://d0f6bd738d7f1b3e5a7ca70fe4ff75f0.us-east-1.aws.found.io/app/kibana#/discover/Steve-Slow-Train-Analysis-(2080s-and-2083s)?_g=(refreshInterval:(display:Off,pause:!f,section:0,value:0),time:(from:'2017-11-10T22:09:55-0700',mode:absolute,to:'2017-11-11T00:31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86" t="str">
        <f t="shared" si="1"/>
        <v>"C:\Program Files (x86)\AstroGrep\AstroGrep.exe" /e /r /s /spath="%USERPROFILE%\AppData\Local\Temp\OnboardLogs" /stypes="*4015*201711110*" /stext=" 06:.+((SYSTEM_STATE.+slice.+state.+changed )|(ment ac)|(multiple cpu faults)|(system.+state.+changed )|(\[timeout)|(PRM\|1\|D)|(kpr)|(kdp)|(train st.+moving)|(\|lc)|(penalty))"</v>
      </c>
      <c r="U14" s="9" t="str">
        <f t="shared" si="2"/>
        <v>4015</v>
      </c>
      <c r="V14" s="31">
        <f t="shared" si="3"/>
        <v>43050.271736111106</v>
      </c>
      <c r="W14" s="45" t="str">
        <f t="shared" si="4"/>
        <v>EC</v>
      </c>
      <c r="X14" s="22">
        <f t="shared" si="5"/>
        <v>236</v>
      </c>
      <c r="Y14" s="96" t="str">
        <f t="shared" si="6"/>
        <v>echo {"issue":{"subject":"Onboard en route failure","project_id":79,"tracker_id":40,"status_id":1,"priority_id":2,"assigned_to_id":338,"start_date":"2017-11-10","description":"","custom_fields":[{"id":1,"name":"Subdivision","value":"EC"},{"id":4,"name":"Milepost","value":"20.434"},{"id":17,"name":"Train ID","value":"236-10"},{"id":16,"name":"Locomotive ID","value":"4015"},{"id":130,"name":"Impact","value":""},{"id":150,"name":"Time of Event (Mountain Time)","value":"23:31:18"},{"id":151,"name":"Denver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/c/Users/stu/AppData/Local/Temp/OnboardLogs/RTDC4015 --include="*4015*201711110*"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"%USERPROFILE%\AppData\Local\Temp\OnboardLogs"\RTDC4015\*4015*201711110* &gt;&gt; 2017-11-10-SliceDisagreementCheck.txt</v>
      </c>
      <c r="AE14" s="145" t="str">
        <f t="shared" si="9"/>
        <v>start /low /b %USERPROFILE%\Documents\GitHub\eaglep3\Utilities\DownloadLogsFromS3.py --loco 4015 --day 2017-11-11</v>
      </c>
      <c r="AF14" s="1"/>
    </row>
    <row r="15" spans="1:32" x14ac:dyDescent="0.25">
      <c r="A15" s="31">
        <v>43049.646458333336</v>
      </c>
      <c r="B15" s="30" t="s">
        <v>503</v>
      </c>
      <c r="C15" s="30" t="s">
        <v>650</v>
      </c>
      <c r="D15" s="30" t="s">
        <v>49</v>
      </c>
      <c r="E15" s="30" t="s">
        <v>646</v>
      </c>
      <c r="F15" s="42">
        <v>0</v>
      </c>
      <c r="G15" s="42">
        <v>447</v>
      </c>
      <c r="H15" s="42">
        <v>108016</v>
      </c>
      <c r="I15" s="42">
        <v>106480</v>
      </c>
      <c r="J15" s="30" t="s">
        <v>647</v>
      </c>
      <c r="K15" s="42">
        <v>104776</v>
      </c>
      <c r="L15" s="131" t="s">
        <v>51</v>
      </c>
      <c r="M15" s="132">
        <f t="shared" si="0"/>
        <v>899.71199999999999</v>
      </c>
      <c r="N15" s="133" t="str">
        <f>VLOOKUP(C15,'Trips&amp;Operators'!$C$1:$G$99911,5,FALSE)</f>
        <v>BADERTSCHER DIANE</v>
      </c>
      <c r="O15" s="176" t="s">
        <v>350</v>
      </c>
      <c r="P15" s="134" t="s">
        <v>1109</v>
      </c>
      <c r="Q15" s="30"/>
      <c r="R15" s="81" t="str">
        <f>VLOOKUP(C15,'Train Runs'!$A$13:$AE$10142,31,0)</f>
        <v>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 &amp; 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</v>
      </c>
      <c r="S15" s="84" t="str">
        <f>VLOOKUP(C15,'Train Runs'!$A$13:$AE$10142,22,0)</f>
        <v>https://d0f6bd738d7f1b3e5a7ca70fe4ff75f0.us-east-1.aws.found.io/app/kibana#/discover/Steve-Slow-Train-Analysis-(2080s-and-2083s)?_g=(refreshInterval:(display:Off,pause:!f,section:0,value:0),time:(from:'2017-11-10T14:01:08-0700',mode:absolute,to:'2017-11-10T16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5" s="86" t="str">
        <f t="shared" si="1"/>
        <v>"C:\Program Files (x86)\AstroGrep\AstroGrep.exe" /e /r /s /spath="%USERPROFILE%\AppData\Local\Temp\OnboardLogs" /stypes="*4051*201711102*" /stext=" 22:.+((SYSTEM_STATE.+slice.+state.+changed )|(ment ac)|(multiple cpu faults)|(system.+state.+changed )|(\[timeout)|(PRM\|1\|D)|(kpr)|(kdp)|(train st.+moving)|(\|lc)|(penalty))"</v>
      </c>
      <c r="U15" s="9" t="str">
        <f t="shared" si="2"/>
        <v>4051</v>
      </c>
      <c r="V15" s="31">
        <f t="shared" si="3"/>
        <v>43049.938125000001</v>
      </c>
      <c r="W15" s="45" t="str">
        <f t="shared" si="4"/>
        <v>EC</v>
      </c>
      <c r="X15" s="22">
        <f t="shared" si="5"/>
        <v>186</v>
      </c>
      <c r="Y15" s="96" t="str">
        <f t="shared" si="6"/>
        <v>echo {"issue":{"subject":"Wi-MAX data drop","project_id":79,"tracker_id":40,"status_id":1,"priority_id":2,"assigned_to_id":338,"start_date":"2017-11-10","description":"","custom_fields":[{"id":1,"name":"Subdivision","value":"EC"},{"id":4,"name":"Milepost","value":"10.4776"},{"id":17,"name":"Train ID","value":"186-10"},{"id":16,"name":"Locomotive ID","value":"4051"},{"id":130,"name":"Impact","value":""},{"id":150,"name":"Time of Event (Mountain Time)","value":"15:30:54"},{"id":151,"name":"Denver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/c/Users/stu/AppData/Local/Temp/OnboardLogs/RTDC4051 --include="*4051*201711102*"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"%USERPROFILE%\AppData\Local\Temp\OnboardLogs"\RTDC4051\*4051*201711102* &gt;&gt; 2017-11-10-SliceDisagreementCheck.txt</v>
      </c>
      <c r="AE15" s="145" t="str">
        <f t="shared" si="9"/>
        <v>start /low /b %USERPROFILE%\Documents\GitHub\eaglep3\Utilities\DownloadLogsFromS3.py --loco 4051 --day 2017-11-10</v>
      </c>
      <c r="AF15" s="1"/>
    </row>
    <row r="16" spans="1:32" x14ac:dyDescent="0.25">
      <c r="A16" s="31">
        <v>43049.665763888886</v>
      </c>
      <c r="B16" s="30" t="s">
        <v>392</v>
      </c>
      <c r="C16" s="30" t="s">
        <v>652</v>
      </c>
      <c r="D16" s="30" t="s">
        <v>49</v>
      </c>
      <c r="E16" s="30" t="s">
        <v>646</v>
      </c>
      <c r="F16" s="42">
        <v>0</v>
      </c>
      <c r="G16" s="42">
        <v>427</v>
      </c>
      <c r="H16" s="42">
        <v>113161</v>
      </c>
      <c r="I16" s="42">
        <v>111625</v>
      </c>
      <c r="J16" s="30" t="s">
        <v>647</v>
      </c>
      <c r="K16" s="42">
        <v>110617</v>
      </c>
      <c r="L16" s="131" t="s">
        <v>51</v>
      </c>
      <c r="M16" s="132">
        <f t="shared" si="0"/>
        <v>532.22400000000005</v>
      </c>
      <c r="N16" s="133" t="str">
        <f>VLOOKUP(C16,'Trips&amp;Operators'!$C$1:$G$99911,5,FALSE)</f>
        <v>SAFIEF AEIMEN</v>
      </c>
      <c r="O16" s="176" t="s">
        <v>350</v>
      </c>
      <c r="P16" s="134" t="s">
        <v>1109</v>
      </c>
      <c r="Q16" s="30"/>
      <c r="R16" s="81" t="str">
        <f>VLOOKUP(C16,'Train Runs'!$A$13:$AE$10142,31,0)</f>
        <v>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 &amp; aws s3 cp s3://rtdc.mdm.uploadarchive.raw/RTDC4059/ "%USERPROFILE%\AppData\Local\Temp\OnboardLogs"\RTDC4059\2017-11-11 --exclude "*" --recursive --include "*20171111*" &amp; "%USERPROFILE%\Documents\GitHub\mrs-test-scripts\Headless Mode &amp; Sideloading\WalkAndUnGZ.bat" "%USERPROFILE%\AppData\Local\Temp\OnboardLogs"\RTDC4059\2017-11-11</v>
      </c>
      <c r="S16" s="84" t="str">
        <f>VLOOKUP(C16,'Train Runs'!$A$13:$AE$10142,22,0)</f>
        <v>https://d0f6bd738d7f1b3e5a7ca70fe4ff75f0.us-east-1.aws.found.io/app/kibana#/discover/Steve-Slow-Train-Analysis-(2080s-and-2083s)?_g=(refreshInterval:(display:Off,pause:!f,section:0,value:0),time:(from:'2017-11-10T14:24:49-0700',mode:absolute,to:'2017-11-10T17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6" s="86" t="str">
        <f t="shared" si="1"/>
        <v>"C:\Program Files (x86)\AstroGrep\AstroGrep.exe" /e /r /s /spath="%USERPROFILE%\AppData\Local\Temp\OnboardLogs" /stypes="*4059*201711102*" /stext=" 22:.+((SYSTEM_STATE.+slice.+state.+changed )|(ment ac)|(multiple cpu faults)|(system.+state.+changed )|(\[timeout)|(PRM\|1\|D)|(kpr)|(kdp)|(train st.+moving)|(\|lc)|(penalty))"</v>
      </c>
      <c r="U16" s="9" t="str">
        <f t="shared" si="2"/>
        <v>4059</v>
      </c>
      <c r="V16" s="31">
        <f t="shared" si="3"/>
        <v>43049.957430555551</v>
      </c>
      <c r="W16" s="45" t="str">
        <f t="shared" si="4"/>
        <v>EC</v>
      </c>
      <c r="X16" s="22">
        <f t="shared" si="5"/>
        <v>190</v>
      </c>
      <c r="Y16" s="96" t="str">
        <f t="shared" si="6"/>
        <v>echo {"issue":{"subject":"Wi-MAX data drop","project_id":79,"tracker_id":40,"status_id":1,"priority_id":2,"assigned_to_id":338,"start_date":"2017-11-10","description":"","custom_fields":[{"id":1,"name":"Subdivision","value":"EC"},{"id":4,"name":"Milepost","value":"11.0617"},{"id":17,"name":"Train ID","value":"190-10"},{"id":16,"name":"Locomotive ID","value":"4059"},{"id":130,"name":"Impact","value":""},{"id":150,"name":"Time of Event (Mountain Time)","value":"15:58:42"},{"id":151,"name":"Denver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/c/Users/stu/AppData/Local/Temp/OnboardLogs/RTDC4059 --include="*4059*201711102*"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"%USERPROFILE%\AppData\Local\Temp\OnboardLogs"\RTDC4059\*4059*201711102* &gt;&gt; 2017-11-10-SliceDisagreementCheck.txt</v>
      </c>
      <c r="AE16" s="145" t="str">
        <f t="shared" si="9"/>
        <v>start /low /b %USERPROFILE%\Documents\GitHub\eaglep3\Utilities\DownloadLogsFromS3.py --loco 4059 --day 2017-11-10</v>
      </c>
      <c r="AF16" s="1"/>
    </row>
    <row r="17" spans="1:32" x14ac:dyDescent="0.25">
      <c r="A17" s="31">
        <v>43049.283634259256</v>
      </c>
      <c r="B17" s="30" t="s">
        <v>508</v>
      </c>
      <c r="C17" s="30" t="s">
        <v>645</v>
      </c>
      <c r="D17" s="30" t="s">
        <v>49</v>
      </c>
      <c r="E17" s="30" t="s">
        <v>646</v>
      </c>
      <c r="F17" s="42">
        <v>0</v>
      </c>
      <c r="G17" s="42">
        <v>131</v>
      </c>
      <c r="H17" s="42">
        <v>229658</v>
      </c>
      <c r="I17" s="42">
        <v>229854</v>
      </c>
      <c r="J17" s="30" t="s">
        <v>647</v>
      </c>
      <c r="K17" s="42">
        <v>230436</v>
      </c>
      <c r="L17" s="131" t="s">
        <v>50</v>
      </c>
      <c r="M17" s="132">
        <f t="shared" si="0"/>
        <v>307.29599999999999</v>
      </c>
      <c r="N17" s="133" t="str">
        <f>VLOOKUP(C17,'Trips&amp;Operators'!$C$1:$G$99911,5,FALSE)</f>
        <v>GEBRETEKLE DAGNEW</v>
      </c>
      <c r="O17" s="176" t="s">
        <v>350</v>
      </c>
      <c r="P17" s="134" t="s">
        <v>1109</v>
      </c>
      <c r="Q17" s="30"/>
      <c r="R17" s="81" t="str">
        <f>VLOOKUP(C17,'Train Runs'!$A$13:$AE$10142,31,0)</f>
        <v>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 &amp; aws s3 cp s3://rtdc.mdm.uploadarchive.raw/RTDC4016/ "%USERPROFILE%\AppData\Local\Temp\OnboardLogs"\RTDC4016\2017-11-11 --exclude "*" --recursive --include "*20171111*" &amp; "%USERPROFILE%\Documents\GitHub\mrs-test-scripts\Headless Mode &amp; Sideloading\WalkAndUnGZ.bat" "%USERPROFILE%\AppData\Local\Temp\OnboardLogs"\RTDC4016\2017-11-11</v>
      </c>
      <c r="S17" s="84" t="str">
        <f>VLOOKUP(C17,'Train Runs'!$A$13:$AE$10142,22,0)</f>
        <v>https://d0f6bd738d7f1b3e5a7ca70fe4ff75f0.us-east-1.aws.found.io/app/kibana#/discover/Steve-Slow-Train-Analysis-(2080s-and-2083s)?_g=(refreshInterval:(display:Off,pause:!f,section:0,value:0),time:(from:'2017-11-10T05:11:14-0700',mode:absolute,to:'2017-11-10T07:50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7" s="86" t="str">
        <f t="shared" si="1"/>
        <v>"C:\Program Files (x86)\AstroGrep\AstroGrep.exe" /e /r /s /spath="%USERPROFILE%\AppData\Local\Temp\OnboardLogs" /stypes="*4016*201711101*" /stext=" 13:.+((SYSTEM_STATE.+slice.+state.+changed )|(ment ac)|(multiple cpu faults)|(system.+state.+changed )|(\[timeout)|(PRM\|1\|D)|(kpr)|(kdp)|(train st.+moving)|(\|lc)|(penalty))"</v>
      </c>
      <c r="U17" s="9" t="str">
        <f t="shared" si="2"/>
        <v>4016</v>
      </c>
      <c r="V17" s="31">
        <f t="shared" si="3"/>
        <v>43049.575300925921</v>
      </c>
      <c r="W17" s="45" t="str">
        <f t="shared" si="4"/>
        <v>EC</v>
      </c>
      <c r="X17" s="22">
        <f t="shared" si="5"/>
        <v>121</v>
      </c>
      <c r="Y17" s="96" t="str">
        <f t="shared" si="6"/>
        <v>echo {"issue":{"subject":"Wi-MAX data drop","project_id":79,"tracker_id":40,"status_id":1,"priority_id":2,"assigned_to_id":338,"start_date":"2017-11-10","description":"","custom_fields":[{"id":1,"name":"Subdivision","value":"EC"},{"id":4,"name":"Milepost","value":"23.0436"},{"id":17,"name":"Train ID","value":"121-10"},{"id":16,"name":"Locomotive ID","value":"4016"},{"id":130,"name":"Impact","value":""},{"id":150,"name":"Time of Event (Mountain Time)","value":"06:48:26"},{"id":151,"name":"Denver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/c/Users/stu/AppData/Local/Temp/OnboardLogs/RTDC4016 --include="*4016*201711101*"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"%USERPROFILE%\AppData\Local\Temp\OnboardLogs"\RTDC4016\*4016*201711101* &gt;&gt; 2017-11-10-SliceDisagreementCheck.txt</v>
      </c>
      <c r="AE17" s="145" t="str">
        <f t="shared" si="9"/>
        <v>start /low /b %USERPROFILE%\Documents\GitHub\eaglep3\Utilities\DownloadLogsFromS3.py --loco 4016 --day 2017-11-10</v>
      </c>
      <c r="AF17" s="1"/>
    </row>
    <row r="18" spans="1:32" x14ac:dyDescent="0.25">
      <c r="A18" s="31">
        <v>43049.144999999997</v>
      </c>
      <c r="B18" s="30" t="s">
        <v>503</v>
      </c>
      <c r="C18" s="30" t="s">
        <v>643</v>
      </c>
      <c r="D18" s="30" t="s">
        <v>95</v>
      </c>
      <c r="E18" s="30" t="s">
        <v>356</v>
      </c>
      <c r="F18" s="42">
        <v>0</v>
      </c>
      <c r="G18" s="42">
        <v>91</v>
      </c>
      <c r="H18" s="42">
        <v>18821</v>
      </c>
      <c r="I18" s="42">
        <v>18765</v>
      </c>
      <c r="J18" s="30" t="s">
        <v>357</v>
      </c>
      <c r="K18" s="42">
        <v>19000</v>
      </c>
      <c r="L18" s="131" t="s">
        <v>51</v>
      </c>
      <c r="M18" s="132">
        <f t="shared" si="0"/>
        <v>-124.08</v>
      </c>
      <c r="N18" s="133" t="str">
        <f>VLOOKUP(C18,'Trips&amp;Operators'!$C$1:$G$99911,5,FALSE)</f>
        <v>MAELZER KURT</v>
      </c>
      <c r="O18" s="176" t="s">
        <v>178</v>
      </c>
      <c r="P18" s="134"/>
      <c r="Q18" s="30"/>
      <c r="R18" s="81" t="str">
        <f>VLOOKUP(C18,'Train Runs'!$A$13:$AE$10142,31,0)</f>
        <v>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 &amp; aws s3 cp s3://rtdc.mdm.uploadarchive.raw/RTDC4051/ "%USERPROFILE%\AppData\Local\Temp\OnboardLogs"\RTDC4051\2017-11-11 --exclude "*" --recursive --include "*20171111*" &amp; "%USERPROFILE%\Documents\GitHub\mrs-test-scripts\Headless Mode &amp; Sideloading\WalkAndUnGZ.bat" "%USERPROFILE%\AppData\Local\Temp\OnboardLogs"\RTDC4051\2017-11-11</v>
      </c>
      <c r="S18" s="84" t="str">
        <f>VLOOKUP(C18,'Train Runs'!$A$13:$AE$10142,22,0)</f>
        <v>https://d0f6bd738d7f1b3e5a7ca70fe4ff75f0.us-east-1.aws.found.io/app/kibana#/discover/Steve-Slow-Train-Analysis-(2080s-and-2083s)?_g=(refreshInterval:(display:Off,pause:!f,section:0,value:0),time:(from:'2017-11-10T02:21:22-0700',mode:absolute,to:'2017-11-10T04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8" s="86" t="str">
        <f t="shared" si="1"/>
        <v>"C:\Program Files (x86)\AstroGrep\AstroGrep.exe" /e /r /s /spath="%USERPROFILE%\AppData\Local\Temp\OnboardLogs" /stypes="*4051*201711101*" /stext=" 10:.+((SYSTEM_STATE.+slice.+state.+changed )|(ment ac)|(multiple cpu faults)|(system.+state.+changed )|(\[timeout)|(PRM\|1\|D)|(kpr)|(kdp)|(train st.+moving)|(\|lc)|(penalty))"</v>
      </c>
      <c r="U18" s="9" t="str">
        <f t="shared" si="2"/>
        <v>4051</v>
      </c>
      <c r="V18" s="31">
        <f t="shared" si="3"/>
        <v>43049.436666666661</v>
      </c>
      <c r="W18" s="45" t="str">
        <f t="shared" si="4"/>
        <v>Other</v>
      </c>
      <c r="X18" s="22">
        <f t="shared" si="5"/>
        <v>302</v>
      </c>
      <c r="Y18" s="96" t="str">
        <f t="shared" si="6"/>
        <v>echo {"issue":{"subject":"","project_id":79,"tracker_id":40,"status_id":1,"priority_id":2,"assigned_to_id":338,"start_date":"2017-11-10","description":"","custom_fields":[{"id":1,"name":"Subdivision","value":"Other"},{"id":4,"name":"Milepost","value":"1.9"},{"id":17,"name":"Train ID","value":"302-10"},{"id":16,"name":"Locomotive ID","value":"4051"},{"id":130,"name":"Impact","value":""},{"id":150,"name":"Time of Event (Mountain Time)","value":"03:28:48"},{"id":151,"name":"Denver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/c/Users/stu/AppData/Local/Temp/OnboardLogs/RTDC4051 --include="*4051*201711101*"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"%USERPROFILE%\AppData\Local\Temp\OnboardLogs"\RTDC4051\*4051*201711101* &gt;&gt; 2017-11-10-SliceDisagreementCheck.txt</v>
      </c>
      <c r="AE18" s="145" t="str">
        <f t="shared" si="9"/>
        <v>start /low /b %USERPROFILE%\Documents\GitHub\eaglep3\Utilities\DownloadLogsFromS3.py --loco 4051 --day 2017-11-10</v>
      </c>
      <c r="AF18" s="1"/>
    </row>
    <row r="19" spans="1:32" x14ac:dyDescent="0.25">
      <c r="A19"/>
      <c r="D19"/>
      <c r="E19"/>
      <c r="F19"/>
      <c r="G19"/>
      <c r="H19"/>
      <c r="I19"/>
      <c r="J19"/>
      <c r="K19"/>
      <c r="L19"/>
      <c r="M19"/>
      <c r="N19"/>
      <c r="O19"/>
      <c r="P19"/>
      <c r="R19"/>
      <c r="S19"/>
      <c r="T19"/>
      <c r="V19"/>
      <c r="X19"/>
      <c r="Z19"/>
      <c r="AC19"/>
      <c r="AE19"/>
    </row>
    <row r="20" spans="1:32" x14ac:dyDescent="0.25">
      <c r="A20"/>
      <c r="D20"/>
      <c r="E20"/>
      <c r="F20"/>
      <c r="G20"/>
      <c r="H20"/>
      <c r="I20"/>
      <c r="J20"/>
      <c r="K20"/>
      <c r="L20"/>
      <c r="M20"/>
      <c r="N20"/>
      <c r="O20"/>
      <c r="P20"/>
      <c r="R20"/>
      <c r="S20"/>
      <c r="T20"/>
      <c r="V20"/>
      <c r="X20"/>
      <c r="Z20"/>
      <c r="AC20"/>
      <c r="AE20"/>
    </row>
    <row r="21" spans="1:32" x14ac:dyDescent="0.25">
      <c r="A21"/>
      <c r="D21"/>
      <c r="E21"/>
      <c r="F21"/>
      <c r="G21"/>
      <c r="H21"/>
      <c r="I21"/>
      <c r="J21"/>
      <c r="K21"/>
      <c r="L21"/>
      <c r="M21"/>
      <c r="N21"/>
      <c r="O21"/>
      <c r="P21"/>
      <c r="R21"/>
      <c r="S21"/>
      <c r="T21"/>
      <c r="V21"/>
      <c r="X21"/>
      <c r="Z21"/>
      <c r="AC21"/>
      <c r="AE21"/>
    </row>
    <row r="22" spans="1:32" x14ac:dyDescent="0.25">
      <c r="A22"/>
      <c r="D22"/>
      <c r="E22"/>
      <c r="F22"/>
      <c r="G22"/>
      <c r="H22"/>
      <c r="I22"/>
      <c r="J22"/>
      <c r="K22"/>
      <c r="L22"/>
      <c r="M22"/>
      <c r="N22"/>
      <c r="O22"/>
      <c r="P22"/>
      <c r="R22"/>
      <c r="S22"/>
      <c r="T22"/>
      <c r="V22"/>
      <c r="X22"/>
      <c r="Z22"/>
      <c r="AC22"/>
      <c r="AE22"/>
    </row>
    <row r="23" spans="1:32" x14ac:dyDescent="0.25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25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</sheetData>
  <autoFilter ref="A6:AC21">
    <sortState ref="A7:AC21">
      <sortCondition ref="W7:W18"/>
      <sortCondition ref="E7:E18"/>
      <sortCondition ref="K7:K18"/>
      <sortCondition ref="F7:F18"/>
    </sortState>
  </autoFilter>
  <sortState ref="A7:AE19">
    <sortCondition ref="W7:W19"/>
    <sortCondition ref="E7:E19"/>
    <sortCondition ref="K7:K19"/>
    <sortCondition ref="C7:C19"/>
    <sortCondition ref="F7:F19"/>
  </sortState>
  <mergeCells count="1">
    <mergeCell ref="A5:O5"/>
  </mergeCells>
  <conditionalFormatting sqref="O6:P6 R6 O35:O1048576 O7:O18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18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AA7:AA18</xm:sqref>
        </x14:dataValidation>
        <x14:dataValidation type="list" allowBlank="1" showInputMessage="1" showErrorMessage="1">
          <x14:formula1>
            <xm:f>'Redmine List Values'!$C$2:$C$15</xm:f>
          </x14:formula1>
          <xm:sqref>AB7:AB18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/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2017-11-10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107</v>
      </c>
      <c r="B3" s="42" t="str">
        <f>A3&amp;"-"&amp;IF(DAY(Variables!$A$2)&lt;10,0,"")&amp;DAY(Variables!$A$2)</f>
        <v>107-10</v>
      </c>
      <c r="C3" s="135"/>
      <c r="D3" s="225">
        <v>4016</v>
      </c>
      <c r="E3" s="30" t="s">
        <v>1113</v>
      </c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22107-10%22)),sort:!(Time.ISO8601,asc))</v>
      </c>
      <c r="J3" s="30" t="e">
        <f>VLOOKUP(B3,'Train Runs'!$A$13:$A$100139,1,FALSE)</f>
        <v>#N/A</v>
      </c>
    </row>
    <row r="4" spans="1:10" x14ac:dyDescent="0.25">
      <c r="A4" s="198"/>
      <c r="B4" s="42" t="str">
        <f>A4&amp;"-"&amp;IF(DAY(Variables!$A$2)&lt;10,0,"")&amp;DAY(Variables!$A$2)</f>
        <v>-10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" s="30" t="e">
        <f>VLOOKUP(B4,'Train Runs'!$A$13:$A$100139,1,FALSE)</f>
        <v>#N/A</v>
      </c>
    </row>
    <row r="5" spans="1:10" x14ac:dyDescent="0.25">
      <c r="A5" s="198"/>
      <c r="B5" s="42" t="str">
        <f>A5&amp;"-"&amp;IF(DAY(Variables!$A$2)&lt;10,0,"")&amp;DAY(Variables!$A$2)</f>
        <v>-10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" s="30" t="e">
        <f>VLOOKUP(B5,'Train Runs'!$A$13:$A$100139,1,FALSE)</f>
        <v>#N/A</v>
      </c>
    </row>
    <row r="6" spans="1:10" x14ac:dyDescent="0.25">
      <c r="A6" s="198"/>
      <c r="B6" s="42" t="str">
        <f>A6&amp;"-"&amp;IF(DAY(Variables!$A$2)&lt;10,0,"")&amp;DAY(Variables!$A$2)</f>
        <v>-10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Runs'!$A$13:$A$100139,1,FALSE)</f>
        <v>#N/A</v>
      </c>
    </row>
    <row r="7" spans="1:10" x14ac:dyDescent="0.25">
      <c r="A7" s="198"/>
      <c r="B7" s="42" t="str">
        <f>A7&amp;"-"&amp;IF(DAY(Variables!$A$2)&lt;10,0,"")&amp;DAY(Variables!$A$2)</f>
        <v>-10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Runs'!$A$13:$A$100139,1,FALSE)</f>
        <v>#N/A</v>
      </c>
    </row>
    <row r="8" spans="1:10" x14ac:dyDescent="0.25">
      <c r="A8" s="198"/>
      <c r="B8" s="42" t="str">
        <f>A8&amp;"-"&amp;IF(DAY(Variables!$A$2)&lt;10,0,"")&amp;DAY(Variables!$A$2)</f>
        <v>-10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Runs'!$A$13:$A$100139,1,FALSE)</f>
        <v>#N/A</v>
      </c>
    </row>
    <row r="9" spans="1:10" x14ac:dyDescent="0.25">
      <c r="A9" s="198"/>
      <c r="B9" s="42" t="str">
        <f>A9&amp;"-"&amp;IF(DAY(Variables!$A$2)&lt;10,0,"")&amp;DAY(Variables!$A$2)</f>
        <v>-10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Runs'!$A$13:$A$100139,1,FALSE)</f>
        <v>#N/A</v>
      </c>
    </row>
    <row r="10" spans="1:10" x14ac:dyDescent="0.25">
      <c r="A10" s="198"/>
      <c r="B10" s="42" t="str">
        <f>A10&amp;"-"&amp;IF(DAY(Variables!$A$2)&lt;10,0,"")&amp;DAY(Variables!$A$2)</f>
        <v>-10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Runs'!$A$13:$A$100139,1,FALSE)</f>
        <v>#N/A</v>
      </c>
    </row>
    <row r="11" spans="1:10" x14ac:dyDescent="0.25">
      <c r="A11" s="198"/>
      <c r="B11" s="42" t="str">
        <f>A11&amp;"-"&amp;IF(DAY(Variables!$A$2)&lt;10,0,"")&amp;DAY(Variables!$A$2)</f>
        <v>-10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Runs'!$A$13:$A$100139,1,FALSE)</f>
        <v>#N/A</v>
      </c>
    </row>
    <row r="12" spans="1:10" x14ac:dyDescent="0.25">
      <c r="A12" s="198"/>
      <c r="B12" s="42" t="str">
        <f>A12&amp;"-"&amp;IF(DAY(Variables!$A$2)&lt;10,0,"")&amp;DAY(Variables!$A$2)</f>
        <v>-10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Runs'!$A$13:$A$100139,1,FALSE)</f>
        <v>#N/A</v>
      </c>
    </row>
    <row r="13" spans="1:10" x14ac:dyDescent="0.25">
      <c r="A13" s="198"/>
      <c r="B13" s="42" t="str">
        <f>A13&amp;"-"&amp;IF(DAY(Variables!$A$2)&lt;10,0,"")&amp;DAY(Variables!$A$2)</f>
        <v>-10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Runs'!$A$13:$A$100139,1,FALSE)</f>
        <v>#N/A</v>
      </c>
    </row>
    <row r="14" spans="1:10" x14ac:dyDescent="0.25">
      <c r="A14" s="198"/>
      <c r="B14" s="42" t="str">
        <f>A14&amp;"-"&amp;IF(DAY(Variables!$A$2)&lt;10,0,"")&amp;DAY(Variables!$A$2)</f>
        <v>-10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Runs'!$A$13:$A$100139,1,FALSE)</f>
        <v>#N/A</v>
      </c>
    </row>
    <row r="15" spans="1:10" x14ac:dyDescent="0.25">
      <c r="A15" s="198"/>
      <c r="B15" s="42" t="str">
        <f>A15&amp;"-"&amp;IF(DAY(Variables!$A$2)&lt;10,0,"")&amp;DAY(Variables!$A$2)</f>
        <v>-10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Runs'!$A$13:$A$100139,1,FALSE)</f>
        <v>#N/A</v>
      </c>
    </row>
    <row r="16" spans="1:10" x14ac:dyDescent="0.25">
      <c r="A16" s="198"/>
      <c r="B16" s="42" t="str">
        <f>A16&amp;"-"&amp;IF(DAY(Variables!$A$2)&lt;10,0,"")&amp;DAY(Variables!$A$2)</f>
        <v>-10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Runs'!$A$13:$A$100139,1,FALSE)</f>
        <v>#N/A</v>
      </c>
    </row>
    <row r="17" spans="1:10" x14ac:dyDescent="0.25">
      <c r="A17" s="198"/>
      <c r="B17" s="42" t="str">
        <f>A17&amp;"-"&amp;IF(DAY(Variables!$A$2)&lt;10,0,"")&amp;DAY(Variables!$A$2)</f>
        <v>-10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Runs'!$A$13:$A$100139,1,FALSE)</f>
        <v>#N/A</v>
      </c>
    </row>
    <row r="18" spans="1:10" x14ac:dyDescent="0.25">
      <c r="A18" s="198"/>
      <c r="B18" s="42" t="str">
        <f>A18&amp;"-"&amp;IF(DAY(Variables!$A$2)&lt;10,0,"")&amp;DAY(Variables!$A$2)</f>
        <v>-10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Runs'!$A$13:$A$100139,1,FALSE)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43049.051562499997</v>
      </c>
      <c r="B2" s="20" t="s">
        <v>386</v>
      </c>
      <c r="C2" s="20" t="s">
        <v>586</v>
      </c>
      <c r="D2" s="138">
        <v>890000</v>
      </c>
      <c r="E2" s="20" t="s">
        <v>345</v>
      </c>
      <c r="F2" s="20" t="s">
        <v>346</v>
      </c>
      <c r="G2" s="8" t="str">
        <f>E2&amp;" "&amp;F2</f>
        <v>LOZA FIDEL</v>
      </c>
      <c r="H2" t="str">
        <f>MID(B2,13,4)</f>
        <v>4022</v>
      </c>
    </row>
    <row r="3" spans="1:8" x14ac:dyDescent="0.25">
      <c r="A3" s="8">
        <v>43049.054942129631</v>
      </c>
      <c r="B3" s="20" t="s">
        <v>500</v>
      </c>
      <c r="C3" s="20" t="s">
        <v>587</v>
      </c>
      <c r="D3" s="138">
        <v>3320000</v>
      </c>
      <c r="E3" s="20" t="s">
        <v>365</v>
      </c>
      <c r="F3" s="20" t="s">
        <v>366</v>
      </c>
      <c r="G3" s="8" t="str">
        <f t="shared" ref="G3:G66" si="0">E3&amp;" "&amp;F3</f>
        <v>NICHOLSON WESLEY</v>
      </c>
      <c r="H3" s="20" t="str">
        <f t="shared" ref="H3:H66" si="1">MID(B3,13,4)</f>
        <v>4023</v>
      </c>
    </row>
    <row r="4" spans="1:8" x14ac:dyDescent="0.25">
      <c r="A4" s="8">
        <v>43049.069097222222</v>
      </c>
      <c r="B4" s="20" t="s">
        <v>583</v>
      </c>
      <c r="C4" s="20" t="s">
        <v>588</v>
      </c>
      <c r="D4" s="138">
        <v>3340000</v>
      </c>
      <c r="E4" s="20" t="s">
        <v>584</v>
      </c>
      <c r="F4" s="20" t="s">
        <v>585</v>
      </c>
      <c r="G4" s="8" t="str">
        <f t="shared" si="0"/>
        <v>ELBAUM MIKE</v>
      </c>
      <c r="H4" s="20" t="str">
        <f t="shared" si="1"/>
        <v>4014</v>
      </c>
    </row>
    <row r="5" spans="1:8" x14ac:dyDescent="0.25">
      <c r="A5" s="8">
        <v>43049.091874999998</v>
      </c>
      <c r="B5" s="20" t="s">
        <v>499</v>
      </c>
      <c r="C5" s="20" t="s">
        <v>589</v>
      </c>
      <c r="D5" s="138">
        <v>3320000</v>
      </c>
      <c r="E5" s="20" t="s">
        <v>365</v>
      </c>
      <c r="F5" s="20" t="s">
        <v>366</v>
      </c>
      <c r="G5" s="8" t="str">
        <f t="shared" si="0"/>
        <v>NICHOLSON WESLEY</v>
      </c>
      <c r="H5" s="20" t="str">
        <f t="shared" si="1"/>
        <v>4024</v>
      </c>
    </row>
    <row r="6" spans="1:8" x14ac:dyDescent="0.25">
      <c r="A6" s="8">
        <v>43049.119004629632</v>
      </c>
      <c r="B6" s="20" t="s">
        <v>364</v>
      </c>
      <c r="C6" s="20" t="s">
        <v>656</v>
      </c>
      <c r="D6" s="138">
        <v>1830000</v>
      </c>
      <c r="E6" s="20" t="s">
        <v>348</v>
      </c>
      <c r="F6" s="20" t="s">
        <v>349</v>
      </c>
      <c r="G6" s="8" t="str">
        <f t="shared" si="0"/>
        <v>YORK EDGAR</v>
      </c>
      <c r="H6" s="20" t="str">
        <f t="shared" si="1"/>
        <v>4017</v>
      </c>
    </row>
    <row r="7" spans="1:8" x14ac:dyDescent="0.25">
      <c r="A7" s="8">
        <v>43049.11954861111</v>
      </c>
      <c r="B7" s="20" t="s">
        <v>364</v>
      </c>
      <c r="C7" s="20" t="s">
        <v>656</v>
      </c>
      <c r="D7" s="138">
        <v>1830000</v>
      </c>
      <c r="E7" s="20" t="s">
        <v>348</v>
      </c>
      <c r="F7" s="20" t="s">
        <v>349</v>
      </c>
      <c r="G7" s="8" t="str">
        <f t="shared" si="0"/>
        <v>YORK EDGAR</v>
      </c>
      <c r="H7" s="20" t="str">
        <f t="shared" si="1"/>
        <v>4017</v>
      </c>
    </row>
    <row r="8" spans="1:8" x14ac:dyDescent="0.25">
      <c r="A8" s="8">
        <v>43049.120185185187</v>
      </c>
      <c r="B8" s="20" t="s">
        <v>364</v>
      </c>
      <c r="C8" s="20" t="s">
        <v>656</v>
      </c>
      <c r="D8" s="138">
        <v>1830000</v>
      </c>
      <c r="E8" s="20" t="s">
        <v>348</v>
      </c>
      <c r="F8" s="20" t="s">
        <v>349</v>
      </c>
      <c r="G8" s="8" t="str">
        <f t="shared" si="0"/>
        <v>YORK EDGAR</v>
      </c>
      <c r="H8" s="20" t="str">
        <f t="shared" si="1"/>
        <v>4017</v>
      </c>
    </row>
    <row r="9" spans="1:8" ht="15.75" thickBot="1" x14ac:dyDescent="0.3">
      <c r="A9" s="24">
        <v>43049.12122685185</v>
      </c>
      <c r="B9" s="20" t="s">
        <v>364</v>
      </c>
      <c r="C9" s="20" t="s">
        <v>656</v>
      </c>
      <c r="D9" s="138">
        <v>1830000</v>
      </c>
      <c r="E9" s="20" t="s">
        <v>348</v>
      </c>
      <c r="F9" s="20" t="s">
        <v>349</v>
      </c>
      <c r="G9" s="8" t="str">
        <f t="shared" si="0"/>
        <v>YORK EDGAR</v>
      </c>
      <c r="H9" s="20" t="str">
        <f t="shared" si="1"/>
        <v>4017</v>
      </c>
    </row>
    <row r="10" spans="1:8" x14ac:dyDescent="0.25">
      <c r="A10" s="8">
        <v>43049.13108796296</v>
      </c>
      <c r="B10" s="20" t="s">
        <v>464</v>
      </c>
      <c r="C10" s="20" t="s">
        <v>642</v>
      </c>
      <c r="D10" s="138">
        <v>1830000</v>
      </c>
      <c r="E10" s="20" t="s">
        <v>348</v>
      </c>
      <c r="F10" s="20" t="s">
        <v>349</v>
      </c>
      <c r="G10" s="8" t="str">
        <f t="shared" si="0"/>
        <v>YORK EDGAR</v>
      </c>
      <c r="H10" s="20" t="str">
        <f t="shared" si="1"/>
        <v>4050</v>
      </c>
    </row>
    <row r="11" spans="1:8" x14ac:dyDescent="0.25">
      <c r="A11" s="8">
        <v>43049.136458333334</v>
      </c>
      <c r="B11" s="20" t="s">
        <v>362</v>
      </c>
      <c r="C11" s="20" t="s">
        <v>657</v>
      </c>
      <c r="D11" s="138">
        <v>900000</v>
      </c>
      <c r="E11" s="20" t="s">
        <v>658</v>
      </c>
      <c r="F11" s="20" t="s">
        <v>659</v>
      </c>
      <c r="G11" s="8" t="str">
        <f t="shared" si="0"/>
        <v>ROCHA YAOTL</v>
      </c>
      <c r="H11" s="20" t="str">
        <f t="shared" si="1"/>
        <v>4018</v>
      </c>
    </row>
    <row r="12" spans="1:8" x14ac:dyDescent="0.25">
      <c r="A12" s="8">
        <v>43049.139027777775</v>
      </c>
      <c r="B12" s="20" t="s">
        <v>464</v>
      </c>
      <c r="C12" s="20" t="s">
        <v>642</v>
      </c>
      <c r="D12" s="138">
        <v>1830000</v>
      </c>
      <c r="E12" s="20" t="s">
        <v>348</v>
      </c>
      <c r="F12" s="20" t="s">
        <v>349</v>
      </c>
      <c r="G12" s="8" t="str">
        <f t="shared" si="0"/>
        <v>YORK EDGAR</v>
      </c>
      <c r="H12" s="20" t="str">
        <f t="shared" si="1"/>
        <v>4050</v>
      </c>
    </row>
    <row r="13" spans="1:8" x14ac:dyDescent="0.25">
      <c r="A13" s="8">
        <v>43049.140185185184</v>
      </c>
      <c r="B13" s="20" t="s">
        <v>364</v>
      </c>
      <c r="C13" s="20" t="s">
        <v>660</v>
      </c>
      <c r="D13" s="138">
        <v>900000</v>
      </c>
      <c r="E13" s="20" t="s">
        <v>658</v>
      </c>
      <c r="F13" s="20" t="s">
        <v>659</v>
      </c>
      <c r="G13" s="8" t="str">
        <f t="shared" si="0"/>
        <v>ROCHA YAOTL</v>
      </c>
      <c r="H13" s="20" t="str">
        <f t="shared" si="1"/>
        <v>4017</v>
      </c>
    </row>
    <row r="14" spans="1:8" x14ac:dyDescent="0.25">
      <c r="A14" s="8">
        <v>43049.140335648146</v>
      </c>
      <c r="B14" s="20" t="s">
        <v>503</v>
      </c>
      <c r="C14" s="20" t="s">
        <v>643</v>
      </c>
      <c r="D14" s="138">
        <v>2010000</v>
      </c>
      <c r="E14" s="20" t="s">
        <v>571</v>
      </c>
      <c r="F14" s="20" t="s">
        <v>572</v>
      </c>
      <c r="G14" s="8" t="str">
        <f t="shared" si="0"/>
        <v>MAELZER KURT</v>
      </c>
      <c r="H14" s="20" t="str">
        <f t="shared" si="1"/>
        <v>4051</v>
      </c>
    </row>
    <row r="15" spans="1:8" x14ac:dyDescent="0.25">
      <c r="A15" s="8">
        <v>43049.153437499997</v>
      </c>
      <c r="B15" s="20" t="s">
        <v>498</v>
      </c>
      <c r="C15" s="20" t="s">
        <v>661</v>
      </c>
      <c r="D15" s="138">
        <v>2010000</v>
      </c>
      <c r="E15" s="20" t="s">
        <v>571</v>
      </c>
      <c r="F15" s="20" t="s">
        <v>572</v>
      </c>
      <c r="G15" s="8" t="str">
        <f t="shared" si="0"/>
        <v>MAELZER KURT</v>
      </c>
      <c r="H15" s="20" t="str">
        <f t="shared" si="1"/>
        <v>4052</v>
      </c>
    </row>
    <row r="16" spans="1:8" x14ac:dyDescent="0.25">
      <c r="A16" s="8">
        <v>43049.162222222221</v>
      </c>
      <c r="B16" s="20" t="s">
        <v>392</v>
      </c>
      <c r="C16" s="20" t="s">
        <v>662</v>
      </c>
      <c r="D16" s="138">
        <v>940000</v>
      </c>
      <c r="E16" s="20" t="s">
        <v>465</v>
      </c>
      <c r="F16" s="20" t="s">
        <v>466</v>
      </c>
      <c r="G16" s="8" t="str">
        <f t="shared" si="0"/>
        <v>BONDS REYNALDO</v>
      </c>
      <c r="H16" s="20" t="str">
        <f t="shared" si="1"/>
        <v>4059</v>
      </c>
    </row>
    <row r="17" spans="1:8" x14ac:dyDescent="0.25">
      <c r="A17" s="8">
        <v>43049.172314814816</v>
      </c>
      <c r="B17" s="20" t="s">
        <v>359</v>
      </c>
      <c r="C17" s="20" t="s">
        <v>663</v>
      </c>
      <c r="D17" s="138">
        <v>940000</v>
      </c>
      <c r="E17" s="20" t="s">
        <v>465</v>
      </c>
      <c r="F17" s="20" t="s">
        <v>466</v>
      </c>
      <c r="G17" s="8" t="str">
        <f t="shared" si="0"/>
        <v>BONDS REYNALDO</v>
      </c>
      <c r="H17" s="20" t="str">
        <f t="shared" si="1"/>
        <v>4060</v>
      </c>
    </row>
    <row r="18" spans="1:8" x14ac:dyDescent="0.25">
      <c r="A18" s="8">
        <v>43049.17324074074</v>
      </c>
      <c r="B18" s="20" t="s">
        <v>463</v>
      </c>
      <c r="C18" s="20" t="s">
        <v>664</v>
      </c>
      <c r="D18" s="138">
        <v>1830000</v>
      </c>
      <c r="E18" s="20" t="s">
        <v>348</v>
      </c>
      <c r="F18" s="20" t="s">
        <v>349</v>
      </c>
      <c r="G18" s="8" t="str">
        <f t="shared" si="0"/>
        <v>YORK EDGAR</v>
      </c>
      <c r="H18" s="20" t="str">
        <f t="shared" si="1"/>
        <v>4049</v>
      </c>
    </row>
    <row r="19" spans="1:8" x14ac:dyDescent="0.25">
      <c r="A19" s="8">
        <v>43049.173854166664</v>
      </c>
      <c r="B19" s="20" t="s">
        <v>575</v>
      </c>
      <c r="C19" s="20" t="s">
        <v>665</v>
      </c>
      <c r="D19" s="138">
        <v>1100000</v>
      </c>
      <c r="E19" s="20" t="s">
        <v>666</v>
      </c>
      <c r="F19" s="20" t="s">
        <v>667</v>
      </c>
      <c r="G19" s="8" t="str">
        <f t="shared" si="0"/>
        <v>GEBRETEKLE DAGNEW</v>
      </c>
      <c r="H19" s="20" t="str">
        <f t="shared" si="1"/>
        <v>4015</v>
      </c>
    </row>
    <row r="20" spans="1:8" x14ac:dyDescent="0.25">
      <c r="A20" s="8">
        <v>43049.181701388887</v>
      </c>
      <c r="B20" s="20" t="s">
        <v>668</v>
      </c>
      <c r="C20" s="20" t="s">
        <v>669</v>
      </c>
      <c r="D20" s="138">
        <v>3030000</v>
      </c>
      <c r="E20" s="20" t="s">
        <v>670</v>
      </c>
      <c r="F20" s="20" t="s">
        <v>671</v>
      </c>
      <c r="G20" s="8" t="str">
        <f t="shared" si="0"/>
        <v>BIRENBAUM THOMAS</v>
      </c>
      <c r="H20" s="20" t="str">
        <f t="shared" si="1"/>
        <v>4027</v>
      </c>
    </row>
    <row r="21" spans="1:8" x14ac:dyDescent="0.25">
      <c r="A21" s="8">
        <v>43049.190393518518</v>
      </c>
      <c r="B21" s="20" t="s">
        <v>503</v>
      </c>
      <c r="C21" s="20" t="s">
        <v>672</v>
      </c>
      <c r="D21" s="138">
        <v>2010000</v>
      </c>
      <c r="E21" s="20" t="s">
        <v>571</v>
      </c>
      <c r="F21" s="20" t="s">
        <v>572</v>
      </c>
      <c r="G21" s="8" t="str">
        <f t="shared" si="0"/>
        <v>MAELZER KURT</v>
      </c>
      <c r="H21" s="20" t="str">
        <f t="shared" si="1"/>
        <v>4051</v>
      </c>
    </row>
    <row r="22" spans="1:8" x14ac:dyDescent="0.25">
      <c r="A22" s="26">
        <v>43049.195486111108</v>
      </c>
      <c r="B22" s="20" t="s">
        <v>673</v>
      </c>
      <c r="C22" s="20" t="s">
        <v>674</v>
      </c>
      <c r="D22" s="138">
        <v>3040000</v>
      </c>
      <c r="E22" s="20" t="s">
        <v>370</v>
      </c>
      <c r="F22" s="20" t="s">
        <v>574</v>
      </c>
      <c r="G22" s="8" t="str">
        <f t="shared" si="0"/>
        <v>WILLIAMS DONTE</v>
      </c>
      <c r="H22" s="20" t="str">
        <f t="shared" si="1"/>
        <v>4032</v>
      </c>
    </row>
    <row r="23" spans="1:8" x14ac:dyDescent="0.25">
      <c r="A23" s="8">
        <v>43049.195856481485</v>
      </c>
      <c r="B23" s="20" t="s">
        <v>393</v>
      </c>
      <c r="C23" s="20" t="s">
        <v>675</v>
      </c>
      <c r="D23" s="138">
        <v>3030000</v>
      </c>
      <c r="E23" s="20" t="s">
        <v>670</v>
      </c>
      <c r="F23" s="20" t="s">
        <v>671</v>
      </c>
      <c r="G23" s="8" t="str">
        <f t="shared" si="0"/>
        <v>BIRENBAUM THOMAS</v>
      </c>
      <c r="H23" s="20" t="str">
        <f t="shared" si="1"/>
        <v>4028</v>
      </c>
    </row>
    <row r="24" spans="1:8" x14ac:dyDescent="0.25">
      <c r="A24" s="8">
        <v>43049.199756944443</v>
      </c>
      <c r="B24" s="20" t="s">
        <v>373</v>
      </c>
      <c r="C24" s="20" t="s">
        <v>676</v>
      </c>
      <c r="D24" s="138">
        <v>2560000</v>
      </c>
      <c r="E24" s="20" t="s">
        <v>677</v>
      </c>
      <c r="F24" s="20" t="s">
        <v>671</v>
      </c>
      <c r="G24" s="8" t="str">
        <f t="shared" si="0"/>
        <v>MACDONALD THOMAS</v>
      </c>
      <c r="H24" s="20" t="str">
        <f t="shared" si="1"/>
        <v>4011</v>
      </c>
    </row>
    <row r="25" spans="1:8" x14ac:dyDescent="0.25">
      <c r="A25" s="8">
        <v>43049.203287037039</v>
      </c>
      <c r="B25" s="20" t="s">
        <v>464</v>
      </c>
      <c r="C25" s="20" t="s">
        <v>678</v>
      </c>
      <c r="D25" s="138">
        <v>1830000</v>
      </c>
      <c r="E25" s="20" t="s">
        <v>348</v>
      </c>
      <c r="F25" s="20" t="s">
        <v>349</v>
      </c>
      <c r="G25" s="8" t="str">
        <f t="shared" si="0"/>
        <v>YORK EDGAR</v>
      </c>
      <c r="H25" s="20" t="str">
        <f t="shared" si="1"/>
        <v>4050</v>
      </c>
    </row>
    <row r="26" spans="1:8" x14ac:dyDescent="0.25">
      <c r="A26" s="8">
        <v>43049.208310185182</v>
      </c>
      <c r="B26" s="20" t="s">
        <v>679</v>
      </c>
      <c r="C26" s="20" t="s">
        <v>680</v>
      </c>
      <c r="D26" s="138">
        <v>3040000</v>
      </c>
      <c r="E26" s="20" t="s">
        <v>370</v>
      </c>
      <c r="F26" s="20" t="s">
        <v>574</v>
      </c>
      <c r="G26" s="8" t="str">
        <f t="shared" si="0"/>
        <v>WILLIAMS DONTE</v>
      </c>
      <c r="H26" s="20" t="str">
        <f t="shared" si="1"/>
        <v>4031</v>
      </c>
    </row>
    <row r="27" spans="1:8" x14ac:dyDescent="0.25">
      <c r="A27" s="8">
        <v>43049.209976851853</v>
      </c>
      <c r="B27" s="20" t="s">
        <v>392</v>
      </c>
      <c r="C27" s="20" t="s">
        <v>644</v>
      </c>
      <c r="D27" s="138">
        <v>940000</v>
      </c>
      <c r="E27" s="20" t="s">
        <v>465</v>
      </c>
      <c r="F27" s="20" t="s">
        <v>466</v>
      </c>
      <c r="G27" s="8" t="str">
        <f t="shared" si="0"/>
        <v>BONDS REYNALDO</v>
      </c>
      <c r="H27" s="20" t="str">
        <f t="shared" si="1"/>
        <v>4059</v>
      </c>
    </row>
    <row r="28" spans="1:8" x14ac:dyDescent="0.25">
      <c r="A28" s="8">
        <v>43049.214571759258</v>
      </c>
      <c r="B28" s="20" t="s">
        <v>372</v>
      </c>
      <c r="C28" s="20" t="s">
        <v>681</v>
      </c>
      <c r="D28" s="138">
        <v>2560000</v>
      </c>
      <c r="E28" s="20" t="s">
        <v>677</v>
      </c>
      <c r="F28" s="20" t="s">
        <v>671</v>
      </c>
      <c r="G28" s="8" t="str">
        <f t="shared" si="0"/>
        <v>MACDONALD THOMAS</v>
      </c>
      <c r="H28" s="20" t="str">
        <f t="shared" si="1"/>
        <v>4012</v>
      </c>
    </row>
    <row r="29" spans="1:8" x14ac:dyDescent="0.25">
      <c r="A29" s="8">
        <v>43049.219953703701</v>
      </c>
      <c r="B29" s="20" t="s">
        <v>682</v>
      </c>
      <c r="C29" s="20" t="s">
        <v>683</v>
      </c>
      <c r="D29" s="138">
        <v>1230000</v>
      </c>
      <c r="E29" s="20" t="s">
        <v>467</v>
      </c>
      <c r="F29" s="20" t="s">
        <v>468</v>
      </c>
      <c r="G29" s="8" t="str">
        <f t="shared" si="0"/>
        <v>YANAI IAN</v>
      </c>
      <c r="H29" s="20" t="str">
        <f t="shared" si="1"/>
        <v>4041</v>
      </c>
    </row>
    <row r="30" spans="1:8" x14ac:dyDescent="0.25">
      <c r="A30" s="8">
        <v>43049.226886574077</v>
      </c>
      <c r="B30" s="20" t="s">
        <v>498</v>
      </c>
      <c r="C30" s="20" t="s">
        <v>684</v>
      </c>
      <c r="D30" s="138">
        <v>2010000</v>
      </c>
      <c r="E30" s="20" t="s">
        <v>571</v>
      </c>
      <c r="F30" s="20" t="s">
        <v>572</v>
      </c>
      <c r="G30" s="8" t="str">
        <f t="shared" si="0"/>
        <v>MAELZER KURT</v>
      </c>
      <c r="H30" s="20" t="str">
        <f t="shared" si="1"/>
        <v>4052</v>
      </c>
    </row>
    <row r="31" spans="1:8" x14ac:dyDescent="0.25">
      <c r="A31" s="8">
        <v>43049.229803240742</v>
      </c>
      <c r="B31" s="20" t="s">
        <v>685</v>
      </c>
      <c r="C31" s="20" t="s">
        <v>686</v>
      </c>
      <c r="D31" s="138">
        <v>1230000</v>
      </c>
      <c r="E31" s="20" t="s">
        <v>467</v>
      </c>
      <c r="F31" s="20" t="s">
        <v>468</v>
      </c>
      <c r="G31" s="8" t="str">
        <f t="shared" si="0"/>
        <v>YANAI IAN</v>
      </c>
      <c r="H31" s="20" t="str">
        <f t="shared" si="1"/>
        <v>4042</v>
      </c>
    </row>
    <row r="32" spans="1:8" x14ac:dyDescent="0.25">
      <c r="A32" s="8">
        <v>43049.230115740742</v>
      </c>
      <c r="B32" s="20" t="s">
        <v>575</v>
      </c>
      <c r="C32" s="20" t="s">
        <v>687</v>
      </c>
      <c r="D32" s="138">
        <v>1100000</v>
      </c>
      <c r="E32" s="20" t="s">
        <v>666</v>
      </c>
      <c r="F32" s="20" t="s">
        <v>667</v>
      </c>
      <c r="G32" s="8" t="str">
        <f t="shared" si="0"/>
        <v>GEBRETEKLE DAGNEW</v>
      </c>
      <c r="H32" s="20" t="str">
        <f t="shared" si="1"/>
        <v>4015</v>
      </c>
    </row>
    <row r="33" spans="1:8" x14ac:dyDescent="0.25">
      <c r="A33" s="8">
        <v>43049.230162037034</v>
      </c>
      <c r="B33" s="20" t="s">
        <v>363</v>
      </c>
      <c r="C33" s="20" t="s">
        <v>688</v>
      </c>
      <c r="D33" s="138">
        <v>3510000</v>
      </c>
      <c r="E33" s="20" t="s">
        <v>689</v>
      </c>
      <c r="F33" s="20" t="s">
        <v>690</v>
      </c>
      <c r="G33" s="8" t="str">
        <f t="shared" si="0"/>
        <v>BARRON PERLA</v>
      </c>
      <c r="H33" s="20" t="str">
        <f t="shared" si="1"/>
        <v>4007</v>
      </c>
    </row>
    <row r="34" spans="1:8" x14ac:dyDescent="0.25">
      <c r="A34" s="8">
        <v>43049.231770833336</v>
      </c>
      <c r="B34" s="20" t="s">
        <v>668</v>
      </c>
      <c r="C34" s="20" t="s">
        <v>691</v>
      </c>
      <c r="D34" s="138">
        <v>3030000</v>
      </c>
      <c r="E34" s="20" t="s">
        <v>670</v>
      </c>
      <c r="F34" s="20" t="s">
        <v>671</v>
      </c>
      <c r="G34" s="8" t="str">
        <f t="shared" si="0"/>
        <v>BIRENBAUM THOMAS</v>
      </c>
      <c r="H34" s="20" t="str">
        <f t="shared" si="1"/>
        <v>4027</v>
      </c>
    </row>
    <row r="35" spans="1:8" x14ac:dyDescent="0.25">
      <c r="A35" s="8">
        <v>43049.233541666668</v>
      </c>
      <c r="B35" s="20" t="s">
        <v>673</v>
      </c>
      <c r="C35" s="20" t="s">
        <v>692</v>
      </c>
      <c r="D35" s="138">
        <v>3040000</v>
      </c>
      <c r="E35" s="20" t="s">
        <v>370</v>
      </c>
      <c r="F35" s="20" t="s">
        <v>574</v>
      </c>
      <c r="G35" s="8" t="str">
        <f t="shared" si="0"/>
        <v>WILLIAMS DONTE</v>
      </c>
      <c r="H35" s="20" t="str">
        <f t="shared" si="1"/>
        <v>4032</v>
      </c>
    </row>
    <row r="36" spans="1:8" x14ac:dyDescent="0.25">
      <c r="A36" s="8">
        <v>43049.234467592592</v>
      </c>
      <c r="B36" s="20" t="s">
        <v>463</v>
      </c>
      <c r="C36" s="20" t="s">
        <v>693</v>
      </c>
      <c r="D36" s="138">
        <v>1830000</v>
      </c>
      <c r="E36" s="20" t="s">
        <v>348</v>
      </c>
      <c r="F36" s="20" t="s">
        <v>349</v>
      </c>
      <c r="G36" s="8" t="str">
        <f t="shared" si="0"/>
        <v>YORK EDGAR</v>
      </c>
      <c r="H36" s="20" t="str">
        <f t="shared" si="1"/>
        <v>4049</v>
      </c>
    </row>
    <row r="37" spans="1:8" x14ac:dyDescent="0.25">
      <c r="A37" s="8">
        <v>43049.246493055558</v>
      </c>
      <c r="B37" s="20" t="s">
        <v>359</v>
      </c>
      <c r="C37" s="20" t="s">
        <v>694</v>
      </c>
      <c r="D37" s="138">
        <v>940000</v>
      </c>
      <c r="E37" s="20" t="s">
        <v>465</v>
      </c>
      <c r="F37" s="20" t="s">
        <v>466</v>
      </c>
      <c r="G37" s="8" t="str">
        <f t="shared" si="0"/>
        <v>BONDS REYNALDO</v>
      </c>
      <c r="H37" s="20" t="str">
        <f t="shared" si="1"/>
        <v>4060</v>
      </c>
    </row>
    <row r="38" spans="1:8" x14ac:dyDescent="0.25">
      <c r="A38" s="8">
        <v>43049.247499999998</v>
      </c>
      <c r="B38" s="20" t="s">
        <v>373</v>
      </c>
      <c r="C38" s="20" t="s">
        <v>695</v>
      </c>
      <c r="D38" s="138">
        <v>2560000</v>
      </c>
      <c r="E38" s="20" t="s">
        <v>677</v>
      </c>
      <c r="F38" s="20" t="s">
        <v>671</v>
      </c>
      <c r="G38" s="8" t="str">
        <f t="shared" si="0"/>
        <v>MACDONALD THOMAS</v>
      </c>
      <c r="H38" s="20" t="str">
        <f t="shared" si="1"/>
        <v>4011</v>
      </c>
    </row>
    <row r="39" spans="1:8" x14ac:dyDescent="0.25">
      <c r="A39" s="8">
        <v>43049.248402777775</v>
      </c>
      <c r="B39" s="20" t="s">
        <v>679</v>
      </c>
      <c r="C39" s="20" t="s">
        <v>696</v>
      </c>
      <c r="D39" s="138">
        <v>3040000</v>
      </c>
      <c r="E39" s="20" t="s">
        <v>370</v>
      </c>
      <c r="F39" s="20" t="s">
        <v>574</v>
      </c>
      <c r="G39" s="8" t="str">
        <f t="shared" si="0"/>
        <v>WILLIAMS DONTE</v>
      </c>
      <c r="H39" s="20" t="str">
        <f t="shared" si="1"/>
        <v>4031</v>
      </c>
    </row>
    <row r="40" spans="1:8" x14ac:dyDescent="0.25">
      <c r="A40" s="8">
        <v>43049.25072916667</v>
      </c>
      <c r="B40" s="25" t="s">
        <v>358</v>
      </c>
      <c r="C40" s="20" t="s">
        <v>697</v>
      </c>
      <c r="D40" s="138">
        <v>3510000</v>
      </c>
      <c r="E40" s="20" t="s">
        <v>689</v>
      </c>
      <c r="F40" s="20" t="s">
        <v>690</v>
      </c>
      <c r="G40" s="8" t="str">
        <f t="shared" si="0"/>
        <v>BARRON PERLA</v>
      </c>
      <c r="H40" s="20" t="str">
        <f t="shared" si="1"/>
        <v>4008</v>
      </c>
    </row>
    <row r="41" spans="1:8" x14ac:dyDescent="0.25">
      <c r="A41" s="8">
        <v>43049.258275462962</v>
      </c>
      <c r="B41" s="20" t="s">
        <v>508</v>
      </c>
      <c r="C41" s="20" t="s">
        <v>645</v>
      </c>
      <c r="D41" s="138">
        <v>1100000</v>
      </c>
      <c r="E41" s="20" t="s">
        <v>666</v>
      </c>
      <c r="F41" s="20" t="s">
        <v>667</v>
      </c>
      <c r="G41" s="8" t="str">
        <f t="shared" si="0"/>
        <v>GEBRETEKLE DAGNEW</v>
      </c>
      <c r="H41" s="20" t="str">
        <f t="shared" si="1"/>
        <v>4016</v>
      </c>
    </row>
    <row r="42" spans="1:8" x14ac:dyDescent="0.25">
      <c r="A42" s="8">
        <v>43049.265034722222</v>
      </c>
      <c r="B42" s="20" t="s">
        <v>503</v>
      </c>
      <c r="C42" s="20" t="s">
        <v>698</v>
      </c>
      <c r="D42" s="138">
        <v>2010000</v>
      </c>
      <c r="E42" s="20" t="s">
        <v>571</v>
      </c>
      <c r="F42" s="20" t="s">
        <v>572</v>
      </c>
      <c r="G42" s="8" t="str">
        <f t="shared" si="0"/>
        <v>MAELZER KURT</v>
      </c>
      <c r="H42" s="20" t="str">
        <f t="shared" si="1"/>
        <v>4051</v>
      </c>
    </row>
    <row r="43" spans="1:8" x14ac:dyDescent="0.25">
      <c r="A43" s="8">
        <v>43049.265740740739</v>
      </c>
      <c r="B43" s="20" t="s">
        <v>682</v>
      </c>
      <c r="C43" s="20" t="s">
        <v>699</v>
      </c>
      <c r="D43" s="138">
        <v>1230000</v>
      </c>
      <c r="E43" s="20" t="s">
        <v>467</v>
      </c>
      <c r="F43" s="20" t="s">
        <v>468</v>
      </c>
      <c r="G43" s="8" t="str">
        <f t="shared" si="0"/>
        <v>YANAI IAN</v>
      </c>
      <c r="H43" s="20" t="str">
        <f t="shared" si="1"/>
        <v>4041</v>
      </c>
    </row>
    <row r="44" spans="1:8" x14ac:dyDescent="0.25">
      <c r="A44" s="8">
        <v>43049.268831018519</v>
      </c>
      <c r="B44" s="20" t="s">
        <v>393</v>
      </c>
      <c r="C44" s="20" t="s">
        <v>700</v>
      </c>
      <c r="D44" s="138">
        <v>3030000</v>
      </c>
      <c r="E44" s="20" t="s">
        <v>670</v>
      </c>
      <c r="F44" s="20" t="s">
        <v>671</v>
      </c>
      <c r="G44" s="8" t="str">
        <f t="shared" si="0"/>
        <v>BIRENBAUM THOMAS</v>
      </c>
      <c r="H44" s="20" t="str">
        <f t="shared" si="1"/>
        <v>4028</v>
      </c>
    </row>
    <row r="45" spans="1:8" x14ac:dyDescent="0.25">
      <c r="A45" s="8">
        <v>43049.269525462965</v>
      </c>
      <c r="B45" s="20" t="s">
        <v>363</v>
      </c>
      <c r="C45" s="20" t="s">
        <v>701</v>
      </c>
      <c r="D45" s="138">
        <v>3510000</v>
      </c>
      <c r="E45" s="20" t="s">
        <v>689</v>
      </c>
      <c r="F45" s="20" t="s">
        <v>690</v>
      </c>
      <c r="G45" s="8" t="str">
        <f t="shared" si="0"/>
        <v>BARRON PERLA</v>
      </c>
      <c r="H45" s="20" t="str">
        <f t="shared" si="1"/>
        <v>4007</v>
      </c>
    </row>
    <row r="46" spans="1:8" x14ac:dyDescent="0.25">
      <c r="A46" s="8">
        <v>43049.274409722224</v>
      </c>
      <c r="B46" s="20" t="s">
        <v>673</v>
      </c>
      <c r="C46" s="20" t="s">
        <v>702</v>
      </c>
      <c r="D46" s="138">
        <v>3040000</v>
      </c>
      <c r="E46" s="20" t="s">
        <v>370</v>
      </c>
      <c r="F46" s="20" t="s">
        <v>574</v>
      </c>
      <c r="G46" s="8" t="str">
        <f t="shared" si="0"/>
        <v>WILLIAMS DONTE</v>
      </c>
      <c r="H46" s="20" t="str">
        <f t="shared" si="1"/>
        <v>4032</v>
      </c>
    </row>
    <row r="47" spans="1:8" x14ac:dyDescent="0.25">
      <c r="A47" s="8">
        <v>43049.274780092594</v>
      </c>
      <c r="B47" s="20" t="s">
        <v>464</v>
      </c>
      <c r="C47" s="20" t="s">
        <v>703</v>
      </c>
      <c r="D47" s="138">
        <v>1830000</v>
      </c>
      <c r="E47" s="20" t="s">
        <v>348</v>
      </c>
      <c r="F47" s="20" t="s">
        <v>349</v>
      </c>
      <c r="G47" s="8" t="str">
        <f t="shared" si="0"/>
        <v>YORK EDGAR</v>
      </c>
      <c r="H47" s="20" t="str">
        <f t="shared" si="1"/>
        <v>4050</v>
      </c>
    </row>
    <row r="48" spans="1:8" x14ac:dyDescent="0.25">
      <c r="A48" s="8">
        <v>43049.286886574075</v>
      </c>
      <c r="B48" s="20" t="s">
        <v>575</v>
      </c>
      <c r="C48" s="20" t="s">
        <v>704</v>
      </c>
      <c r="D48" s="138">
        <v>1100000</v>
      </c>
      <c r="E48" s="20" t="s">
        <v>666</v>
      </c>
      <c r="F48" s="20" t="s">
        <v>667</v>
      </c>
      <c r="G48" s="8" t="str">
        <f t="shared" si="0"/>
        <v>GEBRETEKLE DAGNEW</v>
      </c>
      <c r="H48" s="20" t="str">
        <f t="shared" si="1"/>
        <v>4015</v>
      </c>
    </row>
    <row r="49" spans="1:8" x14ac:dyDescent="0.25">
      <c r="A49" s="8">
        <v>43049.287881944445</v>
      </c>
      <c r="B49" s="20" t="s">
        <v>392</v>
      </c>
      <c r="C49" s="20" t="s">
        <v>705</v>
      </c>
      <c r="D49" s="138">
        <v>940000</v>
      </c>
      <c r="E49" s="20" t="s">
        <v>465</v>
      </c>
      <c r="F49" s="20" t="s">
        <v>466</v>
      </c>
      <c r="G49" s="8" t="str">
        <f t="shared" si="0"/>
        <v>BONDS REYNALDO</v>
      </c>
      <c r="H49" s="20" t="str">
        <f t="shared" si="1"/>
        <v>4059</v>
      </c>
    </row>
    <row r="50" spans="1:8" x14ac:dyDescent="0.25">
      <c r="A50" s="8">
        <v>43049.289664351854</v>
      </c>
      <c r="B50" s="20" t="s">
        <v>679</v>
      </c>
      <c r="C50" s="20" t="s">
        <v>706</v>
      </c>
      <c r="D50" s="138">
        <v>3040000</v>
      </c>
      <c r="E50" s="20" t="s">
        <v>370</v>
      </c>
      <c r="F50" s="20" t="s">
        <v>574</v>
      </c>
      <c r="G50" s="8" t="str">
        <f t="shared" si="0"/>
        <v>WILLIAMS DONTE</v>
      </c>
      <c r="H50" s="20" t="str">
        <f t="shared" si="1"/>
        <v>4031</v>
      </c>
    </row>
    <row r="51" spans="1:8" x14ac:dyDescent="0.25">
      <c r="A51" s="8">
        <v>43049.289953703701</v>
      </c>
      <c r="B51" s="20" t="s">
        <v>372</v>
      </c>
      <c r="C51" s="20" t="s">
        <v>707</v>
      </c>
      <c r="D51" s="138">
        <v>2560000</v>
      </c>
      <c r="E51" s="20" t="s">
        <v>677</v>
      </c>
      <c r="F51" s="20" t="s">
        <v>671</v>
      </c>
      <c r="G51" s="8" t="str">
        <f t="shared" si="0"/>
        <v>MACDONALD THOMAS</v>
      </c>
      <c r="H51" s="20" t="str">
        <f t="shared" si="1"/>
        <v>4012</v>
      </c>
    </row>
    <row r="52" spans="1:8" x14ac:dyDescent="0.25">
      <c r="A52" s="8">
        <v>43049.290694444448</v>
      </c>
      <c r="B52" s="20" t="s">
        <v>358</v>
      </c>
      <c r="C52" s="20" t="s">
        <v>708</v>
      </c>
      <c r="D52" s="138">
        <v>3510000</v>
      </c>
      <c r="E52" s="20" t="s">
        <v>689</v>
      </c>
      <c r="F52" s="20" t="s">
        <v>690</v>
      </c>
      <c r="G52" s="8" t="str">
        <f t="shared" si="0"/>
        <v>BARRON PERLA</v>
      </c>
      <c r="H52" s="20" t="str">
        <f t="shared" si="1"/>
        <v>4008</v>
      </c>
    </row>
    <row r="53" spans="1:8" x14ac:dyDescent="0.25">
      <c r="A53" s="8">
        <v>43049.297256944446</v>
      </c>
      <c r="B53" s="20" t="s">
        <v>668</v>
      </c>
      <c r="C53" s="20" t="s">
        <v>709</v>
      </c>
      <c r="D53" s="138">
        <v>3030000</v>
      </c>
      <c r="E53" s="20" t="s">
        <v>670</v>
      </c>
      <c r="F53" s="20" t="s">
        <v>671</v>
      </c>
      <c r="G53" s="8" t="str">
        <f t="shared" si="0"/>
        <v>BIRENBAUM THOMAS</v>
      </c>
      <c r="H53" s="20" t="str">
        <f t="shared" si="1"/>
        <v>4027</v>
      </c>
    </row>
    <row r="54" spans="1:8" x14ac:dyDescent="0.25">
      <c r="A54" s="8">
        <v>43049.298136574071</v>
      </c>
      <c r="B54" s="20" t="s">
        <v>498</v>
      </c>
      <c r="C54" s="20" t="s">
        <v>710</v>
      </c>
      <c r="D54" s="138">
        <v>2010000</v>
      </c>
      <c r="E54" s="20" t="s">
        <v>571</v>
      </c>
      <c r="F54" s="20" t="s">
        <v>572</v>
      </c>
      <c r="G54" s="8" t="str">
        <f t="shared" si="0"/>
        <v>MAELZER KURT</v>
      </c>
      <c r="H54" s="20" t="str">
        <f t="shared" si="1"/>
        <v>4052</v>
      </c>
    </row>
    <row r="55" spans="1:8" x14ac:dyDescent="0.25">
      <c r="A55" s="8">
        <v>43049.306331018517</v>
      </c>
      <c r="B55" s="20" t="s">
        <v>463</v>
      </c>
      <c r="C55" s="20" t="s">
        <v>711</v>
      </c>
      <c r="D55" s="138">
        <v>1830000</v>
      </c>
      <c r="E55" s="20" t="s">
        <v>348</v>
      </c>
      <c r="F55" s="20" t="s">
        <v>349</v>
      </c>
      <c r="G55" s="8" t="str">
        <f t="shared" si="0"/>
        <v>YORK EDGAR</v>
      </c>
      <c r="H55" s="20" t="str">
        <f t="shared" si="1"/>
        <v>4049</v>
      </c>
    </row>
    <row r="56" spans="1:8" x14ac:dyDescent="0.25">
      <c r="A56" s="8">
        <v>43049.307893518519</v>
      </c>
      <c r="B56" s="20" t="s">
        <v>685</v>
      </c>
      <c r="C56" s="20" t="s">
        <v>712</v>
      </c>
      <c r="D56" s="138">
        <v>1230000</v>
      </c>
      <c r="E56" s="20" t="s">
        <v>467</v>
      </c>
      <c r="F56" s="20" t="s">
        <v>468</v>
      </c>
      <c r="G56" s="8" t="str">
        <f t="shared" si="0"/>
        <v>YANAI IAN</v>
      </c>
      <c r="H56" s="20" t="str">
        <f t="shared" si="1"/>
        <v>4042</v>
      </c>
    </row>
    <row r="57" spans="1:8" x14ac:dyDescent="0.25">
      <c r="A57" s="8">
        <v>43049.310706018521</v>
      </c>
      <c r="B57" s="20" t="s">
        <v>363</v>
      </c>
      <c r="C57" s="20" t="s">
        <v>713</v>
      </c>
      <c r="D57" s="138">
        <v>3510000</v>
      </c>
      <c r="E57" s="20" t="s">
        <v>689</v>
      </c>
      <c r="F57" s="20" t="s">
        <v>690</v>
      </c>
      <c r="G57" s="8" t="str">
        <f t="shared" si="0"/>
        <v>BARRON PERLA</v>
      </c>
      <c r="H57" s="20" t="str">
        <f t="shared" si="1"/>
        <v>4007</v>
      </c>
    </row>
    <row r="58" spans="1:8" x14ac:dyDescent="0.25">
      <c r="A58" s="8">
        <v>43049.31722222222</v>
      </c>
      <c r="B58" s="20" t="s">
        <v>673</v>
      </c>
      <c r="C58" s="20" t="s">
        <v>714</v>
      </c>
      <c r="D58" s="138">
        <v>3040000</v>
      </c>
      <c r="E58" s="20" t="s">
        <v>370</v>
      </c>
      <c r="F58" s="20" t="s">
        <v>574</v>
      </c>
      <c r="G58" s="8" t="str">
        <f t="shared" si="0"/>
        <v>WILLIAMS DONTE</v>
      </c>
      <c r="H58" s="20" t="str">
        <f t="shared" si="1"/>
        <v>4032</v>
      </c>
    </row>
    <row r="59" spans="1:8" x14ac:dyDescent="0.25">
      <c r="A59" s="8">
        <v>43049.318668981483</v>
      </c>
      <c r="B59" s="20" t="s">
        <v>359</v>
      </c>
      <c r="C59" s="20" t="s">
        <v>715</v>
      </c>
      <c r="D59" s="138">
        <v>3260000</v>
      </c>
      <c r="E59" s="20" t="s">
        <v>576</v>
      </c>
      <c r="F59" s="20" t="s">
        <v>577</v>
      </c>
      <c r="G59" s="8" t="str">
        <f t="shared" si="0"/>
        <v>PAGE MARCUS</v>
      </c>
      <c r="H59" s="20" t="str">
        <f t="shared" si="1"/>
        <v>4060</v>
      </c>
    </row>
    <row r="60" spans="1:8" x14ac:dyDescent="0.25">
      <c r="A60" s="8">
        <v>43049.328680555554</v>
      </c>
      <c r="B60" s="20" t="s">
        <v>373</v>
      </c>
      <c r="C60" s="20" t="s">
        <v>716</v>
      </c>
      <c r="D60" s="138">
        <v>2560000</v>
      </c>
      <c r="E60" s="20" t="s">
        <v>677</v>
      </c>
      <c r="F60" s="20" t="s">
        <v>671</v>
      </c>
      <c r="G60" s="8" t="str">
        <f t="shared" si="0"/>
        <v>MACDONALD THOMAS</v>
      </c>
      <c r="H60" s="20" t="str">
        <f t="shared" si="1"/>
        <v>4011</v>
      </c>
    </row>
    <row r="61" spans="1:8" x14ac:dyDescent="0.25">
      <c r="A61" s="8">
        <v>43049.329918981479</v>
      </c>
      <c r="B61" s="20" t="s">
        <v>508</v>
      </c>
      <c r="C61" s="20" t="s">
        <v>717</v>
      </c>
      <c r="D61" s="138">
        <v>1100000</v>
      </c>
      <c r="E61" s="20" t="s">
        <v>666</v>
      </c>
      <c r="F61" s="20" t="s">
        <v>667</v>
      </c>
      <c r="G61" s="8" t="str">
        <f t="shared" si="0"/>
        <v>GEBRETEKLE DAGNEW</v>
      </c>
      <c r="H61" s="20" t="str">
        <f t="shared" si="1"/>
        <v>4016</v>
      </c>
    </row>
    <row r="62" spans="1:8" x14ac:dyDescent="0.25">
      <c r="A62" s="8">
        <v>43049.331238425926</v>
      </c>
      <c r="B62" s="20" t="s">
        <v>679</v>
      </c>
      <c r="C62" s="20" t="s">
        <v>718</v>
      </c>
      <c r="D62" s="138">
        <v>3040000</v>
      </c>
      <c r="E62" s="20" t="s">
        <v>370</v>
      </c>
      <c r="F62" s="20" t="s">
        <v>574</v>
      </c>
      <c r="G62" s="8" t="str">
        <f t="shared" si="0"/>
        <v>WILLIAMS DONTE</v>
      </c>
      <c r="H62" s="20" t="str">
        <f t="shared" si="1"/>
        <v>4031</v>
      </c>
    </row>
    <row r="63" spans="1:8" x14ac:dyDescent="0.25">
      <c r="A63" s="8">
        <v>43049.331631944442</v>
      </c>
      <c r="B63" s="20" t="s">
        <v>503</v>
      </c>
      <c r="C63" s="20" t="s">
        <v>719</v>
      </c>
      <c r="D63" s="138">
        <v>2010000</v>
      </c>
      <c r="E63" s="20" t="s">
        <v>571</v>
      </c>
      <c r="F63" s="20" t="s">
        <v>572</v>
      </c>
      <c r="G63" s="8" t="str">
        <f t="shared" si="0"/>
        <v>MAELZER KURT</v>
      </c>
      <c r="H63" s="20" t="str">
        <f t="shared" si="1"/>
        <v>4051</v>
      </c>
    </row>
    <row r="64" spans="1:8" x14ac:dyDescent="0.25">
      <c r="A64" s="26">
        <v>43049.336643518516</v>
      </c>
      <c r="B64" s="20" t="s">
        <v>358</v>
      </c>
      <c r="C64" s="20" t="s">
        <v>720</v>
      </c>
      <c r="D64" s="138">
        <v>3510000</v>
      </c>
      <c r="E64" s="20" t="s">
        <v>689</v>
      </c>
      <c r="F64" s="20" t="s">
        <v>690</v>
      </c>
      <c r="G64" s="8" t="str">
        <f t="shared" si="0"/>
        <v>BARRON PERLA</v>
      </c>
      <c r="H64" s="20" t="str">
        <f t="shared" si="1"/>
        <v>4008</v>
      </c>
    </row>
    <row r="65" spans="1:8" x14ac:dyDescent="0.25">
      <c r="A65" s="8">
        <v>43049.338310185187</v>
      </c>
      <c r="B65" s="20" t="s">
        <v>358</v>
      </c>
      <c r="C65" s="20" t="s">
        <v>720</v>
      </c>
      <c r="D65" s="138">
        <v>3510000</v>
      </c>
      <c r="E65" s="20" t="s">
        <v>689</v>
      </c>
      <c r="F65" s="20" t="s">
        <v>690</v>
      </c>
      <c r="G65" s="8" t="str">
        <f t="shared" si="0"/>
        <v>BARRON PERLA</v>
      </c>
      <c r="H65" s="20" t="str">
        <f t="shared" si="1"/>
        <v>4008</v>
      </c>
    </row>
    <row r="66" spans="1:8" x14ac:dyDescent="0.25">
      <c r="A66" s="8">
        <v>43049.339004629626</v>
      </c>
      <c r="B66" s="20" t="s">
        <v>682</v>
      </c>
      <c r="C66" s="20" t="s">
        <v>721</v>
      </c>
      <c r="D66" s="138">
        <v>1230000</v>
      </c>
      <c r="E66" s="20" t="s">
        <v>467</v>
      </c>
      <c r="F66" s="20" t="s">
        <v>468</v>
      </c>
      <c r="G66" s="8" t="str">
        <f t="shared" si="0"/>
        <v>YANAI IAN</v>
      </c>
      <c r="H66" s="20" t="str">
        <f t="shared" si="1"/>
        <v>4041</v>
      </c>
    </row>
    <row r="67" spans="1:8" x14ac:dyDescent="0.25">
      <c r="A67" s="8">
        <v>43049.340671296297</v>
      </c>
      <c r="B67" s="20" t="s">
        <v>393</v>
      </c>
      <c r="C67" s="20" t="s">
        <v>722</v>
      </c>
      <c r="D67" s="138">
        <v>3030000</v>
      </c>
      <c r="E67" s="20" t="s">
        <v>670</v>
      </c>
      <c r="F67" s="20" t="s">
        <v>671</v>
      </c>
      <c r="G67" s="8" t="str">
        <f t="shared" ref="G67:G130" si="2">E67&amp;" "&amp;F67</f>
        <v>BIRENBAUM THOMAS</v>
      </c>
      <c r="H67" s="20" t="str">
        <f t="shared" ref="H67:H130" si="3">MID(B67,13,4)</f>
        <v>4028</v>
      </c>
    </row>
    <row r="68" spans="1:8" x14ac:dyDescent="0.25">
      <c r="A68" s="8">
        <v>43049.348356481481</v>
      </c>
      <c r="B68" s="20" t="s">
        <v>464</v>
      </c>
      <c r="C68" s="20" t="s">
        <v>723</v>
      </c>
      <c r="D68" s="138">
        <v>1830000</v>
      </c>
      <c r="E68" s="20" t="s">
        <v>348</v>
      </c>
      <c r="F68" s="20" t="s">
        <v>349</v>
      </c>
      <c r="G68" s="8" t="str">
        <f t="shared" si="2"/>
        <v>YORK EDGAR</v>
      </c>
      <c r="H68" s="20" t="str">
        <f t="shared" si="3"/>
        <v>4050</v>
      </c>
    </row>
    <row r="69" spans="1:8" x14ac:dyDescent="0.25">
      <c r="A69" s="8">
        <v>43049.353437500002</v>
      </c>
      <c r="B69" s="20" t="s">
        <v>363</v>
      </c>
      <c r="C69" s="20" t="s">
        <v>724</v>
      </c>
      <c r="D69" s="138">
        <v>3510000</v>
      </c>
      <c r="E69" s="20" t="s">
        <v>689</v>
      </c>
      <c r="F69" s="20" t="s">
        <v>690</v>
      </c>
      <c r="G69" s="8" t="str">
        <f t="shared" si="2"/>
        <v>BARRON PERLA</v>
      </c>
      <c r="H69" s="20" t="str">
        <f t="shared" si="3"/>
        <v>4007</v>
      </c>
    </row>
    <row r="70" spans="1:8" x14ac:dyDescent="0.25">
      <c r="A70" s="8">
        <v>43049.354432870372</v>
      </c>
      <c r="B70" s="20" t="s">
        <v>392</v>
      </c>
      <c r="C70" s="20" t="s">
        <v>725</v>
      </c>
      <c r="D70" s="138">
        <v>3260000</v>
      </c>
      <c r="E70" s="20" t="s">
        <v>576</v>
      </c>
      <c r="F70" s="20" t="s">
        <v>577</v>
      </c>
      <c r="G70" s="8" t="str">
        <f t="shared" si="2"/>
        <v>PAGE MARCUS</v>
      </c>
      <c r="H70" s="20" t="str">
        <f t="shared" si="3"/>
        <v>4059</v>
      </c>
    </row>
    <row r="71" spans="1:8" x14ac:dyDescent="0.25">
      <c r="A71" s="8">
        <v>43049.354583333334</v>
      </c>
      <c r="B71" s="20" t="s">
        <v>673</v>
      </c>
      <c r="C71" s="20" t="s">
        <v>726</v>
      </c>
      <c r="D71" s="138">
        <v>3040000</v>
      </c>
      <c r="E71" s="20" t="s">
        <v>370</v>
      </c>
      <c r="F71" s="20" t="s">
        <v>574</v>
      </c>
      <c r="G71" s="8" t="str">
        <f t="shared" si="2"/>
        <v>WILLIAMS DONTE</v>
      </c>
      <c r="H71" s="20" t="str">
        <f t="shared" si="3"/>
        <v>4032</v>
      </c>
    </row>
    <row r="72" spans="1:8" x14ac:dyDescent="0.25">
      <c r="A72" s="8">
        <v>43049.361203703702</v>
      </c>
      <c r="B72" s="20" t="s">
        <v>575</v>
      </c>
      <c r="C72" s="20" t="s">
        <v>727</v>
      </c>
      <c r="D72" s="138">
        <v>1100000</v>
      </c>
      <c r="E72" s="20" t="s">
        <v>666</v>
      </c>
      <c r="F72" s="20" t="s">
        <v>667</v>
      </c>
      <c r="G72" s="8" t="str">
        <f t="shared" si="2"/>
        <v>GEBRETEKLE DAGNEW</v>
      </c>
      <c r="H72" s="20" t="str">
        <f t="shared" si="3"/>
        <v>4015</v>
      </c>
    </row>
    <row r="73" spans="1:8" x14ac:dyDescent="0.25">
      <c r="A73" s="8">
        <v>43049.361678240741</v>
      </c>
      <c r="B73" s="20" t="s">
        <v>363</v>
      </c>
      <c r="C73" s="20" t="s">
        <v>724</v>
      </c>
      <c r="D73" s="138">
        <v>3510000</v>
      </c>
      <c r="E73" s="20" t="s">
        <v>689</v>
      </c>
      <c r="F73" s="20" t="s">
        <v>690</v>
      </c>
      <c r="G73" s="8" t="str">
        <f t="shared" si="2"/>
        <v>BARRON PERLA</v>
      </c>
      <c r="H73" s="20" t="str">
        <f t="shared" si="3"/>
        <v>4007</v>
      </c>
    </row>
    <row r="74" spans="1:8" x14ac:dyDescent="0.25">
      <c r="A74" s="8">
        <v>43049.363680555558</v>
      </c>
      <c r="B74" s="20" t="s">
        <v>372</v>
      </c>
      <c r="C74" s="20" t="s">
        <v>728</v>
      </c>
      <c r="D74" s="138">
        <v>2560000</v>
      </c>
      <c r="E74" s="20" t="s">
        <v>677</v>
      </c>
      <c r="F74" s="20" t="s">
        <v>671</v>
      </c>
      <c r="G74" s="8" t="str">
        <f t="shared" si="2"/>
        <v>MACDONALD THOMAS</v>
      </c>
      <c r="H74" s="20" t="str">
        <f t="shared" si="3"/>
        <v>4012</v>
      </c>
    </row>
    <row r="75" spans="1:8" x14ac:dyDescent="0.25">
      <c r="A75" s="8">
        <v>43049.371319444443</v>
      </c>
      <c r="B75" s="20" t="s">
        <v>498</v>
      </c>
      <c r="C75" s="20" t="s">
        <v>729</v>
      </c>
      <c r="D75" s="138">
        <v>2010000</v>
      </c>
      <c r="E75" s="20" t="s">
        <v>571</v>
      </c>
      <c r="F75" s="20" t="s">
        <v>572</v>
      </c>
      <c r="G75" s="8" t="str">
        <f t="shared" si="2"/>
        <v>MAELZER KURT</v>
      </c>
      <c r="H75" s="20" t="str">
        <f t="shared" si="3"/>
        <v>4052</v>
      </c>
    </row>
    <row r="76" spans="1:8" x14ac:dyDescent="0.25">
      <c r="A76" s="8">
        <v>43049.372199074074</v>
      </c>
      <c r="B76" s="20" t="s">
        <v>668</v>
      </c>
      <c r="C76" s="20" t="s">
        <v>730</v>
      </c>
      <c r="D76" s="138">
        <v>3030000</v>
      </c>
      <c r="E76" s="20" t="s">
        <v>670</v>
      </c>
      <c r="F76" s="20" t="s">
        <v>671</v>
      </c>
      <c r="G76" s="8" t="str">
        <f t="shared" si="2"/>
        <v>BIRENBAUM THOMAS</v>
      </c>
      <c r="H76" s="20" t="str">
        <f t="shared" si="3"/>
        <v>4027</v>
      </c>
    </row>
    <row r="77" spans="1:8" x14ac:dyDescent="0.25">
      <c r="A77" s="8">
        <v>43049.377430555556</v>
      </c>
      <c r="B77" s="20" t="s">
        <v>358</v>
      </c>
      <c r="C77" s="20" t="s">
        <v>731</v>
      </c>
      <c r="D77" s="138">
        <v>3510000</v>
      </c>
      <c r="E77" s="20" t="s">
        <v>689</v>
      </c>
      <c r="F77" s="20" t="s">
        <v>690</v>
      </c>
      <c r="G77" s="8" t="str">
        <f t="shared" si="2"/>
        <v>BARRON PERLA</v>
      </c>
      <c r="H77" s="20" t="str">
        <f t="shared" si="3"/>
        <v>4008</v>
      </c>
    </row>
    <row r="78" spans="1:8" x14ac:dyDescent="0.25">
      <c r="A78" s="8">
        <v>43049.379363425927</v>
      </c>
      <c r="B78" s="20" t="s">
        <v>685</v>
      </c>
      <c r="C78" s="20" t="s">
        <v>732</v>
      </c>
      <c r="D78" s="138">
        <v>1230000</v>
      </c>
      <c r="E78" s="20" t="s">
        <v>467</v>
      </c>
      <c r="F78" s="20" t="s">
        <v>468</v>
      </c>
      <c r="G78" s="8" t="str">
        <f t="shared" si="2"/>
        <v>YANAI IAN</v>
      </c>
      <c r="H78" s="20" t="str">
        <f t="shared" si="3"/>
        <v>4042</v>
      </c>
    </row>
    <row r="79" spans="1:8" x14ac:dyDescent="0.25">
      <c r="A79" s="8">
        <v>43049.38113425926</v>
      </c>
      <c r="B79" s="20" t="s">
        <v>463</v>
      </c>
      <c r="C79" s="20" t="s">
        <v>733</v>
      </c>
      <c r="D79" s="138">
        <v>1830000</v>
      </c>
      <c r="E79" s="20" t="s">
        <v>348</v>
      </c>
      <c r="F79" s="20" t="s">
        <v>349</v>
      </c>
      <c r="G79" s="8" t="str">
        <f t="shared" si="2"/>
        <v>YORK EDGAR</v>
      </c>
      <c r="H79" s="20" t="str">
        <f t="shared" si="3"/>
        <v>4049</v>
      </c>
    </row>
    <row r="80" spans="1:8" x14ac:dyDescent="0.25">
      <c r="A80" s="8">
        <v>43049.389305555553</v>
      </c>
      <c r="B80" s="20" t="s">
        <v>359</v>
      </c>
      <c r="C80" s="20" t="s">
        <v>734</v>
      </c>
      <c r="D80" s="138">
        <v>940000</v>
      </c>
      <c r="E80" s="20" t="s">
        <v>465</v>
      </c>
      <c r="F80" s="20" t="s">
        <v>466</v>
      </c>
      <c r="G80" s="8" t="str">
        <f t="shared" si="2"/>
        <v>BONDS REYNALDO</v>
      </c>
      <c r="H80" s="20" t="str">
        <f t="shared" si="3"/>
        <v>4060</v>
      </c>
    </row>
    <row r="81" spans="1:8" x14ac:dyDescent="0.25">
      <c r="A81" s="8">
        <v>43049.394201388888</v>
      </c>
      <c r="B81" s="20" t="s">
        <v>363</v>
      </c>
      <c r="C81" s="20" t="s">
        <v>731</v>
      </c>
      <c r="D81" s="138">
        <v>3510000</v>
      </c>
      <c r="E81" s="20" t="s">
        <v>689</v>
      </c>
      <c r="F81" s="20" t="s">
        <v>690</v>
      </c>
      <c r="G81" s="8" t="str">
        <f t="shared" si="2"/>
        <v>BARRON PERLA</v>
      </c>
      <c r="H81" s="20" t="str">
        <f t="shared" si="3"/>
        <v>4007</v>
      </c>
    </row>
    <row r="82" spans="1:8" x14ac:dyDescent="0.25">
      <c r="A82" s="8">
        <v>43049.394803240742</v>
      </c>
      <c r="B82" s="20" t="s">
        <v>363</v>
      </c>
      <c r="C82" s="20" t="s">
        <v>735</v>
      </c>
      <c r="D82" s="138">
        <v>3510000</v>
      </c>
      <c r="E82" s="20" t="s">
        <v>689</v>
      </c>
      <c r="F82" s="20" t="s">
        <v>690</v>
      </c>
      <c r="G82" s="8" t="str">
        <f t="shared" si="2"/>
        <v>BARRON PERLA</v>
      </c>
      <c r="H82" s="20" t="str">
        <f t="shared" si="3"/>
        <v>4007</v>
      </c>
    </row>
    <row r="83" spans="1:8" x14ac:dyDescent="0.25">
      <c r="A83" s="8">
        <v>43049.400983796295</v>
      </c>
      <c r="B83" s="20" t="s">
        <v>508</v>
      </c>
      <c r="C83" s="20" t="s">
        <v>648</v>
      </c>
      <c r="D83" s="138">
        <v>1100000</v>
      </c>
      <c r="E83" s="20" t="s">
        <v>666</v>
      </c>
      <c r="F83" s="20" t="s">
        <v>667</v>
      </c>
      <c r="G83" s="8" t="str">
        <f t="shared" si="2"/>
        <v>GEBRETEKLE DAGNEW</v>
      </c>
      <c r="H83" s="20" t="str">
        <f t="shared" si="3"/>
        <v>4016</v>
      </c>
    </row>
    <row r="84" spans="1:8" x14ac:dyDescent="0.25">
      <c r="A84" s="8">
        <v>43049.403668981482</v>
      </c>
      <c r="B84" s="20" t="s">
        <v>373</v>
      </c>
      <c r="C84" s="20" t="s">
        <v>736</v>
      </c>
      <c r="D84" s="138">
        <v>2560000</v>
      </c>
      <c r="E84" s="20" t="s">
        <v>677</v>
      </c>
      <c r="F84" s="20" t="s">
        <v>671</v>
      </c>
      <c r="G84" s="8" t="str">
        <f t="shared" si="2"/>
        <v>MACDONALD THOMAS</v>
      </c>
      <c r="H84" s="20" t="str">
        <f t="shared" si="3"/>
        <v>4011</v>
      </c>
    </row>
    <row r="85" spans="1:8" x14ac:dyDescent="0.25">
      <c r="A85" s="8">
        <v>43049.408553240741</v>
      </c>
      <c r="B85" s="20" t="s">
        <v>503</v>
      </c>
      <c r="C85" s="20" t="s">
        <v>737</v>
      </c>
      <c r="D85" s="138">
        <v>2010000</v>
      </c>
      <c r="E85" s="20" t="s">
        <v>571</v>
      </c>
      <c r="F85" s="20" t="s">
        <v>572</v>
      </c>
      <c r="G85" s="8" t="str">
        <f t="shared" si="2"/>
        <v>MAELZER KURT</v>
      </c>
      <c r="H85" s="20" t="str">
        <f t="shared" si="3"/>
        <v>4051</v>
      </c>
    </row>
    <row r="86" spans="1:8" x14ac:dyDescent="0.25">
      <c r="A86" s="8">
        <v>43049.412916666668</v>
      </c>
      <c r="B86" s="20" t="s">
        <v>682</v>
      </c>
      <c r="C86" s="20" t="s">
        <v>738</v>
      </c>
      <c r="D86" s="138">
        <v>1230000</v>
      </c>
      <c r="E86" s="20" t="s">
        <v>467</v>
      </c>
      <c r="F86" s="20" t="s">
        <v>468</v>
      </c>
      <c r="G86" s="8" t="str">
        <f t="shared" si="2"/>
        <v>YANAI IAN</v>
      </c>
      <c r="H86" s="20" t="str">
        <f t="shared" si="3"/>
        <v>4041</v>
      </c>
    </row>
    <row r="87" spans="1:8" x14ac:dyDescent="0.25">
      <c r="A87" s="8">
        <v>43049.4141087963</v>
      </c>
      <c r="B87" s="20" t="s">
        <v>393</v>
      </c>
      <c r="C87" s="20" t="s">
        <v>739</v>
      </c>
      <c r="D87" s="138">
        <v>3030000</v>
      </c>
      <c r="E87" s="20" t="s">
        <v>670</v>
      </c>
      <c r="F87" s="20" t="s">
        <v>671</v>
      </c>
      <c r="G87" s="8" t="str">
        <f t="shared" si="2"/>
        <v>BIRENBAUM THOMAS</v>
      </c>
      <c r="H87" s="20" t="str">
        <f t="shared" si="3"/>
        <v>4028</v>
      </c>
    </row>
    <row r="88" spans="1:8" x14ac:dyDescent="0.25">
      <c r="A88" s="8">
        <v>43049.415347222224</v>
      </c>
      <c r="B88" s="20" t="s">
        <v>358</v>
      </c>
      <c r="C88" s="20" t="s">
        <v>740</v>
      </c>
      <c r="D88" s="138">
        <v>3510000</v>
      </c>
      <c r="E88" s="20" t="s">
        <v>689</v>
      </c>
      <c r="F88" s="20" t="s">
        <v>690</v>
      </c>
      <c r="G88" s="8" t="str">
        <f t="shared" si="2"/>
        <v>BARRON PERLA</v>
      </c>
      <c r="H88" s="20" t="str">
        <f t="shared" si="3"/>
        <v>4008</v>
      </c>
    </row>
    <row r="89" spans="1:8" x14ac:dyDescent="0.25">
      <c r="A89" s="8">
        <v>43049.423125000001</v>
      </c>
      <c r="B89" s="20" t="s">
        <v>464</v>
      </c>
      <c r="C89" s="20" t="s">
        <v>741</v>
      </c>
      <c r="D89" s="138">
        <v>3040000</v>
      </c>
      <c r="E89" s="20" t="s">
        <v>370</v>
      </c>
      <c r="F89" s="20" t="s">
        <v>574</v>
      </c>
      <c r="G89" s="8" t="str">
        <f t="shared" si="2"/>
        <v>WILLIAMS DONTE</v>
      </c>
      <c r="H89" s="20" t="str">
        <f t="shared" si="3"/>
        <v>4050</v>
      </c>
    </row>
    <row r="90" spans="1:8" x14ac:dyDescent="0.25">
      <c r="A90" s="8">
        <v>43049.432060185187</v>
      </c>
      <c r="B90" s="20" t="s">
        <v>392</v>
      </c>
      <c r="C90" s="20" t="s">
        <v>742</v>
      </c>
      <c r="D90" s="138">
        <v>940000</v>
      </c>
      <c r="E90" s="20" t="s">
        <v>465</v>
      </c>
      <c r="F90" s="20" t="s">
        <v>466</v>
      </c>
      <c r="G90" s="8" t="str">
        <f t="shared" si="2"/>
        <v>BONDS REYNALDO</v>
      </c>
      <c r="H90" s="20" t="str">
        <f t="shared" si="3"/>
        <v>4059</v>
      </c>
    </row>
    <row r="91" spans="1:8" x14ac:dyDescent="0.25">
      <c r="A91" s="8">
        <v>43049.432673611111</v>
      </c>
      <c r="B91" s="20" t="s">
        <v>575</v>
      </c>
      <c r="C91" s="20" t="s">
        <v>743</v>
      </c>
      <c r="D91" s="138">
        <v>1100000</v>
      </c>
      <c r="E91" s="20" t="s">
        <v>666</v>
      </c>
      <c r="F91" s="20" t="s">
        <v>667</v>
      </c>
      <c r="G91" s="8" t="str">
        <f t="shared" si="2"/>
        <v>GEBRETEKLE DAGNEW</v>
      </c>
      <c r="H91" s="20" t="str">
        <f t="shared" si="3"/>
        <v>4015</v>
      </c>
    </row>
    <row r="92" spans="1:8" x14ac:dyDescent="0.25">
      <c r="A92" s="8">
        <v>43049.435740740744</v>
      </c>
      <c r="B92" s="20" t="s">
        <v>372</v>
      </c>
      <c r="C92" s="20" t="s">
        <v>649</v>
      </c>
      <c r="D92" s="138">
        <v>2560000</v>
      </c>
      <c r="E92" s="20" t="s">
        <v>677</v>
      </c>
      <c r="F92" s="20" t="s">
        <v>671</v>
      </c>
      <c r="G92" s="8" t="str">
        <f t="shared" si="2"/>
        <v>MACDONALD THOMAS</v>
      </c>
      <c r="H92" s="20" t="str">
        <f t="shared" si="3"/>
        <v>4012</v>
      </c>
    </row>
    <row r="93" spans="1:8" x14ac:dyDescent="0.25">
      <c r="A93" s="8">
        <v>43049.435902777775</v>
      </c>
      <c r="B93" s="20" t="s">
        <v>363</v>
      </c>
      <c r="C93" s="20" t="s">
        <v>744</v>
      </c>
      <c r="D93" s="138">
        <v>3510000</v>
      </c>
      <c r="E93" s="20" t="s">
        <v>689</v>
      </c>
      <c r="F93" s="20" t="s">
        <v>690</v>
      </c>
      <c r="G93" s="8" t="str">
        <f t="shared" si="2"/>
        <v>BARRON PERLA</v>
      </c>
      <c r="H93" s="20" t="str">
        <f t="shared" si="3"/>
        <v>4007</v>
      </c>
    </row>
    <row r="94" spans="1:8" x14ac:dyDescent="0.25">
      <c r="A94" s="8">
        <v>43049.443715277775</v>
      </c>
      <c r="B94" s="20" t="s">
        <v>668</v>
      </c>
      <c r="C94" s="20" t="s">
        <v>745</v>
      </c>
      <c r="D94" s="138">
        <v>3030000</v>
      </c>
      <c r="E94" s="20" t="s">
        <v>670</v>
      </c>
      <c r="F94" s="20" t="s">
        <v>671</v>
      </c>
      <c r="G94" s="8" t="str">
        <f t="shared" si="2"/>
        <v>BIRENBAUM THOMAS</v>
      </c>
      <c r="H94" s="20" t="str">
        <f t="shared" si="3"/>
        <v>4027</v>
      </c>
    </row>
    <row r="95" spans="1:8" x14ac:dyDescent="0.25">
      <c r="A95" s="8">
        <v>43049.446099537039</v>
      </c>
      <c r="B95" s="20" t="s">
        <v>498</v>
      </c>
      <c r="C95" s="20" t="s">
        <v>746</v>
      </c>
      <c r="D95" s="138">
        <v>1760000</v>
      </c>
      <c r="E95" s="20" t="s">
        <v>580</v>
      </c>
      <c r="F95" s="20" t="s">
        <v>581</v>
      </c>
      <c r="G95" s="8" t="str">
        <f t="shared" si="2"/>
        <v>STRICKLAND EVAN</v>
      </c>
      <c r="H95" s="20" t="str">
        <f t="shared" si="3"/>
        <v>4052</v>
      </c>
    </row>
    <row r="96" spans="1:8" x14ac:dyDescent="0.25">
      <c r="A96" s="8">
        <v>43049.447141203702</v>
      </c>
      <c r="B96" s="20" t="s">
        <v>573</v>
      </c>
      <c r="C96" s="20" t="s">
        <v>657</v>
      </c>
      <c r="D96" s="138">
        <v>2040000</v>
      </c>
      <c r="E96" s="20" t="s">
        <v>398</v>
      </c>
      <c r="F96" s="20" t="s">
        <v>399</v>
      </c>
      <c r="G96" s="8" t="str">
        <f t="shared" si="2"/>
        <v>MOSES BRADLEY</v>
      </c>
      <c r="H96" s="20" t="str">
        <f t="shared" si="3"/>
        <v>4025</v>
      </c>
    </row>
    <row r="97" spans="1:8" x14ac:dyDescent="0.25">
      <c r="A97" s="8">
        <v>43049.455671296295</v>
      </c>
      <c r="B97" s="20" t="s">
        <v>685</v>
      </c>
      <c r="C97" s="20" t="s">
        <v>747</v>
      </c>
      <c r="D97" s="138">
        <v>1230000</v>
      </c>
      <c r="E97" s="20" t="s">
        <v>467</v>
      </c>
      <c r="F97" s="20" t="s">
        <v>468</v>
      </c>
      <c r="G97" s="8" t="str">
        <f t="shared" si="2"/>
        <v>YANAI IAN</v>
      </c>
      <c r="H97" s="20" t="str">
        <f t="shared" si="3"/>
        <v>4042</v>
      </c>
    </row>
    <row r="98" spans="1:8" x14ac:dyDescent="0.25">
      <c r="A98" s="8">
        <v>43049.460127314815</v>
      </c>
      <c r="B98" s="20" t="s">
        <v>358</v>
      </c>
      <c r="C98" s="20" t="s">
        <v>748</v>
      </c>
      <c r="D98" s="138">
        <v>3510000</v>
      </c>
      <c r="E98" s="20" t="s">
        <v>689</v>
      </c>
      <c r="F98" s="20" t="s">
        <v>690</v>
      </c>
      <c r="G98" s="8" t="str">
        <f t="shared" si="2"/>
        <v>BARRON PERLA</v>
      </c>
      <c r="H98" s="20" t="str">
        <f t="shared" si="3"/>
        <v>4008</v>
      </c>
    </row>
    <row r="99" spans="1:8" x14ac:dyDescent="0.25">
      <c r="A99" s="8">
        <v>43049.462650462963</v>
      </c>
      <c r="B99" s="20" t="s">
        <v>463</v>
      </c>
      <c r="C99" s="20" t="s">
        <v>749</v>
      </c>
      <c r="D99" s="138">
        <v>3040000</v>
      </c>
      <c r="E99" s="20" t="s">
        <v>370</v>
      </c>
      <c r="F99" s="20" t="s">
        <v>574</v>
      </c>
      <c r="G99" s="8" t="str">
        <f t="shared" si="2"/>
        <v>WILLIAMS DONTE</v>
      </c>
      <c r="H99" s="20" t="str">
        <f t="shared" si="3"/>
        <v>4049</v>
      </c>
    </row>
    <row r="100" spans="1:8" x14ac:dyDescent="0.25">
      <c r="A100" s="8">
        <v>43049.466863425929</v>
      </c>
      <c r="B100" s="20" t="s">
        <v>359</v>
      </c>
      <c r="C100" s="20" t="s">
        <v>750</v>
      </c>
      <c r="D100" s="138">
        <v>2630000</v>
      </c>
      <c r="E100" s="20" t="s">
        <v>374</v>
      </c>
      <c r="F100" s="20" t="s">
        <v>375</v>
      </c>
      <c r="G100" s="8" t="str">
        <f t="shared" si="2"/>
        <v>SAFIEF AEIMEN</v>
      </c>
      <c r="H100" s="20" t="str">
        <f t="shared" si="3"/>
        <v>4060</v>
      </c>
    </row>
    <row r="101" spans="1:8" x14ac:dyDescent="0.25">
      <c r="A101" s="8">
        <v>43049.475358796299</v>
      </c>
      <c r="B101" s="20" t="s">
        <v>373</v>
      </c>
      <c r="C101" s="20" t="s">
        <v>751</v>
      </c>
      <c r="D101" s="138">
        <v>2560000</v>
      </c>
      <c r="E101" s="20" t="s">
        <v>677</v>
      </c>
      <c r="F101" s="20" t="s">
        <v>671</v>
      </c>
      <c r="G101" s="8" t="str">
        <f t="shared" si="2"/>
        <v>MACDONALD THOMAS</v>
      </c>
      <c r="H101" s="20" t="str">
        <f t="shared" si="3"/>
        <v>4011</v>
      </c>
    </row>
    <row r="102" spans="1:8" x14ac:dyDescent="0.25">
      <c r="A102" s="8">
        <v>43049.475613425922</v>
      </c>
      <c r="B102" s="20" t="s">
        <v>503</v>
      </c>
      <c r="C102" s="20" t="s">
        <v>752</v>
      </c>
      <c r="D102" s="138">
        <v>1760000</v>
      </c>
      <c r="E102" s="20" t="s">
        <v>580</v>
      </c>
      <c r="F102" s="20" t="s">
        <v>581</v>
      </c>
      <c r="G102" s="8" t="str">
        <f t="shared" si="2"/>
        <v>STRICKLAND EVAN</v>
      </c>
      <c r="H102" s="20" t="str">
        <f t="shared" si="3"/>
        <v>4051</v>
      </c>
    </row>
    <row r="103" spans="1:8" x14ac:dyDescent="0.25">
      <c r="A103" s="8">
        <v>43049.475648148145</v>
      </c>
      <c r="B103" s="20" t="s">
        <v>508</v>
      </c>
      <c r="C103" s="20" t="s">
        <v>753</v>
      </c>
      <c r="D103" s="138">
        <v>1770000</v>
      </c>
      <c r="E103" s="20" t="s">
        <v>479</v>
      </c>
      <c r="F103" s="20" t="s">
        <v>480</v>
      </c>
      <c r="G103" s="8" t="str">
        <f t="shared" si="2"/>
        <v>BRUDER RICHARD</v>
      </c>
      <c r="H103" s="20" t="str">
        <f t="shared" si="3"/>
        <v>4016</v>
      </c>
    </row>
    <row r="104" spans="1:8" x14ac:dyDescent="0.25">
      <c r="A104" s="8">
        <v>43049.477349537039</v>
      </c>
      <c r="B104" s="20" t="s">
        <v>363</v>
      </c>
      <c r="C104" s="20" t="s">
        <v>754</v>
      </c>
      <c r="D104" s="138">
        <v>3510000</v>
      </c>
      <c r="E104" s="20" t="s">
        <v>689</v>
      </c>
      <c r="F104" s="20" t="s">
        <v>690</v>
      </c>
      <c r="G104" s="8" t="str">
        <f t="shared" si="2"/>
        <v>BARRON PERLA</v>
      </c>
      <c r="H104" s="20" t="str">
        <f t="shared" si="3"/>
        <v>4007</v>
      </c>
    </row>
    <row r="105" spans="1:8" x14ac:dyDescent="0.25">
      <c r="A105" s="8">
        <v>43049.477708333332</v>
      </c>
      <c r="B105" s="20" t="s">
        <v>569</v>
      </c>
      <c r="C105" s="20" t="s">
        <v>657</v>
      </c>
      <c r="D105" s="138">
        <v>1100000</v>
      </c>
      <c r="E105" s="20" t="s">
        <v>666</v>
      </c>
      <c r="F105" s="20" t="s">
        <v>667</v>
      </c>
      <c r="G105" s="8" t="str">
        <f t="shared" si="2"/>
        <v>GEBRETEKLE DAGNEW</v>
      </c>
      <c r="H105" s="20" t="str">
        <f t="shared" si="3"/>
        <v>4026</v>
      </c>
    </row>
    <row r="106" spans="1:8" x14ac:dyDescent="0.25">
      <c r="A106" s="8">
        <v>43049.484432870369</v>
      </c>
      <c r="B106" s="20" t="s">
        <v>682</v>
      </c>
      <c r="C106" s="20" t="s">
        <v>755</v>
      </c>
      <c r="D106" s="138">
        <v>1230000</v>
      </c>
      <c r="E106" s="20" t="s">
        <v>467</v>
      </c>
      <c r="F106" s="20" t="s">
        <v>468</v>
      </c>
      <c r="G106" s="8" t="str">
        <f t="shared" si="2"/>
        <v>YANAI IAN</v>
      </c>
      <c r="H106" s="20" t="str">
        <f t="shared" si="3"/>
        <v>4041</v>
      </c>
    </row>
    <row r="107" spans="1:8" x14ac:dyDescent="0.25">
      <c r="A107" s="8">
        <v>43049.485578703701</v>
      </c>
      <c r="B107" s="20" t="s">
        <v>393</v>
      </c>
      <c r="C107" s="20" t="s">
        <v>756</v>
      </c>
      <c r="D107" s="138">
        <v>1180000</v>
      </c>
      <c r="E107" s="20" t="s">
        <v>757</v>
      </c>
      <c r="F107" s="20" t="s">
        <v>758</v>
      </c>
      <c r="G107" s="8" t="str">
        <f t="shared" si="2"/>
        <v>LEVERE CRAIG</v>
      </c>
      <c r="H107" s="20" t="str">
        <f t="shared" si="3"/>
        <v>4028</v>
      </c>
    </row>
    <row r="108" spans="1:8" x14ac:dyDescent="0.25">
      <c r="A108" s="8">
        <v>43049.49627314815</v>
      </c>
      <c r="B108" s="20" t="s">
        <v>392</v>
      </c>
      <c r="C108" s="20" t="s">
        <v>759</v>
      </c>
      <c r="D108" s="138">
        <v>2630000</v>
      </c>
      <c r="E108" s="20" t="s">
        <v>374</v>
      </c>
      <c r="F108" s="20" t="s">
        <v>375</v>
      </c>
      <c r="G108" s="8" t="str">
        <f t="shared" si="2"/>
        <v>SAFIEF AEIMEN</v>
      </c>
      <c r="H108" s="20" t="str">
        <f t="shared" si="3"/>
        <v>4059</v>
      </c>
    </row>
    <row r="109" spans="1:8" x14ac:dyDescent="0.25">
      <c r="A109" s="8">
        <v>43049.496712962966</v>
      </c>
      <c r="B109" s="20" t="s">
        <v>464</v>
      </c>
      <c r="C109" s="20" t="s">
        <v>760</v>
      </c>
      <c r="D109" s="138">
        <v>3000000</v>
      </c>
      <c r="E109" s="20" t="s">
        <v>477</v>
      </c>
      <c r="F109" s="20" t="s">
        <v>478</v>
      </c>
      <c r="G109" s="8" t="str">
        <f t="shared" si="2"/>
        <v>FORTUNATO FRANK</v>
      </c>
      <c r="H109" s="20" t="str">
        <f t="shared" si="3"/>
        <v>4050</v>
      </c>
    </row>
    <row r="110" spans="1:8" x14ac:dyDescent="0.25">
      <c r="A110" s="8">
        <v>43049.499780092592</v>
      </c>
      <c r="B110" s="20" t="s">
        <v>358</v>
      </c>
      <c r="C110" s="20" t="s">
        <v>761</v>
      </c>
      <c r="D110" s="138">
        <v>3510000</v>
      </c>
      <c r="E110" s="20" t="s">
        <v>689</v>
      </c>
      <c r="F110" s="20" t="s">
        <v>690</v>
      </c>
      <c r="G110" s="8" t="str">
        <f t="shared" si="2"/>
        <v>BARRON PERLA</v>
      </c>
      <c r="H110" s="20" t="str">
        <f t="shared" si="3"/>
        <v>4008</v>
      </c>
    </row>
    <row r="111" spans="1:8" x14ac:dyDescent="0.25">
      <c r="A111" s="8">
        <v>43049.508657407408</v>
      </c>
      <c r="B111" s="20" t="s">
        <v>372</v>
      </c>
      <c r="C111" s="20" t="s">
        <v>762</v>
      </c>
      <c r="D111" s="138">
        <v>1300000</v>
      </c>
      <c r="E111" s="20" t="s">
        <v>360</v>
      </c>
      <c r="F111" s="20" t="s">
        <v>361</v>
      </c>
      <c r="G111" s="8" t="str">
        <f t="shared" si="2"/>
        <v>LEVIN SCOTT</v>
      </c>
      <c r="H111" s="20" t="str">
        <f t="shared" si="3"/>
        <v>4012</v>
      </c>
    </row>
    <row r="112" spans="1:8" x14ac:dyDescent="0.25">
      <c r="A112" s="8">
        <v>43049.516712962963</v>
      </c>
      <c r="B112" s="20" t="s">
        <v>575</v>
      </c>
      <c r="C112" s="20" t="s">
        <v>763</v>
      </c>
      <c r="D112" s="138">
        <v>1770000</v>
      </c>
      <c r="E112" s="20" t="s">
        <v>479</v>
      </c>
      <c r="F112" s="20" t="s">
        <v>480</v>
      </c>
      <c r="G112" s="8" t="str">
        <f t="shared" si="2"/>
        <v>BRUDER RICHARD</v>
      </c>
      <c r="H112" s="20" t="str">
        <f t="shared" si="3"/>
        <v>4015</v>
      </c>
    </row>
    <row r="113" spans="1:8" x14ac:dyDescent="0.25">
      <c r="A113" s="8">
        <v>43049.517083333332</v>
      </c>
      <c r="B113" s="20" t="s">
        <v>498</v>
      </c>
      <c r="C113" s="20" t="s">
        <v>764</v>
      </c>
      <c r="D113" s="138">
        <v>1760000</v>
      </c>
      <c r="E113" s="20" t="s">
        <v>580</v>
      </c>
      <c r="F113" s="20" t="s">
        <v>581</v>
      </c>
      <c r="G113" s="8" t="str">
        <f t="shared" si="2"/>
        <v>STRICKLAND EVAN</v>
      </c>
      <c r="H113" s="20" t="str">
        <f t="shared" si="3"/>
        <v>4052</v>
      </c>
    </row>
    <row r="114" spans="1:8" x14ac:dyDescent="0.25">
      <c r="A114" s="8">
        <v>43049.518703703703</v>
      </c>
      <c r="B114" s="20" t="s">
        <v>363</v>
      </c>
      <c r="C114" s="20" t="s">
        <v>765</v>
      </c>
      <c r="D114" s="138">
        <v>3510000</v>
      </c>
      <c r="E114" s="20" t="s">
        <v>689</v>
      </c>
      <c r="F114" s="20" t="s">
        <v>690</v>
      </c>
      <c r="G114" s="8" t="str">
        <f t="shared" si="2"/>
        <v>BARRON PERLA</v>
      </c>
      <c r="H114" s="20" t="str">
        <f t="shared" si="3"/>
        <v>4007</v>
      </c>
    </row>
    <row r="115" spans="1:8" x14ac:dyDescent="0.25">
      <c r="A115" s="8">
        <v>43049.52447916667</v>
      </c>
      <c r="B115" s="20" t="s">
        <v>668</v>
      </c>
      <c r="C115" s="20" t="s">
        <v>766</v>
      </c>
      <c r="D115" s="138">
        <v>1180000</v>
      </c>
      <c r="E115" s="20" t="s">
        <v>757</v>
      </c>
      <c r="F115" s="20" t="s">
        <v>758</v>
      </c>
      <c r="G115" s="8" t="str">
        <f t="shared" si="2"/>
        <v>LEVERE CRAIG</v>
      </c>
      <c r="H115" s="20" t="str">
        <f t="shared" si="3"/>
        <v>4027</v>
      </c>
    </row>
    <row r="116" spans="1:8" x14ac:dyDescent="0.25">
      <c r="A116" s="8">
        <v>43049.525416666664</v>
      </c>
      <c r="B116" s="20" t="s">
        <v>685</v>
      </c>
      <c r="C116" s="20" t="s">
        <v>767</v>
      </c>
      <c r="D116" s="138">
        <v>3330000</v>
      </c>
      <c r="E116" s="20" t="s">
        <v>768</v>
      </c>
      <c r="F116" s="20" t="s">
        <v>769</v>
      </c>
      <c r="G116" s="8" t="str">
        <f t="shared" si="2"/>
        <v>GONZALEZ ARMANDO</v>
      </c>
      <c r="H116" s="20" t="str">
        <f t="shared" si="3"/>
        <v>4042</v>
      </c>
    </row>
    <row r="117" spans="1:8" x14ac:dyDescent="0.25">
      <c r="A117" s="8">
        <v>43049.527094907404</v>
      </c>
      <c r="B117" s="20" t="s">
        <v>463</v>
      </c>
      <c r="C117" s="20" t="s">
        <v>770</v>
      </c>
      <c r="D117" s="138">
        <v>3000000</v>
      </c>
      <c r="E117" s="20" t="s">
        <v>477</v>
      </c>
      <c r="F117" s="20" t="s">
        <v>478</v>
      </c>
      <c r="G117" s="8" t="str">
        <f t="shared" si="2"/>
        <v>FORTUNATO FRANK</v>
      </c>
      <c r="H117" s="20" t="str">
        <f t="shared" si="3"/>
        <v>4049</v>
      </c>
    </row>
    <row r="118" spans="1:8" x14ac:dyDescent="0.25">
      <c r="A118" s="8">
        <v>43049.538321759261</v>
      </c>
      <c r="B118" s="20" t="s">
        <v>359</v>
      </c>
      <c r="C118" s="20" t="s">
        <v>771</v>
      </c>
      <c r="D118" s="138">
        <v>2630000</v>
      </c>
      <c r="E118" s="20" t="s">
        <v>374</v>
      </c>
      <c r="F118" s="20" t="s">
        <v>375</v>
      </c>
      <c r="G118" s="8" t="str">
        <f t="shared" si="2"/>
        <v>SAFIEF AEIMEN</v>
      </c>
      <c r="H118" s="20" t="str">
        <f t="shared" si="3"/>
        <v>4060</v>
      </c>
    </row>
    <row r="119" spans="1:8" x14ac:dyDescent="0.25">
      <c r="A119" s="8">
        <v>43049.541550925926</v>
      </c>
      <c r="B119" s="20" t="s">
        <v>358</v>
      </c>
      <c r="C119" s="20" t="s">
        <v>772</v>
      </c>
      <c r="D119" s="138">
        <v>2350000</v>
      </c>
      <c r="E119" s="20" t="s">
        <v>506</v>
      </c>
      <c r="F119" s="20" t="s">
        <v>507</v>
      </c>
      <c r="G119" s="8" t="str">
        <f t="shared" si="2"/>
        <v>BERLING GARY</v>
      </c>
      <c r="H119" s="20" t="str">
        <f t="shared" si="3"/>
        <v>4008</v>
      </c>
    </row>
    <row r="120" spans="1:8" x14ac:dyDescent="0.25">
      <c r="A120" s="8">
        <v>43049.542430555557</v>
      </c>
      <c r="B120" s="20" t="s">
        <v>373</v>
      </c>
      <c r="C120" s="20" t="s">
        <v>773</v>
      </c>
      <c r="D120" s="138">
        <v>1300000</v>
      </c>
      <c r="E120" s="20" t="s">
        <v>360</v>
      </c>
      <c r="F120" s="20" t="s">
        <v>361</v>
      </c>
      <c r="G120" s="8" t="str">
        <f t="shared" si="2"/>
        <v>LEVIN SCOTT</v>
      </c>
      <c r="H120" s="20" t="str">
        <f t="shared" si="3"/>
        <v>4011</v>
      </c>
    </row>
    <row r="121" spans="1:8" x14ac:dyDescent="0.25">
      <c r="A121" s="8">
        <v>43049.549085648148</v>
      </c>
      <c r="B121" s="20" t="s">
        <v>503</v>
      </c>
      <c r="C121" s="20" t="s">
        <v>774</v>
      </c>
      <c r="D121" s="138">
        <v>1760000</v>
      </c>
      <c r="E121" s="20" t="s">
        <v>580</v>
      </c>
      <c r="F121" s="20" t="s">
        <v>581</v>
      </c>
      <c r="G121" s="8" t="str">
        <f t="shared" si="2"/>
        <v>STRICKLAND EVAN</v>
      </c>
      <c r="H121" s="20" t="str">
        <f t="shared" si="3"/>
        <v>4051</v>
      </c>
    </row>
    <row r="122" spans="1:8" x14ac:dyDescent="0.25">
      <c r="A122" s="8">
        <v>43049.549212962964</v>
      </c>
      <c r="B122" s="25" t="s">
        <v>508</v>
      </c>
      <c r="C122" s="20" t="s">
        <v>775</v>
      </c>
      <c r="D122" s="138">
        <v>1770000</v>
      </c>
      <c r="E122" s="20" t="s">
        <v>479</v>
      </c>
      <c r="F122" s="20" t="s">
        <v>480</v>
      </c>
      <c r="G122" s="8" t="str">
        <f t="shared" si="2"/>
        <v>BRUDER RICHARD</v>
      </c>
      <c r="H122" s="20" t="str">
        <f t="shared" si="3"/>
        <v>4016</v>
      </c>
    </row>
    <row r="123" spans="1:8" x14ac:dyDescent="0.25">
      <c r="A123" s="8">
        <v>43049.558321759258</v>
      </c>
      <c r="B123" s="20" t="s">
        <v>393</v>
      </c>
      <c r="C123" s="20" t="s">
        <v>776</v>
      </c>
      <c r="D123" s="138">
        <v>1180000</v>
      </c>
      <c r="E123" s="20" t="s">
        <v>757</v>
      </c>
      <c r="F123" s="20" t="s">
        <v>758</v>
      </c>
      <c r="G123" s="8" t="str">
        <f t="shared" si="2"/>
        <v>LEVERE CRAIG</v>
      </c>
      <c r="H123" s="20" t="str">
        <f t="shared" si="3"/>
        <v>4028</v>
      </c>
    </row>
    <row r="124" spans="1:8" x14ac:dyDescent="0.25">
      <c r="A124" s="8">
        <v>43049.560729166667</v>
      </c>
      <c r="B124" s="20" t="s">
        <v>363</v>
      </c>
      <c r="C124" s="20" t="s">
        <v>777</v>
      </c>
      <c r="D124" s="138">
        <v>2350000</v>
      </c>
      <c r="E124" s="20" t="s">
        <v>506</v>
      </c>
      <c r="F124" s="20" t="s">
        <v>507</v>
      </c>
      <c r="G124" s="8" t="str">
        <f t="shared" si="2"/>
        <v>BERLING GARY</v>
      </c>
      <c r="H124" s="20" t="str">
        <f t="shared" si="3"/>
        <v>4007</v>
      </c>
    </row>
    <row r="125" spans="1:8" x14ac:dyDescent="0.25">
      <c r="A125" s="8">
        <v>43049.567129629628</v>
      </c>
      <c r="B125" s="20" t="s">
        <v>682</v>
      </c>
      <c r="C125" s="20" t="s">
        <v>778</v>
      </c>
      <c r="D125" s="138">
        <v>3330000</v>
      </c>
      <c r="E125" s="20" t="s">
        <v>768</v>
      </c>
      <c r="F125" s="20" t="s">
        <v>769</v>
      </c>
      <c r="G125" s="8" t="str">
        <f t="shared" si="2"/>
        <v>GONZALEZ ARMANDO</v>
      </c>
      <c r="H125" s="20" t="str">
        <f t="shared" si="3"/>
        <v>4041</v>
      </c>
    </row>
    <row r="126" spans="1:8" x14ac:dyDescent="0.25">
      <c r="A126" s="8">
        <v>43049.567928240744</v>
      </c>
      <c r="B126" s="20" t="s">
        <v>464</v>
      </c>
      <c r="C126" s="20" t="s">
        <v>779</v>
      </c>
      <c r="D126" s="138">
        <v>3000000</v>
      </c>
      <c r="E126" s="20" t="s">
        <v>477</v>
      </c>
      <c r="F126" s="20" t="s">
        <v>478</v>
      </c>
      <c r="G126" s="8" t="str">
        <f t="shared" si="2"/>
        <v>FORTUNATO FRANK</v>
      </c>
      <c r="H126" s="20" t="str">
        <f t="shared" si="3"/>
        <v>4050</v>
      </c>
    </row>
    <row r="127" spans="1:8" x14ac:dyDescent="0.25">
      <c r="A127" s="8">
        <v>43049.569745370369</v>
      </c>
      <c r="B127" s="20" t="s">
        <v>392</v>
      </c>
      <c r="C127" s="20" t="s">
        <v>780</v>
      </c>
      <c r="D127" s="138">
        <v>2630000</v>
      </c>
      <c r="E127" s="20" t="s">
        <v>374</v>
      </c>
      <c r="F127" s="20" t="s">
        <v>375</v>
      </c>
      <c r="G127" s="8" t="str">
        <f t="shared" si="2"/>
        <v>SAFIEF AEIMEN</v>
      </c>
      <c r="H127" s="20" t="str">
        <f t="shared" si="3"/>
        <v>4059</v>
      </c>
    </row>
    <row r="128" spans="1:8" x14ac:dyDescent="0.25">
      <c r="A128" s="8">
        <v>43049.581203703703</v>
      </c>
      <c r="B128" s="20" t="s">
        <v>372</v>
      </c>
      <c r="C128" s="20" t="s">
        <v>781</v>
      </c>
      <c r="D128" s="138">
        <v>2040000</v>
      </c>
      <c r="E128" s="20" t="s">
        <v>398</v>
      </c>
      <c r="F128" s="20" t="s">
        <v>399</v>
      </c>
      <c r="G128" s="8" t="str">
        <f t="shared" si="2"/>
        <v>MOSES BRADLEY</v>
      </c>
      <c r="H128" s="20" t="str">
        <f t="shared" si="3"/>
        <v>4012</v>
      </c>
    </row>
    <row r="129" spans="1:8" x14ac:dyDescent="0.25">
      <c r="A129" s="8">
        <v>43049.586793981478</v>
      </c>
      <c r="B129" s="20" t="s">
        <v>358</v>
      </c>
      <c r="C129" s="20" t="s">
        <v>782</v>
      </c>
      <c r="D129" s="138">
        <v>2350000</v>
      </c>
      <c r="E129" s="20" t="s">
        <v>506</v>
      </c>
      <c r="F129" s="20" t="s">
        <v>507</v>
      </c>
      <c r="G129" s="8" t="str">
        <f t="shared" si="2"/>
        <v>BERLING GARY</v>
      </c>
      <c r="H129" s="20" t="str">
        <f t="shared" si="3"/>
        <v>4008</v>
      </c>
    </row>
    <row r="130" spans="1:8" x14ac:dyDescent="0.25">
      <c r="A130" s="8">
        <v>43049.589097222219</v>
      </c>
      <c r="B130" s="20" t="s">
        <v>575</v>
      </c>
      <c r="C130" s="20" t="s">
        <v>783</v>
      </c>
      <c r="D130" s="138">
        <v>1770000</v>
      </c>
      <c r="E130" s="20" t="s">
        <v>479</v>
      </c>
      <c r="F130" s="20" t="s">
        <v>480</v>
      </c>
      <c r="G130" s="8" t="str">
        <f t="shared" si="2"/>
        <v>BRUDER RICHARD</v>
      </c>
      <c r="H130" s="20" t="str">
        <f t="shared" si="3"/>
        <v>4015</v>
      </c>
    </row>
    <row r="131" spans="1:8" x14ac:dyDescent="0.25">
      <c r="A131" s="8">
        <v>43049.590173611112</v>
      </c>
      <c r="B131" s="20" t="s">
        <v>498</v>
      </c>
      <c r="C131" s="20" t="s">
        <v>784</v>
      </c>
      <c r="D131" s="138">
        <v>2550000</v>
      </c>
      <c r="E131" s="20" t="s">
        <v>578</v>
      </c>
      <c r="F131" s="20" t="s">
        <v>579</v>
      </c>
      <c r="G131" s="8" t="str">
        <f t="shared" ref="G131:G194" si="4">E131&amp;" "&amp;F131</f>
        <v>BADERTSCHER DIANE</v>
      </c>
      <c r="H131" s="20" t="str">
        <f t="shared" ref="H131:H194" si="5">MID(B131,13,4)</f>
        <v>4052</v>
      </c>
    </row>
    <row r="132" spans="1:8" x14ac:dyDescent="0.25">
      <c r="A132" s="8">
        <v>43049.597268518519</v>
      </c>
      <c r="B132" s="20" t="s">
        <v>668</v>
      </c>
      <c r="C132" s="20" t="s">
        <v>785</v>
      </c>
      <c r="D132" s="138">
        <v>1180000</v>
      </c>
      <c r="E132" s="20" t="s">
        <v>757</v>
      </c>
      <c r="F132" s="20" t="s">
        <v>758</v>
      </c>
      <c r="G132" s="8" t="str">
        <f t="shared" si="4"/>
        <v>LEVERE CRAIG</v>
      </c>
      <c r="H132" s="20" t="str">
        <f t="shared" si="5"/>
        <v>4027</v>
      </c>
    </row>
    <row r="133" spans="1:8" x14ac:dyDescent="0.25">
      <c r="A133" s="8">
        <v>43049.598993055559</v>
      </c>
      <c r="B133" s="20" t="s">
        <v>685</v>
      </c>
      <c r="C133" s="20" t="s">
        <v>786</v>
      </c>
      <c r="D133" s="138">
        <v>2420000</v>
      </c>
      <c r="E133" s="20" t="s">
        <v>787</v>
      </c>
      <c r="F133" s="20" t="s">
        <v>788</v>
      </c>
      <c r="G133" s="8" t="str">
        <f t="shared" si="4"/>
        <v>HOLCOMB KAMDEN</v>
      </c>
      <c r="H133" s="20" t="str">
        <f t="shared" si="5"/>
        <v>4042</v>
      </c>
    </row>
    <row r="134" spans="1:8" x14ac:dyDescent="0.25">
      <c r="A134" s="8">
        <v>43049.599652777775</v>
      </c>
      <c r="B134" s="20" t="s">
        <v>463</v>
      </c>
      <c r="C134" s="20" t="s">
        <v>789</v>
      </c>
      <c r="D134" s="138">
        <v>3000000</v>
      </c>
      <c r="E134" s="20" t="s">
        <v>477</v>
      </c>
      <c r="F134" s="20" t="s">
        <v>478</v>
      </c>
      <c r="G134" s="8" t="str">
        <f t="shared" si="4"/>
        <v>FORTUNATO FRANK</v>
      </c>
      <c r="H134" s="20" t="str">
        <f t="shared" si="5"/>
        <v>4049</v>
      </c>
    </row>
    <row r="135" spans="1:8" x14ac:dyDescent="0.25">
      <c r="A135" s="8">
        <v>43049.602071759262</v>
      </c>
      <c r="B135" s="20" t="s">
        <v>363</v>
      </c>
      <c r="C135" s="20" t="s">
        <v>790</v>
      </c>
      <c r="D135" s="138">
        <v>2350000</v>
      </c>
      <c r="E135" s="20" t="s">
        <v>506</v>
      </c>
      <c r="F135" s="20" t="s">
        <v>507</v>
      </c>
      <c r="G135" s="8" t="str">
        <f t="shared" si="4"/>
        <v>BERLING GARY</v>
      </c>
      <c r="H135" s="20" t="str">
        <f t="shared" si="5"/>
        <v>4007</v>
      </c>
    </row>
    <row r="136" spans="1:8" x14ac:dyDescent="0.25">
      <c r="A136" s="8">
        <v>43049.610474537039</v>
      </c>
      <c r="B136" s="20" t="s">
        <v>359</v>
      </c>
      <c r="C136" s="20" t="s">
        <v>791</v>
      </c>
      <c r="D136" s="138">
        <v>2630000</v>
      </c>
      <c r="E136" s="20" t="s">
        <v>374</v>
      </c>
      <c r="F136" s="20" t="s">
        <v>375</v>
      </c>
      <c r="G136" s="8" t="str">
        <f t="shared" si="4"/>
        <v>SAFIEF AEIMEN</v>
      </c>
      <c r="H136" s="20" t="str">
        <f t="shared" si="5"/>
        <v>4060</v>
      </c>
    </row>
    <row r="137" spans="1:8" x14ac:dyDescent="0.25">
      <c r="A137" s="8">
        <v>43049.621215277781</v>
      </c>
      <c r="B137" s="20" t="s">
        <v>373</v>
      </c>
      <c r="C137" s="20" t="s">
        <v>792</v>
      </c>
      <c r="D137" s="138">
        <v>2040000</v>
      </c>
      <c r="E137" s="20" t="s">
        <v>398</v>
      </c>
      <c r="F137" s="20" t="s">
        <v>399</v>
      </c>
      <c r="G137" s="8" t="str">
        <f t="shared" si="4"/>
        <v>MOSES BRADLEY</v>
      </c>
      <c r="H137" s="20" t="str">
        <f t="shared" si="5"/>
        <v>4011</v>
      </c>
    </row>
    <row r="138" spans="1:8" x14ac:dyDescent="0.25">
      <c r="A138" s="8">
        <v>43049.622141203705</v>
      </c>
      <c r="B138" s="20" t="s">
        <v>508</v>
      </c>
      <c r="C138" s="20" t="s">
        <v>793</v>
      </c>
      <c r="D138" s="138">
        <v>1770000</v>
      </c>
      <c r="E138" s="20" t="s">
        <v>479</v>
      </c>
      <c r="F138" s="20" t="s">
        <v>480</v>
      </c>
      <c r="G138" s="8" t="str">
        <f t="shared" si="4"/>
        <v>BRUDER RICHARD</v>
      </c>
      <c r="H138" s="20" t="str">
        <f t="shared" si="5"/>
        <v>4016</v>
      </c>
    </row>
    <row r="139" spans="1:8" x14ac:dyDescent="0.25">
      <c r="A139" s="8">
        <v>43049.623923611114</v>
      </c>
      <c r="B139" s="20" t="s">
        <v>358</v>
      </c>
      <c r="C139" s="20" t="s">
        <v>794</v>
      </c>
      <c r="D139" s="138">
        <v>1810000</v>
      </c>
      <c r="E139" s="20" t="s">
        <v>795</v>
      </c>
      <c r="F139" s="20" t="s">
        <v>397</v>
      </c>
      <c r="G139" s="8" t="str">
        <f t="shared" si="4"/>
        <v>NEWELL JAMES</v>
      </c>
      <c r="H139" s="20" t="str">
        <f t="shared" si="5"/>
        <v>4008</v>
      </c>
    </row>
    <row r="140" spans="1:8" x14ac:dyDescent="0.25">
      <c r="A140" s="8">
        <v>43049.62672453704</v>
      </c>
      <c r="B140" s="20" t="s">
        <v>503</v>
      </c>
      <c r="C140" s="20" t="s">
        <v>650</v>
      </c>
      <c r="D140" s="138">
        <v>2550000</v>
      </c>
      <c r="E140" s="20" t="s">
        <v>578</v>
      </c>
      <c r="F140" s="20" t="s">
        <v>579</v>
      </c>
      <c r="G140" s="8" t="str">
        <f t="shared" si="4"/>
        <v>BADERTSCHER DIANE</v>
      </c>
      <c r="H140" s="20" t="str">
        <f t="shared" si="5"/>
        <v>4051</v>
      </c>
    </row>
    <row r="141" spans="1:8" x14ac:dyDescent="0.25">
      <c r="A141" s="8">
        <v>43049.631504629629</v>
      </c>
      <c r="B141" s="20" t="s">
        <v>393</v>
      </c>
      <c r="C141" s="20" t="s">
        <v>796</v>
      </c>
      <c r="D141" s="138">
        <v>1180000</v>
      </c>
      <c r="E141" s="20" t="s">
        <v>757</v>
      </c>
      <c r="F141" s="20" t="s">
        <v>758</v>
      </c>
      <c r="G141" s="8" t="str">
        <f t="shared" si="4"/>
        <v>LEVERE CRAIG</v>
      </c>
      <c r="H141" s="20" t="str">
        <f t="shared" si="5"/>
        <v>4028</v>
      </c>
    </row>
    <row r="142" spans="1:8" x14ac:dyDescent="0.25">
      <c r="A142" s="8">
        <v>43049.639780092592</v>
      </c>
      <c r="B142" s="20" t="s">
        <v>682</v>
      </c>
      <c r="C142" s="20" t="s">
        <v>797</v>
      </c>
      <c r="D142" s="138">
        <v>2420000</v>
      </c>
      <c r="E142" s="20" t="s">
        <v>787</v>
      </c>
      <c r="F142" s="20" t="s">
        <v>788</v>
      </c>
      <c r="G142" s="8" t="str">
        <f t="shared" si="4"/>
        <v>HOLCOMB KAMDEN</v>
      </c>
      <c r="H142" s="20" t="str">
        <f t="shared" si="5"/>
        <v>4041</v>
      </c>
    </row>
    <row r="143" spans="1:8" x14ac:dyDescent="0.25">
      <c r="A143" s="8">
        <v>43049.640775462962</v>
      </c>
      <c r="B143" s="20" t="s">
        <v>464</v>
      </c>
      <c r="C143" s="20" t="s">
        <v>651</v>
      </c>
      <c r="D143" s="138">
        <v>3000000</v>
      </c>
      <c r="E143" s="20" t="s">
        <v>477</v>
      </c>
      <c r="F143" s="20" t="s">
        <v>478</v>
      </c>
      <c r="G143" s="8" t="str">
        <f t="shared" si="4"/>
        <v>FORTUNATO FRANK</v>
      </c>
      <c r="H143" s="20" t="str">
        <f t="shared" si="5"/>
        <v>4050</v>
      </c>
    </row>
    <row r="144" spans="1:8" x14ac:dyDescent="0.25">
      <c r="A144" s="8">
        <v>43049.641435185185</v>
      </c>
      <c r="B144" s="20" t="s">
        <v>679</v>
      </c>
      <c r="C144" s="20" t="s">
        <v>798</v>
      </c>
      <c r="D144" s="138">
        <v>2230000</v>
      </c>
      <c r="E144" s="20" t="s">
        <v>395</v>
      </c>
      <c r="F144" s="20" t="s">
        <v>354</v>
      </c>
      <c r="G144" s="8" t="str">
        <f t="shared" si="4"/>
        <v>SMITH MICHAEL</v>
      </c>
      <c r="H144" s="20" t="str">
        <f t="shared" si="5"/>
        <v>4031</v>
      </c>
    </row>
    <row r="145" spans="1:8" x14ac:dyDescent="0.25">
      <c r="A145" s="8">
        <v>43049.642743055556</v>
      </c>
      <c r="B145" s="20" t="s">
        <v>392</v>
      </c>
      <c r="C145" s="20" t="s">
        <v>652</v>
      </c>
      <c r="D145" s="138">
        <v>2630000</v>
      </c>
      <c r="E145" s="20" t="s">
        <v>374</v>
      </c>
      <c r="F145" s="20" t="s">
        <v>375</v>
      </c>
      <c r="G145" s="8" t="str">
        <f t="shared" si="4"/>
        <v>SAFIEF AEIMEN</v>
      </c>
      <c r="H145" s="20" t="str">
        <f t="shared" si="5"/>
        <v>4059</v>
      </c>
    </row>
    <row r="146" spans="1:8" x14ac:dyDescent="0.25">
      <c r="A146" s="8">
        <v>43049.642928240741</v>
      </c>
      <c r="B146" s="20" t="s">
        <v>363</v>
      </c>
      <c r="C146" s="20" t="s">
        <v>799</v>
      </c>
      <c r="D146" s="138">
        <v>1810000</v>
      </c>
      <c r="E146" s="20" t="s">
        <v>795</v>
      </c>
      <c r="F146" s="20" t="s">
        <v>397</v>
      </c>
      <c r="G146" s="8" t="str">
        <f t="shared" si="4"/>
        <v>NEWELL JAMES</v>
      </c>
      <c r="H146" s="20" t="str">
        <f t="shared" si="5"/>
        <v>4007</v>
      </c>
    </row>
    <row r="147" spans="1:8" x14ac:dyDescent="0.25">
      <c r="A147" s="8">
        <v>43049.651273148149</v>
      </c>
      <c r="B147" s="20" t="s">
        <v>673</v>
      </c>
      <c r="C147" s="20" t="s">
        <v>800</v>
      </c>
      <c r="D147" s="138">
        <v>2230000</v>
      </c>
      <c r="E147" s="20" t="s">
        <v>395</v>
      </c>
      <c r="F147" s="20" t="s">
        <v>354</v>
      </c>
      <c r="G147" s="8" t="str">
        <f t="shared" si="4"/>
        <v>SMITH MICHAEL</v>
      </c>
      <c r="H147" s="20" t="str">
        <f t="shared" si="5"/>
        <v>4032</v>
      </c>
    </row>
    <row r="148" spans="1:8" x14ac:dyDescent="0.25">
      <c r="A148" s="8">
        <v>43049.651909722219</v>
      </c>
      <c r="B148" s="20" t="s">
        <v>372</v>
      </c>
      <c r="C148" s="20" t="s">
        <v>801</v>
      </c>
      <c r="D148" s="138">
        <v>1300000</v>
      </c>
      <c r="E148" s="20" t="s">
        <v>360</v>
      </c>
      <c r="F148" s="20" t="s">
        <v>361</v>
      </c>
      <c r="G148" s="8" t="str">
        <f t="shared" si="4"/>
        <v>LEVIN SCOTT</v>
      </c>
      <c r="H148" s="20" t="str">
        <f t="shared" si="5"/>
        <v>4012</v>
      </c>
    </row>
    <row r="149" spans="1:8" x14ac:dyDescent="0.25">
      <c r="A149" s="8">
        <v>43049.661793981482</v>
      </c>
      <c r="B149" s="20" t="s">
        <v>575</v>
      </c>
      <c r="C149" s="20" t="s">
        <v>653</v>
      </c>
      <c r="D149" s="138">
        <v>1770000</v>
      </c>
      <c r="E149" s="20" t="s">
        <v>479</v>
      </c>
      <c r="F149" s="20" t="s">
        <v>480</v>
      </c>
      <c r="G149" s="8" t="str">
        <f t="shared" si="4"/>
        <v>BRUDER RICHARD</v>
      </c>
      <c r="H149" s="20" t="str">
        <f t="shared" si="5"/>
        <v>4015</v>
      </c>
    </row>
    <row r="150" spans="1:8" x14ac:dyDescent="0.25">
      <c r="A150" s="8">
        <v>43049.665231481478</v>
      </c>
      <c r="B150" s="20" t="s">
        <v>498</v>
      </c>
      <c r="C150" s="20" t="s">
        <v>802</v>
      </c>
      <c r="D150" s="138">
        <v>2550000</v>
      </c>
      <c r="E150" s="20" t="s">
        <v>578</v>
      </c>
      <c r="F150" s="20" t="s">
        <v>579</v>
      </c>
      <c r="G150" s="8" t="str">
        <f t="shared" si="4"/>
        <v>BADERTSCHER DIANE</v>
      </c>
      <c r="H150" s="20" t="str">
        <f t="shared" si="5"/>
        <v>4052</v>
      </c>
    </row>
    <row r="151" spans="1:8" x14ac:dyDescent="0.25">
      <c r="A151" s="8">
        <v>43049.665960648148</v>
      </c>
      <c r="B151" s="20" t="s">
        <v>358</v>
      </c>
      <c r="C151" s="20" t="s">
        <v>803</v>
      </c>
      <c r="D151" s="138">
        <v>2350000</v>
      </c>
      <c r="E151" s="20" t="s">
        <v>506</v>
      </c>
      <c r="F151" s="20" t="s">
        <v>507</v>
      </c>
      <c r="G151" s="8" t="str">
        <f t="shared" si="4"/>
        <v>BERLING GARY</v>
      </c>
      <c r="H151" s="20" t="str">
        <f t="shared" si="5"/>
        <v>4008</v>
      </c>
    </row>
    <row r="152" spans="1:8" x14ac:dyDescent="0.25">
      <c r="A152" s="8">
        <v>43049.666412037041</v>
      </c>
      <c r="B152" s="20" t="s">
        <v>679</v>
      </c>
      <c r="C152" s="20" t="s">
        <v>804</v>
      </c>
      <c r="D152" s="138">
        <v>2230000</v>
      </c>
      <c r="E152" s="20" t="s">
        <v>395</v>
      </c>
      <c r="F152" s="20" t="s">
        <v>354</v>
      </c>
      <c r="G152" s="8" t="str">
        <f t="shared" si="4"/>
        <v>SMITH MICHAEL</v>
      </c>
      <c r="H152" s="20" t="str">
        <f t="shared" si="5"/>
        <v>4031</v>
      </c>
    </row>
    <row r="153" spans="1:8" x14ac:dyDescent="0.25">
      <c r="A153" s="8">
        <v>43049.666724537034</v>
      </c>
      <c r="B153" s="20" t="s">
        <v>498</v>
      </c>
      <c r="C153" s="20" t="s">
        <v>802</v>
      </c>
      <c r="D153" s="138">
        <v>2550000</v>
      </c>
      <c r="E153" s="20" t="s">
        <v>578</v>
      </c>
      <c r="F153" s="20" t="s">
        <v>579</v>
      </c>
      <c r="G153" s="8" t="str">
        <f t="shared" si="4"/>
        <v>BADERTSCHER DIANE</v>
      </c>
      <c r="H153" s="20" t="str">
        <f t="shared" si="5"/>
        <v>4052</v>
      </c>
    </row>
    <row r="154" spans="1:8" x14ac:dyDescent="0.25">
      <c r="A154" s="8">
        <v>43049.670300925929</v>
      </c>
      <c r="B154" s="20" t="s">
        <v>668</v>
      </c>
      <c r="C154" s="20" t="s">
        <v>805</v>
      </c>
      <c r="D154" s="138">
        <v>1180000</v>
      </c>
      <c r="E154" s="20" t="s">
        <v>757</v>
      </c>
      <c r="F154" s="20" t="s">
        <v>758</v>
      </c>
      <c r="G154" s="8" t="str">
        <f t="shared" si="4"/>
        <v>LEVERE CRAIG</v>
      </c>
      <c r="H154" s="20" t="str">
        <f t="shared" si="5"/>
        <v>4027</v>
      </c>
    </row>
    <row r="155" spans="1:8" x14ac:dyDescent="0.25">
      <c r="A155" s="8">
        <v>43049.671898148146</v>
      </c>
      <c r="B155" s="20" t="s">
        <v>685</v>
      </c>
      <c r="C155" s="20" t="s">
        <v>806</v>
      </c>
      <c r="D155" s="138">
        <v>2420000</v>
      </c>
      <c r="E155" s="20" t="s">
        <v>787</v>
      </c>
      <c r="F155" s="20" t="s">
        <v>788</v>
      </c>
      <c r="G155" s="8" t="str">
        <f t="shared" si="4"/>
        <v>HOLCOMB KAMDEN</v>
      </c>
      <c r="H155" s="20" t="str">
        <f t="shared" si="5"/>
        <v>4042</v>
      </c>
    </row>
    <row r="156" spans="1:8" x14ac:dyDescent="0.25">
      <c r="A156" s="8">
        <v>43049.673368055555</v>
      </c>
      <c r="B156" s="20" t="s">
        <v>463</v>
      </c>
      <c r="C156" s="20" t="s">
        <v>807</v>
      </c>
      <c r="D156" s="138">
        <v>3000000</v>
      </c>
      <c r="E156" s="20" t="s">
        <v>477</v>
      </c>
      <c r="F156" s="20" t="s">
        <v>478</v>
      </c>
      <c r="G156" s="8" t="str">
        <f t="shared" si="4"/>
        <v>FORTUNATO FRANK</v>
      </c>
      <c r="H156" s="20" t="str">
        <f t="shared" si="5"/>
        <v>4049</v>
      </c>
    </row>
    <row r="157" spans="1:8" x14ac:dyDescent="0.25">
      <c r="A157" s="8">
        <v>43049.685277777775</v>
      </c>
      <c r="B157" s="20" t="s">
        <v>359</v>
      </c>
      <c r="C157" s="20" t="s">
        <v>808</v>
      </c>
      <c r="D157" s="138">
        <v>3130000</v>
      </c>
      <c r="E157" s="20" t="s">
        <v>481</v>
      </c>
      <c r="F157" s="20" t="s">
        <v>482</v>
      </c>
      <c r="G157" s="8" t="str">
        <f t="shared" si="4"/>
        <v>ZEWDU DEREJE</v>
      </c>
      <c r="H157" s="20" t="str">
        <f t="shared" si="5"/>
        <v>4060</v>
      </c>
    </row>
    <row r="158" spans="1:8" x14ac:dyDescent="0.25">
      <c r="A158" s="8">
        <v>43049.686840277776</v>
      </c>
      <c r="B158" s="20" t="s">
        <v>673</v>
      </c>
      <c r="C158" s="20" t="s">
        <v>809</v>
      </c>
      <c r="D158" s="138">
        <v>2230000</v>
      </c>
      <c r="E158" s="20" t="s">
        <v>395</v>
      </c>
      <c r="F158" s="20" t="s">
        <v>354</v>
      </c>
      <c r="G158" s="8" t="str">
        <f t="shared" si="4"/>
        <v>SMITH MICHAEL</v>
      </c>
      <c r="H158" s="20" t="str">
        <f t="shared" si="5"/>
        <v>4032</v>
      </c>
    </row>
    <row r="159" spans="1:8" x14ac:dyDescent="0.25">
      <c r="A159" s="8">
        <v>43049.686909722222</v>
      </c>
      <c r="B159" s="20" t="s">
        <v>363</v>
      </c>
      <c r="C159" s="20" t="s">
        <v>810</v>
      </c>
      <c r="D159" s="138">
        <v>2350000</v>
      </c>
      <c r="E159" s="20" t="s">
        <v>506</v>
      </c>
      <c r="F159" s="20" t="s">
        <v>507</v>
      </c>
      <c r="G159" s="8" t="str">
        <f t="shared" si="4"/>
        <v>BERLING GARY</v>
      </c>
      <c r="H159" s="20" t="str">
        <f t="shared" si="5"/>
        <v>4007</v>
      </c>
    </row>
    <row r="160" spans="1:8" x14ac:dyDescent="0.25">
      <c r="A160" s="8">
        <v>43049.687418981484</v>
      </c>
      <c r="B160" s="20" t="s">
        <v>362</v>
      </c>
      <c r="C160" s="20" t="s">
        <v>811</v>
      </c>
      <c r="D160" s="138">
        <v>1810000</v>
      </c>
      <c r="E160" s="20" t="s">
        <v>795</v>
      </c>
      <c r="F160" s="20" t="s">
        <v>397</v>
      </c>
      <c r="G160" s="8" t="str">
        <f t="shared" si="4"/>
        <v>NEWELL JAMES</v>
      </c>
      <c r="H160" s="20" t="str">
        <f t="shared" si="5"/>
        <v>4018</v>
      </c>
    </row>
    <row r="161" spans="1:8" x14ac:dyDescent="0.25">
      <c r="A161" s="8">
        <v>43049.694351851853</v>
      </c>
      <c r="B161" s="20" t="s">
        <v>373</v>
      </c>
      <c r="C161" s="20" t="s">
        <v>812</v>
      </c>
      <c r="D161" s="138">
        <v>1300000</v>
      </c>
      <c r="E161" s="20" t="s">
        <v>360</v>
      </c>
      <c r="F161" s="20" t="s">
        <v>361</v>
      </c>
      <c r="G161" s="8" t="str">
        <f t="shared" si="4"/>
        <v>LEVIN SCOTT</v>
      </c>
      <c r="H161" s="20" t="str">
        <f t="shared" si="5"/>
        <v>4011</v>
      </c>
    </row>
    <row r="162" spans="1:8" x14ac:dyDescent="0.25">
      <c r="A162" s="8">
        <v>43049.694710648146</v>
      </c>
      <c r="B162" s="20" t="s">
        <v>508</v>
      </c>
      <c r="C162" s="20" t="s">
        <v>813</v>
      </c>
      <c r="D162" s="138">
        <v>1770000</v>
      </c>
      <c r="E162" s="20" t="s">
        <v>479</v>
      </c>
      <c r="F162" s="20" t="s">
        <v>480</v>
      </c>
      <c r="G162" s="8" t="str">
        <f t="shared" si="4"/>
        <v>BRUDER RICHARD</v>
      </c>
      <c r="H162" s="20" t="str">
        <f t="shared" si="5"/>
        <v>4016</v>
      </c>
    </row>
    <row r="163" spans="1:8" x14ac:dyDescent="0.25">
      <c r="A163" s="8">
        <v>43049.700104166666</v>
      </c>
      <c r="B163" s="20" t="s">
        <v>503</v>
      </c>
      <c r="C163" s="20" t="s">
        <v>814</v>
      </c>
      <c r="D163" s="138">
        <v>2550000</v>
      </c>
      <c r="E163" s="20" t="s">
        <v>578</v>
      </c>
      <c r="F163" s="20" t="s">
        <v>579</v>
      </c>
      <c r="G163" s="8" t="str">
        <f t="shared" si="4"/>
        <v>BADERTSCHER DIANE</v>
      </c>
      <c r="H163" s="20" t="str">
        <f t="shared" si="5"/>
        <v>4051</v>
      </c>
    </row>
    <row r="164" spans="1:8" x14ac:dyDescent="0.25">
      <c r="A164" s="8">
        <v>43049.704224537039</v>
      </c>
      <c r="B164" s="20" t="s">
        <v>393</v>
      </c>
      <c r="C164" s="20" t="s">
        <v>815</v>
      </c>
      <c r="D164" s="138">
        <v>1180000</v>
      </c>
      <c r="E164" s="20" t="s">
        <v>757</v>
      </c>
      <c r="F164" s="20" t="s">
        <v>758</v>
      </c>
      <c r="G164" s="8" t="str">
        <f t="shared" si="4"/>
        <v>LEVERE CRAIG</v>
      </c>
      <c r="H164" s="20" t="str">
        <f t="shared" si="5"/>
        <v>4028</v>
      </c>
    </row>
    <row r="165" spans="1:8" x14ac:dyDescent="0.25">
      <c r="A165" s="8">
        <v>43049.706759259258</v>
      </c>
      <c r="B165" s="20" t="s">
        <v>679</v>
      </c>
      <c r="C165" s="20" t="s">
        <v>816</v>
      </c>
      <c r="D165" s="138">
        <v>2230000</v>
      </c>
      <c r="E165" s="20" t="s">
        <v>395</v>
      </c>
      <c r="F165" s="20" t="s">
        <v>354</v>
      </c>
      <c r="G165" s="8" t="str">
        <f t="shared" si="4"/>
        <v>SMITH MICHAEL</v>
      </c>
      <c r="H165" s="20" t="str">
        <f t="shared" si="5"/>
        <v>4031</v>
      </c>
    </row>
    <row r="166" spans="1:8" x14ac:dyDescent="0.25">
      <c r="A166" s="8">
        <v>43049.709224537037</v>
      </c>
      <c r="B166" s="20" t="s">
        <v>358</v>
      </c>
      <c r="C166" s="20" t="s">
        <v>817</v>
      </c>
      <c r="D166" s="138">
        <v>2350000</v>
      </c>
      <c r="E166" s="20" t="s">
        <v>506</v>
      </c>
      <c r="F166" s="20" t="s">
        <v>507</v>
      </c>
      <c r="G166" s="8" t="str">
        <f t="shared" si="4"/>
        <v>BERLING GARY</v>
      </c>
      <c r="H166" s="20" t="str">
        <f t="shared" si="5"/>
        <v>4008</v>
      </c>
    </row>
    <row r="167" spans="1:8" x14ac:dyDescent="0.25">
      <c r="A167" s="8">
        <v>43049.71</v>
      </c>
      <c r="B167" s="20" t="s">
        <v>818</v>
      </c>
      <c r="C167" s="20" t="s">
        <v>819</v>
      </c>
      <c r="D167" s="138">
        <v>2370000</v>
      </c>
      <c r="E167" s="20" t="s">
        <v>504</v>
      </c>
      <c r="F167" s="20" t="s">
        <v>505</v>
      </c>
      <c r="G167" s="8" t="str">
        <f t="shared" si="4"/>
        <v>DELGADO DIANAH</v>
      </c>
      <c r="H167" s="20" t="str">
        <f t="shared" si="5"/>
        <v>4002</v>
      </c>
    </row>
    <row r="168" spans="1:8" x14ac:dyDescent="0.25">
      <c r="A168" s="8">
        <v>43049.714571759258</v>
      </c>
      <c r="B168" s="20" t="s">
        <v>682</v>
      </c>
      <c r="C168" s="20" t="s">
        <v>820</v>
      </c>
      <c r="D168" s="138">
        <v>2420000</v>
      </c>
      <c r="E168" s="20" t="s">
        <v>787</v>
      </c>
      <c r="F168" s="20" t="s">
        <v>788</v>
      </c>
      <c r="G168" s="8" t="str">
        <f t="shared" si="4"/>
        <v>HOLCOMB KAMDEN</v>
      </c>
      <c r="H168" s="20" t="str">
        <f t="shared" si="5"/>
        <v>4041</v>
      </c>
    </row>
    <row r="169" spans="1:8" x14ac:dyDescent="0.25">
      <c r="A169" s="8">
        <v>43049.715266203704</v>
      </c>
      <c r="B169" s="20" t="s">
        <v>464</v>
      </c>
      <c r="C169" s="20" t="s">
        <v>821</v>
      </c>
      <c r="D169" s="138">
        <v>3000000</v>
      </c>
      <c r="E169" s="20" t="s">
        <v>477</v>
      </c>
      <c r="F169" s="20" t="s">
        <v>478</v>
      </c>
      <c r="G169" s="8" t="str">
        <f t="shared" si="4"/>
        <v>FORTUNATO FRANK</v>
      </c>
      <c r="H169" s="20" t="str">
        <f t="shared" si="5"/>
        <v>4050</v>
      </c>
    </row>
    <row r="170" spans="1:8" x14ac:dyDescent="0.25">
      <c r="A170" s="8">
        <v>43049.716631944444</v>
      </c>
      <c r="B170" s="20" t="s">
        <v>464</v>
      </c>
      <c r="C170" s="20" t="s">
        <v>821</v>
      </c>
      <c r="D170" s="138">
        <v>3000000</v>
      </c>
      <c r="E170" s="20" t="s">
        <v>477</v>
      </c>
      <c r="F170" s="20" t="s">
        <v>478</v>
      </c>
      <c r="G170" s="8" t="str">
        <f t="shared" si="4"/>
        <v>FORTUNATO FRANK</v>
      </c>
      <c r="H170" s="20" t="str">
        <f t="shared" si="5"/>
        <v>4050</v>
      </c>
    </row>
    <row r="171" spans="1:8" x14ac:dyDescent="0.25">
      <c r="A171" s="8">
        <v>43049.717245370368</v>
      </c>
      <c r="B171" s="20" t="s">
        <v>392</v>
      </c>
      <c r="C171" s="20" t="s">
        <v>822</v>
      </c>
      <c r="D171" s="138">
        <v>3130000</v>
      </c>
      <c r="E171" s="20" t="s">
        <v>481</v>
      </c>
      <c r="F171" s="20" t="s">
        <v>482</v>
      </c>
      <c r="G171" s="8" t="str">
        <f t="shared" si="4"/>
        <v>ZEWDU DEREJE</v>
      </c>
      <c r="H171" s="20" t="str">
        <f t="shared" si="5"/>
        <v>4059</v>
      </c>
    </row>
    <row r="172" spans="1:8" x14ac:dyDescent="0.25">
      <c r="A172" s="8">
        <v>43049.727303240739</v>
      </c>
      <c r="B172" s="20" t="s">
        <v>363</v>
      </c>
      <c r="C172" s="20" t="s">
        <v>823</v>
      </c>
      <c r="D172" s="138">
        <v>2350000</v>
      </c>
      <c r="E172" s="20" t="s">
        <v>506</v>
      </c>
      <c r="F172" s="20" t="s">
        <v>507</v>
      </c>
      <c r="G172" s="8" t="str">
        <f t="shared" si="4"/>
        <v>BERLING GARY</v>
      </c>
      <c r="H172" s="20" t="str">
        <f t="shared" si="5"/>
        <v>4007</v>
      </c>
    </row>
    <row r="173" spans="1:8" x14ac:dyDescent="0.25">
      <c r="A173" s="8">
        <v>43049.727395833332</v>
      </c>
      <c r="B173" s="20" t="s">
        <v>372</v>
      </c>
      <c r="C173" s="20" t="s">
        <v>824</v>
      </c>
      <c r="D173" s="138">
        <v>1300000</v>
      </c>
      <c r="E173" s="20" t="s">
        <v>360</v>
      </c>
      <c r="F173" s="20" t="s">
        <v>361</v>
      </c>
      <c r="G173" s="8" t="str">
        <f t="shared" si="4"/>
        <v>LEVIN SCOTT</v>
      </c>
      <c r="H173" s="20" t="str">
        <f t="shared" si="5"/>
        <v>4012</v>
      </c>
    </row>
    <row r="174" spans="1:8" x14ac:dyDescent="0.25">
      <c r="A174" s="8">
        <v>43049.732581018521</v>
      </c>
      <c r="B174" s="20" t="s">
        <v>673</v>
      </c>
      <c r="C174" s="20" t="s">
        <v>825</v>
      </c>
      <c r="D174" s="138">
        <v>2230000</v>
      </c>
      <c r="E174" s="20" t="s">
        <v>395</v>
      </c>
      <c r="F174" s="20" t="s">
        <v>354</v>
      </c>
      <c r="G174" s="8" t="str">
        <f t="shared" si="4"/>
        <v>SMITH MICHAEL</v>
      </c>
      <c r="H174" s="20" t="str">
        <f t="shared" si="5"/>
        <v>4032</v>
      </c>
    </row>
    <row r="175" spans="1:8" x14ac:dyDescent="0.25">
      <c r="A175" s="8">
        <v>43049.734768518516</v>
      </c>
      <c r="B175" s="20" t="s">
        <v>575</v>
      </c>
      <c r="C175" s="20" t="s">
        <v>826</v>
      </c>
      <c r="D175" s="138">
        <v>1770000</v>
      </c>
      <c r="E175" s="20" t="s">
        <v>479</v>
      </c>
      <c r="F175" s="20" t="s">
        <v>480</v>
      </c>
      <c r="G175" s="8" t="str">
        <f t="shared" si="4"/>
        <v>BRUDER RICHARD</v>
      </c>
      <c r="H175" s="20" t="str">
        <f t="shared" si="5"/>
        <v>4015</v>
      </c>
    </row>
    <row r="176" spans="1:8" x14ac:dyDescent="0.25">
      <c r="A176" s="8">
        <v>43049.737546296295</v>
      </c>
      <c r="B176" s="20" t="s">
        <v>498</v>
      </c>
      <c r="C176" s="20" t="s">
        <v>827</v>
      </c>
      <c r="D176" s="138">
        <v>2440000</v>
      </c>
      <c r="E176" s="20" t="s">
        <v>509</v>
      </c>
      <c r="F176" s="20" t="s">
        <v>510</v>
      </c>
      <c r="G176" s="8" t="str">
        <f t="shared" si="4"/>
        <v>LOPES KIMBERLY</v>
      </c>
      <c r="H176" s="20" t="str">
        <f t="shared" si="5"/>
        <v>4052</v>
      </c>
    </row>
    <row r="177" spans="1:8" x14ac:dyDescent="0.25">
      <c r="A177" s="8">
        <v>43049.738333333335</v>
      </c>
      <c r="B177" s="20" t="s">
        <v>511</v>
      </c>
      <c r="C177" s="20" t="s">
        <v>828</v>
      </c>
      <c r="D177" s="138">
        <v>3500000</v>
      </c>
      <c r="E177" s="20" t="s">
        <v>378</v>
      </c>
      <c r="F177" s="20" t="s">
        <v>379</v>
      </c>
      <c r="G177" s="8" t="str">
        <f t="shared" si="4"/>
        <v>GUNTHIER ERIC</v>
      </c>
      <c r="H177" s="20" t="str">
        <f t="shared" si="5"/>
        <v>4013</v>
      </c>
    </row>
    <row r="178" spans="1:8" x14ac:dyDescent="0.25">
      <c r="A178" s="8">
        <v>43049.743344907409</v>
      </c>
      <c r="B178" s="20" t="s">
        <v>668</v>
      </c>
      <c r="C178" s="20" t="s">
        <v>829</v>
      </c>
      <c r="D178" s="138">
        <v>1180000</v>
      </c>
      <c r="E178" s="20" t="s">
        <v>757</v>
      </c>
      <c r="F178" s="20" t="s">
        <v>758</v>
      </c>
      <c r="G178" s="8" t="str">
        <f t="shared" si="4"/>
        <v>LEVERE CRAIG</v>
      </c>
      <c r="H178" s="20" t="str">
        <f t="shared" si="5"/>
        <v>4027</v>
      </c>
    </row>
    <row r="179" spans="1:8" x14ac:dyDescent="0.25">
      <c r="A179" s="8">
        <v>43049.745196759257</v>
      </c>
      <c r="B179" s="20" t="s">
        <v>685</v>
      </c>
      <c r="C179" s="20" t="s">
        <v>830</v>
      </c>
      <c r="D179" s="138">
        <v>2420000</v>
      </c>
      <c r="E179" s="20" t="s">
        <v>787</v>
      </c>
      <c r="F179" s="20" t="s">
        <v>788</v>
      </c>
      <c r="G179" s="8" t="str">
        <f t="shared" si="4"/>
        <v>HOLCOMB KAMDEN</v>
      </c>
      <c r="H179" s="20" t="str">
        <f t="shared" si="5"/>
        <v>4042</v>
      </c>
    </row>
    <row r="180" spans="1:8" x14ac:dyDescent="0.25">
      <c r="A180" s="8">
        <v>43049.746539351851</v>
      </c>
      <c r="B180" s="20" t="s">
        <v>463</v>
      </c>
      <c r="C180" s="20" t="s">
        <v>831</v>
      </c>
      <c r="D180" s="138">
        <v>3000000</v>
      </c>
      <c r="E180" s="20" t="s">
        <v>477</v>
      </c>
      <c r="F180" s="20" t="s">
        <v>478</v>
      </c>
      <c r="G180" s="8" t="str">
        <f t="shared" si="4"/>
        <v>FORTUNATO FRANK</v>
      </c>
      <c r="H180" s="20" t="str">
        <f t="shared" si="5"/>
        <v>4049</v>
      </c>
    </row>
    <row r="181" spans="1:8" x14ac:dyDescent="0.25">
      <c r="A181" s="8">
        <v>43049.748831018522</v>
      </c>
      <c r="B181" s="20" t="s">
        <v>679</v>
      </c>
      <c r="C181" s="20" t="s">
        <v>832</v>
      </c>
      <c r="D181" s="138">
        <v>2230000</v>
      </c>
      <c r="E181" s="20" t="s">
        <v>395</v>
      </c>
      <c r="F181" s="20" t="s">
        <v>354</v>
      </c>
      <c r="G181" s="8" t="str">
        <f t="shared" si="4"/>
        <v>SMITH MICHAEL</v>
      </c>
      <c r="H181" s="20" t="str">
        <f t="shared" si="5"/>
        <v>4031</v>
      </c>
    </row>
    <row r="182" spans="1:8" x14ac:dyDescent="0.25">
      <c r="A182" s="8">
        <v>43049.750740740739</v>
      </c>
      <c r="B182" s="20" t="s">
        <v>358</v>
      </c>
      <c r="C182" s="20" t="s">
        <v>833</v>
      </c>
      <c r="D182" s="138">
        <v>2350000</v>
      </c>
      <c r="E182" s="20" t="s">
        <v>506</v>
      </c>
      <c r="F182" s="20" t="s">
        <v>507</v>
      </c>
      <c r="G182" s="8" t="str">
        <f t="shared" si="4"/>
        <v>BERLING GARY</v>
      </c>
      <c r="H182" s="20" t="str">
        <f t="shared" si="5"/>
        <v>4008</v>
      </c>
    </row>
    <row r="183" spans="1:8" x14ac:dyDescent="0.25">
      <c r="A183" s="8">
        <v>43049.756805555553</v>
      </c>
      <c r="B183" s="20" t="s">
        <v>359</v>
      </c>
      <c r="C183" s="20" t="s">
        <v>834</v>
      </c>
      <c r="D183" s="138">
        <v>2600000</v>
      </c>
      <c r="E183" s="20" t="s">
        <v>835</v>
      </c>
      <c r="F183" s="20" t="s">
        <v>582</v>
      </c>
      <c r="G183" s="8" t="str">
        <f t="shared" si="4"/>
        <v>DAVIDSON DAVID</v>
      </c>
      <c r="H183" s="20" t="str">
        <f t="shared" si="5"/>
        <v>4060</v>
      </c>
    </row>
    <row r="184" spans="1:8" x14ac:dyDescent="0.25">
      <c r="A184" s="8">
        <v>43049.759097222224</v>
      </c>
      <c r="B184" s="20" t="s">
        <v>373</v>
      </c>
      <c r="C184" s="20" t="s">
        <v>836</v>
      </c>
      <c r="D184" s="138">
        <v>1300000</v>
      </c>
      <c r="E184" s="20" t="s">
        <v>360</v>
      </c>
      <c r="F184" s="20" t="s">
        <v>361</v>
      </c>
      <c r="G184" s="8" t="str">
        <f t="shared" si="4"/>
        <v>LEVIN SCOTT</v>
      </c>
      <c r="H184" s="20" t="str">
        <f t="shared" si="5"/>
        <v>4011</v>
      </c>
    </row>
    <row r="185" spans="1:8" x14ac:dyDescent="0.25">
      <c r="A185" s="8">
        <v>43049.766122685185</v>
      </c>
      <c r="B185" s="20" t="s">
        <v>508</v>
      </c>
      <c r="C185" s="20" t="s">
        <v>837</v>
      </c>
      <c r="D185" s="138">
        <v>3340000</v>
      </c>
      <c r="E185" s="20" t="s">
        <v>584</v>
      </c>
      <c r="F185" s="20" t="s">
        <v>585</v>
      </c>
      <c r="G185" s="8" t="str">
        <f t="shared" si="4"/>
        <v>ELBAUM MIKE</v>
      </c>
      <c r="H185" s="20" t="str">
        <f t="shared" si="5"/>
        <v>4016</v>
      </c>
    </row>
    <row r="186" spans="1:8" x14ac:dyDescent="0.25">
      <c r="A186" s="8">
        <v>43049.769791666666</v>
      </c>
      <c r="B186" s="20" t="s">
        <v>673</v>
      </c>
      <c r="C186" s="20" t="s">
        <v>838</v>
      </c>
      <c r="D186" s="138">
        <v>2230000</v>
      </c>
      <c r="E186" s="20" t="s">
        <v>395</v>
      </c>
      <c r="F186" s="20" t="s">
        <v>354</v>
      </c>
      <c r="G186" s="8" t="str">
        <f t="shared" si="4"/>
        <v>SMITH MICHAEL</v>
      </c>
      <c r="H186" s="20" t="str">
        <f t="shared" si="5"/>
        <v>4032</v>
      </c>
    </row>
    <row r="187" spans="1:8" x14ac:dyDescent="0.25">
      <c r="A187" s="8">
        <v>43049.770300925928</v>
      </c>
      <c r="B187" s="20" t="s">
        <v>363</v>
      </c>
      <c r="C187" s="20" t="s">
        <v>839</v>
      </c>
      <c r="D187" s="138">
        <v>2350000</v>
      </c>
      <c r="E187" s="20" t="s">
        <v>506</v>
      </c>
      <c r="F187" s="20" t="s">
        <v>507</v>
      </c>
      <c r="G187" s="8" t="str">
        <f t="shared" si="4"/>
        <v>BERLING GARY</v>
      </c>
      <c r="H187" s="20" t="str">
        <f t="shared" si="5"/>
        <v>4007</v>
      </c>
    </row>
    <row r="188" spans="1:8" x14ac:dyDescent="0.25">
      <c r="A188" s="8">
        <v>43049.772453703707</v>
      </c>
      <c r="B188" s="20" t="s">
        <v>503</v>
      </c>
      <c r="C188" s="20" t="s">
        <v>840</v>
      </c>
      <c r="D188" s="138">
        <v>2440000</v>
      </c>
      <c r="E188" s="20" t="s">
        <v>509</v>
      </c>
      <c r="F188" s="20" t="s">
        <v>510</v>
      </c>
      <c r="G188" s="8" t="str">
        <f t="shared" si="4"/>
        <v>LOPES KIMBERLY</v>
      </c>
      <c r="H188" s="20" t="str">
        <f t="shared" si="5"/>
        <v>4051</v>
      </c>
    </row>
    <row r="189" spans="1:8" x14ac:dyDescent="0.25">
      <c r="A189" s="8">
        <v>43049.778483796297</v>
      </c>
      <c r="B189" s="20" t="s">
        <v>393</v>
      </c>
      <c r="C189" s="20" t="s">
        <v>841</v>
      </c>
      <c r="D189" s="138">
        <v>1180000</v>
      </c>
      <c r="E189" s="20" t="s">
        <v>757</v>
      </c>
      <c r="F189" s="20" t="s">
        <v>758</v>
      </c>
      <c r="G189" s="8" t="str">
        <f t="shared" si="4"/>
        <v>LEVERE CRAIG</v>
      </c>
      <c r="H189" s="20" t="str">
        <f t="shared" si="5"/>
        <v>4028</v>
      </c>
    </row>
    <row r="190" spans="1:8" x14ac:dyDescent="0.25">
      <c r="A190" s="8">
        <v>43049.783831018518</v>
      </c>
      <c r="B190" s="20" t="s">
        <v>682</v>
      </c>
      <c r="C190" s="20" t="s">
        <v>842</v>
      </c>
      <c r="D190" s="138">
        <v>2420000</v>
      </c>
      <c r="E190" s="20" t="s">
        <v>787</v>
      </c>
      <c r="F190" s="20" t="s">
        <v>788</v>
      </c>
      <c r="G190" s="8" t="str">
        <f t="shared" si="4"/>
        <v>HOLCOMB KAMDEN</v>
      </c>
      <c r="H190" s="20" t="str">
        <f t="shared" si="5"/>
        <v>4041</v>
      </c>
    </row>
    <row r="191" spans="1:8" x14ac:dyDescent="0.25">
      <c r="A191" s="8">
        <v>43049.789930555555</v>
      </c>
      <c r="B191" s="20" t="s">
        <v>464</v>
      </c>
      <c r="C191" s="20" t="s">
        <v>843</v>
      </c>
      <c r="D191" s="138">
        <v>3700000</v>
      </c>
      <c r="E191" s="20" t="s">
        <v>469</v>
      </c>
      <c r="F191" s="20" t="s">
        <v>371</v>
      </c>
      <c r="G191" s="8" t="str">
        <f t="shared" si="4"/>
        <v>AUSTIN THOMPSON</v>
      </c>
      <c r="H191" s="20" t="str">
        <f t="shared" si="5"/>
        <v>4050</v>
      </c>
    </row>
    <row r="192" spans="1:8" x14ac:dyDescent="0.25">
      <c r="A192" s="8">
        <v>43049.791863425926</v>
      </c>
      <c r="B192" s="20" t="s">
        <v>679</v>
      </c>
      <c r="C192" s="20" t="s">
        <v>844</v>
      </c>
      <c r="D192" s="138">
        <v>2230000</v>
      </c>
      <c r="E192" s="20" t="s">
        <v>395</v>
      </c>
      <c r="F192" s="20" t="s">
        <v>354</v>
      </c>
      <c r="G192" s="8" t="str">
        <f t="shared" si="4"/>
        <v>SMITH MICHAEL</v>
      </c>
      <c r="H192" s="20" t="str">
        <f t="shared" si="5"/>
        <v>4031</v>
      </c>
    </row>
    <row r="193" spans="1:8" x14ac:dyDescent="0.25">
      <c r="A193" s="8">
        <v>43049.792280092595</v>
      </c>
      <c r="B193" s="20" t="s">
        <v>358</v>
      </c>
      <c r="C193" s="20" t="s">
        <v>845</v>
      </c>
      <c r="D193" s="138">
        <v>2350000</v>
      </c>
      <c r="E193" s="20" t="s">
        <v>506</v>
      </c>
      <c r="F193" s="20" t="s">
        <v>507</v>
      </c>
      <c r="G193" s="8" t="str">
        <f t="shared" si="4"/>
        <v>BERLING GARY</v>
      </c>
      <c r="H193" s="20" t="str">
        <f t="shared" si="5"/>
        <v>4008</v>
      </c>
    </row>
    <row r="194" spans="1:8" x14ac:dyDescent="0.25">
      <c r="A194" s="8">
        <v>43049.795162037037</v>
      </c>
      <c r="B194" s="20" t="s">
        <v>392</v>
      </c>
      <c r="C194" s="20" t="s">
        <v>846</v>
      </c>
      <c r="D194" s="138">
        <v>2600000</v>
      </c>
      <c r="E194" s="20" t="s">
        <v>835</v>
      </c>
      <c r="F194" s="20" t="s">
        <v>582</v>
      </c>
      <c r="G194" s="8" t="str">
        <f t="shared" si="4"/>
        <v>DAVIDSON DAVID</v>
      </c>
      <c r="H194" s="20" t="str">
        <f t="shared" si="5"/>
        <v>4059</v>
      </c>
    </row>
    <row r="195" spans="1:8" x14ac:dyDescent="0.25">
      <c r="A195" s="8">
        <v>43049.796875</v>
      </c>
      <c r="B195" s="20" t="s">
        <v>575</v>
      </c>
      <c r="C195" s="20" t="s">
        <v>847</v>
      </c>
      <c r="D195" s="138">
        <v>3340000</v>
      </c>
      <c r="E195" s="20" t="s">
        <v>584</v>
      </c>
      <c r="F195" s="20" t="s">
        <v>585</v>
      </c>
      <c r="G195" s="8" t="str">
        <f t="shared" ref="G195:G258" si="6">E195&amp;" "&amp;F195</f>
        <v>ELBAUM MIKE</v>
      </c>
      <c r="H195" s="20" t="str">
        <f t="shared" ref="H195:H258" si="7">MID(B195,13,4)</f>
        <v>4015</v>
      </c>
    </row>
    <row r="196" spans="1:8" x14ac:dyDescent="0.25">
      <c r="A196" s="8">
        <v>43049.797175925924</v>
      </c>
      <c r="B196" s="20" t="s">
        <v>372</v>
      </c>
      <c r="C196" s="20" t="s">
        <v>848</v>
      </c>
      <c r="D196" s="138">
        <v>1300000</v>
      </c>
      <c r="E196" s="20" t="s">
        <v>360</v>
      </c>
      <c r="F196" s="20" t="s">
        <v>361</v>
      </c>
      <c r="G196" s="8" t="str">
        <f t="shared" si="6"/>
        <v>LEVIN SCOTT</v>
      </c>
      <c r="H196" s="20" t="str">
        <f t="shared" si="7"/>
        <v>4012</v>
      </c>
    </row>
    <row r="197" spans="1:8" x14ac:dyDescent="0.25">
      <c r="A197" s="8">
        <v>43049.807928240742</v>
      </c>
      <c r="B197" s="20" t="s">
        <v>498</v>
      </c>
      <c r="C197" s="20" t="s">
        <v>849</v>
      </c>
      <c r="D197" s="138">
        <v>2440000</v>
      </c>
      <c r="E197" s="20" t="s">
        <v>509</v>
      </c>
      <c r="F197" s="20" t="s">
        <v>510</v>
      </c>
      <c r="G197" s="8" t="str">
        <f t="shared" si="6"/>
        <v>LOPES KIMBERLY</v>
      </c>
      <c r="H197" s="20" t="str">
        <f t="shared" si="7"/>
        <v>4052</v>
      </c>
    </row>
    <row r="198" spans="1:8" x14ac:dyDescent="0.25">
      <c r="A198" s="8">
        <v>43049.810347222221</v>
      </c>
      <c r="B198" s="20" t="s">
        <v>363</v>
      </c>
      <c r="C198" s="20" t="s">
        <v>850</v>
      </c>
      <c r="D198" s="138">
        <v>2350000</v>
      </c>
      <c r="E198" s="20" t="s">
        <v>506</v>
      </c>
      <c r="F198" s="20" t="s">
        <v>507</v>
      </c>
      <c r="G198" s="8" t="str">
        <f t="shared" si="6"/>
        <v>BERLING GARY</v>
      </c>
      <c r="H198" s="20" t="str">
        <f t="shared" si="7"/>
        <v>4007</v>
      </c>
    </row>
    <row r="199" spans="1:8" x14ac:dyDescent="0.25">
      <c r="A199" s="8">
        <v>43049.81759259259</v>
      </c>
      <c r="B199" s="20" t="s">
        <v>685</v>
      </c>
      <c r="C199" s="20" t="s">
        <v>851</v>
      </c>
      <c r="D199" s="138">
        <v>2420000</v>
      </c>
      <c r="E199" s="20" t="s">
        <v>787</v>
      </c>
      <c r="F199" s="20" t="s">
        <v>788</v>
      </c>
      <c r="G199" s="8" t="str">
        <f t="shared" si="6"/>
        <v>HOLCOMB KAMDEN</v>
      </c>
      <c r="H199" s="20" t="str">
        <f t="shared" si="7"/>
        <v>4042</v>
      </c>
    </row>
    <row r="200" spans="1:8" x14ac:dyDescent="0.25">
      <c r="A200" s="8">
        <v>43049.8283912037</v>
      </c>
      <c r="B200" s="20" t="s">
        <v>463</v>
      </c>
      <c r="C200" s="20" t="s">
        <v>852</v>
      </c>
      <c r="D200" s="138">
        <v>3700000</v>
      </c>
      <c r="E200" s="20" t="s">
        <v>469</v>
      </c>
      <c r="F200" s="20" t="s">
        <v>371</v>
      </c>
      <c r="G200" s="8" t="str">
        <f t="shared" si="6"/>
        <v>AUSTIN THOMPSON</v>
      </c>
      <c r="H200" s="20" t="str">
        <f t="shared" si="7"/>
        <v>4049</v>
      </c>
    </row>
    <row r="201" spans="1:8" x14ac:dyDescent="0.25">
      <c r="A201" s="8">
        <v>43049.829143518517</v>
      </c>
      <c r="B201" s="20" t="s">
        <v>359</v>
      </c>
      <c r="C201" s="20" t="s">
        <v>853</v>
      </c>
      <c r="D201" s="138">
        <v>3320000</v>
      </c>
      <c r="E201" s="20" t="s">
        <v>365</v>
      </c>
      <c r="F201" s="20" t="s">
        <v>366</v>
      </c>
      <c r="G201" s="8" t="str">
        <f t="shared" si="6"/>
        <v>NICHOLSON WESLEY</v>
      </c>
      <c r="H201" s="20" t="str">
        <f t="shared" si="7"/>
        <v>4060</v>
      </c>
    </row>
    <row r="202" spans="1:8" x14ac:dyDescent="0.25">
      <c r="A202" s="26">
        <v>43049.836168981485</v>
      </c>
      <c r="B202" s="20" t="s">
        <v>358</v>
      </c>
      <c r="C202" s="20" t="s">
        <v>854</v>
      </c>
      <c r="D202" s="138">
        <v>3130000</v>
      </c>
      <c r="E202" s="20" t="s">
        <v>481</v>
      </c>
      <c r="F202" s="20" t="s">
        <v>482</v>
      </c>
      <c r="G202" s="8" t="str">
        <f t="shared" si="6"/>
        <v>ZEWDU DEREJE</v>
      </c>
      <c r="H202" s="20" t="str">
        <f t="shared" si="7"/>
        <v>4008</v>
      </c>
    </row>
    <row r="203" spans="1:8" x14ac:dyDescent="0.25">
      <c r="A203" s="8">
        <v>43049.837523148148</v>
      </c>
      <c r="B203" s="20" t="s">
        <v>508</v>
      </c>
      <c r="C203" s="20" t="s">
        <v>855</v>
      </c>
      <c r="D203" s="138">
        <v>3340000</v>
      </c>
      <c r="E203" s="20" t="s">
        <v>584</v>
      </c>
      <c r="F203" s="20" t="s">
        <v>585</v>
      </c>
      <c r="G203" s="8" t="str">
        <f t="shared" si="6"/>
        <v>ELBAUM MIKE</v>
      </c>
      <c r="H203" s="20" t="str">
        <f t="shared" si="7"/>
        <v>4016</v>
      </c>
    </row>
    <row r="204" spans="1:8" x14ac:dyDescent="0.25">
      <c r="A204" s="8">
        <v>43049.844270833331</v>
      </c>
      <c r="B204" s="20" t="s">
        <v>503</v>
      </c>
      <c r="C204" s="20" t="s">
        <v>856</v>
      </c>
      <c r="D204" s="138">
        <v>2440000</v>
      </c>
      <c r="E204" s="20" t="s">
        <v>509</v>
      </c>
      <c r="F204" s="20" t="s">
        <v>510</v>
      </c>
      <c r="G204" s="8" t="str">
        <f t="shared" si="6"/>
        <v>LOPES KIMBERLY</v>
      </c>
      <c r="H204" s="20" t="str">
        <f t="shared" si="7"/>
        <v>4051</v>
      </c>
    </row>
    <row r="205" spans="1:8" x14ac:dyDescent="0.25">
      <c r="A205" s="8">
        <v>43049.854166666664</v>
      </c>
      <c r="B205" s="20" t="s">
        <v>363</v>
      </c>
      <c r="C205" s="20" t="s">
        <v>857</v>
      </c>
      <c r="D205" s="138">
        <v>3130000</v>
      </c>
      <c r="E205" s="20" t="s">
        <v>481</v>
      </c>
      <c r="F205" s="20" t="s">
        <v>482</v>
      </c>
      <c r="G205" s="8" t="str">
        <f t="shared" si="6"/>
        <v>ZEWDU DEREJE</v>
      </c>
      <c r="H205" s="20" t="str">
        <f t="shared" si="7"/>
        <v>4007</v>
      </c>
    </row>
    <row r="206" spans="1:8" x14ac:dyDescent="0.25">
      <c r="A206" s="8">
        <v>43049.861990740741</v>
      </c>
      <c r="B206" s="20" t="s">
        <v>464</v>
      </c>
      <c r="C206" s="20" t="s">
        <v>858</v>
      </c>
      <c r="D206" s="138">
        <v>3700000</v>
      </c>
      <c r="E206" s="20" t="s">
        <v>469</v>
      </c>
      <c r="F206" s="20" t="s">
        <v>371</v>
      </c>
      <c r="G206" s="8" t="str">
        <f t="shared" si="6"/>
        <v>AUSTIN THOMPSON</v>
      </c>
      <c r="H206" s="20" t="str">
        <f t="shared" si="7"/>
        <v>4050</v>
      </c>
    </row>
    <row r="207" spans="1:8" x14ac:dyDescent="0.25">
      <c r="A207" s="8">
        <v>43049.867002314815</v>
      </c>
      <c r="B207" s="20" t="s">
        <v>392</v>
      </c>
      <c r="C207" s="20" t="s">
        <v>859</v>
      </c>
      <c r="D207" s="138">
        <v>3320000</v>
      </c>
      <c r="E207" s="20" t="s">
        <v>365</v>
      </c>
      <c r="F207" s="20" t="s">
        <v>366</v>
      </c>
      <c r="G207" s="8" t="str">
        <f t="shared" si="6"/>
        <v>NICHOLSON WESLEY</v>
      </c>
      <c r="H207" s="20" t="str">
        <f t="shared" si="7"/>
        <v>4059</v>
      </c>
    </row>
    <row r="208" spans="1:8" x14ac:dyDescent="0.25">
      <c r="A208" s="8">
        <v>43049.876377314817</v>
      </c>
      <c r="B208" s="20" t="s">
        <v>358</v>
      </c>
      <c r="C208" s="20" t="s">
        <v>860</v>
      </c>
      <c r="D208" s="138">
        <v>2230000</v>
      </c>
      <c r="E208" s="20" t="s">
        <v>395</v>
      </c>
      <c r="F208" s="20" t="s">
        <v>354</v>
      </c>
      <c r="G208" s="8" t="str">
        <f t="shared" si="6"/>
        <v>SMITH MICHAEL</v>
      </c>
      <c r="H208" s="20" t="str">
        <f t="shared" si="7"/>
        <v>4008</v>
      </c>
    </row>
    <row r="209" spans="1:8" x14ac:dyDescent="0.25">
      <c r="A209" s="8">
        <v>43049.880752314813</v>
      </c>
      <c r="B209" s="20" t="s">
        <v>575</v>
      </c>
      <c r="C209" s="20" t="s">
        <v>861</v>
      </c>
      <c r="D209" s="138">
        <v>3340000</v>
      </c>
      <c r="E209" s="20" t="s">
        <v>584</v>
      </c>
      <c r="F209" s="20" t="s">
        <v>585</v>
      </c>
      <c r="G209" s="8" t="str">
        <f t="shared" si="6"/>
        <v>ELBAUM MIKE</v>
      </c>
      <c r="H209" s="20" t="str">
        <f t="shared" si="7"/>
        <v>4015</v>
      </c>
    </row>
    <row r="210" spans="1:8" x14ac:dyDescent="0.25">
      <c r="A210" s="8">
        <v>43049.888715277775</v>
      </c>
      <c r="B210" s="20" t="s">
        <v>498</v>
      </c>
      <c r="C210" s="20" t="s">
        <v>862</v>
      </c>
      <c r="D210" s="138">
        <v>2440000</v>
      </c>
      <c r="E210" s="20" t="s">
        <v>509</v>
      </c>
      <c r="F210" s="20" t="s">
        <v>510</v>
      </c>
      <c r="G210" s="8" t="str">
        <f t="shared" si="6"/>
        <v>LOPES KIMBERLY</v>
      </c>
      <c r="H210" s="20" t="str">
        <f t="shared" si="7"/>
        <v>4052</v>
      </c>
    </row>
    <row r="211" spans="1:8" x14ac:dyDescent="0.25">
      <c r="A211" s="8">
        <v>43049.894166666665</v>
      </c>
      <c r="B211" s="20" t="s">
        <v>363</v>
      </c>
      <c r="C211" s="20" t="s">
        <v>863</v>
      </c>
      <c r="D211" s="138">
        <v>2230000</v>
      </c>
      <c r="E211" s="20" t="s">
        <v>395</v>
      </c>
      <c r="F211" s="20" t="s">
        <v>354</v>
      </c>
      <c r="G211" s="8" t="str">
        <f t="shared" si="6"/>
        <v>SMITH MICHAEL</v>
      </c>
      <c r="H211" s="20" t="str">
        <f t="shared" si="7"/>
        <v>4007</v>
      </c>
    </row>
    <row r="212" spans="1:8" x14ac:dyDescent="0.25">
      <c r="A212" s="8">
        <v>43049.903240740743</v>
      </c>
      <c r="B212" s="20" t="s">
        <v>359</v>
      </c>
      <c r="C212" s="20" t="s">
        <v>864</v>
      </c>
      <c r="D212" s="138">
        <v>3320000</v>
      </c>
      <c r="E212" s="20" t="s">
        <v>365</v>
      </c>
      <c r="F212" s="20" t="s">
        <v>366</v>
      </c>
      <c r="G212" s="8" t="str">
        <f t="shared" si="6"/>
        <v>NICHOLSON WESLEY</v>
      </c>
      <c r="H212" s="20" t="str">
        <f t="shared" si="7"/>
        <v>4060</v>
      </c>
    </row>
    <row r="213" spans="1:8" x14ac:dyDescent="0.25">
      <c r="A213" s="8">
        <v>43049.913425925923</v>
      </c>
      <c r="B213" s="20" t="s">
        <v>463</v>
      </c>
      <c r="C213" s="20" t="s">
        <v>654</v>
      </c>
      <c r="D213" s="138">
        <v>3700000</v>
      </c>
      <c r="E213" s="20" t="s">
        <v>469</v>
      </c>
      <c r="F213" s="20" t="s">
        <v>371</v>
      </c>
      <c r="G213" s="8" t="str">
        <f t="shared" si="6"/>
        <v>AUSTIN THOMPSON</v>
      </c>
      <c r="H213" s="20" t="str">
        <f t="shared" si="7"/>
        <v>4049</v>
      </c>
    </row>
    <row r="214" spans="1:8" x14ac:dyDescent="0.25">
      <c r="A214" s="8">
        <v>43049.915821759256</v>
      </c>
      <c r="B214" s="20" t="s">
        <v>358</v>
      </c>
      <c r="C214" s="20" t="s">
        <v>865</v>
      </c>
      <c r="D214" s="138">
        <v>2230000</v>
      </c>
      <c r="E214" s="20" t="s">
        <v>395</v>
      </c>
      <c r="F214" s="20" t="s">
        <v>354</v>
      </c>
      <c r="G214" s="8" t="str">
        <f t="shared" si="6"/>
        <v>SMITH MICHAEL</v>
      </c>
      <c r="H214" s="20" t="str">
        <f t="shared" si="7"/>
        <v>4008</v>
      </c>
    </row>
    <row r="215" spans="1:8" x14ac:dyDescent="0.25">
      <c r="A215" s="8">
        <v>43049.921018518522</v>
      </c>
      <c r="B215" s="20" t="s">
        <v>508</v>
      </c>
      <c r="C215" s="20" t="s">
        <v>866</v>
      </c>
      <c r="D215" s="138">
        <v>3340000</v>
      </c>
      <c r="E215" s="20" t="s">
        <v>584</v>
      </c>
      <c r="F215" s="20" t="s">
        <v>585</v>
      </c>
      <c r="G215" s="8" t="str">
        <f t="shared" si="6"/>
        <v>ELBAUM MIKE</v>
      </c>
      <c r="H215" s="20" t="str">
        <f t="shared" si="7"/>
        <v>4016</v>
      </c>
    </row>
    <row r="216" spans="1:8" x14ac:dyDescent="0.25">
      <c r="A216" s="8">
        <v>43049.927777777775</v>
      </c>
      <c r="B216" s="20" t="s">
        <v>503</v>
      </c>
      <c r="C216" s="20" t="s">
        <v>867</v>
      </c>
      <c r="D216" s="138">
        <v>2440000</v>
      </c>
      <c r="E216" s="20" t="s">
        <v>509</v>
      </c>
      <c r="F216" s="20" t="s">
        <v>510</v>
      </c>
      <c r="G216" s="8" t="str">
        <f t="shared" si="6"/>
        <v>LOPES KIMBERLY</v>
      </c>
      <c r="H216" s="20" t="str">
        <f t="shared" si="7"/>
        <v>4051</v>
      </c>
    </row>
    <row r="217" spans="1:8" x14ac:dyDescent="0.25">
      <c r="A217" s="8">
        <v>43049.935428240744</v>
      </c>
      <c r="B217" s="20" t="s">
        <v>363</v>
      </c>
      <c r="C217" s="20" t="s">
        <v>868</v>
      </c>
      <c r="D217" s="138">
        <v>2230000</v>
      </c>
      <c r="E217" s="20" t="s">
        <v>395</v>
      </c>
      <c r="F217" s="20" t="s">
        <v>354</v>
      </c>
      <c r="G217" s="8" t="str">
        <f t="shared" si="6"/>
        <v>SMITH MICHAEL</v>
      </c>
      <c r="H217" s="20" t="str">
        <f t="shared" si="7"/>
        <v>4007</v>
      </c>
    </row>
    <row r="218" spans="1:8" x14ac:dyDescent="0.25">
      <c r="A218" s="8">
        <v>43049.95171296296</v>
      </c>
      <c r="B218" s="20" t="s">
        <v>392</v>
      </c>
      <c r="C218" s="20" t="s">
        <v>869</v>
      </c>
      <c r="D218" s="138">
        <v>3320000</v>
      </c>
      <c r="E218" s="20" t="s">
        <v>365</v>
      </c>
      <c r="F218" s="20" t="s">
        <v>366</v>
      </c>
      <c r="G218" s="8" t="str">
        <f t="shared" si="6"/>
        <v>NICHOLSON WESLEY</v>
      </c>
      <c r="H218" s="20" t="str">
        <f t="shared" si="7"/>
        <v>4059</v>
      </c>
    </row>
    <row r="219" spans="1:8" x14ac:dyDescent="0.25">
      <c r="A219" s="8">
        <v>43049.954907407409</v>
      </c>
      <c r="B219" s="20" t="s">
        <v>464</v>
      </c>
      <c r="C219" s="20" t="s">
        <v>870</v>
      </c>
      <c r="D219" s="138">
        <v>3700000</v>
      </c>
      <c r="E219" s="20" t="s">
        <v>469</v>
      </c>
      <c r="F219" s="20" t="s">
        <v>371</v>
      </c>
      <c r="G219" s="8" t="str">
        <f t="shared" si="6"/>
        <v>AUSTIN THOMPSON</v>
      </c>
      <c r="H219" s="20" t="str">
        <f t="shared" si="7"/>
        <v>4050</v>
      </c>
    </row>
    <row r="220" spans="1:8" x14ac:dyDescent="0.25">
      <c r="A220" s="8">
        <v>43049.958101851851</v>
      </c>
      <c r="B220" s="20" t="s">
        <v>358</v>
      </c>
      <c r="C220" s="20" t="s">
        <v>871</v>
      </c>
      <c r="D220" s="138">
        <v>2230000</v>
      </c>
      <c r="E220" s="20" t="s">
        <v>395</v>
      </c>
      <c r="F220" s="20" t="s">
        <v>354</v>
      </c>
      <c r="G220" s="8" t="str">
        <f t="shared" si="6"/>
        <v>SMITH MICHAEL</v>
      </c>
      <c r="H220" s="20" t="str">
        <f t="shared" si="7"/>
        <v>4008</v>
      </c>
    </row>
    <row r="221" spans="1:8" x14ac:dyDescent="0.25">
      <c r="A221" s="8">
        <v>43049.965624999997</v>
      </c>
      <c r="B221" s="20" t="s">
        <v>575</v>
      </c>
      <c r="C221" s="20" t="s">
        <v>655</v>
      </c>
      <c r="D221" s="138">
        <v>3340000</v>
      </c>
      <c r="E221" s="20" t="s">
        <v>584</v>
      </c>
      <c r="F221" s="20" t="s">
        <v>585</v>
      </c>
      <c r="G221" s="8" t="str">
        <f t="shared" si="6"/>
        <v>ELBAUM MIKE</v>
      </c>
      <c r="H221" s="20" t="str">
        <f t="shared" si="7"/>
        <v>4015</v>
      </c>
    </row>
    <row r="222" spans="1:8" x14ac:dyDescent="0.25">
      <c r="A222" s="8">
        <v>43049.966990740744</v>
      </c>
      <c r="B222" s="20" t="s">
        <v>498</v>
      </c>
      <c r="C222" s="20" t="s">
        <v>872</v>
      </c>
      <c r="D222" s="138">
        <v>2540000</v>
      </c>
      <c r="E222" s="20" t="s">
        <v>523</v>
      </c>
      <c r="F222" s="20" t="s">
        <v>524</v>
      </c>
      <c r="G222" s="8" t="str">
        <f t="shared" si="6"/>
        <v>MCREYNOLDS KYLE</v>
      </c>
      <c r="H222" s="20" t="str">
        <f t="shared" si="7"/>
        <v>4052</v>
      </c>
    </row>
    <row r="223" spans="1:8" x14ac:dyDescent="0.25">
      <c r="A223" s="8">
        <v>43049.977222222224</v>
      </c>
      <c r="B223" s="20" t="s">
        <v>363</v>
      </c>
      <c r="C223" s="20" t="s">
        <v>873</v>
      </c>
      <c r="D223" s="138">
        <v>2230000</v>
      </c>
      <c r="E223" s="20" t="s">
        <v>395</v>
      </c>
      <c r="F223" s="20" t="s">
        <v>354</v>
      </c>
      <c r="G223" s="8" t="str">
        <f t="shared" si="6"/>
        <v>SMITH MICHAEL</v>
      </c>
      <c r="H223" s="20" t="str">
        <f t="shared" si="7"/>
        <v>4007</v>
      </c>
    </row>
    <row r="224" spans="1:8" x14ac:dyDescent="0.25">
      <c r="A224" s="8">
        <v>43049.989432870374</v>
      </c>
      <c r="B224" t="s">
        <v>359</v>
      </c>
      <c r="C224" t="s">
        <v>874</v>
      </c>
      <c r="D224" s="138">
        <v>3320000</v>
      </c>
      <c r="E224" t="s">
        <v>365</v>
      </c>
      <c r="F224" s="20" t="s">
        <v>366</v>
      </c>
      <c r="G224" s="8" t="str">
        <f t="shared" si="6"/>
        <v>NICHOLSON WESLEY</v>
      </c>
      <c r="H224" s="20" t="str">
        <f t="shared" si="7"/>
        <v>4060</v>
      </c>
    </row>
    <row r="225" spans="1:8" x14ac:dyDescent="0.25">
      <c r="A225" s="8">
        <v>43049.994340277779</v>
      </c>
      <c r="B225" t="s">
        <v>463</v>
      </c>
      <c r="C225" t="s">
        <v>875</v>
      </c>
      <c r="D225" s="138">
        <v>3700000</v>
      </c>
      <c r="E225" t="s">
        <v>469</v>
      </c>
      <c r="F225" s="20" t="s">
        <v>371</v>
      </c>
      <c r="G225" s="8" t="str">
        <f t="shared" si="6"/>
        <v>AUSTIN THOMPSON</v>
      </c>
      <c r="H225" s="20" t="str">
        <f t="shared" si="7"/>
        <v>4049</v>
      </c>
    </row>
    <row r="226" spans="1:8" x14ac:dyDescent="0.25">
      <c r="A226" s="8">
        <v>43050.009872685187</v>
      </c>
      <c r="B226" t="s">
        <v>503</v>
      </c>
      <c r="C226" t="s">
        <v>876</v>
      </c>
      <c r="D226" s="138">
        <v>2540000</v>
      </c>
      <c r="E226" t="s">
        <v>523</v>
      </c>
      <c r="F226" s="20" t="s">
        <v>524</v>
      </c>
      <c r="G226" s="8" t="str">
        <f t="shared" si="6"/>
        <v>MCREYNOLDS KYLE</v>
      </c>
      <c r="H226" s="20" t="str">
        <f t="shared" si="7"/>
        <v>4051</v>
      </c>
    </row>
    <row r="227" spans="1:8" x14ac:dyDescent="0.25">
      <c r="A227" s="8">
        <v>43050.017129629632</v>
      </c>
      <c r="B227" t="s">
        <v>508</v>
      </c>
      <c r="C227" t="s">
        <v>877</v>
      </c>
      <c r="D227" s="138">
        <v>3340000</v>
      </c>
      <c r="E227" t="s">
        <v>584</v>
      </c>
      <c r="F227" s="20" t="s">
        <v>585</v>
      </c>
      <c r="G227" s="8" t="str">
        <f t="shared" si="6"/>
        <v>ELBAUM MIKE</v>
      </c>
      <c r="H227" s="20" t="str">
        <f t="shared" si="7"/>
        <v>4016</v>
      </c>
    </row>
    <row r="228" spans="1:8" x14ac:dyDescent="0.25">
      <c r="A228" s="8">
        <v>43050.028981481482</v>
      </c>
      <c r="B228" t="s">
        <v>464</v>
      </c>
      <c r="C228" t="s">
        <v>878</v>
      </c>
      <c r="D228" s="138">
        <v>3700000</v>
      </c>
      <c r="E228" t="s">
        <v>469</v>
      </c>
      <c r="F228" s="20" t="s">
        <v>371</v>
      </c>
      <c r="G228" s="8" t="str">
        <f t="shared" si="6"/>
        <v>AUSTIN THOMPSON</v>
      </c>
      <c r="H228" s="20" t="str">
        <f t="shared" si="7"/>
        <v>4050</v>
      </c>
    </row>
    <row r="229" spans="1:8" x14ac:dyDescent="0.25">
      <c r="A229" s="8">
        <v>43050.036400462966</v>
      </c>
      <c r="B229" t="s">
        <v>392</v>
      </c>
      <c r="C229" t="s">
        <v>879</v>
      </c>
      <c r="D229" s="138">
        <v>3320000</v>
      </c>
      <c r="E229" t="s">
        <v>365</v>
      </c>
      <c r="F229" s="20" t="s">
        <v>366</v>
      </c>
      <c r="G229" s="8" t="str">
        <f t="shared" si="6"/>
        <v>NICHOLSON WESLEY</v>
      </c>
      <c r="H229" s="20" t="str">
        <f t="shared" si="7"/>
        <v>4059</v>
      </c>
    </row>
    <row r="230" spans="1:8" x14ac:dyDescent="0.25">
      <c r="A230" s="8">
        <v>43050.044930555552</v>
      </c>
      <c r="B230" t="s">
        <v>498</v>
      </c>
      <c r="C230" t="s">
        <v>880</v>
      </c>
      <c r="D230" s="138">
        <v>2540000</v>
      </c>
      <c r="E230" t="s">
        <v>523</v>
      </c>
      <c r="F230" s="20" t="s">
        <v>524</v>
      </c>
      <c r="G230" s="8" t="str">
        <f t="shared" si="6"/>
        <v>MCREYNOLDS KYLE</v>
      </c>
      <c r="H230" s="20" t="str">
        <f t="shared" si="7"/>
        <v>4052</v>
      </c>
    </row>
    <row r="231" spans="1:8" x14ac:dyDescent="0.25">
      <c r="A231" s="8">
        <v>43050.046331018515</v>
      </c>
      <c r="B231" t="s">
        <v>575</v>
      </c>
      <c r="C231" t="s">
        <v>881</v>
      </c>
      <c r="D231" s="138">
        <v>3340000</v>
      </c>
      <c r="E231" t="s">
        <v>584</v>
      </c>
      <c r="F231" s="20" t="s">
        <v>585</v>
      </c>
      <c r="G231" s="8" t="str">
        <f t="shared" si="6"/>
        <v>ELBAUM MIKE</v>
      </c>
      <c r="H231" s="20" t="str">
        <f t="shared" si="7"/>
        <v>4015</v>
      </c>
    </row>
    <row r="232" spans="1:8" x14ac:dyDescent="0.25">
      <c r="A232" s="8">
        <v>43050.069918981484</v>
      </c>
      <c r="B232" t="s">
        <v>359</v>
      </c>
      <c r="C232" t="s">
        <v>882</v>
      </c>
      <c r="D232" s="138">
        <v>3320000</v>
      </c>
      <c r="E232" t="s">
        <v>365</v>
      </c>
      <c r="F232" s="20" t="s">
        <v>366</v>
      </c>
      <c r="G232" s="8" t="str">
        <f t="shared" si="6"/>
        <v>NICHOLSON WESLEY</v>
      </c>
      <c r="H232" s="20" t="str">
        <f t="shared" si="7"/>
        <v>4060</v>
      </c>
    </row>
    <row r="233" spans="1:8" x14ac:dyDescent="0.25">
      <c r="A233" s="8">
        <v>43050.073553240742</v>
      </c>
      <c r="B233" t="s">
        <v>463</v>
      </c>
      <c r="C233" t="s">
        <v>883</v>
      </c>
      <c r="D233" s="138">
        <v>3700000</v>
      </c>
      <c r="E233" t="s">
        <v>469</v>
      </c>
      <c r="F233" s="20" t="s">
        <v>371</v>
      </c>
      <c r="G233" s="8" t="str">
        <f t="shared" si="6"/>
        <v>AUSTIN THOMPSON</v>
      </c>
      <c r="H233" s="20" t="str">
        <f t="shared" si="7"/>
        <v>4049</v>
      </c>
    </row>
    <row r="234" spans="1:8" x14ac:dyDescent="0.25">
      <c r="A234" s="8">
        <v>43050.087048611109</v>
      </c>
      <c r="B234" t="s">
        <v>508</v>
      </c>
      <c r="C234" t="s">
        <v>884</v>
      </c>
      <c r="D234" s="138">
        <v>3340000</v>
      </c>
      <c r="E234" t="s">
        <v>584</v>
      </c>
      <c r="F234" s="20" t="s">
        <v>585</v>
      </c>
      <c r="G234" s="8" t="str">
        <f t="shared" si="6"/>
        <v>ELBAUM MIKE</v>
      </c>
      <c r="H234" s="20" t="str">
        <f t="shared" si="7"/>
        <v>4016</v>
      </c>
    </row>
    <row r="235" spans="1:8" x14ac:dyDescent="0.25">
      <c r="A235" s="8">
        <v>43050.112928240742</v>
      </c>
      <c r="B235" t="s">
        <v>464</v>
      </c>
      <c r="C235" t="s">
        <v>885</v>
      </c>
      <c r="D235" s="138">
        <v>3700000</v>
      </c>
      <c r="E235" t="s">
        <v>469</v>
      </c>
      <c r="F235" s="20" t="s">
        <v>371</v>
      </c>
      <c r="G235" s="8" t="str">
        <f t="shared" si="6"/>
        <v>AUSTIN THOMPSON</v>
      </c>
      <c r="H235" s="20" t="str">
        <f t="shared" si="7"/>
        <v>4050</v>
      </c>
    </row>
    <row r="236" spans="1:8" x14ac:dyDescent="0.25">
      <c r="A236" s="8">
        <v>43049.029722222222</v>
      </c>
      <c r="B236" t="s">
        <v>511</v>
      </c>
      <c r="C236" t="s">
        <v>570</v>
      </c>
      <c r="D236" s="138">
        <v>3340000</v>
      </c>
      <c r="E236" t="s">
        <v>584</v>
      </c>
      <c r="F236" s="20" t="s">
        <v>585</v>
      </c>
      <c r="G236" s="8" t="str">
        <f t="shared" si="6"/>
        <v>ELBAUM MIKE</v>
      </c>
      <c r="H236" s="20" t="str">
        <f t="shared" si="7"/>
        <v>4013</v>
      </c>
    </row>
    <row r="237" spans="1:8" x14ac:dyDescent="0.25">
      <c r="A237" s="8">
        <v>43049.051562499997</v>
      </c>
      <c r="B237" t="s">
        <v>386</v>
      </c>
      <c r="C237" t="s">
        <v>586</v>
      </c>
      <c r="D237" s="138">
        <v>890000</v>
      </c>
      <c r="E237" t="s">
        <v>345</v>
      </c>
      <c r="F237" s="20" t="s">
        <v>346</v>
      </c>
      <c r="G237" s="8" t="str">
        <f t="shared" si="6"/>
        <v>LOZA FIDEL</v>
      </c>
      <c r="H237" s="20" t="str">
        <f t="shared" si="7"/>
        <v>4022</v>
      </c>
    </row>
    <row r="238" spans="1:8" x14ac:dyDescent="0.25">
      <c r="A238" s="8">
        <v>43049.054942129631</v>
      </c>
      <c r="B238" t="s">
        <v>500</v>
      </c>
      <c r="C238" t="s">
        <v>587</v>
      </c>
      <c r="D238" s="138">
        <v>3320000</v>
      </c>
      <c r="E238" t="s">
        <v>365</v>
      </c>
      <c r="F238" s="20" t="s">
        <v>366</v>
      </c>
      <c r="G238" s="8" t="str">
        <f t="shared" si="6"/>
        <v>NICHOLSON WESLEY</v>
      </c>
      <c r="H238" s="20" t="str">
        <f t="shared" si="7"/>
        <v>4023</v>
      </c>
    </row>
    <row r="239" spans="1:8" x14ac:dyDescent="0.25">
      <c r="A239" s="8">
        <v>43049.069097222222</v>
      </c>
      <c r="B239" t="s">
        <v>583</v>
      </c>
      <c r="C239" t="s">
        <v>588</v>
      </c>
      <c r="D239" s="138">
        <v>3340000</v>
      </c>
      <c r="E239" t="s">
        <v>584</v>
      </c>
      <c r="F239" s="20" t="s">
        <v>585</v>
      </c>
      <c r="G239" s="8" t="str">
        <f t="shared" si="6"/>
        <v>ELBAUM MIKE</v>
      </c>
      <c r="H239" s="20" t="str">
        <f t="shared" si="7"/>
        <v>4014</v>
      </c>
    </row>
    <row r="240" spans="1:8" x14ac:dyDescent="0.25">
      <c r="A240" s="8">
        <v>43049.091874999998</v>
      </c>
      <c r="B240" t="s">
        <v>499</v>
      </c>
      <c r="C240" t="s">
        <v>589</v>
      </c>
      <c r="D240" s="138">
        <v>3320000</v>
      </c>
      <c r="E240" t="s">
        <v>365</v>
      </c>
      <c r="F240" s="20" t="s">
        <v>366</v>
      </c>
      <c r="G240" s="8" t="str">
        <f t="shared" si="6"/>
        <v>NICHOLSON WESLEY</v>
      </c>
      <c r="H240" s="20" t="str">
        <f t="shared" si="7"/>
        <v>4024</v>
      </c>
    </row>
    <row r="241" spans="1:8" x14ac:dyDescent="0.25">
      <c r="A241" s="8">
        <v>43047.88925925926</v>
      </c>
      <c r="B241" t="s">
        <v>392</v>
      </c>
      <c r="C241" t="s">
        <v>512</v>
      </c>
      <c r="D241" s="138">
        <v>3700000</v>
      </c>
      <c r="E241" t="s">
        <v>469</v>
      </c>
      <c r="F241" s="20" t="s">
        <v>371</v>
      </c>
      <c r="G241" s="8" t="str">
        <f t="shared" si="6"/>
        <v>AUSTIN THOMPSON</v>
      </c>
      <c r="H241" s="20" t="str">
        <f t="shared" si="7"/>
        <v>4059</v>
      </c>
    </row>
    <row r="242" spans="1:8" x14ac:dyDescent="0.25">
      <c r="A242" s="8">
        <v>43047.90247685185</v>
      </c>
      <c r="B242" t="s">
        <v>500</v>
      </c>
      <c r="C242" t="s">
        <v>513</v>
      </c>
      <c r="D242" s="138">
        <v>3220000</v>
      </c>
      <c r="E242" t="s">
        <v>380</v>
      </c>
      <c r="F242" s="20" t="s">
        <v>381</v>
      </c>
      <c r="G242" s="8" t="str">
        <f t="shared" si="6"/>
        <v>RESPASS AARON</v>
      </c>
      <c r="H242" s="20" t="str">
        <f t="shared" si="7"/>
        <v>4023</v>
      </c>
    </row>
    <row r="243" spans="1:8" x14ac:dyDescent="0.25">
      <c r="A243" s="8">
        <v>43047.908275462964</v>
      </c>
      <c r="B243" t="s">
        <v>456</v>
      </c>
      <c r="C243" t="s">
        <v>514</v>
      </c>
      <c r="D243" s="138">
        <v>3320000</v>
      </c>
      <c r="E243" t="s">
        <v>365</v>
      </c>
      <c r="F243" s="20" t="s">
        <v>366</v>
      </c>
      <c r="G243" s="8" t="str">
        <f t="shared" si="6"/>
        <v>NICHOLSON WESLEY</v>
      </c>
      <c r="H243" s="20" t="str">
        <f t="shared" si="7"/>
        <v>4009</v>
      </c>
    </row>
    <row r="244" spans="1:8" x14ac:dyDescent="0.25">
      <c r="A244" s="8">
        <v>43047.910208333335</v>
      </c>
      <c r="B244" t="s">
        <v>498</v>
      </c>
      <c r="C244" t="s">
        <v>515</v>
      </c>
      <c r="D244" s="138">
        <v>890000</v>
      </c>
      <c r="E244" t="s">
        <v>345</v>
      </c>
      <c r="F244" s="20" t="s">
        <v>346</v>
      </c>
      <c r="G244" s="8" t="str">
        <f t="shared" si="6"/>
        <v>LOZA FIDEL</v>
      </c>
      <c r="H244" s="20" t="str">
        <f t="shared" si="7"/>
        <v>4052</v>
      </c>
    </row>
    <row r="245" spans="1:8" x14ac:dyDescent="0.25">
      <c r="A245" s="8">
        <v>43047.91914351852</v>
      </c>
      <c r="B245" t="s">
        <v>499</v>
      </c>
      <c r="C245" t="s">
        <v>516</v>
      </c>
      <c r="D245" s="138">
        <v>3220000</v>
      </c>
      <c r="E245" t="s">
        <v>380</v>
      </c>
      <c r="F245" s="20" t="s">
        <v>381</v>
      </c>
      <c r="G245" s="8" t="str">
        <f t="shared" si="6"/>
        <v>RESPASS AARON</v>
      </c>
      <c r="H245" s="20" t="str">
        <f t="shared" si="7"/>
        <v>4024</v>
      </c>
    </row>
    <row r="246" spans="1:8" x14ac:dyDescent="0.25">
      <c r="A246" s="8">
        <v>43047.927418981482</v>
      </c>
      <c r="B246" t="s">
        <v>359</v>
      </c>
      <c r="C246" t="s">
        <v>501</v>
      </c>
      <c r="D246" s="138">
        <v>3700000</v>
      </c>
      <c r="E246" t="s">
        <v>469</v>
      </c>
      <c r="F246" s="20" t="s">
        <v>371</v>
      </c>
      <c r="G246" s="8" t="str">
        <f t="shared" si="6"/>
        <v>AUSTIN THOMPSON</v>
      </c>
      <c r="H246" s="20" t="str">
        <f t="shared" si="7"/>
        <v>4060</v>
      </c>
    </row>
    <row r="247" spans="1:8" x14ac:dyDescent="0.25">
      <c r="A247" s="8">
        <v>43047.929212962961</v>
      </c>
      <c r="B247" t="s">
        <v>463</v>
      </c>
      <c r="C247" t="s">
        <v>517</v>
      </c>
      <c r="D247" s="138">
        <v>2440000</v>
      </c>
      <c r="E247" t="s">
        <v>509</v>
      </c>
      <c r="F247" s="20" t="s">
        <v>510</v>
      </c>
      <c r="G247" s="8" t="str">
        <f t="shared" si="6"/>
        <v>LOPES KIMBERLY</v>
      </c>
      <c r="H247" s="20" t="str">
        <f t="shared" si="7"/>
        <v>4049</v>
      </c>
    </row>
    <row r="248" spans="1:8" x14ac:dyDescent="0.25">
      <c r="A248" s="8">
        <v>43047.936041666668</v>
      </c>
      <c r="B248" t="s">
        <v>500</v>
      </c>
      <c r="C248" t="s">
        <v>518</v>
      </c>
      <c r="D248" s="138">
        <v>3220000</v>
      </c>
      <c r="E248" t="s">
        <v>380</v>
      </c>
      <c r="F248" s="20" t="s">
        <v>381</v>
      </c>
      <c r="G248" s="8" t="str">
        <f t="shared" si="6"/>
        <v>RESPASS AARON</v>
      </c>
      <c r="H248" s="20" t="str">
        <f t="shared" si="7"/>
        <v>4023</v>
      </c>
    </row>
    <row r="249" spans="1:8" x14ac:dyDescent="0.25">
      <c r="A249" s="8">
        <v>43047.950833333336</v>
      </c>
      <c r="B249" t="s">
        <v>457</v>
      </c>
      <c r="C249" t="s">
        <v>519</v>
      </c>
      <c r="D249" s="138">
        <v>3320000</v>
      </c>
      <c r="E249" t="s">
        <v>365</v>
      </c>
      <c r="F249" s="20" t="s">
        <v>366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43047.952499999999</v>
      </c>
      <c r="B250" t="s">
        <v>503</v>
      </c>
      <c r="C250" t="s">
        <v>520</v>
      </c>
      <c r="D250" s="138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4051</v>
      </c>
    </row>
    <row r="251" spans="1:8" x14ac:dyDescent="0.25">
      <c r="A251" s="8">
        <v>43047.962326388886</v>
      </c>
      <c r="B251" t="s">
        <v>499</v>
      </c>
      <c r="C251" t="s">
        <v>521</v>
      </c>
      <c r="D251" s="138">
        <v>2000000</v>
      </c>
      <c r="E251" t="s">
        <v>396</v>
      </c>
      <c r="F251" s="20" t="s">
        <v>397</v>
      </c>
      <c r="G251" s="8" t="str">
        <f t="shared" si="6"/>
        <v>STAMBAUGH JAMES</v>
      </c>
      <c r="H251" s="20" t="str">
        <f t="shared" si="7"/>
        <v>4024</v>
      </c>
    </row>
    <row r="252" spans="1:8" x14ac:dyDescent="0.25">
      <c r="A252" s="8">
        <v>43047.972604166665</v>
      </c>
      <c r="B252" t="s">
        <v>464</v>
      </c>
      <c r="C252" t="s">
        <v>522</v>
      </c>
      <c r="D252" s="138">
        <v>2540000</v>
      </c>
      <c r="E252" t="s">
        <v>523</v>
      </c>
      <c r="F252" s="20" t="s">
        <v>524</v>
      </c>
      <c r="G252" s="8" t="str">
        <f t="shared" si="6"/>
        <v>MCREYNOLDS KYLE</v>
      </c>
      <c r="H252" s="20" t="str">
        <f t="shared" si="7"/>
        <v>4050</v>
      </c>
    </row>
    <row r="253" spans="1:8" x14ac:dyDescent="0.25">
      <c r="A253" s="8">
        <v>43047.974976851852</v>
      </c>
      <c r="B253" t="s">
        <v>392</v>
      </c>
      <c r="C253" t="s">
        <v>525</v>
      </c>
      <c r="D253" s="138">
        <v>3700000</v>
      </c>
      <c r="E253" t="s">
        <v>469</v>
      </c>
      <c r="F253" s="20" t="s">
        <v>371</v>
      </c>
      <c r="G253" s="8" t="str">
        <f t="shared" si="6"/>
        <v>AUSTIN THOMPSON</v>
      </c>
      <c r="H253" s="20" t="str">
        <f t="shared" si="7"/>
        <v>4059</v>
      </c>
    </row>
    <row r="254" spans="1:8" x14ac:dyDescent="0.25">
      <c r="A254" s="8">
        <v>43047.975590277776</v>
      </c>
      <c r="B254" t="s">
        <v>500</v>
      </c>
      <c r="C254" t="s">
        <v>526</v>
      </c>
      <c r="D254" s="138">
        <v>2000000</v>
      </c>
      <c r="E254" t="s">
        <v>396</v>
      </c>
      <c r="F254" s="20" t="s">
        <v>397</v>
      </c>
      <c r="G254" s="8" t="str">
        <f t="shared" si="6"/>
        <v>STAMBAUGH JAMES</v>
      </c>
      <c r="H254" s="20" t="str">
        <f t="shared" si="7"/>
        <v>4023</v>
      </c>
    </row>
    <row r="255" spans="1:8" x14ac:dyDescent="0.25">
      <c r="A255" s="8">
        <v>43047.989583333336</v>
      </c>
      <c r="B255" t="s">
        <v>498</v>
      </c>
      <c r="C255" t="s">
        <v>527</v>
      </c>
      <c r="D255" s="138">
        <v>890000</v>
      </c>
      <c r="E255" t="s">
        <v>345</v>
      </c>
      <c r="F255" s="20" t="s">
        <v>346</v>
      </c>
      <c r="G255" s="8" t="str">
        <f t="shared" si="6"/>
        <v>LOZA FIDEL</v>
      </c>
      <c r="H255" s="20" t="str">
        <f t="shared" si="7"/>
        <v>4052</v>
      </c>
    </row>
    <row r="256" spans="1:8" x14ac:dyDescent="0.25">
      <c r="A256" s="8">
        <v>43047.994467592594</v>
      </c>
      <c r="B256" t="s">
        <v>456</v>
      </c>
      <c r="C256" t="s">
        <v>528</v>
      </c>
      <c r="D256" s="138">
        <v>3320000</v>
      </c>
      <c r="E256" t="s">
        <v>365</v>
      </c>
      <c r="F256" s="20" t="s">
        <v>366</v>
      </c>
      <c r="G256" s="8" t="str">
        <f t="shared" si="6"/>
        <v>NICHOLSON WESLEY</v>
      </c>
      <c r="H256" s="20" t="str">
        <f t="shared" si="7"/>
        <v>4009</v>
      </c>
    </row>
    <row r="257" spans="1:8" x14ac:dyDescent="0.25">
      <c r="A257" s="8">
        <v>43048.013437499998</v>
      </c>
      <c r="B257" t="s">
        <v>463</v>
      </c>
      <c r="C257" t="s">
        <v>529</v>
      </c>
      <c r="D257" s="138">
        <v>2540000</v>
      </c>
      <c r="E257" t="s">
        <v>523</v>
      </c>
      <c r="F257" s="20" t="s">
        <v>524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359</v>
      </c>
      <c r="C258" t="s">
        <v>502</v>
      </c>
      <c r="D258" s="138">
        <v>3700000</v>
      </c>
      <c r="E258" t="s">
        <v>469</v>
      </c>
      <c r="F258" s="20" t="s">
        <v>371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457</v>
      </c>
      <c r="C259" t="s">
        <v>530</v>
      </c>
      <c r="D259" s="138">
        <v>3320000</v>
      </c>
      <c r="E259" t="s">
        <v>365</v>
      </c>
      <c r="F259" s="20" t="s">
        <v>366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503</v>
      </c>
      <c r="C260" t="s">
        <v>531</v>
      </c>
      <c r="D260" s="138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464</v>
      </c>
      <c r="C261" t="s">
        <v>532</v>
      </c>
      <c r="D261" s="138">
        <v>2440000</v>
      </c>
      <c r="E261" t="s">
        <v>509</v>
      </c>
      <c r="F261" s="20" t="s">
        <v>510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392</v>
      </c>
      <c r="C262" t="s">
        <v>533</v>
      </c>
      <c r="D262" s="138">
        <v>3700000</v>
      </c>
      <c r="E262" t="s">
        <v>469</v>
      </c>
      <c r="F262" s="20" t="s">
        <v>371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498</v>
      </c>
      <c r="C263" t="s">
        <v>534</v>
      </c>
      <c r="D263" s="138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359</v>
      </c>
      <c r="C264" t="s">
        <v>535</v>
      </c>
      <c r="D264" s="138">
        <v>3700000</v>
      </c>
      <c r="E264" t="s">
        <v>469</v>
      </c>
      <c r="F264" s="20" t="s">
        <v>371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388</v>
      </c>
      <c r="C265" t="s">
        <v>400</v>
      </c>
      <c r="D265" s="138">
        <v>3670000</v>
      </c>
      <c r="E265" t="s">
        <v>384</v>
      </c>
      <c r="F265" s="20" t="s">
        <v>370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362</v>
      </c>
      <c r="C266" t="s">
        <v>401</v>
      </c>
      <c r="D266" s="138">
        <v>2000000</v>
      </c>
      <c r="E266" t="s">
        <v>396</v>
      </c>
      <c r="F266" s="20" t="s">
        <v>397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386</v>
      </c>
      <c r="C267" t="s">
        <v>402</v>
      </c>
      <c r="D267" s="138">
        <v>1300000</v>
      </c>
      <c r="E267" t="s">
        <v>360</v>
      </c>
      <c r="F267" s="20" t="s">
        <v>361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392</v>
      </c>
      <c r="C268" t="s">
        <v>403</v>
      </c>
      <c r="D268" s="138">
        <v>2230000</v>
      </c>
      <c r="E268" t="s">
        <v>395</v>
      </c>
      <c r="F268" s="20" t="s">
        <v>354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364</v>
      </c>
      <c r="C269" t="s">
        <v>404</v>
      </c>
      <c r="D269" s="138">
        <v>2000000</v>
      </c>
      <c r="E269" t="s">
        <v>396</v>
      </c>
      <c r="F269" s="20" t="s">
        <v>397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358</v>
      </c>
      <c r="C270" t="s">
        <v>405</v>
      </c>
      <c r="D270" s="138">
        <v>3500000</v>
      </c>
      <c r="E270" t="s">
        <v>378</v>
      </c>
      <c r="F270" s="20" t="s">
        <v>379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373</v>
      </c>
      <c r="C271" t="s">
        <v>406</v>
      </c>
      <c r="D271" s="138">
        <v>3320000</v>
      </c>
      <c r="E271" t="s">
        <v>365</v>
      </c>
      <c r="F271" s="20" t="s">
        <v>366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385</v>
      </c>
      <c r="C272" t="s">
        <v>407</v>
      </c>
      <c r="D272" s="138">
        <v>2610000</v>
      </c>
      <c r="E272" t="s">
        <v>382</v>
      </c>
      <c r="F272" s="20" t="s">
        <v>383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393</v>
      </c>
      <c r="C273" t="s">
        <v>408</v>
      </c>
      <c r="D273" s="138">
        <v>2630000</v>
      </c>
      <c r="E273" t="s">
        <v>374</v>
      </c>
      <c r="F273" s="20" t="s">
        <v>375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394</v>
      </c>
      <c r="C274" t="s">
        <v>409</v>
      </c>
      <c r="D274" s="138">
        <v>3670000</v>
      </c>
      <c r="E274" t="s">
        <v>384</v>
      </c>
      <c r="F274" s="20" t="s">
        <v>370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369</v>
      </c>
      <c r="C275" t="s">
        <v>410</v>
      </c>
      <c r="D275" s="138">
        <v>2040000</v>
      </c>
      <c r="E275" t="s">
        <v>398</v>
      </c>
      <c r="F275" s="20" t="s">
        <v>399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387</v>
      </c>
      <c r="C276" t="s">
        <v>411</v>
      </c>
      <c r="D276" s="138">
        <v>2610000</v>
      </c>
      <c r="E276" t="s">
        <v>382</v>
      </c>
      <c r="F276" s="20" t="s">
        <v>383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359</v>
      </c>
      <c r="C277" t="s">
        <v>412</v>
      </c>
      <c r="D277" s="138">
        <v>2230000</v>
      </c>
      <c r="E277" t="s">
        <v>395</v>
      </c>
      <c r="F277" s="20" t="s">
        <v>354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363</v>
      </c>
      <c r="C278" t="s">
        <v>413</v>
      </c>
      <c r="D278" s="138">
        <v>3500000</v>
      </c>
      <c r="E278" t="s">
        <v>378</v>
      </c>
      <c r="F278" s="20" t="s">
        <v>379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385</v>
      </c>
      <c r="C279" t="s">
        <v>414</v>
      </c>
      <c r="D279" s="138">
        <v>2970000</v>
      </c>
      <c r="E279" t="s">
        <v>376</v>
      </c>
      <c r="F279" s="20" t="s">
        <v>377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372</v>
      </c>
      <c r="C280" t="s">
        <v>415</v>
      </c>
      <c r="D280" s="138">
        <v>3320000</v>
      </c>
      <c r="E280" t="s">
        <v>365</v>
      </c>
      <c r="F280" s="20" t="s">
        <v>366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388</v>
      </c>
      <c r="C281" t="s">
        <v>389</v>
      </c>
      <c r="D281" s="138">
        <v>3670000</v>
      </c>
      <c r="E281" t="s">
        <v>384</v>
      </c>
      <c r="F281" s="20" t="s">
        <v>370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387</v>
      </c>
      <c r="C282" t="s">
        <v>416</v>
      </c>
      <c r="D282" s="138">
        <v>2970000</v>
      </c>
      <c r="E282" t="s">
        <v>376</v>
      </c>
      <c r="F282" s="20" t="s">
        <v>377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368</v>
      </c>
      <c r="C283" t="s">
        <v>417</v>
      </c>
      <c r="D283" s="138">
        <v>2040000</v>
      </c>
      <c r="E283" t="s">
        <v>398</v>
      </c>
      <c r="F283" s="20" t="s">
        <v>399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358</v>
      </c>
      <c r="C284" t="s">
        <v>418</v>
      </c>
      <c r="D284" s="138">
        <v>3500000</v>
      </c>
      <c r="E284" t="s">
        <v>378</v>
      </c>
      <c r="F284" s="20" t="s">
        <v>379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373</v>
      </c>
      <c r="C285" t="s">
        <v>419</v>
      </c>
      <c r="D285" s="138">
        <v>3320000</v>
      </c>
      <c r="E285" t="s">
        <v>365</v>
      </c>
      <c r="F285" s="20" t="s">
        <v>366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385</v>
      </c>
      <c r="C286" t="s">
        <v>420</v>
      </c>
      <c r="D286" s="138">
        <v>2000000</v>
      </c>
      <c r="E286" t="s">
        <v>396</v>
      </c>
      <c r="F286" s="20" t="s">
        <v>397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385</v>
      </c>
      <c r="C287" t="s">
        <v>420</v>
      </c>
      <c r="D287" s="138">
        <v>2000000</v>
      </c>
      <c r="E287" t="s">
        <v>396</v>
      </c>
      <c r="F287" s="20" t="s">
        <v>397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394</v>
      </c>
      <c r="C288" t="s">
        <v>421</v>
      </c>
      <c r="D288" s="138">
        <v>3670000</v>
      </c>
      <c r="E288" t="s">
        <v>384</v>
      </c>
      <c r="F288" s="20" t="s">
        <v>370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369</v>
      </c>
      <c r="C289" t="s">
        <v>422</v>
      </c>
      <c r="D289" s="138">
        <v>2040000</v>
      </c>
      <c r="E289" t="s">
        <v>398</v>
      </c>
      <c r="F289" s="20" t="s">
        <v>399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387</v>
      </c>
      <c r="C290" t="s">
        <v>423</v>
      </c>
      <c r="D290" s="138">
        <v>2000000</v>
      </c>
      <c r="E290" t="s">
        <v>396</v>
      </c>
      <c r="F290" s="20" t="s">
        <v>397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372</v>
      </c>
      <c r="C291" t="s">
        <v>424</v>
      </c>
      <c r="D291" s="138">
        <v>3320000</v>
      </c>
      <c r="E291" t="s">
        <v>365</v>
      </c>
      <c r="F291" s="20" t="s">
        <v>366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363</v>
      </c>
      <c r="C292" t="s">
        <v>425</v>
      </c>
      <c r="D292" s="138">
        <v>3500000</v>
      </c>
      <c r="E292" t="s">
        <v>378</v>
      </c>
      <c r="F292" s="20" t="s">
        <v>379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385</v>
      </c>
      <c r="C293" t="s">
        <v>426</v>
      </c>
      <c r="D293" s="138">
        <v>3220000</v>
      </c>
      <c r="E293" t="s">
        <v>380</v>
      </c>
      <c r="F293" s="20" t="s">
        <v>381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388</v>
      </c>
      <c r="C294" t="s">
        <v>390</v>
      </c>
      <c r="D294" s="138">
        <v>3670000</v>
      </c>
      <c r="E294" t="s">
        <v>384</v>
      </c>
      <c r="F294" s="20" t="s">
        <v>370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368</v>
      </c>
      <c r="C295" t="s">
        <v>427</v>
      </c>
      <c r="D295" s="138">
        <v>2040000</v>
      </c>
      <c r="E295" t="s">
        <v>398</v>
      </c>
      <c r="F295" s="20" t="s">
        <v>399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387</v>
      </c>
      <c r="C296" t="s">
        <v>428</v>
      </c>
      <c r="D296" s="138">
        <v>3220000</v>
      </c>
      <c r="E296" t="s">
        <v>380</v>
      </c>
      <c r="F296" s="20" t="s">
        <v>381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358</v>
      </c>
      <c r="C297" t="s">
        <v>429</v>
      </c>
      <c r="D297" s="138">
        <v>3500000</v>
      </c>
      <c r="E297" t="s">
        <v>378</v>
      </c>
      <c r="F297" s="20" t="s">
        <v>379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373</v>
      </c>
      <c r="C298" t="s">
        <v>430</v>
      </c>
      <c r="D298" s="138">
        <v>3320000</v>
      </c>
      <c r="E298" t="s">
        <v>365</v>
      </c>
      <c r="F298" s="20" t="s">
        <v>366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385</v>
      </c>
      <c r="C299" t="s">
        <v>431</v>
      </c>
      <c r="D299" s="138">
        <v>2000000</v>
      </c>
      <c r="E299" t="s">
        <v>396</v>
      </c>
      <c r="F299" s="20" t="s">
        <v>397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394</v>
      </c>
      <c r="C300" t="s">
        <v>432</v>
      </c>
      <c r="D300" s="138">
        <v>3670000</v>
      </c>
      <c r="E300" t="s">
        <v>384</v>
      </c>
      <c r="F300" s="20" t="s">
        <v>370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369</v>
      </c>
      <c r="C301" t="s">
        <v>433</v>
      </c>
      <c r="D301" s="138">
        <v>2040000</v>
      </c>
      <c r="E301" t="s">
        <v>398</v>
      </c>
      <c r="F301" s="20" t="s">
        <v>399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387</v>
      </c>
      <c r="C302" t="s">
        <v>434</v>
      </c>
      <c r="D302" s="138">
        <v>2000000</v>
      </c>
      <c r="E302" t="s">
        <v>396</v>
      </c>
      <c r="F302" s="20" t="s">
        <v>397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363</v>
      </c>
      <c r="C303" t="s">
        <v>391</v>
      </c>
      <c r="D303" s="138">
        <v>3500000</v>
      </c>
      <c r="E303" t="s">
        <v>378</v>
      </c>
      <c r="F303" s="20" t="s">
        <v>379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372</v>
      </c>
      <c r="C304" t="s">
        <v>435</v>
      </c>
      <c r="D304" s="138">
        <v>3320000</v>
      </c>
      <c r="E304" t="s">
        <v>365</v>
      </c>
      <c r="F304" s="20" t="s">
        <v>366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388</v>
      </c>
      <c r="C305" t="s">
        <v>436</v>
      </c>
      <c r="D305" s="138">
        <v>3670000</v>
      </c>
      <c r="E305" t="s">
        <v>384</v>
      </c>
      <c r="F305" s="20" t="s">
        <v>370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368</v>
      </c>
      <c r="C306" t="s">
        <v>437</v>
      </c>
      <c r="D306" s="138">
        <v>2040000</v>
      </c>
      <c r="E306" t="s">
        <v>398</v>
      </c>
      <c r="F306" s="20" t="s">
        <v>399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358</v>
      </c>
      <c r="C307" t="s">
        <v>438</v>
      </c>
      <c r="D307" s="138">
        <v>3500000</v>
      </c>
      <c r="E307" t="s">
        <v>378</v>
      </c>
      <c r="F307" s="20" t="s">
        <v>379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373</v>
      </c>
      <c r="C308" t="s">
        <v>439</v>
      </c>
      <c r="D308" s="138">
        <v>3320000</v>
      </c>
      <c r="E308" t="s">
        <v>365</v>
      </c>
      <c r="F308" s="20" t="s">
        <v>366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394</v>
      </c>
      <c r="C309" t="s">
        <v>440</v>
      </c>
      <c r="D309" s="138">
        <v>3670000</v>
      </c>
      <c r="E309" t="s">
        <v>384</v>
      </c>
      <c r="F309" s="20" t="s">
        <v>370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369</v>
      </c>
      <c r="C310" t="s">
        <v>441</v>
      </c>
      <c r="D310" s="138">
        <v>2040000</v>
      </c>
      <c r="E310" t="s">
        <v>398</v>
      </c>
      <c r="F310" s="20" t="s">
        <v>399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372</v>
      </c>
      <c r="C311" t="s">
        <v>442</v>
      </c>
      <c r="D311" s="138">
        <v>3320000</v>
      </c>
      <c r="E311" t="s">
        <v>365</v>
      </c>
      <c r="F311" s="20" t="s">
        <v>366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368</v>
      </c>
      <c r="C312" t="s">
        <v>443</v>
      </c>
      <c r="D312" s="138">
        <v>2040000</v>
      </c>
      <c r="E312" t="s">
        <v>398</v>
      </c>
      <c r="F312" s="20" t="s">
        <v>399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353</v>
      </c>
      <c r="C313" t="s">
        <v>367</v>
      </c>
      <c r="D313" s="138">
        <v>1830000</v>
      </c>
      <c r="E313" t="s">
        <v>348</v>
      </c>
      <c r="F313" s="20" t="s">
        <v>349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458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334</v>
      </c>
      <c r="P1" s="218" t="s">
        <v>154</v>
      </c>
      <c r="Q1" s="218" t="s">
        <v>161</v>
      </c>
      <c r="R1" s="218" t="s">
        <v>335</v>
      </c>
      <c r="S1" s="218" t="s">
        <v>158</v>
      </c>
      <c r="T1"/>
    </row>
    <row r="2" spans="1:20" x14ac:dyDescent="0.25">
      <c r="A2" s="196">
        <v>28.46</v>
      </c>
      <c r="B2" s="196">
        <v>0.04</v>
      </c>
      <c r="C2" s="196">
        <v>25.39</v>
      </c>
      <c r="D2" s="8">
        <v>43049.041666666664</v>
      </c>
      <c r="E2" s="196">
        <v>0.88</v>
      </c>
      <c r="F2" s="196" t="s">
        <v>539</v>
      </c>
      <c r="G2" s="196">
        <v>253.12</v>
      </c>
      <c r="H2" s="196">
        <v>0</v>
      </c>
      <c r="I2" s="196">
        <v>0</v>
      </c>
      <c r="J2" s="196"/>
      <c r="K2" s="196">
        <v>1018.43</v>
      </c>
      <c r="L2" s="196" t="s">
        <v>538</v>
      </c>
      <c r="M2" s="196">
        <v>28.46</v>
      </c>
      <c r="N2" s="196">
        <v>1510297200</v>
      </c>
      <c r="O2" s="196">
        <v>0</v>
      </c>
      <c r="P2" s="196">
        <v>2.88</v>
      </c>
      <c r="Q2" s="196">
        <v>263</v>
      </c>
      <c r="R2" s="196">
        <v>1.56</v>
      </c>
      <c r="S2" s="196">
        <v>0.42</v>
      </c>
      <c r="T2"/>
    </row>
    <row r="3" spans="1:20" x14ac:dyDescent="0.25">
      <c r="A3" s="196">
        <v>27.62</v>
      </c>
      <c r="B3" s="196">
        <v>0.04</v>
      </c>
      <c r="C3" s="196">
        <v>24.79</v>
      </c>
      <c r="D3" s="8">
        <v>43049.083333333336</v>
      </c>
      <c r="E3" s="196">
        <v>0.89</v>
      </c>
      <c r="F3" s="196" t="s">
        <v>539</v>
      </c>
      <c r="G3" s="196">
        <v>252.34</v>
      </c>
      <c r="H3" s="196">
        <v>0</v>
      </c>
      <c r="I3" s="196">
        <v>0</v>
      </c>
      <c r="J3" s="196"/>
      <c r="K3" s="196">
        <v>1017.54</v>
      </c>
      <c r="L3" s="196" t="s">
        <v>538</v>
      </c>
      <c r="M3" s="196">
        <v>27.62</v>
      </c>
      <c r="N3" s="196">
        <v>1510300800</v>
      </c>
      <c r="O3" s="196">
        <v>0</v>
      </c>
      <c r="P3" s="196">
        <v>2.4900000000000002</v>
      </c>
      <c r="Q3" s="196">
        <v>252</v>
      </c>
      <c r="R3" s="196">
        <v>1.37</v>
      </c>
      <c r="S3" s="196">
        <v>0.16</v>
      </c>
      <c r="T3"/>
    </row>
    <row r="4" spans="1:20" x14ac:dyDescent="0.25">
      <c r="A4" s="196">
        <v>27.34</v>
      </c>
      <c r="B4" s="196">
        <v>0.04</v>
      </c>
      <c r="C4" s="196">
        <v>24.34</v>
      </c>
      <c r="D4" s="8">
        <v>43049.125</v>
      </c>
      <c r="E4" s="196">
        <v>0.88</v>
      </c>
      <c r="F4" s="196" t="s">
        <v>539</v>
      </c>
      <c r="G4" s="196">
        <v>251.69</v>
      </c>
      <c r="H4" s="196">
        <v>0</v>
      </c>
      <c r="I4" s="196">
        <v>0</v>
      </c>
      <c r="J4" s="196"/>
      <c r="K4" s="196">
        <v>1017.96</v>
      </c>
      <c r="L4" s="196" t="s">
        <v>538</v>
      </c>
      <c r="M4" s="196">
        <v>27.34</v>
      </c>
      <c r="N4" s="196">
        <v>1510304400</v>
      </c>
      <c r="O4" s="196">
        <v>0</v>
      </c>
      <c r="P4" s="196">
        <v>2.36</v>
      </c>
      <c r="Q4" s="196">
        <v>231</v>
      </c>
      <c r="R4" s="196">
        <v>1.1399999999999999</v>
      </c>
      <c r="S4" s="196">
        <v>0.22</v>
      </c>
      <c r="T4"/>
    </row>
    <row r="5" spans="1:20" x14ac:dyDescent="0.25">
      <c r="A5" s="196">
        <v>26.43</v>
      </c>
      <c r="B5" s="196">
        <v>7.0000000000000007E-2</v>
      </c>
      <c r="C5" s="196">
        <v>23.73</v>
      </c>
      <c r="D5" s="8">
        <v>43049.166666666664</v>
      </c>
      <c r="E5" s="196">
        <v>0.89</v>
      </c>
      <c r="F5" s="196" t="s">
        <v>539</v>
      </c>
      <c r="G5" s="196">
        <v>251.16</v>
      </c>
      <c r="H5" s="196">
        <v>0</v>
      </c>
      <c r="I5" s="196">
        <v>0</v>
      </c>
      <c r="J5" s="196"/>
      <c r="K5" s="196">
        <v>1018.12</v>
      </c>
      <c r="L5" s="196" t="s">
        <v>538</v>
      </c>
      <c r="M5" s="196">
        <v>26.43</v>
      </c>
      <c r="N5" s="196">
        <v>1510308000</v>
      </c>
      <c r="O5" s="196">
        <v>0</v>
      </c>
      <c r="P5" s="196">
        <v>2.2200000000000002</v>
      </c>
      <c r="Q5" s="196">
        <v>150</v>
      </c>
      <c r="R5" s="196">
        <v>1.86</v>
      </c>
      <c r="S5" s="196">
        <v>0.49</v>
      </c>
      <c r="T5"/>
    </row>
    <row r="6" spans="1:20" x14ac:dyDescent="0.25">
      <c r="A6" s="196">
        <v>26.05</v>
      </c>
      <c r="B6" s="196">
        <v>7.0000000000000007E-2</v>
      </c>
      <c r="C6" s="196">
        <v>23.43</v>
      </c>
      <c r="D6" s="8">
        <v>43049.208333333336</v>
      </c>
      <c r="E6" s="196">
        <v>0.9</v>
      </c>
      <c r="F6" s="196" t="s">
        <v>539</v>
      </c>
      <c r="G6" s="196">
        <v>250.77</v>
      </c>
      <c r="H6" s="196">
        <v>0</v>
      </c>
      <c r="I6" s="196">
        <v>0</v>
      </c>
      <c r="J6" s="196"/>
      <c r="K6" s="196">
        <v>1018.06</v>
      </c>
      <c r="L6" s="196" t="s">
        <v>538</v>
      </c>
      <c r="M6" s="196">
        <v>26.05</v>
      </c>
      <c r="N6" s="196">
        <v>1510311600</v>
      </c>
      <c r="O6" s="196">
        <v>0</v>
      </c>
      <c r="P6" s="196">
        <v>2.13</v>
      </c>
      <c r="Q6" s="196">
        <v>194</v>
      </c>
      <c r="R6" s="196">
        <v>1.89</v>
      </c>
      <c r="S6" s="196">
        <v>0.46</v>
      </c>
      <c r="T6"/>
    </row>
    <row r="7" spans="1:20" x14ac:dyDescent="0.25">
      <c r="A7" s="196">
        <v>26.03</v>
      </c>
      <c r="B7" s="196">
        <v>0.05</v>
      </c>
      <c r="C7" s="196">
        <v>23.1</v>
      </c>
      <c r="D7" s="8">
        <v>43049.25</v>
      </c>
      <c r="E7" s="196">
        <v>0.88</v>
      </c>
      <c r="F7" s="196" t="s">
        <v>539</v>
      </c>
      <c r="G7" s="196">
        <v>250.11</v>
      </c>
      <c r="H7" s="196">
        <v>0</v>
      </c>
      <c r="I7" s="196">
        <v>0</v>
      </c>
      <c r="J7" s="196"/>
      <c r="K7" s="196">
        <v>1018.39</v>
      </c>
      <c r="L7" s="196" t="s">
        <v>538</v>
      </c>
      <c r="M7" s="196">
        <v>26.03</v>
      </c>
      <c r="N7" s="196">
        <v>1510315200</v>
      </c>
      <c r="O7" s="196">
        <v>0</v>
      </c>
      <c r="P7" s="196">
        <v>2.17</v>
      </c>
      <c r="Q7" s="196">
        <v>209</v>
      </c>
      <c r="R7" s="196">
        <v>1.86</v>
      </c>
      <c r="S7" s="196">
        <v>0.28999999999999998</v>
      </c>
      <c r="T7"/>
    </row>
    <row r="8" spans="1:20" x14ac:dyDescent="0.25">
      <c r="A8" s="196">
        <v>25.34</v>
      </c>
      <c r="B8" s="196">
        <v>0.11</v>
      </c>
      <c r="C8" s="196">
        <v>22.65</v>
      </c>
      <c r="D8" s="8">
        <v>43049.291666666664</v>
      </c>
      <c r="E8" s="196">
        <v>0.89</v>
      </c>
      <c r="F8" s="196" t="s">
        <v>539</v>
      </c>
      <c r="G8" s="196">
        <v>250.51</v>
      </c>
      <c r="H8" s="196">
        <v>0</v>
      </c>
      <c r="I8" s="196">
        <v>0</v>
      </c>
      <c r="J8" s="196"/>
      <c r="K8" s="196">
        <v>1018.33</v>
      </c>
      <c r="L8" s="196" t="s">
        <v>538</v>
      </c>
      <c r="M8" s="196">
        <v>25.34</v>
      </c>
      <c r="N8" s="196">
        <v>1510318800</v>
      </c>
      <c r="O8" s="196">
        <v>0</v>
      </c>
      <c r="P8" s="196">
        <v>2.21</v>
      </c>
      <c r="Q8" s="196">
        <v>221</v>
      </c>
      <c r="R8" s="196">
        <v>1.92</v>
      </c>
      <c r="S8" s="196">
        <v>0.32</v>
      </c>
      <c r="T8"/>
    </row>
    <row r="9" spans="1:20" x14ac:dyDescent="0.25">
      <c r="A9" s="196">
        <v>25.46</v>
      </c>
      <c r="B9" s="196">
        <v>0.22</v>
      </c>
      <c r="C9" s="196">
        <v>22.6</v>
      </c>
      <c r="D9" s="8">
        <v>43049.333333333336</v>
      </c>
      <c r="E9" s="196">
        <v>0.89</v>
      </c>
      <c r="F9" s="196" t="s">
        <v>537</v>
      </c>
      <c r="G9" s="196">
        <v>251.18</v>
      </c>
      <c r="H9" s="196">
        <v>0</v>
      </c>
      <c r="I9" s="196">
        <v>0</v>
      </c>
      <c r="J9" s="196"/>
      <c r="K9" s="196">
        <v>1018.17</v>
      </c>
      <c r="L9" s="196" t="s">
        <v>538</v>
      </c>
      <c r="M9" s="196">
        <v>25.46</v>
      </c>
      <c r="N9" s="196">
        <v>1510322400</v>
      </c>
      <c r="O9" s="196">
        <v>0</v>
      </c>
      <c r="P9" s="196">
        <v>2.21</v>
      </c>
      <c r="Q9" s="196">
        <v>197</v>
      </c>
      <c r="R9" s="196">
        <v>1.52</v>
      </c>
      <c r="S9" s="196">
        <v>0.47</v>
      </c>
      <c r="T9"/>
    </row>
    <row r="10" spans="1:20" x14ac:dyDescent="0.25">
      <c r="A10" s="196">
        <v>27.92</v>
      </c>
      <c r="B10" s="196">
        <v>0.15</v>
      </c>
      <c r="C10" s="196">
        <v>25.13</v>
      </c>
      <c r="D10" s="8">
        <v>43049.375</v>
      </c>
      <c r="E10" s="196">
        <v>0.89</v>
      </c>
      <c r="F10" s="196" t="s">
        <v>537</v>
      </c>
      <c r="G10" s="196">
        <v>251.98</v>
      </c>
      <c r="H10" s="196">
        <v>0</v>
      </c>
      <c r="I10" s="196">
        <v>0</v>
      </c>
      <c r="J10" s="196"/>
      <c r="K10" s="196">
        <v>1018.75</v>
      </c>
      <c r="L10" s="196" t="s">
        <v>538</v>
      </c>
      <c r="M10" s="196">
        <v>27.92</v>
      </c>
      <c r="N10" s="196">
        <v>1510326000</v>
      </c>
      <c r="O10" s="196">
        <v>1</v>
      </c>
      <c r="P10" s="196">
        <v>2.2200000000000002</v>
      </c>
      <c r="Q10" s="196">
        <v>212</v>
      </c>
      <c r="R10" s="196">
        <v>1.72</v>
      </c>
      <c r="S10" s="196">
        <v>0.17</v>
      </c>
      <c r="T10"/>
    </row>
    <row r="11" spans="1:20" x14ac:dyDescent="0.25">
      <c r="A11" s="196">
        <v>34.71</v>
      </c>
      <c r="B11" s="196">
        <v>0.17</v>
      </c>
      <c r="C11" s="196">
        <v>29.93</v>
      </c>
      <c r="D11" s="8">
        <v>43049.416666666664</v>
      </c>
      <c r="E11" s="196">
        <v>0.82</v>
      </c>
      <c r="F11" s="196" t="s">
        <v>537</v>
      </c>
      <c r="G11" s="196">
        <v>252.51</v>
      </c>
      <c r="H11" s="196">
        <v>8.9999999999999998E-4</v>
      </c>
      <c r="I11" s="196">
        <v>0.13</v>
      </c>
      <c r="J11" s="196" t="s">
        <v>459</v>
      </c>
      <c r="K11" s="196">
        <v>1017.15</v>
      </c>
      <c r="L11" s="196" t="s">
        <v>538</v>
      </c>
      <c r="M11" s="196">
        <v>34.71</v>
      </c>
      <c r="N11" s="196">
        <v>1510329600</v>
      </c>
      <c r="O11" s="196">
        <v>1</v>
      </c>
      <c r="P11" s="196">
        <v>2.35</v>
      </c>
      <c r="Q11" s="196">
        <v>40</v>
      </c>
      <c r="R11" s="196">
        <v>1.83</v>
      </c>
      <c r="S11" s="196">
        <v>0.14000000000000001</v>
      </c>
      <c r="T11"/>
    </row>
    <row r="12" spans="1:20" x14ac:dyDescent="0.25">
      <c r="A12" s="196">
        <v>41.8</v>
      </c>
      <c r="B12" s="196">
        <v>0.24</v>
      </c>
      <c r="C12" s="196">
        <v>31.35</v>
      </c>
      <c r="D12" s="8">
        <v>43049.458333333336</v>
      </c>
      <c r="E12" s="196">
        <v>0.66</v>
      </c>
      <c r="F12" s="196" t="s">
        <v>537</v>
      </c>
      <c r="G12" s="196">
        <v>253.04</v>
      </c>
      <c r="H12" s="196">
        <v>8.0000000000000004E-4</v>
      </c>
      <c r="I12" s="196">
        <v>0.15</v>
      </c>
      <c r="J12" s="196" t="s">
        <v>459</v>
      </c>
      <c r="K12" s="196">
        <v>1015.38</v>
      </c>
      <c r="L12" s="196" t="s">
        <v>538</v>
      </c>
      <c r="M12" s="196">
        <v>41.8</v>
      </c>
      <c r="N12" s="196">
        <v>1510333200</v>
      </c>
      <c r="O12" s="196">
        <v>2</v>
      </c>
      <c r="P12" s="196">
        <v>2.82</v>
      </c>
      <c r="Q12" s="196">
        <v>1</v>
      </c>
      <c r="R12" s="196">
        <v>2.08</v>
      </c>
      <c r="S12" s="196">
        <v>0.13</v>
      </c>
      <c r="T12"/>
    </row>
    <row r="13" spans="1:20" x14ac:dyDescent="0.25">
      <c r="A13" s="196">
        <v>47.48</v>
      </c>
      <c r="B13" s="196">
        <v>0.26</v>
      </c>
      <c r="C13" s="196">
        <v>31.09</v>
      </c>
      <c r="D13" s="8">
        <v>43049.5</v>
      </c>
      <c r="E13" s="196">
        <v>0.53</v>
      </c>
      <c r="F13" s="196" t="s">
        <v>449</v>
      </c>
      <c r="G13" s="196">
        <v>254.62</v>
      </c>
      <c r="H13" s="196">
        <v>1E-4</v>
      </c>
      <c r="I13" s="196">
        <v>0.03</v>
      </c>
      <c r="J13" s="196" t="s">
        <v>459</v>
      </c>
      <c r="K13" s="196">
        <v>1013.63</v>
      </c>
      <c r="L13" s="196" t="s">
        <v>536</v>
      </c>
      <c r="M13" s="196">
        <v>47.48</v>
      </c>
      <c r="N13" s="196">
        <v>1510336800</v>
      </c>
      <c r="O13" s="196">
        <v>3</v>
      </c>
      <c r="P13" s="196">
        <v>3.08</v>
      </c>
      <c r="Q13" s="196">
        <v>16</v>
      </c>
      <c r="R13" s="196">
        <v>3.02</v>
      </c>
      <c r="S13" s="196">
        <v>0.82</v>
      </c>
      <c r="T13"/>
    </row>
    <row r="14" spans="1:20" x14ac:dyDescent="0.25">
      <c r="A14" s="196">
        <v>51.56</v>
      </c>
      <c r="B14" s="196">
        <v>0.22</v>
      </c>
      <c r="C14" s="196">
        <v>31.73</v>
      </c>
      <c r="D14" s="8">
        <v>43049.541666666664</v>
      </c>
      <c r="E14" s="196">
        <v>0.46</v>
      </c>
      <c r="F14" s="196" t="s">
        <v>537</v>
      </c>
      <c r="G14" s="196">
        <v>255.01</v>
      </c>
      <c r="H14" s="196">
        <v>1E-4</v>
      </c>
      <c r="I14" s="196">
        <v>0.02</v>
      </c>
      <c r="J14" s="196" t="s">
        <v>459</v>
      </c>
      <c r="K14" s="196">
        <v>1011.85</v>
      </c>
      <c r="L14" s="196" t="s">
        <v>538</v>
      </c>
      <c r="M14" s="196">
        <v>51.56</v>
      </c>
      <c r="N14" s="196">
        <v>1510340400</v>
      </c>
      <c r="O14" s="196">
        <v>3</v>
      </c>
      <c r="P14" s="196">
        <v>3.5</v>
      </c>
      <c r="Q14" s="196">
        <v>19</v>
      </c>
      <c r="R14" s="196">
        <v>3.72</v>
      </c>
      <c r="S14" s="196">
        <v>1.23</v>
      </c>
      <c r="T14"/>
    </row>
    <row r="15" spans="1:20" x14ac:dyDescent="0.25">
      <c r="A15" s="196">
        <v>55.06</v>
      </c>
      <c r="B15" s="196">
        <v>0.22</v>
      </c>
      <c r="C15" s="196">
        <v>32.31</v>
      </c>
      <c r="D15" s="8">
        <v>43049.583333333336</v>
      </c>
      <c r="E15" s="196">
        <v>0.42</v>
      </c>
      <c r="F15" s="196" t="s">
        <v>537</v>
      </c>
      <c r="G15" s="196">
        <v>255.14</v>
      </c>
      <c r="H15" s="196">
        <v>0</v>
      </c>
      <c r="I15" s="196">
        <v>0</v>
      </c>
      <c r="J15" s="196"/>
      <c r="K15" s="196">
        <v>1010.39</v>
      </c>
      <c r="L15" s="196" t="s">
        <v>538</v>
      </c>
      <c r="M15" s="196">
        <v>55.06</v>
      </c>
      <c r="N15" s="196">
        <v>1510344000</v>
      </c>
      <c r="O15" s="196">
        <v>2</v>
      </c>
      <c r="P15" s="196">
        <v>3.51</v>
      </c>
      <c r="Q15" s="196">
        <v>28</v>
      </c>
      <c r="R15" s="196">
        <v>3.95</v>
      </c>
      <c r="S15" s="196">
        <v>1.28</v>
      </c>
      <c r="T15"/>
    </row>
    <row r="16" spans="1:20" x14ac:dyDescent="0.25">
      <c r="A16" s="196">
        <v>57.46</v>
      </c>
      <c r="B16" s="196">
        <v>0.24</v>
      </c>
      <c r="C16" s="196">
        <v>32.06</v>
      </c>
      <c r="D16" s="8">
        <v>43049.625</v>
      </c>
      <c r="E16" s="196">
        <v>0.38</v>
      </c>
      <c r="F16" s="196" t="s">
        <v>537</v>
      </c>
      <c r="G16" s="196">
        <v>255.01</v>
      </c>
      <c r="H16" s="196">
        <v>4.4000000000000003E-3</v>
      </c>
      <c r="I16" s="196">
        <v>0.01</v>
      </c>
      <c r="J16" s="196" t="s">
        <v>459</v>
      </c>
      <c r="K16" s="196">
        <v>1009.46</v>
      </c>
      <c r="L16" s="196" t="s">
        <v>538</v>
      </c>
      <c r="M16" s="196">
        <v>57.46</v>
      </c>
      <c r="N16" s="196">
        <v>1510347600</v>
      </c>
      <c r="O16" s="196">
        <v>2</v>
      </c>
      <c r="P16" s="196">
        <v>3.27</v>
      </c>
      <c r="Q16" s="196">
        <v>10</v>
      </c>
      <c r="R16" s="196">
        <v>6.5</v>
      </c>
      <c r="S16" s="196">
        <v>1.85</v>
      </c>
      <c r="T16"/>
    </row>
    <row r="17" spans="1:20" x14ac:dyDescent="0.25">
      <c r="A17" s="196">
        <v>57.69</v>
      </c>
      <c r="B17" s="196">
        <v>0.22</v>
      </c>
      <c r="C17" s="196">
        <v>32.75</v>
      </c>
      <c r="D17" s="8">
        <v>43049.666666666664</v>
      </c>
      <c r="E17" s="196">
        <v>0.39</v>
      </c>
      <c r="F17" s="196" t="s">
        <v>537</v>
      </c>
      <c r="G17" s="196">
        <v>254.75</v>
      </c>
      <c r="H17" s="196">
        <v>2.9999999999999997E-4</v>
      </c>
      <c r="I17" s="196">
        <v>0.01</v>
      </c>
      <c r="J17" s="196" t="s">
        <v>459</v>
      </c>
      <c r="K17" s="196">
        <v>1009.6</v>
      </c>
      <c r="L17" s="196" t="s">
        <v>538</v>
      </c>
      <c r="M17" s="196">
        <v>57.69</v>
      </c>
      <c r="N17" s="196">
        <v>1510351200</v>
      </c>
      <c r="O17" s="196">
        <v>1</v>
      </c>
      <c r="P17" s="196">
        <v>3.54</v>
      </c>
      <c r="Q17" s="196">
        <v>18</v>
      </c>
      <c r="R17" s="196">
        <v>6.65</v>
      </c>
      <c r="S17" s="196">
        <v>2.2999999999999998</v>
      </c>
      <c r="T17"/>
    </row>
    <row r="18" spans="1:20" x14ac:dyDescent="0.25">
      <c r="A18" s="196">
        <v>55.15</v>
      </c>
      <c r="B18" s="196">
        <v>0.22</v>
      </c>
      <c r="C18" s="196">
        <v>32.97</v>
      </c>
      <c r="D18" s="8">
        <v>43049.708333333336</v>
      </c>
      <c r="E18" s="196">
        <v>0.43</v>
      </c>
      <c r="F18" s="196" t="s">
        <v>537</v>
      </c>
      <c r="G18" s="196">
        <v>254.23</v>
      </c>
      <c r="H18" s="196">
        <v>4.0000000000000002E-4</v>
      </c>
      <c r="I18" s="196">
        <v>0.01</v>
      </c>
      <c r="J18" s="196" t="s">
        <v>459</v>
      </c>
      <c r="K18" s="196">
        <v>1010.87</v>
      </c>
      <c r="L18" s="196" t="s">
        <v>538</v>
      </c>
      <c r="M18" s="196">
        <v>55.15</v>
      </c>
      <c r="N18" s="196">
        <v>1510354800</v>
      </c>
      <c r="O18" s="196">
        <v>1</v>
      </c>
      <c r="P18" s="196">
        <v>3.54</v>
      </c>
      <c r="Q18" s="196">
        <v>7</v>
      </c>
      <c r="R18" s="196">
        <v>5.3</v>
      </c>
      <c r="S18" s="196">
        <v>2.21</v>
      </c>
      <c r="T18"/>
    </row>
    <row r="19" spans="1:20" x14ac:dyDescent="0.25">
      <c r="A19" s="196">
        <v>50.78</v>
      </c>
      <c r="B19" s="196">
        <v>0.15</v>
      </c>
      <c r="C19" s="196">
        <v>33.08</v>
      </c>
      <c r="D19" s="8">
        <v>43049.75</v>
      </c>
      <c r="E19" s="196">
        <v>0.51</v>
      </c>
      <c r="F19" s="196" t="s">
        <v>539</v>
      </c>
      <c r="G19" s="196">
        <v>251.46</v>
      </c>
      <c r="H19" s="196">
        <v>2.9999999999999997E-4</v>
      </c>
      <c r="I19" s="196">
        <v>0.01</v>
      </c>
      <c r="J19" s="196" t="s">
        <v>459</v>
      </c>
      <c r="K19" s="196">
        <v>1012.07</v>
      </c>
      <c r="L19" s="196" t="s">
        <v>538</v>
      </c>
      <c r="M19" s="196">
        <v>50.78</v>
      </c>
      <c r="N19" s="196">
        <v>1510358400</v>
      </c>
      <c r="O19" s="196">
        <v>0</v>
      </c>
      <c r="P19" s="196">
        <v>3.29</v>
      </c>
      <c r="Q19" s="196">
        <v>10</v>
      </c>
      <c r="R19" s="196">
        <v>2.97</v>
      </c>
      <c r="S19" s="196">
        <v>1.55</v>
      </c>
      <c r="T19"/>
    </row>
    <row r="20" spans="1:20" x14ac:dyDescent="0.25">
      <c r="A20" s="196">
        <v>45.45</v>
      </c>
      <c r="B20" s="196">
        <v>0.13</v>
      </c>
      <c r="C20" s="196">
        <v>32.89</v>
      </c>
      <c r="D20" s="8">
        <v>43049.791666666664</v>
      </c>
      <c r="E20" s="196">
        <v>0.61</v>
      </c>
      <c r="F20" s="196" t="s">
        <v>539</v>
      </c>
      <c r="G20" s="196">
        <v>251.19</v>
      </c>
      <c r="H20" s="196">
        <v>2.0000000000000001E-4</v>
      </c>
      <c r="I20" s="196">
        <v>0.01</v>
      </c>
      <c r="J20" s="196" t="s">
        <v>459</v>
      </c>
      <c r="K20" s="196">
        <v>1013.29</v>
      </c>
      <c r="L20" s="196" t="s">
        <v>538</v>
      </c>
      <c r="M20" s="196">
        <v>45.45</v>
      </c>
      <c r="N20" s="196">
        <v>1510362000</v>
      </c>
      <c r="O20" s="196">
        <v>0</v>
      </c>
      <c r="P20" s="196">
        <v>5.31</v>
      </c>
      <c r="Q20" s="196">
        <v>9</v>
      </c>
      <c r="R20" s="196">
        <v>1.71</v>
      </c>
      <c r="S20" s="196">
        <v>0.44</v>
      </c>
      <c r="T20"/>
    </row>
    <row r="21" spans="1:20" x14ac:dyDescent="0.25">
      <c r="A21" s="196">
        <v>42.08</v>
      </c>
      <c r="B21" s="196">
        <v>0.09</v>
      </c>
      <c r="C21" s="196">
        <v>32.79</v>
      </c>
      <c r="D21" s="8">
        <v>43049.833333333336</v>
      </c>
      <c r="E21" s="196">
        <v>0.69</v>
      </c>
      <c r="F21" s="196" t="s">
        <v>539</v>
      </c>
      <c r="G21" s="196">
        <v>251.59</v>
      </c>
      <c r="H21" s="196">
        <v>1E-4</v>
      </c>
      <c r="I21" s="196">
        <v>0.01</v>
      </c>
      <c r="J21" s="196" t="s">
        <v>459</v>
      </c>
      <c r="K21" s="196">
        <v>1013.55</v>
      </c>
      <c r="L21" s="196" t="s">
        <v>538</v>
      </c>
      <c r="M21" s="196">
        <v>42.08</v>
      </c>
      <c r="N21" s="196">
        <v>1510365600</v>
      </c>
      <c r="O21" s="196">
        <v>0</v>
      </c>
      <c r="P21" s="196">
        <v>4.4400000000000004</v>
      </c>
      <c r="Q21" s="196">
        <v>14</v>
      </c>
      <c r="R21" s="196">
        <v>2.29</v>
      </c>
      <c r="S21" s="196">
        <v>0.81</v>
      </c>
      <c r="T21"/>
    </row>
    <row r="22" spans="1:20" x14ac:dyDescent="0.25">
      <c r="A22" s="196">
        <v>39.78</v>
      </c>
      <c r="B22" s="196">
        <v>0.13</v>
      </c>
      <c r="C22" s="196">
        <v>32.21</v>
      </c>
      <c r="D22" s="8">
        <v>43049.875</v>
      </c>
      <c r="E22" s="196">
        <v>0.74</v>
      </c>
      <c r="F22" s="196" t="s">
        <v>539</v>
      </c>
      <c r="G22" s="196">
        <v>251.73</v>
      </c>
      <c r="H22" s="196">
        <v>0</v>
      </c>
      <c r="I22" s="196">
        <v>0</v>
      </c>
      <c r="J22" s="196"/>
      <c r="K22" s="196">
        <v>1013.64</v>
      </c>
      <c r="L22" s="196" t="s">
        <v>538</v>
      </c>
      <c r="M22" s="196">
        <v>39.78</v>
      </c>
      <c r="N22" s="196">
        <v>1510369200</v>
      </c>
      <c r="O22" s="196">
        <v>0</v>
      </c>
      <c r="P22" s="196">
        <v>2.69</v>
      </c>
      <c r="Q22" s="196">
        <v>334</v>
      </c>
      <c r="R22" s="196">
        <v>2.74</v>
      </c>
      <c r="S22" s="196">
        <v>0.85</v>
      </c>
      <c r="T22"/>
    </row>
    <row r="23" spans="1:20" x14ac:dyDescent="0.25">
      <c r="A23" s="196">
        <v>37.869999999999997</v>
      </c>
      <c r="B23" s="196">
        <v>0.19</v>
      </c>
      <c r="C23" s="196">
        <v>31.9</v>
      </c>
      <c r="D23" s="8">
        <v>43049.916666666664</v>
      </c>
      <c r="E23" s="196">
        <v>0.79</v>
      </c>
      <c r="F23" s="196" t="s">
        <v>539</v>
      </c>
      <c r="G23" s="196">
        <v>251.86</v>
      </c>
      <c r="H23" s="196">
        <v>0</v>
      </c>
      <c r="I23" s="196">
        <v>0</v>
      </c>
      <c r="J23" s="196"/>
      <c r="K23" s="196">
        <v>1013.44</v>
      </c>
      <c r="L23" s="196" t="s">
        <v>538</v>
      </c>
      <c r="M23" s="196">
        <v>37.869999999999997</v>
      </c>
      <c r="N23" s="196">
        <v>1510372800</v>
      </c>
      <c r="O23" s="196">
        <v>0</v>
      </c>
      <c r="P23" s="196">
        <v>2.96</v>
      </c>
      <c r="Q23" s="196">
        <v>262</v>
      </c>
      <c r="R23" s="196">
        <v>1.86</v>
      </c>
      <c r="S23" s="196">
        <v>0.83</v>
      </c>
      <c r="T23"/>
    </row>
    <row r="24" spans="1:20" x14ac:dyDescent="0.25">
      <c r="A24" s="196">
        <v>35.43</v>
      </c>
      <c r="B24" s="196">
        <v>0.03</v>
      </c>
      <c r="C24" s="196">
        <v>30.61</v>
      </c>
      <c r="D24" s="8">
        <v>43049.958333333336</v>
      </c>
      <c r="E24" s="196">
        <v>0.82</v>
      </c>
      <c r="F24" s="196" t="s">
        <v>539</v>
      </c>
      <c r="G24" s="196">
        <v>251.99</v>
      </c>
      <c r="H24" s="196">
        <v>0</v>
      </c>
      <c r="I24" s="196">
        <v>0</v>
      </c>
      <c r="J24" s="196"/>
      <c r="K24" s="196">
        <v>1013.13</v>
      </c>
      <c r="L24" s="196" t="s">
        <v>538</v>
      </c>
      <c r="M24" s="196">
        <v>35.43</v>
      </c>
      <c r="N24" s="196">
        <v>1510376400</v>
      </c>
      <c r="O24" s="196">
        <v>0</v>
      </c>
      <c r="P24" s="196">
        <v>2.85</v>
      </c>
      <c r="Q24" s="196">
        <v>202</v>
      </c>
      <c r="R24" s="196">
        <v>1.43</v>
      </c>
      <c r="S24" s="196">
        <v>0.21</v>
      </c>
      <c r="T24"/>
    </row>
    <row r="25" spans="1:20" x14ac:dyDescent="0.25">
      <c r="A25" s="196">
        <v>34.08</v>
      </c>
      <c r="B25" s="196">
        <v>0.02</v>
      </c>
      <c r="C25" s="196">
        <v>29.98</v>
      </c>
      <c r="D25" s="8">
        <v>43050</v>
      </c>
      <c r="E25" s="196">
        <v>0.85</v>
      </c>
      <c r="F25" s="196" t="s">
        <v>539</v>
      </c>
      <c r="G25" s="196">
        <v>252.65</v>
      </c>
      <c r="H25" s="196">
        <v>0</v>
      </c>
      <c r="I25" s="196">
        <v>0</v>
      </c>
      <c r="J25" s="196"/>
      <c r="K25" s="196">
        <v>1012.38</v>
      </c>
      <c r="L25" s="196" t="s">
        <v>538</v>
      </c>
      <c r="M25" s="196">
        <v>34.08</v>
      </c>
      <c r="N25" s="196">
        <v>1510380000</v>
      </c>
      <c r="O25" s="196">
        <v>0</v>
      </c>
      <c r="P25" s="196">
        <v>2.64</v>
      </c>
      <c r="Q25" s="196">
        <v>172</v>
      </c>
      <c r="R25" s="196">
        <v>2.0299999999999998</v>
      </c>
      <c r="S25" s="196">
        <v>0.38</v>
      </c>
      <c r="T25"/>
    </row>
    <row r="26" spans="1:20" x14ac:dyDescent="0.25">
      <c r="A26" s="196">
        <v>32.94</v>
      </c>
      <c r="B26" s="196">
        <v>0.02</v>
      </c>
      <c r="C26" s="196">
        <v>29</v>
      </c>
      <c r="D26" s="8">
        <v>43050.041666666664</v>
      </c>
      <c r="E26" s="196">
        <v>0.85</v>
      </c>
      <c r="F26" s="196" t="s">
        <v>539</v>
      </c>
      <c r="G26" s="196">
        <v>252.79</v>
      </c>
      <c r="H26" s="196">
        <v>0</v>
      </c>
      <c r="I26" s="196">
        <v>0</v>
      </c>
      <c r="J26" s="196"/>
      <c r="K26" s="196">
        <v>1012.63</v>
      </c>
      <c r="L26" s="196" t="s">
        <v>538</v>
      </c>
      <c r="M26" s="196">
        <v>32.94</v>
      </c>
      <c r="N26" s="196">
        <v>1510383600</v>
      </c>
      <c r="O26" s="196">
        <v>0</v>
      </c>
      <c r="P26" s="196">
        <v>2.63</v>
      </c>
      <c r="Q26" s="196">
        <v>188</v>
      </c>
      <c r="R26" s="196">
        <v>2.2999999999999998</v>
      </c>
      <c r="S26" s="196">
        <v>0.54</v>
      </c>
      <c r="T26"/>
    </row>
    <row r="27" spans="1:20" x14ac:dyDescent="0.25">
      <c r="A27" s="196">
        <v>32.450000000000003</v>
      </c>
      <c r="B27" s="196">
        <v>0.03</v>
      </c>
      <c r="C27" s="196">
        <v>28.56</v>
      </c>
      <c r="D27" s="8">
        <v>43050.083333333336</v>
      </c>
      <c r="E27" s="196">
        <v>0.85</v>
      </c>
      <c r="F27" s="196" t="s">
        <v>539</v>
      </c>
      <c r="G27" s="196">
        <v>252.79</v>
      </c>
      <c r="H27" s="196">
        <v>0</v>
      </c>
      <c r="I27" s="196">
        <v>0</v>
      </c>
      <c r="J27" s="196"/>
      <c r="K27" s="196">
        <v>1012.76</v>
      </c>
      <c r="L27" s="196" t="s">
        <v>538</v>
      </c>
      <c r="M27" s="196">
        <v>32.450000000000003</v>
      </c>
      <c r="N27" s="196">
        <v>1510387200</v>
      </c>
      <c r="O27" s="196">
        <v>0</v>
      </c>
      <c r="P27" s="196">
        <v>2.71</v>
      </c>
      <c r="Q27" s="196">
        <v>232</v>
      </c>
      <c r="R27" s="196">
        <v>2.89</v>
      </c>
      <c r="S27" s="196">
        <v>0.91</v>
      </c>
      <c r="T27"/>
    </row>
    <row r="28" spans="1:20" x14ac:dyDescent="0.25">
      <c r="A28" s="196">
        <v>32.18</v>
      </c>
      <c r="B28" s="196">
        <v>0.03</v>
      </c>
      <c r="C28" s="196">
        <v>28.16</v>
      </c>
      <c r="D28" s="8">
        <v>43050.125</v>
      </c>
      <c r="E28" s="196">
        <v>0.85</v>
      </c>
      <c r="F28" s="196" t="s">
        <v>539</v>
      </c>
      <c r="G28" s="196">
        <v>252.79</v>
      </c>
      <c r="H28" s="196">
        <v>0</v>
      </c>
      <c r="I28" s="196">
        <v>0</v>
      </c>
      <c r="J28" s="196"/>
      <c r="K28" s="196">
        <v>1012.91</v>
      </c>
      <c r="L28" s="196" t="s">
        <v>538</v>
      </c>
      <c r="M28" s="196">
        <v>32.18</v>
      </c>
      <c r="N28" s="196">
        <v>1510390800</v>
      </c>
      <c r="O28" s="196">
        <v>0</v>
      </c>
      <c r="P28" s="196">
        <v>2.82</v>
      </c>
      <c r="Q28" s="196">
        <v>210</v>
      </c>
      <c r="R28" s="196">
        <v>3.12</v>
      </c>
      <c r="S28" s="196">
        <v>1.1200000000000001</v>
      </c>
      <c r="T28"/>
    </row>
    <row r="29" spans="1:20" x14ac:dyDescent="0.25">
      <c r="A29" s="196">
        <v>32.1</v>
      </c>
      <c r="B29" s="196">
        <v>0.03</v>
      </c>
      <c r="C29" s="196">
        <v>27.4</v>
      </c>
      <c r="D29" s="8">
        <v>43050.166666666664</v>
      </c>
      <c r="E29" s="196">
        <v>0.83</v>
      </c>
      <c r="F29" s="196" t="s">
        <v>539</v>
      </c>
      <c r="G29" s="196">
        <v>252.8</v>
      </c>
      <c r="H29" s="196">
        <v>0</v>
      </c>
      <c r="I29" s="196">
        <v>0</v>
      </c>
      <c r="J29" s="196"/>
      <c r="K29" s="196">
        <v>1012.71</v>
      </c>
      <c r="L29" s="196" t="s">
        <v>538</v>
      </c>
      <c r="M29" s="196">
        <v>32.1</v>
      </c>
      <c r="N29" s="196">
        <v>1510394400</v>
      </c>
      <c r="O29" s="196">
        <v>0</v>
      </c>
      <c r="P29" s="196">
        <v>2.38</v>
      </c>
      <c r="Q29" s="196">
        <v>205</v>
      </c>
      <c r="R29" s="196">
        <v>3.51</v>
      </c>
      <c r="S29" s="196">
        <v>1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1" t="s">
        <v>179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4" workbookViewId="0">
      <selection activeCell="C22" sqref="C22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.75" thickBot="1" x14ac:dyDescent="0.3">
      <c r="A2" s="12">
        <v>43049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1096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1097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1098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25">
      <c r="C21" t="s">
        <v>1099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1100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1101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25">
      <c r="C24" t="s">
        <v>1102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1103</v>
      </c>
      <c r="J25" s="140" t="s">
        <v>144</v>
      </c>
      <c r="M25" s="154" t="b">
        <v>1</v>
      </c>
    </row>
    <row r="26" spans="3:24" x14ac:dyDescent="0.25">
      <c r="C26" t="s">
        <v>1104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%USERPROFILE%\Documents\GitHub\eaglep3-reporting\EC\2017-11-10-refined-times.txt</v>
      </c>
    </row>
    <row r="27" spans="3:24" x14ac:dyDescent="0.25"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%USERPROFILE%\Documents\GitHub\eaglep3-reporting\EC\2017-11-10-Enforcements.txt</v>
      </c>
    </row>
    <row r="28" spans="3:24" x14ac:dyDescent="0.25"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%USERPROFILE%\Documents\GitHub\eaglep3-reporting\EC\2017-11-10-Runs-refined.txt</v>
      </c>
    </row>
    <row r="29" spans="3:24" x14ac:dyDescent="0.25"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%USERPROFILE%\Documents\GitHub\eaglep3-reporting\EC\2017-11-10-Trips.txt</v>
      </c>
    </row>
    <row r="30" spans="3:24" x14ac:dyDescent="0.25"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%USERPROFILE%\Documents\GitHub\eaglep3-reporting\EC\2017-11-10-Weather.txt</v>
      </c>
    </row>
    <row r="31" spans="3:24" x14ac:dyDescent="0.25">
      <c r="J31" s="140" t="s">
        <v>188</v>
      </c>
      <c r="M31" s="154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355</v>
      </c>
      <c r="J1" s="168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2017-11-13T16:37:43Z</dcterms:modified>
</cp:coreProperties>
</file>